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Bull-Base-Bear" sheetId="2" state="visible" r:id="rId4"/>
    <sheet name="DCF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N26" authorId="0">
      <text>
        <r>
          <rPr>
            <sz val="10"/>
            <rFont val="Arial"/>
            <family val="2"/>
          </rPr>
          <t xml:space="preserve">P/E on adjusted EPS (continuing operations). MLM has traded at ~25–35x NTM EPS over 2019–26 (≈28x 2027E adjusted EPS at $518.70). Base 26x, Bull 30x, Bear 21x applied to 2028E–2030E.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63</xdr:colOff>
                <xdr:row>0</xdr:row>
                <xdr:rowOff>2</xdr:rowOff>
              </xdr:from>
              <xdr:to>
                <xdr:col>2</xdr:col>
                <xdr:colOff>-265</xdr:colOff>
                <xdr:row>7</xdr:row>
                <xdr:rowOff>6</xdr:rowOff>
              </xdr:to>
            </anchor>
          </commentPr>
        </mc:Choice>
        <mc:Fallback/>
      </mc:AlternateContent>
    </comment>
    <comment ref="P40" authorId="0">
      <text>
        <r>
          <rPr>
            <sz val="10"/>
            <rFont val="Arial"/>
            <family val="2"/>
          </rPr>
          <t xml:space="preserve">User:
Snapshot (values) of Model rows 290–292 (Share Buyback Schedule) with Model!CF2 = Bull, captured 6-Oct-2026. Base panel (D40:H42) is live-linked.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63</xdr:colOff>
                <xdr:row>0</xdr:row>
                <xdr:rowOff>2</xdr:rowOff>
              </xdr:from>
              <xdr:to>
                <xdr:col>2</xdr:col>
                <xdr:colOff>-265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<sst xmlns="http://schemas.openxmlformats.org/spreadsheetml/2006/main" count="1201" uniqueCount="914">
  <si>
    <t xml:space="preserve">SCENARIO SWITCH ▼ (Bull / Base / Bear) — drives all scenario-linked forecast drivers</t>
  </si>
  <si>
    <t xml:space="preserve">Cintas Corporation (NASDAQ: CTAS) — 3-Statement Financial Model</t>
  </si>
  <si>
    <t xml:space="preserve">Base</t>
  </si>
  <si>
    <t xml:space="preserve">US GAAP as reported · USD millions (per-share data in USD, restated for the 4-for-1 split of Sep-2024; shares in millions) · Fiscal years end 31-May · Source: Cintas Forms 10-K / 10-Q and Form 8-K earnings releases (Ex. 99), merger 8-K (10-Mar-2026), S-4 / 424B3 (UniFirst pro forma), UniFirst 10-K / 8-K, SEC EDGAR CIK 0000723254 (investor-relations releases are the same documents as filed on EDGAR)</t>
  </si>
  <si>
    <t xml:space="preserve">Basis notes: fiscal year ends 31-May (Q1 = Jun–Aug). Quarters as originally reported. Segments: Rental / Uniform Direct Sales / First Aid, Safety &amp; Fire / Document Management to FY2015; UR&amp;FS / First Aid &amp; Safety / All Other from FY2016 (FY2015 recast). Shred-it partnership Apr-2014 (Document Shredding deconsolidated); document storage sold FY2015–16; Shred-it stake sold FY2017 (discontinued operations FY2015–2020); G&amp;K Services acquired 21-Mar-2017; 4-for-1 stock split 11-Sep-2024. UniFirst acquisition pending (FTC Second Request) — modelled from an assumed 31-Dec-2026 close (toggle); NOT in company FY27 guidance.</t>
  </si>
  <si>
    <t xml:space="preserve">Forecast</t>
  </si>
  <si>
    <t xml:space="preserve">Historical</t>
  </si>
  <si>
    <t xml:space="preserve">(USDm)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</si>
  <si>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</si>
  <si>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</si>
  <si>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</si>
  <si>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</si>
  <si>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</si>
  <si>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</si>
  <si>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</si>
  <si>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Q1/13</t>
  </si>
  <si>
    <t xml:space="preserve">Q2/13</t>
  </si>
  <si>
    <t xml:space="preserve">Q3/13</t>
  </si>
  <si>
    <t xml:space="preserve">Q4/13</t>
  </si>
  <si>
    <t xml:space="preserve">FY2013</t>
  </si>
  <si>
    <t xml:space="preserve">Q1/14</t>
  </si>
  <si>
    <t xml:space="preserve">Q2/14</t>
  </si>
  <si>
    <t xml:space="preserve">Q3/14</t>
  </si>
  <si>
    <t xml:space="preserve">Q4/14</t>
  </si>
  <si>
    <t xml:space="preserve">FY2014</t>
  </si>
  <si>
    <t xml:space="preserve">Q1/15</t>
  </si>
  <si>
    <t xml:space="preserve">Q2/15</t>
  </si>
  <si>
    <t xml:space="preserve">Q3/15</t>
  </si>
  <si>
    <t xml:space="preserve">Q4/15</t>
  </si>
  <si>
    <t xml:space="preserve">FY2015</t>
  </si>
  <si>
    <t xml:space="preserve">Q1/16</t>
  </si>
  <si>
    <t xml:space="preserve">Q2/16</t>
  </si>
  <si>
    <t xml:space="preserve">Q3/16</t>
  </si>
  <si>
    <t xml:space="preserve">Q4/16</t>
  </si>
  <si>
    <t xml:space="preserve">FY2016</t>
  </si>
  <si>
    <t xml:space="preserve">Q1/17</t>
  </si>
  <si>
    <t xml:space="preserve">Q2/17</t>
  </si>
  <si>
    <t xml:space="preserve">Q3/17</t>
  </si>
  <si>
    <t xml:space="preserve">Q4/17</t>
  </si>
  <si>
    <t xml:space="preserve">FY2017</t>
  </si>
  <si>
    <t xml:space="preserve">Q1/18</t>
  </si>
  <si>
    <t xml:space="preserve">Q2/18</t>
  </si>
  <si>
    <t xml:space="preserve">Q3/18</t>
  </si>
  <si>
    <t xml:space="preserve">Q4/18</t>
  </si>
  <si>
    <t xml:space="preserve">FY2018</t>
  </si>
  <si>
    <t xml:space="preserve">Q1/19</t>
  </si>
  <si>
    <t xml:space="preserve">Q2/19</t>
  </si>
  <si>
    <t xml:space="preserve">Q3/19</t>
  </si>
  <si>
    <t xml:space="preserve">Q4/19</t>
  </si>
  <si>
    <t xml:space="preserve">FY2019</t>
  </si>
  <si>
    <t xml:space="preserve">Q1/20</t>
  </si>
  <si>
    <t xml:space="preserve">Q2/20</t>
  </si>
  <si>
    <t xml:space="preserve">Q3/20</t>
  </si>
  <si>
    <t xml:space="preserve">Q4/20</t>
  </si>
  <si>
    <t xml:space="preserve">FY2020</t>
  </si>
  <si>
    <t xml:space="preserve">Q1/21</t>
  </si>
  <si>
    <t xml:space="preserve">Q2/21</t>
  </si>
  <si>
    <t xml:space="preserve">Q3/21</t>
  </si>
  <si>
    <t xml:space="preserve">Q4/21</t>
  </si>
  <si>
    <t xml:space="preserve">FY2021</t>
  </si>
  <si>
    <t xml:space="preserve">Q1/22</t>
  </si>
  <si>
    <t xml:space="preserve">Q2/22</t>
  </si>
  <si>
    <t xml:space="preserve">Q3/22</t>
  </si>
  <si>
    <t xml:space="preserve">Q4/22</t>
  </si>
  <si>
    <t xml:space="preserve">FY2022</t>
  </si>
  <si>
    <t xml:space="preserve">Q1/23</t>
  </si>
  <si>
    <t xml:space="preserve">Q2/23</t>
  </si>
  <si>
    <t xml:space="preserve">Q3/23</t>
  </si>
  <si>
    <t xml:space="preserve">Q4/23</t>
  </si>
  <si>
    <t xml:space="preserve">FY2023</t>
  </si>
  <si>
    <t xml:space="preserve">Q1/24</t>
  </si>
  <si>
    <t xml:space="preserve">Q2/24</t>
  </si>
  <si>
    <t xml:space="preserve">Q3/24</t>
  </si>
  <si>
    <t xml:space="preserve">Q4/24</t>
  </si>
  <si>
    <t xml:space="preserve">FY2024</t>
  </si>
  <si>
    <t xml:space="preserve">Q1/25</t>
  </si>
  <si>
    <t xml:space="preserve">Q2/25</t>
  </si>
  <si>
    <t xml:space="preserve">Q3/25</t>
  </si>
  <si>
    <t xml:space="preserve">Q4/25</t>
  </si>
  <si>
    <t xml:space="preserve">FY2025</t>
  </si>
  <si>
    <t xml:space="preserve">Q1/26</t>
  </si>
  <si>
    <t xml:space="preserve">Q2/26</t>
  </si>
  <si>
    <t xml:space="preserve">Q3/26</t>
  </si>
  <si>
    <t xml:space="preserve">Q4/26</t>
  </si>
  <si>
    <t xml:space="preserve">FY2026</t>
  </si>
  <si>
    <t xml:space="preserve">Q1/27</t>
  </si>
  <si>
    <t xml:space="preserve">Q2/27E</t>
  </si>
  <si>
    <t xml:space="preserve">Q3/27E</t>
  </si>
  <si>
    <t xml:space="preserve">Q4/27E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</si>
  <si>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</si>
  <si>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</si>
  <si>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</si>
  <si>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</si>
  <si>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</si>
  <si>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Modelling Notes</t>
  </si>
  <si>
    <t xml:space="preserve">5Y CAGR</t>
  </si>
  <si>
    <t xml:space="preserve">10Y CAGR</t>
  </si>
  <si>
    <t xml:space="preserve">20Y CAGR</t>
  </si>
  <si>
    <t xml:space="preserve">26-'31</t>
  </si>
  <si>
    <t xml:space="preserve">21-'26</t>
  </si>
  <si>
    <t xml:space="preserve">16-'26</t>
  </si>
  <si>
    <t xml:space="preserve">06-'26</t>
  </si>
  <si>
    <t xml:space="preserve">SEGMENT P&amp;L — UNIFORM RENTAL &amp; FACILITY SERVICES · FIRST AID &amp; SAFETY · ALL OTHER · UNIFIRST (organic growth + M&amp;A build)</t>
  </si>
  <si>
    <t xml:space="preserve">SEGMENT BUILD — modelling logic (organic growth → revenues → gross margin → S&amp;A → segment operating income)</t>
  </si>
  <si>
    <t xml:space="preserve">SCENARIO INPUT TABLE — driver assumptions per Bull / Base / Bear</t>
  </si>
  <si>
    <t xml:space="preserve">Bull</t>
  </si>
  <si>
    <t xml:space="preserve">Bear</t>
  </si>
  <si>
    <t xml:space="preserve">Bull / Bear = Base + Δ (Δ inputs on each block header). Outlook block = high / mid / low end of FY27 ranges. Blue = input.</t>
  </si>
  <si>
    <t xml:space="preserve">Uniform Rental &amp; Facility Services (UR&amp;FS) — reportable segment: uniform &amp; garment rental, mats, mops, shop towels, restroom &amp; hygiene, water, Clean Room; legacy "Rental Uniforms &amp; Ancillary Products" segment to FY2014 (FY2015 recast incl. storage)</t>
  </si>
  <si>
    <t xml:space="preserve">UR&amp;FS — modelling logic</t>
  </si>
  <si>
    <t xml:space="preserve">  Revenues</t>
  </si>
  <si>
    <t xml:space="preserve">Q2–Q4/27E: prior-year quarter × (1 + Q1/27 y/y growth ex-workday effect + revenue-outlook calibration Δ). FY28E+: prior year × (1 + scenario organic growth URFS_org); bolt-on M&amp;A modelled separately (Future acquisitions block).</t>
  </si>
  <si>
    <t xml:space="preserve">FY27 outlook — Q1/27 release (23-Sep-26); legacy Cintas, excludes UniFirst</t>
  </si>
  <si>
    <t xml:space="preserve">High</t>
  </si>
  <si>
    <t xml:space="preserve">Mid</t>
  </si>
  <si>
    <t xml:space="preserve">Low</t>
  </si>
  <si>
    <t xml:space="preserve">Company guidance excludes the UniFirst acquisition — the model adds UniFirst separately.</t>
  </si>
  <si>
    <t xml:space="preserve">  Revenues y/y %</t>
  </si>
  <si>
    <t xml:space="preserve">Q2–Q4/27E: Q1/27 y/y less the Q1 extra-workday effect (row "Workday effect") + calibration Δ (Group block). FY28E+: scenario lever.</t>
  </si>
  <si>
    <t xml:space="preserve">  FY27 revenues ($m)</t>
  </si>
  <si>
    <t xml:space="preserve">Raised to $12.15–12.27bn in the Q1/27 release (from $12.10–12.25bn); excludes UniFirst &amp; future M&amp;A.</t>
  </si>
  <si>
    <t xml:space="preserve">  Organic growth % (company-disclosed, segment)</t>
  </si>
  <si>
    <t xml:space="preserve">Segment organic growth as disclosed in releases (FY2016–21) and 10-Q MD&amp;A (FY2022+); blank where not disclosed. Forecast: no acquisition/FX/workday effect assumed inside segments.</t>
  </si>
  <si>
    <t xml:space="preserve">  FY27 adjusted diluted EPS ($)</t>
  </si>
  <si>
    <t xml:space="preserve">Raised to $5.45–5.54 (from $5.36–5.50); excludes UniFirst transaction costs; FY26 adj. $4.94.</t>
  </si>
  <si>
    <t xml:space="preserve">  Acquisitions, FX &amp; workday effects % (derived = y/y − organic)</t>
  </si>
  <si>
    <t xml:space="preserve">  Gross margin (GAAP)</t>
  </si>
  <si>
    <t xml:space="preserve">Point estimates &amp; structural inputs (all cases)</t>
  </si>
  <si>
    <t xml:space="preserve">  Gross margin % before outlook calibration (Q2–Q4/27E helper)</t>
  </si>
  <si>
    <t xml:space="preserve">Prior-year quarter margin + (Q1/27 − Q1/26 margin drift).</t>
  </si>
  <si>
    <t xml:space="preserve">  FY27 interest expense, net — guidance ($m)</t>
  </si>
  <si>
    <t xml:space="preserve">Q1/27 release: ~$103.0m (FY26 $101.2m), incl. bridge-loan fee amortization; excludes UniFirst funding.</t>
  </si>
  <si>
    <t xml:space="preserve">  Gross margin %</t>
  </si>
  <si>
    <t xml:space="preserve">Q2–Q4/27E: helper + uniform margin calibration Δ (solved to the FY27 adjusted EPS guidance). FY28E+: scenario lever URFS_GM (level).</t>
  </si>
  <si>
    <t xml:space="preserve">  FY27 effective tax rate — guidance</t>
  </si>
  <si>
    <t xml:space="preserve">Q1/27 release: 20.4% (FY26 20.2%).</t>
  </si>
  <si>
    <t xml:space="preserve">  Selling &amp; administrative expenses (segment)</t>
  </si>
  <si>
    <t xml:space="preserve">  FY27 guidance diluted shares (m; ex-future buybacks)</t>
  </si>
  <si>
    <t xml:space="preserve">Q1/27 weighted diluted shares 404.3m (guidance excludes future buybacks).</t>
  </si>
  <si>
    <t xml:space="preserve">  S&amp;A % of revenues</t>
  </si>
  <si>
    <t xml:space="preserve">Q2–Q4/27E: prior-year quarter + Q1 drift. FY28E+: FY27E segment ratio + Δ of the consolidated legacy S&amp;A lever SA_pct vs FY27E.</t>
  </si>
  <si>
    <t xml:space="preserve">  Effective tax rate FY28E+</t>
  </si>
  <si>
    <t xml:space="preserve">Higher UniFirst mix (US-heavy, fewer stock-comp benefits).</t>
  </si>
  <si>
    <t xml:space="preserve">  Segment operating income (before special items)</t>
  </si>
  <si>
    <t xml:space="preserve">  UniFirst included (1 = yes, 0 = no)</t>
  </si>
  <si>
    <t xml:space="preserve">Default ON per your instruction; set 0 for standalone Cintas (matches company guidance basis).</t>
  </si>
  <si>
    <t xml:space="preserve">  Segment operating margin %</t>
  </si>
  <si>
    <t xml:space="preserve">  UniFirst assumed closing date</t>
  </si>
  <si>
    <t xml:space="preserve">"Prior to the end of calendar 2026" (Q1/27 release); FTC Second Request 11-Jun-26.</t>
  </si>
  <si>
    <t xml:space="preserve">  Memo: segment operating income / income before taxes as reported (incl. segment special items)</t>
  </si>
  <si>
    <t xml:space="preserve">  CTAS shares issued to UNF holders (m)</t>
  </si>
  <si>
    <t xml:space="preserve">424B3 pro forma: 18.227m UNF shares × 0.7720.</t>
  </si>
  <si>
    <t xml:space="preserve">  UniFirst acquisition debt ($m)</t>
  </si>
  <si>
    <t xml:space="preserve">424B3 pro forma permanent financing $2.8bn.</t>
  </si>
  <si>
    <t xml:space="preserve">First Aid &amp; Safety Services (FA&amp;S) — reportable segment from FY2016 (FY2015 recast); first aid cabinets, safety products &amp; training, eyewash, AEDs</t>
  </si>
  <si>
    <t xml:space="preserve">FIRST AID &amp; SAFETY — modelling logic</t>
  </si>
  <si>
    <t xml:space="preserve">  Interest rate on acquisition debt</t>
  </si>
  <si>
    <t xml:space="preserve">424B3 assumption (±1/8% = $3.5m p.a.).</t>
  </si>
  <si>
    <t xml:space="preserve">Q2–Q4/27E: prior-year quarter × (1 + Q1/27 y/y growth ex-workday effect + revenue-outlook calibration Δ). FY28E+: prior year × (1 + scenario organic growth FAS_org); bolt-on M&amp;A modelled separately (Future acquisitions block).</t>
  </si>
  <si>
    <t xml:space="preserve">  Run-rate cost synergies ($m)</t>
  </si>
  <si>
    <t xml:space="preserve">Deal 8-K: ~$375m within four years.</t>
  </si>
  <si>
    <t xml:space="preserve">  Share of synergies in cost of sales</t>
  </si>
  <si>
    <t xml:space="preserve">Material, production &amp; delivery (vs G&amp;A).</t>
  </si>
  <si>
    <t xml:space="preserve">  Net PP&amp;E step-up depreciation ($m p.a.)</t>
  </si>
  <si>
    <t xml:space="preserve">$27.936m new − $27.531m eliminated (424B3).</t>
  </si>
  <si>
    <t xml:space="preserve">  PPA intangible amortization yrs 1–3 ($m p.a.)</t>
  </si>
  <si>
    <t xml:space="preserve">Customer relationships $1,241m/15y + trade names $50m/3y.</t>
  </si>
  <si>
    <t xml:space="preserve">  PPA intangible amortization yr 4+ ($m p.a.)</t>
  </si>
  <si>
    <t xml:space="preserve">Customer relationships only.</t>
  </si>
  <si>
    <t xml:space="preserve">  UniFirst standalone gross margin (Cintas presentation)</t>
  </si>
  <si>
    <t xml:space="preserve">LTM cost of revenues ex-D&amp;A 63.3% + ~85% of D&amp;A in cost of sales.</t>
  </si>
  <si>
    <t xml:space="preserve">Q2–Q4/27E: helper + uniform margin calibration Δ (solved to the FY27 adjusted EPS guidance). FY28E+: scenario lever FAS_GM (level).</t>
  </si>
  <si>
    <t xml:space="preserve">  UniFirst standalone S&amp;A % of revenue</t>
  </si>
  <si>
    <t xml:space="preserve">LTM SG&amp;A ex merger costs 24.3% + non-production D&amp;A.</t>
  </si>
  <si>
    <t xml:space="preserve">  UniFirst standalone D&amp;A % of revenue</t>
  </si>
  <si>
    <t xml:space="preserve">LTM D&amp;A 5.7% less acquired-intangible amortization (~0.7%).</t>
  </si>
  <si>
    <t xml:space="preserve">  UniFirst revenue mapped to UR&amp;FS line</t>
  </si>
  <si>
    <t xml:space="preserve">U&amp;F Service Solutions + Specialty Garments ~95% of UNF revenue.</t>
  </si>
  <si>
    <t xml:space="preserve">  Pre-close transaction costs per quarter ($m)</t>
  </si>
  <si>
    <t xml:space="preserve">Q1/27 $14.4m; Q4/26 $14.0m.</t>
  </si>
  <si>
    <t xml:space="preserve">  Costs at closing ($m): transaction + retention</t>
  </si>
  <si>
    <t xml:space="preserve">Cintas transaction costs $34.0m + retention bonuses $38.7m (424B3).</t>
  </si>
  <si>
    <t xml:space="preserve">  Integration costs to achieve synergies ($m, total)</t>
  </si>
  <si>
    <t xml:space="preserve">Not disclosed; "proportional to G&amp;K" (~$138m for a $2.2bn deal) → ~$350m.</t>
  </si>
  <si>
    <t xml:space="preserve">  … phasing FY27E</t>
  </si>
  <si>
    <t xml:space="preserve">All Other — Fire Protection Services + Uniform Direct Sale (from FY2016; FY2015 recast)</t>
  </si>
  <si>
    <t xml:space="preserve">ALL OTHER (FIRE + UNIFORM DIRECT SALE) — modelling logic</t>
  </si>
  <si>
    <t xml:space="preserve">  … phasing FY28E</t>
  </si>
  <si>
    <t xml:space="preserve">Q2–Q4/27E: prior-year quarter × (1 + Q1/27 y/y growth ex-workday effect + revenue-outlook calibration Δ). FY28E+: prior year × (1 + scenario organic growth OTH_org); bolt-on M&amp;A modelled separately (Future acquisitions block).</t>
  </si>
  <si>
    <t xml:space="preserve">  … phasing FY29E</t>
  </si>
  <si>
    <t xml:space="preserve">  … phasing FY30E</t>
  </si>
  <si>
    <t xml:space="preserve">Cintas does not disclose All Other organic growth.</t>
  </si>
  <si>
    <t xml:space="preserve">  Bolt-on EV / sales (x)</t>
  </si>
  <si>
    <t xml:space="preserve">Tuck-in uniform / first-aid / fire businesses.</t>
  </si>
  <si>
    <t xml:space="preserve">  Bolt-on operating margin (after amortization)</t>
  </si>
  <si>
    <t xml:space="preserve">  Bolt-on gross margin</t>
  </si>
  <si>
    <t xml:space="preserve">  Goodwill % of bolt-on spend</t>
  </si>
  <si>
    <t xml:space="preserve">FY2026 acquisitions mostly goodwill &amp; service contracts.</t>
  </si>
  <si>
    <t xml:space="preserve">Q2–Q4/27E: helper + uniform margin calibration Δ (solved to the FY27 adjusted EPS guidance). FY28E+: scenario lever OTH_GM (level).</t>
  </si>
  <si>
    <t xml:space="preserve">  Bolt-on intangible life (years)</t>
  </si>
  <si>
    <t xml:space="preserve">  Legacy D&amp;A % of legacy revenues (FY28E+)</t>
  </si>
  <si>
    <t xml:space="preserve">FY26 4.6%; Q1/27 4.2%.</t>
  </si>
  <si>
    <t xml:space="preserve">  Dividend per share growth FY28E+</t>
  </si>
  <si>
    <t xml:space="preserve">10-yr DPS CAGR ~17%; FY27 +15.6%.</t>
  </si>
  <si>
    <t xml:space="preserve">  Tax rate on adjusting items (forecast)</t>
  </si>
  <si>
    <t xml:space="preserve">424B3 blended statutory rate.</t>
  </si>
  <si>
    <t xml:space="preserve">  Capex % of revenues FY27E</t>
  </si>
  <si>
    <t xml:space="preserve">FY26 3.5%; Q1/27 3.6%; + UniFirst from closing.</t>
  </si>
  <si>
    <t xml:space="preserve">  Capex % of revenues FY28E+</t>
  </si>
  <si>
    <t xml:space="preserve">UniFirst ~6.3% of revenue + integration/automation.</t>
  </si>
  <si>
    <t xml:space="preserve">  FY27E buybacks after Q1 ($m)</t>
  </si>
  <si>
    <t xml:space="preserve">$544.7m repurchased in Q1 and to 22-Sep-2026 (Q1 $315.7m) → $229.0m; assumed paused thereafter.</t>
  </si>
  <si>
    <t xml:space="preserve">Legacy reportable segments to FY2015 (as originally reported; memo — not forecast)</t>
  </si>
  <si>
    <t xml:space="preserve">LEGACY SEGMENTS — historical disclosure only</t>
  </si>
  <si>
    <t xml:space="preserve">  Net diluted share reduction per quarter, Q2–Q4/27E (m)</t>
  </si>
  <si>
    <t xml:space="preserve">Sep-2026 buybacks ($229m ≈ 1.1m shares) roll through Q2; modest net reduction thereafter.</t>
  </si>
  <si>
    <t xml:space="preserve">  Memo: Uniform Direct Sales — revenues</t>
  </si>
  <si>
    <t xml:space="preserve">  Shares issued under equity plans (m p.a.)</t>
  </si>
  <si>
    <t xml:space="preserve">  Memo: Uniform Direct Sales — income before income taxes</t>
  </si>
  <si>
    <t xml:space="preserve">  DSO (days)</t>
  </si>
  <si>
    <t xml:space="preserve">FY2026 level.</t>
  </si>
  <si>
    <t xml:space="preserve">  Memo: First Aid, Safety &amp; Fire Protection — revenues</t>
  </si>
  <si>
    <t xml:space="preserve">  Inventory days</t>
  </si>
  <si>
    <t xml:space="preserve">  Memo: First Aid, Safety &amp; Fire Protection — income before income taxes</t>
  </si>
  <si>
    <t xml:space="preserve">  Garments in service % of UR&amp;FS-line revenue</t>
  </si>
  <si>
    <t xml:space="preserve">  Memo: Document Management (shredding &amp; storage; Shred-it JV Apr-2014, storage sold FY2015–16) — revenues</t>
  </si>
  <si>
    <t xml:space="preserve">  Prepaid &amp; other CA % of revenue</t>
  </si>
  <si>
    <t xml:space="preserve">  Memo: Document Management (shredding &amp; storage; Shred-it JV Apr-2014, storage sold FY2015–16) — income before income taxes</t>
  </si>
  <si>
    <t xml:space="preserve">  Payable days</t>
  </si>
  <si>
    <t xml:space="preserve">  Other services — legacy segments (UDS + FAS&amp;FP + Document Mgmt; IS "other services" line where no segment data)</t>
  </si>
  <si>
    <t xml:space="preserve">  Accrued compensation % of revenue</t>
  </si>
  <si>
    <t xml:space="preserve">  Other services — legacy gross margin</t>
  </si>
  <si>
    <t xml:space="preserve">  Accrued liabilities % of revenue</t>
  </si>
  <si>
    <t xml:space="preserve">  Deferred tax rate on PPA amortization</t>
  </si>
  <si>
    <t xml:space="preserve">424B3.</t>
  </si>
  <si>
    <t xml:space="preserve">UniFirst Corporation (NYSE: UNF) — pending acquisition (merger agreement 10-Mar-2026; $155.00 cash + 0.7720 CTAS shares per UNF share; FTC Second Request 11-Jun-2026)</t>
  </si>
  <si>
    <t xml:space="preserve">UNIFIRST — modelling logic (toggle &amp; closing date in the scenario table; NOT in company FY27 guidance)</t>
  </si>
  <si>
    <t xml:space="preserve">  Depreciation share of legacy D&amp;A</t>
  </si>
  <si>
    <t xml:space="preserve">FY2026: $318.6m of $512.8m.</t>
  </si>
  <si>
    <t xml:space="preserve">  Transaction included (1 = consolidate from closing; 0 = standalone Cintas)</t>
  </si>
  <si>
    <t xml:space="preserve">Switch in the scenario table (point estimates). 0 removes UniFirst revenues, earnings, financing, share issuance and PPA from all statements.</t>
  </si>
  <si>
    <t xml:space="preserve">  Legacy intangible amortization FY27E ($m)</t>
  </si>
  <si>
    <t xml:space="preserve">Service contracts (est. from 10-K schedule).</t>
  </si>
  <si>
    <t xml:space="preserve">  Days consolidated in period (assumed closing date → scenario table)</t>
  </si>
  <si>
    <t xml:space="preserve">Base: closing assumed 31-Dec-2026 (company: "prior to the end of calendar 2026"; outside date 10-Jan-2027, extendable to Sep-2027). Q3/27E = 31-Dec to 28-Feb.</t>
  </si>
  <si>
    <t xml:space="preserve">  Note maturities FY27E ($m)</t>
  </si>
  <si>
    <t xml:space="preserve">3.70% senior notes due 2027.</t>
  </si>
  <si>
    <t xml:space="preserve">  UniFirst revenue run-rate, annualised (standalone; UNF fiscal year ends Aug)</t>
  </si>
  <si>
    <t xml:space="preserve">FY2026 column = UNF LTM to 30-May-2026 ($2,492.7m: Q4/FY25 614.4 + Q1–Q3/FY26 1,878.2; 8-K Ex.99 earnings releases). UNF FY26 (ended 29-Aug-26) not yet reported on EDGAR.</t>
  </si>
  <si>
    <t xml:space="preserve">  Note maturities FY28E ($m)</t>
  </si>
  <si>
    <t xml:space="preserve">4.20% senior notes due 1-May-2028.</t>
  </si>
  <si>
    <t xml:space="preserve">  UniFirst standalone revenue growth %</t>
  </si>
  <si>
    <t xml:space="preserve">FY2026 column: UNF 9M/FY26 y/y +3.3% (1,878.2 vs 1,817.9). Forecast: scenario lever UNF_g.</t>
  </si>
  <si>
    <t xml:space="preserve">  % of maturities refinanced</t>
  </si>
  <si>
    <t xml:space="preserve">  Revenues (consolidated from closing)</t>
  </si>
  <si>
    <t xml:space="preserve">  Minimum cash balance ($m)</t>
  </si>
  <si>
    <t xml:space="preserve">Cintas runs ~$150–350m cash.</t>
  </si>
  <si>
    <t xml:space="preserve">  Standalone gross margin % (Cintas presentation: cost of sales incl. production D&amp;A; before synergies)</t>
  </si>
  <si>
    <t xml:space="preserve">UNF LTM: cost of revenues ex-D&amp;A 63.3% of revenue + ~85% of D&amp;A (5.7%) in cost of sales → ~31.8% gross margin on Cintas presentation.</t>
  </si>
  <si>
    <t xml:space="preserve">  Blended rate on notes &amp; term debt FY28E+</t>
  </si>
  <si>
    <t xml:space="preserve">  Cost synergies realised — % of $375m run-rate (scenario)</t>
  </si>
  <si>
    <t xml:space="preserve">~$375m run-rate operating cost synergies "within four years" (deal 8-K 11-Mar-2026): material cost, production, delivery &amp; G&amp;A. No annual phasing disclosed → scenario lever UNF_syn.</t>
  </si>
  <si>
    <t xml:space="preserve">  Rate on CP / revolver</t>
  </si>
  <si>
    <t xml:space="preserve">SOFR + 70–114bp revolver; A2/P2 CP.</t>
  </si>
  <si>
    <t xml:space="preserve">  (+) Cost synergies realised (USDm)</t>
  </si>
  <si>
    <t xml:space="preserve">  Yield on cash</t>
  </si>
  <si>
    <t xml:space="preserve">  Gross margin (GAAP; incl. cost-of-sales share of synergies &amp; PP&amp;E step-up depreciation)</t>
  </si>
  <si>
    <t xml:space="preserve">Synergy split input: 65% cost of sales (material, production, delivery) / 35% S&amp;A. Net PP&amp;E step-up depreciation: buildings FV $558.7m / 20y = $27.9m vs $27.5m eliminated (424B3 pro forma note) → +$0.4m p.a.</t>
  </si>
  <si>
    <t xml:space="preserve">  Dilutive securities (m shares)</t>
  </si>
  <si>
    <t xml:space="preserve">Q1/27 diluted − basic = 4.2m.</t>
  </si>
  <si>
    <t xml:space="preserve">  Standalone S&amp;A % of revenues (before synergies &amp; PPA amortization)</t>
  </si>
  <si>
    <t xml:space="preserve">UNF LTM SG&amp;A ex merger costs $605.4m (24.3%) + non-production D&amp;A (~0.8%).</t>
  </si>
  <si>
    <t xml:space="preserve">  Share price ($) — valuation input</t>
  </si>
  <si>
    <t xml:space="preserve">Latest observable on EDGAR: Form 4 phantom-unit credit price 15-Sep-2026 ($198.95). Overwrite with live price.</t>
  </si>
  <si>
    <t xml:space="preserve">  (+) Amortization of acquired intangibles (PPA; within S&amp;A)</t>
  </si>
  <si>
    <t xml:space="preserve">Customer relationships $1,241m / 15y ($82.7m) + trade names $50m / 3y ($16.7m) = $98.3m p.a. for three years, then $82.7m (424B3 pro forma note). Not adjusted out (company adjusted EPS excludes only transaction &amp; integration costs).</t>
  </si>
  <si>
    <t xml:space="preserve">  Share-price appreciation % p.a. (buyback pricing)</t>
  </si>
  <si>
    <t xml:space="preserve">  S&amp;A (USDm; consolidated in the S&amp;A line)</t>
  </si>
  <si>
    <t xml:space="preserve">  Operating income contribution (before transaction &amp; integration costs)</t>
  </si>
  <si>
    <t xml:space="preserve">URFS_org (UR&amp;FS organic revenue growth)</t>
  </si>
  <si>
    <t xml:space="preserve">Δ →</t>
  </si>
  <si>
    <t xml:space="preserve">FY26 UR&amp;FS organic ~7.5%; Q1/27 ~8%. Bull: share gains from UniFirst disruption, hygiene/water penetration; Bear: employment slowdown.</t>
  </si>
  <si>
    <t xml:space="preserve">  Standalone D&amp;A % of revenues (excl. UNF acquired-intangible amortization)</t>
  </si>
  <si>
    <t xml:space="preserve">UNF LTM D&amp;A $142.2m less ~$17m acquired-intangible amortization (eliminated in PPA) ≈ 5.0% of revenue.</t>
  </si>
  <si>
    <t xml:space="preserve">  FY2028E</t>
  </si>
  <si>
    <t xml:space="preserve">  D&amp;A of UniFirst (standalone D&amp;A + PP&amp;E step-up + PPA amortization)</t>
  </si>
  <si>
    <t xml:space="preserve">  FY2029E</t>
  </si>
  <si>
    <t xml:space="preserve">  Memo: UniFirst Adjusted EBITDA contribution (OI + D&amp;A)</t>
  </si>
  <si>
    <t xml:space="preserve">Cross-check: UNF LTM Adjusted EBITDA $320.3m (12.8%) incl. $12.8m SBC add-back; Cintas basis (no SBC add-back) ≈ $307m. Deal: EV $5.5bn ≈ 8.0x TTM EBITDA incl. $375m synergies.</t>
  </si>
  <si>
    <t xml:space="preserve">  FY2030E</t>
  </si>
  <si>
    <t xml:space="preserve">  Memo: UniFirst Adjusted EBITDA margin %</t>
  </si>
  <si>
    <t xml:space="preserve">  FY2031E</t>
  </si>
  <si>
    <t xml:space="preserve">  Transaction, retention &amp; integration costs (one-time; excluded from adjusted results)</t>
  </si>
  <si>
    <t xml:space="preserve">Pre-close: ~$15m per quarter of transaction costs (Q1/27 $14.4m). At close: Cintas transaction costs $34.0m + retention bonuses $38.7m (424B3). Integration (severance, retention, lease exits): not quantified on EDGAR — CFO: "in line on a proportional basis with G&amp;K" (~$138m on a $2.2bn deal) → $350m input phased 15/45/30/10%.</t>
  </si>
  <si>
    <t xml:space="preserve">FAS_org (First Aid &amp; Safety organic growth)</t>
  </si>
  <si>
    <t xml:space="preserve">FY26 14.0%; runway in AEDs, eyewash, safety training.</t>
  </si>
  <si>
    <t xml:space="preserve">Future acquisitions (M&amp;A lever — tuck-in uniform, first-aid &amp; fire businesses; unallocated; deals closed from FY2028E)</t>
  </si>
  <si>
    <t xml:space="preserve">M&amp;A LEVER — acquired sales = spend ÷ EV/sales; mid-year convention</t>
  </si>
  <si>
    <t xml:space="preserve">  Acquisition spend (USDm, scenario)</t>
  </si>
  <si>
    <t xml:space="preserve">Historical: cash paid for acquisitions (CF statement; FY2017 incl. G&amp;K $2.1bn). Cintas spends ~$100–400m p.a. on tuck-ins outside large deals. FY27E bolt-ons inside legacy run-rate (guidance excludes future acquisitions).</t>
  </si>
  <si>
    <t xml:space="preserve">  Purchase multiple — EV / sales (x)</t>
  </si>
  <si>
    <t xml:space="preserve">  Annualised sales acquired in the year</t>
  </si>
  <si>
    <t xml:space="preserve">  Growth of acquired businesses after acquisition %</t>
  </si>
  <si>
    <t xml:space="preserve">  Run-rate sales of businesses acquired (year end)</t>
  </si>
  <si>
    <t xml:space="preserve">OTH_org (All Other: Fire Protection + Uniform Direct Sale)</t>
  </si>
  <si>
    <t xml:space="preserve">FY26 +9.2% reported; fire inspection is recurring/regulatory.</t>
  </si>
  <si>
    <t xml:space="preserve">  Revenues from future acquisitions</t>
  </si>
  <si>
    <t xml:space="preserve">Mid-year convention: deals close evenly through the year (half a year of sales in year 1).</t>
  </si>
  <si>
    <t xml:space="preserve">  Operating margin of acquired businesses % (after intangible amortization)</t>
  </si>
  <si>
    <t xml:space="preserve">  Gross margin of acquired businesses %</t>
  </si>
  <si>
    <t xml:space="preserve">  Gross margin from future acquisitions</t>
  </si>
  <si>
    <t xml:space="preserve">  S&amp;A of future acquisitions (incl. amortization)</t>
  </si>
  <si>
    <t xml:space="preserve">  Goodwill % of spend (balance: acquired intangibles; tangible assets negligible)</t>
  </si>
  <si>
    <t xml:space="preserve">URFS_GM (UR&amp;FS gross margin, level)</t>
  </si>
  <si>
    <t xml:space="preserve">FY26 50.0%; Q1/27 50.8% (SAP, SmartTruck routing, garment reuse).</t>
  </si>
  <si>
    <t xml:space="preserve">  Intangible amortization life (years)</t>
  </si>
  <si>
    <t xml:space="preserve">  Cumulative acquired intangibles (gross)</t>
  </si>
  <si>
    <t xml:space="preserve">  Amortization of future-acquisition intangibles (within S&amp;A)</t>
  </si>
  <si>
    <t xml:space="preserve">  D&amp;A of acquired businesses (amortization + 1.5% of sales depreciation)</t>
  </si>
  <si>
    <t xml:space="preserve">Group Total — revenues &amp; gross margin (segment build) → adjusted operating income (Cintas' guided profit metric: adjusted diluted EPS)</t>
  </si>
  <si>
    <t xml:space="preserve">GROUP TOTAL (CONSOLIDATED) — modelling logic</t>
  </si>
  <si>
    <t xml:space="preserve">FAS_GM (First Aid &amp; Safety gross margin)</t>
  </si>
  <si>
    <t xml:space="preserve">FY26 57.7%.</t>
  </si>
  <si>
    <t xml:space="preserve">Revenues (segment build)</t>
  </si>
  <si>
    <t xml:space="preserve">Σ UR&amp;FS + FA&amp;S + All Other (legacy: Rental + other services) + UniFirst + future M&amp;A. Historical rows tie to consolidated revenues (check below).</t>
  </si>
  <si>
    <t xml:space="preserve">Gross margin (segment build)</t>
  </si>
  <si>
    <t xml:space="preserve">FY2009 legacy gross margin includes the $27.5m inventory valuation charge recorded in cost of sales (segment GM as reported).</t>
  </si>
  <si>
    <t xml:space="preserve">  Check: segment build vs consolidated revenues (should be 0)</t>
  </si>
  <si>
    <t xml:space="preserve">  Check: segment build vs consolidated gross margin (should be 0)</t>
  </si>
  <si>
    <t xml:space="preserve">OTH_GM (All Other gross margin)</t>
  </si>
  <si>
    <t xml:space="preserve">FY26 47.6%; Q1/27 49.5%.</t>
  </si>
  <si>
    <t xml:space="preserve">  Organic growth bridge: reported revenue growth y/y %</t>
  </si>
  <si>
    <t xml:space="preserve">ORGANIC GROWTH (company non-GAAP): reported growth adjusted for acquisitions, divestitures (incl. Shred-it FY2015), FX and workday differences.</t>
  </si>
  <si>
    <t xml:space="preserve">  (−) Acquisitions, divestitures, FX &amp; workday differences, net (derived)</t>
  </si>
  <si>
    <t xml:space="preserve">  = Organic revenue growth % (company-published)</t>
  </si>
  <si>
    <t xml:space="preserve">  Workday effect on Q1/27 y/y growth (66 vs 65 workdays; Q1/27 release)</t>
  </si>
  <si>
    <t xml:space="preserve">FY2027 has 261 workdays vs 260 in FY2026; the extra day fell in Q1/27 (release workday table), so Q2–Q4/27E carry no workday benefit.</t>
  </si>
  <si>
    <t xml:space="preserve">  Memo: revenues — legacy Cintas ex-UniFirst &amp; future M&amp;A</t>
  </si>
  <si>
    <t xml:space="preserve">  Memo: FY27 revenue guidance — legacy ex-UniFirst (scenario end-point)</t>
  </si>
  <si>
    <t xml:space="preserve">Company FY27 revenue guidance $12.15–12.27bn (raised in the Q1/27 release, 23-Sep-2026; excludes UniFirst and future acquisitions; constant FX). Bull = high, Base = mid, Bear = low end.</t>
  </si>
  <si>
    <t xml:space="preserve">SA_pct (legacy S&amp;A % of revenues)</t>
  </si>
  <si>
    <t xml:space="preserve">FY26 27.4%; Bull = more leverage (Δ negative).</t>
  </si>
  <si>
    <t xml:space="preserve">  Legacy revenues before revenue calibration (Q2–Q4/27E helper)</t>
  </si>
  <si>
    <t xml:space="preserve">Σ segments: prior-year quarter × (1 + Q1/27 y/y − workday effect). FY27E = Q1/27 actual + Σ Q2–Q4 helper.</t>
  </si>
  <si>
    <t xml:space="preserve">  Revenue sensitivity to +1.00 of growth (Q2–Q4/27E helper)</t>
  </si>
  <si>
    <t xml:space="preserve">  Outlook calibration: Δ y/y growth applied to legacy segments (Q2–Q4/27E)</t>
  </si>
  <si>
    <t xml:space="preserve">Solves the uniform growth shift (vs Q1/27 trend ex-workday) so that legacy FY27E revenues = the guidance end-point for the active scenario.</t>
  </si>
  <si>
    <t xml:space="preserve">  Check: legacy FY27E revenues vs guidance end-point (should be 0)</t>
  </si>
  <si>
    <t xml:space="preserve">  Legacy adjusted operating income before margin calibration (Q2–Q4/27E helper)</t>
  </si>
  <si>
    <t xml:space="preserve">  Margin sensitivity: Σ legacy revenues Q2–Q4/27E (helper)</t>
  </si>
  <si>
    <t xml:space="preserve">UNF_g (UniFirst standalone revenue growth)</t>
  </si>
  <si>
    <t xml:space="preserve">UNF 9M/FY26 +3.3%; FY25 +0.2% (53-wk FY24). Bear includes customer attrition during integration / FTC remedies.</t>
  </si>
  <si>
    <t xml:space="preserve">  Memo: FY27 adjusted diluted EPS guidance — ex-UniFirst (scenario end-point, $)</t>
  </si>
  <si>
    <t xml:space="preserve">Company FY27 adjusted diluted EPS guidance $5.45–5.54 (Q1/27 release; excludes UniFirst transaction costs &amp; impact, future buybacks; interest, net ≈ $103.0m; ETR 20.4%).</t>
  </si>
  <si>
    <t xml:space="preserve">  FY2027E</t>
  </si>
  <si>
    <t xml:space="preserve">  Memo: FY27 adjusted operating income implied by the EPS guidance (legacy)</t>
  </si>
  <si>
    <t xml:space="preserve">EPS end-point × guidance diluted shares (Q1/27 404.3m; guidance excludes future buybacks) ÷ (1 − 20.4% ETR) + interest, net $103.0m.</t>
  </si>
  <si>
    <t xml:space="preserve">  Outlook calibration: Δ gross margin applied to legacy segments (Q2–Q4/27E)</t>
  </si>
  <si>
    <t xml:space="preserve">Solves the uniform gross-margin shift (vs prior-year quarter + Q1 drift) so that legacy FY27E adjusted operating income = the guidance-implied level.</t>
  </si>
  <si>
    <t xml:space="preserve">  Memo: model legacy adjusted operating income (ex-UniFirst &amp; future M&amp;A)</t>
  </si>
  <si>
    <t xml:space="preserve">  Check: legacy FY27E adjusted operating income vs guidance-implied (should be 0)</t>
  </si>
  <si>
    <t xml:space="preserve">  Memo: legacy S&amp;A % of legacy revenues</t>
  </si>
  <si>
    <t xml:space="preserve">  Legacy S&amp;A % of revenues — scenario lever SA_pct (FY28E+)</t>
  </si>
  <si>
    <t xml:space="preserve">Operating leverage on S&amp;A (technology, route density, SAP/AI tools). Segment S&amp;A ratios move by the same Δ.</t>
  </si>
  <si>
    <t xml:space="preserve">UNF_syn (synergy realisation, % of $375m run-rate)</t>
  </si>
  <si>
    <t xml:space="preserve">"Within four years" of closing; G&amp;K synergies were achieved ahead of plan.</t>
  </si>
  <si>
    <t xml:space="preserve">Cost drivers &amp; D&amp;A</t>
  </si>
  <si>
    <t xml:space="preserve">COST DRIVERS — inputs that drive forecast cost lines</t>
  </si>
  <si>
    <t xml:space="preserve">  D&amp;A — legacy Cintas (depreciation + amortization of intangibles &amp; capitalized contract costs)</t>
  </si>
  <si>
    <t xml:space="preserve">Historical = cash-flow statement depreciation + amortization (intangibles; capitalized contract costs from FY2019, ASC 606). Q2–Q4/27E at the Q1/27 ratio; FY28E+ % of legacy revenues.</t>
  </si>
  <si>
    <t xml:space="preserve">  D&amp;A (legacy) % of legacy revenues</t>
  </si>
  <si>
    <t xml:space="preserve">FY2026 4.6%; Q1/27 4.2% → 4.3% input FY28E+ (capex intensity ~3.5–4% of revenue).</t>
  </si>
  <si>
    <t xml:space="preserve">  Stock-based compensation % of revenues</t>
  </si>
  <si>
    <t xml:space="preserve">CONSOLIDATED STATEMENT OF INCOME (US GAAP; as reported — continuing operations from FY2015)</t>
  </si>
  <si>
    <t xml:space="preserve">CONSOLIDATED IS — forecast logic</t>
  </si>
  <si>
    <t xml:space="preserve">MA_spend (bolt-on acquisitions, $m)</t>
  </si>
  <si>
    <t xml:space="preserve">FY24–26 acquisitions $0.1–0.4bn p.a.</t>
  </si>
  <si>
    <t xml:space="preserve">Total revenue</t>
  </si>
  <si>
    <t xml:space="preserve">Forecast linked to the segment build (incl. UniFirst from closing and future M&amp;A).</t>
  </si>
  <si>
    <t xml:space="preserve">  of which: uniform rental &amp; facility services (legacy "rentals" / "rental uniforms &amp; ancillary products")</t>
  </si>
  <si>
    <t xml:space="preserve">UniFirst U&amp;F Service Solutions + Specialty Garments ≈ 95% of its revenue mapped to this line; future M&amp;A to "other".</t>
  </si>
  <si>
    <t xml:space="preserve">  of which: other (first aid &amp; safety, fire protection, uniform direct sale; legacy "other services")</t>
  </si>
  <si>
    <t xml:space="preserve">Cost of sales (total)</t>
  </si>
  <si>
    <t xml:space="preserve">Forecast = revenues − segment-build gross margin.</t>
  </si>
  <si>
    <t xml:space="preserve">  of which: cost of uniform rental &amp; facility services</t>
  </si>
  <si>
    <t xml:space="preserve">  of which: cost of other</t>
  </si>
  <si>
    <t xml:space="preserve">LEV (target net debt / Adjusted EBITDA for buybacks, x)</t>
  </si>
  <si>
    <t xml:space="preserve">Cintas ran 0.7–1.4x FY2019–26; 1.5x at the UniFirst close (deal 8-K). Bull = more aggressive capital return; Bear = deleveraging bias.</t>
  </si>
  <si>
    <t xml:space="preserve">Gross margin</t>
  </si>
  <si>
    <t xml:space="preserve">Selling &amp; administrative expenses</t>
  </si>
  <si>
    <t xml:space="preserve">Includes (historically) a $40m one-time employee payment (Q3/18) and gains on operating-asset sales / equity-method transactions (FY21–22) — adjusted in the bridges below.</t>
  </si>
  <si>
    <t xml:space="preserve">Acquisition transaction &amp; integration expenses (G&amp;K FY2017–19; UniFirst FY2026+)</t>
  </si>
  <si>
    <t xml:space="preserve">Separate income-statement line as reported. Q3/26 UniFirst costs ($1.1m) were within S&amp;A as first reported.</t>
  </si>
  <si>
    <t xml:space="preserve">Restructuring, impairment, legal settlements &amp; Shred-it transaction charges</t>
  </si>
  <si>
    <t xml:space="preserve">FY2009: restructuring $10.2m + asset impairment $48.9m; FY2010: legal settlements $23.5m, restructuring reversal ($2.9m); FY2014: Shredding transaction costs $28.5m + impairment $16.1m.</t>
  </si>
  <si>
    <t xml:space="preserve">Operating income</t>
  </si>
  <si>
    <t xml:space="preserve">  Operating margin %</t>
  </si>
  <si>
    <t xml:space="preserve">Gains on Shredding deconsolidation, sale of equity/cost-method investments &amp; other (gain = +)</t>
  </si>
  <si>
    <t xml:space="preserve">Below operating income as reported: FY2014 Shredding deconsolidation gain $106.4m; FY2015 equity-method share sale $21.7m and deconsolidation true-ups; FY2019 cost-method investment sale $69.4m.</t>
  </si>
  <si>
    <t xml:space="preserve">Interest income</t>
  </si>
  <si>
    <t xml:space="preserve">Q2–Q4/27E at the Q1/27 run-rate. FY28E+: yield on opening cash (debt schedule).</t>
  </si>
  <si>
    <t xml:space="preserve">Interest expense</t>
  </si>
  <si>
    <t xml:space="preserve">Q2–Q4/27E: FY27 guidance interest, net $103.0m (incl. bridge-fee amortization) spread evenly + UniFirst acquisition debt $2.8bn × 5.0% (424B3 pro forma assumption) from closing. FY28E+: debt schedule.</t>
  </si>
  <si>
    <t xml:space="preserve">Income before income taxes</t>
  </si>
  <si>
    <t xml:space="preserve">Income taxes</t>
  </si>
  <si>
    <t xml:space="preserve">FY2018: Tax Act revaluation benefit (~$175m in Q3/18). Q2–Q4/27E at the FY27 guidance ETR 20.4%; FY28E+ input.</t>
  </si>
  <si>
    <t xml:space="preserve">  Effective tax rate</t>
  </si>
  <si>
    <t xml:space="preserve">FY27 guidance 20.4% (FY26 20.2%; discrete stock-comp benefits). FY28E+: 21.0% input (UniFirst earnings taxed nearer 25%).</t>
  </si>
  <si>
    <t xml:space="preserve">Equity-method investment (Shred-it) income / (loss), net of tax</t>
  </si>
  <si>
    <t xml:space="preserve">Income from continuing operations</t>
  </si>
  <si>
    <t xml:space="preserve">Income (loss) from discontinued operations, net of tax (document management / Shred-it, FY2015–2020)</t>
  </si>
  <si>
    <t xml:space="preserve">Net income</t>
  </si>
  <si>
    <t xml:space="preserve">  Check: net income vs reported (should be 0)</t>
  </si>
  <si>
    <t xml:space="preserve">  Memo: net income as reported</t>
  </si>
  <si>
    <t xml:space="preserve">  Memo: depreciation &amp; amortization (total; cash-flow statement)</t>
  </si>
  <si>
    <t xml:space="preserve">Forecast = legacy D&amp;A + UniFirst D&amp;A (incl. PPA) + future-M&amp;A D&amp;A.</t>
  </si>
  <si>
    <t xml:space="preserve">  Memo: stock-based compensation</t>
  </si>
  <si>
    <t xml:space="preserve">(Earnings per share — restated for the 4-for-1 stock split effective 11-Sep-2024)</t>
  </si>
  <si>
    <t xml:space="preserve">  Weighted-average basic shares (m)</t>
  </si>
  <si>
    <t xml:space="preserve">Pre-split periods × 4.</t>
  </si>
  <si>
    <t xml:space="preserve">  Weighted-average diluted shares (m)</t>
  </si>
  <si>
    <t xml:space="preserve">Q2–Q4/27E: Q1/27 diluted shares − ~1.0m per quarter net buybacks ($545m repurchased in Q1 and to 22-Sep) + 14.07m UniFirst consideration shares time-weighted from closing. FY28E+: average shares outstanding + dilutive securities.</t>
  </si>
  <si>
    <t xml:space="preserve">EPS – basic ($)</t>
  </si>
  <si>
    <t xml:space="preserve">EPS – diluted ($)</t>
  </si>
  <si>
    <t xml:space="preserve">Computed as net income / weighted diluted shares; Cintas uses the two-class method, so ±$0.01–0.02 differences vs reported EPS are possible (memo rows show reported EPS).</t>
  </si>
  <si>
    <t xml:space="preserve">EPS – diluted, continuing operations ($)</t>
  </si>
  <si>
    <t xml:space="preserve">  EPS – diluted, continuing operations y/y %</t>
  </si>
  <si>
    <t xml:space="preserve">  Memo: EPS – diluted as reported ($, split-adjusted)</t>
  </si>
  <si>
    <t xml:space="preserve">  Memo: EPS – diluted, continuing operations as reported ($, split-adjusted)</t>
  </si>
  <si>
    <t xml:space="preserve">  Dividends declared per share ($)</t>
  </si>
  <si>
    <t xml:space="preserve">Annual dividend declared in Q2 until FY2020; quarterly from FY2021 (FY2015 incl. $0.2125 special; FY2021 incl. catch-up). Q1/27 $0.52 (+15.6%). FY28E+: +12% p.a. input.</t>
  </si>
  <si>
    <t xml:space="preserve">  Dividend per share growth %</t>
  </si>
  <si>
    <t xml:space="preserve">RECONCILIATION: INCOME FROM CONTINUING OPERATIONS → EBITDA → ADJUSTED EBITDA (model definition; adjusting items = company-identified items)</t>
  </si>
  <si>
    <t xml:space="preserve">ADJUSTED EBITDA — Cintas does not publish Adjusted EBITDA; EBITDA was published FY2012–14 (Debt/EBITDA). Adjusting items = items the company excluded from adjusted EPS.</t>
  </si>
  <si>
    <t xml:space="preserve">Income from continuing operations (GAAP)</t>
  </si>
  <si>
    <t xml:space="preserve">  (+) Income taxes</t>
  </si>
  <si>
    <t xml:space="preserve">  (+) Interest expense</t>
  </si>
  <si>
    <t xml:space="preserve">  (−) Interest income</t>
  </si>
  <si>
    <t xml:space="preserve">  (+) Depreciation &amp; amortization</t>
  </si>
  <si>
    <t xml:space="preserve">  = EBITDA</t>
  </si>
  <si>
    <t xml:space="preserve">  (+) Acquisition transaction &amp; integration expenses (G&amp;K; UniFirst)</t>
  </si>
  <si>
    <t xml:space="preserve">  (+) Restructuring, impairment, legal settlements &amp; Shred-it transaction charges</t>
  </si>
  <si>
    <t xml:space="preserve">  (+) Inventory valuation charge in cost of sales (FY2009)</t>
  </si>
  <si>
    <t xml:space="preserve">  (+/−) Items within S&amp;A: one-time employee payment (Q3/18); (gains) on operating-asset sales &amp; equity-method transactions (FY21–22)</t>
  </si>
  <si>
    <t xml:space="preserve">  (−) Non-operating gains (Shredding deconsolidation, investment sales)</t>
  </si>
  <si>
    <t xml:space="preserve">  (−) Equity-method (Shred-it) results, net of tax</t>
  </si>
  <si>
    <t xml:space="preserve">  Total adjusting items</t>
  </si>
  <si>
    <t xml:space="preserve">  = Adjusted EBITDA (model bridge)</t>
  </si>
  <si>
    <t xml:space="preserve">Historical bridge rebuilt from the reported income statement and company-identified items; forecast = EBITDA + UniFirst transaction/integration costs.</t>
  </si>
  <si>
    <t xml:space="preserve">  Adjusted EBITDA margin %</t>
  </si>
  <si>
    <t xml:space="preserve">  Company-published EBITDA (FY2012–14 Debt/EBITDA computation: net income + interest expense + taxes + D&amp;A)</t>
  </si>
  <si>
    <t xml:space="preserve">  Check: model EBITDA (company basis, before interest income) vs company-published (should be 0)</t>
  </si>
  <si>
    <t xml:space="preserve">  Definition basis (company non-GAAP measure published in period)</t>
  </si>
  <si>
    <t xml:space="preserve">Adj. EPS items</t>
  </si>
  <si>
    <t xml:space="preserve">EBITDA (Debt/EBITDA)</t>
  </si>
  <si>
    <t xml:space="preserve">Cintas' core non-GAAP measures are organic growth and free cash flow; adjusted EPS is published only when special items occur (FY2009–11, FY2014–15, FY2017–23, FY2026+).</t>
  </si>
  <si>
    <t xml:space="preserve">To adjusted EBIT:</t>
  </si>
  <si>
    <t xml:space="preserve">  (−) Depreciation &amp; amortization</t>
  </si>
  <si>
    <t xml:space="preserve">  = Adjusted EBIT (model; = adjusted operating income)</t>
  </si>
  <si>
    <t xml:space="preserve">  Adjusted EBIT margin %</t>
  </si>
  <si>
    <t xml:space="preserve">  Memo: Adjusted EBITDA pro forma — UniFirst full year (FY2027E), for leverage &amp; valuation</t>
  </si>
  <si>
    <t xml:space="preserve">FY2027E adds UniFirst pre-closing days at its standalone margin (no synergies) so leverage and valuation are on a full-year basis.</t>
  </si>
  <si>
    <t xml:space="preserve">RECONCILIATION: GAAP INCOME FROM CONTINUING OPERATIONS / DILUTED EPS → ADJUSTED DILUTED EPS (company definition)</t>
  </si>
  <si>
    <t xml:space="preserve">ADJUSTED EPS — company publishes adjusted EPS only when special items occur; FY27 guidance is adjusted diluted EPS excl. UniFirst transaction costs.</t>
  </si>
  <si>
    <t xml:space="preserve">  (+) Adjusting items, pre-tax (as in the Adjusted EBITDA bridge, excl. after-tax equity-method results)</t>
  </si>
  <si>
    <t xml:space="preserve">  Tax rate applied to adjustments</t>
  </si>
  <si>
    <t xml:space="preserve">Historical: period ETR bounded 15–40%. Forecast: 25% (424B3 blended statutory rate; ~70% of transaction costs deductible).</t>
  </si>
  <si>
    <t xml:space="preserve">  (−) Income tax effect of adjusting items</t>
  </si>
  <si>
    <t xml:space="preserve">  (−) Discrete tax items excluded by the company (Tax Act revaluation, Q3/18)</t>
  </si>
  <si>
    <t xml:space="preserve">  (+/−) Other company-defined items &amp; per-share rounding (periods with published adjusted EPS)</t>
  </si>
  <si>
    <t xml:space="preserve">Plug to the published figure where the company published adjusted EPS (e.g., ASU 2016-09 benefit excluded in Q3/17; equity-method tax benefit Q3/22; rounding).</t>
  </si>
  <si>
    <t xml:space="preserve">  = Adjusted income from continuing operations (model)</t>
  </si>
  <si>
    <t xml:space="preserve">Adjusted EPS – diluted ($) (model)</t>
  </si>
  <si>
    <t xml:space="preserve">  Company-published adjusted EPS – diluted ($, split-adjusted)</t>
  </si>
  <si>
    <t xml:space="preserve">  Check: model vs company-published adjusted EPS (should be 0.00)</t>
  </si>
  <si>
    <t xml:space="preserve">  Definition basis (company adjusted EPS, where published)</t>
  </si>
  <si>
    <t xml:space="preserve">EPS excl. restructuring, impairment &amp; inventory valuation ch</t>
  </si>
  <si>
    <t xml:space="preserve">EPS excl. legal settlements &amp; restructuring/impairment charg</t>
  </si>
  <si>
    <t xml:space="preserve">EPS excl. charges (none in FY2011)</t>
  </si>
  <si>
    <t xml:space="preserve">EPS adjusted for the Shred-it Transaction</t>
  </si>
  <si>
    <t xml:space="preserve">EPS cont. ops excl. $0.11 equity-method gain (and $0.04 Shre</t>
  </si>
  <si>
    <t xml:space="preserve">EPS excl. Shred-it impact &amp; discontinued operations</t>
  </si>
  <si>
    <t xml:space="preserve">EPS excl. disc. ops, Shred-it investment income/loss &amp; certa</t>
  </si>
  <si>
    <t xml:space="preserve">EPS cont. ops excl. G&amp;K transaction expenses (comparative)</t>
  </si>
  <si>
    <t xml:space="preserve">EPS cont. ops excl. G&amp;K expenses and ASU 2016-09 benefit</t>
  </si>
  <si>
    <t xml:space="preserve">EPS cont. ops excl. G&amp;K transaction &amp; integration expenses</t>
  </si>
  <si>
    <t xml:space="preserve">EPS cont. ops excl. G&amp;K expenses</t>
  </si>
  <si>
    <t xml:space="preserve">EPS cont. ops excl. G&amp;K, one-time employee payment, Tax Act </t>
  </si>
  <si>
    <t xml:space="preserve">EPS cont. ops excl. G&amp;K integration expenses</t>
  </si>
  <si>
    <t xml:space="preserve">EPS cont. ops excl. G&amp;K &amp; gain on cost-method investment</t>
  </si>
  <si>
    <t xml:space="preserve">EPS cont. ops excl. G&amp;K &amp; gain on sale of investment</t>
  </si>
  <si>
    <t xml:space="preserve">EPS cont. ops excl. G&amp;K integration expenses (nil)</t>
  </si>
  <si>
    <t xml:space="preserve">EPS cont. ops excl. items (nil)</t>
  </si>
  <si>
    <t xml:space="preserve">Diluted EPS excl. gain on sale of operating assets (comparat</t>
  </si>
  <si>
    <t xml:space="preserve">Diluted EPS excl. gain on sale of operating assets</t>
  </si>
  <si>
    <t xml:space="preserve">Diluted EPS excl. items (nil)</t>
  </si>
  <si>
    <t xml:space="preserve">Diluted EPS excl. equity-method investment gain &amp; related ta</t>
  </si>
  <si>
    <t xml:space="preserve">Diluted EPS excl. Q1 operating-asset gain &amp; Q3 equity-method</t>
  </si>
  <si>
    <t xml:space="preserve">Adjusted diluted EPS excl. UniFirst transaction expenses</t>
  </si>
  <si>
    <t xml:space="preserve">  Memo: legacy adjusted EPS ex-UniFirst on guidance basis (FY27E; vs guidance end-point)</t>
  </si>
  <si>
    <t xml:space="preserve">Should equal the guidance end-point for the active scenario (calibration check).</t>
  </si>
  <si>
    <t xml:space="preserve">GROWTH &amp; MARGINS</t>
  </si>
  <si>
    <t xml:space="preserve">GROWTH &amp; MARGINS (consolidated) — forecast outputs</t>
  </si>
  <si>
    <t xml:space="preserve">  Organic revenue growth % (company; forecast = legacy segment growth)</t>
  </si>
  <si>
    <t xml:space="preserve">  UR&amp;FS revenues y/y %</t>
  </si>
  <si>
    <t xml:space="preserve">  Adjusted EBITDA y/y %</t>
  </si>
  <si>
    <t xml:space="preserve">  Operating income y/y %</t>
  </si>
  <si>
    <t xml:space="preserve">  Net income y/y %</t>
  </si>
  <si>
    <t xml:space="preserve">  Adjusted EPS y/y %</t>
  </si>
  <si>
    <t xml:space="preserve">  Incremental adjusted EBITDA margin (Δ EBITDA / Δ revenues, y/y)</t>
  </si>
  <si>
    <t xml:space="preserve">  Adjusted operating margin % (adjusted EBIT)</t>
  </si>
  <si>
    <t xml:space="preserve">  Net margin %</t>
  </si>
  <si>
    <t xml:space="preserve">CONSOLIDATED STATEMENT OF CASH FLOWS</t>
  </si>
  <si>
    <t xml:space="preserve">CASH FLOW — forecast logic (annual; FY2027E = full year incl. Q1/27 actual; historical quarters = discrete, derived from year-to-date statements)</t>
  </si>
  <si>
    <t xml:space="preserve">Adjustments:</t>
  </si>
  <si>
    <t xml:space="preserve">  Depreciation &amp; amortization</t>
  </si>
  <si>
    <t xml:space="preserve">  Stock-based compensation</t>
  </si>
  <si>
    <t xml:space="preserve">  Deferred income taxes</t>
  </si>
  <si>
    <t xml:space="preserve">Forecast: unwind of the deferred tax liability on UniFirst PPA amortization/step-up depreciation and future-M&amp;A intangibles (book &gt; tax).</t>
  </si>
  <si>
    <t xml:space="preserve">  Other non-cash items, net (derived; gains on sales, impairments, Shred-it)</t>
  </si>
  <si>
    <t xml:space="preserve">  Changes in operating assets &amp; liabilities, net (incl. capitalized contract cost additions)</t>
  </si>
  <si>
    <t xml:space="preserve">Linked to the balance sheet: −ΔNWC (ex acquired working capital) − additions to capitalized contract costs (assumed = their amortization; cash-neutral within D&amp;A).</t>
  </si>
  <si>
    <t xml:space="preserve">Net cash provided by operating activities</t>
  </si>
  <si>
    <t xml:space="preserve">Capital expenditures</t>
  </si>
  <si>
    <t xml:space="preserve">Acquisitions of businesses, net of cash acquired</t>
  </si>
  <si>
    <t xml:space="preserve">FY2027E: UniFirst cash consideration $2,825.7m less cash acquired $73.5m (net of $84m seller costs paid at close; 424B3). FY28E+: M&amp;A lever.</t>
  </si>
  <si>
    <t xml:space="preserve">Proceeds from divestitures &amp; sales of assets/investments</t>
  </si>
  <si>
    <t xml:space="preserve">Purchases of investments &amp; other investing, net (derived)</t>
  </si>
  <si>
    <t xml:space="preserve">Net cash used in investing activities</t>
  </si>
  <si>
    <t xml:space="preserve">Proceeds from issuance of debt (incl. commercial paper, net)</t>
  </si>
  <si>
    <t xml:space="preserve">Repayments of debt (incl. commercial paper, net)</t>
  </si>
  <si>
    <t xml:space="preserve">Net issuance / (repayment) = change in total debt per the debt schedule.</t>
  </si>
  <si>
    <t xml:space="preserve">Dividends paid</t>
  </si>
  <si>
    <t xml:space="preserve">Dividends per share × beginning shares outstanding (avoids circularity with buybacks); FY27E + one quarter on the UniFirst consideration shares.</t>
  </si>
  <si>
    <t xml:space="preserve">Repurchases of common stock</t>
  </si>
  <si>
    <t xml:space="preserve">Proceeds from exercise of stock-based compensation awards</t>
  </si>
  <si>
    <t xml:space="preserve">Other financing activities, net (derived; financing fees, shares withheld for taxes)</t>
  </si>
  <si>
    <t xml:space="preserve">Net cash used in financing activities</t>
  </si>
  <si>
    <t xml:space="preserve">Effect of exchange rate changes on cash</t>
  </si>
  <si>
    <t xml:space="preserve">Net increase (decrease) in cash</t>
  </si>
  <si>
    <t xml:space="preserve">Cash — beginning of period</t>
  </si>
  <si>
    <t xml:space="preserve">Cash — end of period</t>
  </si>
  <si>
    <t xml:space="preserve">  Check: beginning cash + change = ending cash (should be 0)</t>
  </si>
  <si>
    <t xml:space="preserve">  Check: balance-sheet cash vs cash-flow ending cash (should be 0)</t>
  </si>
  <si>
    <t xml:space="preserve">(Memo)</t>
  </si>
  <si>
    <t xml:space="preserve">Free cash flow (operating cash flow − capital expenditures; company definition)</t>
  </si>
  <si>
    <t xml:space="preserve">  Company-published free cash flow</t>
  </si>
  <si>
    <t xml:space="preserve">  Check: model vs company-published free cash flow (should be 0)</t>
  </si>
  <si>
    <t xml:space="preserve">  FCF y/y %</t>
  </si>
  <si>
    <t xml:space="preserve">  FCF % of revenues</t>
  </si>
  <si>
    <t xml:space="preserve">  FCF / adjusted income from continuing operations conversion %</t>
  </si>
  <si>
    <t xml:space="preserve">  FCF per diluted share ($)</t>
  </si>
  <si>
    <t xml:space="preserve">Capex ratios</t>
  </si>
  <si>
    <t xml:space="preserve">  Capex % of revenues</t>
  </si>
  <si>
    <t xml:space="preserve">FY2026 3.5%; UniFirst ~6.3% of revenue (FY25 $154m) → FY27E 3.7%, FY28E+ 3.9% input (incl. integration/automation investment).</t>
  </si>
  <si>
    <t xml:space="preserve">  Capex / D&amp;A (x)</t>
  </si>
  <si>
    <t xml:space="preserve">SHARE BUYBACK SCHEDULE</t>
  </si>
  <si>
    <t xml:space="preserve">SHARES — FY2027E includes ~14.07m UniFirst consideration shares at closing (0.7720 per UNF share; 424B3 pro forma count)</t>
  </si>
  <si>
    <t xml:space="preserve">  Avg buyback price ($)</t>
  </si>
  <si>
    <t xml:space="preserve">FY27E = current share price (valuation input); appreciates with the share-price input.</t>
  </si>
  <si>
    <t xml:space="preserve">  Buyback cash deployed (USDm)</t>
  </si>
  <si>
    <t xml:space="preserve">FY27E: Q1/27 actual $315.7m + $229m executed to 22-Sep-2026 (release) and paused thereafter pending the UniFirst close (input). FY28E+: leverage plug (debt schedule).</t>
  </si>
  <si>
    <t xml:space="preserve">  Implied shares repurchased (m)</t>
  </si>
  <si>
    <t xml:space="preserve">  Shares issued under equity plans (m)</t>
  </si>
  <si>
    <t xml:space="preserve">  UniFirst consideration shares issued (m)</t>
  </si>
  <si>
    <t xml:space="preserve">  Beginning shares outstanding (m)</t>
  </si>
  <si>
    <t xml:space="preserve">FY2027E begins from shares outstanding at 31-May-2026 (400.1m; 10-K/release balance sheet).</t>
  </si>
  <si>
    <t xml:space="preserve">  Ending shares outstanding (m)</t>
  </si>
  <si>
    <t xml:space="preserve">  % of shares repurchased</t>
  </si>
  <si>
    <t xml:space="preserve">CONSOLIDATED BALANCE SHEET</t>
  </si>
  <si>
    <t xml:space="preserve">BS FORECAST — FY2027E rolled forward from the 31-May-2026 balance sheet + UniFirst preliminary purchase-price allocation (424B3; Cintas 28-Feb-2026 pro forma basis)</t>
  </si>
  <si>
    <t xml:space="preserve">ASSETS</t>
  </si>
  <si>
    <t xml:space="preserve">  Cash and cash equivalents</t>
  </si>
  <si>
    <t xml:space="preserve">  Marketable securities (to FY2018)</t>
  </si>
  <si>
    <t xml:space="preserve">  Accounts receivable, net</t>
  </si>
  <si>
    <t xml:space="preserve">  Inventories, net</t>
  </si>
  <si>
    <t xml:space="preserve">  Uniforms and other rental items in service</t>
  </si>
  <si>
    <t xml:space="preserve">Cintas-specific working-capital asset: garments in service are capitalised and amortised into cost of rental (~18 months).</t>
  </si>
  <si>
    <t xml:space="preserve">  Prepaid &amp; other current assets (incl. income taxes receivable, current deferred taxes, held for sale)</t>
  </si>
  <si>
    <t xml:space="preserve">Total current assets</t>
  </si>
  <si>
    <t xml:space="preserve">  Property and equipment, net</t>
  </si>
  <si>
    <t xml:space="preserve">Roll-forward: prior + capex − depreciation (+ UniFirst PP&amp;E at fair value in FY2027E).</t>
  </si>
  <si>
    <t xml:space="preserve">  Investments (long-term)</t>
  </si>
  <si>
    <t xml:space="preserve">  Goodwill</t>
  </si>
  <si>
    <t xml:space="preserve">FY2027E: + UniFirst preliminary goodwill $2,854.3m (424B3). FY28E+: + M&amp;A spend × goodwill %.</t>
  </si>
  <si>
    <t xml:space="preserve">  Service contracts &amp; other intangibles, net</t>
  </si>
  <si>
    <t xml:space="preserve">+ UniFirst customer relationships $1,241m (15y) &amp; trade names $50m (3y) − amortization (legacy + PPA + M&amp;A).</t>
  </si>
  <si>
    <t xml:space="preserve">  Operating lease right-of-use assets (FY2020+)</t>
  </si>
  <si>
    <t xml:space="preserve">  Other assets, net (incl. capitalized contract costs, long-term held for sale)</t>
  </si>
  <si>
    <t xml:space="preserve">TOTAL ASSETS</t>
  </si>
  <si>
    <t xml:space="preserve">LIABILITIES AND EQUITY</t>
  </si>
  <si>
    <t xml:space="preserve">  Accounts payable</t>
  </si>
  <si>
    <t xml:space="preserve">  Accrued compensation &amp; related liabilities</t>
  </si>
  <si>
    <t xml:space="preserve">  Accrued liabilities (current)</t>
  </si>
  <si>
    <t xml:space="preserve">  Income taxes current, current deferred taxes &amp; liabilities held for sale</t>
  </si>
  <si>
    <t xml:space="preserve">  Operating lease liabilities, current</t>
  </si>
  <si>
    <t xml:space="preserve">  Debt due within one year</t>
  </si>
  <si>
    <t xml:space="preserve">Forecast: next fiscal year's scheduled note maturities.</t>
  </si>
  <si>
    <t xml:space="preserve">Total current liabilities</t>
  </si>
  <si>
    <t xml:space="preserve">  Debt due after one year</t>
  </si>
  <si>
    <t xml:space="preserve">  Operating lease liabilities (long-term)</t>
  </si>
  <si>
    <t xml:space="preserve">  Accrued liabilities (long-term)</t>
  </si>
  <si>
    <t xml:space="preserve">Total liabilities</t>
  </si>
  <si>
    <t xml:space="preserve">Shareholders' equity:</t>
  </si>
  <si>
    <t xml:space="preserve">  Common stock &amp; paid-in capital</t>
  </si>
  <si>
    <t xml:space="preserve">+ stock-based compensation + option proceeds; FY2027E + UniFirst share consideration ($2,526.0m at the 424B3 price of $179.17).</t>
  </si>
  <si>
    <t xml:space="preserve">  Retained earnings</t>
  </si>
  <si>
    <t xml:space="preserve">  Treasury stock</t>
  </si>
  <si>
    <t xml:space="preserve">Cintas holds repurchased shares in treasury (cost).</t>
  </si>
  <si>
    <t xml:space="preserve">  Accumulated other comprehensive income (loss)</t>
  </si>
  <si>
    <t xml:space="preserve">Total shareholders' equity</t>
  </si>
  <si>
    <t xml:space="preserve">TOTAL LIABILITIES AND EQUITY</t>
  </si>
  <si>
    <t xml:space="preserve">BS tie-out check (TA − TL&amp;E)</t>
  </si>
  <si>
    <t xml:space="preserve">  Check: model total assets vs reported (should be 0)</t>
  </si>
  <si>
    <t xml:space="preserve">  Memo: total assets as reported</t>
  </si>
  <si>
    <t xml:space="preserve">  Memo: common shares outstanding at period end (m; split-adjusted)</t>
  </si>
  <si>
    <t xml:space="preserve">WORKING CAPITAL &amp; CASH CONVERSION</t>
  </si>
  <si>
    <t xml:space="preserve">WORKING CAPITAL — forecast drivers (blue = input)</t>
  </si>
  <si>
    <t xml:space="preserve">  Revenues — pro forma full-year basis (FY2027E incl. UniFirst pre-closing)</t>
  </si>
  <si>
    <t xml:space="preserve">FY2027E adds UniFirst sales for the pre-closing days so year-end working capital is sized on a full-year combined basis.</t>
  </si>
  <si>
    <t xml:space="preserve">  UR&amp;FS-line revenues — pro forma basis</t>
  </si>
  <si>
    <t xml:space="preserve">  Cost of sales — pro forma basis</t>
  </si>
  <si>
    <t xml:space="preserve">  DSO — receivables / revenues × 365</t>
  </si>
  <si>
    <t xml:space="preserve">  Inventory days — inventories / cost of sales × 365</t>
  </si>
  <si>
    <t xml:space="preserve">  Uniforms &amp; rental items in service % of UR&amp;FS-line revenues</t>
  </si>
  <si>
    <t xml:space="preserve">  Prepaid &amp; other current assets % of revenues</t>
  </si>
  <si>
    <t xml:space="preserve">  Payable days — payables / cost of sales × 365</t>
  </si>
  <si>
    <t xml:space="preserve">  Accrued compensation % of revenues</t>
  </si>
  <si>
    <t xml:space="preserve">  Accrued liabilities (current) % of revenues</t>
  </si>
  <si>
    <t xml:space="preserve">Forecast inputs set at FY2026 levels (annual columns; quarterly ratios distorted by annualisation).</t>
  </si>
  <si>
    <t xml:space="preserve">  Operating NWC (receivables + inventories + garments in service + other CA − payables − accrued − other CL)</t>
  </si>
  <si>
    <t xml:space="preserve">  NWC % of revenues</t>
  </si>
  <si>
    <t xml:space="preserve">  ΔNWC (y/y, excl. working capital acquired with UniFirst)</t>
  </si>
  <si>
    <t xml:space="preserve">BALANCE SHEET FORECAST SCHEDULES</t>
  </si>
  <si>
    <t xml:space="preserve">BS FORECAST SCHEDULES — explicit driver assumptions</t>
  </si>
  <si>
    <t xml:space="preserve">UniFirst acquisition — consideration &amp; preliminary purchase-price allocation (424B3 filed 11-May-2026, unaudited pro forma; Cintas price $179.17)</t>
  </si>
  <si>
    <t xml:space="preserve">  Cash consideration ($155.00 × 18.227m UNF shares &amp; vested awards)</t>
  </si>
  <si>
    <t xml:space="preserve">Paid at closing; funded with $2.8bn acquisition debt + balance-sheet cash.</t>
  </si>
  <si>
    <t xml:space="preserve">  Share consideration (14.071m CTAS shares × $179.17 + $4.9m awards)</t>
  </si>
  <si>
    <t xml:space="preserve">424B3 pro forma basis (Cintas price 17-Apr-2026); final value set at closing.</t>
  </si>
  <si>
    <t xml:space="preserve">  Cash acquired (net of $84.0m UniFirst seller costs paid at closing)</t>
  </si>
  <si>
    <t xml:space="preserve">  Receivables, inventories, garments in service &amp; prepaid acquired</t>
  </si>
  <si>
    <t xml:space="preserve">No step-up on inventories or rental garments (424B3).</t>
  </si>
  <si>
    <t xml:space="preserve">  Property &amp; equipment (buildings &amp; land at fair value)</t>
  </si>
  <si>
    <t xml:space="preserve">Net step-up $263.1m (buildings $558.7m / 20y; land $199.5m).</t>
  </si>
  <si>
    <t xml:space="preserve">  Identifiable intangibles (customer relationships $1,241m; trade names $50m)</t>
  </si>
  <si>
    <t xml:space="preserve">  Operating lease ROU assets</t>
  </si>
  <si>
    <t xml:space="preserve">  Other assets (ex trade names)</t>
  </si>
  <si>
    <t xml:space="preserve">Preliminary; historical UNF goodwill $670m eliminated.</t>
  </si>
  <si>
    <t xml:space="preserve">  Payables, accrued compensation &amp; accrued liabilities assumed</t>
  </si>
  <si>
    <t xml:space="preserve">Incl. $283.8m DTL on purchase-price adjustments at 25%.</t>
  </si>
  <si>
    <t xml:space="preserve">  Operating lease liabilities, long-term</t>
  </si>
  <si>
    <t xml:space="preserve">  Accrued liabilities, long-term (incl. environmental policy alignment)</t>
  </si>
  <si>
    <t xml:space="preserve">  Memo: net working capital acquired</t>
  </si>
  <si>
    <t xml:space="preserve">Excluded from forecast ΔNWC in FY2027E.</t>
  </si>
  <si>
    <t xml:space="preserve">  Check: assets acquired − liabilities assumed + goodwill − consideration (should be 0)</t>
  </si>
  <si>
    <t xml:space="preserve">Asset roll-forwards: D&amp;A split (BS integrity)</t>
  </si>
  <si>
    <t xml:space="preserve">  Depreciation (PP&amp;E)</t>
  </si>
  <si>
    <t xml:space="preserve">Legacy depreciation = 62% of legacy D&amp;A (FY2026: depreciation $318.6m of $512.8m); + UniFirst standalone D&amp;A &amp; step-up; + M&amp;A.</t>
  </si>
  <si>
    <t xml:space="preserve">  Amortization of legacy acquired intangibles (service contracts)</t>
  </si>
  <si>
    <t xml:space="preserve">FY2026 10-K intangible amortization schedule; declines as acquired customer lists roll off (−10% p.a.).</t>
  </si>
  <si>
    <t xml:space="preserve">  Amortization of intangibles — total (legacy + UniFirst PPA + M&amp;A)</t>
  </si>
  <si>
    <t xml:space="preserve">  Amortization of capitalized contract costs (= additions; cash-neutral)</t>
  </si>
  <si>
    <t xml:space="preserve">Residual of total D&amp;A (ASC 340-40 commissions; additions assumed equal to amortization → other assets flat).</t>
  </si>
  <si>
    <t xml:space="preserve">Debt schedule (scheduled note maturities + UniFirst acquisition debt + commercial paper / revolver to a minimum cash balance)</t>
  </si>
  <si>
    <t xml:space="preserve">  Total debt (current + long-term)</t>
  </si>
  <si>
    <t xml:space="preserve">31-May-2026: $2,436.6m face — 3.70% $1,000m due FY2027, 4.20% $400m due 1-May-2028, 4.00% $800m due FY2032, 6.15% $236.6m due FY2037; no CP or revolver drawings (FY2026 10-K).</t>
  </si>
  <si>
    <t xml:space="preserve">  Scheduled note maturities (input, negative)</t>
  </si>
  <si>
    <t xml:space="preserve">  Next year's maturities (for current portion)</t>
  </si>
  <si>
    <t xml:space="preserve">  % of scheduled maturities refinanced (input)</t>
  </si>
  <si>
    <t xml:space="preserve">  Refinancing issuance</t>
  </si>
  <si>
    <t xml:space="preserve">  UniFirst acquisition debt issued (permanent financing)</t>
  </si>
  <si>
    <t xml:space="preserve">$2.8bn permanent financing assumed in the 424B3 pro forma (5.0% rate; $19.5m issuance costs); $2.85bn bridge committed (now $1.6bn after the new $2.0bn revolver). No notes issued yet per EDGAR.</t>
  </si>
  <si>
    <t xml:space="preserve">  Senior notes &amp; term debt outstanding (year end)</t>
  </si>
  <si>
    <t xml:space="preserve">  Cash before CP / revolver (opening cash + CFO + CFI + dividends + buybacks + notes flows − opening CP)</t>
  </si>
  <si>
    <t xml:space="preserve">  Minimum cash balance</t>
  </si>
  <si>
    <t xml:space="preserve">  Commercial paper / revolver outstanding (year end)</t>
  </si>
  <si>
    <t xml:space="preserve">Drawn/repaid so that cash = minimum balance; surplus cash accumulates (and funds the leverage-targeted buyback).</t>
  </si>
  <si>
    <t xml:space="preserve">  Net CP / revolver issuance / (repayment)</t>
  </si>
  <si>
    <t xml:space="preserve">  Interest rate on senior notes &amp; term debt (opening balance) %</t>
  </si>
  <si>
    <t xml:space="preserve">FY2028E: ~$2.6bn legacy notes at ~4.4% (refinanced 2027s at ~4.75%) + $2.8bn acquisition debt at 5.0% → ~4.8% blended.</t>
  </si>
  <si>
    <t xml:space="preserve">  Interest rate on CP / revolver %</t>
  </si>
  <si>
    <t xml:space="preserve">  Interest income yield on opening cash %</t>
  </si>
  <si>
    <t xml:space="preserve">  Interest expense (FY28E+)</t>
  </si>
  <si>
    <t xml:space="preserve">  Interest income (FY28E+)</t>
  </si>
  <si>
    <t xml:space="preserve">Leverage-targeted buybacks (repurchases plug to a target net debt / Adjusted EBITDA)</t>
  </si>
  <si>
    <t xml:space="preserve">  Target net debt / Adjusted EBITDA (x) (scenario)</t>
  </si>
  <si>
    <t xml:space="preserve">Cintas historically ~1.0–1.5x; 1.5x net leverage at the UniFirst close (deal 8-K). Buybacks resume once leverage falls to the target.</t>
  </si>
  <si>
    <t xml:space="preserve">  Net debt before buybacks (year end)</t>
  </si>
  <si>
    <t xml:space="preserve">  Target net debt = target leverage × Adjusted EBITDA</t>
  </si>
  <si>
    <t xml:space="preserve">  Share repurchases: plug to target leverage</t>
  </si>
  <si>
    <t xml:space="preserve">Feeds the cash-flow repurchase line; zero while leverage is above target.</t>
  </si>
  <si>
    <t xml:space="preserve">Other inputs</t>
  </si>
  <si>
    <t xml:space="preserve">  Share price ($) — current (valuation input)</t>
  </si>
  <si>
    <t xml:space="preserve">RATIO ANALYSIS</t>
  </si>
  <si>
    <t xml:space="preserve">RETURNS — annual columns (NOPAT on adjusted EBIT)</t>
  </si>
  <si>
    <t xml:space="preserve">DuPont decomposition of ROIC</t>
  </si>
  <si>
    <t xml:space="preserve">Adjusted EBIT (Adjusted EBITDA − D&amp;A)</t>
  </si>
  <si>
    <t xml:space="preserve">Effective tax rate (actual)</t>
  </si>
  <si>
    <t xml:space="preserve">NOPAT = Adjusted EBIT × (1 − tax rate)</t>
  </si>
  <si>
    <t xml:space="preserve">Invested capital (IC) = Equity + Net debt</t>
  </si>
  <si>
    <t xml:space="preserve">  Total equity</t>
  </si>
  <si>
    <t xml:space="preserve">  Net debt = Total debt − cash &amp; marketable securities</t>
  </si>
  <si>
    <t xml:space="preserve">ROIC = NOPAT / IC</t>
  </si>
  <si>
    <t xml:space="preserve">  Margin = Adjusted EBIT / Revenues</t>
  </si>
  <si>
    <t xml:space="preserve">  Capital turnover = Revenues / IC</t>
  </si>
  <si>
    <t xml:space="preserve">  Tax burden = (1 − effective tax rate)</t>
  </si>
  <si>
    <t xml:space="preserve">  Check: Margin × Turnover × Tax burden = ROIC</t>
  </si>
  <si>
    <t xml:space="preserve">RONTA decomposition</t>
  </si>
  <si>
    <t xml:space="preserve">  Total assets</t>
  </si>
  <si>
    <t xml:space="preserve">  − Goodwill &amp; acquired intangible assets</t>
  </si>
  <si>
    <t xml:space="preserve">  − Non-interest-bearing current liabilities (total CL excl. debt)</t>
  </si>
  <si>
    <t xml:space="preserve">  = Net tangible assets</t>
  </si>
  <si>
    <t xml:space="preserve">RONTA = NOPAT / NTA</t>
  </si>
  <si>
    <t xml:space="preserve">Return on Equity (ROE)</t>
  </si>
  <si>
    <t xml:space="preserve">Shareholders' equity</t>
  </si>
  <si>
    <t xml:space="preserve">ROE = Net income / Equity</t>
  </si>
  <si>
    <t xml:space="preserve">Leverage</t>
  </si>
  <si>
    <t xml:space="preserve">Net debt = Total debt − cash</t>
  </si>
  <si>
    <t xml:space="preserve">Adjusted EBITDA (FY2027E pro forma for UniFirst full year)</t>
  </si>
  <si>
    <t xml:space="preserve">Net debt / Adjusted EBITDA (x)</t>
  </si>
  <si>
    <t xml:space="preserve">VALUATION</t>
  </si>
  <si>
    <t xml:space="preserve">VALUATION — share price input $198.95 (latest observable on EDGAR: Form 4 phantom-stock credit price 15-Sep-2026); overwrite with a live quote</t>
  </si>
  <si>
    <t xml:space="preserve">Share price ($) — current</t>
  </si>
  <si>
    <t xml:space="preserve">Diluted shares at period end (m)</t>
  </si>
  <si>
    <t xml:space="preserve">Market capitalisation (USDm)</t>
  </si>
  <si>
    <t xml:space="preserve">Net debt (USDm)</t>
  </si>
  <si>
    <t xml:space="preserve">Enterprise value (USDm)</t>
  </si>
  <si>
    <t xml:space="preserve">Multiples</t>
  </si>
  <si>
    <t xml:space="preserve">  EV / Revenues (FY2027E pro forma)</t>
  </si>
  <si>
    <t xml:space="preserve">  EV / Adjusted EBITDA (FY2027E pro forma)</t>
  </si>
  <si>
    <t xml:space="preserve">  EV / Adjusted EBIT</t>
  </si>
  <si>
    <t xml:space="preserve">  EV / IC</t>
  </si>
  <si>
    <t xml:space="preserve">  P / E (GAAP diluted, continuing ops)</t>
  </si>
  <si>
    <t xml:space="preserve">  P / E (adjusted EPS)</t>
  </si>
  <si>
    <t xml:space="preserve">  FCF yield</t>
  </si>
  <si>
    <t xml:space="preserve">  Dividend yield</t>
  </si>
  <si>
    <t xml:space="preserve">Cintas Corporation (CTAS) — Bull / Base / Bear Case P&amp;L Summary</t>
  </si>
  <si>
    <t xml:space="preserve">Share price ($):</t>
  </si>
  <si>
    <t xml:space="preserve">Adjusted figures (company definition: adjusted diluted EPS excl. acquisition transaction &amp; integration costs; model Adjusted EBITDA) · USD millions · Fiscal years end 31-May · Live panel linked to Model — toggle scenario via Model!CK2. Bull and Bear panels are value snapshots generated from the Model with the switch set to each case. UniFirst consolidated from an assumed 31-Dec-2026 close (toggle in the Model scenario table).</t>
  </si>
  <si>
    <t xml:space="preserve">As of:</t>
  </si>
  <si>
    <t xml:space="preserve">Scenario:</t>
  </si>
  <si>
    <t xml:space="preserve">Snapshot (values) — Model run with switch = Bull</t>
  </si>
  <si>
    <t xml:space="preserve">Snapshot (values) — Model run with switch = Bear</t>
  </si>
  <si>
    <t xml:space="preserve">(USDm, except EPS and shares)</t>
  </si>
  <si>
    <t xml:space="preserve">FY2026A</t>
  </si>
  <si>
    <t xml:space="preserve">26-'31 CAGR</t>
  </si>
  <si>
    <t xml:space="preserve">LT Hist Avg</t>
  </si>
  <si>
    <t xml:space="preserve">LT Hist Min</t>
  </si>
  <si>
    <t xml:space="preserve">LT Hist Max</t>
  </si>
  <si>
    <t xml:space="preserve">Revenues</t>
  </si>
  <si>
    <t xml:space="preserve">   Revenues y/y %</t>
  </si>
  <si>
    <t xml:space="preserve">   Organic revenue growth % (legacy Cintas; FY2027E ex-workday)</t>
  </si>
  <si>
    <t xml:space="preserve">   Aggregates shipments y/y %</t>
  </si>
  <si>
    <t xml:space="preserve">Adjusted EBITDA (model; excl. transaction &amp; integration costs)</t>
  </si>
  <si>
    <t xml:space="preserve">Adjusted EBITDA (continuing operations)</t>
  </si>
  <si>
    <t xml:space="preserve">   Adjusted EBITDA margin %</t>
  </si>
  <si>
    <t xml:space="preserve">Operating Income (GAAP)</t>
  </si>
  <si>
    <t xml:space="preserve">Earnings from Operations (GAAP)</t>
  </si>
  <si>
    <t xml:space="preserve">   Operating income y/y %</t>
  </si>
  <si>
    <t xml:space="preserve">   Earnings from operations y/y %</t>
  </si>
  <si>
    <t xml:space="preserve">   Operating margin (GAAP) %</t>
  </si>
  <si>
    <t xml:space="preserve">Adjusted Income from Continuing Operations (company definition)</t>
  </si>
  <si>
    <t xml:space="preserve">Adjusted Net Earnings (continuing ops, attributable to MLM)</t>
  </si>
  <si>
    <t xml:space="preserve">FDSO (m)</t>
  </si>
  <si>
    <t xml:space="preserve">Adjusted EPS — Diluted ($)</t>
  </si>
  <si>
    <t xml:space="preserve">   EPS y/y %</t>
  </si>
  <si>
    <t xml:space="preserve">P / E (x) — assumed (adjusted EPS; CTAS 5-yr range ~30–50x)</t>
  </si>
  <si>
    <t xml:space="preserve">P / E (x) — assumed (adjusted EPS)</t>
  </si>
  <si>
    <t xml:space="preserve">Price Target ($)</t>
  </si>
  <si>
    <t xml:space="preserve">   Upside / (Downside) vs current</t>
  </si>
  <si>
    <t xml:space="preserve">IRR (to May-Y-1)</t>
  </si>
  <si>
    <t xml:space="preserve">IRR (to Dec-Y-1)</t>
  </si>
  <si>
    <t xml:space="preserve">Free Cash Flow</t>
  </si>
  <si>
    <t xml:space="preserve">   FCF %</t>
  </si>
  <si>
    <t xml:space="preserve">   FCF / share ($)</t>
  </si>
  <si>
    <t xml:space="preserve">   FCF Yield (on PT)</t>
  </si>
  <si>
    <t xml:space="preserve">Adjusted EBITDA — pro forma (FY2027E incl. UniFirst full year)</t>
  </si>
  <si>
    <t xml:space="preserve">Adjusted EBITDA — pro forma (2026E incl. LNA full year)</t>
  </si>
  <si>
    <t xml:space="preserve">   Adjusted EBITDA (pro forma) % of revenues</t>
  </si>
  <si>
    <t xml:space="preserve">Net Debt</t>
  </si>
  <si>
    <t xml:space="preserve">   Net Debt / Adjusted EBITDA (x)</t>
  </si>
  <si>
    <t xml:space="preserve">   Share repurchases ($m)</t>
  </si>
  <si>
    <t xml:space="preserve">   Implied avg buyback price ($)</t>
  </si>
  <si>
    <t xml:space="preserve">   Shares repurchased (m)</t>
  </si>
  <si>
    <t xml:space="preserve">ROIC</t>
  </si>
  <si>
    <t xml:space="preserve">RONTA</t>
  </si>
  <si>
    <t xml:space="preserve">Implied Market Cap (USDm)</t>
  </si>
  <si>
    <t xml:space="preserve">(+) Net Debt</t>
  </si>
  <si>
    <t xml:space="preserve">(+) Net Debt &amp; NCI</t>
  </si>
  <si>
    <t xml:space="preserve">Implied Enterprise Value (USDm)</t>
  </si>
  <si>
    <t xml:space="preserve">Implied EV / Adjusted EBITDA (x)</t>
  </si>
  <si>
    <t xml:space="preserve">DCF VALUATION — CINTAS CORPORATION (CTAS)</t>
  </si>
  <si>
    <t xml:space="preserve">1. WACC BUILD</t>
  </si>
  <si>
    <t xml:space="preserve">Risk-free rate (US 10Y govt)</t>
  </si>
  <si>
    <t xml:space="preserve">Assumption (~US 10Y Treasury yield); update to market</t>
  </si>
  <si>
    <t xml:space="preserve">Equity risk premium</t>
  </si>
  <si>
    <t xml:space="preserve">US implied ERP ~4.5–5.5% (Damodaran)</t>
  </si>
  <si>
    <t xml:space="preserve">Levered beta</t>
  </si>
  <si>
    <t xml:space="preserve">Business-services / uniform peers (UniFirst, Aramark, Vestis, Rollins, ABM) ~0.8–1.1; recurring route-based revenue and &gt;90% retention dampen cyclicality</t>
  </si>
  <si>
    <t xml:space="preserve">Cost of equity</t>
  </si>
  <si>
    <t xml:space="preserve">Pre-tax cost of debt</t>
  </si>
  <si>
    <t xml:space="preserve">A3/A- rated; UniFirst acquisition debt assumed at 5.0% (424B3); 4.0% 2032 and 6.15% 2036 notes outstanding</t>
  </si>
  <si>
    <t xml:space="preserve">Tax rate</t>
  </si>
  <si>
    <t xml:space="preserve">Model FY2028E+ effective tax rate</t>
  </si>
  <si>
    <t xml:space="preserve">After-tax cost of debt</t>
  </si>
  <si>
    <t xml:space="preserve">Target D/V</t>
  </si>
  <si>
    <t xml:space="preserve">Net debt ~$4.3bn at FY2027E YE (post-UniFirst) vs ~$82bn market cap ($198.95 × ~413m shares) — ~5% D/V; 6% target</t>
  </si>
  <si>
    <t xml:space="preserve">WACC</t>
  </si>
  <si>
    <t xml:space="preserve">Valuation date (live)</t>
  </si>
  <si>
    <t xml:space="preserve">Periods = (31-May-FY − today) / 365.25; cash flows assumed at fiscal year-end</t>
  </si>
  <si>
    <t xml:space="preserve">2. UNLEVERED FREE CASH FLOW BUILD (USDm)</t>
  </si>
  <si>
    <t xml:space="preserve">FY2032E</t>
  </si>
  <si>
    <t xml:space="preserve">FY2033E</t>
  </si>
  <si>
    <t xml:space="preserve">FY2034E</t>
  </si>
  <si>
    <t xml:space="preserve">FY2035E</t>
  </si>
  <si>
    <t xml:space="preserve">FY2036E</t>
  </si>
  <si>
    <t xml:space="preserve">Terminal</t>
  </si>
  <si>
    <t xml:space="preserve">CAGR 27–31E</t>
  </si>
  <si>
    <t xml:space="preserve">CAGR 27–36E</t>
  </si>
  <si>
    <t xml:space="preserve">Adj. EBIT less transaction &amp; integration costs</t>
  </si>
  <si>
    <t xml:space="preserve">× (1 − tax rate)</t>
  </si>
  <si>
    <t xml:space="preserve">NOPAT</t>
  </si>
  <si>
    <t xml:space="preserve">plus D&amp;A (incl. UniFirst purchase accounting)</t>
  </si>
  <si>
    <t xml:space="preserve">− Capex and bolt-on acquisitions (M&amp;A FY2028E–31E)</t>
  </si>
  <si>
    <t xml:space="preserve">− Δ Working capital (CF statement)</t>
  </si>
  <si>
    <t xml:space="preserve">Unlevered FCF</t>
  </si>
  <si>
    <t xml:space="preserve">Terminal Value (Gordon Growth)</t>
  </si>
  <si>
    <t xml:space="preserve">Fade-period growth (FY2032E–36E; 7% → 5% linear)</t>
  </si>
  <si>
    <t xml:space="preserve">Terminal growth rate</t>
  </si>
  <si>
    <t xml:space="preserve">Discount period (years)</t>
  </si>
  <si>
    <t xml:space="preserve">Discount factor</t>
  </si>
  <si>
    <t xml:space="preserve">PV of UFCF</t>
  </si>
  <si>
    <t xml:space="preserve">Cintas' adjusted EBIT expenses stock-based compensation and deducts all D&amp;A incl. ~$98m p.a. of UniFirst PPA amortization; transaction &amp; integration costs deducted as cash costs. UniFirst consideration is captured through FY2027E net debt and the 14.07m shares issued.</t>
  </si>
  <si>
    <t xml:space="preserve">IMPLIED ROIC — invested capital roll-forward (USDm)</t>
  </si>
  <si>
    <t xml:space="preserve">Opening invested capital</t>
  </si>
  <si>
    <t xml:space="preserve">plus Capex and acquisitions</t>
  </si>
  <si>
    <t xml:space="preserve">less DD&amp;A</t>
  </si>
  <si>
    <t xml:space="preserve">plus Δ Working capital investment</t>
  </si>
  <si>
    <t xml:space="preserve">Closing invested capital</t>
  </si>
  <si>
    <t xml:space="preserve">NOPAT (row 20)</t>
  </si>
  <si>
    <t xml:space="preserve">Implied ROIC (NOPAT / avg. invested capital)</t>
  </si>
  <si>
    <t xml:space="preserve">Reinvestment rate (net investment / NOPAT)</t>
  </si>
  <si>
    <t xml:space="preserve">Implied terminal RONIC (g / reinvestment rate)</t>
  </si>
  <si>
    <t xml:space="preserve">Opening IC = Model FY2026A book IC (equity + net debt) + UniFirst total consideration ($5.35bn cash &amp; shares), rolled forward with capex + M&amp;A − D&amp;A + ΔNWC.</t>
  </si>
  <si>
    <t xml:space="preserve">3. VALUATION SUMMARY</t>
  </si>
  <si>
    <t xml:space="preserve">Sum of PV (explicit + fade)</t>
  </si>
  <si>
    <t xml:space="preserve">PV of Terminal Value</t>
  </si>
  <si>
    <t xml:space="preserve">Enterprise Value</t>
  </si>
  <si>
    <t xml:space="preserve">Less: Net debt (Model FY2027E YE, post-UniFirst)</t>
  </si>
  <si>
    <t xml:space="preserve">FY2027E year-end net debt includes the UniFirst cash consideration and $2.8bn acquisition debt; no non-controlling interests.</t>
  </si>
  <si>
    <t xml:space="preserve">Equity Value</t>
  </si>
  <si>
    <t xml:space="preserve">Diluted shares (m, Model FY2027E incl. UniFirst shares)</t>
  </si>
  <si>
    <t xml:space="preserve">Implied share price ($)</t>
  </si>
  <si>
    <t xml:space="preserve">Current share price ($)</t>
  </si>
  <si>
    <t xml:space="preserve">Implied upside / (downside)</t>
  </si>
  <si>
    <t xml:space="preserve">Required discount to DCF value for target IRR</t>
  </si>
  <si>
    <t xml:space="preserve">vs. current</t>
  </si>
  <si>
    <t xml:space="preserve">Target IRR</t>
  </si>
  <si>
    <t xml:space="preserve">Max entry price for target IRR ($)</t>
  </si>
  <si>
    <t xml:space="preserve">Years for discount to close</t>
  </si>
  <si>
    <t xml:space="preserve">4. SENSITIVITY: IMPLIED PRICE ($) — WACC × Terminal Growth</t>
  </si>
  <si>
    <t xml:space="preserve">WACC →</t>
  </si>
  <si>
    <t xml:space="preserve">Terminal growth ↓</t>
  </si>
  <si>
    <t xml:space="preserve">5. REVERSE DCF</t>
  </si>
  <si>
    <t xml:space="preserve">To solve for the market-implied path: Data ▸ What-If Analysis ▸ Goal Seek — set C51 to the current price (C52) by changing C27 (terminal growth) or the fade-period growth inputs (I26:M26).</t>
  </si>
  <si>
    <t xml:space="preserve">6. MAUBOUSSIN EV / NOPAT — TWO-STAGE FRAMEWORK</t>
  </si>
  <si>
    <t xml:space="preserve">EV/NOPAT  =  1/r  +  [g × (1 − r/ROIIC) / (r × (r − g))] × [1 − ((1+g)/(1+r))^N]</t>
  </si>
  <si>
    <t xml:space="preserve">Formula source: Mauboussin &amp; Rappaport, "Expectations Investing" (2021); Counterpoint Global, "What Does a Price-Earnings Multiple Mean?" (2020).</t>
  </si>
  <si>
    <t xml:space="preserve">Input</t>
  </si>
  <si>
    <t xml:space="preserve">Value</t>
  </si>
  <si>
    <t xml:space="preserve">Rationale (Cintas characteristics)</t>
  </si>
  <si>
    <t xml:space="preserve">r  (Cost of capital / WACC)</t>
  </si>
  <si>
    <t xml:space="preserve">Linked from Section 1 WACC build</t>
  </si>
  <si>
    <t xml:space="preserve">g  (NOPAT growth, Stage 1)</t>
  </si>
  <si>
    <t xml:space="preserve">Model adjusted EBIT CAGR FY2027–31E: high-single-digit organic growth, margin expansion and UniFirst synergies → ~10% NOPAT growth</t>
  </si>
  <si>
    <t xml:space="preserve">ROIIC  (Return on incremental invested capital)</t>
  </si>
  <si>
    <t xml:space="preserve">Route density and garment reuse earn ~25–30% ROIC on organic investment (FY2026 ROIC ~29%); acquired growth earns less (goodwill)</t>
  </si>
  <si>
    <t xml:space="preserve">N  (Years of value creation / CAP)</t>
  </si>
  <si>
    <t xml:space="preserve">Largest North American route network (~1.5m customers combined), high retention, cross-sell runway (first aid, fire, hygiene); regulatory moats in fire inspection</t>
  </si>
  <si>
    <t xml:space="preserve">Calculation</t>
  </si>
  <si>
    <t xml:space="preserve">Steady-state component:  1 / r</t>
  </si>
  <si>
    <t xml:space="preserve">Value-creation factor: 1 − r / ROIIC</t>
  </si>
  <si>
    <t xml:space="preserve">Growth multiplier: g × (1 − r/ROIIC) / (r × (r − g))</t>
  </si>
  <si>
    <t xml:space="preserve">Time decay: 1 − ((1+g)/(1+r))^N</t>
  </si>
  <si>
    <t xml:space="preserve">PVGO component (growth value)</t>
  </si>
  <si>
    <t xml:space="preserve">Mauboussin EV / NOPAT (steady-state + PVGO)</t>
  </si>
  <si>
    <t xml:space="preserve">VALUATION  —  Applied to FY2029E NOPAT</t>
  </si>
  <si>
    <t xml:space="preserve">USDm</t>
  </si>
  <si>
    <t xml:space="preserve">FY2029E Adj. EBIT less transaction &amp; integration costs</t>
  </si>
  <si>
    <t xml:space="preserve">Tax rate (from WACC build)</t>
  </si>
  <si>
    <t xml:space="preserve">FY2029E NOPAT</t>
  </si>
  <si>
    <t xml:space="preserve">× Mauboussin EV/NOPAT multiple</t>
  </si>
  <si>
    <t xml:space="preserve">Implied Enterprise Value (FY2029E basis)</t>
  </si>
  <si>
    <t xml:space="preserve">Less: FY2028E YE net debt (Model)</t>
  </si>
  <si>
    <t xml:space="preserve">Implied Equity Value</t>
  </si>
  <si>
    <t xml:space="preserve">Diluted shares FY2029E (m, Model)</t>
  </si>
  <si>
    <t xml:space="preserve">Implied share price FY2029 ($)</t>
  </si>
  <si>
    <t xml:space="preserve">MARKET-IMPLIED EV/NOPAT TODAY</t>
  </si>
  <si>
    <t xml:space="preserve">Current market cap (spot × diluted shares)</t>
  </si>
  <si>
    <t xml:space="preserve">Plus: FY2027E YE net debt</t>
  </si>
  <si>
    <t xml:space="preserve">Implied Enterprise Value (today)</t>
  </si>
  <si>
    <t xml:space="preserve">CTAS market-implied EV/NOPAT (on FY2029E NOPAT)</t>
  </si>
  <si>
    <t xml:space="preserve">Multiple gap (Mauboussin − Market)</t>
  </si>
  <si>
    <t xml:space="preserve">Implied re-rating headroom</t>
  </si>
  <si>
    <t xml:space="preserve">Cintas Corporation — Historical Operating Performance (FY2006–FY2026)</t>
  </si>
  <si>
    <t xml:space="preserve">All historicals · USDm · fiscal years ending 31-May · Linked to Model. Organic growth = company-published organic revenue growth (FY2007–09: reported growth — organic not disclosed in releases); acquisitions/FX/workdays = reported growth − organic.</t>
  </si>
  <si>
    <t xml:space="preserve">Organic revenue growth %</t>
  </si>
  <si>
    <t xml:space="preserve">Acquisitions, divestitures, FX &amp; workdays %</t>
  </si>
  <si>
    <t xml:space="preserve">Adjusted EBITDA</t>
  </si>
  <si>
    <t xml:space="preserve">Adj. EBITDA Margin %</t>
  </si>
  <si>
    <t xml:space="preserve">GAAP Op. Margin %</t>
  </si>
  <si>
    <t xml:space="preserve">Adj. EBITDA margin %</t>
  </si>
  <si>
    <t xml:space="preserve">FCF margin %</t>
  </si>
</sst>
</file>

<file path=xl/styles.xml><?xml version="1.0" encoding="utf-8"?>
<styleSheet xmlns="http://schemas.openxmlformats.org/spreadsheetml/2006/main">
  <numFmts count="30">
    <numFmt numFmtId="164" formatCode="General"/>
    <numFmt numFmtId="165" formatCode="#,##0.0;\(#,##0.0\);\-"/>
    <numFmt numFmtId="166" formatCode="0%;\(0%\);&quot;n/m&quot;"/>
    <numFmt numFmtId="167" formatCode="0.0%;\(0.0%\);\-"/>
    <numFmt numFmtId="168" formatCode="#,##0"/>
    <numFmt numFmtId="169" formatCode="0.00"/>
    <numFmt numFmtId="170" formatCode="dd\-mmm\-yy"/>
    <numFmt numFmtId="171" formatCode="0.0\x;\(0.0&quot;x)&quot;;\-"/>
    <numFmt numFmtId="172" formatCode="General"/>
    <numFmt numFmtId="173" formatCode="#,##0;\(#,##0\);\-"/>
    <numFmt numFmtId="174" formatCode="0.00;\(0.00\);\-"/>
    <numFmt numFmtId="175" formatCode="\+0.0%;\-0.0%"/>
    <numFmt numFmtId="176" formatCode="\+#,##0;\-#,##0"/>
    <numFmt numFmtId="177" formatCode="\+0.00\x;\-0.00\x"/>
    <numFmt numFmtId="178" formatCode="0.00\x;\(0.00&quot;x)&quot;;\-"/>
    <numFmt numFmtId="179" formatCode="0\d;\(0&quot;d)&quot;;\-&quot;"/>
    <numFmt numFmtId="180" formatCode="#,##0.00"/>
    <numFmt numFmtId="181" formatCode="0%;\(0%\);\-"/>
    <numFmt numFmtId="182" formatCode="0.0\x"/>
    <numFmt numFmtId="183" formatCode="\$#,##0.00;&quot;($&quot;#,##0.00\);\-"/>
    <numFmt numFmtId="184" formatCode="0.00%"/>
    <numFmt numFmtId="185" formatCode="d/mmm/yyyy"/>
    <numFmt numFmtId="186" formatCode="0.0%"/>
    <numFmt numFmtId="187" formatCode="0.000"/>
    <numFmt numFmtId="188" formatCode="#,##0.0"/>
    <numFmt numFmtId="189" formatCode="0.0%;\(0.0%\)"/>
    <numFmt numFmtId="190" formatCode="0"/>
    <numFmt numFmtId="191" formatCode="0.00\x"/>
    <numFmt numFmtId="192" formatCode="0.0\x;\(0.0&quot;x)&quot;"/>
    <numFmt numFmtId="193" formatCode="0%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00000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10"/>
      <color rgb="FF595959"/>
      <name val="Calibri"/>
      <family val="0"/>
      <charset val="1"/>
    </font>
    <font>
      <sz val="10"/>
      <color rgb="FFC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9"/>
      <color rgb="FF666666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2"/>
      <color rgb="FF404040"/>
      <name val="Calibri"/>
      <family val="0"/>
      <charset val="1"/>
    </font>
    <font>
      <sz val="12"/>
      <color rgb="FFA6A6A6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name val="Calibri"/>
      <family val="0"/>
      <charset val="1"/>
    </font>
    <font>
      <sz val="12"/>
      <color rgb="FF0000FF"/>
      <name val="Calibri"/>
      <family val="0"/>
      <charset val="1"/>
    </font>
    <font>
      <b val="true"/>
      <sz val="12"/>
      <color rgb="FF666666"/>
      <name val="Calibri"/>
      <family val="0"/>
      <charset val="1"/>
    </font>
    <font>
      <b val="true"/>
      <sz val="12"/>
      <color rgb="FF595959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b val="true"/>
      <sz val="16"/>
      <color rgb="FF2F3E46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2"/>
      <color rgb="FF008000"/>
      <name val="Calibri"/>
      <family val="2"/>
      <charset val="1"/>
    </font>
    <font>
      <sz val="10"/>
      <color rgb="FF595959"/>
      <name val="Calibri"/>
      <family val="2"/>
      <charset val="1"/>
    </font>
    <font>
      <b val="true"/>
      <sz val="12"/>
      <color rgb="FF2F3E46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9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2"/>
      <color rgb="FF595959"/>
      <name val="Calibri"/>
      <family val="2"/>
      <charset val="1"/>
    </font>
    <font>
      <b val="true"/>
      <sz val="12"/>
      <color rgb="FF0000FF"/>
      <name val="Calibri"/>
      <family val="2"/>
      <charset val="1"/>
    </font>
    <font>
      <sz val="12"/>
      <color rgb="FF2F3E46"/>
      <name val="Calibri"/>
      <family val="2"/>
      <charset val="1"/>
    </font>
    <font>
      <sz val="12"/>
      <color rgb="FF008000"/>
      <name val="Calibri"/>
      <family val="2"/>
      <charset val="1"/>
    </font>
    <font>
      <sz val="10"/>
      <name val="Arial"/>
      <family val="2"/>
    </font>
    <font>
      <sz val="11"/>
      <color rgb="FF0000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color rgb="FF595959"/>
      <name val="Calibri"/>
      <family val="0"/>
      <charset val="1"/>
    </font>
    <font>
      <sz val="12"/>
      <color rgb="FF008000"/>
      <name val="Calibri"/>
      <family val="0"/>
      <charset val="1"/>
    </font>
    <font>
      <b val="true"/>
      <sz val="14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>
        <color rgb="FF2F3E46"/>
      </top>
      <bottom/>
      <diagonal/>
    </border>
    <border diagonalUp="false" diagonalDown="false">
      <left style="thin">
        <color rgb="FF2F3E46"/>
      </left>
      <right/>
      <top style="thin">
        <color rgb="FF2F3E46"/>
      </top>
      <bottom/>
      <diagonal/>
    </border>
    <border diagonalUp="false" diagonalDown="false">
      <left/>
      <right style="thin">
        <color rgb="FF2F3E46"/>
      </right>
      <top style="thin">
        <color rgb="FF2F3E46"/>
      </top>
      <bottom/>
      <diagonal/>
    </border>
    <border diagonalUp="false" diagonalDown="false">
      <left style="thin">
        <color rgb="FF2F3E46"/>
      </left>
      <right/>
      <top/>
      <bottom/>
      <diagonal/>
    </border>
    <border diagonalUp="false" diagonalDown="false">
      <left/>
      <right style="thin">
        <color rgb="FF2F3E46"/>
      </right>
      <top/>
      <bottom/>
      <diagonal/>
    </border>
    <border diagonalUp="false" diagonalDown="false">
      <left style="thin">
        <color rgb="FF2F3E46"/>
      </left>
      <right/>
      <top/>
      <bottom style="thin">
        <color rgb="FF2F3E46"/>
      </bottom>
      <diagonal/>
    </border>
    <border diagonalUp="false" diagonalDown="false">
      <left/>
      <right/>
      <top/>
      <bottom style="thin">
        <color rgb="FF2F3E46"/>
      </bottom>
      <diagonal/>
    </border>
    <border diagonalUp="false" diagonalDown="false">
      <left/>
      <right style="thin">
        <color rgb="FF2F3E46"/>
      </right>
      <top/>
      <bottom style="thin">
        <color rgb="FF2F3E4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1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6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6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80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2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3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3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3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3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3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3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3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80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9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9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15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15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2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0" fontId="2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1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7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8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0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0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9" fontId="1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2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CA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CA" sz="1800" spc="-1" strike="noStrike">
                <a:solidFill>
                  <a:srgbClr val="000000"/>
                </a:solidFill>
                <a:latin typeface="Calibri"/>
              </a:rPr>
              <a:t>Revenue Drivers: Organic Growth vs. Acquisitions / Divestitures / FX / Workdays, y/y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  <c:strCache>
                <c:ptCount val="1"/>
                <c:pt idx="0">
                  <c:v>Organic revenue growth %</c:v>
                </c:pt>
              </c:strCache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Charts!$C$7:$W$7</c:f>
              <c:strCache>
                <c:ptCount val="21"/>
                <c:pt idx="0">
                  <c:v>FY2006</c:v>
                </c:pt>
                <c:pt idx="1">
                  <c:v>FY2007</c:v>
                </c:pt>
                <c:pt idx="2">
                  <c:v>FY2008</c:v>
                </c:pt>
                <c:pt idx="3">
                  <c:v>FY2009</c:v>
                </c:pt>
                <c:pt idx="4">
                  <c:v>FY2010</c:v>
                </c:pt>
                <c:pt idx="5">
                  <c:v>FY2011</c:v>
                </c:pt>
                <c:pt idx="6">
                  <c:v>FY2012</c:v>
                </c:pt>
                <c:pt idx="7">
                  <c:v>FY2013</c:v>
                </c:pt>
                <c:pt idx="8">
                  <c:v>FY2014</c:v>
                </c:pt>
                <c:pt idx="9">
                  <c:v>FY2015</c:v>
                </c:pt>
                <c:pt idx="10">
                  <c:v>FY2016</c:v>
                </c:pt>
                <c:pt idx="11">
                  <c:v>FY2017</c:v>
                </c:pt>
                <c:pt idx="12">
                  <c:v>FY2018</c:v>
                </c:pt>
                <c:pt idx="13">
                  <c:v>FY2019</c:v>
                </c:pt>
                <c:pt idx="14">
                  <c:v>FY2020</c:v>
                </c:pt>
                <c:pt idx="15">
                  <c:v>FY2021</c:v>
                </c:pt>
                <c:pt idx="16">
                  <c:v>FY2022</c:v>
                </c:pt>
                <c:pt idx="17">
                  <c:v>FY2023</c:v>
                </c:pt>
                <c:pt idx="18">
                  <c:v>FY2024</c:v>
                </c:pt>
                <c:pt idx="19">
                  <c:v>FY2025</c:v>
                </c:pt>
                <c:pt idx="20">
                  <c:v>FY2026</c:v>
                </c:pt>
              </c:strCache>
            </c:strRef>
          </c:cat>
          <c:val>
            <c:numRef>
              <c:f>Charts!$C$8:$W$8</c:f>
              <c:numCache>
                <c:formatCode>0.0%;\(0.0%\);\-</c:formatCode>
                <c:ptCount val="21"/>
                <c:pt idx="0">
                  <c:v>0</c:v>
                </c:pt>
                <c:pt idx="1">
                  <c:v>0.0891089690704687</c:v>
                </c:pt>
                <c:pt idx="2">
                  <c:v>0.0623162211011896</c:v>
                </c:pt>
                <c:pt idx="3">
                  <c:v>-0.0414472180603875</c:v>
                </c:pt>
                <c:pt idx="4">
                  <c:v>-0.064</c:v>
                </c:pt>
                <c:pt idx="5">
                  <c:v>0.051</c:v>
                </c:pt>
                <c:pt idx="6">
                  <c:v>0.061</c:v>
                </c:pt>
                <c:pt idx="7">
                  <c:v>0.049</c:v>
                </c:pt>
                <c:pt idx="8">
                  <c:v>0.059</c:v>
                </c:pt>
                <c:pt idx="9">
                  <c:v>0.071</c:v>
                </c:pt>
                <c:pt idx="10">
                  <c:v>0.067</c:v>
                </c:pt>
                <c:pt idx="11">
                  <c:v>0.067</c:v>
                </c:pt>
                <c:pt idx="12">
                  <c:v>0.071</c:v>
                </c:pt>
                <c:pt idx="13">
                  <c:v>0.065</c:v>
                </c:pt>
                <c:pt idx="14">
                  <c:v>0.031</c:v>
                </c:pt>
                <c:pt idx="15">
                  <c:v>0.002</c:v>
                </c:pt>
                <c:pt idx="16">
                  <c:v>0.102</c:v>
                </c:pt>
                <c:pt idx="17">
                  <c:v>0.122</c:v>
                </c:pt>
                <c:pt idx="18">
                  <c:v>0.08</c:v>
                </c:pt>
                <c:pt idx="19">
                  <c:v>0.08</c:v>
                </c:pt>
                <c:pt idx="20">
                  <c:v>0.083</c:v>
                </c:pt>
              </c:numCache>
            </c:numRef>
          </c:val>
        </c:ser>
        <c:ser>
          <c:idx val="1"/>
          <c:order val="1"/>
          <c:tx>
            <c:strRef>
              <c:f>Charts!$B$9</c:f>
              <c:strCache>
                <c:ptCount val="1"/>
                <c:pt idx="0">
                  <c:v>Acquisitions, divestitures, FX &amp; workdays %</c:v>
                </c:pt>
              </c:strCache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Charts!$C$7:$W$7</c:f>
              <c:strCache>
                <c:ptCount val="21"/>
                <c:pt idx="0">
                  <c:v>FY2006</c:v>
                </c:pt>
                <c:pt idx="1">
                  <c:v>FY2007</c:v>
                </c:pt>
                <c:pt idx="2">
                  <c:v>FY2008</c:v>
                </c:pt>
                <c:pt idx="3">
                  <c:v>FY2009</c:v>
                </c:pt>
                <c:pt idx="4">
                  <c:v>FY2010</c:v>
                </c:pt>
                <c:pt idx="5">
                  <c:v>FY2011</c:v>
                </c:pt>
                <c:pt idx="6">
                  <c:v>FY2012</c:v>
                </c:pt>
                <c:pt idx="7">
                  <c:v>FY2013</c:v>
                </c:pt>
                <c:pt idx="8">
                  <c:v>FY2014</c:v>
                </c:pt>
                <c:pt idx="9">
                  <c:v>FY2015</c:v>
                </c:pt>
                <c:pt idx="10">
                  <c:v>FY2016</c:v>
                </c:pt>
                <c:pt idx="11">
                  <c:v>FY2017</c:v>
                </c:pt>
                <c:pt idx="12">
                  <c:v>FY2018</c:v>
                </c:pt>
                <c:pt idx="13">
                  <c:v>FY2019</c:v>
                </c:pt>
                <c:pt idx="14">
                  <c:v>FY2020</c:v>
                </c:pt>
                <c:pt idx="15">
                  <c:v>FY2021</c:v>
                </c:pt>
                <c:pt idx="16">
                  <c:v>FY2022</c:v>
                </c:pt>
                <c:pt idx="17">
                  <c:v>FY2023</c:v>
                </c:pt>
                <c:pt idx="18">
                  <c:v>FY2024</c:v>
                </c:pt>
                <c:pt idx="19">
                  <c:v>FY2025</c:v>
                </c:pt>
                <c:pt idx="20">
                  <c:v>FY2026</c:v>
                </c:pt>
              </c:strCache>
            </c:strRef>
          </c:cat>
          <c:val>
            <c:numRef>
              <c:f>Charts!$C$9:$W$9</c:f>
              <c:numCache>
                <c:formatCode>0.0%;\(0.0%\);\-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0.00377086829761958</c:v>
                </c:pt>
                <c:pt idx="5">
                  <c:v>0.0231527663411927</c:v>
                </c:pt>
                <c:pt idx="6">
                  <c:v>0.0155319190926688</c:v>
                </c:pt>
                <c:pt idx="7">
                  <c:v>0.00328449536811297</c:v>
                </c:pt>
                <c:pt idx="8">
                  <c:v>-0.00447837805466539</c:v>
                </c:pt>
                <c:pt idx="9">
                  <c:v>-0.0874606974101741</c:v>
                </c:pt>
                <c:pt idx="10">
                  <c:v>0.0287299337083854</c:v>
                </c:pt>
                <c:pt idx="11">
                  <c:v>0.0181955107963418</c:v>
                </c:pt>
                <c:pt idx="12">
                  <c:v>0.14563882408567</c:v>
                </c:pt>
                <c:pt idx="13">
                  <c:v>-0.000819882926805182</c:v>
                </c:pt>
                <c:pt idx="14">
                  <c:v>-0.00302430015047225</c:v>
                </c:pt>
                <c:pt idx="15">
                  <c:v>0.0024064179576353</c:v>
                </c:pt>
                <c:pt idx="16">
                  <c:v>0.00172171650033591</c:v>
                </c:pt>
                <c:pt idx="17">
                  <c:v>0.000390351773432163</c:v>
                </c:pt>
                <c:pt idx="18">
                  <c:v>0.00857378182209619</c:v>
                </c:pt>
                <c:pt idx="19">
                  <c:v>-0.00251788781773558</c:v>
                </c:pt>
                <c:pt idx="20">
                  <c:v>0.00641622975458552</c:v>
                </c:pt>
              </c:numCache>
            </c:numRef>
          </c:val>
        </c:ser>
        <c:gapWidth val="150"/>
        <c:overlap val="100"/>
        <c:axId val="70367752"/>
        <c:axId val="38588610"/>
      </c:barChart>
      <c:catAx>
        <c:axId val="70367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588610"/>
        <c:crosses val="autoZero"/>
        <c:auto val="1"/>
        <c:lblAlgn val="ctr"/>
        <c:lblOffset val="100"/>
        <c:noMultiLvlLbl val="0"/>
      </c:catAx>
      <c:valAx>
        <c:axId val="385886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3677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CA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CA" sz="1800" spc="-1" strike="noStrike">
                <a:solidFill>
                  <a:srgbClr val="000000"/>
                </a:solidFill>
                <a:latin typeface="Calibri"/>
              </a:rPr>
              <a:t>Adjusted EBITDA &amp; Operating Income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  <c:strCache>
                <c:ptCount val="1"/>
                <c:pt idx="0">
                  <c:v>Adjusted EBITDA</c:v>
                </c:pt>
              </c:strCache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Charts!$C$7:$W$7</c:f>
              <c:strCache>
                <c:ptCount val="21"/>
                <c:pt idx="0">
                  <c:v>FY2006</c:v>
                </c:pt>
                <c:pt idx="1">
                  <c:v>FY2007</c:v>
                </c:pt>
                <c:pt idx="2">
                  <c:v>FY2008</c:v>
                </c:pt>
                <c:pt idx="3">
                  <c:v>FY2009</c:v>
                </c:pt>
                <c:pt idx="4">
                  <c:v>FY2010</c:v>
                </c:pt>
                <c:pt idx="5">
                  <c:v>FY2011</c:v>
                </c:pt>
                <c:pt idx="6">
                  <c:v>FY2012</c:v>
                </c:pt>
                <c:pt idx="7">
                  <c:v>FY2013</c:v>
                </c:pt>
                <c:pt idx="8">
                  <c:v>FY2014</c:v>
                </c:pt>
                <c:pt idx="9">
                  <c:v>FY2015</c:v>
                </c:pt>
                <c:pt idx="10">
                  <c:v>FY2016</c:v>
                </c:pt>
                <c:pt idx="11">
                  <c:v>FY2017</c:v>
                </c:pt>
                <c:pt idx="12">
                  <c:v>FY2018</c:v>
                </c:pt>
                <c:pt idx="13">
                  <c:v>FY2019</c:v>
                </c:pt>
                <c:pt idx="14">
                  <c:v>FY2020</c:v>
                </c:pt>
                <c:pt idx="15">
                  <c:v>FY2021</c:v>
                </c:pt>
                <c:pt idx="16">
                  <c:v>FY2022</c:v>
                </c:pt>
                <c:pt idx="17">
                  <c:v>FY2023</c:v>
                </c:pt>
                <c:pt idx="18">
                  <c:v>FY2024</c:v>
                </c:pt>
                <c:pt idx="19">
                  <c:v>FY2025</c:v>
                </c:pt>
                <c:pt idx="20">
                  <c:v>FY2026</c:v>
                </c:pt>
              </c:strCache>
            </c:strRef>
          </c:cat>
          <c:val>
            <c:numRef>
              <c:f>Charts!$C$12:$W$12</c:f>
              <c:numCache>
                <c:formatCode>#,##0;\(#,##0\);\-</c:formatCode>
                <c:ptCount val="21"/>
                <c:pt idx="0">
                  <c:v>707.491</c:v>
                </c:pt>
                <c:pt idx="1">
                  <c:v>753.323</c:v>
                </c:pt>
                <c:pt idx="2">
                  <c:v>769.358</c:v>
                </c:pt>
                <c:pt idx="3">
                  <c:v>695.754</c:v>
                </c:pt>
                <c:pt idx="4">
                  <c:v>604.599</c:v>
                </c:pt>
                <c:pt idx="5">
                  <c:v>633.81</c:v>
                </c:pt>
                <c:pt idx="6">
                  <c:v>733.792</c:v>
                </c:pt>
                <c:pt idx="7">
                  <c:v>754.588</c:v>
                </c:pt>
                <c:pt idx="8">
                  <c:v>802.496</c:v>
                </c:pt>
                <c:pt idx="9">
                  <c:v>851.489000000001</c:v>
                </c:pt>
                <c:pt idx="10">
                  <c:v>947.026999999999</c:v>
                </c:pt>
                <c:pt idx="11">
                  <c:v>1049.51</c:v>
                </c:pt>
                <c:pt idx="12">
                  <c:v>1311.147</c:v>
                </c:pt>
                <c:pt idx="13">
                  <c:v>1508.037</c:v>
                </c:pt>
                <c:pt idx="14">
                  <c:v>1541.749</c:v>
                </c:pt>
                <c:pt idx="15">
                  <c:v>1751.413</c:v>
                </c:pt>
                <c:pt idx="16">
                  <c:v>1944.791</c:v>
                </c:pt>
                <c:pt idx="17">
                  <c:v>2211.826</c:v>
                </c:pt>
                <c:pt idx="18">
                  <c:v>2511.017</c:v>
                </c:pt>
                <c:pt idx="19">
                  <c:v>2853.909</c:v>
                </c:pt>
                <c:pt idx="20">
                  <c:v>3134.494</c:v>
                </c:pt>
              </c:numCache>
            </c:numRef>
          </c:val>
        </c:ser>
        <c:ser>
          <c:idx val="1"/>
          <c:order val="1"/>
          <c:tx>
            <c:strRef>
              <c:f>Charts!$B$13</c:f>
              <c:strCache>
                <c:ptCount val="1"/>
                <c:pt idx="0">
                  <c:v>Operating Income (GAAP)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Charts!$C$7:$W$7</c:f>
              <c:strCache>
                <c:ptCount val="21"/>
                <c:pt idx="0">
                  <c:v>FY2006</c:v>
                </c:pt>
                <c:pt idx="1">
                  <c:v>FY2007</c:v>
                </c:pt>
                <c:pt idx="2">
                  <c:v>FY2008</c:v>
                </c:pt>
                <c:pt idx="3">
                  <c:v>FY2009</c:v>
                </c:pt>
                <c:pt idx="4">
                  <c:v>FY2010</c:v>
                </c:pt>
                <c:pt idx="5">
                  <c:v>FY2011</c:v>
                </c:pt>
                <c:pt idx="6">
                  <c:v>FY2012</c:v>
                </c:pt>
                <c:pt idx="7">
                  <c:v>FY2013</c:v>
                </c:pt>
                <c:pt idx="8">
                  <c:v>FY2014</c:v>
                </c:pt>
                <c:pt idx="9">
                  <c:v>FY2015</c:v>
                </c:pt>
                <c:pt idx="10">
                  <c:v>FY2016</c:v>
                </c:pt>
                <c:pt idx="11">
                  <c:v>FY2017</c:v>
                </c:pt>
                <c:pt idx="12">
                  <c:v>FY2018</c:v>
                </c:pt>
                <c:pt idx="13">
                  <c:v>FY2019</c:v>
                </c:pt>
                <c:pt idx="14">
                  <c:v>FY2020</c:v>
                </c:pt>
                <c:pt idx="15">
                  <c:v>FY2021</c:v>
                </c:pt>
                <c:pt idx="16">
                  <c:v>FY2022</c:v>
                </c:pt>
                <c:pt idx="17">
                  <c:v>FY2023</c:v>
                </c:pt>
                <c:pt idx="18">
                  <c:v>FY2024</c:v>
                </c:pt>
                <c:pt idx="19">
                  <c:v>FY2025</c:v>
                </c:pt>
                <c:pt idx="20">
                  <c:v>FY2026</c:v>
                </c:pt>
              </c:strCache>
            </c:strRef>
          </c:cat>
          <c:val>
            <c:numRef>
              <c:f>Charts!$C$13:$W$13</c:f>
              <c:numCache>
                <c:formatCode>#,##0;\(#,##0\);\-</c:formatCode>
                <c:ptCount val="21"/>
                <c:pt idx="0">
                  <c:v>546.838</c:v>
                </c:pt>
                <c:pt idx="1">
                  <c:v>577.397</c:v>
                </c:pt>
                <c:pt idx="2">
                  <c:v>577.455</c:v>
                </c:pt>
                <c:pt idx="3">
                  <c:v>409.065</c:v>
                </c:pt>
                <c:pt idx="4">
                  <c:v>390.809</c:v>
                </c:pt>
                <c:pt idx="5">
                  <c:v>440.343</c:v>
                </c:pt>
                <c:pt idx="6">
                  <c:v>539.627</c:v>
                </c:pt>
                <c:pt idx="7">
                  <c:v>565.211</c:v>
                </c:pt>
                <c:pt idx="8">
                  <c:v>567.01</c:v>
                </c:pt>
                <c:pt idx="9">
                  <c:v>696.407</c:v>
                </c:pt>
                <c:pt idx="10">
                  <c:v>781.747999999999</c:v>
                </c:pt>
                <c:pt idx="11">
                  <c:v>773.691</c:v>
                </c:pt>
                <c:pt idx="12">
                  <c:v>949.834</c:v>
                </c:pt>
                <c:pt idx="13">
                  <c:v>1133.534</c:v>
                </c:pt>
                <c:pt idx="14">
                  <c:v>1162.696</c:v>
                </c:pt>
                <c:pt idx="15">
                  <c:v>1385.492</c:v>
                </c:pt>
                <c:pt idx="16">
                  <c:v>1587.37</c:v>
                </c:pt>
                <c:pt idx="17">
                  <c:v>1802.664</c:v>
                </c:pt>
                <c:pt idx="18">
                  <c:v>2068.633</c:v>
                </c:pt>
                <c:pt idx="19">
                  <c:v>2359.726</c:v>
                </c:pt>
                <c:pt idx="20">
                  <c:v>2606.512</c:v>
                </c:pt>
              </c:numCache>
            </c:numRef>
          </c:val>
        </c:ser>
        <c:gapWidth val="150"/>
        <c:overlap val="0"/>
        <c:axId val="45661172"/>
        <c:axId val="65675822"/>
      </c:barChart>
      <c:lineChart>
        <c:grouping val="standard"/>
        <c:varyColors val="0"/>
        <c:ser>
          <c:idx val="2"/>
          <c:order val="2"/>
          <c:tx>
            <c:strRef>
              <c:f>Charts!$B$14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Charts!$C$7:$W$7</c:f>
              <c:strCache>
                <c:ptCount val="21"/>
                <c:pt idx="0">
                  <c:v>FY2006</c:v>
                </c:pt>
                <c:pt idx="1">
                  <c:v>FY2007</c:v>
                </c:pt>
                <c:pt idx="2">
                  <c:v>FY2008</c:v>
                </c:pt>
                <c:pt idx="3">
                  <c:v>FY2009</c:v>
                </c:pt>
                <c:pt idx="4">
                  <c:v>FY2010</c:v>
                </c:pt>
                <c:pt idx="5">
                  <c:v>FY2011</c:v>
                </c:pt>
                <c:pt idx="6">
                  <c:v>FY2012</c:v>
                </c:pt>
                <c:pt idx="7">
                  <c:v>FY2013</c:v>
                </c:pt>
                <c:pt idx="8">
                  <c:v>FY2014</c:v>
                </c:pt>
                <c:pt idx="9">
                  <c:v>FY2015</c:v>
                </c:pt>
                <c:pt idx="10">
                  <c:v>FY2016</c:v>
                </c:pt>
                <c:pt idx="11">
                  <c:v>FY2017</c:v>
                </c:pt>
                <c:pt idx="12">
                  <c:v>FY2018</c:v>
                </c:pt>
                <c:pt idx="13">
                  <c:v>FY2019</c:v>
                </c:pt>
                <c:pt idx="14">
                  <c:v>FY2020</c:v>
                </c:pt>
                <c:pt idx="15">
                  <c:v>FY2021</c:v>
                </c:pt>
                <c:pt idx="16">
                  <c:v>FY2022</c:v>
                </c:pt>
                <c:pt idx="17">
                  <c:v>FY2023</c:v>
                </c:pt>
                <c:pt idx="18">
                  <c:v>FY2024</c:v>
                </c:pt>
                <c:pt idx="19">
                  <c:v>FY2025</c:v>
                </c:pt>
                <c:pt idx="20">
                  <c:v>FY2026</c:v>
                </c:pt>
              </c:strCache>
            </c:strRef>
          </c:cat>
          <c:val>
            <c:numRef>
              <c:f>Charts!$C$14:$V$14</c:f>
              <c:numCache>
                <c:formatCode>0.0%;\(0.0%\);\-</c:formatCode>
                <c:ptCount val="20"/>
                <c:pt idx="0">
                  <c:v>0.207865006781039</c:v>
                </c:pt>
                <c:pt idx="1">
                  <c:v>0.203221829561089</c:v>
                </c:pt>
                <c:pt idx="2">
                  <c:v>0.195372660555118</c:v>
                </c:pt>
                <c:pt idx="3">
                  <c:v>0.184321075798378</c:v>
                </c:pt>
                <c:pt idx="4">
                  <c:v>0.170437333449101</c:v>
                </c:pt>
                <c:pt idx="5">
                  <c:v>0.166337565977602</c:v>
                </c:pt>
                <c:pt idx="6">
                  <c:v>0.178886396879571</c:v>
                </c:pt>
                <c:pt idx="7">
                  <c:v>0.174815954978036</c:v>
                </c:pt>
                <c:pt idx="8">
                  <c:v>0.17630253622074</c:v>
                </c:pt>
                <c:pt idx="9">
                  <c:v>0.190196712625696</c:v>
                </c:pt>
                <c:pt idx="10">
                  <c:v>0.193055775831737</c:v>
                </c:pt>
                <c:pt idx="11">
                  <c:v>0.197151021127363</c:v>
                </c:pt>
                <c:pt idx="12">
                  <c:v>0.202442720228662</c:v>
                </c:pt>
                <c:pt idx="13">
                  <c:v>0.218800160120645</c:v>
                </c:pt>
                <c:pt idx="14">
                  <c:v>0.217603794995709</c:v>
                </c:pt>
                <c:pt idx="15">
                  <c:v>0.24611148427422</c:v>
                </c:pt>
                <c:pt idx="16">
                  <c:v>0.247603431375732</c:v>
                </c:pt>
                <c:pt idx="17">
                  <c:v>0.250894278196264</c:v>
                </c:pt>
                <c:pt idx="18">
                  <c:v>0.261656532016758</c:v>
                </c:pt>
                <c:pt idx="19">
                  <c:v>0.276001841747258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Charts!$B$15</c:f>
              <c:strCache>
                <c:ptCount val="1"/>
                <c:pt idx="0">
                  <c:v>GAAP Op. Margin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Charts!$C$7:$W$7</c:f>
              <c:strCache>
                <c:ptCount val="21"/>
                <c:pt idx="0">
                  <c:v>FY2006</c:v>
                </c:pt>
                <c:pt idx="1">
                  <c:v>FY2007</c:v>
                </c:pt>
                <c:pt idx="2">
                  <c:v>FY2008</c:v>
                </c:pt>
                <c:pt idx="3">
                  <c:v>FY2009</c:v>
                </c:pt>
                <c:pt idx="4">
                  <c:v>FY2010</c:v>
                </c:pt>
                <c:pt idx="5">
                  <c:v>FY2011</c:v>
                </c:pt>
                <c:pt idx="6">
                  <c:v>FY2012</c:v>
                </c:pt>
                <c:pt idx="7">
                  <c:v>FY2013</c:v>
                </c:pt>
                <c:pt idx="8">
                  <c:v>FY2014</c:v>
                </c:pt>
                <c:pt idx="9">
                  <c:v>FY2015</c:v>
                </c:pt>
                <c:pt idx="10">
                  <c:v>FY2016</c:v>
                </c:pt>
                <c:pt idx="11">
                  <c:v>FY2017</c:v>
                </c:pt>
                <c:pt idx="12">
                  <c:v>FY2018</c:v>
                </c:pt>
                <c:pt idx="13">
                  <c:v>FY2019</c:v>
                </c:pt>
                <c:pt idx="14">
                  <c:v>FY2020</c:v>
                </c:pt>
                <c:pt idx="15">
                  <c:v>FY2021</c:v>
                </c:pt>
                <c:pt idx="16">
                  <c:v>FY2022</c:v>
                </c:pt>
                <c:pt idx="17">
                  <c:v>FY2023</c:v>
                </c:pt>
                <c:pt idx="18">
                  <c:v>FY2024</c:v>
                </c:pt>
                <c:pt idx="19">
                  <c:v>FY2025</c:v>
                </c:pt>
                <c:pt idx="20">
                  <c:v>FY2026</c:v>
                </c:pt>
              </c:strCache>
            </c:strRef>
          </c:cat>
          <c:val>
            <c:numRef>
              <c:f>Charts!$C$15:$V$15</c:f>
              <c:numCache>
                <c:formatCode>0.0%;\(0.0%\);\-</c:formatCode>
                <c:ptCount val="20"/>
                <c:pt idx="0">
                  <c:v>0.160664212800064</c:v>
                </c:pt>
                <c:pt idx="1">
                  <c:v>0.15576276673231</c:v>
                </c:pt>
                <c:pt idx="2">
                  <c:v>0.146640341298662</c:v>
                </c:pt>
                <c:pt idx="3">
                  <c:v>0.108370632251433</c:v>
                </c:pt>
                <c:pt idx="4">
                  <c:v>0.110169622920166</c:v>
                </c:pt>
                <c:pt idx="5">
                  <c:v>0.115563943161634</c:v>
                </c:pt>
                <c:pt idx="6">
                  <c:v>0.13155216967333</c:v>
                </c:pt>
                <c:pt idx="7">
                  <c:v>0.130942846598529</c:v>
                </c:pt>
                <c:pt idx="8">
                  <c:v>0.124567974248497</c:v>
                </c:pt>
                <c:pt idx="9">
                  <c:v>0.155556116461308</c:v>
                </c:pt>
                <c:pt idx="10">
                  <c:v>0.159362897409375</c:v>
                </c:pt>
                <c:pt idx="11">
                  <c:v>0.145338272800688</c:v>
                </c:pt>
                <c:pt idx="12">
                  <c:v>0.146655545660152</c:v>
                </c:pt>
                <c:pt idx="13">
                  <c:v>0.164463750360366</c:v>
                </c:pt>
                <c:pt idx="14">
                  <c:v>0.16410392484531</c:v>
                </c:pt>
                <c:pt idx="15">
                  <c:v>0.194691653293688</c:v>
                </c:pt>
                <c:pt idx="16">
                  <c:v>0.202097942073413</c:v>
                </c:pt>
                <c:pt idx="17">
                  <c:v>0.204481764438247</c:v>
                </c:pt>
                <c:pt idx="18">
                  <c:v>0.215558611031077</c:v>
                </c:pt>
                <c:pt idx="19">
                  <c:v>0.228209351461062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266218"/>
        <c:axId val="4159002"/>
      </c:lineChart>
      <c:catAx>
        <c:axId val="456611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675822"/>
        <c:crosses val="autoZero"/>
        <c:auto val="1"/>
        <c:lblAlgn val="ctr"/>
        <c:lblOffset val="100"/>
        <c:noMultiLvlLbl val="0"/>
      </c:catAx>
      <c:valAx>
        <c:axId val="656758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61172"/>
        <c:crosses val="autoZero"/>
        <c:crossBetween val="between"/>
      </c:valAx>
      <c:catAx>
        <c:axId val="72266218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9002"/>
        <c:crosses val="autoZero"/>
        <c:auto val="1"/>
        <c:lblAlgn val="ctr"/>
        <c:lblOffset val="100"/>
        <c:noMultiLvlLbl val="0"/>
      </c:catAx>
      <c:valAx>
        <c:axId val="415900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66218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Charts!$B$18</c:f>
              <c:strCache>
                <c:ptCount val="1"/>
                <c:pt idx="0">
                  <c:v>ROIC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Charts!$C$7:$W$7</c:f>
              <c:strCache>
                <c:ptCount val="21"/>
                <c:pt idx="0">
                  <c:v>FY2006</c:v>
                </c:pt>
                <c:pt idx="1">
                  <c:v>FY2007</c:v>
                </c:pt>
                <c:pt idx="2">
                  <c:v>FY2008</c:v>
                </c:pt>
                <c:pt idx="3">
                  <c:v>FY2009</c:v>
                </c:pt>
                <c:pt idx="4">
                  <c:v>FY2010</c:v>
                </c:pt>
                <c:pt idx="5">
                  <c:v>FY2011</c:v>
                </c:pt>
                <c:pt idx="6">
                  <c:v>FY2012</c:v>
                </c:pt>
                <c:pt idx="7">
                  <c:v>FY2013</c:v>
                </c:pt>
                <c:pt idx="8">
                  <c:v>FY2014</c:v>
                </c:pt>
                <c:pt idx="9">
                  <c:v>FY2015</c:v>
                </c:pt>
                <c:pt idx="10">
                  <c:v>FY2016</c:v>
                </c:pt>
                <c:pt idx="11">
                  <c:v>FY2017</c:v>
                </c:pt>
                <c:pt idx="12">
                  <c:v>FY2018</c:v>
                </c:pt>
                <c:pt idx="13">
                  <c:v>FY2019</c:v>
                </c:pt>
                <c:pt idx="14">
                  <c:v>FY2020</c:v>
                </c:pt>
                <c:pt idx="15">
                  <c:v>FY2021</c:v>
                </c:pt>
                <c:pt idx="16">
                  <c:v>FY2022</c:v>
                </c:pt>
                <c:pt idx="17">
                  <c:v>FY2023</c:v>
                </c:pt>
                <c:pt idx="18">
                  <c:v>FY2024</c:v>
                </c:pt>
                <c:pt idx="19">
                  <c:v>FY2025</c:v>
                </c:pt>
                <c:pt idx="20">
                  <c:v>FY2026</c:v>
                </c:pt>
              </c:strCache>
            </c:strRef>
          </c:cat>
          <c:val>
            <c:numRef>
              <c:f>Charts!$C$18:$W$18</c:f>
              <c:numCache>
                <c:formatCode>0.0%;\(0.0%\);\-</c:formatCode>
                <c:ptCount val="21"/>
                <c:pt idx="0">
                  <c:v>0.129356450218399</c:v>
                </c:pt>
                <c:pt idx="1">
                  <c:v>0.125116020550852</c:v>
                </c:pt>
                <c:pt idx="2">
                  <c:v>0.12139795743079</c:v>
                </c:pt>
                <c:pt idx="3">
                  <c:v>0.10684681439302</c:v>
                </c:pt>
                <c:pt idx="4">
                  <c:v>0.0936762144452874</c:v>
                </c:pt>
                <c:pt idx="5">
                  <c:v>0.0904131456321826</c:v>
                </c:pt>
                <c:pt idx="6">
                  <c:v>0.110581169934723</c:v>
                </c:pt>
                <c:pt idx="7">
                  <c:v>0.113124507301749</c:v>
                </c:pt>
                <c:pt idx="8">
                  <c:v>0.126408892702364</c:v>
                </c:pt>
                <c:pt idx="9">
                  <c:v>0.156315785510771</c:v>
                </c:pt>
                <c:pt idx="10">
                  <c:v>0.169602349235593</c:v>
                </c:pt>
                <c:pt idx="11">
                  <c:v>0.108180758262793</c:v>
                </c:pt>
                <c:pt idx="12">
                  <c:v>0.177664814806937</c:v>
                </c:pt>
                <c:pt idx="13">
                  <c:v>0.159681202936401</c:v>
                </c:pt>
                <c:pt idx="14">
                  <c:v>0.171030440028442</c:v>
                </c:pt>
                <c:pt idx="15">
                  <c:v>0.205067055704622</c:v>
                </c:pt>
                <c:pt idx="16">
                  <c:v>0.211857850326832</c:v>
                </c:pt>
                <c:pt idx="17">
                  <c:v>0.230508519334119</c:v>
                </c:pt>
                <c:pt idx="18">
                  <c:v>0.255390289869734</c:v>
                </c:pt>
                <c:pt idx="19">
                  <c:v>0.27590929180217</c:v>
                </c:pt>
                <c:pt idx="20">
                  <c:v>0.287517004943938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Charts!$B$19</c:f>
              <c:strCache>
                <c:ptCount val="1"/>
                <c:pt idx="0">
                  <c:v>RONTA</c:v>
                </c:pt>
              </c:strCache>
            </c:strRef>
          </c:tx>
          <c:spPr>
            <a:solidFill>
              <a:srgbClr val="84a98c"/>
            </a:solidFill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Charts!$C$7:$W$7</c:f>
              <c:strCache>
                <c:ptCount val="21"/>
                <c:pt idx="0">
                  <c:v>FY2006</c:v>
                </c:pt>
                <c:pt idx="1">
                  <c:v>FY2007</c:v>
                </c:pt>
                <c:pt idx="2">
                  <c:v>FY2008</c:v>
                </c:pt>
                <c:pt idx="3">
                  <c:v>FY2009</c:v>
                </c:pt>
                <c:pt idx="4">
                  <c:v>FY2010</c:v>
                </c:pt>
                <c:pt idx="5">
                  <c:v>FY2011</c:v>
                </c:pt>
                <c:pt idx="6">
                  <c:v>FY2012</c:v>
                </c:pt>
                <c:pt idx="7">
                  <c:v>FY2013</c:v>
                </c:pt>
                <c:pt idx="8">
                  <c:v>FY2014</c:v>
                </c:pt>
                <c:pt idx="9">
                  <c:v>FY2015</c:v>
                </c:pt>
                <c:pt idx="10">
                  <c:v>FY2016</c:v>
                </c:pt>
                <c:pt idx="11">
                  <c:v>FY2017</c:v>
                </c:pt>
                <c:pt idx="12">
                  <c:v>FY2018</c:v>
                </c:pt>
                <c:pt idx="13">
                  <c:v>FY2019</c:v>
                </c:pt>
                <c:pt idx="14">
                  <c:v>FY2020</c:v>
                </c:pt>
                <c:pt idx="15">
                  <c:v>FY2021</c:v>
                </c:pt>
                <c:pt idx="16">
                  <c:v>FY2022</c:v>
                </c:pt>
                <c:pt idx="17">
                  <c:v>FY2023</c:v>
                </c:pt>
                <c:pt idx="18">
                  <c:v>FY2024</c:v>
                </c:pt>
                <c:pt idx="19">
                  <c:v>FY2025</c:v>
                </c:pt>
                <c:pt idx="20">
                  <c:v>FY2026</c:v>
                </c:pt>
              </c:strCache>
            </c:strRef>
          </c:cat>
          <c:val>
            <c:numRef>
              <c:f>Charts!$C$19:$W$19</c:f>
              <c:numCache>
                <c:formatCode>0.0%;\(0.0%\);\-</c:formatCode>
                <c:ptCount val="21"/>
                <c:pt idx="0">
                  <c:v>0.201582014024616</c:v>
                </c:pt>
                <c:pt idx="1">
                  <c:v>0.206360898286662</c:v>
                </c:pt>
                <c:pt idx="2">
                  <c:v>0.184869603228734</c:v>
                </c:pt>
                <c:pt idx="3">
                  <c:v>0.159249006182555</c:v>
                </c:pt>
                <c:pt idx="4">
                  <c:v>0.121330327570683</c:v>
                </c:pt>
                <c:pt idx="5">
                  <c:v>0.118927809348888</c:v>
                </c:pt>
                <c:pt idx="6">
                  <c:v>0.158371023095789</c:v>
                </c:pt>
                <c:pt idx="7">
                  <c:v>0.163013094952927</c:v>
                </c:pt>
                <c:pt idx="8">
                  <c:v>0.150122453078381</c:v>
                </c:pt>
                <c:pt idx="9">
                  <c:v>0.187530293146903</c:v>
                </c:pt>
                <c:pt idx="10">
                  <c:v>0.229914177878755</c:v>
                </c:pt>
                <c:pt idx="11">
                  <c:v>0.209617879356728</c:v>
                </c:pt>
                <c:pt idx="12">
                  <c:v>0.344739225940126</c:v>
                </c:pt>
                <c:pt idx="13">
                  <c:v>0.279858902262553</c:v>
                </c:pt>
                <c:pt idx="14">
                  <c:v>0.278018341526468</c:v>
                </c:pt>
                <c:pt idx="15">
                  <c:v>0.303143831085437</c:v>
                </c:pt>
                <c:pt idx="16">
                  <c:v>0.354729755298924</c:v>
                </c:pt>
                <c:pt idx="17">
                  <c:v>0.366729233826616</c:v>
                </c:pt>
                <c:pt idx="18">
                  <c:v>0.387078444580179</c:v>
                </c:pt>
                <c:pt idx="19">
                  <c:v>0.422472039714011</c:v>
                </c:pt>
                <c:pt idx="20">
                  <c:v>0.417804602515516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Charts!$B$20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1f4e79"/>
            </a:solidFill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Charts!$C$7:$W$7</c:f>
              <c:strCache>
                <c:ptCount val="21"/>
                <c:pt idx="0">
                  <c:v>FY2006</c:v>
                </c:pt>
                <c:pt idx="1">
                  <c:v>FY2007</c:v>
                </c:pt>
                <c:pt idx="2">
                  <c:v>FY2008</c:v>
                </c:pt>
                <c:pt idx="3">
                  <c:v>FY2009</c:v>
                </c:pt>
                <c:pt idx="4">
                  <c:v>FY2010</c:v>
                </c:pt>
                <c:pt idx="5">
                  <c:v>FY2011</c:v>
                </c:pt>
                <c:pt idx="6">
                  <c:v>FY2012</c:v>
                </c:pt>
                <c:pt idx="7">
                  <c:v>FY2013</c:v>
                </c:pt>
                <c:pt idx="8">
                  <c:v>FY2014</c:v>
                </c:pt>
                <c:pt idx="9">
                  <c:v>FY2015</c:v>
                </c:pt>
                <c:pt idx="10">
                  <c:v>FY2016</c:v>
                </c:pt>
                <c:pt idx="11">
                  <c:v>FY2017</c:v>
                </c:pt>
                <c:pt idx="12">
                  <c:v>FY2018</c:v>
                </c:pt>
                <c:pt idx="13">
                  <c:v>FY2019</c:v>
                </c:pt>
                <c:pt idx="14">
                  <c:v>FY2020</c:v>
                </c:pt>
                <c:pt idx="15">
                  <c:v>FY2021</c:v>
                </c:pt>
                <c:pt idx="16">
                  <c:v>FY2022</c:v>
                </c:pt>
                <c:pt idx="17">
                  <c:v>FY2023</c:v>
                </c:pt>
                <c:pt idx="18">
                  <c:v>FY2024</c:v>
                </c:pt>
                <c:pt idx="19">
                  <c:v>FY2025</c:v>
                </c:pt>
                <c:pt idx="20">
                  <c:v>FY2026</c:v>
                </c:pt>
              </c:strCache>
            </c:strRef>
          </c:cat>
          <c:val>
            <c:numRef>
              <c:f>Charts!$C$20:$W$20</c:f>
              <c:numCache>
                <c:formatCode>0.0%;\(0.0%\);\-</c:formatCode>
                <c:ptCount val="21"/>
                <c:pt idx="0">
                  <c:v>0.207865006781039</c:v>
                </c:pt>
                <c:pt idx="1">
                  <c:v>0.203221829561089</c:v>
                </c:pt>
                <c:pt idx="2">
                  <c:v>0.195372660555118</c:v>
                </c:pt>
                <c:pt idx="3">
                  <c:v>0.184321075798378</c:v>
                </c:pt>
                <c:pt idx="4">
                  <c:v>0.170437333449101</c:v>
                </c:pt>
                <c:pt idx="5">
                  <c:v>0.166337565977602</c:v>
                </c:pt>
                <c:pt idx="6">
                  <c:v>0.178886396879571</c:v>
                </c:pt>
                <c:pt idx="7">
                  <c:v>0.174815954978036</c:v>
                </c:pt>
                <c:pt idx="8">
                  <c:v>0.17630253622074</c:v>
                </c:pt>
                <c:pt idx="9">
                  <c:v>0.190196712625696</c:v>
                </c:pt>
                <c:pt idx="10">
                  <c:v>0.193055775831737</c:v>
                </c:pt>
                <c:pt idx="11">
                  <c:v>0.197151021127363</c:v>
                </c:pt>
                <c:pt idx="12">
                  <c:v>0.202442720228662</c:v>
                </c:pt>
                <c:pt idx="13">
                  <c:v>0.218800160120645</c:v>
                </c:pt>
                <c:pt idx="14">
                  <c:v>0.217603794995709</c:v>
                </c:pt>
                <c:pt idx="15">
                  <c:v>0.24611148427422</c:v>
                </c:pt>
                <c:pt idx="16">
                  <c:v>0.247603431375732</c:v>
                </c:pt>
                <c:pt idx="17">
                  <c:v>0.250894278196264</c:v>
                </c:pt>
                <c:pt idx="18">
                  <c:v>0.261656532016758</c:v>
                </c:pt>
                <c:pt idx="19">
                  <c:v>0.276001841747258</c:v>
                </c:pt>
                <c:pt idx="20">
                  <c:v>0.278256591506913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Charts!$B$21</c:f>
              <c:strCache>
                <c:ptCount val="1"/>
                <c:pt idx="0">
                  <c:v>FCF margin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Charts!$C$7:$W$7</c:f>
              <c:strCache>
                <c:ptCount val="21"/>
                <c:pt idx="0">
                  <c:v>FY2006</c:v>
                </c:pt>
                <c:pt idx="1">
                  <c:v>FY2007</c:v>
                </c:pt>
                <c:pt idx="2">
                  <c:v>FY2008</c:v>
                </c:pt>
                <c:pt idx="3">
                  <c:v>FY2009</c:v>
                </c:pt>
                <c:pt idx="4">
                  <c:v>FY2010</c:v>
                </c:pt>
                <c:pt idx="5">
                  <c:v>FY2011</c:v>
                </c:pt>
                <c:pt idx="6">
                  <c:v>FY2012</c:v>
                </c:pt>
                <c:pt idx="7">
                  <c:v>FY2013</c:v>
                </c:pt>
                <c:pt idx="8">
                  <c:v>FY2014</c:v>
                </c:pt>
                <c:pt idx="9">
                  <c:v>FY2015</c:v>
                </c:pt>
                <c:pt idx="10">
                  <c:v>FY2016</c:v>
                </c:pt>
                <c:pt idx="11">
                  <c:v>FY2017</c:v>
                </c:pt>
                <c:pt idx="12">
                  <c:v>FY2018</c:v>
                </c:pt>
                <c:pt idx="13">
                  <c:v>FY2019</c:v>
                </c:pt>
                <c:pt idx="14">
                  <c:v>FY2020</c:v>
                </c:pt>
                <c:pt idx="15">
                  <c:v>FY2021</c:v>
                </c:pt>
                <c:pt idx="16">
                  <c:v>FY2022</c:v>
                </c:pt>
                <c:pt idx="17">
                  <c:v>FY2023</c:v>
                </c:pt>
                <c:pt idx="18">
                  <c:v>FY2024</c:v>
                </c:pt>
                <c:pt idx="19">
                  <c:v>FY2025</c:v>
                </c:pt>
                <c:pt idx="20">
                  <c:v>FY2026</c:v>
                </c:pt>
              </c:strCache>
            </c:strRef>
          </c:cat>
          <c:val>
            <c:numRef>
              <c:f>Charts!$C$21:$W$21</c:f>
              <c:numCache>
                <c:formatCode>0.0%;\(0.0%\);\-</c:formatCode>
                <c:ptCount val="21"/>
                <c:pt idx="0">
                  <c:v>0.089685416181887</c:v>
                </c:pt>
                <c:pt idx="1">
                  <c:v>0.072450565162265</c:v>
                </c:pt>
                <c:pt idx="2">
                  <c:v>0.0899489575662155</c:v>
                </c:pt>
                <c:pt idx="3">
                  <c:v>0.0962808817159578</c:v>
                </c:pt>
                <c:pt idx="4">
                  <c:v>0.126994910833163</c:v>
                </c:pt>
                <c:pt idx="5">
                  <c:v>0.041542794636971</c:v>
                </c:pt>
                <c:pt idx="6">
                  <c:v>0.07534373476353</c:v>
                </c:pt>
                <c:pt idx="7">
                  <c:v>0.0825354786352092</c:v>
                </c:pt>
                <c:pt idx="8">
                  <c:v>0.101583501251809</c:v>
                </c:pt>
                <c:pt idx="9">
                  <c:v>0.0809839696610546</c:v>
                </c:pt>
                <c:pt idx="10">
                  <c:v>0.0388261401891526</c:v>
                </c:pt>
                <c:pt idx="11">
                  <c:v>0.0921538398247279</c:v>
                </c:pt>
                <c:pt idx="12">
                  <c:v>0.10691683578749</c:v>
                </c:pt>
                <c:pt idx="13">
                  <c:v>0.114786450914883</c:v>
                </c:pt>
                <c:pt idx="14">
                  <c:v>0.14977784427081</c:v>
                </c:pt>
                <c:pt idx="15">
                  <c:v>0.171052816475885</c:v>
                </c:pt>
                <c:pt idx="16">
                  <c:v>0.165123148519841</c:v>
                </c:pt>
                <c:pt idx="17">
                  <c:v>0.143686273993795</c:v>
                </c:pt>
                <c:pt idx="18">
                  <c:v>0.174052204865987</c:v>
                </c:pt>
                <c:pt idx="19">
                  <c:v>0.169921687057509</c:v>
                </c:pt>
                <c:pt idx="20">
                  <c:v>0.166996441380336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916197"/>
        <c:axId val="7436164"/>
      </c:lineChart>
      <c:catAx>
        <c:axId val="199161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6164"/>
        <c:crosses val="autoZero"/>
        <c:auto val="1"/>
        <c:lblAlgn val="ctr"/>
        <c:lblOffset val="100"/>
        <c:noMultiLvlLbl val="0"/>
      </c:catAx>
      <c:valAx>
        <c:axId val="74361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161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160560</xdr:rowOff>
    </xdr:from>
    <xdr:to>
      <xdr:col>12</xdr:col>
      <xdr:colOff>543240</xdr:colOff>
      <xdr:row>37</xdr:row>
      <xdr:rowOff>1800</xdr:rowOff>
    </xdr:to>
    <xdr:graphicFrame>
      <xdr:nvGraphicFramePr>
        <xdr:cNvPr id="0" name="Chart 1"/>
        <xdr:cNvGraphicFramePr/>
      </xdr:nvGraphicFramePr>
      <xdr:xfrm>
        <a:off x="603720" y="4380120"/>
        <a:ext cx="869688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43</xdr:row>
      <xdr:rowOff>160560</xdr:rowOff>
    </xdr:from>
    <xdr:to>
      <xdr:col>12</xdr:col>
      <xdr:colOff>543240</xdr:colOff>
      <xdr:row>58</xdr:row>
      <xdr:rowOff>1440</xdr:rowOff>
    </xdr:to>
    <xdr:graphicFrame>
      <xdr:nvGraphicFramePr>
        <xdr:cNvPr id="1" name="Chart 2"/>
        <xdr:cNvGraphicFramePr/>
      </xdr:nvGraphicFramePr>
      <xdr:xfrm>
        <a:off x="603720" y="8380800"/>
        <a:ext cx="8696880" cy="269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64</xdr:row>
      <xdr:rowOff>160560</xdr:rowOff>
    </xdr:from>
    <xdr:to>
      <xdr:col>12</xdr:col>
      <xdr:colOff>543240</xdr:colOff>
      <xdr:row>79</xdr:row>
      <xdr:rowOff>1800</xdr:rowOff>
    </xdr:to>
    <xdr:graphicFrame>
      <xdr:nvGraphicFramePr>
        <xdr:cNvPr id="2" name="Chart 3"/>
        <xdr:cNvGraphicFramePr/>
      </xdr:nvGraphicFramePr>
      <xdr:xfrm>
        <a:off x="603720" y="12381120"/>
        <a:ext cx="869688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W426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2.43"/>
    <col collapsed="false" customWidth="true" hidden="false" outlineLevel="0" max="2" min="2" style="1" width="62"/>
    <col collapsed="false" customWidth="true" hidden="false" outlineLevel="0" max="9" min="3" style="1" width="14.14"/>
    <col collapsed="false" customWidth="true" hidden="true" outlineLevel="1" max="13" min="10" style="1" width="9.57"/>
    <col collapsed="false" customWidth="true" hidden="false" outlineLevel="0" max="14" min="14" style="1" width="14.14"/>
    <col collapsed="false" customWidth="true" hidden="true" outlineLevel="1" max="18" min="15" style="1" width="9.57"/>
    <col collapsed="false" customWidth="true" hidden="false" outlineLevel="0" max="19" min="19" style="1" width="14.14"/>
    <col collapsed="false" customWidth="true" hidden="true" outlineLevel="1" max="23" min="20" style="1" width="9.57"/>
    <col collapsed="false" customWidth="true" hidden="false" outlineLevel="0" max="24" min="24" style="1" width="14.14"/>
    <col collapsed="false" customWidth="true" hidden="true" outlineLevel="1" max="28" min="25" style="1" width="9.57"/>
    <col collapsed="false" customWidth="true" hidden="false" outlineLevel="0" max="29" min="29" style="1" width="14.14"/>
    <col collapsed="false" customWidth="true" hidden="true" outlineLevel="1" max="33" min="30" style="1" width="9.57"/>
    <col collapsed="false" customWidth="true" hidden="false" outlineLevel="0" max="34" min="34" style="1" width="14.14"/>
    <col collapsed="false" customWidth="true" hidden="true" outlineLevel="1" max="38" min="35" style="1" width="9.57"/>
    <col collapsed="false" customWidth="true" hidden="false" outlineLevel="0" max="39" min="39" style="1" width="14.14"/>
    <col collapsed="false" customWidth="true" hidden="true" outlineLevel="1" max="43" min="40" style="1" width="9.57"/>
    <col collapsed="false" customWidth="true" hidden="false" outlineLevel="0" max="44" min="44" style="1" width="14.14"/>
    <col collapsed="false" customWidth="true" hidden="true" outlineLevel="1" max="48" min="45" style="1" width="9.57"/>
    <col collapsed="false" customWidth="true" hidden="false" outlineLevel="0" max="49" min="49" style="1" width="14.14"/>
    <col collapsed="false" customWidth="true" hidden="true" outlineLevel="1" max="53" min="50" style="1" width="9.57"/>
    <col collapsed="false" customWidth="true" hidden="false" outlineLevel="0" max="54" min="54" style="1" width="14.14"/>
    <col collapsed="false" customWidth="true" hidden="true" outlineLevel="1" max="58" min="55" style="1" width="9.57"/>
    <col collapsed="false" customWidth="true" hidden="false" outlineLevel="0" max="59" min="59" style="1" width="14.14"/>
    <col collapsed="false" customWidth="true" hidden="true" outlineLevel="1" max="63" min="60" style="1" width="9.57"/>
    <col collapsed="false" customWidth="true" hidden="false" outlineLevel="0" max="64" min="64" style="1" width="14.14"/>
    <col collapsed="false" customWidth="true" hidden="true" outlineLevel="1" max="68" min="65" style="1" width="9.57"/>
    <col collapsed="false" customWidth="true" hidden="false" outlineLevel="0" max="69" min="69" style="1" width="14.14"/>
    <col collapsed="false" customWidth="true" hidden="true" outlineLevel="1" max="73" min="70" style="1" width="9.57"/>
    <col collapsed="false" customWidth="true" hidden="false" outlineLevel="0" max="74" min="74" style="1" width="14.14"/>
    <col collapsed="false" customWidth="true" hidden="true" outlineLevel="1" max="78" min="75" style="1" width="9.57"/>
    <col collapsed="false" customWidth="true" hidden="false" outlineLevel="0" max="79" min="79" style="1" width="14.14"/>
    <col collapsed="false" customWidth="true" hidden="true" outlineLevel="1" max="80" min="80" style="1" width="9.57"/>
    <col collapsed="false" customWidth="true" hidden="true" outlineLevel="1" max="83" min="81" style="1" width="11.43"/>
    <col collapsed="false" customWidth="true" hidden="false" outlineLevel="0" max="88" min="84" style="1" width="14.14"/>
    <col collapsed="false" customWidth="true" hidden="false" outlineLevel="0" max="89" min="89" style="1" width="86.86"/>
    <col collapsed="false" customWidth="true" hidden="false" outlineLevel="0" max="90" min="90" style="1" width="2"/>
    <col collapsed="false" customWidth="true" hidden="false" outlineLevel="0" max="91" min="91" style="1" width="14.14"/>
    <col collapsed="false" customWidth="true" hidden="false" outlineLevel="0" max="92" min="92" style="1" width="12.43"/>
    <col collapsed="false" customWidth="true" hidden="false" outlineLevel="0" max="94" min="93" style="1" width="13.43"/>
    <col collapsed="false" customWidth="true" hidden="false" outlineLevel="0" max="95" min="95" style="1" width="2"/>
    <col collapsed="false" customWidth="true" hidden="false" outlineLevel="0" max="96" min="96" style="1" width="6"/>
    <col collapsed="false" customWidth="true" hidden="false" outlineLevel="0" max="97" min="97" style="1" width="46"/>
    <col collapsed="false" customWidth="true" hidden="false" outlineLevel="0" max="100" min="98" style="1" width="11.57"/>
    <col collapsed="false" customWidth="true" hidden="false" outlineLevel="0" max="101" min="101" style="1" width="60"/>
  </cols>
  <sheetData>
    <row r="1" customFormat="false" ht="15" hidden="false" customHeight="true" outlineLevel="0" collapsed="false">
      <c r="CK1" s="2" t="s">
        <v>0</v>
      </c>
    </row>
    <row r="2" customFormat="false" ht="21" hidden="false" customHeight="true" outlineLevel="0" collapsed="false">
      <c r="B2" s="3" t="s">
        <v>1</v>
      </c>
      <c r="CK2" s="4" t="s">
        <v>2</v>
      </c>
    </row>
    <row r="3" customFormat="false" ht="15" hidden="false" customHeight="true" outlineLevel="0" collapsed="false">
      <c r="B3" s="5" t="s">
        <v>3</v>
      </c>
    </row>
    <row r="4" customFormat="false" ht="15" hidden="false" customHeight="true" outlineLevel="0" collapsed="false">
      <c r="B4" s="6" t="s">
        <v>4</v>
      </c>
    </row>
    <row r="5" customFormat="false" ht="15" hidden="false" customHeight="true" outlineLevel="0" collapsed="false">
      <c r="CC5" s="7"/>
      <c r="CD5" s="7"/>
      <c r="CE5" s="7"/>
      <c r="CF5" s="7"/>
      <c r="CG5" s="7"/>
      <c r="CH5" s="7"/>
      <c r="CI5" s="7"/>
      <c r="CJ5" s="7"/>
      <c r="CM5" s="8" t="s">
        <v>5</v>
      </c>
      <c r="CN5" s="8" t="s">
        <v>6</v>
      </c>
      <c r="CO5" s="8" t="s">
        <v>6</v>
      </c>
      <c r="CP5" s="8" t="s">
        <v>6</v>
      </c>
    </row>
    <row r="6" customFormat="false" ht="15" hidden="false" customHeight="true" outlineLevel="0" collapsed="false">
      <c r="B6" s="9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0" t="s">
        <v>14</v>
      </c>
      <c r="J6" s="10" t="s">
        <v>15</v>
      </c>
      <c r="K6" s="10" t="s">
        <v>16</v>
      </c>
      <c r="L6" s="10" t="s">
        <v>17</v>
      </c>
      <c r="M6" s="10" t="s">
        <v>18</v>
      </c>
      <c r="N6" s="10" t="s">
        <v>19</v>
      </c>
      <c r="O6" s="10" t="s">
        <v>20</v>
      </c>
      <c r="P6" s="10" t="s">
        <v>21</v>
      </c>
      <c r="Q6" s="10" t="s">
        <v>22</v>
      </c>
      <c r="R6" s="10" t="s">
        <v>23</v>
      </c>
      <c r="S6" s="10" t="s">
        <v>24</v>
      </c>
      <c r="T6" s="10" t="s">
        <v>25</v>
      </c>
      <c r="U6" s="10" t="s">
        <v>26</v>
      </c>
      <c r="V6" s="10" t="s">
        <v>27</v>
      </c>
      <c r="W6" s="10" t="s">
        <v>28</v>
      </c>
      <c r="X6" s="10" t="s">
        <v>29</v>
      </c>
      <c r="Y6" s="10" t="s">
        <v>30</v>
      </c>
      <c r="Z6" s="10" t="s">
        <v>31</v>
      </c>
      <c r="AA6" s="10" t="s">
        <v>32</v>
      </c>
      <c r="AB6" s="10" t="s">
        <v>33</v>
      </c>
      <c r="AC6" s="10" t="s">
        <v>34</v>
      </c>
      <c r="AD6" s="10" t="s">
        <v>35</v>
      </c>
      <c r="AE6" s="10" t="s">
        <v>36</v>
      </c>
      <c r="AF6" s="10" t="s">
        <v>37</v>
      </c>
      <c r="AG6" s="10" t="s">
        <v>38</v>
      </c>
      <c r="AH6" s="10" t="s">
        <v>39</v>
      </c>
      <c r="AI6" s="10" t="s">
        <v>40</v>
      </c>
      <c r="AJ6" s="10" t="s">
        <v>41</v>
      </c>
      <c r="AK6" s="10" t="s">
        <v>42</v>
      </c>
      <c r="AL6" s="10" t="s">
        <v>43</v>
      </c>
      <c r="AM6" s="10" t="s">
        <v>44</v>
      </c>
      <c r="AN6" s="10" t="s">
        <v>45</v>
      </c>
      <c r="AO6" s="10" t="s">
        <v>46</v>
      </c>
      <c r="AP6" s="10" t="s">
        <v>47</v>
      </c>
      <c r="AQ6" s="10" t="s">
        <v>48</v>
      </c>
      <c r="AR6" s="10" t="s">
        <v>49</v>
      </c>
      <c r="AS6" s="10" t="s">
        <v>50</v>
      </c>
      <c r="AT6" s="10" t="s">
        <v>51</v>
      </c>
      <c r="AU6" s="10" t="s">
        <v>52</v>
      </c>
      <c r="AV6" s="10" t="s">
        <v>53</v>
      </c>
      <c r="AW6" s="10" t="s">
        <v>54</v>
      </c>
      <c r="AX6" s="10" t="s">
        <v>55</v>
      </c>
      <c r="AY6" s="10" t="s">
        <v>56</v>
      </c>
      <c r="AZ6" s="10" t="s">
        <v>57</v>
      </c>
      <c r="BA6" s="10" t="s">
        <v>58</v>
      </c>
      <c r="BB6" s="10" t="s">
        <v>59</v>
      </c>
      <c r="BC6" s="10" t="s">
        <v>60</v>
      </c>
      <c r="BD6" s="10" t="s">
        <v>61</v>
      </c>
      <c r="BE6" s="10" t="s">
        <v>62</v>
      </c>
      <c r="BF6" s="10" t="s">
        <v>63</v>
      </c>
      <c r="BG6" s="10" t="s">
        <v>64</v>
      </c>
      <c r="BH6" s="10" t="s">
        <v>65</v>
      </c>
      <c r="BI6" s="10" t="s">
        <v>66</v>
      </c>
      <c r="BJ6" s="10" t="s">
        <v>67</v>
      </c>
      <c r="BK6" s="10" t="s">
        <v>68</v>
      </c>
      <c r="BL6" s="10" t="s">
        <v>69</v>
      </c>
      <c r="BM6" s="10" t="s">
        <v>70</v>
      </c>
      <c r="BN6" s="10" t="s">
        <v>71</v>
      </c>
      <c r="BO6" s="10" t="s">
        <v>72</v>
      </c>
      <c r="BP6" s="10" t="s">
        <v>73</v>
      </c>
      <c r="BQ6" s="10" t="s">
        <v>74</v>
      </c>
      <c r="BR6" s="10" t="s">
        <v>75</v>
      </c>
      <c r="BS6" s="10" t="s">
        <v>76</v>
      </c>
      <c r="BT6" s="10" t="s">
        <v>77</v>
      </c>
      <c r="BU6" s="10" t="s">
        <v>78</v>
      </c>
      <c r="BV6" s="10" t="s">
        <v>79</v>
      </c>
      <c r="BW6" s="10" t="s">
        <v>80</v>
      </c>
      <c r="BX6" s="10" t="s">
        <v>81</v>
      </c>
      <c r="BY6" s="10" t="s">
        <v>82</v>
      </c>
      <c r="BZ6" s="10" t="s">
        <v>83</v>
      </c>
      <c r="CA6" s="10" t="s">
        <v>84</v>
      </c>
      <c r="CB6" s="10" t="s">
        <v>85</v>
      </c>
      <c r="CC6" s="10" t="s">
        <v>86</v>
      </c>
      <c r="CD6" s="10" t="s">
        <v>87</v>
      </c>
      <c r="CE6" s="10" t="s">
        <v>88</v>
      </c>
      <c r="CF6" s="10" t="s">
        <v>89</v>
      </c>
      <c r="CG6" s="10" t="s">
        <v>90</v>
      </c>
      <c r="CH6" s="10" t="s">
        <v>91</v>
      </c>
      <c r="CI6" s="10" t="s">
        <v>92</v>
      </c>
      <c r="CJ6" s="10" t="s">
        <v>93</v>
      </c>
      <c r="CK6" s="10" t="s">
        <v>94</v>
      </c>
      <c r="CM6" s="8" t="s">
        <v>95</v>
      </c>
      <c r="CN6" s="8" t="s">
        <v>95</v>
      </c>
      <c r="CO6" s="8" t="s">
        <v>96</v>
      </c>
      <c r="CP6" s="8" t="s">
        <v>97</v>
      </c>
    </row>
    <row r="7" customFormat="false" ht="15" hidden="false" customHeight="true" outlineLevel="0" collapsed="false">
      <c r="CM7" s="11" t="s">
        <v>98</v>
      </c>
      <c r="CN7" s="11" t="s">
        <v>99</v>
      </c>
      <c r="CO7" s="11" t="s">
        <v>100</v>
      </c>
      <c r="CP7" s="11" t="s">
        <v>101</v>
      </c>
    </row>
    <row r="8" customFormat="false" ht="15" hidden="false" customHeight="true" outlineLevel="0" collapsed="false">
      <c r="B8" s="12" t="s">
        <v>102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2" t="s">
        <v>103</v>
      </c>
    </row>
    <row r="9" customFormat="false" ht="15" hidden="false" customHeight="true" outlineLevel="0" collapsed="false">
      <c r="CS9" s="14" t="s">
        <v>104</v>
      </c>
      <c r="CT9" s="15" t="s">
        <v>105</v>
      </c>
      <c r="CU9" s="15" t="s">
        <v>2</v>
      </c>
      <c r="CV9" s="15" t="s">
        <v>106</v>
      </c>
      <c r="CW9" s="16" t="s">
        <v>107</v>
      </c>
    </row>
    <row r="10" customFormat="false" ht="15" hidden="false" customHeight="true" outlineLevel="0" collapsed="false">
      <c r="B10" s="17" t="s">
        <v>108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9" t="s">
        <v>109</v>
      </c>
    </row>
    <row r="11" customFormat="false" ht="15" hidden="false" customHeight="true" outlineLevel="0" collapsed="false">
      <c r="B11" s="20" t="s">
        <v>110</v>
      </c>
      <c r="C11" s="21" t="n">
        <v>2568.776</v>
      </c>
      <c r="D11" s="21" t="n">
        <v>2734.629</v>
      </c>
      <c r="E11" s="21" t="n">
        <v>2834.568</v>
      </c>
      <c r="F11" s="21" t="n">
        <v>2755.015</v>
      </c>
      <c r="G11" s="21" t="n">
        <v>2569.357</v>
      </c>
      <c r="H11" s="21" t="n">
        <v>2692.248</v>
      </c>
      <c r="I11" s="21" t="n">
        <v>2912.261</v>
      </c>
      <c r="J11" s="21" t="n">
        <v>754.843</v>
      </c>
      <c r="K11" s="21" t="n">
        <v>755.839</v>
      </c>
      <c r="L11" s="21" t="n">
        <v>748.887</v>
      </c>
      <c r="M11" s="21" t="n">
        <v>785.018</v>
      </c>
      <c r="N11" s="21" t="n">
        <v>3044.587</v>
      </c>
      <c r="O11" s="21" t="n">
        <v>792.866</v>
      </c>
      <c r="P11" s="21" t="n">
        <v>804.316</v>
      </c>
      <c r="Q11" s="21" t="n">
        <v>801.702</v>
      </c>
      <c r="R11" s="21" t="n">
        <v>825.046</v>
      </c>
      <c r="S11" s="21" t="n">
        <v>3223.93</v>
      </c>
      <c r="T11" s="21" t="n">
        <v>873.698</v>
      </c>
      <c r="U11" s="21" t="n">
        <v>891.475</v>
      </c>
      <c r="V11" s="21" t="n">
        <v>883.401</v>
      </c>
      <c r="W11" s="21" t="n">
        <v>891.269</v>
      </c>
      <c r="X11" s="21" t="n">
        <v>3539.843</v>
      </c>
      <c r="Y11" s="21" t="n">
        <v>938.408</v>
      </c>
      <c r="Z11" s="21" t="n">
        <v>937.704</v>
      </c>
      <c r="AA11" s="21" t="n">
        <v>936.565</v>
      </c>
      <c r="AB11" s="21" t="n">
        <v>965.124</v>
      </c>
      <c r="AC11" s="21" t="n">
        <v>3777.801</v>
      </c>
      <c r="AD11" s="21" t="n">
        <v>999.596</v>
      </c>
      <c r="AE11" s="21" t="n">
        <v>1005.565</v>
      </c>
      <c r="AF11" s="21" t="n">
        <v>993.398</v>
      </c>
      <c r="AG11" s="21" t="n">
        <v>1220.015</v>
      </c>
      <c r="AH11" s="21" t="n">
        <v>4202.49</v>
      </c>
      <c r="AI11" s="21" t="n">
        <v>1311.784</v>
      </c>
      <c r="AJ11" s="21" t="n">
        <v>1308.038</v>
      </c>
      <c r="AK11" s="21" t="n">
        <v>1284.516</v>
      </c>
      <c r="AL11" s="21" t="n">
        <v>1342.786</v>
      </c>
      <c r="AM11" s="21" t="n">
        <v>5247.124</v>
      </c>
      <c r="AN11" s="21" t="n">
        <v>1374.938</v>
      </c>
      <c r="AO11" s="21" t="n">
        <v>1390.778</v>
      </c>
      <c r="AP11" s="21" t="n">
        <v>1358.322</v>
      </c>
      <c r="AQ11" s="21" t="n">
        <v>1428.392</v>
      </c>
      <c r="AR11" s="21" t="n">
        <v>5552.43</v>
      </c>
      <c r="AS11" s="21" t="n">
        <v>1454.527</v>
      </c>
      <c r="AT11" s="21" t="n">
        <v>1469.977</v>
      </c>
      <c r="AU11" s="21" t="n">
        <v>1448.021</v>
      </c>
      <c r="AV11" s="21" t="n">
        <v>1270.97</v>
      </c>
      <c r="AW11" s="21" t="n">
        <v>5643.494</v>
      </c>
      <c r="AX11" s="21" t="n">
        <v>1394.411</v>
      </c>
      <c r="AY11" s="21" t="n">
        <v>1410.488</v>
      </c>
      <c r="AZ11" s="21" t="n">
        <v>1417.865</v>
      </c>
      <c r="BA11" s="21" t="n">
        <v>1466.868</v>
      </c>
      <c r="BB11" s="21" t="n">
        <v>5689.632</v>
      </c>
      <c r="BC11" s="21" t="n">
        <v>1508.176</v>
      </c>
      <c r="BD11" s="21" t="n">
        <v>1535.271</v>
      </c>
      <c r="BE11" s="21" t="n">
        <v>1553.32</v>
      </c>
      <c r="BF11" s="21" t="n">
        <v>1630.213</v>
      </c>
      <c r="BG11" s="21" t="n">
        <v>6226.98</v>
      </c>
      <c r="BH11" s="21" t="n">
        <v>1697.772</v>
      </c>
      <c r="BI11" s="21" t="n">
        <v>1709.987</v>
      </c>
      <c r="BJ11" s="21" t="n">
        <v>1716.165</v>
      </c>
      <c r="BK11" s="21" t="n">
        <v>1773.206</v>
      </c>
      <c r="BL11" s="21" t="n">
        <v>6897.13</v>
      </c>
      <c r="BM11" s="21" t="n">
        <v>1826.825</v>
      </c>
      <c r="BN11" s="21" t="n">
        <v>1850.542</v>
      </c>
      <c r="BO11" s="21" t="n">
        <v>1876.642</v>
      </c>
      <c r="BP11" s="21" t="n">
        <v>1911.19</v>
      </c>
      <c r="BQ11" s="21" t="n">
        <v>7465.199</v>
      </c>
      <c r="BR11" s="21" t="n">
        <v>1933.839</v>
      </c>
      <c r="BS11" s="21" t="n">
        <v>1990.41</v>
      </c>
      <c r="BT11" s="21" t="n">
        <v>2021.144</v>
      </c>
      <c r="BU11" s="21" t="n">
        <v>2030.68</v>
      </c>
      <c r="BV11" s="21" t="n">
        <v>7976.073</v>
      </c>
      <c r="BW11" s="21" t="n">
        <v>2091.066</v>
      </c>
      <c r="BX11" s="21" t="n">
        <v>2155.4</v>
      </c>
      <c r="BY11" s="21" t="n">
        <v>2177.453</v>
      </c>
      <c r="BZ11" s="21" t="n">
        <v>2197.705</v>
      </c>
      <c r="CA11" s="21" t="n">
        <v>8621.624</v>
      </c>
      <c r="CB11" s="21" t="n">
        <v>2294.736</v>
      </c>
      <c r="CC11" s="22" t="n">
        <f aca="false">BX11*(1+CC12)</f>
        <v>2294.08211419214</v>
      </c>
      <c r="CD11" s="22" t="n">
        <f aca="false">BY11*(1+CD12)</f>
        <v>2317.5540418456</v>
      </c>
      <c r="CE11" s="22" t="n">
        <f aca="false">BZ11*(1+CE12)</f>
        <v>2339.10909008566</v>
      </c>
      <c r="CF11" s="22" t="n">
        <f aca="false">SUM(CB11,CC11,CD11,CE11)</f>
        <v>9245.4812461234</v>
      </c>
      <c r="CG11" s="22" t="n">
        <f aca="false">CF11*(1+CG12)</f>
        <v>9892.66493335203</v>
      </c>
      <c r="CH11" s="22" t="n">
        <f aca="false">CG11*(1+CH12)</f>
        <v>10535.6881540199</v>
      </c>
      <c r="CI11" s="22" t="n">
        <f aca="false">CH11*(1+CI12)</f>
        <v>11220.5078840312</v>
      </c>
      <c r="CJ11" s="22" t="n">
        <f aca="false">CI11*(1+CJ12)</f>
        <v>11893.7383570731</v>
      </c>
      <c r="CK11" s="23" t="s">
        <v>111</v>
      </c>
      <c r="CM11" s="24" t="n">
        <f aca="false">IFERROR((CJ11/CA11)^(1/5)-1,"n/m")</f>
        <v>0.0664631663926434</v>
      </c>
      <c r="CN11" s="24" t="n">
        <f aca="false">IFERROR((CA11/BB11)^(1/5)-1,"n/m")</f>
        <v>0.086678263911574</v>
      </c>
      <c r="CO11" s="24" t="n">
        <f aca="false">IFERROR((CA11/AC11)^(1/10)-1,"n/m")</f>
        <v>0.0860129404800931</v>
      </c>
      <c r="CP11" s="24" t="n">
        <f aca="false">IFERROR((CA11/C11)^(1/20)-1,"n/m")</f>
        <v>0.0624124275145506</v>
      </c>
      <c r="CS11" s="19" t="s">
        <v>112</v>
      </c>
      <c r="CT11" s="19" t="s">
        <v>113</v>
      </c>
      <c r="CU11" s="19" t="s">
        <v>114</v>
      </c>
      <c r="CV11" s="19" t="s">
        <v>115</v>
      </c>
      <c r="CW11" s="25" t="s">
        <v>116</v>
      </c>
    </row>
    <row r="12" customFormat="false" ht="15" hidden="false" customHeight="true" outlineLevel="0" collapsed="false">
      <c r="B12" s="26" t="s">
        <v>117</v>
      </c>
      <c r="D12" s="27" t="n">
        <f aca="false">IF(AND(ISNUMBER(D11),ISNUMBER(C11)),IFERROR(D11/C11-1,""),"")</f>
        <v>0.064564991264322</v>
      </c>
      <c r="E12" s="27" t="n">
        <f aca="false">IF(AND(ISNUMBER(E11),ISNUMBER(D11)),IFERROR(E11/D11-1,""),"")</f>
        <v>0.0365457252153767</v>
      </c>
      <c r="F12" s="27" t="n">
        <f aca="false">IF(AND(ISNUMBER(F11),ISNUMBER(E11)),IFERROR(F11/E11-1,""),"")</f>
        <v>-0.0280652995447632</v>
      </c>
      <c r="G12" s="27" t="n">
        <f aca="false">IF(AND(ISNUMBER(G11),ISNUMBER(F11)),IFERROR(G11/F11-1,""),"")</f>
        <v>-0.0673891067743733</v>
      </c>
      <c r="H12" s="27" t="n">
        <f aca="false">IF(AND(ISNUMBER(H11),ISNUMBER(G11)),IFERROR(H11/G11-1,""),"")</f>
        <v>0.0478294764020726</v>
      </c>
      <c r="I12" s="27" t="n">
        <f aca="false">IF(AND(ISNUMBER(I11),ISNUMBER(H11)),IFERROR(I11/H11-1,""),"")</f>
        <v>0.0817209261553913</v>
      </c>
      <c r="N12" s="27" t="n">
        <f aca="false">IF(AND(ISNUMBER(N11),ISNUMBER(I11)),IFERROR(N11/I11-1,""),"")</f>
        <v>0.0454375483516072</v>
      </c>
      <c r="O12" s="27" t="n">
        <f aca="false">IF(AND(ISNUMBER(O11),ISNUMBER(J11)),IFERROR(O11/J11-1,""),"")</f>
        <v>0.0503720641245928</v>
      </c>
      <c r="P12" s="27" t="n">
        <f aca="false">IF(AND(ISNUMBER(P11),ISNUMBER(K11)),IFERROR(P11/K11-1,""),"")</f>
        <v>0.0641366746092753</v>
      </c>
      <c r="Q12" s="27" t="n">
        <f aca="false">IF(AND(ISNUMBER(Q11),ISNUMBER(L11)),IFERROR(Q11/L11-1,""),"")</f>
        <v>0.0705246585933526</v>
      </c>
      <c r="R12" s="27" t="n">
        <f aca="false">IF(AND(ISNUMBER(R11),ISNUMBER(M11)),IFERROR(R11/M11-1,""),"")</f>
        <v>0.0509899136070766</v>
      </c>
      <c r="S12" s="27" t="n">
        <f aca="false">IF(AND(ISNUMBER(S11),ISNUMBER(N11)),IFERROR(S11/N11-1,""),"")</f>
        <v>0.0589055264310068</v>
      </c>
      <c r="T12" s="27" t="n">
        <f aca="false">IF(AND(ISNUMBER(T11),ISNUMBER(O11)),IFERROR(T11/O11-1,""),"")</f>
        <v>0.101949131379073</v>
      </c>
      <c r="U12" s="27" t="n">
        <f aca="false">IF(AND(ISNUMBER(U11),ISNUMBER(P11)),IFERROR(U11/P11-1,""),"")</f>
        <v>0.108364125542697</v>
      </c>
      <c r="V12" s="27" t="n">
        <f aca="false">IF(AND(ISNUMBER(V11),ISNUMBER(Q11)),IFERROR(V11/Q11-1,""),"")</f>
        <v>0.101906942978812</v>
      </c>
      <c r="W12" s="27" t="n">
        <f aca="false">IF(AND(ISNUMBER(W11),ISNUMBER(R11)),IFERROR(W11/R11-1,""),"")</f>
        <v>0.0802658276023398</v>
      </c>
      <c r="X12" s="27" t="n">
        <f aca="false">IF(AND(ISNUMBER(X11),ISNUMBER(S11)),IFERROR(X11/S11-1,""),"")</f>
        <v>0.097990030800917</v>
      </c>
      <c r="Y12" s="27" t="n">
        <f aca="false">IF(AND(ISNUMBER(Y11),ISNUMBER(T11)),IFERROR(Y11/T11-1,""),"")</f>
        <v>0.074064493680883</v>
      </c>
      <c r="Z12" s="27" t="n">
        <f aca="false">IF(AND(ISNUMBER(Z11),ISNUMBER(U11)),IFERROR(Z11/U11-1,""),"")</f>
        <v>0.0518567542555877</v>
      </c>
      <c r="AA12" s="27" t="n">
        <f aca="false">IF(AND(ISNUMBER(AA11),ISNUMBER(V11)),IFERROR(AA11/V11-1,""),"")</f>
        <v>0.0601810502818088</v>
      </c>
      <c r="AB12" s="27" t="n">
        <f aca="false">IF(AND(ISNUMBER(AB11),ISNUMBER(W11)),IFERROR(AB11/W11-1,""),"")</f>
        <v>0.0828649936214543</v>
      </c>
      <c r="AC12" s="27" t="n">
        <f aca="false">IF(AND(ISNUMBER(AC11),ISNUMBER(X11)),IFERROR(AC11/X11-1,""),"")</f>
        <v>0.0672227553594891</v>
      </c>
      <c r="AD12" s="27" t="n">
        <f aca="false">IF(AND(ISNUMBER(AD11),ISNUMBER(Y11)),IFERROR(AD11/Y11-1,""),"")</f>
        <v>0.0652040477063283</v>
      </c>
      <c r="AE12" s="27" t="n">
        <f aca="false">IF(AND(ISNUMBER(AE11),ISNUMBER(Z11)),IFERROR(AE11/Z11-1,""),"")</f>
        <v>0.0723693191028301</v>
      </c>
      <c r="AF12" s="27" t="n">
        <f aca="false">IF(AND(ISNUMBER(AF11),ISNUMBER(AA11)),IFERROR(AF11/AA11-1,""),"")</f>
        <v>0.0606823872342015</v>
      </c>
      <c r="AG12" s="27" t="n">
        <f aca="false">IF(AND(ISNUMBER(AG11),ISNUMBER(AB11)),IFERROR(AG11/AB11-1,""),"")</f>
        <v>0.264101814896324</v>
      </c>
      <c r="AH12" s="27" t="n">
        <f aca="false">IF(AND(ISNUMBER(AH11),ISNUMBER(AC11)),IFERROR(AH11/AC11-1,""),"")</f>
        <v>0.112416985436766</v>
      </c>
      <c r="AI12" s="27" t="n">
        <f aca="false">IF(AND(ISNUMBER(AI11),ISNUMBER(AD11)),IFERROR(AI11/AD11-1,""),"")</f>
        <v>0.31231417492667</v>
      </c>
      <c r="AJ12" s="27" t="n">
        <f aca="false">IF(AND(ISNUMBER(AJ11),ISNUMBER(AE11)),IFERROR(AJ11/AE11-1,""),"")</f>
        <v>0.300799053268561</v>
      </c>
      <c r="AK12" s="27" t="n">
        <f aca="false">IF(AND(ISNUMBER(AK11),ISNUMBER(AF11)),IFERROR(AK11/AF11-1,""),"")</f>
        <v>0.293052734150864</v>
      </c>
      <c r="AL12" s="27" t="n">
        <f aca="false">IF(AND(ISNUMBER(AL11),ISNUMBER(AG11)),IFERROR(AL11/AG11-1,""),"")</f>
        <v>0.100630729950042</v>
      </c>
      <c r="AM12" s="27" t="n">
        <f aca="false">IF(AND(ISNUMBER(AM11),ISNUMBER(AH11)),IFERROR(AM11/AH11-1,""),"")</f>
        <v>0.248575011481289</v>
      </c>
      <c r="AN12" s="27" t="n">
        <f aca="false">IF(AND(ISNUMBER(AN11),ISNUMBER(AI11)),IFERROR(AN11/AI11-1,""),"")</f>
        <v>0.0481435968116701</v>
      </c>
      <c r="AO12" s="27" t="n">
        <f aca="false">IF(AND(ISNUMBER(AO11),ISNUMBER(AJ11)),IFERROR(AO11/AJ11-1,""),"")</f>
        <v>0.063255043049208</v>
      </c>
      <c r="AP12" s="27" t="n">
        <f aca="false">IF(AND(ISNUMBER(AP11),ISNUMBER(AK11)),IFERROR(AP11/AK11-1,""),"")</f>
        <v>0.0574582177255867</v>
      </c>
      <c r="AQ12" s="27" t="n">
        <f aca="false">IF(AND(ISNUMBER(AQ11),ISNUMBER(AL11)),IFERROR(AQ11/AL11-1,""),"")</f>
        <v>0.0637525264636361</v>
      </c>
      <c r="AR12" s="27" t="n">
        <f aca="false">IF(AND(ISNUMBER(AR11),ISNUMBER(AM11)),IFERROR(AR11/AM11-1,""),"")</f>
        <v>0.058185398324873</v>
      </c>
      <c r="AS12" s="27" t="n">
        <f aca="false">IF(AND(ISNUMBER(AS11),ISNUMBER(AN11)),IFERROR(AS11/AN11-1,""),"")</f>
        <v>0.057885519201593</v>
      </c>
      <c r="AT12" s="27" t="n">
        <f aca="false">IF(AND(ISNUMBER(AT11),ISNUMBER(AO11)),IFERROR(AT11/AO11-1,""),"")</f>
        <v>0.0569458245672567</v>
      </c>
      <c r="AU12" s="27" t="n">
        <f aca="false">IF(AND(ISNUMBER(AU11),ISNUMBER(AP11)),IFERROR(AU11/AP11-1,""),"")</f>
        <v>0.0660366246000581</v>
      </c>
      <c r="AV12" s="27" t="n">
        <f aca="false">IF(AND(ISNUMBER(AV11),ISNUMBER(AQ11)),IFERROR(AV11/AQ11-1,""),"")</f>
        <v>-0.110209242280831</v>
      </c>
      <c r="AW12" s="27" t="n">
        <f aca="false">IF(AND(ISNUMBER(AW11),ISNUMBER(AR11)),IFERROR(AW11/AR11-1,""),"")</f>
        <v>0.016400747060296</v>
      </c>
      <c r="AX12" s="27" t="n">
        <f aca="false">IF(AND(ISNUMBER(AX11),ISNUMBER(AS11)),IFERROR(AX11/AS11-1,""),"")</f>
        <v>-0.0413302743778562</v>
      </c>
      <c r="AY12" s="27" t="n">
        <f aca="false">IF(AND(ISNUMBER(AY11),ISNUMBER(AT11)),IFERROR(AY11/AT11-1,""),"")</f>
        <v>-0.0404693406767589</v>
      </c>
      <c r="AZ12" s="27" t="n">
        <f aca="false">IF(AND(ISNUMBER(AZ11),ISNUMBER(AU11)),IFERROR(AZ11/AU11-1,""),"")</f>
        <v>-0.0208256648211593</v>
      </c>
      <c r="BA12" s="27" t="n">
        <f aca="false">IF(AND(ISNUMBER(BA11),ISNUMBER(AV11)),IFERROR(BA11/AV11-1,""),"")</f>
        <v>0.154132670322667</v>
      </c>
      <c r="BB12" s="27" t="n">
        <f aca="false">IF(AND(ISNUMBER(BB11),ISNUMBER(AW11)),IFERROR(BB11/AW11-1,""),"")</f>
        <v>0.00817543174494384</v>
      </c>
      <c r="BC12" s="27" t="n">
        <f aca="false">IF(AND(ISNUMBER(BC11),ISNUMBER(AX11)),IFERROR(BC11/AX11-1,""),"")</f>
        <v>0.0815864189252666</v>
      </c>
      <c r="BD12" s="27" t="n">
        <f aca="false">IF(AND(ISNUMBER(BD11),ISNUMBER(AY11)),IFERROR(BD11/AY11-1,""),"")</f>
        <v>0.0884679628610807</v>
      </c>
      <c r="BE12" s="27" t="n">
        <f aca="false">IF(AND(ISNUMBER(BE11),ISNUMBER(AZ11)),IFERROR(BE11/AZ11-1,""),"")</f>
        <v>0.0955344831842242</v>
      </c>
      <c r="BF12" s="27" t="n">
        <f aca="false">IF(AND(ISNUMBER(BF11),ISNUMBER(BA11)),IFERROR(BF11/BA11-1,""),"")</f>
        <v>0.111356304725442</v>
      </c>
      <c r="BG12" s="27" t="n">
        <f aca="false">IF(AND(ISNUMBER(BG11),ISNUMBER(BB11)),IFERROR(BG11/BB11-1,""),"")</f>
        <v>0.0944433664602562</v>
      </c>
      <c r="BH12" s="27" t="n">
        <f aca="false">IF(AND(ISNUMBER(BH11),ISNUMBER(BC11)),IFERROR(BH11/BC11-1,""),"")</f>
        <v>0.125712118479541</v>
      </c>
      <c r="BI12" s="27" t="n">
        <f aca="false">IF(AND(ISNUMBER(BI11),ISNUMBER(BD11)),IFERROR(BI11/BD11-1,""),"")</f>
        <v>0.113801407048007</v>
      </c>
      <c r="BJ12" s="27" t="n">
        <f aca="false">IF(AND(ISNUMBER(BJ11),ISNUMBER(BE11)),IFERROR(BJ11/BE11-1,""),"")</f>
        <v>0.104836736796024</v>
      </c>
      <c r="BK12" s="27" t="n">
        <f aca="false">IF(AND(ISNUMBER(BK11),ISNUMBER(BF11)),IFERROR(BK11/BF11-1,""),"")</f>
        <v>0.0877143048178366</v>
      </c>
      <c r="BL12" s="27" t="n">
        <f aca="false">IF(AND(ISNUMBER(BL11),ISNUMBER(BG11)),IFERROR(BL11/BG11-1,""),"")</f>
        <v>0.107620387410912</v>
      </c>
      <c r="BM12" s="27" t="n">
        <f aca="false">IF(AND(ISNUMBER(BM11),ISNUMBER(BH11)),IFERROR(BM11/BH11-1,""),"")</f>
        <v>0.0760131513536566</v>
      </c>
      <c r="BN12" s="27" t="n">
        <f aca="false">IF(AND(ISNUMBER(BN11),ISNUMBER(BI11)),IFERROR(BN11/BI11-1,""),"")</f>
        <v>0.082196531318659</v>
      </c>
      <c r="BO12" s="27" t="n">
        <f aca="false">IF(AND(ISNUMBER(BO11),ISNUMBER(BJ11)),IFERROR(BO11/BJ11-1,""),"")</f>
        <v>0.093509074010949</v>
      </c>
      <c r="BP12" s="27" t="n">
        <f aca="false">IF(AND(ISNUMBER(BP11),ISNUMBER(BK11)),IFERROR(BP11/BK11-1,""),"")</f>
        <v>0.0778161138638152</v>
      </c>
      <c r="BQ12" s="27" t="n">
        <f aca="false">IF(AND(ISNUMBER(BQ11),ISNUMBER(BL11)),IFERROR(BQ11/BL11-1,""),"")</f>
        <v>0.082363098854161</v>
      </c>
      <c r="BR12" s="27" t="n">
        <f aca="false">IF(AND(ISNUMBER(BR11),ISNUMBER(BM11)),IFERROR(BR11/BM11-1,""),"")</f>
        <v>0.0585792289901879</v>
      </c>
      <c r="BS12" s="27" t="n">
        <f aca="false">IF(AND(ISNUMBER(BS11),ISNUMBER(BN11)),IFERROR(BS11/BN11-1,""),"")</f>
        <v>0.0755821807881152</v>
      </c>
      <c r="BT12" s="27" t="n">
        <f aca="false">IF(AND(ISNUMBER(BT11),ISNUMBER(BO11)),IFERROR(BT11/BO11-1,""),"")</f>
        <v>0.0770003016025433</v>
      </c>
      <c r="BU12" s="27" t="n">
        <f aca="false">IF(AND(ISNUMBER(BU11),ISNUMBER(BP11)),IFERROR(BU11/BP11-1,""),"")</f>
        <v>0.062521256389998</v>
      </c>
      <c r="BV12" s="27" t="n">
        <f aca="false">IF(AND(ISNUMBER(BV11),ISNUMBER(BQ11)),IFERROR(BV11/BQ11-1,""),"")</f>
        <v>0.0684340765731766</v>
      </c>
      <c r="BW12" s="27" t="n">
        <f aca="false">IF(AND(ISNUMBER(BW11),ISNUMBER(BR11)),IFERROR(BW11/BR11-1,""),"")</f>
        <v>0.0813030453931274</v>
      </c>
      <c r="BX12" s="27" t="n">
        <f aca="false">IF(AND(ISNUMBER(BX11),ISNUMBER(BS11)),IFERROR(BX11/BS11-1,""),"")</f>
        <v>0.0828924693907285</v>
      </c>
      <c r="BY12" s="27" t="n">
        <f aca="false">IF(AND(ISNUMBER(BY11),ISNUMBER(BT11)),IFERROR(BY11/BT11-1,""),"")</f>
        <v>0.0773368943529011</v>
      </c>
      <c r="BZ12" s="27" t="n">
        <f aca="false">IF(AND(ISNUMBER(BZ11),ISNUMBER(BU11)),IFERROR(BZ11/BU11-1,""),"")</f>
        <v>0.0822507731400319</v>
      </c>
      <c r="CA12" s="27" t="n">
        <f aca="false">IF(AND(ISNUMBER(CA11),ISNUMBER(BV11)),IFERROR(CA11/BV11-1,""),"")</f>
        <v>0.0809359442923854</v>
      </c>
      <c r="CB12" s="27" t="n">
        <f aca="false">IF(AND(ISNUMBER(CB11),ISNUMBER(BW11)),IFERROR(CB11/BW11-1,""),"")</f>
        <v>0.0974000820634069</v>
      </c>
      <c r="CC12" s="28" t="n">
        <f aca="false">$CB$12-$CB$109+CC114</f>
        <v>0.0643417065009448</v>
      </c>
      <c r="CD12" s="28" t="n">
        <f aca="false">$CB$12-$CB$109+CD114</f>
        <v>0.0643417065009448</v>
      </c>
      <c r="CE12" s="28" t="n">
        <f aca="false">$CB$12-$CB$109+CE114</f>
        <v>0.0643417065009448</v>
      </c>
      <c r="CF12" s="28" t="n">
        <f aca="false">IFERROR(CF11/CA11-1,"")</f>
        <v>0.0723595979276521</v>
      </c>
      <c r="CG12" s="28" t="n">
        <f aca="false">CHOOSE(MATCH($CK$2,{"Bull","Base","Bear"},0),$CT$76,$CU$76,$CV$76)</f>
        <v>0.07</v>
      </c>
      <c r="CH12" s="28" t="n">
        <f aca="false">CHOOSE(MATCH($CK$2,{"Bull","Base","Bear"},0),$CT$77,$CU$77,$CV$77)</f>
        <v>0.065</v>
      </c>
      <c r="CI12" s="28" t="n">
        <f aca="false">CHOOSE(MATCH($CK$2,{"Bull","Base","Bear"},0),$CT$78,$CU$78,$CV$78)</f>
        <v>0.065</v>
      </c>
      <c r="CJ12" s="28" t="n">
        <f aca="false">CHOOSE(MATCH($CK$2,{"Bull","Base","Bear"},0),$CT$79,$CU$79,$CV$79)</f>
        <v>0.06</v>
      </c>
      <c r="CK12" s="23" t="s">
        <v>118</v>
      </c>
      <c r="CS12" s="29" t="s">
        <v>119</v>
      </c>
      <c r="CT12" s="30" t="n">
        <v>12270</v>
      </c>
      <c r="CU12" s="30" t="n">
        <v>12210</v>
      </c>
      <c r="CV12" s="30" t="n">
        <v>12150</v>
      </c>
      <c r="CW12" s="16" t="s">
        <v>120</v>
      </c>
    </row>
    <row r="13" customFormat="false" ht="15" hidden="false" customHeight="true" outlineLevel="1" collapsed="false">
      <c r="B13" s="26" t="s">
        <v>121</v>
      </c>
      <c r="AA13" s="31" t="n">
        <v>0.061</v>
      </c>
      <c r="AE13" s="31" t="n">
        <v>0.065</v>
      </c>
      <c r="AF13" s="31" t="n">
        <v>0.073</v>
      </c>
      <c r="AG13" s="31" t="n">
        <v>0.08</v>
      </c>
      <c r="AI13" s="31" t="n">
        <v>0.081</v>
      </c>
      <c r="AJ13" s="31" t="n">
        <v>0.073</v>
      </c>
      <c r="AK13" s="31" t="n">
        <v>0.065</v>
      </c>
      <c r="AL13" s="31" t="n">
        <v>0.053</v>
      </c>
      <c r="AN13" s="31" t="n">
        <v>0.049</v>
      </c>
      <c r="AO13" s="31" t="n">
        <v>0.066</v>
      </c>
      <c r="AP13" s="31" t="n">
        <v>0.062</v>
      </c>
      <c r="AQ13" s="31" t="n">
        <v>0.068</v>
      </c>
      <c r="AS13" s="31" t="n">
        <v>0.075</v>
      </c>
      <c r="AT13" s="31" t="n">
        <v>0.058</v>
      </c>
      <c r="AU13" s="31" t="n">
        <v>0.048</v>
      </c>
      <c r="AV13" s="31" t="n">
        <v>-0.096</v>
      </c>
      <c r="AX13" s="31" t="n">
        <v>-0.054</v>
      </c>
      <c r="AY13" s="31" t="n">
        <v>-0.036</v>
      </c>
      <c r="AZ13" s="31" t="n">
        <v>0</v>
      </c>
      <c r="BA13" s="31" t="n">
        <v>0.137</v>
      </c>
      <c r="BD13" s="31" t="n">
        <v>0.083</v>
      </c>
      <c r="BE13" s="31" t="n">
        <v>0.089</v>
      </c>
      <c r="BF13" s="31" t="n">
        <v>0.105</v>
      </c>
      <c r="BH13" s="31" t="n">
        <v>0.123</v>
      </c>
      <c r="BI13" s="31" t="n">
        <v>0.113</v>
      </c>
      <c r="BJ13" s="31" t="n">
        <v>0.108</v>
      </c>
      <c r="BL13" s="31" t="n">
        <v>0.108</v>
      </c>
      <c r="BM13" s="31" t="n">
        <v>0.076</v>
      </c>
      <c r="BN13" s="31" t="n">
        <v>0.079</v>
      </c>
      <c r="BO13" s="31" t="n">
        <v>0.071</v>
      </c>
      <c r="BR13" s="31" t="n">
        <v>0.07</v>
      </c>
      <c r="BS13" s="31" t="n">
        <v>0.069</v>
      </c>
      <c r="BT13" s="31" t="n">
        <v>0.07</v>
      </c>
      <c r="BW13" s="31" t="n">
        <v>0.073</v>
      </c>
      <c r="BX13" s="31" t="n">
        <v>0.078</v>
      </c>
      <c r="BY13" s="31" t="n">
        <v>0.073</v>
      </c>
      <c r="CC13" s="28" t="n">
        <f aca="false">CC12</f>
        <v>0.0643417065009448</v>
      </c>
      <c r="CD13" s="28" t="n">
        <f aca="false">CD12</f>
        <v>0.0643417065009448</v>
      </c>
      <c r="CE13" s="28" t="n">
        <f aca="false">CE12</f>
        <v>0.0643417065009448</v>
      </c>
      <c r="CF13" s="28" t="n">
        <f aca="false">CF12</f>
        <v>0.0723595979276521</v>
      </c>
      <c r="CG13" s="28" t="n">
        <f aca="false">CG12</f>
        <v>0.07</v>
      </c>
      <c r="CH13" s="28" t="n">
        <f aca="false">CH12</f>
        <v>0.065</v>
      </c>
      <c r="CI13" s="28" t="n">
        <f aca="false">CI12</f>
        <v>0.065</v>
      </c>
      <c r="CJ13" s="28" t="n">
        <f aca="false">CJ12</f>
        <v>0.06</v>
      </c>
      <c r="CK13" s="23" t="s">
        <v>122</v>
      </c>
      <c r="CS13" s="29" t="s">
        <v>123</v>
      </c>
      <c r="CT13" s="32" t="n">
        <v>5.54</v>
      </c>
      <c r="CU13" s="32" t="n">
        <v>5.495</v>
      </c>
      <c r="CV13" s="32" t="n">
        <v>5.45</v>
      </c>
      <c r="CW13" s="16" t="s">
        <v>124</v>
      </c>
    </row>
    <row r="14" customFormat="false" ht="15" hidden="false" customHeight="true" outlineLevel="1" collapsed="false">
      <c r="B14" s="26" t="s">
        <v>125</v>
      </c>
      <c r="C14" s="27" t="str">
        <f aca="false">IF(AND(ISNUMBER(C12),ISNUMBER(C13)),C12-C13,"")</f>
        <v/>
      </c>
      <c r="D14" s="27" t="str">
        <f aca="false">IF(AND(ISNUMBER(D12),ISNUMBER(D13)),D12-D13,"")</f>
        <v/>
      </c>
      <c r="E14" s="27" t="str">
        <f aca="false">IF(AND(ISNUMBER(E12),ISNUMBER(E13)),E12-E13,"")</f>
        <v/>
      </c>
      <c r="F14" s="27" t="str">
        <f aca="false">IF(AND(ISNUMBER(F12),ISNUMBER(F13)),F12-F13,"")</f>
        <v/>
      </c>
      <c r="G14" s="27" t="str">
        <f aca="false">IF(AND(ISNUMBER(G12),ISNUMBER(G13)),G12-G13,"")</f>
        <v/>
      </c>
      <c r="H14" s="27" t="str">
        <f aca="false">IF(AND(ISNUMBER(H12),ISNUMBER(H13)),H12-H13,"")</f>
        <v/>
      </c>
      <c r="I14" s="27" t="str">
        <f aca="false">IF(AND(ISNUMBER(I12),ISNUMBER(I13)),I12-I13,"")</f>
        <v/>
      </c>
      <c r="J14" s="27" t="str">
        <f aca="false">IF(AND(ISNUMBER(J12),ISNUMBER(J13)),J12-J13,"")</f>
        <v/>
      </c>
      <c r="K14" s="27" t="str">
        <f aca="false">IF(AND(ISNUMBER(K12),ISNUMBER(K13)),K12-K13,"")</f>
        <v/>
      </c>
      <c r="L14" s="27" t="str">
        <f aca="false">IF(AND(ISNUMBER(L12),ISNUMBER(L13)),L12-L13,"")</f>
        <v/>
      </c>
      <c r="M14" s="27" t="str">
        <f aca="false">IF(AND(ISNUMBER(M12),ISNUMBER(M13)),M12-M13,"")</f>
        <v/>
      </c>
      <c r="N14" s="27" t="str">
        <f aca="false">IF(AND(ISNUMBER(N12),ISNUMBER(N13)),N12-N13,"")</f>
        <v/>
      </c>
      <c r="O14" s="27" t="str">
        <f aca="false">IF(AND(ISNUMBER(O12),ISNUMBER(O13)),O12-O13,"")</f>
        <v/>
      </c>
      <c r="P14" s="27" t="str">
        <f aca="false">IF(AND(ISNUMBER(P12),ISNUMBER(P13)),P12-P13,"")</f>
        <v/>
      </c>
      <c r="Q14" s="27" t="str">
        <f aca="false">IF(AND(ISNUMBER(Q12),ISNUMBER(Q13)),Q12-Q13,"")</f>
        <v/>
      </c>
      <c r="R14" s="27" t="str">
        <f aca="false">IF(AND(ISNUMBER(R12),ISNUMBER(R13)),R12-R13,"")</f>
        <v/>
      </c>
      <c r="S14" s="27" t="str">
        <f aca="false">IF(AND(ISNUMBER(S12),ISNUMBER(S13)),S12-S13,"")</f>
        <v/>
      </c>
      <c r="T14" s="27" t="str">
        <f aca="false">IF(AND(ISNUMBER(T12),ISNUMBER(T13)),T12-T13,"")</f>
        <v/>
      </c>
      <c r="U14" s="27" t="str">
        <f aca="false">IF(AND(ISNUMBER(U12),ISNUMBER(U13)),U12-U13,"")</f>
        <v/>
      </c>
      <c r="V14" s="27" t="str">
        <f aca="false">IF(AND(ISNUMBER(V12),ISNUMBER(V13)),V12-V13,"")</f>
        <v/>
      </c>
      <c r="W14" s="27" t="str">
        <f aca="false">IF(AND(ISNUMBER(W12),ISNUMBER(W13)),W12-W13,"")</f>
        <v/>
      </c>
      <c r="X14" s="27" t="str">
        <f aca="false">IF(AND(ISNUMBER(X12),ISNUMBER(X13)),X12-X13,"")</f>
        <v/>
      </c>
      <c r="Y14" s="27" t="str">
        <f aca="false">IF(AND(ISNUMBER(Y12),ISNUMBER(Y13)),Y12-Y13,"")</f>
        <v/>
      </c>
      <c r="Z14" s="27" t="str">
        <f aca="false">IF(AND(ISNUMBER(Z12),ISNUMBER(Z13)),Z12-Z13,"")</f>
        <v/>
      </c>
      <c r="AA14" s="27" t="n">
        <f aca="false">IF(AND(ISNUMBER(AA12),ISNUMBER(AA13)),AA12-AA13,"")</f>
        <v>-0.000818949718191242</v>
      </c>
      <c r="AB14" s="27" t="str">
        <f aca="false">IF(AND(ISNUMBER(AB12),ISNUMBER(AB13)),AB12-AB13,"")</f>
        <v/>
      </c>
      <c r="AC14" s="27" t="str">
        <f aca="false">IF(AND(ISNUMBER(AC12),ISNUMBER(AC13)),AC12-AC13,"")</f>
        <v/>
      </c>
      <c r="AD14" s="27" t="str">
        <f aca="false">IF(AND(ISNUMBER(AD12),ISNUMBER(AD13)),AD12-AD13,"")</f>
        <v/>
      </c>
      <c r="AE14" s="27" t="n">
        <f aca="false">IF(AND(ISNUMBER(AE12),ISNUMBER(AE13)),AE12-AE13,"")</f>
        <v>0.00736931910283006</v>
      </c>
      <c r="AF14" s="27" t="n">
        <f aca="false">IF(AND(ISNUMBER(AF12),ISNUMBER(AF13)),AF12-AF13,"")</f>
        <v>-0.0123176127657985</v>
      </c>
      <c r="AG14" s="27" t="n">
        <f aca="false">IF(AND(ISNUMBER(AG12),ISNUMBER(AG13)),AG12-AG13,"")</f>
        <v>0.184101814896324</v>
      </c>
      <c r="AH14" s="27" t="str">
        <f aca="false">IF(AND(ISNUMBER(AH12),ISNUMBER(AH13)),AH12-AH13,"")</f>
        <v/>
      </c>
      <c r="AI14" s="27" t="n">
        <f aca="false">IF(AND(ISNUMBER(AI12),ISNUMBER(AI13)),AI12-AI13,"")</f>
        <v>0.23131417492667</v>
      </c>
      <c r="AJ14" s="27" t="n">
        <f aca="false">IF(AND(ISNUMBER(AJ12),ISNUMBER(AJ13)),AJ12-AJ13,"")</f>
        <v>0.22779905326856</v>
      </c>
      <c r="AK14" s="27" t="n">
        <f aca="false">IF(AND(ISNUMBER(AK12),ISNUMBER(AK13)),AK12-AK13,"")</f>
        <v>0.228052734150864</v>
      </c>
      <c r="AL14" s="27" t="n">
        <f aca="false">IF(AND(ISNUMBER(AL12),ISNUMBER(AL13)),AL12-AL13,"")</f>
        <v>0.0476307299500415</v>
      </c>
      <c r="AM14" s="27" t="str">
        <f aca="false">IF(AND(ISNUMBER(AM12),ISNUMBER(AM13)),AM12-AM13,"")</f>
        <v/>
      </c>
      <c r="AN14" s="27" t="n">
        <f aca="false">IF(AND(ISNUMBER(AN12),ISNUMBER(AN13)),AN12-AN13,"")</f>
        <v>-0.000856403188329871</v>
      </c>
      <c r="AO14" s="27" t="n">
        <f aca="false">IF(AND(ISNUMBER(AO12),ISNUMBER(AO13)),AO12-AO13,"")</f>
        <v>-0.00274495695079197</v>
      </c>
      <c r="AP14" s="27" t="n">
        <f aca="false">IF(AND(ISNUMBER(AP12),ISNUMBER(AP13)),AP12-AP13,"")</f>
        <v>-0.00454178227441332</v>
      </c>
      <c r="AQ14" s="27" t="n">
        <f aca="false">IF(AND(ISNUMBER(AQ12),ISNUMBER(AQ13)),AQ12-AQ13,"")</f>
        <v>-0.00424747353636396</v>
      </c>
      <c r="AR14" s="27" t="str">
        <f aca="false">IF(AND(ISNUMBER(AR12),ISNUMBER(AR13)),AR12-AR13,"")</f>
        <v/>
      </c>
      <c r="AS14" s="27" t="n">
        <f aca="false">IF(AND(ISNUMBER(AS12),ISNUMBER(AS13)),AS12-AS13,"")</f>
        <v>-0.017114480798407</v>
      </c>
      <c r="AT14" s="27" t="n">
        <f aca="false">IF(AND(ISNUMBER(AT12),ISNUMBER(AT13)),AT12-AT13,"")</f>
        <v>-0.00105417543274328</v>
      </c>
      <c r="AU14" s="27" t="n">
        <f aca="false">IF(AND(ISNUMBER(AU12),ISNUMBER(AU13)),AU12-AU13,"")</f>
        <v>0.0180366246000581</v>
      </c>
      <c r="AV14" s="27" t="n">
        <f aca="false">IF(AND(ISNUMBER(AV12),ISNUMBER(AV13)),AV12-AV13,"")</f>
        <v>-0.0142092422808305</v>
      </c>
      <c r="AW14" s="27" t="str">
        <f aca="false">IF(AND(ISNUMBER(AW12),ISNUMBER(AW13)),AW12-AW13,"")</f>
        <v/>
      </c>
      <c r="AX14" s="27" t="n">
        <f aca="false">IF(AND(ISNUMBER(AX12),ISNUMBER(AX13)),AX12-AX13,"")</f>
        <v>0.0126697256221438</v>
      </c>
      <c r="AY14" s="27" t="n">
        <f aca="false">IF(AND(ISNUMBER(AY12),ISNUMBER(AY13)),AY12-AY13,"")</f>
        <v>-0.00446934067675889</v>
      </c>
      <c r="AZ14" s="27" t="n">
        <f aca="false">IF(AND(ISNUMBER(AZ12),ISNUMBER(AZ13)),AZ12-AZ13,"")</f>
        <v>-0.0208256648211593</v>
      </c>
      <c r="BA14" s="27" t="n">
        <f aca="false">IF(AND(ISNUMBER(BA12),ISNUMBER(BA13)),BA12-BA13,"")</f>
        <v>0.0171326703226669</v>
      </c>
      <c r="BB14" s="27" t="str">
        <f aca="false">IF(AND(ISNUMBER(BB12),ISNUMBER(BB13)),BB12-BB13,"")</f>
        <v/>
      </c>
      <c r="BC14" s="27" t="str">
        <f aca="false">IF(AND(ISNUMBER(BC12),ISNUMBER(BC13)),BC12-BC13,"")</f>
        <v/>
      </c>
      <c r="BD14" s="27" t="n">
        <f aca="false">IF(AND(ISNUMBER(BD12),ISNUMBER(BD13)),BD12-BD13,"")</f>
        <v>0.00546796286108071</v>
      </c>
      <c r="BE14" s="27" t="n">
        <f aca="false">IF(AND(ISNUMBER(BE12),ISNUMBER(BE13)),BE12-BE13,"")</f>
        <v>0.0065344831842242</v>
      </c>
      <c r="BF14" s="27" t="n">
        <f aca="false">IF(AND(ISNUMBER(BF12),ISNUMBER(BF13)),BF12-BF13,"")</f>
        <v>0.00635630472544223</v>
      </c>
      <c r="BG14" s="27" t="str">
        <f aca="false">IF(AND(ISNUMBER(BG12),ISNUMBER(BG13)),BG12-BG13,"")</f>
        <v/>
      </c>
      <c r="BH14" s="27" t="n">
        <f aca="false">IF(AND(ISNUMBER(BH12),ISNUMBER(BH13)),BH12-BH13,"")</f>
        <v>0.00271211847954089</v>
      </c>
      <c r="BI14" s="27" t="n">
        <f aca="false">IF(AND(ISNUMBER(BI12),ISNUMBER(BI13)),BI12-BI13,"")</f>
        <v>0.000801407048006672</v>
      </c>
      <c r="BJ14" s="27" t="n">
        <f aca="false">IF(AND(ISNUMBER(BJ12),ISNUMBER(BJ13)),BJ12-BJ13,"")</f>
        <v>-0.00316326320397588</v>
      </c>
      <c r="BK14" s="27" t="str">
        <f aca="false">IF(AND(ISNUMBER(BK12),ISNUMBER(BK13)),BK12-BK13,"")</f>
        <v/>
      </c>
      <c r="BL14" s="27" t="n">
        <f aca="false">IF(AND(ISNUMBER(BL12),ISNUMBER(BL13)),BL12-BL13,"")</f>
        <v>-0.000379612589087933</v>
      </c>
      <c r="BM14" s="27" t="n">
        <f aca="false">IF(AND(ISNUMBER(BM12),ISNUMBER(BM13)),BM12-BM13,"")</f>
        <v>1.31513536566069E-005</v>
      </c>
      <c r="BN14" s="27" t="n">
        <f aca="false">IF(AND(ISNUMBER(BN12),ISNUMBER(BN13)),BN12-BN13,"")</f>
        <v>0.003196531318659</v>
      </c>
      <c r="BO14" s="27" t="n">
        <f aca="false">IF(AND(ISNUMBER(BO12),ISNUMBER(BO13)),BO12-BO13,"")</f>
        <v>0.022509074010949</v>
      </c>
      <c r="BP14" s="27" t="str">
        <f aca="false">IF(AND(ISNUMBER(BP12),ISNUMBER(BP13)),BP12-BP13,"")</f>
        <v/>
      </c>
      <c r="BQ14" s="27" t="str">
        <f aca="false">IF(AND(ISNUMBER(BQ12),ISNUMBER(BQ13)),BQ12-BQ13,"")</f>
        <v/>
      </c>
      <c r="BR14" s="27" t="n">
        <f aca="false">IF(AND(ISNUMBER(BR12),ISNUMBER(BR13)),BR12-BR13,"")</f>
        <v>-0.0114207710098121</v>
      </c>
      <c r="BS14" s="27" t="n">
        <f aca="false">IF(AND(ISNUMBER(BS12),ISNUMBER(BS13)),BS12-BS13,"")</f>
        <v>0.00658218078811518</v>
      </c>
      <c r="BT14" s="27" t="n">
        <f aca="false">IF(AND(ISNUMBER(BT12),ISNUMBER(BT13)),BT12-BT13,"")</f>
        <v>0.00700030160254334</v>
      </c>
      <c r="BU14" s="27" t="str">
        <f aca="false">IF(AND(ISNUMBER(BU12),ISNUMBER(BU13)),BU12-BU13,"")</f>
        <v/>
      </c>
      <c r="BV14" s="27" t="str">
        <f aca="false">IF(AND(ISNUMBER(BV12),ISNUMBER(BV13)),BV12-BV13,"")</f>
        <v/>
      </c>
      <c r="BW14" s="27" t="n">
        <f aca="false">IF(AND(ISNUMBER(BW12),ISNUMBER(BW13)),BW12-BW13,"")</f>
        <v>0.00830304539312739</v>
      </c>
      <c r="BX14" s="27" t="n">
        <f aca="false">IF(AND(ISNUMBER(BX12),ISNUMBER(BX13)),BX12-BX13,"")</f>
        <v>0.00489246939072847</v>
      </c>
      <c r="BY14" s="27" t="n">
        <f aca="false">IF(AND(ISNUMBER(BY12),ISNUMBER(BY13)),BY12-BY13,"")</f>
        <v>0.00433689435290115</v>
      </c>
      <c r="BZ14" s="27" t="str">
        <f aca="false">IF(AND(ISNUMBER(BZ12),ISNUMBER(BZ13)),BZ12-BZ13,"")</f>
        <v/>
      </c>
      <c r="CA14" s="27" t="str">
        <f aca="false">IF(AND(ISNUMBER(CA12),ISNUMBER(CA13)),CA12-CA13,"")</f>
        <v/>
      </c>
      <c r="CB14" s="27" t="str">
        <f aca="false">IF(AND(ISNUMBER(CB12),ISNUMBER(CB13)),CB12-CB13,"")</f>
        <v/>
      </c>
      <c r="CC14" s="33"/>
      <c r="CD14" s="33"/>
      <c r="CE14" s="33"/>
      <c r="CF14" s="33"/>
      <c r="CG14" s="33"/>
      <c r="CH14" s="33"/>
      <c r="CI14" s="33"/>
      <c r="CJ14" s="33"/>
      <c r="CK14" s="23"/>
    </row>
    <row r="15" customFormat="false" ht="15" hidden="false" customHeight="true" outlineLevel="0" collapsed="false">
      <c r="B15" s="29" t="s">
        <v>126</v>
      </c>
      <c r="C15" s="34" t="n">
        <v>1161.947</v>
      </c>
      <c r="D15" s="34" t="n">
        <v>1219.444</v>
      </c>
      <c r="E15" s="34" t="n">
        <v>1252.951</v>
      </c>
      <c r="F15" s="34" t="n">
        <v>1192.785</v>
      </c>
      <c r="G15" s="34" t="n">
        <v>1119.781</v>
      </c>
      <c r="H15" s="34" t="n">
        <v>1161.792</v>
      </c>
      <c r="I15" s="34" t="n">
        <v>1263.71</v>
      </c>
      <c r="J15" s="34" t="n">
        <v>326.695</v>
      </c>
      <c r="K15" s="34" t="n">
        <v>316.937</v>
      </c>
      <c r="L15" s="34" t="n">
        <v>314.078</v>
      </c>
      <c r="M15" s="34" t="n">
        <v>330.58</v>
      </c>
      <c r="N15" s="34" t="n">
        <v>1288.29</v>
      </c>
      <c r="O15" s="34" t="n">
        <v>338.135</v>
      </c>
      <c r="P15" s="34" t="n">
        <v>345.204</v>
      </c>
      <c r="Q15" s="34" t="n">
        <v>351.616</v>
      </c>
      <c r="R15" s="34" t="n">
        <v>359.548</v>
      </c>
      <c r="S15" s="34" t="n">
        <v>1394.503</v>
      </c>
      <c r="T15" s="34" t="n">
        <v>383.023</v>
      </c>
      <c r="U15" s="34" t="n">
        <v>385.652</v>
      </c>
      <c r="V15" s="34" t="n">
        <v>382.128</v>
      </c>
      <c r="W15" s="34" t="n">
        <v>381.408</v>
      </c>
      <c r="X15" s="34" t="n">
        <v>1532.211</v>
      </c>
      <c r="Y15" s="34" t="n">
        <v>419.905</v>
      </c>
      <c r="Z15" s="34" t="n">
        <v>411.613</v>
      </c>
      <c r="AA15" s="34" t="n">
        <v>411.909</v>
      </c>
      <c r="AB15" s="34" t="n">
        <v>427.581</v>
      </c>
      <c r="AC15" s="34" t="n">
        <v>1671.008</v>
      </c>
      <c r="AD15" s="34" t="n">
        <v>458.664</v>
      </c>
      <c r="AE15" s="34" t="n">
        <v>449.813</v>
      </c>
      <c r="AF15" s="34" t="n">
        <v>446.86</v>
      </c>
      <c r="AG15" s="34" t="n">
        <v>543.626</v>
      </c>
      <c r="AH15" s="34" t="n">
        <v>1894.716</v>
      </c>
      <c r="AI15" s="34" t="n">
        <v>604.921</v>
      </c>
      <c r="AJ15" s="34" t="n">
        <v>584.078</v>
      </c>
      <c r="AK15" s="34" t="n">
        <v>566.378</v>
      </c>
      <c r="AL15" s="34" t="n">
        <v>604.788</v>
      </c>
      <c r="AM15" s="34" t="n">
        <v>2360.165</v>
      </c>
      <c r="AN15" s="34" t="n">
        <v>628.485</v>
      </c>
      <c r="AO15" s="34" t="n">
        <v>629.659</v>
      </c>
      <c r="AP15" s="34" t="n">
        <v>609.351</v>
      </c>
      <c r="AQ15" s="34" t="n">
        <v>657.336</v>
      </c>
      <c r="AR15" s="34" t="n">
        <v>2524.831</v>
      </c>
      <c r="AS15" s="34" t="n">
        <v>685.851</v>
      </c>
      <c r="AT15" s="34" t="n">
        <v>685.04</v>
      </c>
      <c r="AU15" s="34" t="n">
        <v>663.091</v>
      </c>
      <c r="AV15" s="34" t="n">
        <v>554.368</v>
      </c>
      <c r="AW15" s="34" t="n">
        <v>2588.349</v>
      </c>
      <c r="AX15" s="34" t="n">
        <v>678.999</v>
      </c>
      <c r="AY15" s="34" t="n">
        <v>670.677</v>
      </c>
      <c r="AZ15" s="34" t="n">
        <v>656.015</v>
      </c>
      <c r="BA15" s="34" t="n">
        <v>700.427</v>
      </c>
      <c r="BB15" s="34" t="n">
        <v>2706.118</v>
      </c>
      <c r="BC15" s="34" t="n">
        <v>728.875</v>
      </c>
      <c r="BD15" s="34" t="n">
        <v>718.01</v>
      </c>
      <c r="BE15" s="34" t="n">
        <v>719.238</v>
      </c>
      <c r="BF15" s="34" t="n">
        <v>744.424</v>
      </c>
      <c r="BG15" s="34" t="n">
        <v>2910.547</v>
      </c>
      <c r="BH15" s="34" t="n">
        <v>807.006</v>
      </c>
      <c r="BI15" s="34" t="n">
        <v>803.26</v>
      </c>
      <c r="BJ15" s="34" t="n">
        <v>808.172</v>
      </c>
      <c r="BK15" s="34" t="n">
        <v>846.517</v>
      </c>
      <c r="BL15" s="34" t="n">
        <v>3264.955</v>
      </c>
      <c r="BM15" s="34" t="n">
        <v>879.242</v>
      </c>
      <c r="BN15" s="34" t="n">
        <v>876.311</v>
      </c>
      <c r="BO15" s="34" t="n">
        <v>916.434</v>
      </c>
      <c r="BP15" s="34" t="n">
        <v>928.141</v>
      </c>
      <c r="BQ15" s="34" t="n">
        <v>3600.128</v>
      </c>
      <c r="BR15" s="34" t="n">
        <v>952.676</v>
      </c>
      <c r="BS15" s="34" t="n">
        <v>976.358</v>
      </c>
      <c r="BT15" s="34" t="n">
        <v>1011.484</v>
      </c>
      <c r="BU15" s="34" t="n">
        <v>994.667</v>
      </c>
      <c r="BV15" s="34" t="n">
        <v>3935.185</v>
      </c>
      <c r="BW15" s="34" t="n">
        <v>1038.513</v>
      </c>
      <c r="BX15" s="34" t="n">
        <v>1074.182</v>
      </c>
      <c r="BY15" s="34" t="n">
        <v>1094.434</v>
      </c>
      <c r="BZ15" s="34" t="n">
        <v>1102.398</v>
      </c>
      <c r="CA15" s="34" t="n">
        <v>4309.527</v>
      </c>
      <c r="CB15" s="34" t="n">
        <v>1165.852</v>
      </c>
      <c r="CC15" s="35" t="n">
        <f aca="false">CC11*CC17</f>
        <v>1140.79502444294</v>
      </c>
      <c r="CD15" s="35" t="n">
        <f aca="false">CD11*CD17</f>
        <v>1162.32447673022</v>
      </c>
      <c r="CE15" s="35" t="n">
        <f aca="false">CE11*CE17</f>
        <v>1170.77738846997</v>
      </c>
      <c r="CF15" s="35" t="n">
        <f aca="false">SUM(CB15,CC15,CD15,CE15)</f>
        <v>4639.74888964313</v>
      </c>
      <c r="CG15" s="35" t="n">
        <f aca="false">CG11*CG17</f>
        <v>5045.25911600954</v>
      </c>
      <c r="CH15" s="35" t="n">
        <f aca="false">CH11*CH17</f>
        <v>5404.80802301222</v>
      </c>
      <c r="CI15" s="35" t="n">
        <f aca="false">CI11*CI17</f>
        <v>5789.7820681601</v>
      </c>
      <c r="CJ15" s="35" t="n">
        <f aca="false">CJ11*CJ17</f>
        <v>6172.85020732093</v>
      </c>
      <c r="CK15" s="23"/>
      <c r="CM15" s="24" t="n">
        <f aca="false">IFERROR((CJ15/CA15)^(1/5)-1,"n/m")</f>
        <v>0.0745118923134198</v>
      </c>
      <c r="CN15" s="24" t="n">
        <f aca="false">IFERROR((CA15/BB15)^(1/5)-1,"n/m")</f>
        <v>0.0975304424118961</v>
      </c>
      <c r="CO15" s="24" t="n">
        <f aca="false">IFERROR((CA15/AC15)^(1/10)-1,"n/m")</f>
        <v>0.0993731036965866</v>
      </c>
      <c r="CP15" s="24" t="n">
        <f aca="false">IFERROR((CA15/C15)^(1/20)-1,"n/m")</f>
        <v>0.067731767905366</v>
      </c>
      <c r="CS15" s="19" t="s">
        <v>127</v>
      </c>
      <c r="CT15" s="18"/>
      <c r="CU15" s="18"/>
      <c r="CV15" s="18"/>
    </row>
    <row r="16" customFormat="false" ht="15" hidden="false" customHeight="true" outlineLevel="1" collapsed="false">
      <c r="B16" s="29" t="s">
        <v>128</v>
      </c>
      <c r="CC16" s="28" t="n">
        <f aca="false">BX17+($CB$17-$BW$17)</f>
        <v>0.50977991681549</v>
      </c>
      <c r="CD16" s="28" t="n">
        <f aca="false">BY17+($CB$17-$BW$17)</f>
        <v>0.514033278177431</v>
      </c>
      <c r="CE16" s="28" t="n">
        <f aca="false">BZ17+($CB$17-$BW$17)</f>
        <v>0.513025370304356</v>
      </c>
      <c r="CF16" s="33"/>
      <c r="CG16" s="33"/>
      <c r="CH16" s="33"/>
      <c r="CI16" s="33"/>
      <c r="CJ16" s="33"/>
      <c r="CK16" s="23" t="s">
        <v>129</v>
      </c>
      <c r="CS16" s="29" t="s">
        <v>130</v>
      </c>
      <c r="CU16" s="36" t="n">
        <v>103</v>
      </c>
      <c r="CW16" s="16" t="s">
        <v>131</v>
      </c>
    </row>
    <row r="17" customFormat="false" ht="15" hidden="false" customHeight="true" outlineLevel="0" collapsed="false">
      <c r="B17" s="29" t="s">
        <v>132</v>
      </c>
      <c r="C17" s="37" t="n">
        <f aca="false">IF(AND(ISNUMBER(C15),ISNUMBER(C11)),IFERROR(C15/C11,""),"")</f>
        <v>0.452334886342756</v>
      </c>
      <c r="D17" s="37" t="n">
        <f aca="false">IF(AND(ISNUMBER(D15),ISNUMBER(D11)),IFERROR(D15/D11,""),"")</f>
        <v>0.445926668663281</v>
      </c>
      <c r="E17" s="37" t="n">
        <f aca="false">IF(AND(ISNUMBER(E15),ISNUMBER(E11)),IFERROR(E15/E11,""),"")</f>
        <v>0.442025380939882</v>
      </c>
      <c r="F17" s="37" t="n">
        <f aca="false">IF(AND(ISNUMBER(F15),ISNUMBER(F11)),IFERROR(F15/F11,""),"")</f>
        <v>0.432950455805141</v>
      </c>
      <c r="G17" s="37" t="n">
        <f aca="false">IF(AND(ISNUMBER(G15),ISNUMBER(G11)),IFERROR(G15/G11,""),"")</f>
        <v>0.435821491524922</v>
      </c>
      <c r="H17" s="37" t="n">
        <f aca="false">IF(AND(ISNUMBER(H15),ISNUMBER(H11)),IFERROR(H15/H11,""),"")</f>
        <v>0.431532310544942</v>
      </c>
      <c r="I17" s="37" t="n">
        <f aca="false">IF(AND(ISNUMBER(I15),ISNUMBER(I11)),IFERROR(I15/I11,""),"")</f>
        <v>0.433927453617653</v>
      </c>
      <c r="J17" s="37" t="n">
        <f aca="false">IF(AND(ISNUMBER(J15),ISNUMBER(J11)),IFERROR(J15/J11,""),"")</f>
        <v>0.432798608452354</v>
      </c>
      <c r="K17" s="37" t="n">
        <f aca="false">IF(AND(ISNUMBER(K15),ISNUMBER(K11)),IFERROR(K15/K11,""),"")</f>
        <v>0.419318135211335</v>
      </c>
      <c r="L17" s="37" t="n">
        <f aca="false">IF(AND(ISNUMBER(L15),ISNUMBER(L11)),IFERROR(L15/L11,""),"")</f>
        <v>0.419393045946852</v>
      </c>
      <c r="M17" s="37" t="n">
        <f aca="false">IF(AND(ISNUMBER(M15),ISNUMBER(M11)),IFERROR(M15/M11,""),"")</f>
        <v>0.421111363051548</v>
      </c>
      <c r="N17" s="37" t="n">
        <f aca="false">IF(AND(ISNUMBER(N15),ISNUMBER(N11)),IFERROR(N15/N11,""),"")</f>
        <v>0.42314113539866</v>
      </c>
      <c r="O17" s="37" t="n">
        <f aca="false">IF(AND(ISNUMBER(O15),ISNUMBER(O11)),IFERROR(O15/O11,""),"")</f>
        <v>0.426471812386961</v>
      </c>
      <c r="P17" s="37" t="n">
        <f aca="false">IF(AND(ISNUMBER(P15),ISNUMBER(P11)),IFERROR(P15/P11,""),"")</f>
        <v>0.429189522525972</v>
      </c>
      <c r="Q17" s="37" t="n">
        <f aca="false">IF(AND(ISNUMBER(Q15),ISNUMBER(Q11)),IFERROR(Q15/Q11,""),"")</f>
        <v>0.438586906356726</v>
      </c>
      <c r="R17" s="37" t="n">
        <f aca="false">IF(AND(ISNUMBER(R15),ISNUMBER(R11)),IFERROR(R15/R11,""),"")</f>
        <v>0.435791458900473</v>
      </c>
      <c r="S17" s="37" t="n">
        <f aca="false">IF(AND(ISNUMBER(S15),ISNUMBER(S11)),IFERROR(S15/S11,""),"")</f>
        <v>0.432547542905708</v>
      </c>
      <c r="T17" s="37" t="n">
        <f aca="false">IF(AND(ISNUMBER(T15),ISNUMBER(T11)),IFERROR(T15/T11,""),"")</f>
        <v>0.438392900063867</v>
      </c>
      <c r="U17" s="37" t="n">
        <f aca="false">IF(AND(ISNUMBER(U15),ISNUMBER(U11)),IFERROR(U15/U11,""),"")</f>
        <v>0.432599904652402</v>
      </c>
      <c r="V17" s="37" t="n">
        <f aca="false">IF(AND(ISNUMBER(V15),ISNUMBER(V11)),IFERROR(V15/V11,""),"")</f>
        <v>0.432564599768395</v>
      </c>
      <c r="W17" s="37" t="n">
        <f aca="false">IF(AND(ISNUMBER(W15),ISNUMBER(W11)),IFERROR(W15/W11,""),"")</f>
        <v>0.427938142132173</v>
      </c>
      <c r="X17" s="37" t="n">
        <f aca="false">IF(AND(ISNUMBER(X15),ISNUMBER(X11)),IFERROR(X15/X11,""),"")</f>
        <v>0.432847162995647</v>
      </c>
      <c r="Y17" s="37" t="n">
        <f aca="false">IF(AND(ISNUMBER(Y15),ISNUMBER(Y11)),IFERROR(Y15/Y11,""),"")</f>
        <v>0.447465281625903</v>
      </c>
      <c r="Z17" s="37" t="n">
        <f aca="false">IF(AND(ISNUMBER(Z15),ISNUMBER(Z11)),IFERROR(Z15/Z11,""),"")</f>
        <v>0.438958349329853</v>
      </c>
      <c r="AA17" s="37" t="n">
        <f aca="false">IF(AND(ISNUMBER(AA15),ISNUMBER(AA11)),IFERROR(AA15/AA11,""),"")</f>
        <v>0.439808235413452</v>
      </c>
      <c r="AB17" s="37" t="n">
        <f aca="false">IF(AND(ISNUMBER(AB15),ISNUMBER(AB11)),IFERROR(AB15/AB11,""),"")</f>
        <v>0.443032190682234</v>
      </c>
      <c r="AC17" s="37" t="n">
        <f aca="false">IF(AND(ISNUMBER(AC15),ISNUMBER(AC11)),IFERROR(AC15/AC11,""),"")</f>
        <v>0.442322928073766</v>
      </c>
      <c r="AD17" s="37" t="n">
        <f aca="false">IF(AND(ISNUMBER(AD15),ISNUMBER(AD11)),IFERROR(AD15/AD11,""),"")</f>
        <v>0.45884937514756</v>
      </c>
      <c r="AE17" s="37" t="n">
        <f aca="false">IF(AND(ISNUMBER(AE15),ISNUMBER(AE11)),IFERROR(AE15/AE11,""),"")</f>
        <v>0.447323643921576</v>
      </c>
      <c r="AF17" s="37" t="n">
        <f aca="false">IF(AND(ISNUMBER(AF15),ISNUMBER(AF11)),IFERROR(AF15/AF11,""),"")</f>
        <v>0.449829776182356</v>
      </c>
      <c r="AG17" s="37" t="n">
        <f aca="false">IF(AND(ISNUMBER(AG15),ISNUMBER(AG11)),IFERROR(AG15/AG11,""),"")</f>
        <v>0.445589603406515</v>
      </c>
      <c r="AH17" s="37" t="n">
        <f aca="false">IF(AND(ISNUMBER(AH15),ISNUMBER(AH11)),IFERROR(AH15/AH11,""),"")</f>
        <v>0.450855564201224</v>
      </c>
      <c r="AI17" s="37" t="n">
        <f aca="false">IF(AND(ISNUMBER(AI15),ISNUMBER(AI11)),IFERROR(AI15/AI11,""),"")</f>
        <v>0.46114375537436</v>
      </c>
      <c r="AJ17" s="37" t="n">
        <f aca="false">IF(AND(ISNUMBER(AJ15),ISNUMBER(AJ11)),IFERROR(AJ15/AJ11,""),"")</f>
        <v>0.446529840876182</v>
      </c>
      <c r="AK17" s="37" t="n">
        <f aca="false">IF(AND(ISNUMBER(AK15),ISNUMBER(AK11)),IFERROR(AK15/AK11,""),"")</f>
        <v>0.440927166341252</v>
      </c>
      <c r="AL17" s="37" t="n">
        <f aca="false">IF(AND(ISNUMBER(AL15),ISNUMBER(AL11)),IFERROR(AL15/AL11,""),"")</f>
        <v>0.450397904059172</v>
      </c>
      <c r="AM17" s="37" t="n">
        <f aca="false">IF(AND(ISNUMBER(AM15),ISNUMBER(AM11)),IFERROR(AM15/AM11,""),"")</f>
        <v>0.449801643719493</v>
      </c>
      <c r="AN17" s="37" t="n">
        <f aca="false">IF(AND(ISNUMBER(AN15),ISNUMBER(AN11)),IFERROR(AN15/AN11,""),"")</f>
        <v>0.4571006110821</v>
      </c>
      <c r="AO17" s="37" t="n">
        <f aca="false">IF(AND(ISNUMBER(AO15),ISNUMBER(AO11)),IFERROR(AO15/AO11,""),"")</f>
        <v>0.452738682952995</v>
      </c>
      <c r="AP17" s="37" t="n">
        <f aca="false">IF(AND(ISNUMBER(AP15),ISNUMBER(AP11)),IFERROR(AP15/AP11,""),"")</f>
        <v>0.448605706158039</v>
      </c>
      <c r="AQ17" s="37" t="n">
        <f aca="false">IF(AND(ISNUMBER(AQ15),ISNUMBER(AQ11)),IFERROR(AQ15/AQ11,""),"")</f>
        <v>0.46019300024083</v>
      </c>
      <c r="AR17" s="37" t="n">
        <f aca="false">IF(AND(ISNUMBER(AR15),ISNUMBER(AR11)),IFERROR(AR15/AR11,""),"")</f>
        <v>0.45472540851483</v>
      </c>
      <c r="AS17" s="37" t="n">
        <f aca="false">IF(AND(ISNUMBER(AS15),ISNUMBER(AS11)),IFERROR(AS15/AS11,""),"")</f>
        <v>0.471528545018415</v>
      </c>
      <c r="AT17" s="37" t="n">
        <f aca="false">IF(AND(ISNUMBER(AT15),ISNUMBER(AT11)),IFERROR(AT15/AT11,""),"")</f>
        <v>0.466020896925598</v>
      </c>
      <c r="AU17" s="37" t="n">
        <f aca="false">IF(AND(ISNUMBER(AU15),ISNUMBER(AU11)),IFERROR(AU15/AU11,""),"")</f>
        <v>0.457929132243248</v>
      </c>
      <c r="AV17" s="37" t="n">
        <f aca="false">IF(AND(ISNUMBER(AV15),ISNUMBER(AV11)),IFERROR(AV15/AV11,""),"")</f>
        <v>0.436177093086383</v>
      </c>
      <c r="AW17" s="37" t="n">
        <f aca="false">IF(AND(ISNUMBER(AW15),ISNUMBER(AW11)),IFERROR(AW15/AW11,""),"")</f>
        <v>0.458642996696727</v>
      </c>
      <c r="AX17" s="37" t="n">
        <f aca="false">IF(AND(ISNUMBER(AX15),ISNUMBER(AX11)),IFERROR(AX15/AX11,""),"")</f>
        <v>0.486943232662393</v>
      </c>
      <c r="AY17" s="37" t="n">
        <f aca="false">IF(AND(ISNUMBER(AY15),ISNUMBER(AY11)),IFERROR(AY15/AY11,""),"")</f>
        <v>0.475492879060297</v>
      </c>
      <c r="AZ17" s="37" t="n">
        <f aca="false">IF(AND(ISNUMBER(AZ15),ISNUMBER(AZ11)),IFERROR(AZ15/AZ11,""),"")</f>
        <v>0.46267804057509</v>
      </c>
      <c r="BA17" s="37" t="n">
        <f aca="false">IF(AND(ISNUMBER(BA15),ISNUMBER(BA11)),IFERROR(BA15/BA11,""),"")</f>
        <v>0.477498316140239</v>
      </c>
      <c r="BB17" s="37" t="n">
        <f aca="false">IF(AND(ISNUMBER(BB15),ISNUMBER(BB11)),IFERROR(BB15/BB11,""),"")</f>
        <v>0.475622676475385</v>
      </c>
      <c r="BC17" s="37" t="n">
        <f aca="false">IF(AND(ISNUMBER(BC15),ISNUMBER(BC11)),IFERROR(BC15/BC11,""),"")</f>
        <v>0.483282455098079</v>
      </c>
      <c r="BD17" s="37" t="n">
        <f aca="false">IF(AND(ISNUMBER(BD15),ISNUMBER(BD11)),IFERROR(BD15/BD11,""),"")</f>
        <v>0.467676390682818</v>
      </c>
      <c r="BE17" s="37" t="n">
        <f aca="false">IF(AND(ISNUMBER(BE15),ISNUMBER(BE11)),IFERROR(BE15/BE11,""),"")</f>
        <v>0.463032729894677</v>
      </c>
      <c r="BF17" s="37" t="n">
        <f aca="false">IF(AND(ISNUMBER(BF15),ISNUMBER(BF11)),IFERROR(BF15/BF11,""),"")</f>
        <v>0.456642168845421</v>
      </c>
      <c r="BG17" s="37" t="n">
        <f aca="false">IF(AND(ISNUMBER(BG15),ISNUMBER(BG11)),IFERROR(BG15/BG11,""),"")</f>
        <v>0.467409081127609</v>
      </c>
      <c r="BH17" s="37" t="n">
        <f aca="false">IF(AND(ISNUMBER(BH15),ISNUMBER(BH11)),IFERROR(BH15/BH11,""),"")</f>
        <v>0.475332376785575</v>
      </c>
      <c r="BI17" s="37" t="n">
        <f aca="false">IF(AND(ISNUMBER(BI15),ISNUMBER(BI11)),IFERROR(BI15/BI11,""),"")</f>
        <v>0.469746261228887</v>
      </c>
      <c r="BJ17" s="37" t="n">
        <f aca="false">IF(AND(ISNUMBER(BJ15),ISNUMBER(BJ11)),IFERROR(BJ15/BJ11,""),"")</f>
        <v>0.470917423441219</v>
      </c>
      <c r="BK17" s="37" t="n">
        <f aca="false">IF(AND(ISNUMBER(BK15),ISNUMBER(BK11)),IFERROR(BK15/BK11,""),"")</f>
        <v>0.477393489532519</v>
      </c>
      <c r="BL17" s="37" t="n">
        <f aca="false">IF(AND(ISNUMBER(BL15),ISNUMBER(BL11)),IFERROR(BL15/BL11,""),"")</f>
        <v>0.473378782189113</v>
      </c>
      <c r="BM17" s="37" t="n">
        <f aca="false">IF(AND(ISNUMBER(BM15),ISNUMBER(BM11)),IFERROR(BM15/BM11,""),"")</f>
        <v>0.481295143212951</v>
      </c>
      <c r="BN17" s="37" t="n">
        <f aca="false">IF(AND(ISNUMBER(BN15),ISNUMBER(BN11)),IFERROR(BN15/BN11,""),"")</f>
        <v>0.473542886354376</v>
      </c>
      <c r="BO17" s="37" t="n">
        <f aca="false">IF(AND(ISNUMBER(BO15),ISNUMBER(BO11)),IFERROR(BO15/BO11,""),"")</f>
        <v>0.48833714688257</v>
      </c>
      <c r="BP17" s="37" t="n">
        <f aca="false">IF(AND(ISNUMBER(BP15),ISNUMBER(BP11)),IFERROR(BP15/BP11,""),"")</f>
        <v>0.48563512785228</v>
      </c>
      <c r="BQ17" s="37" t="n">
        <f aca="false">IF(AND(ISNUMBER(BQ15),ISNUMBER(BQ11)),IFERROR(BQ15/BQ11,""),"")</f>
        <v>0.48225479320779</v>
      </c>
      <c r="BR17" s="37" t="n">
        <f aca="false">IF(AND(ISNUMBER(BR15),ISNUMBER(BR11)),IFERROR(BR15/BR11,""),"")</f>
        <v>0.492634598847164</v>
      </c>
      <c r="BS17" s="37" t="n">
        <f aca="false">IF(AND(ISNUMBER(BS15),ISNUMBER(BS11)),IFERROR(BS15/BS11,""),"")</f>
        <v>0.490531096608236</v>
      </c>
      <c r="BT17" s="37" t="n">
        <f aca="false">IF(AND(ISNUMBER(BT15),ISNUMBER(BT11)),IFERROR(BT15/BT11,""),"")</f>
        <v>0.500451229600662</v>
      </c>
      <c r="BU17" s="37" t="n">
        <f aca="false">IF(AND(ISNUMBER(BU15),ISNUMBER(BU11)),IFERROR(BU15/BU11,""),"")</f>
        <v>0.489819666318672</v>
      </c>
      <c r="BV17" s="37" t="n">
        <f aca="false">IF(AND(ISNUMBER(BV15),ISNUMBER(BV11)),IFERROR(BV15/BV11,""),"")</f>
        <v>0.493373744197176</v>
      </c>
      <c r="BW17" s="37" t="n">
        <f aca="false">IF(AND(ISNUMBER(BW15),ISNUMBER(BW11)),IFERROR(BW15/BW11,""),"")</f>
        <v>0.496642860627068</v>
      </c>
      <c r="BX17" s="37" t="n">
        <f aca="false">IF(AND(ISNUMBER(BX15),ISNUMBER(BX11)),IFERROR(BX15/BX11,""),"")</f>
        <v>0.49836782035817</v>
      </c>
      <c r="BY17" s="37" t="n">
        <f aca="false">IF(AND(ISNUMBER(BY15),ISNUMBER(BY11)),IFERROR(BY15/BY11,""),"")</f>
        <v>0.502621181720111</v>
      </c>
      <c r="BZ17" s="37" t="n">
        <f aca="false">IF(AND(ISNUMBER(BZ15),ISNUMBER(BZ11)),IFERROR(BZ15/BZ11,""),"")</f>
        <v>0.501613273847036</v>
      </c>
      <c r="CA17" s="37" t="n">
        <f aca="false">IF(AND(ISNUMBER(CA15),ISNUMBER(CA11)),IFERROR(CA15/CA11,""),"")</f>
        <v>0.499850956153968</v>
      </c>
      <c r="CB17" s="37" t="n">
        <f aca="false">IF(AND(ISNUMBER(CB15),ISNUMBER(CB11)),IFERROR(CB15/CB11,""),"")</f>
        <v>0.508054957084388</v>
      </c>
      <c r="CC17" s="28" t="n">
        <f aca="false">CC16+CC120</f>
        <v>0.497277328211363</v>
      </c>
      <c r="CD17" s="28" t="n">
        <f aca="false">CD16+CD120</f>
        <v>0.501530689573304</v>
      </c>
      <c r="CE17" s="28" t="n">
        <f aca="false">CE16+CE120</f>
        <v>0.500522781700229</v>
      </c>
      <c r="CF17" s="28" t="n">
        <f aca="false">IF(AND(ISNUMBER(CF15),ISNUMBER(CF11)),IFERROR(CF15/CF11,""),"")</f>
        <v>0.501839630207304</v>
      </c>
      <c r="CG17" s="28" t="n">
        <f aca="false">CHOOSE(MATCH($CK$2,{"Bull","Base","Bear"},0),$CT$94,$CU$94,$CV$94)</f>
        <v>0.51</v>
      </c>
      <c r="CH17" s="28" t="n">
        <f aca="false">CHOOSE(MATCH($CK$2,{"Bull","Base","Bear"},0),$CT$95,$CU$95,$CV$95)</f>
        <v>0.513</v>
      </c>
      <c r="CI17" s="28" t="n">
        <f aca="false">CHOOSE(MATCH($CK$2,{"Bull","Base","Bear"},0),$CT$96,$CU$96,$CV$96)</f>
        <v>0.516</v>
      </c>
      <c r="CJ17" s="28" t="n">
        <f aca="false">CHOOSE(MATCH($CK$2,{"Bull","Base","Bear"},0),$CT$97,$CU$97,$CV$97)</f>
        <v>0.519</v>
      </c>
      <c r="CK17" s="23" t="s">
        <v>133</v>
      </c>
      <c r="CS17" s="29" t="s">
        <v>134</v>
      </c>
      <c r="CU17" s="38" t="n">
        <v>0.204</v>
      </c>
      <c r="CW17" s="16" t="s">
        <v>135</v>
      </c>
    </row>
    <row r="18" customFormat="false" ht="15" hidden="false" customHeight="true" outlineLevel="0" collapsed="false">
      <c r="B18" s="29" t="s">
        <v>136</v>
      </c>
      <c r="D18" s="34" t="n">
        <v>757.058</v>
      </c>
      <c r="E18" s="34" t="n">
        <v>801.691</v>
      </c>
      <c r="F18" s="34" t="n">
        <v>769.275</v>
      </c>
      <c r="G18" s="34" t="n">
        <v>786.145</v>
      </c>
      <c r="H18" s="34" t="n">
        <v>822.23</v>
      </c>
      <c r="I18" s="34" t="n">
        <v>834.21</v>
      </c>
      <c r="J18" s="34" t="n">
        <v>209.788</v>
      </c>
      <c r="K18" s="34" t="n">
        <v>200.886</v>
      </c>
      <c r="L18" s="34" t="n">
        <v>211.531</v>
      </c>
      <c r="M18" s="34" t="n">
        <v>213.044</v>
      </c>
      <c r="N18" s="34" t="n">
        <v>835.249</v>
      </c>
      <c r="O18" s="34" t="n">
        <v>220.742</v>
      </c>
      <c r="P18" s="34" t="n">
        <v>219.134</v>
      </c>
      <c r="Q18" s="34" t="n">
        <v>223.234</v>
      </c>
      <c r="R18" s="34" t="n">
        <v>224.334</v>
      </c>
      <c r="S18" s="34" t="n">
        <v>887.444</v>
      </c>
      <c r="T18" s="34" t="n">
        <v>238.207</v>
      </c>
      <c r="U18" s="34" t="n">
        <v>226.085</v>
      </c>
      <c r="V18" s="34" t="n">
        <v>229.963</v>
      </c>
      <c r="W18" s="34" t="n">
        <v>231.921</v>
      </c>
      <c r="X18" s="34" t="n">
        <v>926.176</v>
      </c>
      <c r="Y18" s="34" t="n">
        <v>254.524</v>
      </c>
      <c r="Z18" s="34" t="n">
        <v>242.318</v>
      </c>
      <c r="AA18" s="34" t="n">
        <v>244.407</v>
      </c>
      <c r="AB18" s="34" t="n">
        <v>256.82</v>
      </c>
      <c r="AC18" s="34" t="n">
        <v>998.069</v>
      </c>
      <c r="AD18" s="34" t="n">
        <v>270.632</v>
      </c>
      <c r="AE18" s="34" t="n">
        <v>269.105</v>
      </c>
      <c r="AF18" s="34" t="n">
        <v>264.973</v>
      </c>
      <c r="AG18" s="34" t="n">
        <v>336.4</v>
      </c>
      <c r="AH18" s="34" t="n">
        <v>1138.345</v>
      </c>
      <c r="AI18" s="34" t="n">
        <v>382.04</v>
      </c>
      <c r="AJ18" s="34" t="n">
        <v>367.19</v>
      </c>
      <c r="AK18" s="34" t="n">
        <v>383.27</v>
      </c>
      <c r="AL18" s="34" t="n">
        <v>368.144</v>
      </c>
      <c r="AM18" s="34" t="n">
        <v>1500.644</v>
      </c>
      <c r="AN18" s="34" t="n">
        <v>392.101</v>
      </c>
      <c r="AO18" s="34" t="n">
        <v>378.921</v>
      </c>
      <c r="AP18" s="34" t="n">
        <v>369.414</v>
      </c>
      <c r="AQ18" s="34" t="n">
        <v>393.275</v>
      </c>
      <c r="AR18" s="34" t="n">
        <v>1533.711</v>
      </c>
      <c r="AS18" s="34" t="n">
        <v>416.84</v>
      </c>
      <c r="AT18" s="34" t="n">
        <v>398.68</v>
      </c>
      <c r="AU18" s="34" t="n">
        <v>391.462</v>
      </c>
      <c r="AV18" s="34" t="n">
        <v>376.809</v>
      </c>
      <c r="AW18" s="34" t="n">
        <v>1583.791</v>
      </c>
      <c r="AX18" s="34" t="n">
        <v>363.971</v>
      </c>
      <c r="AY18" s="34" t="n">
        <v>355.068</v>
      </c>
      <c r="AZ18" s="34" t="n">
        <v>372.612</v>
      </c>
      <c r="BA18" s="34" t="n">
        <v>388.627</v>
      </c>
      <c r="BB18" s="34" t="n">
        <v>1480.278</v>
      </c>
      <c r="BC18" s="34" t="n">
        <v>399.493</v>
      </c>
      <c r="BD18" s="34" t="n">
        <v>380.395</v>
      </c>
      <c r="BE18" s="34" t="n">
        <v>363.248</v>
      </c>
      <c r="BF18" s="34" t="n">
        <v>413.921</v>
      </c>
      <c r="BG18" s="34" t="n">
        <v>1557.057</v>
      </c>
      <c r="BH18" s="34" t="n">
        <v>442.235</v>
      </c>
      <c r="BI18" s="34" t="n">
        <v>434.165</v>
      </c>
      <c r="BJ18" s="34" t="n">
        <v>448.177</v>
      </c>
      <c r="BK18" s="34" t="n">
        <v>461.621</v>
      </c>
      <c r="BL18" s="34" t="n">
        <v>1786.198</v>
      </c>
      <c r="BM18" s="34" t="n">
        <v>472.713</v>
      </c>
      <c r="BN18" s="34" t="n">
        <v>476.7</v>
      </c>
      <c r="BO18" s="34" t="n">
        <v>496.027</v>
      </c>
      <c r="BP18" s="34" t="n">
        <v>495.187</v>
      </c>
      <c r="BQ18" s="34" t="n">
        <v>1940.627</v>
      </c>
      <c r="BR18" s="34" t="n">
        <v>506.238</v>
      </c>
      <c r="BS18" s="34" t="n">
        <v>503.999</v>
      </c>
      <c r="BT18" s="34" t="n">
        <v>522.001</v>
      </c>
      <c r="BU18" s="34" t="n">
        <v>529.558</v>
      </c>
      <c r="BV18" s="34" t="n">
        <v>2061.795</v>
      </c>
      <c r="BW18" s="34" t="n">
        <v>538.576</v>
      </c>
      <c r="BX18" s="34" t="n">
        <v>548.451</v>
      </c>
      <c r="BY18" s="34" t="n">
        <v>573.409</v>
      </c>
      <c r="BZ18" s="34" t="n">
        <v>572.93</v>
      </c>
      <c r="CA18" s="34" t="n">
        <v>2232.515</v>
      </c>
      <c r="CB18" s="34" t="n">
        <v>590.764</v>
      </c>
      <c r="CC18" s="35" t="n">
        <f aca="false">CC11*CC19</f>
        <v>583.470003425173</v>
      </c>
      <c r="CD18" s="35" t="n">
        <f aca="false">CD11*CD19</f>
        <v>610.031088698474</v>
      </c>
      <c r="CE18" s="35" t="n">
        <f aca="false">CE11*CE19</f>
        <v>609.518738978868</v>
      </c>
      <c r="CF18" s="35" t="n">
        <f aca="false">SUM(CB18,CC18,CD18,CE18)</f>
        <v>2393.78383110252</v>
      </c>
      <c r="CG18" s="35" t="n">
        <f aca="false">CG11*CG19</f>
        <v>2541.49935022159</v>
      </c>
      <c r="CH18" s="35" t="n">
        <f aca="false">CH11*CH19</f>
        <v>2685.62543167796</v>
      </c>
      <c r="CI18" s="35" t="n">
        <f aca="false">CI11*CI19</f>
        <v>2837.75006896896</v>
      </c>
      <c r="CJ18" s="35" t="n">
        <f aca="false">CJ11*CJ19</f>
        <v>2984.22759639295</v>
      </c>
      <c r="CK18" s="23"/>
      <c r="CS18" s="29" t="s">
        <v>137</v>
      </c>
      <c r="CU18" s="36" t="n">
        <v>404.29</v>
      </c>
      <c r="CW18" s="16" t="s">
        <v>138</v>
      </c>
    </row>
    <row r="19" customFormat="false" ht="15" hidden="false" customHeight="true" outlineLevel="0" collapsed="false">
      <c r="B19" s="29" t="s">
        <v>139</v>
      </c>
      <c r="C19" s="37" t="str">
        <f aca="false">IF(AND(ISNUMBER(C18),ISNUMBER(C11)),IFERROR(C18/C11,""),"")</f>
        <v/>
      </c>
      <c r="D19" s="37" t="n">
        <f aca="false">IF(AND(ISNUMBER(D18),ISNUMBER(D11)),IFERROR(D18/D11,""),"")</f>
        <v>0.276841209538844</v>
      </c>
      <c r="E19" s="37" t="n">
        <f aca="false">IF(AND(ISNUMBER(E18),ISNUMBER(E11)),IFERROR(E18/E11,""),"")</f>
        <v>0.282826518891062</v>
      </c>
      <c r="F19" s="37" t="n">
        <f aca="false">IF(AND(ISNUMBER(F18),ISNUMBER(F11)),IFERROR(F18/F11,""),"")</f>
        <v>0.279227154843077</v>
      </c>
      <c r="G19" s="37" t="n">
        <f aca="false">IF(AND(ISNUMBER(G18),ISNUMBER(G11)),IFERROR(G18/G11,""),"")</f>
        <v>0.305969548023105</v>
      </c>
      <c r="H19" s="37" t="n">
        <f aca="false">IF(AND(ISNUMBER(H18),ISNUMBER(H11)),IFERROR(H18/H11,""),"")</f>
        <v>0.305406485583795</v>
      </c>
      <c r="I19" s="37" t="n">
        <f aca="false">IF(AND(ISNUMBER(I18),ISNUMBER(I11)),IFERROR(I18/I11,""),"")</f>
        <v>0.286447540244504</v>
      </c>
      <c r="J19" s="37" t="n">
        <f aca="false">IF(AND(ISNUMBER(J18),ISNUMBER(J11)),IFERROR(J18/J11,""),"")</f>
        <v>0.277922693858193</v>
      </c>
      <c r="K19" s="37" t="n">
        <f aca="false">IF(AND(ISNUMBER(K18),ISNUMBER(K11)),IFERROR(K18/K11,""),"")</f>
        <v>0.265778823267918</v>
      </c>
      <c r="L19" s="37" t="n">
        <f aca="false">IF(AND(ISNUMBER(L18),ISNUMBER(L11)),IFERROR(L18/L11,""),"")</f>
        <v>0.282460504722341</v>
      </c>
      <c r="M19" s="37" t="n">
        <f aca="false">IF(AND(ISNUMBER(M18),ISNUMBER(M11)),IFERROR(M18/M11,""),"")</f>
        <v>0.271387407677276</v>
      </c>
      <c r="N19" s="37" t="n">
        <f aca="false">IF(AND(ISNUMBER(N18),ISNUMBER(N11)),IFERROR(N18/N11,""),"")</f>
        <v>0.274339015439533</v>
      </c>
      <c r="O19" s="37" t="n">
        <f aca="false">IF(AND(ISNUMBER(O18),ISNUMBER(O11)),IFERROR(O18/O11,""),"")</f>
        <v>0.278410223165075</v>
      </c>
      <c r="P19" s="37" t="n">
        <f aca="false">IF(AND(ISNUMBER(P18),ISNUMBER(P11)),IFERROR(P18/P11,""),"")</f>
        <v>0.272447644955465</v>
      </c>
      <c r="Q19" s="37" t="n">
        <f aca="false">IF(AND(ISNUMBER(Q18),ISNUMBER(Q11)),IFERROR(Q18/Q11,""),"")</f>
        <v>0.278450097417744</v>
      </c>
      <c r="R19" s="37" t="n">
        <f aca="false">IF(AND(ISNUMBER(R18),ISNUMBER(R11)),IFERROR(R18/R11,""),"")</f>
        <v>0.271904839245327</v>
      </c>
      <c r="S19" s="37" t="n">
        <f aca="false">IF(AND(ISNUMBER(S18),ISNUMBER(S11)),IFERROR(S18/S11,""),"")</f>
        <v>0.275267763257887</v>
      </c>
      <c r="T19" s="37" t="n">
        <f aca="false">IF(AND(ISNUMBER(T18),ISNUMBER(T11)),IFERROR(T18/T11,""),"")</f>
        <v>0.272642263116088</v>
      </c>
      <c r="U19" s="37" t="n">
        <f aca="false">IF(AND(ISNUMBER(U18),ISNUMBER(U11)),IFERROR(U18/U11,""),"")</f>
        <v>0.253607784850949</v>
      </c>
      <c r="V19" s="37" t="n">
        <f aca="false">IF(AND(ISNUMBER(V18),ISNUMBER(V11)),IFERROR(V18/V11,""),"")</f>
        <v>0.260315530546151</v>
      </c>
      <c r="W19" s="37" t="n">
        <f aca="false">IF(AND(ISNUMBER(W18),ISNUMBER(W11)),IFERROR(W18/W11,""),"")</f>
        <v>0.260214368501541</v>
      </c>
      <c r="X19" s="37" t="n">
        <f aca="false">IF(AND(ISNUMBER(X18),ISNUMBER(X11)),IFERROR(X18/X11,""),"")</f>
        <v>0.261643242369789</v>
      </c>
      <c r="Y19" s="37" t="n">
        <f aca="false">IF(AND(ISNUMBER(Y18),ISNUMBER(Y11)),IFERROR(Y18/Y11,""),"")</f>
        <v>0.271229571785407</v>
      </c>
      <c r="Z19" s="37" t="n">
        <f aca="false">IF(AND(ISNUMBER(Z18),ISNUMBER(Z11)),IFERROR(Z18/Z11,""),"")</f>
        <v>0.25841630194603</v>
      </c>
      <c r="AA19" s="37" t="n">
        <f aca="false">IF(AND(ISNUMBER(AA18),ISNUMBER(AA11)),IFERROR(AA18/AA11,""),"")</f>
        <v>0.260961065168995</v>
      </c>
      <c r="AB19" s="37" t="n">
        <f aca="false">IF(AND(ISNUMBER(AB18),ISNUMBER(AB11)),IFERROR(AB18/AB11,""),"")</f>
        <v>0.266100521798235</v>
      </c>
      <c r="AC19" s="37" t="n">
        <f aca="false">IF(AND(ISNUMBER(AC18),ISNUMBER(AC11)),IFERROR(AC18/AC11,""),"")</f>
        <v>0.264193111283522</v>
      </c>
      <c r="AD19" s="37" t="n">
        <f aca="false">IF(AND(ISNUMBER(AD18),ISNUMBER(AD11)),IFERROR(AD18/AD11,""),"")</f>
        <v>0.270741379517325</v>
      </c>
      <c r="AE19" s="37" t="n">
        <f aca="false">IF(AND(ISNUMBER(AE18),ISNUMBER(AE11)),IFERROR(AE18/AE11,""),"")</f>
        <v>0.267615718526401</v>
      </c>
      <c r="AF19" s="37" t="n">
        <f aca="false">IF(AND(ISNUMBER(AF18),ISNUMBER(AF11)),IFERROR(AF18/AF11,""),"")</f>
        <v>0.266733977720913</v>
      </c>
      <c r="AG19" s="37" t="n">
        <f aca="false">IF(AND(ISNUMBER(AG18),ISNUMBER(AG11)),IFERROR(AG18/AG11,""),"")</f>
        <v>0.275734314742032</v>
      </c>
      <c r="AH19" s="37" t="n">
        <f aca="false">IF(AND(ISNUMBER(AH18),ISNUMBER(AH11)),IFERROR(AH18/AH11,""),"")</f>
        <v>0.270873934262782</v>
      </c>
      <c r="AI19" s="37" t="n">
        <f aca="false">IF(AND(ISNUMBER(AI18),ISNUMBER(AI11)),IFERROR(AI18/AI11,""),"")</f>
        <v>0.291236971940502</v>
      </c>
      <c r="AJ19" s="37" t="n">
        <f aca="false">IF(AND(ISNUMBER(AJ18),ISNUMBER(AJ11)),IFERROR(AJ18/AJ11,""),"")</f>
        <v>0.280718144274096</v>
      </c>
      <c r="AK19" s="37" t="n">
        <f aca="false">IF(AND(ISNUMBER(AK18),ISNUMBER(AK11)),IFERROR(AK18/AK11,""),"")</f>
        <v>0.298376976230736</v>
      </c>
      <c r="AL19" s="37" t="n">
        <f aca="false">IF(AND(ISNUMBER(AL18),ISNUMBER(AL11)),IFERROR(AL18/AL11,""),"")</f>
        <v>0.274164312109301</v>
      </c>
      <c r="AM19" s="37" t="n">
        <f aca="false">IF(AND(ISNUMBER(AM18),ISNUMBER(AM11)),IFERROR(AM18/AM11,""),"")</f>
        <v>0.285993622411058</v>
      </c>
      <c r="AN19" s="37" t="n">
        <f aca="false">IF(AND(ISNUMBER(AN18),ISNUMBER(AN11)),IFERROR(AN18/AN11,""),"")</f>
        <v>0.28517722253658</v>
      </c>
      <c r="AO19" s="37" t="n">
        <f aca="false">IF(AND(ISNUMBER(AO18),ISNUMBER(AO11)),IFERROR(AO18/AO11,""),"")</f>
        <v>0.272452540951899</v>
      </c>
      <c r="AP19" s="37" t="n">
        <f aca="false">IF(AND(ISNUMBER(AP18),ISNUMBER(AP11)),IFERROR(AP18/AP11,""),"")</f>
        <v>0.271963496137146</v>
      </c>
      <c r="AQ19" s="37" t="n">
        <f aca="false">IF(AND(ISNUMBER(AQ18),ISNUMBER(AQ11)),IFERROR(AQ18/AQ11,""),"")</f>
        <v>0.275327081081384</v>
      </c>
      <c r="AR19" s="37" t="n">
        <f aca="false">IF(AND(ISNUMBER(AR18),ISNUMBER(AR11)),IFERROR(AR18/AR11,""),"")</f>
        <v>0.276223383275431</v>
      </c>
      <c r="AS19" s="37" t="n">
        <f aca="false">IF(AND(ISNUMBER(AS18),ISNUMBER(AS11)),IFERROR(AS18/AS11,""),"")</f>
        <v>0.286581135998163</v>
      </c>
      <c r="AT19" s="37" t="n">
        <f aca="false">IF(AND(ISNUMBER(AT18),ISNUMBER(AT11)),IFERROR(AT18/AT11,""),"")</f>
        <v>0.271215127855742</v>
      </c>
      <c r="AU19" s="37" t="n">
        <f aca="false">IF(AND(ISNUMBER(AU18),ISNUMBER(AU11)),IFERROR(AU18/AU11,""),"")</f>
        <v>0.270342764365986</v>
      </c>
      <c r="AV19" s="37" t="n">
        <f aca="false">IF(AND(ISNUMBER(AV18),ISNUMBER(AV11)),IFERROR(AV18/AV11,""),"")</f>
        <v>0.296473559564742</v>
      </c>
      <c r="AW19" s="37" t="n">
        <f aca="false">IF(AND(ISNUMBER(AW18),ISNUMBER(AW11)),IFERROR(AW18/AW11,""),"")</f>
        <v>0.28064014952439</v>
      </c>
      <c r="AX19" s="37" t="n">
        <f aca="false">IF(AND(ISNUMBER(AX18),ISNUMBER(AX11)),IFERROR(AX18/AX11,""),"")</f>
        <v>0.261021320112937</v>
      </c>
      <c r="AY19" s="37" t="n">
        <f aca="false">IF(AND(ISNUMBER(AY18),ISNUMBER(AY11)),IFERROR(AY18/AY11,""),"")</f>
        <v>0.251734151584416</v>
      </c>
      <c r="AZ19" s="37" t="n">
        <f aca="false">IF(AND(ISNUMBER(AZ18),ISNUMBER(AZ11)),IFERROR(AZ18/AZ11,""),"")</f>
        <v>0.262797939154997</v>
      </c>
      <c r="BA19" s="37" t="n">
        <f aca="false">IF(AND(ISNUMBER(BA18),ISNUMBER(BA11)),IFERROR(BA18/BA11,""),"")</f>
        <v>0.264936585977743</v>
      </c>
      <c r="BB19" s="37" t="n">
        <f aca="false">IF(AND(ISNUMBER(BB18),ISNUMBER(BB11)),IFERROR(BB18/BB11,""),"")</f>
        <v>0.260171132333339</v>
      </c>
      <c r="BC19" s="37" t="n">
        <f aca="false">IF(AND(ISNUMBER(BC18),ISNUMBER(BC11)),IFERROR(BC18/BC11,""),"")</f>
        <v>0.264884867548615</v>
      </c>
      <c r="BD19" s="37" t="n">
        <f aca="false">IF(AND(ISNUMBER(BD18),ISNUMBER(BD11)),IFERROR(BD18/BD11,""),"")</f>
        <v>0.247770589036072</v>
      </c>
      <c r="BE19" s="37" t="n">
        <f aca="false">IF(AND(ISNUMBER(BE18),ISNUMBER(BE11)),IFERROR(BE18/BE11,""),"")</f>
        <v>0.233852651095718</v>
      </c>
      <c r="BF19" s="37" t="n">
        <f aca="false">IF(AND(ISNUMBER(BF18),ISNUMBER(BF11)),IFERROR(BF18/BF11,""),"")</f>
        <v>0.25390608466501</v>
      </c>
      <c r="BG19" s="37" t="n">
        <f aca="false">IF(AND(ISNUMBER(BG18),ISNUMBER(BG11)),IFERROR(BG18/BG11,""),"")</f>
        <v>0.25005010454506</v>
      </c>
      <c r="BH19" s="37" t="n">
        <f aca="false">IF(AND(ISNUMBER(BH18),ISNUMBER(BH11)),IFERROR(BH18/BH11,""),"")</f>
        <v>0.26047961681545</v>
      </c>
      <c r="BI19" s="37" t="n">
        <f aca="false">IF(AND(ISNUMBER(BI18),ISNUMBER(BI11)),IFERROR(BI18/BI11,""),"")</f>
        <v>0.253899591049523</v>
      </c>
      <c r="BJ19" s="37" t="n">
        <f aca="false">IF(AND(ISNUMBER(BJ18),ISNUMBER(BJ11)),IFERROR(BJ18/BJ11,""),"")</f>
        <v>0.261150297319896</v>
      </c>
      <c r="BK19" s="37" t="n">
        <f aca="false">IF(AND(ISNUMBER(BK18),ISNUMBER(BK11)),IFERROR(BK18/BK11,""),"")</f>
        <v>0.260331286945792</v>
      </c>
      <c r="BL19" s="37" t="n">
        <f aca="false">IF(AND(ISNUMBER(BL18),ISNUMBER(BL11)),IFERROR(BL18/BL11,""),"")</f>
        <v>0.258976994778988</v>
      </c>
      <c r="BM19" s="37" t="n">
        <f aca="false">IF(AND(ISNUMBER(BM18),ISNUMBER(BM11)),IFERROR(BM18/BM11,""),"")</f>
        <v>0.25876205985795</v>
      </c>
      <c r="BN19" s="37" t="n">
        <f aca="false">IF(AND(ISNUMBER(BN18),ISNUMBER(BN11)),IFERROR(BN18/BN11,""),"")</f>
        <v>0.257600205777551</v>
      </c>
      <c r="BO19" s="37" t="n">
        <f aca="false">IF(AND(ISNUMBER(BO18),ISNUMBER(BO11)),IFERROR(BO18/BO11,""),"")</f>
        <v>0.264316262771482</v>
      </c>
      <c r="BP19" s="37" t="n">
        <f aca="false">IF(AND(ISNUMBER(BP18),ISNUMBER(BP11)),IFERROR(BP18/BP11,""),"")</f>
        <v>0.259098781387512</v>
      </c>
      <c r="BQ19" s="37" t="n">
        <f aca="false">IF(AND(ISNUMBER(BQ18),ISNUMBER(BQ11)),IFERROR(BQ18/BQ11,""),"")</f>
        <v>0.259956499485144</v>
      </c>
      <c r="BR19" s="37" t="n">
        <f aca="false">IF(AND(ISNUMBER(BR18),ISNUMBER(BR11)),IFERROR(BR18/BR11,""),"")</f>
        <v>0.261778772689971</v>
      </c>
      <c r="BS19" s="37" t="n">
        <f aca="false">IF(AND(ISNUMBER(BS18),ISNUMBER(BS11)),IFERROR(BS18/BS11,""),"")</f>
        <v>0.25321365949729</v>
      </c>
      <c r="BT19" s="37" t="n">
        <f aca="false">IF(AND(ISNUMBER(BT18),ISNUMBER(BT11)),IFERROR(BT18/BT11,""),"")</f>
        <v>0.258270068832305</v>
      </c>
      <c r="BU19" s="37" t="n">
        <f aca="false">IF(AND(ISNUMBER(BU18),ISNUMBER(BU11)),IFERROR(BU18/BU11,""),"")</f>
        <v>0.260778655425769</v>
      </c>
      <c r="BV19" s="37" t="n">
        <f aca="false">IF(AND(ISNUMBER(BV18),ISNUMBER(BV11)),IFERROR(BV18/BV11,""),"")</f>
        <v>0.258497508736442</v>
      </c>
      <c r="BW19" s="37" t="n">
        <f aca="false">IF(AND(ISNUMBER(BW18),ISNUMBER(BW11)),IFERROR(BW18/BW11,""),"")</f>
        <v>0.257560497851335</v>
      </c>
      <c r="BX19" s="37" t="n">
        <f aca="false">IF(AND(ISNUMBER(BX18),ISNUMBER(BX11)),IFERROR(BX18/BX11,""),"")</f>
        <v>0.254454393616034</v>
      </c>
      <c r="BY19" s="37" t="n">
        <f aca="false">IF(AND(ISNUMBER(BY18),ISNUMBER(BY11)),IFERROR(BY18/BY11,""),"")</f>
        <v>0.263339323512379</v>
      </c>
      <c r="BZ19" s="37" t="n">
        <f aca="false">IF(AND(ISNUMBER(BZ18),ISNUMBER(BZ11)),IFERROR(BZ18/BZ11,""),"")</f>
        <v>0.260694679222189</v>
      </c>
      <c r="CA19" s="37" t="n">
        <f aca="false">IF(AND(ISNUMBER(CA18),ISNUMBER(CA11)),IFERROR(CA18/CA11,""),"")</f>
        <v>0.258943674648767</v>
      </c>
      <c r="CB19" s="37" t="n">
        <f aca="false">IF(AND(ISNUMBER(CB18),ISNUMBER(CB11)),IFERROR(CB18/CB11,""),"")</f>
        <v>0.257443121997476</v>
      </c>
      <c r="CC19" s="28" t="n">
        <f aca="false">BX19+($CB$19-$BW$19)</f>
        <v>0.254337017762175</v>
      </c>
      <c r="CD19" s="28" t="n">
        <f aca="false">BY19+($CB$19-$BW$19)</f>
        <v>0.26322194765852</v>
      </c>
      <c r="CE19" s="28" t="n">
        <f aca="false">BZ19+($CB$19-$BW$19)</f>
        <v>0.260577303368329</v>
      </c>
      <c r="CF19" s="28" t="n">
        <f aca="false">IF(AND(ISNUMBER(CF18),ISNUMBER(CF11)),IFERROR(CF18/CF11,""),"")</f>
        <v>0.258913924259618</v>
      </c>
      <c r="CG19" s="28" t="n">
        <f aca="false">$CF$19+(CG124-$CF$123)</f>
        <v>0.256907452879882</v>
      </c>
      <c r="CH19" s="28" t="n">
        <f aca="false">$CF$19+(CH124-$CF$123)</f>
        <v>0.254907452879882</v>
      </c>
      <c r="CI19" s="28" t="n">
        <f aca="false">$CF$19+(CI124-$CF$123)</f>
        <v>0.252907452879882</v>
      </c>
      <c r="CJ19" s="28" t="n">
        <f aca="false">$CF$19+(CJ124-$CF$123)</f>
        <v>0.250907452879882</v>
      </c>
      <c r="CK19" s="23" t="s">
        <v>140</v>
      </c>
      <c r="CS19" s="29" t="s">
        <v>141</v>
      </c>
      <c r="CU19" s="38" t="n">
        <v>0.21</v>
      </c>
      <c r="CW19" s="16" t="s">
        <v>142</v>
      </c>
    </row>
    <row r="20" customFormat="false" ht="15" hidden="false" customHeight="true" outlineLevel="0" collapsed="false">
      <c r="B20" s="20" t="s">
        <v>143</v>
      </c>
      <c r="C20" s="39" t="str">
        <f aca="false">IF(AND(ISNUMBER(C15),ISNUMBER(C18)),C15-C18,"")</f>
        <v/>
      </c>
      <c r="D20" s="39" t="n">
        <f aca="false">IF(AND(ISNUMBER(D15),ISNUMBER(D18)),D15-D18,"")</f>
        <v>462.386</v>
      </c>
      <c r="E20" s="39" t="n">
        <f aca="false">IF(AND(ISNUMBER(E15),ISNUMBER(E18)),E15-E18,"")</f>
        <v>451.26</v>
      </c>
      <c r="F20" s="39" t="n">
        <f aca="false">IF(AND(ISNUMBER(F15),ISNUMBER(F18)),F15-F18,"")</f>
        <v>423.51</v>
      </c>
      <c r="G20" s="39" t="n">
        <f aca="false">IF(AND(ISNUMBER(G15),ISNUMBER(G18)),G15-G18,"")</f>
        <v>333.636</v>
      </c>
      <c r="H20" s="39" t="n">
        <f aca="false">IF(AND(ISNUMBER(H15),ISNUMBER(H18)),H15-H18,"")</f>
        <v>339.562</v>
      </c>
      <c r="I20" s="39" t="n">
        <f aca="false">IF(AND(ISNUMBER(I15),ISNUMBER(I18)),I15-I18,"")</f>
        <v>429.5</v>
      </c>
      <c r="J20" s="39" t="n">
        <f aca="false">IF(AND(ISNUMBER(J15),ISNUMBER(J18)),J15-J18,"")</f>
        <v>116.907</v>
      </c>
      <c r="K20" s="39" t="n">
        <f aca="false">IF(AND(ISNUMBER(K15),ISNUMBER(K18)),K15-K18,"")</f>
        <v>116.051</v>
      </c>
      <c r="L20" s="39" t="n">
        <f aca="false">IF(AND(ISNUMBER(L15),ISNUMBER(L18)),L15-L18,"")</f>
        <v>102.547</v>
      </c>
      <c r="M20" s="39" t="n">
        <f aca="false">IF(AND(ISNUMBER(M15),ISNUMBER(M18)),M15-M18,"")</f>
        <v>117.536</v>
      </c>
      <c r="N20" s="39" t="n">
        <f aca="false">IF(AND(ISNUMBER(N15),ISNUMBER(N18)),N15-N18,"")</f>
        <v>453.041</v>
      </c>
      <c r="O20" s="39" t="n">
        <f aca="false">IF(AND(ISNUMBER(O15),ISNUMBER(O18)),O15-O18,"")</f>
        <v>117.393</v>
      </c>
      <c r="P20" s="39" t="n">
        <f aca="false">IF(AND(ISNUMBER(P15),ISNUMBER(P18)),P15-P18,"")</f>
        <v>126.07</v>
      </c>
      <c r="Q20" s="39" t="n">
        <f aca="false">IF(AND(ISNUMBER(Q15),ISNUMBER(Q18)),Q15-Q18,"")</f>
        <v>128.382</v>
      </c>
      <c r="R20" s="39" t="n">
        <f aca="false">IF(AND(ISNUMBER(R15),ISNUMBER(R18)),R15-R18,"")</f>
        <v>135.214</v>
      </c>
      <c r="S20" s="39" t="n">
        <f aca="false">IF(AND(ISNUMBER(S15),ISNUMBER(S18)),S15-S18,"")</f>
        <v>507.059</v>
      </c>
      <c r="T20" s="39" t="n">
        <f aca="false">IF(AND(ISNUMBER(T15),ISNUMBER(T18)),T15-T18,"")</f>
        <v>144.816</v>
      </c>
      <c r="U20" s="39" t="n">
        <f aca="false">IF(AND(ISNUMBER(U15),ISNUMBER(U18)),U15-U18,"")</f>
        <v>159.567</v>
      </c>
      <c r="V20" s="39" t="n">
        <f aca="false">IF(AND(ISNUMBER(V15),ISNUMBER(V18)),V15-V18,"")</f>
        <v>152.165</v>
      </c>
      <c r="W20" s="39" t="n">
        <f aca="false">IF(AND(ISNUMBER(W15),ISNUMBER(W18)),W15-W18,"")</f>
        <v>149.487</v>
      </c>
      <c r="X20" s="39" t="n">
        <f aca="false">IF(AND(ISNUMBER(X15),ISNUMBER(X18)),X15-X18,"")</f>
        <v>606.035</v>
      </c>
      <c r="Y20" s="39" t="n">
        <f aca="false">IF(AND(ISNUMBER(Y15),ISNUMBER(Y18)),Y15-Y18,"")</f>
        <v>165.381</v>
      </c>
      <c r="Z20" s="39" t="n">
        <f aca="false">IF(AND(ISNUMBER(Z15),ISNUMBER(Z18)),Z15-Z18,"")</f>
        <v>169.295</v>
      </c>
      <c r="AA20" s="39" t="n">
        <f aca="false">IF(AND(ISNUMBER(AA15),ISNUMBER(AA18)),AA15-AA18,"")</f>
        <v>167.502</v>
      </c>
      <c r="AB20" s="39" t="n">
        <f aca="false">IF(AND(ISNUMBER(AB15),ISNUMBER(AB18)),AB15-AB18,"")</f>
        <v>170.761</v>
      </c>
      <c r="AC20" s="39" t="n">
        <f aca="false">IF(AND(ISNUMBER(AC15),ISNUMBER(AC18)),AC15-AC18,"")</f>
        <v>672.939</v>
      </c>
      <c r="AD20" s="39" t="n">
        <f aca="false">IF(AND(ISNUMBER(AD15),ISNUMBER(AD18)),AD15-AD18,"")</f>
        <v>188.032</v>
      </c>
      <c r="AE20" s="39" t="n">
        <f aca="false">IF(AND(ISNUMBER(AE15),ISNUMBER(AE18)),AE15-AE18,"")</f>
        <v>180.708</v>
      </c>
      <c r="AF20" s="39" t="n">
        <f aca="false">IF(AND(ISNUMBER(AF15),ISNUMBER(AF18)),AF15-AF18,"")</f>
        <v>181.887</v>
      </c>
      <c r="AG20" s="39" t="n">
        <f aca="false">IF(AND(ISNUMBER(AG15),ISNUMBER(AG18)),AG15-AG18,"")</f>
        <v>207.226</v>
      </c>
      <c r="AH20" s="39" t="n">
        <f aca="false">IF(AND(ISNUMBER(AH15),ISNUMBER(AH18)),AH15-AH18,"")</f>
        <v>756.371</v>
      </c>
      <c r="AI20" s="39" t="n">
        <f aca="false">IF(AND(ISNUMBER(AI15),ISNUMBER(AI18)),AI15-AI18,"")</f>
        <v>222.881</v>
      </c>
      <c r="AJ20" s="39" t="n">
        <f aca="false">IF(AND(ISNUMBER(AJ15),ISNUMBER(AJ18)),AJ15-AJ18,"")</f>
        <v>216.888</v>
      </c>
      <c r="AK20" s="39" t="n">
        <f aca="false">IF(AND(ISNUMBER(AK15),ISNUMBER(AK18)),AK15-AK18,"")</f>
        <v>183.108</v>
      </c>
      <c r="AL20" s="39" t="n">
        <f aca="false">IF(AND(ISNUMBER(AL15),ISNUMBER(AL18)),AL15-AL18,"")</f>
        <v>236.644</v>
      </c>
      <c r="AM20" s="39" t="n">
        <f aca="false">IF(AND(ISNUMBER(AM15),ISNUMBER(AM18)),AM15-AM18,"")</f>
        <v>859.521</v>
      </c>
      <c r="AN20" s="39" t="n">
        <f aca="false">IF(AND(ISNUMBER(AN15),ISNUMBER(AN18)),AN15-AN18,"")</f>
        <v>236.384</v>
      </c>
      <c r="AO20" s="39" t="n">
        <f aca="false">IF(AND(ISNUMBER(AO15),ISNUMBER(AO18)),AO15-AO18,"")</f>
        <v>250.738</v>
      </c>
      <c r="AP20" s="39" t="n">
        <f aca="false">IF(AND(ISNUMBER(AP15),ISNUMBER(AP18)),AP15-AP18,"")</f>
        <v>239.937</v>
      </c>
      <c r="AQ20" s="39" t="n">
        <f aca="false">IF(AND(ISNUMBER(AQ15),ISNUMBER(AQ18)),AQ15-AQ18,"")</f>
        <v>264.061</v>
      </c>
      <c r="AR20" s="39" t="n">
        <f aca="false">IF(AND(ISNUMBER(AR15),ISNUMBER(AR18)),AR15-AR18,"")</f>
        <v>991.12</v>
      </c>
      <c r="AS20" s="39" t="n">
        <f aca="false">IF(AND(ISNUMBER(AS15),ISNUMBER(AS18)),AS15-AS18,"")</f>
        <v>269.011</v>
      </c>
      <c r="AT20" s="39" t="n">
        <f aca="false">IF(AND(ISNUMBER(AT15),ISNUMBER(AT18)),AT15-AT18,"")</f>
        <v>286.36</v>
      </c>
      <c r="AU20" s="39" t="n">
        <f aca="false">IF(AND(ISNUMBER(AU15),ISNUMBER(AU18)),AU15-AU18,"")</f>
        <v>271.629</v>
      </c>
      <c r="AV20" s="39" t="n">
        <f aca="false">IF(AND(ISNUMBER(AV15),ISNUMBER(AV18)),AV15-AV18,"")</f>
        <v>177.559</v>
      </c>
      <c r="AW20" s="39" t="n">
        <f aca="false">IF(AND(ISNUMBER(AW15),ISNUMBER(AW18)),AW15-AW18,"")</f>
        <v>1004.558</v>
      </c>
      <c r="AX20" s="39" t="n">
        <f aca="false">IF(AND(ISNUMBER(AX15),ISNUMBER(AX18)),AX15-AX18,"")</f>
        <v>315.028</v>
      </c>
      <c r="AY20" s="39" t="n">
        <f aca="false">IF(AND(ISNUMBER(AY15),ISNUMBER(AY18)),AY15-AY18,"")</f>
        <v>315.609</v>
      </c>
      <c r="AZ20" s="39" t="n">
        <f aca="false">IF(AND(ISNUMBER(AZ15),ISNUMBER(AZ18)),AZ15-AZ18,"")</f>
        <v>283.403</v>
      </c>
      <c r="BA20" s="39" t="n">
        <f aca="false">IF(AND(ISNUMBER(BA15),ISNUMBER(BA18)),BA15-BA18,"")</f>
        <v>311.8</v>
      </c>
      <c r="BB20" s="39" t="n">
        <f aca="false">IF(AND(ISNUMBER(BB15),ISNUMBER(BB18)),BB15-BB18,"")</f>
        <v>1225.84</v>
      </c>
      <c r="BC20" s="39" t="n">
        <f aca="false">IF(AND(ISNUMBER(BC15),ISNUMBER(BC18)),BC15-BC18,"")</f>
        <v>329.382</v>
      </c>
      <c r="BD20" s="39" t="n">
        <f aca="false">IF(AND(ISNUMBER(BD15),ISNUMBER(BD18)),BD15-BD18,"")</f>
        <v>337.615</v>
      </c>
      <c r="BE20" s="39" t="n">
        <f aca="false">IF(AND(ISNUMBER(BE15),ISNUMBER(BE18)),BE15-BE18,"")</f>
        <v>355.99</v>
      </c>
      <c r="BF20" s="39" t="n">
        <f aca="false">IF(AND(ISNUMBER(BF15),ISNUMBER(BF18)),BF15-BF18,"")</f>
        <v>330.503</v>
      </c>
      <c r="BG20" s="39" t="n">
        <f aca="false">IF(AND(ISNUMBER(BG15),ISNUMBER(BG18)),BG15-BG18,"")</f>
        <v>1353.49</v>
      </c>
      <c r="BH20" s="39" t="n">
        <f aca="false">IF(AND(ISNUMBER(BH15),ISNUMBER(BH18)),BH15-BH18,"")</f>
        <v>364.771</v>
      </c>
      <c r="BI20" s="39" t="n">
        <f aca="false">IF(AND(ISNUMBER(BI15),ISNUMBER(BI18)),BI15-BI18,"")</f>
        <v>369.095</v>
      </c>
      <c r="BJ20" s="39" t="n">
        <f aca="false">IF(AND(ISNUMBER(BJ15),ISNUMBER(BJ18)),BJ15-BJ18,"")</f>
        <v>359.995</v>
      </c>
      <c r="BK20" s="39" t="n">
        <f aca="false">IF(AND(ISNUMBER(BK15),ISNUMBER(BK18)),BK15-BK18,"")</f>
        <v>384.896</v>
      </c>
      <c r="BL20" s="39" t="n">
        <f aca="false">IF(AND(ISNUMBER(BL15),ISNUMBER(BL18)),BL15-BL18,"")</f>
        <v>1478.757</v>
      </c>
      <c r="BM20" s="39" t="n">
        <f aca="false">IF(AND(ISNUMBER(BM15),ISNUMBER(BM18)),BM15-BM18,"")</f>
        <v>406.529</v>
      </c>
      <c r="BN20" s="39" t="n">
        <f aca="false">IF(AND(ISNUMBER(BN15),ISNUMBER(BN18)),BN15-BN18,"")</f>
        <v>399.611</v>
      </c>
      <c r="BO20" s="39" t="n">
        <f aca="false">IF(AND(ISNUMBER(BO15),ISNUMBER(BO18)),BO15-BO18,"")</f>
        <v>420.407</v>
      </c>
      <c r="BP20" s="39" t="n">
        <f aca="false">IF(AND(ISNUMBER(BP15),ISNUMBER(BP18)),BP15-BP18,"")</f>
        <v>432.954</v>
      </c>
      <c r="BQ20" s="39" t="n">
        <f aca="false">IF(AND(ISNUMBER(BQ15),ISNUMBER(BQ18)),BQ15-BQ18,"")</f>
        <v>1659.501</v>
      </c>
      <c r="BR20" s="39" t="n">
        <f aca="false">IF(AND(ISNUMBER(BR15),ISNUMBER(BR18)),BR15-BR18,"")</f>
        <v>446.438</v>
      </c>
      <c r="BS20" s="39" t="n">
        <f aca="false">IF(AND(ISNUMBER(BS15),ISNUMBER(BS18)),BS15-BS18,"")</f>
        <v>472.359</v>
      </c>
      <c r="BT20" s="39" t="n">
        <f aca="false">IF(AND(ISNUMBER(BT15),ISNUMBER(BT18)),BT15-BT18,"")</f>
        <v>489.483</v>
      </c>
      <c r="BU20" s="39" t="n">
        <f aca="false">IF(AND(ISNUMBER(BU15),ISNUMBER(BU18)),BU15-BU18,"")</f>
        <v>465.109</v>
      </c>
      <c r="BV20" s="39" t="n">
        <f aca="false">IF(AND(ISNUMBER(BV15),ISNUMBER(BV18)),BV15-BV18,"")</f>
        <v>1873.39</v>
      </c>
      <c r="BW20" s="39" t="n">
        <f aca="false">IF(AND(ISNUMBER(BW15),ISNUMBER(BW18)),BW15-BW18,"")</f>
        <v>499.937</v>
      </c>
      <c r="BX20" s="39" t="n">
        <f aca="false">IF(AND(ISNUMBER(BX15),ISNUMBER(BX18)),BX15-BX18,"")</f>
        <v>525.731</v>
      </c>
      <c r="BY20" s="39" t="n">
        <f aca="false">IF(AND(ISNUMBER(BY15),ISNUMBER(BY18)),BY15-BY18,"")</f>
        <v>521.025</v>
      </c>
      <c r="BZ20" s="39" t="n">
        <f aca="false">IF(AND(ISNUMBER(BZ15),ISNUMBER(BZ18)),BZ15-BZ18,"")</f>
        <v>529.468</v>
      </c>
      <c r="CA20" s="39" t="n">
        <f aca="false">IF(AND(ISNUMBER(CA15),ISNUMBER(CA18)),CA15-CA18,"")</f>
        <v>2077.012</v>
      </c>
      <c r="CB20" s="39" t="n">
        <f aca="false">IF(AND(ISNUMBER(CB15),ISNUMBER(CB18)),CB15-CB18,"")</f>
        <v>575.088</v>
      </c>
      <c r="CC20" s="22" t="n">
        <f aca="false">CC15-CC18</f>
        <v>557.325021017768</v>
      </c>
      <c r="CD20" s="22" t="n">
        <f aca="false">CD15-CD18</f>
        <v>552.293388031748</v>
      </c>
      <c r="CE20" s="22" t="n">
        <f aca="false">CE15-CE18</f>
        <v>561.258649491098</v>
      </c>
      <c r="CF20" s="22" t="n">
        <f aca="false">CF15-CF18</f>
        <v>2245.96505854062</v>
      </c>
      <c r="CG20" s="22" t="n">
        <f aca="false">CG15-CG18</f>
        <v>2503.75976578794</v>
      </c>
      <c r="CH20" s="22" t="n">
        <f aca="false">CH15-CH18</f>
        <v>2719.18259133426</v>
      </c>
      <c r="CI20" s="22" t="n">
        <f aca="false">CI15-CI18</f>
        <v>2952.03199919114</v>
      </c>
      <c r="CJ20" s="22" t="n">
        <f aca="false">CJ15-CJ18</f>
        <v>3188.62261092798</v>
      </c>
      <c r="CK20" s="23"/>
      <c r="CM20" s="24" t="n">
        <f aca="false">IFERROR((CJ20/CA20)^(1/5)-1,"n/m")</f>
        <v>0.0895140199264537</v>
      </c>
      <c r="CN20" s="24" t="n">
        <f aca="false">IFERROR((CA20/BB20)^(1/5)-1,"n/m")</f>
        <v>0.111222543557176</v>
      </c>
      <c r="CO20" s="24" t="n">
        <f aca="false">IFERROR((CA20/AC20)^(1/10)-1,"n/m")</f>
        <v>0.119299554035796</v>
      </c>
      <c r="CP20" s="24" t="str">
        <f aca="false">IFERROR((CA20/C20)^(1/20)-1,"n/m")</f>
        <v>n/m</v>
      </c>
      <c r="CS20" s="29" t="s">
        <v>144</v>
      </c>
      <c r="CU20" s="40" t="n">
        <v>1</v>
      </c>
      <c r="CW20" s="16" t="s">
        <v>145</v>
      </c>
    </row>
    <row r="21" customFormat="false" ht="15" hidden="false" customHeight="true" outlineLevel="0" collapsed="false">
      <c r="B21" s="29" t="s">
        <v>146</v>
      </c>
      <c r="C21" s="37" t="str">
        <f aca="false">IF(AND(ISNUMBER(C20),ISNUMBER(C11)),IFERROR(C20/C11,""),"")</f>
        <v/>
      </c>
      <c r="D21" s="37" t="n">
        <f aca="false">IF(AND(ISNUMBER(D20),ISNUMBER(D11)),IFERROR(D20/D11,""),"")</f>
        <v>0.169085459124437</v>
      </c>
      <c r="E21" s="37" t="n">
        <f aca="false">IF(AND(ISNUMBER(E20),ISNUMBER(E11)),IFERROR(E20/E11,""),"")</f>
        <v>0.15919886204882</v>
      </c>
      <c r="F21" s="37" t="n">
        <f aca="false">IF(AND(ISNUMBER(F20),ISNUMBER(F11)),IFERROR(F20/F11,""),"")</f>
        <v>0.153723300962064</v>
      </c>
      <c r="G21" s="37" t="n">
        <f aca="false">IF(AND(ISNUMBER(G20),ISNUMBER(G11)),IFERROR(G20/G11,""),"")</f>
        <v>0.129851943501818</v>
      </c>
      <c r="H21" s="37" t="n">
        <f aca="false">IF(AND(ISNUMBER(H20),ISNUMBER(H11)),IFERROR(H20/H11,""),"")</f>
        <v>0.126125824961148</v>
      </c>
      <c r="I21" s="37" t="n">
        <f aca="false">IF(AND(ISNUMBER(I20),ISNUMBER(I11)),IFERROR(I20/I11,""),"")</f>
        <v>0.147479913373149</v>
      </c>
      <c r="J21" s="37" t="n">
        <f aca="false">IF(AND(ISNUMBER(J20),ISNUMBER(J11)),IFERROR(J20/J11,""),"")</f>
        <v>0.154875914594161</v>
      </c>
      <c r="K21" s="37" t="n">
        <f aca="false">IF(AND(ISNUMBER(K20),ISNUMBER(K11)),IFERROR(K20/K11,""),"")</f>
        <v>0.153539311943417</v>
      </c>
      <c r="L21" s="37" t="n">
        <f aca="false">IF(AND(ISNUMBER(L20),ISNUMBER(L11)),IFERROR(L20/L11,""),"")</f>
        <v>0.13693254122451</v>
      </c>
      <c r="M21" s="37" t="n">
        <f aca="false">IF(AND(ISNUMBER(M20),ISNUMBER(M11)),IFERROR(M20/M11,""),"")</f>
        <v>0.149723955374272</v>
      </c>
      <c r="N21" s="37" t="n">
        <f aca="false">IF(AND(ISNUMBER(N20),ISNUMBER(N11)),IFERROR(N20/N11,""),"")</f>
        <v>0.148802119959127</v>
      </c>
      <c r="O21" s="37" t="n">
        <f aca="false">IF(AND(ISNUMBER(O20),ISNUMBER(O11)),IFERROR(O20/O11,""),"")</f>
        <v>0.148061589221886</v>
      </c>
      <c r="P21" s="37" t="n">
        <f aca="false">IF(AND(ISNUMBER(P20),ISNUMBER(P11)),IFERROR(P20/P11,""),"")</f>
        <v>0.156741877570507</v>
      </c>
      <c r="Q21" s="37" t="n">
        <f aca="false">IF(AND(ISNUMBER(Q20),ISNUMBER(Q11)),IFERROR(Q20/Q11,""),"")</f>
        <v>0.160136808938982</v>
      </c>
      <c r="R21" s="37" t="n">
        <f aca="false">IF(AND(ISNUMBER(R20),ISNUMBER(R11)),IFERROR(R20/R11,""),"")</f>
        <v>0.163886619655146</v>
      </c>
      <c r="S21" s="37" t="n">
        <f aca="false">IF(AND(ISNUMBER(S20),ISNUMBER(S11)),IFERROR(S20/S11,""),"")</f>
        <v>0.157279779647821</v>
      </c>
      <c r="T21" s="37" t="n">
        <f aca="false">IF(AND(ISNUMBER(T20),ISNUMBER(T11)),IFERROR(T20/T11,""),"")</f>
        <v>0.165750636947778</v>
      </c>
      <c r="U21" s="37" t="n">
        <f aca="false">IF(AND(ISNUMBER(U20),ISNUMBER(U11)),IFERROR(U20/U11,""),"")</f>
        <v>0.178992119801453</v>
      </c>
      <c r="V21" s="37" t="n">
        <f aca="false">IF(AND(ISNUMBER(V20),ISNUMBER(V11)),IFERROR(V20/V11,""),"")</f>
        <v>0.172249069222244</v>
      </c>
      <c r="W21" s="37" t="n">
        <f aca="false">IF(AND(ISNUMBER(W20),ISNUMBER(W11)),IFERROR(W20/W11,""),"")</f>
        <v>0.167723773630632</v>
      </c>
      <c r="X21" s="37" t="n">
        <f aca="false">IF(AND(ISNUMBER(X20),ISNUMBER(X11)),IFERROR(X20/X11,""),"")</f>
        <v>0.171203920625858</v>
      </c>
      <c r="Y21" s="37" t="n">
        <f aca="false">IF(AND(ISNUMBER(Y20),ISNUMBER(Y11)),IFERROR(Y20/Y11,""),"")</f>
        <v>0.176235709840496</v>
      </c>
      <c r="Z21" s="37" t="n">
        <f aca="false">IF(AND(ISNUMBER(Z20),ISNUMBER(Z11)),IFERROR(Z20/Z11,""),"")</f>
        <v>0.180542047383823</v>
      </c>
      <c r="AA21" s="37" t="n">
        <f aca="false">IF(AND(ISNUMBER(AA20),ISNUMBER(AA11)),IFERROR(AA20/AA11,""),"")</f>
        <v>0.178847170244457</v>
      </c>
      <c r="AB21" s="37" t="n">
        <f aca="false">IF(AND(ISNUMBER(AB20),ISNUMBER(AB11)),IFERROR(AB20/AB11,""),"")</f>
        <v>0.176931668883998</v>
      </c>
      <c r="AC21" s="37" t="n">
        <f aca="false">IF(AND(ISNUMBER(AC20),ISNUMBER(AC11)),IFERROR(AC20/AC11,""),"")</f>
        <v>0.178129816790244</v>
      </c>
      <c r="AD21" s="37" t="n">
        <f aca="false">IF(AND(ISNUMBER(AD20),ISNUMBER(AD11)),IFERROR(AD20/AD11,""),"")</f>
        <v>0.188107995630235</v>
      </c>
      <c r="AE21" s="37" t="n">
        <f aca="false">IF(AND(ISNUMBER(AE20),ISNUMBER(AE11)),IFERROR(AE20/AE11,""),"")</f>
        <v>0.179707925395176</v>
      </c>
      <c r="AF21" s="37" t="n">
        <f aca="false">IF(AND(ISNUMBER(AF20),ISNUMBER(AF11)),IFERROR(AF20/AF11,""),"")</f>
        <v>0.183095798461442</v>
      </c>
      <c r="AG21" s="37" t="n">
        <f aca="false">IF(AND(ISNUMBER(AG20),ISNUMBER(AG11)),IFERROR(AG20/AG11,""),"")</f>
        <v>0.169855288664484</v>
      </c>
      <c r="AH21" s="37" t="n">
        <f aca="false">IF(AND(ISNUMBER(AH20),ISNUMBER(AH11)),IFERROR(AH20/AH11,""),"")</f>
        <v>0.179981629938441</v>
      </c>
      <c r="AI21" s="37" t="n">
        <f aca="false">IF(AND(ISNUMBER(AI20),ISNUMBER(AI11)),IFERROR(AI20/AI11,""),"")</f>
        <v>0.169906783433858</v>
      </c>
      <c r="AJ21" s="37" t="n">
        <f aca="false">IF(AND(ISNUMBER(AJ20),ISNUMBER(AJ11)),IFERROR(AJ20/AJ11,""),"")</f>
        <v>0.165811696602086</v>
      </c>
      <c r="AK21" s="37" t="n">
        <f aca="false">IF(AND(ISNUMBER(AK20),ISNUMBER(AK11)),IFERROR(AK20/AK11,""),"")</f>
        <v>0.142550190110516</v>
      </c>
      <c r="AL21" s="37" t="n">
        <f aca="false">IF(AND(ISNUMBER(AL20),ISNUMBER(AL11)),IFERROR(AL20/AL11,""),"")</f>
        <v>0.176233591949871</v>
      </c>
      <c r="AM21" s="37" t="n">
        <f aca="false">IF(AND(ISNUMBER(AM20),ISNUMBER(AM11)),IFERROR(AM20/AM11,""),"")</f>
        <v>0.163808021308435</v>
      </c>
      <c r="AN21" s="37" t="n">
        <f aca="false">IF(AND(ISNUMBER(AN20),ISNUMBER(AN11)),IFERROR(AN20/AN11,""),"")</f>
        <v>0.17192338854552</v>
      </c>
      <c r="AO21" s="37" t="n">
        <f aca="false">IF(AND(ISNUMBER(AO20),ISNUMBER(AO11)),IFERROR(AO20/AO11,""),"")</f>
        <v>0.180286142001096</v>
      </c>
      <c r="AP21" s="37" t="n">
        <f aca="false">IF(AND(ISNUMBER(AP20),ISNUMBER(AP11)),IFERROR(AP20/AP11,""),"")</f>
        <v>0.176642210020893</v>
      </c>
      <c r="AQ21" s="37" t="n">
        <f aca="false">IF(AND(ISNUMBER(AQ20),ISNUMBER(AQ11)),IFERROR(AQ20/AQ11,""),"")</f>
        <v>0.184865919159446</v>
      </c>
      <c r="AR21" s="37" t="n">
        <f aca="false">IF(AND(ISNUMBER(AR20),ISNUMBER(AR11)),IFERROR(AR20/AR11,""),"")</f>
        <v>0.1785020252394</v>
      </c>
      <c r="AS21" s="37" t="n">
        <f aca="false">IF(AND(ISNUMBER(AS20),ISNUMBER(AS11)),IFERROR(AS20/AS11,""),"")</f>
        <v>0.184947409020252</v>
      </c>
      <c r="AT21" s="37" t="n">
        <f aca="false">IF(AND(ISNUMBER(AT20),ISNUMBER(AT11)),IFERROR(AT20/AT11,""),"")</f>
        <v>0.194805769069856</v>
      </c>
      <c r="AU21" s="37" t="n">
        <f aca="false">IF(AND(ISNUMBER(AU20),ISNUMBER(AU11)),IFERROR(AU20/AU11,""),"")</f>
        <v>0.187586367877261</v>
      </c>
      <c r="AV21" s="37" t="n">
        <f aca="false">IF(AND(ISNUMBER(AV20),ISNUMBER(AV11)),IFERROR(AV20/AV11,""),"")</f>
        <v>0.139703533521641</v>
      </c>
      <c r="AW21" s="37" t="n">
        <f aca="false">IF(AND(ISNUMBER(AW20),ISNUMBER(AW11)),IFERROR(AW20/AW11,""),"")</f>
        <v>0.178002847172337</v>
      </c>
      <c r="AX21" s="37" t="n">
        <f aca="false">IF(AND(ISNUMBER(AX20),ISNUMBER(AX11)),IFERROR(AX20/AX11,""),"")</f>
        <v>0.225921912549456</v>
      </c>
      <c r="AY21" s="37" t="n">
        <f aca="false">IF(AND(ISNUMBER(AY20),ISNUMBER(AY11)),IFERROR(AY20/AY11,""),"")</f>
        <v>0.223758727475881</v>
      </c>
      <c r="AZ21" s="37" t="n">
        <f aca="false">IF(AND(ISNUMBER(AZ20),ISNUMBER(AZ11)),IFERROR(AZ20/AZ11,""),"")</f>
        <v>0.199880101420093</v>
      </c>
      <c r="BA21" s="37" t="n">
        <f aca="false">IF(AND(ISNUMBER(BA20),ISNUMBER(BA11)),IFERROR(BA20/BA11,""),"")</f>
        <v>0.212561730162496</v>
      </c>
      <c r="BB21" s="37" t="n">
        <f aca="false">IF(AND(ISNUMBER(BB20),ISNUMBER(BB11)),IFERROR(BB20/BB11,""),"")</f>
        <v>0.215451544142046</v>
      </c>
      <c r="BC21" s="37" t="n">
        <f aca="false">IF(AND(ISNUMBER(BC20),ISNUMBER(BC11)),IFERROR(BC20/BC11,""),"")</f>
        <v>0.218397587549464</v>
      </c>
      <c r="BD21" s="37" t="n">
        <f aca="false">IF(AND(ISNUMBER(BD20),ISNUMBER(BD11)),IFERROR(BD20/BD11,""),"")</f>
        <v>0.219905801646745</v>
      </c>
      <c r="BE21" s="37" t="n">
        <f aca="false">IF(AND(ISNUMBER(BE20),ISNUMBER(BE11)),IFERROR(BE20/BE11,""),"")</f>
        <v>0.22918007879896</v>
      </c>
      <c r="BF21" s="37" t="n">
        <f aca="false">IF(AND(ISNUMBER(BF20),ISNUMBER(BF11)),IFERROR(BF20/BF11,""),"")</f>
        <v>0.202736084180411</v>
      </c>
      <c r="BG21" s="37" t="n">
        <f aca="false">IF(AND(ISNUMBER(BG20),ISNUMBER(BG11)),IFERROR(BG20/BG11,""),"")</f>
        <v>0.217358976582549</v>
      </c>
      <c r="BH21" s="37" t="n">
        <f aca="false">IF(AND(ISNUMBER(BH20),ISNUMBER(BH11)),IFERROR(BH20/BH11,""),"")</f>
        <v>0.214852759970126</v>
      </c>
      <c r="BI21" s="37" t="n">
        <f aca="false">IF(AND(ISNUMBER(BI20),ISNUMBER(BI11)),IFERROR(BI20/BI11,""),"")</f>
        <v>0.215846670179364</v>
      </c>
      <c r="BJ21" s="37" t="n">
        <f aca="false">IF(AND(ISNUMBER(BJ20),ISNUMBER(BJ11)),IFERROR(BJ20/BJ11,""),"")</f>
        <v>0.209767126121323</v>
      </c>
      <c r="BK21" s="37" t="n">
        <f aca="false">IF(AND(ISNUMBER(BK20),ISNUMBER(BK11)),IFERROR(BK20/BK11,""),"")</f>
        <v>0.217062202586727</v>
      </c>
      <c r="BL21" s="37" t="n">
        <f aca="false">IF(AND(ISNUMBER(BL20),ISNUMBER(BL11)),IFERROR(BL20/BL11,""),"")</f>
        <v>0.214401787410126</v>
      </c>
      <c r="BM21" s="37" t="n">
        <f aca="false">IF(AND(ISNUMBER(BM20),ISNUMBER(BM11)),IFERROR(BM20/BM11,""),"")</f>
        <v>0.222533083355001</v>
      </c>
      <c r="BN21" s="37" t="n">
        <f aca="false">IF(AND(ISNUMBER(BN20),ISNUMBER(BN11)),IFERROR(BN20/BN11,""),"")</f>
        <v>0.215942680576826</v>
      </c>
      <c r="BO21" s="37" t="n">
        <f aca="false">IF(AND(ISNUMBER(BO20),ISNUMBER(BO11)),IFERROR(BO20/BO11,""),"")</f>
        <v>0.224020884111088</v>
      </c>
      <c r="BP21" s="37" t="n">
        <f aca="false">IF(AND(ISNUMBER(BP20),ISNUMBER(BP11)),IFERROR(BP20/BP11,""),"")</f>
        <v>0.226536346464768</v>
      </c>
      <c r="BQ21" s="37" t="n">
        <f aca="false">IF(AND(ISNUMBER(BQ20),ISNUMBER(BQ11)),IFERROR(BQ20/BQ11,""),"")</f>
        <v>0.222298293722646</v>
      </c>
      <c r="BR21" s="37" t="n">
        <f aca="false">IF(AND(ISNUMBER(BR20),ISNUMBER(BR11)),IFERROR(BR20/BR11,""),"")</f>
        <v>0.230855826157193</v>
      </c>
      <c r="BS21" s="37" t="n">
        <f aca="false">IF(AND(ISNUMBER(BS20),ISNUMBER(BS11)),IFERROR(BS20/BS11,""),"")</f>
        <v>0.237317437110947</v>
      </c>
      <c r="BT21" s="37" t="n">
        <f aca="false">IF(AND(ISNUMBER(BT20),ISNUMBER(BT11)),IFERROR(BT20/BT11,""),"")</f>
        <v>0.242181160768357</v>
      </c>
      <c r="BU21" s="37" t="n">
        <f aca="false">IF(AND(ISNUMBER(BU20),ISNUMBER(BU11)),IFERROR(BU20/BU11,""),"")</f>
        <v>0.229041010892903</v>
      </c>
      <c r="BV21" s="37" t="n">
        <f aca="false">IF(AND(ISNUMBER(BV20),ISNUMBER(BV11)),IFERROR(BV20/BV11,""),"")</f>
        <v>0.234876235460734</v>
      </c>
      <c r="BW21" s="37" t="n">
        <f aca="false">IF(AND(ISNUMBER(BW20),ISNUMBER(BW11)),IFERROR(BW20/BW11,""),"")</f>
        <v>0.239082362775733</v>
      </c>
      <c r="BX21" s="37" t="n">
        <f aca="false">IF(AND(ISNUMBER(BX20),ISNUMBER(BX11)),IFERROR(BX20/BX11,""),"")</f>
        <v>0.243913426742136</v>
      </c>
      <c r="BY21" s="37" t="n">
        <f aca="false">IF(AND(ISNUMBER(BY20),ISNUMBER(BY11)),IFERROR(BY20/BY11,""),"")</f>
        <v>0.239281858207732</v>
      </c>
      <c r="BZ21" s="37" t="n">
        <f aca="false">IF(AND(ISNUMBER(BZ20),ISNUMBER(BZ11)),IFERROR(BZ20/BZ11,""),"")</f>
        <v>0.240918594624847</v>
      </c>
      <c r="CA21" s="37" t="n">
        <f aca="false">IF(AND(ISNUMBER(CA20),ISNUMBER(CA11)),IFERROR(CA20/CA11,""),"")</f>
        <v>0.240907281505201</v>
      </c>
      <c r="CB21" s="37" t="n">
        <f aca="false">IF(AND(ISNUMBER(CB20),ISNUMBER(CB11)),IFERROR(CB20/CB11,""),"")</f>
        <v>0.250611835086912</v>
      </c>
      <c r="CC21" s="28" t="n">
        <f aca="false">IF(AND(ISNUMBER(CC20),ISNUMBER(CC11)),IFERROR(CC20/CC11,""),"")</f>
        <v>0.242940310449188</v>
      </c>
      <c r="CD21" s="28" t="n">
        <f aca="false">IF(AND(ISNUMBER(CD20),ISNUMBER(CD11)),IFERROR(CD20/CD11,""),"")</f>
        <v>0.238308741914784</v>
      </c>
      <c r="CE21" s="28" t="n">
        <f aca="false">IF(AND(ISNUMBER(CE20),ISNUMBER(CE11)),IFERROR(CE20/CE11,""),"")</f>
        <v>0.2399454783319</v>
      </c>
      <c r="CF21" s="28" t="n">
        <f aca="false">IF(AND(ISNUMBER(CF20),ISNUMBER(CF11)),IFERROR(CF20/CF11,""),"")</f>
        <v>0.242925705947686</v>
      </c>
      <c r="CG21" s="28" t="n">
        <f aca="false">IF(AND(ISNUMBER(CG20),ISNUMBER(CG11)),IFERROR(CG20/CG11,""),"")</f>
        <v>0.253092547120119</v>
      </c>
      <c r="CH21" s="28" t="n">
        <f aca="false">IF(AND(ISNUMBER(CH20),ISNUMBER(CH11)),IFERROR(CH20/CH11,""),"")</f>
        <v>0.258092547120119</v>
      </c>
      <c r="CI21" s="28" t="n">
        <f aca="false">IF(AND(ISNUMBER(CI20),ISNUMBER(CI11)),IFERROR(CI20/CI11,""),"")</f>
        <v>0.263092547120119</v>
      </c>
      <c r="CJ21" s="28" t="n">
        <f aca="false">IF(AND(ISNUMBER(CJ20),ISNUMBER(CJ11)),IFERROR(CJ20/CJ11,""),"")</f>
        <v>0.268092547120119</v>
      </c>
      <c r="CK21" s="23"/>
      <c r="CS21" s="29" t="s">
        <v>147</v>
      </c>
      <c r="CU21" s="41" t="n">
        <v>46387</v>
      </c>
      <c r="CW21" s="16" t="s">
        <v>148</v>
      </c>
    </row>
    <row r="22" customFormat="false" ht="15" hidden="false" customHeight="true" outlineLevel="1" collapsed="false">
      <c r="B22" s="42" t="s">
        <v>149</v>
      </c>
      <c r="D22" s="34" t="n">
        <v>462.386</v>
      </c>
      <c r="E22" s="34" t="n">
        <v>451.26</v>
      </c>
      <c r="F22" s="34" t="n">
        <v>370.524</v>
      </c>
      <c r="G22" s="34" t="n">
        <v>336.516</v>
      </c>
      <c r="H22" s="34" t="n">
        <v>339.562</v>
      </c>
      <c r="I22" s="34" t="n">
        <v>429.5</v>
      </c>
      <c r="J22" s="34" t="n">
        <v>116.907</v>
      </c>
      <c r="K22" s="34" t="n">
        <v>116.051</v>
      </c>
      <c r="L22" s="34" t="n">
        <v>102.547</v>
      </c>
      <c r="M22" s="34" t="n">
        <v>117.536</v>
      </c>
      <c r="N22" s="34" t="n">
        <v>453.041</v>
      </c>
      <c r="O22" s="34" t="n">
        <v>117.393</v>
      </c>
      <c r="P22" s="34" t="n">
        <v>126.07</v>
      </c>
      <c r="Q22" s="34" t="n">
        <v>128.382</v>
      </c>
      <c r="R22" s="34" t="n">
        <v>135.214</v>
      </c>
      <c r="S22" s="34" t="n">
        <v>507.059</v>
      </c>
      <c r="T22" s="34" t="n">
        <v>144.816</v>
      </c>
      <c r="U22" s="34" t="n">
        <v>159.567</v>
      </c>
      <c r="V22" s="34" t="n">
        <v>152.165</v>
      </c>
      <c r="W22" s="34" t="n">
        <v>149.487</v>
      </c>
      <c r="X22" s="34" t="n">
        <v>606.035</v>
      </c>
      <c r="Y22" s="34" t="n">
        <v>165.381</v>
      </c>
      <c r="Z22" s="34" t="n">
        <v>169.295</v>
      </c>
      <c r="AA22" s="34" t="n">
        <v>167.502</v>
      </c>
      <c r="AB22" s="34" t="n">
        <v>170.761</v>
      </c>
      <c r="AC22" s="34" t="n">
        <v>672.939</v>
      </c>
      <c r="AD22" s="34" t="n">
        <v>185.245</v>
      </c>
      <c r="AE22" s="34" t="n">
        <v>177.361</v>
      </c>
      <c r="AF22" s="34" t="n">
        <v>172.543</v>
      </c>
      <c r="AG22" s="34" t="n">
        <v>143.48</v>
      </c>
      <c r="AH22" s="34" t="n">
        <v>677.147</v>
      </c>
      <c r="AI22" s="34" t="n">
        <v>218.91</v>
      </c>
      <c r="AJ22" s="34" t="n">
        <v>203.814</v>
      </c>
      <c r="AK22" s="34" t="n">
        <v>173.287</v>
      </c>
      <c r="AL22" s="34" t="n">
        <v>221.613</v>
      </c>
      <c r="AM22" s="34" t="n">
        <v>817.624</v>
      </c>
      <c r="AN22" s="34" t="n">
        <v>231.534</v>
      </c>
      <c r="AO22" s="34" t="n">
        <v>242.891</v>
      </c>
      <c r="AP22" s="34" t="n">
        <v>239.138</v>
      </c>
      <c r="AQ22" s="34" t="n">
        <v>263.147</v>
      </c>
      <c r="AR22" s="34" t="n">
        <v>976.71</v>
      </c>
      <c r="AS22" s="34" t="n">
        <v>269.011</v>
      </c>
      <c r="AT22" s="34" t="n">
        <v>286.36</v>
      </c>
      <c r="AU22" s="34" t="n">
        <v>271.629</v>
      </c>
      <c r="AV22" s="34" t="n">
        <v>177.559</v>
      </c>
      <c r="AW22" s="34" t="n">
        <v>1004.558</v>
      </c>
      <c r="AX22" s="34" t="n">
        <v>315.028</v>
      </c>
      <c r="AY22" s="34" t="n">
        <v>315.609</v>
      </c>
      <c r="AZ22" s="34" t="n">
        <v>283.403</v>
      </c>
      <c r="BA22" s="34" t="n">
        <v>311.8</v>
      </c>
      <c r="BB22" s="34" t="n">
        <v>1225.84</v>
      </c>
      <c r="BC22" s="34" t="n">
        <v>329.382</v>
      </c>
      <c r="BD22" s="34" t="n">
        <v>337.615</v>
      </c>
      <c r="BE22" s="34" t="n">
        <v>355.99</v>
      </c>
      <c r="BF22" s="34" t="n">
        <v>330.503</v>
      </c>
      <c r="BG22" s="34" t="n">
        <v>1353.49</v>
      </c>
      <c r="BH22" s="34" t="n">
        <v>364.771</v>
      </c>
      <c r="BI22" s="34" t="n">
        <v>369.095</v>
      </c>
      <c r="BJ22" s="34" t="n">
        <v>359.995</v>
      </c>
      <c r="BK22" s="34" t="n">
        <v>384.896</v>
      </c>
      <c r="BL22" s="34" t="n">
        <v>1478.757</v>
      </c>
      <c r="BM22" s="34" t="n">
        <v>406.529</v>
      </c>
      <c r="BN22" s="34" t="n">
        <v>399.611</v>
      </c>
      <c r="BO22" s="34" t="n">
        <v>420.407</v>
      </c>
      <c r="BP22" s="34" t="n">
        <v>432.954</v>
      </c>
      <c r="BQ22" s="34" t="n">
        <v>1659.501</v>
      </c>
      <c r="BR22" s="34" t="n">
        <v>446.438</v>
      </c>
      <c r="BS22" s="34" t="n">
        <v>472.359</v>
      </c>
      <c r="BT22" s="34" t="n">
        <v>489.483</v>
      </c>
      <c r="BU22" s="34" t="n">
        <v>465.109</v>
      </c>
      <c r="BV22" s="34" t="n">
        <v>1873.39</v>
      </c>
      <c r="BW22" s="34" t="n">
        <v>499.937</v>
      </c>
      <c r="BX22" s="34" t="n">
        <v>525.731</v>
      </c>
      <c r="BY22" s="34" t="n">
        <v>521.025</v>
      </c>
      <c r="BZ22" s="34" t="n">
        <v>529.468</v>
      </c>
      <c r="CA22" s="34" t="n">
        <v>2077.012</v>
      </c>
      <c r="CB22" s="34" t="n">
        <v>575.088</v>
      </c>
      <c r="CC22" s="43"/>
      <c r="CD22" s="43"/>
      <c r="CE22" s="43"/>
      <c r="CF22" s="43"/>
      <c r="CG22" s="43"/>
      <c r="CH22" s="43"/>
      <c r="CI22" s="43"/>
      <c r="CJ22" s="43"/>
      <c r="CK22" s="23"/>
      <c r="CS22" s="29" t="s">
        <v>150</v>
      </c>
      <c r="CU22" s="36" t="n">
        <v>14.071</v>
      </c>
      <c r="CW22" s="16" t="s">
        <v>151</v>
      </c>
    </row>
    <row r="23" customFormat="false" ht="15" hidden="false" customHeight="true" outlineLevel="0" collapsed="false">
      <c r="CS23" s="29" t="s">
        <v>152</v>
      </c>
      <c r="CU23" s="36" t="n">
        <v>2800</v>
      </c>
      <c r="CW23" s="16" t="s">
        <v>153</v>
      </c>
    </row>
    <row r="24" customFormat="false" ht="15" hidden="false" customHeight="true" outlineLevel="0" collapsed="false">
      <c r="B24" s="17" t="s">
        <v>154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9" t="s">
        <v>155</v>
      </c>
      <c r="CS24" s="29" t="s">
        <v>156</v>
      </c>
      <c r="CU24" s="38" t="n">
        <v>0.05</v>
      </c>
      <c r="CW24" s="16" t="s">
        <v>157</v>
      </c>
    </row>
    <row r="25" customFormat="false" ht="15" hidden="false" customHeight="true" outlineLevel="0" collapsed="false">
      <c r="B25" s="20" t="s">
        <v>110</v>
      </c>
      <c r="T25" s="21" t="n">
        <v>79.924</v>
      </c>
      <c r="U25" s="21" t="n">
        <v>82.271</v>
      </c>
      <c r="V25" s="21" t="n">
        <v>79.471</v>
      </c>
      <c r="W25" s="21" t="n">
        <v>84.927</v>
      </c>
      <c r="X25" s="21" t="n">
        <v>326.593</v>
      </c>
      <c r="Y25" s="21" t="n">
        <v>99.488</v>
      </c>
      <c r="Z25" s="21" t="n">
        <v>120.438</v>
      </c>
      <c r="AA25" s="21" t="n">
        <v>119.064</v>
      </c>
      <c r="AB25" s="21" t="n">
        <v>122.793</v>
      </c>
      <c r="AC25" s="21" t="n">
        <v>461.783</v>
      </c>
      <c r="AD25" s="21" t="n">
        <v>124.839</v>
      </c>
      <c r="AE25" s="21" t="n">
        <v>124.797</v>
      </c>
      <c r="AF25" s="21" t="n">
        <v>124.239</v>
      </c>
      <c r="AG25" s="21" t="n">
        <v>134.358</v>
      </c>
      <c r="AH25" s="21" t="n">
        <v>508.233</v>
      </c>
      <c r="AI25" s="21" t="n">
        <v>140.582</v>
      </c>
      <c r="AJ25" s="21" t="n">
        <v>139.09</v>
      </c>
      <c r="AK25" s="21" t="n">
        <v>137.327</v>
      </c>
      <c r="AL25" s="21" t="n">
        <v>147.707</v>
      </c>
      <c r="AM25" s="21" t="n">
        <v>564.706</v>
      </c>
      <c r="AN25" s="21" t="n">
        <v>153.417</v>
      </c>
      <c r="AO25" s="21" t="n">
        <v>153.348</v>
      </c>
      <c r="AP25" s="21" t="n">
        <v>149.17</v>
      </c>
      <c r="AQ25" s="21" t="n">
        <v>163.535</v>
      </c>
      <c r="AR25" s="21" t="n">
        <v>619.47</v>
      </c>
      <c r="AS25" s="21" t="n">
        <v>172.09</v>
      </c>
      <c r="AT25" s="21" t="n">
        <v>169.667</v>
      </c>
      <c r="AU25" s="21" t="n">
        <v>170.541</v>
      </c>
      <c r="AV25" s="21" t="n">
        <v>196.27</v>
      </c>
      <c r="AW25" s="21" t="n">
        <v>708.569</v>
      </c>
      <c r="AX25" s="21" t="n">
        <v>204.481</v>
      </c>
      <c r="AY25" s="21" t="n">
        <v>194.419</v>
      </c>
      <c r="AZ25" s="21" t="n">
        <v>198.474</v>
      </c>
      <c r="BA25" s="21" t="n">
        <v>186.917</v>
      </c>
      <c r="BB25" s="21" t="n">
        <v>784.291</v>
      </c>
      <c r="BC25" s="21" t="n">
        <v>199.116</v>
      </c>
      <c r="BD25" s="21" t="n">
        <v>202.16</v>
      </c>
      <c r="BE25" s="21" t="n">
        <v>212.958</v>
      </c>
      <c r="BF25" s="21" t="n">
        <v>218.224</v>
      </c>
      <c r="BG25" s="21" t="n">
        <v>832.458</v>
      </c>
      <c r="BH25" s="21" t="n">
        <v>234.161</v>
      </c>
      <c r="BI25" s="21" t="n">
        <v>235.974</v>
      </c>
      <c r="BJ25" s="21" t="n">
        <v>231.605</v>
      </c>
      <c r="BK25" s="21" t="n">
        <v>249.756</v>
      </c>
      <c r="BL25" s="21" t="n">
        <v>951.496</v>
      </c>
      <c r="BM25" s="21" t="n">
        <v>260.693</v>
      </c>
      <c r="BN25" s="21" t="n">
        <v>266.401</v>
      </c>
      <c r="BO25" s="21" t="n">
        <v>262.602</v>
      </c>
      <c r="BP25" s="21" t="n">
        <v>277.638</v>
      </c>
      <c r="BQ25" s="21" t="n">
        <v>1067.334</v>
      </c>
      <c r="BR25" s="21" t="n">
        <v>292.567</v>
      </c>
      <c r="BS25" s="21" t="n">
        <v>299.367</v>
      </c>
      <c r="BT25" s="21" t="n">
        <v>301.759</v>
      </c>
      <c r="BU25" s="21" t="n">
        <v>324.397</v>
      </c>
      <c r="BV25" s="21" t="n">
        <v>1218.09</v>
      </c>
      <c r="BW25" s="21" t="n">
        <v>334.657</v>
      </c>
      <c r="BX25" s="21" t="n">
        <v>342.24</v>
      </c>
      <c r="BY25" s="21" t="n">
        <v>346.823</v>
      </c>
      <c r="BZ25" s="21" t="n">
        <v>368.133</v>
      </c>
      <c r="CA25" s="21" t="n">
        <v>1391.853</v>
      </c>
      <c r="CB25" s="21" t="n">
        <v>388.517</v>
      </c>
      <c r="CC25" s="22" t="n">
        <f aca="false">BX25*(1+CC26)</f>
        <v>386.006516420044</v>
      </c>
      <c r="CD25" s="22" t="n">
        <f aca="false">BY25*(1+CD26)</f>
        <v>391.175602046368</v>
      </c>
      <c r="CE25" s="22" t="n">
        <f aca="false">BZ25*(1+CE26)</f>
        <v>415.210778720372</v>
      </c>
      <c r="CF25" s="22" t="n">
        <f aca="false">SUM(CB25,CC25,CD25,CE25)</f>
        <v>1580.90989718678</v>
      </c>
      <c r="CG25" s="22" t="n">
        <f aca="false">CF25*(1+CG26)</f>
        <v>1770.6190848492</v>
      </c>
      <c r="CH25" s="22" t="n">
        <f aca="false">CG25*(1+CH26)</f>
        <v>1965.38718418261</v>
      </c>
      <c r="CI25" s="22" t="n">
        <f aca="false">CH25*(1+CI26)</f>
        <v>2161.92590260087</v>
      </c>
      <c r="CJ25" s="22" t="n">
        <f aca="false">CI25*(1+CJ26)</f>
        <v>2356.49923383495</v>
      </c>
      <c r="CK25" s="23" t="s">
        <v>158</v>
      </c>
      <c r="CM25" s="24" t="n">
        <f aca="false">IFERROR((CJ25/CA25)^(1/5)-1,"n/m")</f>
        <v>0.111053026201968</v>
      </c>
      <c r="CN25" s="24" t="n">
        <f aca="false">IFERROR((CA25/BB25)^(1/5)-1,"n/m")</f>
        <v>0.121561848399012</v>
      </c>
      <c r="CO25" s="24" t="n">
        <f aca="false">IFERROR((CA25/AC25)^(1/10)-1,"n/m")</f>
        <v>0.116646072889143</v>
      </c>
      <c r="CP25" s="24" t="str">
        <f aca="false">IFERROR((CA25/C25)^(1/20)-1,"n/m")</f>
        <v>n/m</v>
      </c>
      <c r="CS25" s="29" t="s">
        <v>159</v>
      </c>
      <c r="CU25" s="36" t="n">
        <v>375</v>
      </c>
      <c r="CW25" s="16" t="s">
        <v>160</v>
      </c>
    </row>
    <row r="26" customFormat="false" ht="15" hidden="false" customHeight="true" outlineLevel="0" collapsed="false">
      <c r="B26" s="26" t="s">
        <v>117</v>
      </c>
      <c r="D26" s="27" t="str">
        <f aca="false">IF(AND(ISNUMBER(D25),ISNUMBER(C25)),IFERROR(D25/C25-1,""),"")</f>
        <v/>
      </c>
      <c r="E26" s="27" t="str">
        <f aca="false">IF(AND(ISNUMBER(E25),ISNUMBER(D25)),IFERROR(E25/D25-1,""),"")</f>
        <v/>
      </c>
      <c r="F26" s="27" t="str">
        <f aca="false">IF(AND(ISNUMBER(F25),ISNUMBER(E25)),IFERROR(F25/E25-1,""),"")</f>
        <v/>
      </c>
      <c r="G26" s="27" t="str">
        <f aca="false">IF(AND(ISNUMBER(G25),ISNUMBER(F25)),IFERROR(G25/F25-1,""),"")</f>
        <v/>
      </c>
      <c r="H26" s="27" t="str">
        <f aca="false">IF(AND(ISNUMBER(H25),ISNUMBER(G25)),IFERROR(H25/G25-1,""),"")</f>
        <v/>
      </c>
      <c r="I26" s="27" t="str">
        <f aca="false">IF(AND(ISNUMBER(I25),ISNUMBER(H25)),IFERROR(I25/H25-1,""),"")</f>
        <v/>
      </c>
      <c r="N26" s="27" t="str">
        <f aca="false">IF(AND(ISNUMBER(N25),ISNUMBER(I25)),IFERROR(N25/I25-1,""),"")</f>
        <v/>
      </c>
      <c r="O26" s="27" t="str">
        <f aca="false">IF(AND(ISNUMBER(O25),ISNUMBER(J25)),IFERROR(O25/J25-1,""),"")</f>
        <v/>
      </c>
      <c r="P26" s="27" t="str">
        <f aca="false">IF(AND(ISNUMBER(P25),ISNUMBER(K25)),IFERROR(P25/K25-1,""),"")</f>
        <v/>
      </c>
      <c r="Q26" s="27" t="str">
        <f aca="false">IF(AND(ISNUMBER(Q25),ISNUMBER(L25)),IFERROR(Q25/L25-1,""),"")</f>
        <v/>
      </c>
      <c r="R26" s="27" t="str">
        <f aca="false">IF(AND(ISNUMBER(R25),ISNUMBER(M25)),IFERROR(R25/M25-1,""),"")</f>
        <v/>
      </c>
      <c r="S26" s="27" t="str">
        <f aca="false">IF(AND(ISNUMBER(S25),ISNUMBER(N25)),IFERROR(S25/N25-1,""),"")</f>
        <v/>
      </c>
      <c r="T26" s="27" t="str">
        <f aca="false">IF(AND(ISNUMBER(T25),ISNUMBER(O25)),IFERROR(T25/O25-1,""),"")</f>
        <v/>
      </c>
      <c r="U26" s="27" t="str">
        <f aca="false">IF(AND(ISNUMBER(U25),ISNUMBER(P25)),IFERROR(U25/P25-1,""),"")</f>
        <v/>
      </c>
      <c r="V26" s="27" t="str">
        <f aca="false">IF(AND(ISNUMBER(V25),ISNUMBER(Q25)),IFERROR(V25/Q25-1,""),"")</f>
        <v/>
      </c>
      <c r="W26" s="27" t="str">
        <f aca="false">IF(AND(ISNUMBER(W25),ISNUMBER(R25)),IFERROR(W25/R25-1,""),"")</f>
        <v/>
      </c>
      <c r="X26" s="27" t="str">
        <f aca="false">IF(AND(ISNUMBER(X25),ISNUMBER(S25)),IFERROR(X25/S25-1,""),"")</f>
        <v/>
      </c>
      <c r="Y26" s="27" t="n">
        <f aca="false">IF(AND(ISNUMBER(Y25),ISNUMBER(T25)),IFERROR(Y25/T25-1,""),"")</f>
        <v>0.244782543416245</v>
      </c>
      <c r="Z26" s="27" t="n">
        <f aca="false">IF(AND(ISNUMBER(Z25),ISNUMBER(U25)),IFERROR(Z25/U25-1,""),"")</f>
        <v>0.463918027008302</v>
      </c>
      <c r="AA26" s="27" t="n">
        <f aca="false">IF(AND(ISNUMBER(AA25),ISNUMBER(V25)),IFERROR(AA25/V25-1,""),"")</f>
        <v>0.498206893080495</v>
      </c>
      <c r="AB26" s="27" t="n">
        <f aca="false">IF(AND(ISNUMBER(AB25),ISNUMBER(W25)),IFERROR(AB25/W25-1,""),"")</f>
        <v>0.445865272528171</v>
      </c>
      <c r="AC26" s="27" t="n">
        <f aca="false">IF(AND(ISNUMBER(AC25),ISNUMBER(X25)),IFERROR(AC25/X25-1,""),"")</f>
        <v>0.413940286534004</v>
      </c>
      <c r="AD26" s="27" t="n">
        <f aca="false">IF(AND(ISNUMBER(AD25),ISNUMBER(Y25)),IFERROR(AD25/Y25-1,""),"")</f>
        <v>0.254814651013187</v>
      </c>
      <c r="AE26" s="27" t="n">
        <f aca="false">IF(AND(ISNUMBER(AE25),ISNUMBER(Z25)),IFERROR(AE25/Z25-1,""),"")</f>
        <v>0.0361928959298561</v>
      </c>
      <c r="AF26" s="27" t="n">
        <f aca="false">IF(AND(ISNUMBER(AF25),ISNUMBER(AA25)),IFERROR(AF25/AA25-1,""),"")</f>
        <v>0.0434640193509375</v>
      </c>
      <c r="AG26" s="27" t="n">
        <f aca="false">IF(AND(ISNUMBER(AG25),ISNUMBER(AB25)),IFERROR(AG25/AB25-1,""),"")</f>
        <v>0.0941828931616624</v>
      </c>
      <c r="AH26" s="27" t="n">
        <f aca="false">IF(AND(ISNUMBER(AH25),ISNUMBER(AC25)),IFERROR(AH25/AC25-1,""),"")</f>
        <v>0.10058837159445</v>
      </c>
      <c r="AI26" s="27" t="n">
        <f aca="false">IF(AND(ISNUMBER(AI25),ISNUMBER(AD25)),IFERROR(AI25/AD25-1,""),"")</f>
        <v>0.126106425075497</v>
      </c>
      <c r="AJ26" s="27" t="n">
        <f aca="false">IF(AND(ISNUMBER(AJ25),ISNUMBER(AE25)),IFERROR(AJ25/AE25-1,""),"")</f>
        <v>0.114529996714665</v>
      </c>
      <c r="AK26" s="27" t="n">
        <f aca="false">IF(AND(ISNUMBER(AK25),ISNUMBER(AF25)),IFERROR(AK25/AF25-1,""),"")</f>
        <v>0.105345342444804</v>
      </c>
      <c r="AL26" s="27" t="n">
        <f aca="false">IF(AND(ISNUMBER(AL25),ISNUMBER(AG25)),IFERROR(AL25/AG25-1,""),"")</f>
        <v>0.0993539647806605</v>
      </c>
      <c r="AM26" s="27" t="n">
        <f aca="false">IF(AND(ISNUMBER(AM25),ISNUMBER(AH25)),IFERROR(AM25/AH25-1,""),"")</f>
        <v>0.111116358048375</v>
      </c>
      <c r="AN26" s="27" t="n">
        <f aca="false">IF(AND(ISNUMBER(AN25),ISNUMBER(AI25)),IFERROR(AN25/AI25-1,""),"")</f>
        <v>0.0912990283251056</v>
      </c>
      <c r="AO26" s="27" t="n">
        <f aca="false">IF(AND(ISNUMBER(AO25),ISNUMBER(AJ25)),IFERROR(AO25/AJ25-1,""),"")</f>
        <v>0.10250916672658</v>
      </c>
      <c r="AP26" s="27" t="n">
        <f aca="false">IF(AND(ISNUMBER(AP25),ISNUMBER(AK25)),IFERROR(AP25/AK25-1,""),"")</f>
        <v>0.0862394139535561</v>
      </c>
      <c r="AQ26" s="27" t="n">
        <f aca="false">IF(AND(ISNUMBER(AQ25),ISNUMBER(AL25)),IFERROR(AQ25/AL25-1,""),"")</f>
        <v>0.107158090002505</v>
      </c>
      <c r="AR26" s="27" t="n">
        <f aca="false">IF(AND(ISNUMBER(AR25),ISNUMBER(AM25)),IFERROR(AR25/AM25-1,""),"")</f>
        <v>0.0969778964629382</v>
      </c>
      <c r="AS26" s="27" t="n">
        <f aca="false">IF(AND(ISNUMBER(AS25),ISNUMBER(AN25)),IFERROR(AS25/AN25-1,""),"")</f>
        <v>0.121714021262311</v>
      </c>
      <c r="AT26" s="27" t="n">
        <f aca="false">IF(AND(ISNUMBER(AT25),ISNUMBER(AO25)),IFERROR(AT25/AO25-1,""),"")</f>
        <v>0.106418081748702</v>
      </c>
      <c r="AU26" s="27" t="n">
        <f aca="false">IF(AND(ISNUMBER(AU25),ISNUMBER(AP25)),IFERROR(AU25/AP25-1,""),"")</f>
        <v>0.143266072266542</v>
      </c>
      <c r="AV26" s="27" t="n">
        <f aca="false">IF(AND(ISNUMBER(AV25),ISNUMBER(AQ25)),IFERROR(AV25/AQ25-1,""),"")</f>
        <v>0.200171217170636</v>
      </c>
      <c r="AW26" s="27" t="n">
        <f aca="false">IF(AND(ISNUMBER(AW25),ISNUMBER(AR25)),IFERROR(AW25/AR25-1,""),"")</f>
        <v>0.143831016836973</v>
      </c>
      <c r="AX26" s="27" t="n">
        <f aca="false">IF(AND(ISNUMBER(AX25),ISNUMBER(AS25)),IFERROR(AX25/AS25-1,""),"")</f>
        <v>0.188221279563019</v>
      </c>
      <c r="AY26" s="27" t="n">
        <f aca="false">IF(AND(ISNUMBER(AY25),ISNUMBER(AT25)),IFERROR(AY25/AT25-1,""),"")</f>
        <v>0.145885764468046</v>
      </c>
      <c r="AZ26" s="27" t="n">
        <f aca="false">IF(AND(ISNUMBER(AZ25),ISNUMBER(AU25)),IFERROR(AZ25/AU25-1,""),"")</f>
        <v>0.163790525445494</v>
      </c>
      <c r="BA26" s="27" t="n">
        <f aca="false">IF(AND(ISNUMBER(BA25),ISNUMBER(AV25)),IFERROR(BA25/AV25-1,""),"")</f>
        <v>-0.0476537422937791</v>
      </c>
      <c r="BB26" s="27" t="n">
        <f aca="false">IF(AND(ISNUMBER(BB25),ISNUMBER(AW25)),IFERROR(BB25/AW25-1,""),"")</f>
        <v>0.106866092081364</v>
      </c>
      <c r="BC26" s="27" t="n">
        <f aca="false">IF(AND(ISNUMBER(BC25),ISNUMBER(AX25)),IFERROR(BC25/AX25-1,""),"")</f>
        <v>-0.0262371565084286</v>
      </c>
      <c r="BD26" s="27" t="n">
        <f aca="false">IF(AND(ISNUMBER(BD25),ISNUMBER(AY25)),IFERROR(BD25/AY25-1,""),"")</f>
        <v>0.0398160673596715</v>
      </c>
      <c r="BE26" s="27" t="n">
        <f aca="false">IF(AND(ISNUMBER(BE25),ISNUMBER(AZ25)),IFERROR(BE25/AZ25-1,""),"")</f>
        <v>0.0729768130838298</v>
      </c>
      <c r="BF26" s="27" t="n">
        <f aca="false">IF(AND(ISNUMBER(BF25),ISNUMBER(BA25)),IFERROR(BF25/BA25-1,""),"")</f>
        <v>0.167491453425852</v>
      </c>
      <c r="BG26" s="27" t="n">
        <f aca="false">IF(AND(ISNUMBER(BG25),ISNUMBER(BB25)),IFERROR(BG25/BB25-1,""),"")</f>
        <v>0.0614147044910625</v>
      </c>
      <c r="BH26" s="27" t="n">
        <f aca="false">IF(AND(ISNUMBER(BH25),ISNUMBER(BC25)),IFERROR(BH25/BC25-1,""),"")</f>
        <v>0.176002932963699</v>
      </c>
      <c r="BI26" s="27" t="n">
        <f aca="false">IF(AND(ISNUMBER(BI25),ISNUMBER(BD25)),IFERROR(BI25/BD25-1,""),"")</f>
        <v>0.167263553620894</v>
      </c>
      <c r="BJ26" s="27" t="n">
        <f aca="false">IF(AND(ISNUMBER(BJ25),ISNUMBER(BE25)),IFERROR(BJ25/BE25-1,""),"")</f>
        <v>0.0875618666591533</v>
      </c>
      <c r="BK26" s="27" t="n">
        <f aca="false">IF(AND(ISNUMBER(BK25),ISNUMBER(BF25)),IFERROR(BK25/BF25-1,""),"")</f>
        <v>0.144493731211966</v>
      </c>
      <c r="BL26" s="27" t="n">
        <f aca="false">IF(AND(ISNUMBER(BL25),ISNUMBER(BG25)),IFERROR(BL25/BG25-1,""),"")</f>
        <v>0.142995802791252</v>
      </c>
      <c r="BM26" s="27" t="n">
        <f aca="false">IF(AND(ISNUMBER(BM25),ISNUMBER(BH25)),IFERROR(BM25/BH25-1,""),"")</f>
        <v>0.11330665653119</v>
      </c>
      <c r="BN26" s="27" t="n">
        <f aca="false">IF(AND(ISNUMBER(BN25),ISNUMBER(BI25)),IFERROR(BN25/BI25-1,""),"")</f>
        <v>0.128942171595176</v>
      </c>
      <c r="BO26" s="27" t="n">
        <f aca="false">IF(AND(ISNUMBER(BO25),ISNUMBER(BJ25)),IFERROR(BO25/BJ25-1,""),"")</f>
        <v>0.133835625310334</v>
      </c>
      <c r="BP26" s="27" t="n">
        <f aca="false">IF(AND(ISNUMBER(BP25),ISNUMBER(BK25)),IFERROR(BP25/BK25-1,""),"")</f>
        <v>0.111636957670687</v>
      </c>
      <c r="BQ26" s="27" t="n">
        <f aca="false">IF(AND(ISNUMBER(BQ25),ISNUMBER(BL25)),IFERROR(BQ25/BL25-1,""),"")</f>
        <v>0.121743023617545</v>
      </c>
      <c r="BR26" s="27" t="n">
        <f aca="false">IF(AND(ISNUMBER(BR25),ISNUMBER(BM25)),IFERROR(BR25/BM25-1,""),"")</f>
        <v>0.122266420655714</v>
      </c>
      <c r="BS26" s="27" t="n">
        <f aca="false">IF(AND(ISNUMBER(BS25),ISNUMBER(BN25)),IFERROR(BS25/BN25-1,""),"")</f>
        <v>0.123745781735054</v>
      </c>
      <c r="BT26" s="27" t="n">
        <f aca="false">IF(AND(ISNUMBER(BT25),ISNUMBER(BO25)),IFERROR(BT25/BO25-1,""),"")</f>
        <v>0.149111583308581</v>
      </c>
      <c r="BU26" s="27" t="n">
        <f aca="false">IF(AND(ISNUMBER(BU25),ISNUMBER(BP25)),IFERROR(BU25/BP25-1,""),"")</f>
        <v>0.168417147508626</v>
      </c>
      <c r="BV26" s="27" t="n">
        <f aca="false">IF(AND(ISNUMBER(BV25),ISNUMBER(BQ25)),IFERROR(BV25/BQ25-1,""),"")</f>
        <v>0.141245383357037</v>
      </c>
      <c r="BW26" s="27" t="n">
        <f aca="false">IF(AND(ISNUMBER(BW25),ISNUMBER(BR25)),IFERROR(BW25/BR25-1,""),"")</f>
        <v>0.143864482323707</v>
      </c>
      <c r="BX26" s="27" t="n">
        <f aca="false">IF(AND(ISNUMBER(BX25),ISNUMBER(BS25)),IFERROR(BX25/BS25-1,""),"")</f>
        <v>0.143212177694936</v>
      </c>
      <c r="BY26" s="27" t="n">
        <f aca="false">IF(AND(ISNUMBER(BY25),ISNUMBER(BT25)),IFERROR(BY25/BT25-1,""),"")</f>
        <v>0.149337716522125</v>
      </c>
      <c r="BZ26" s="27" t="n">
        <f aca="false">IF(AND(ISNUMBER(BZ25),ISNUMBER(BU25)),IFERROR(BZ25/BU25-1,""),"")</f>
        <v>0.134822455201497</v>
      </c>
      <c r="CA26" s="27" t="n">
        <f aca="false">IF(AND(ISNUMBER(CA25),ISNUMBER(BV25)),IFERROR(CA25/BV25-1,""),"")</f>
        <v>0.142652020786642</v>
      </c>
      <c r="CB26" s="27" t="n">
        <f aca="false">IF(AND(ISNUMBER(CB25),ISNUMBER(BW25)),IFERROR(CB25/BW25-1,""),"")</f>
        <v>0.16094090367152</v>
      </c>
      <c r="CC26" s="28" t="n">
        <f aca="false">$CB$26-$CB$109+CC114</f>
        <v>0.127882528109058</v>
      </c>
      <c r="CD26" s="28" t="n">
        <f aca="false">$CB$26-$CB$109+CD114</f>
        <v>0.127882528109058</v>
      </c>
      <c r="CE26" s="28" t="n">
        <f aca="false">$CB$26-$CB$109+CE114</f>
        <v>0.127882528109058</v>
      </c>
      <c r="CF26" s="28" t="n">
        <f aca="false">IFERROR(CF25/CA25-1,"")</f>
        <v>0.135831080715265</v>
      </c>
      <c r="CG26" s="28" t="n">
        <f aca="false">CHOOSE(MATCH($CK$2,{"Bull","Base","Bear"},0),$CT$82,$CU$82,$CV$82)</f>
        <v>0.12</v>
      </c>
      <c r="CH26" s="28" t="n">
        <f aca="false">CHOOSE(MATCH($CK$2,{"Bull","Base","Bear"},0),$CT$83,$CU$83,$CV$83)</f>
        <v>0.11</v>
      </c>
      <c r="CI26" s="28" t="n">
        <f aca="false">CHOOSE(MATCH($CK$2,{"Bull","Base","Bear"},0),$CT$84,$CU$84,$CV$84)</f>
        <v>0.1</v>
      </c>
      <c r="CJ26" s="28" t="n">
        <f aca="false">CHOOSE(MATCH($CK$2,{"Bull","Base","Bear"},0),$CT$85,$CU$85,$CV$85)</f>
        <v>0.09</v>
      </c>
      <c r="CK26" s="23" t="s">
        <v>118</v>
      </c>
      <c r="CS26" s="29" t="s">
        <v>161</v>
      </c>
      <c r="CU26" s="38" t="n">
        <v>0.65</v>
      </c>
      <c r="CW26" s="16" t="s">
        <v>162</v>
      </c>
    </row>
    <row r="27" customFormat="false" ht="15" hidden="false" customHeight="true" outlineLevel="1" collapsed="false">
      <c r="B27" s="26" t="s">
        <v>121</v>
      </c>
      <c r="AG27" s="31" t="n">
        <v>0.092</v>
      </c>
      <c r="AI27" s="31" t="n">
        <v>0.119</v>
      </c>
      <c r="AJ27" s="31" t="n">
        <v>0.108</v>
      </c>
      <c r="AK27" s="31" t="n">
        <v>0.1</v>
      </c>
      <c r="AL27" s="31" t="n">
        <v>0.094</v>
      </c>
      <c r="AN27" s="31" t="n">
        <v>0.09</v>
      </c>
      <c r="AO27" s="31" t="n">
        <v>0.102</v>
      </c>
      <c r="AP27" s="31" t="n">
        <v>0.086</v>
      </c>
      <c r="AQ27" s="31" t="n">
        <v>0.107</v>
      </c>
      <c r="AS27" s="31" t="n">
        <v>0.138</v>
      </c>
      <c r="AT27" s="31" t="n">
        <v>0.106</v>
      </c>
      <c r="AU27" s="31" t="n">
        <v>0.125</v>
      </c>
      <c r="AV27" s="31" t="n">
        <v>0.219</v>
      </c>
      <c r="AX27" s="31" t="n">
        <v>0.171</v>
      </c>
      <c r="AY27" s="31" t="n">
        <v>0.145</v>
      </c>
      <c r="AZ27" s="31" t="n">
        <v>0.177</v>
      </c>
      <c r="BA27" s="31" t="n">
        <v>-0.068</v>
      </c>
      <c r="BD27" s="31" t="n">
        <v>0.032</v>
      </c>
      <c r="BE27" s="31" t="n">
        <v>0.062</v>
      </c>
      <c r="BH27" s="31" t="n">
        <v>0.158</v>
      </c>
      <c r="BI27" s="31" t="n">
        <v>0.151</v>
      </c>
      <c r="BJ27" s="31" t="n">
        <v>0.078</v>
      </c>
      <c r="BL27" s="31" t="n">
        <v>0.131</v>
      </c>
      <c r="BM27" s="31" t="n">
        <v>0.11</v>
      </c>
      <c r="BN27" s="31" t="n">
        <v>0.127</v>
      </c>
      <c r="BO27" s="31" t="n">
        <v>0.115</v>
      </c>
      <c r="BQ27" s="31" t="n">
        <v>0.116</v>
      </c>
      <c r="BR27" s="31" t="n">
        <v>0.14</v>
      </c>
      <c r="BS27" s="31" t="n">
        <v>0.123</v>
      </c>
      <c r="BT27" s="31" t="n">
        <v>0.15</v>
      </c>
      <c r="BV27" s="31" t="n">
        <v>0.15</v>
      </c>
      <c r="BW27" s="31" t="n">
        <v>0.141</v>
      </c>
      <c r="BX27" s="31" t="n">
        <v>0.141</v>
      </c>
      <c r="BY27" s="31" t="n">
        <v>0.146</v>
      </c>
      <c r="CA27" s="31" t="n">
        <v>0.14</v>
      </c>
      <c r="CC27" s="28" t="n">
        <f aca="false">CC26</f>
        <v>0.127882528109058</v>
      </c>
      <c r="CD27" s="28" t="n">
        <f aca="false">CD26</f>
        <v>0.127882528109058</v>
      </c>
      <c r="CE27" s="28" t="n">
        <f aca="false">CE26</f>
        <v>0.127882528109058</v>
      </c>
      <c r="CF27" s="28" t="n">
        <f aca="false">CF26</f>
        <v>0.135831080715265</v>
      </c>
      <c r="CG27" s="28" t="n">
        <f aca="false">CG26</f>
        <v>0.12</v>
      </c>
      <c r="CH27" s="28" t="n">
        <f aca="false">CH26</f>
        <v>0.11</v>
      </c>
      <c r="CI27" s="28" t="n">
        <f aca="false">CI26</f>
        <v>0.1</v>
      </c>
      <c r="CJ27" s="28" t="n">
        <f aca="false">CJ26</f>
        <v>0.09</v>
      </c>
      <c r="CK27" s="23" t="s">
        <v>122</v>
      </c>
      <c r="CS27" s="29" t="s">
        <v>163</v>
      </c>
      <c r="CU27" s="36" t="n">
        <v>0.405</v>
      </c>
      <c r="CW27" s="16" t="s">
        <v>164</v>
      </c>
    </row>
    <row r="28" customFormat="false" ht="15" hidden="false" customHeight="true" outlineLevel="1" collapsed="false">
      <c r="B28" s="26" t="s">
        <v>125</v>
      </c>
      <c r="C28" s="27" t="str">
        <f aca="false">IF(AND(ISNUMBER(C26),ISNUMBER(C27)),C26-C27,"")</f>
        <v/>
      </c>
      <c r="D28" s="27" t="str">
        <f aca="false">IF(AND(ISNUMBER(D26),ISNUMBER(D27)),D26-D27,"")</f>
        <v/>
      </c>
      <c r="E28" s="27" t="str">
        <f aca="false">IF(AND(ISNUMBER(E26),ISNUMBER(E27)),E26-E27,"")</f>
        <v/>
      </c>
      <c r="F28" s="27" t="str">
        <f aca="false">IF(AND(ISNUMBER(F26),ISNUMBER(F27)),F26-F27,"")</f>
        <v/>
      </c>
      <c r="G28" s="27" t="str">
        <f aca="false">IF(AND(ISNUMBER(G26),ISNUMBER(G27)),G26-G27,"")</f>
        <v/>
      </c>
      <c r="H28" s="27" t="str">
        <f aca="false">IF(AND(ISNUMBER(H26),ISNUMBER(H27)),H26-H27,"")</f>
        <v/>
      </c>
      <c r="I28" s="27" t="str">
        <f aca="false">IF(AND(ISNUMBER(I26),ISNUMBER(I27)),I26-I27,"")</f>
        <v/>
      </c>
      <c r="J28" s="27" t="str">
        <f aca="false">IF(AND(ISNUMBER(J26),ISNUMBER(J27)),J26-J27,"")</f>
        <v/>
      </c>
      <c r="K28" s="27" t="str">
        <f aca="false">IF(AND(ISNUMBER(K26),ISNUMBER(K27)),K26-K27,"")</f>
        <v/>
      </c>
      <c r="L28" s="27" t="str">
        <f aca="false">IF(AND(ISNUMBER(L26),ISNUMBER(L27)),L26-L27,"")</f>
        <v/>
      </c>
      <c r="M28" s="27" t="str">
        <f aca="false">IF(AND(ISNUMBER(M26),ISNUMBER(M27)),M26-M27,"")</f>
        <v/>
      </c>
      <c r="N28" s="27" t="str">
        <f aca="false">IF(AND(ISNUMBER(N26),ISNUMBER(N27)),N26-N27,"")</f>
        <v/>
      </c>
      <c r="O28" s="27" t="str">
        <f aca="false">IF(AND(ISNUMBER(O26),ISNUMBER(O27)),O26-O27,"")</f>
        <v/>
      </c>
      <c r="P28" s="27" t="str">
        <f aca="false">IF(AND(ISNUMBER(P26),ISNUMBER(P27)),P26-P27,"")</f>
        <v/>
      </c>
      <c r="Q28" s="27" t="str">
        <f aca="false">IF(AND(ISNUMBER(Q26),ISNUMBER(Q27)),Q26-Q27,"")</f>
        <v/>
      </c>
      <c r="R28" s="27" t="str">
        <f aca="false">IF(AND(ISNUMBER(R26),ISNUMBER(R27)),R26-R27,"")</f>
        <v/>
      </c>
      <c r="S28" s="27" t="str">
        <f aca="false">IF(AND(ISNUMBER(S26),ISNUMBER(S27)),S26-S27,"")</f>
        <v/>
      </c>
      <c r="T28" s="27" t="str">
        <f aca="false">IF(AND(ISNUMBER(T26),ISNUMBER(T27)),T26-T27,"")</f>
        <v/>
      </c>
      <c r="U28" s="27" t="str">
        <f aca="false">IF(AND(ISNUMBER(U26),ISNUMBER(U27)),U26-U27,"")</f>
        <v/>
      </c>
      <c r="V28" s="27" t="str">
        <f aca="false">IF(AND(ISNUMBER(V26),ISNUMBER(V27)),V26-V27,"")</f>
        <v/>
      </c>
      <c r="W28" s="27" t="str">
        <f aca="false">IF(AND(ISNUMBER(W26),ISNUMBER(W27)),W26-W27,"")</f>
        <v/>
      </c>
      <c r="X28" s="27" t="str">
        <f aca="false">IF(AND(ISNUMBER(X26),ISNUMBER(X27)),X26-X27,"")</f>
        <v/>
      </c>
      <c r="Y28" s="27" t="str">
        <f aca="false">IF(AND(ISNUMBER(Y26),ISNUMBER(Y27)),Y26-Y27,"")</f>
        <v/>
      </c>
      <c r="Z28" s="27" t="str">
        <f aca="false">IF(AND(ISNUMBER(Z26),ISNUMBER(Z27)),Z26-Z27,"")</f>
        <v/>
      </c>
      <c r="AA28" s="27" t="str">
        <f aca="false">IF(AND(ISNUMBER(AA26),ISNUMBER(AA27)),AA26-AA27,"")</f>
        <v/>
      </c>
      <c r="AB28" s="27" t="str">
        <f aca="false">IF(AND(ISNUMBER(AB26),ISNUMBER(AB27)),AB26-AB27,"")</f>
        <v/>
      </c>
      <c r="AC28" s="27" t="str">
        <f aca="false">IF(AND(ISNUMBER(AC26),ISNUMBER(AC27)),AC26-AC27,"")</f>
        <v/>
      </c>
      <c r="AD28" s="27" t="str">
        <f aca="false">IF(AND(ISNUMBER(AD26),ISNUMBER(AD27)),AD26-AD27,"")</f>
        <v/>
      </c>
      <c r="AE28" s="27" t="str">
        <f aca="false">IF(AND(ISNUMBER(AE26),ISNUMBER(AE27)),AE26-AE27,"")</f>
        <v/>
      </c>
      <c r="AF28" s="27" t="str">
        <f aca="false">IF(AND(ISNUMBER(AF26),ISNUMBER(AF27)),AF26-AF27,"")</f>
        <v/>
      </c>
      <c r="AG28" s="27" t="n">
        <f aca="false">IF(AND(ISNUMBER(AG26),ISNUMBER(AG27)),AG26-AG27,"")</f>
        <v>0.0021828931616624</v>
      </c>
      <c r="AH28" s="27" t="str">
        <f aca="false">IF(AND(ISNUMBER(AH26),ISNUMBER(AH27)),AH26-AH27,"")</f>
        <v/>
      </c>
      <c r="AI28" s="27" t="n">
        <f aca="false">IF(AND(ISNUMBER(AI26),ISNUMBER(AI27)),AI26-AI27,"")</f>
        <v>0.0071064250754973</v>
      </c>
      <c r="AJ28" s="27" t="n">
        <f aca="false">IF(AND(ISNUMBER(AJ26),ISNUMBER(AJ27)),AJ26-AJ27,"")</f>
        <v>0.00652999671466469</v>
      </c>
      <c r="AK28" s="27" t="n">
        <f aca="false">IF(AND(ISNUMBER(AK26),ISNUMBER(AK27)),AK26-AK27,"")</f>
        <v>0.00534534244480386</v>
      </c>
      <c r="AL28" s="27" t="n">
        <f aca="false">IF(AND(ISNUMBER(AL26),ISNUMBER(AL27)),AL26-AL27,"")</f>
        <v>0.0053539647806605</v>
      </c>
      <c r="AM28" s="27" t="str">
        <f aca="false">IF(AND(ISNUMBER(AM26),ISNUMBER(AM27)),AM26-AM27,"")</f>
        <v/>
      </c>
      <c r="AN28" s="27" t="n">
        <f aca="false">IF(AND(ISNUMBER(AN26),ISNUMBER(AN27)),AN26-AN27,"")</f>
        <v>0.00129902832510562</v>
      </c>
      <c r="AO28" s="27" t="n">
        <f aca="false">IF(AND(ISNUMBER(AO26),ISNUMBER(AO27)),AO26-AO27,"")</f>
        <v>0.000509166726580065</v>
      </c>
      <c r="AP28" s="27" t="n">
        <f aca="false">IF(AND(ISNUMBER(AP26),ISNUMBER(AP27)),AP26-AP27,"")</f>
        <v>0.000239413953556061</v>
      </c>
      <c r="AQ28" s="27" t="n">
        <f aca="false">IF(AND(ISNUMBER(AQ26),ISNUMBER(AQ27)),AQ26-AQ27,"")</f>
        <v>0.000158090002505093</v>
      </c>
      <c r="AR28" s="27" t="str">
        <f aca="false">IF(AND(ISNUMBER(AR26),ISNUMBER(AR27)),AR26-AR27,"")</f>
        <v/>
      </c>
      <c r="AS28" s="27" t="n">
        <f aca="false">IF(AND(ISNUMBER(AS26),ISNUMBER(AS27)),AS26-AS27,"")</f>
        <v>-0.0162859787376889</v>
      </c>
      <c r="AT28" s="27" t="n">
        <f aca="false">IF(AND(ISNUMBER(AT26),ISNUMBER(AT27)),AT26-AT27,"")</f>
        <v>0.000418081748702157</v>
      </c>
      <c r="AU28" s="27" t="n">
        <f aca="false">IF(AND(ISNUMBER(AU26),ISNUMBER(AU27)),AU26-AU27,"")</f>
        <v>0.0182660722665415</v>
      </c>
      <c r="AV28" s="27" t="n">
        <f aca="false">IF(AND(ISNUMBER(AV26),ISNUMBER(AV27)),AV26-AV27,"")</f>
        <v>-0.0188287828293638</v>
      </c>
      <c r="AW28" s="27" t="str">
        <f aca="false">IF(AND(ISNUMBER(AW26),ISNUMBER(AW27)),AW26-AW27,"")</f>
        <v/>
      </c>
      <c r="AX28" s="27" t="n">
        <f aca="false">IF(AND(ISNUMBER(AX26),ISNUMBER(AX27)),AX26-AX27,"")</f>
        <v>0.0172212795630194</v>
      </c>
      <c r="AY28" s="27" t="n">
        <f aca="false">IF(AND(ISNUMBER(AY26),ISNUMBER(AY27)),AY26-AY27,"")</f>
        <v>0.000885764468046252</v>
      </c>
      <c r="AZ28" s="27" t="n">
        <f aca="false">IF(AND(ISNUMBER(AZ26),ISNUMBER(AZ27)),AZ26-AZ27,"")</f>
        <v>-0.0132094745545059</v>
      </c>
      <c r="BA28" s="27" t="n">
        <f aca="false">IF(AND(ISNUMBER(BA26),ISNUMBER(BA27)),BA26-BA27,"")</f>
        <v>0.020346257706221</v>
      </c>
      <c r="BB28" s="27" t="str">
        <f aca="false">IF(AND(ISNUMBER(BB26),ISNUMBER(BB27)),BB26-BB27,"")</f>
        <v/>
      </c>
      <c r="BC28" s="27" t="str">
        <f aca="false">IF(AND(ISNUMBER(BC26),ISNUMBER(BC27)),BC26-BC27,"")</f>
        <v/>
      </c>
      <c r="BD28" s="27" t="n">
        <f aca="false">IF(AND(ISNUMBER(BD26),ISNUMBER(BD27)),BD26-BD27,"")</f>
        <v>0.00781606735967147</v>
      </c>
      <c r="BE28" s="27" t="n">
        <f aca="false">IF(AND(ISNUMBER(BE26),ISNUMBER(BE27)),BE26-BE27,"")</f>
        <v>0.0109768130838298</v>
      </c>
      <c r="BF28" s="27" t="str">
        <f aca="false">IF(AND(ISNUMBER(BF26),ISNUMBER(BF27)),BF26-BF27,"")</f>
        <v/>
      </c>
      <c r="BG28" s="27" t="str">
        <f aca="false">IF(AND(ISNUMBER(BG26),ISNUMBER(BG27)),BG26-BG27,"")</f>
        <v/>
      </c>
      <c r="BH28" s="27" t="n">
        <f aca="false">IF(AND(ISNUMBER(BH26),ISNUMBER(BH27)),BH26-BH27,"")</f>
        <v>0.0180029329636994</v>
      </c>
      <c r="BI28" s="27" t="n">
        <f aca="false">IF(AND(ISNUMBER(BI26),ISNUMBER(BI27)),BI26-BI27,"")</f>
        <v>0.0162635536208944</v>
      </c>
      <c r="BJ28" s="27" t="n">
        <f aca="false">IF(AND(ISNUMBER(BJ26),ISNUMBER(BJ27)),BJ26-BJ27,"")</f>
        <v>0.00956186665915333</v>
      </c>
      <c r="BK28" s="27" t="str">
        <f aca="false">IF(AND(ISNUMBER(BK26),ISNUMBER(BK27)),BK26-BK27,"")</f>
        <v/>
      </c>
      <c r="BL28" s="27" t="n">
        <f aca="false">IF(AND(ISNUMBER(BL26),ISNUMBER(BL27)),BL26-BL27,"")</f>
        <v>0.0119958027912519</v>
      </c>
      <c r="BM28" s="27" t="n">
        <f aca="false">IF(AND(ISNUMBER(BM26),ISNUMBER(BM27)),BM26-BM27,"")</f>
        <v>0.00330665653118999</v>
      </c>
      <c r="BN28" s="27" t="n">
        <f aca="false">IF(AND(ISNUMBER(BN26),ISNUMBER(BN27)),BN26-BN27,"")</f>
        <v>0.00194217159517573</v>
      </c>
      <c r="BO28" s="27" t="n">
        <f aca="false">IF(AND(ISNUMBER(BO26),ISNUMBER(BO27)),BO26-BO27,"")</f>
        <v>0.0188356253103343</v>
      </c>
      <c r="BP28" s="27" t="str">
        <f aca="false">IF(AND(ISNUMBER(BP26),ISNUMBER(BP27)),BP26-BP27,"")</f>
        <v/>
      </c>
      <c r="BQ28" s="27" t="n">
        <f aca="false">IF(AND(ISNUMBER(BQ26),ISNUMBER(BQ27)),BQ26-BQ27,"")</f>
        <v>0.0057430236175454</v>
      </c>
      <c r="BR28" s="27" t="n">
        <f aca="false">IF(AND(ISNUMBER(BR26),ISNUMBER(BR27)),BR26-BR27,"")</f>
        <v>-0.0177335793442862</v>
      </c>
      <c r="BS28" s="27" t="n">
        <f aca="false">IF(AND(ISNUMBER(BS26),ISNUMBER(BS27)),BS26-BS27,"")</f>
        <v>0.000745781735053575</v>
      </c>
      <c r="BT28" s="27" t="n">
        <f aca="false">IF(AND(ISNUMBER(BT26),ISNUMBER(BT27)),BT26-BT27,"")</f>
        <v>-0.000888416691418786</v>
      </c>
      <c r="BU28" s="27" t="str">
        <f aca="false">IF(AND(ISNUMBER(BU26),ISNUMBER(BU27)),BU26-BU27,"")</f>
        <v/>
      </c>
      <c r="BV28" s="27" t="n">
        <f aca="false">IF(AND(ISNUMBER(BV26),ISNUMBER(BV27)),BV26-BV27,"")</f>
        <v>-0.00875461664296293</v>
      </c>
      <c r="BW28" s="27" t="n">
        <f aca="false">IF(AND(ISNUMBER(BW26),ISNUMBER(BW27)),BW26-BW27,"")</f>
        <v>0.00286448232370698</v>
      </c>
      <c r="BX28" s="27" t="n">
        <f aca="false">IF(AND(ISNUMBER(BX26),ISNUMBER(BX27)),BX26-BX27,"")</f>
        <v>0.00221217769493623</v>
      </c>
      <c r="BY28" s="27" t="n">
        <f aca="false">IF(AND(ISNUMBER(BY26),ISNUMBER(BY27)),BY26-BY27,"")</f>
        <v>0.00333771652212525</v>
      </c>
      <c r="BZ28" s="27" t="str">
        <f aca="false">IF(AND(ISNUMBER(BZ26),ISNUMBER(BZ27)),BZ26-BZ27,"")</f>
        <v/>
      </c>
      <c r="CA28" s="27" t="n">
        <f aca="false">IF(AND(ISNUMBER(CA26),ISNUMBER(CA27)),CA26-CA27,"")</f>
        <v>0.00265202078664151</v>
      </c>
      <c r="CB28" s="27" t="str">
        <f aca="false">IF(AND(ISNUMBER(CB26),ISNUMBER(CB27)),CB26-CB27,"")</f>
        <v/>
      </c>
      <c r="CC28" s="33"/>
      <c r="CD28" s="33"/>
      <c r="CE28" s="33"/>
      <c r="CF28" s="33"/>
      <c r="CG28" s="33"/>
      <c r="CH28" s="33"/>
      <c r="CI28" s="33"/>
      <c r="CJ28" s="33"/>
      <c r="CK28" s="23"/>
      <c r="CS28" s="29" t="s">
        <v>165</v>
      </c>
      <c r="CU28" s="36" t="n">
        <v>98.257</v>
      </c>
      <c r="CW28" s="16" t="s">
        <v>166</v>
      </c>
    </row>
    <row r="29" customFormat="false" ht="15" hidden="false" customHeight="true" outlineLevel="0" collapsed="false">
      <c r="B29" s="29" t="s">
        <v>126</v>
      </c>
      <c r="T29" s="34" t="n">
        <v>36.655</v>
      </c>
      <c r="U29" s="34" t="n">
        <v>38.396</v>
      </c>
      <c r="V29" s="34" t="n">
        <v>37.584</v>
      </c>
      <c r="W29" s="34" t="n">
        <v>39.704</v>
      </c>
      <c r="X29" s="34" t="n">
        <v>152.339</v>
      </c>
      <c r="Y29" s="34" t="n">
        <v>42.111</v>
      </c>
      <c r="Z29" s="34" t="n">
        <v>52.027</v>
      </c>
      <c r="AA29" s="34" t="n">
        <v>50.241</v>
      </c>
      <c r="AB29" s="34" t="n">
        <v>52.631</v>
      </c>
      <c r="AC29" s="34" t="n">
        <v>197.01</v>
      </c>
      <c r="AD29" s="34" t="n">
        <v>57.126</v>
      </c>
      <c r="AE29" s="34" t="n">
        <v>57.545</v>
      </c>
      <c r="AF29" s="34" t="n">
        <v>55.681</v>
      </c>
      <c r="AG29" s="34" t="n">
        <v>59.814</v>
      </c>
      <c r="AH29" s="34" t="n">
        <v>230.166</v>
      </c>
      <c r="AI29" s="34" t="n">
        <v>66.775</v>
      </c>
      <c r="AJ29" s="34" t="n">
        <v>65.26</v>
      </c>
      <c r="AK29" s="34" t="n">
        <v>64.348</v>
      </c>
      <c r="AL29" s="34" t="n">
        <v>69.402</v>
      </c>
      <c r="AM29" s="34" t="n">
        <v>265.785</v>
      </c>
      <c r="AN29" s="34" t="n">
        <v>73.485</v>
      </c>
      <c r="AO29" s="34" t="n">
        <v>73.67</v>
      </c>
      <c r="AP29" s="34" t="n">
        <v>71.89</v>
      </c>
      <c r="AQ29" s="34" t="n">
        <v>78.029</v>
      </c>
      <c r="AR29" s="34" t="n">
        <v>297.074</v>
      </c>
      <c r="AS29" s="34" t="n">
        <v>84.287</v>
      </c>
      <c r="AT29" s="34" t="n">
        <v>82.074</v>
      </c>
      <c r="AU29" s="34" t="n">
        <v>81.91</v>
      </c>
      <c r="AV29" s="34" t="n">
        <v>90.389</v>
      </c>
      <c r="AW29" s="34" t="n">
        <v>338.661</v>
      </c>
      <c r="AX29" s="34" t="n">
        <v>82.104</v>
      </c>
      <c r="AY29" s="34" t="n">
        <v>83.597</v>
      </c>
      <c r="AZ29" s="34" t="n">
        <v>86.341</v>
      </c>
      <c r="BA29" s="34" t="n">
        <v>80.294</v>
      </c>
      <c r="BB29" s="34" t="n">
        <v>332.336</v>
      </c>
      <c r="BC29" s="34" t="n">
        <v>89.275</v>
      </c>
      <c r="BD29" s="34" t="n">
        <v>88.034</v>
      </c>
      <c r="BE29" s="34" t="n">
        <v>94.204</v>
      </c>
      <c r="BF29" s="34" t="n">
        <v>100.68</v>
      </c>
      <c r="BG29" s="34" t="n">
        <v>372.193</v>
      </c>
      <c r="BH29" s="34" t="n">
        <v>116.137</v>
      </c>
      <c r="BI29" s="34" t="n">
        <v>119.153</v>
      </c>
      <c r="BJ29" s="34" t="n">
        <v>119.408</v>
      </c>
      <c r="BK29" s="34" t="n">
        <v>127.39</v>
      </c>
      <c r="BL29" s="34" t="n">
        <v>482.088</v>
      </c>
      <c r="BM29" s="34" t="n">
        <v>145.776</v>
      </c>
      <c r="BN29" s="34" t="n">
        <v>145.316</v>
      </c>
      <c r="BO29" s="34" t="n">
        <v>147.732</v>
      </c>
      <c r="BP29" s="34" t="n">
        <v>153.832</v>
      </c>
      <c r="BQ29" s="34" t="n">
        <v>592.656</v>
      </c>
      <c r="BR29" s="34" t="n">
        <v>168.803</v>
      </c>
      <c r="BS29" s="34" t="n">
        <v>171.485</v>
      </c>
      <c r="BT29" s="34" t="n">
        <v>172.133</v>
      </c>
      <c r="BU29" s="34" t="n">
        <v>184.189</v>
      </c>
      <c r="BV29" s="34" t="n">
        <v>696.61</v>
      </c>
      <c r="BW29" s="34" t="n">
        <v>190.168</v>
      </c>
      <c r="BX29" s="34" t="n">
        <v>197.602</v>
      </c>
      <c r="BY29" s="34" t="n">
        <v>201.647</v>
      </c>
      <c r="BZ29" s="34" t="n">
        <v>213.066</v>
      </c>
      <c r="CA29" s="34" t="n">
        <v>802.483</v>
      </c>
      <c r="CB29" s="34" t="n">
        <v>223.817</v>
      </c>
      <c r="CC29" s="35" t="n">
        <f aca="false">CC25*CC31</f>
        <v>221.069288668675</v>
      </c>
      <c r="CD29" s="35" t="n">
        <f aca="false">CD25*CD31</f>
        <v>225.607435147622</v>
      </c>
      <c r="CE29" s="35" t="n">
        <f aca="false">CE25*CE31</f>
        <v>238.374487424952</v>
      </c>
      <c r="CF29" s="35" t="n">
        <f aca="false">SUM(CB29,CC29,CD29,CE29)</f>
        <v>908.86821124125</v>
      </c>
      <c r="CG29" s="35" t="n">
        <f aca="false">CG25*CG31</f>
        <v>1030.50030738223</v>
      </c>
      <c r="CH29" s="35" t="n">
        <f aca="false">CH25*CH31</f>
        <v>1149.75150274683</v>
      </c>
      <c r="CI29" s="35" t="n">
        <f aca="false">CI25*CI31</f>
        <v>1271.21243072931</v>
      </c>
      <c r="CJ29" s="35" t="n">
        <f aca="false">CJ25*CJ31</f>
        <v>1390.33454796262</v>
      </c>
      <c r="CK29" s="23"/>
      <c r="CM29" s="24" t="n">
        <f aca="false">IFERROR((CJ29/CA29)^(1/5)-1,"n/m")</f>
        <v>0.11618631799733</v>
      </c>
      <c r="CN29" s="24" t="n">
        <f aca="false">IFERROR((CA29/BB29)^(1/5)-1,"n/m")</f>
        <v>0.192811151134597</v>
      </c>
      <c r="CO29" s="24" t="n">
        <f aca="false">IFERROR((CA29/AC29)^(1/10)-1,"n/m")</f>
        <v>0.15078649603454</v>
      </c>
      <c r="CP29" s="24" t="str">
        <f aca="false">IFERROR((CA29/C29)^(1/20)-1,"n/m")</f>
        <v>n/m</v>
      </c>
      <c r="CS29" s="29" t="s">
        <v>167</v>
      </c>
      <c r="CU29" s="36" t="n">
        <v>82.7333333333333</v>
      </c>
      <c r="CW29" s="16" t="s">
        <v>168</v>
      </c>
    </row>
    <row r="30" customFormat="false" ht="15" hidden="false" customHeight="true" outlineLevel="1" collapsed="false">
      <c r="B30" s="29" t="s">
        <v>128</v>
      </c>
      <c r="CC30" s="28" t="n">
        <f aca="false">BX31+($CB$31-$BW$31)</f>
        <v>0.585211284609954</v>
      </c>
      <c r="CD30" s="28" t="n">
        <f aca="false">BY31+($CB$31-$BW$31)</f>
        <v>0.589244680818968</v>
      </c>
      <c r="CE30" s="28" t="n">
        <f aca="false">BZ31+($CB$31-$BW$31)</f>
        <v>0.586607355728894</v>
      </c>
      <c r="CF30" s="33"/>
      <c r="CG30" s="33"/>
      <c r="CH30" s="33"/>
      <c r="CI30" s="33"/>
      <c r="CJ30" s="33"/>
      <c r="CK30" s="23" t="s">
        <v>129</v>
      </c>
      <c r="CS30" s="29" t="s">
        <v>169</v>
      </c>
      <c r="CU30" s="38" t="n">
        <v>0.318</v>
      </c>
      <c r="CW30" s="16" t="s">
        <v>170</v>
      </c>
    </row>
    <row r="31" customFormat="false" ht="15" hidden="false" customHeight="true" outlineLevel="0" collapsed="false">
      <c r="B31" s="29" t="s">
        <v>132</v>
      </c>
      <c r="C31" s="37" t="str">
        <f aca="false">IF(AND(ISNUMBER(C29),ISNUMBER(C25)),IFERROR(C29/C25,""),"")</f>
        <v/>
      </c>
      <c r="D31" s="37" t="str">
        <f aca="false">IF(AND(ISNUMBER(D29),ISNUMBER(D25)),IFERROR(D29/D25,""),"")</f>
        <v/>
      </c>
      <c r="E31" s="37" t="str">
        <f aca="false">IF(AND(ISNUMBER(E29),ISNUMBER(E25)),IFERROR(E29/E25,""),"")</f>
        <v/>
      </c>
      <c r="F31" s="37" t="str">
        <f aca="false">IF(AND(ISNUMBER(F29),ISNUMBER(F25)),IFERROR(F29/F25,""),"")</f>
        <v/>
      </c>
      <c r="G31" s="37" t="str">
        <f aca="false">IF(AND(ISNUMBER(G29),ISNUMBER(G25)),IFERROR(G29/G25,""),"")</f>
        <v/>
      </c>
      <c r="H31" s="37" t="str">
        <f aca="false">IF(AND(ISNUMBER(H29),ISNUMBER(H25)),IFERROR(H29/H25,""),"")</f>
        <v/>
      </c>
      <c r="I31" s="37" t="str">
        <f aca="false">IF(AND(ISNUMBER(I29),ISNUMBER(I25)),IFERROR(I29/I25,""),"")</f>
        <v/>
      </c>
      <c r="J31" s="37" t="str">
        <f aca="false">IF(AND(ISNUMBER(J29),ISNUMBER(J25)),IFERROR(J29/J25,""),"")</f>
        <v/>
      </c>
      <c r="K31" s="37" t="str">
        <f aca="false">IF(AND(ISNUMBER(K29),ISNUMBER(K25)),IFERROR(K29/K25,""),"")</f>
        <v/>
      </c>
      <c r="L31" s="37" t="str">
        <f aca="false">IF(AND(ISNUMBER(L29),ISNUMBER(L25)),IFERROR(L29/L25,""),"")</f>
        <v/>
      </c>
      <c r="M31" s="37" t="str">
        <f aca="false">IF(AND(ISNUMBER(M29),ISNUMBER(M25)),IFERROR(M29/M25,""),"")</f>
        <v/>
      </c>
      <c r="N31" s="37" t="str">
        <f aca="false">IF(AND(ISNUMBER(N29),ISNUMBER(N25)),IFERROR(N29/N25,""),"")</f>
        <v/>
      </c>
      <c r="O31" s="37" t="str">
        <f aca="false">IF(AND(ISNUMBER(O29),ISNUMBER(O25)),IFERROR(O29/O25,""),"")</f>
        <v/>
      </c>
      <c r="P31" s="37" t="str">
        <f aca="false">IF(AND(ISNUMBER(P29),ISNUMBER(P25)),IFERROR(P29/P25,""),"")</f>
        <v/>
      </c>
      <c r="Q31" s="37" t="str">
        <f aca="false">IF(AND(ISNUMBER(Q29),ISNUMBER(Q25)),IFERROR(Q29/Q25,""),"")</f>
        <v/>
      </c>
      <c r="R31" s="37" t="str">
        <f aca="false">IF(AND(ISNUMBER(R29),ISNUMBER(R25)),IFERROR(R29/R25,""),"")</f>
        <v/>
      </c>
      <c r="S31" s="37" t="str">
        <f aca="false">IF(AND(ISNUMBER(S29),ISNUMBER(S25)),IFERROR(S29/S25,""),"")</f>
        <v/>
      </c>
      <c r="T31" s="37" t="n">
        <f aca="false">IF(AND(ISNUMBER(T29),ISNUMBER(T25)),IFERROR(T29/T25,""),"")</f>
        <v>0.458623192032431</v>
      </c>
      <c r="U31" s="37" t="n">
        <f aca="false">IF(AND(ISNUMBER(U29),ISNUMBER(U25)),IFERROR(U29/U25,""),"")</f>
        <v>0.466701510860449</v>
      </c>
      <c r="V31" s="37" t="n">
        <f aca="false">IF(AND(ISNUMBER(V29),ISNUMBER(V25)),IFERROR(V29/V25,""),"")</f>
        <v>0.472927231317084</v>
      </c>
      <c r="W31" s="37" t="n">
        <f aca="false">IF(AND(ISNUMBER(W29),ISNUMBER(W25)),IFERROR(W29/W25,""),"")</f>
        <v>0.467507388698529</v>
      </c>
      <c r="X31" s="37" t="n">
        <f aca="false">IF(AND(ISNUMBER(X29),ISNUMBER(X25)),IFERROR(X29/X25,""),"")</f>
        <v>0.466449066575217</v>
      </c>
      <c r="Y31" s="37" t="n">
        <f aca="false">IF(AND(ISNUMBER(Y29),ISNUMBER(Y25)),IFERROR(Y29/Y25,""),"")</f>
        <v>0.423277179157285</v>
      </c>
      <c r="Z31" s="37" t="n">
        <f aca="false">IF(AND(ISNUMBER(Z29),ISNUMBER(Z25)),IFERROR(Z29/Z25,""),"")</f>
        <v>0.431981600491539</v>
      </c>
      <c r="AA31" s="37" t="n">
        <f aca="false">IF(AND(ISNUMBER(AA29),ISNUMBER(AA25)),IFERROR(AA29/AA25,""),"")</f>
        <v>0.421966337431969</v>
      </c>
      <c r="AB31" s="37" t="n">
        <f aca="false">IF(AND(ISNUMBER(AB29),ISNUMBER(AB25)),IFERROR(AB29/AB25,""),"")</f>
        <v>0.428615637699217</v>
      </c>
      <c r="AC31" s="37" t="n">
        <f aca="false">IF(AND(ISNUMBER(AC29),ISNUMBER(AC25)),IFERROR(AC29/AC25,""),"")</f>
        <v>0.426628957757215</v>
      </c>
      <c r="AD31" s="37" t="n">
        <f aca="false">IF(AND(ISNUMBER(AD29),ISNUMBER(AD25)),IFERROR(AD29/AD25,""),"")</f>
        <v>0.457597385432437</v>
      </c>
      <c r="AE31" s="37" t="n">
        <f aca="false">IF(AND(ISNUMBER(AE29),ISNUMBER(AE25)),IFERROR(AE29/AE25,""),"")</f>
        <v>0.46110884075739</v>
      </c>
      <c r="AF31" s="37" t="n">
        <f aca="false">IF(AND(ISNUMBER(AF29),ISNUMBER(AF25)),IFERROR(AF29/AF25,""),"")</f>
        <v>0.448176498523008</v>
      </c>
      <c r="AG31" s="37" t="n">
        <f aca="false">IF(AND(ISNUMBER(AG29),ISNUMBER(AG25)),IFERROR(AG29/AG25,""),"")</f>
        <v>0.445183762783013</v>
      </c>
      <c r="AH31" s="37" t="n">
        <f aca="false">IF(AND(ISNUMBER(AH29),ISNUMBER(AH25)),IFERROR(AH29/AH25,""),"")</f>
        <v>0.452874960893921</v>
      </c>
      <c r="AI31" s="37" t="n">
        <f aca="false">IF(AND(ISNUMBER(AI29),ISNUMBER(AI25)),IFERROR(AI29/AI25,""),"")</f>
        <v>0.474989685735016</v>
      </c>
      <c r="AJ31" s="37" t="n">
        <f aca="false">IF(AND(ISNUMBER(AJ29),ISNUMBER(AJ25)),IFERROR(AJ29/AJ25,""),"")</f>
        <v>0.46919260910202</v>
      </c>
      <c r="AK31" s="37" t="n">
        <f aca="false">IF(AND(ISNUMBER(AK29),ISNUMBER(AK25)),IFERROR(AK29/AK25,""),"")</f>
        <v>0.468575007099842</v>
      </c>
      <c r="AL31" s="37" t="n">
        <f aca="false">IF(AND(ISNUMBER(AL29),ISNUMBER(AL25)),IFERROR(AL29/AL25,""),"")</f>
        <v>0.469862633456776</v>
      </c>
      <c r="AM31" s="37" t="n">
        <f aca="false">IF(AND(ISNUMBER(AM29),ISNUMBER(AM25)),IFERROR(AM29/AM25,""),"")</f>
        <v>0.470660839445658</v>
      </c>
      <c r="AN31" s="37" t="n">
        <f aca="false">IF(AND(ISNUMBER(AN29),ISNUMBER(AN25)),IFERROR(AN29/AN25,""),"")</f>
        <v>0.478988638807955</v>
      </c>
      <c r="AO31" s="37" t="n">
        <f aca="false">IF(AND(ISNUMBER(AO29),ISNUMBER(AO25)),IFERROR(AO29/AO25,""),"")</f>
        <v>0.480410569423794</v>
      </c>
      <c r="AP31" s="37" t="n">
        <f aca="false">IF(AND(ISNUMBER(AP29),ISNUMBER(AP25)),IFERROR(AP29/AP25,""),"")</f>
        <v>0.481933364617551</v>
      </c>
      <c r="AQ31" s="37" t="n">
        <f aca="false">IF(AND(ISNUMBER(AQ29),ISNUMBER(AQ25)),IFERROR(AQ29/AQ25,""),"")</f>
        <v>0.477139450270584</v>
      </c>
      <c r="AR31" s="37" t="n">
        <f aca="false">IF(AND(ISNUMBER(AR29),ISNUMBER(AR25)),IFERROR(AR29/AR25,""),"")</f>
        <v>0.479561560688976</v>
      </c>
      <c r="AS31" s="37" t="n">
        <f aca="false">IF(AND(ISNUMBER(AS29),ISNUMBER(AS25)),IFERROR(AS29/AS25,""),"")</f>
        <v>0.489784415131617</v>
      </c>
      <c r="AT31" s="37" t="n">
        <f aca="false">IF(AND(ISNUMBER(AT29),ISNUMBER(AT25)),IFERROR(AT29/AT25,""),"")</f>
        <v>0.483735788338333</v>
      </c>
      <c r="AU31" s="37" t="n">
        <f aca="false">IF(AND(ISNUMBER(AU29),ISNUMBER(AU25)),IFERROR(AU29/AU25,""),"")</f>
        <v>0.480295061011722</v>
      </c>
      <c r="AV31" s="37" t="n">
        <f aca="false">IF(AND(ISNUMBER(AV29),ISNUMBER(AV25)),IFERROR(AV29/AV25,""),"")</f>
        <v>0.460533958322719</v>
      </c>
      <c r="AW31" s="37" t="n">
        <f aca="false">IF(AND(ISNUMBER(AW29),ISNUMBER(AW25)),IFERROR(AW29/AW25,""),"")</f>
        <v>0.477950630072724</v>
      </c>
      <c r="AX31" s="37" t="n">
        <f aca="false">IF(AND(ISNUMBER(AX29),ISNUMBER(AX25)),IFERROR(AX29/AX25,""),"")</f>
        <v>0.401523857962353</v>
      </c>
      <c r="AY31" s="37" t="n">
        <f aca="false">IF(AND(ISNUMBER(AY29),ISNUMBER(AY25)),IFERROR(AY29/AY25,""),"")</f>
        <v>0.429983695009233</v>
      </c>
      <c r="AZ31" s="37" t="n">
        <f aca="false">IF(AND(ISNUMBER(AZ29),ISNUMBER(AZ25)),IFERROR(AZ29/AZ25,""),"")</f>
        <v>0.435024234912381</v>
      </c>
      <c r="BA31" s="37" t="n">
        <f aca="false">IF(AND(ISNUMBER(BA29),ISNUMBER(BA25)),IFERROR(BA29/BA25,""),"")</f>
        <v>0.429570344056453</v>
      </c>
      <c r="BB31" s="37" t="n">
        <f aca="false">IF(AND(ISNUMBER(BB29),ISNUMBER(BB25)),IFERROR(BB29/BB25,""),"")</f>
        <v>0.423740677886142</v>
      </c>
      <c r="BC31" s="37" t="n">
        <f aca="false">IF(AND(ISNUMBER(BC29),ISNUMBER(BC25)),IFERROR(BC29/BC25,""),"")</f>
        <v>0.448356736776552</v>
      </c>
      <c r="BD31" s="37" t="n">
        <f aca="false">IF(AND(ISNUMBER(BD29),ISNUMBER(BD25)),IFERROR(BD29/BD25,""),"")</f>
        <v>0.435466956865849</v>
      </c>
      <c r="BE31" s="37" t="n">
        <f aca="false">IF(AND(ISNUMBER(BE29),ISNUMBER(BE25)),IFERROR(BE29/BE25,""),"")</f>
        <v>0.442359526291569</v>
      </c>
      <c r="BF31" s="37" t="n">
        <f aca="false">IF(AND(ISNUMBER(BF29),ISNUMBER(BF25)),IFERROR(BF29/BF25,""),"")</f>
        <v>0.461360803577975</v>
      </c>
      <c r="BG31" s="37" t="n">
        <f aca="false">IF(AND(ISNUMBER(BG29),ISNUMBER(BG25)),IFERROR(BG29/BG25,""),"")</f>
        <v>0.447101235137388</v>
      </c>
      <c r="BH31" s="37" t="n">
        <f aca="false">IF(AND(ISNUMBER(BH29),ISNUMBER(BH25)),IFERROR(BH29/BH25,""),"")</f>
        <v>0.495970720999654</v>
      </c>
      <c r="BI31" s="37" t="n">
        <f aca="false">IF(AND(ISNUMBER(BI29),ISNUMBER(BI25)),IFERROR(BI29/BI25,""),"")</f>
        <v>0.504941222338054</v>
      </c>
      <c r="BJ31" s="37" t="n">
        <f aca="false">IF(AND(ISNUMBER(BJ29),ISNUMBER(BJ25)),IFERROR(BJ29/BJ25,""),"")</f>
        <v>0.515567453206969</v>
      </c>
      <c r="BK31" s="37" t="n">
        <f aca="false">IF(AND(ISNUMBER(BK29),ISNUMBER(BK25)),IFERROR(BK29/BK25,""),"")</f>
        <v>0.510057816428835</v>
      </c>
      <c r="BL31" s="37" t="n">
        <f aca="false">IF(AND(ISNUMBER(BL29),ISNUMBER(BL25)),IFERROR(BL29/BL25,""),"")</f>
        <v>0.506663191437484</v>
      </c>
      <c r="BM31" s="37" t="n">
        <f aca="false">IF(AND(ISNUMBER(BM29),ISNUMBER(BM25)),IFERROR(BM29/BM25,""),"")</f>
        <v>0.559186476046538</v>
      </c>
      <c r="BN31" s="37" t="n">
        <f aca="false">IF(AND(ISNUMBER(BN29),ISNUMBER(BN25)),IFERROR(BN29/BN25,""),"")</f>
        <v>0.545478432888765</v>
      </c>
      <c r="BO31" s="37" t="n">
        <f aca="false">IF(AND(ISNUMBER(BO29),ISNUMBER(BO25)),IFERROR(BO29/BO25,""),"")</f>
        <v>0.562569972810565</v>
      </c>
      <c r="BP31" s="37" t="n">
        <f aca="false">IF(AND(ISNUMBER(BP29),ISNUMBER(BP25)),IFERROR(BP29/BP25,""),"")</f>
        <v>0.554074010041853</v>
      </c>
      <c r="BQ31" s="37" t="n">
        <f aca="false">IF(AND(ISNUMBER(BQ29),ISNUMBER(BQ25)),IFERROR(BQ29/BQ25,""),"")</f>
        <v>0.555267610701055</v>
      </c>
      <c r="BR31" s="37" t="n">
        <f aca="false">IF(AND(ISNUMBER(BR29),ISNUMBER(BR25)),IFERROR(BR29/BR25,""),"")</f>
        <v>0.576972112370842</v>
      </c>
      <c r="BS31" s="37" t="n">
        <f aca="false">IF(AND(ISNUMBER(BS29),ISNUMBER(BS25)),IFERROR(BS29/BS25,""),"")</f>
        <v>0.572825328108977</v>
      </c>
      <c r="BT31" s="37" t="n">
        <f aca="false">IF(AND(ISNUMBER(BT29),ISNUMBER(BT25)),IFERROR(BT29/BT25,""),"")</f>
        <v>0.570432033510185</v>
      </c>
      <c r="BU31" s="37" t="n">
        <f aca="false">IF(AND(ISNUMBER(BU29),ISNUMBER(BU25)),IFERROR(BU29/BU25,""),"")</f>
        <v>0.567788851314901</v>
      </c>
      <c r="BV31" s="37" t="n">
        <f aca="false">IF(AND(ISNUMBER(BV29),ISNUMBER(BV25)),IFERROR(BV29/BV25,""),"")</f>
        <v>0.571887134776577</v>
      </c>
      <c r="BW31" s="37" t="n">
        <f aca="false">IF(AND(ISNUMBER(BW29),ISNUMBER(BW25)),IFERROR(BW29/BW25,""),"")</f>
        <v>0.568247489220306</v>
      </c>
      <c r="BX31" s="37" t="n">
        <f aca="false">IF(AND(ISNUMBER(BX29),ISNUMBER(BX25)),IFERROR(BX29/BX25,""),"")</f>
        <v>0.577378447872838</v>
      </c>
      <c r="BY31" s="37" t="n">
        <f aca="false">IF(AND(ISNUMBER(BY29),ISNUMBER(BY25)),IFERROR(BY29/BY25,""),"")</f>
        <v>0.581411844081852</v>
      </c>
      <c r="BZ31" s="37" t="n">
        <f aca="false">IF(AND(ISNUMBER(BZ29),ISNUMBER(BZ25)),IFERROR(BZ29/BZ25,""),"")</f>
        <v>0.578774518991778</v>
      </c>
      <c r="CA31" s="37" t="n">
        <f aca="false">IF(AND(ISNUMBER(CA29),ISNUMBER(CA25)),IFERROR(CA29/CA25,""),"")</f>
        <v>0.576557294484403</v>
      </c>
      <c r="CB31" s="37" t="n">
        <f aca="false">IF(AND(ISNUMBER(CB29),ISNUMBER(CB25)),IFERROR(CB29/CB25,""),"")</f>
        <v>0.576080325957423</v>
      </c>
      <c r="CC31" s="28" t="n">
        <f aca="false">CC30+CC120</f>
        <v>0.572708696005827</v>
      </c>
      <c r="CD31" s="28" t="n">
        <f aca="false">CD30+CD120</f>
        <v>0.576742092214841</v>
      </c>
      <c r="CE31" s="28" t="n">
        <f aca="false">CE30+CE120</f>
        <v>0.574104767124767</v>
      </c>
      <c r="CF31" s="28" t="n">
        <f aca="false">IF(AND(ISNUMBER(CF29),ISNUMBER(CF25)),IFERROR(CF29/CF25,""),"")</f>
        <v>0.574901968074571</v>
      </c>
      <c r="CG31" s="28" t="n">
        <f aca="false">CHOOSE(MATCH($CK$2,{"Bull","Base","Bear"},0),$CT$100,$CU$100,$CV$100)</f>
        <v>0.582</v>
      </c>
      <c r="CH31" s="28" t="n">
        <f aca="false">CHOOSE(MATCH($CK$2,{"Bull","Base","Bear"},0),$CT$101,$CU$101,$CV$101)</f>
        <v>0.585</v>
      </c>
      <c r="CI31" s="28" t="n">
        <f aca="false">CHOOSE(MATCH($CK$2,{"Bull","Base","Bear"},0),$CT$102,$CU$102,$CV$102)</f>
        <v>0.588</v>
      </c>
      <c r="CJ31" s="28" t="n">
        <f aca="false">CHOOSE(MATCH($CK$2,{"Bull","Base","Bear"},0),$CT$103,$CU$103,$CV$103)</f>
        <v>0.59</v>
      </c>
      <c r="CK31" s="23" t="s">
        <v>171</v>
      </c>
      <c r="CS31" s="29" t="s">
        <v>172</v>
      </c>
      <c r="CU31" s="38" t="n">
        <v>0.25</v>
      </c>
      <c r="CW31" s="16" t="s">
        <v>173</v>
      </c>
    </row>
    <row r="32" customFormat="false" ht="15" hidden="false" customHeight="true" outlineLevel="0" collapsed="false">
      <c r="B32" s="29" t="s">
        <v>136</v>
      </c>
      <c r="T32" s="34" t="n">
        <v>27.508</v>
      </c>
      <c r="U32" s="34" t="n">
        <v>26.619</v>
      </c>
      <c r="V32" s="34" t="n">
        <v>26.286</v>
      </c>
      <c r="W32" s="34" t="n">
        <v>26.813</v>
      </c>
      <c r="X32" s="34" t="n">
        <v>107.226</v>
      </c>
      <c r="Y32" s="34" t="n">
        <v>33.519</v>
      </c>
      <c r="Z32" s="34" t="n">
        <v>37.18</v>
      </c>
      <c r="AA32" s="34" t="n">
        <v>37.607</v>
      </c>
      <c r="AB32" s="34" t="n">
        <v>39.197</v>
      </c>
      <c r="AC32" s="34" t="n">
        <v>147.503</v>
      </c>
      <c r="AD32" s="34" t="n">
        <v>45.615</v>
      </c>
      <c r="AE32" s="34" t="n">
        <v>42.766</v>
      </c>
      <c r="AF32" s="34" t="n">
        <v>43.446</v>
      </c>
      <c r="AG32" s="34" t="n">
        <v>45.551</v>
      </c>
      <c r="AH32" s="34" t="n">
        <v>177.378</v>
      </c>
      <c r="AI32" s="34" t="n">
        <v>47.364</v>
      </c>
      <c r="AJ32" s="34" t="n">
        <v>47.285</v>
      </c>
      <c r="AK32" s="34" t="n">
        <v>47.643</v>
      </c>
      <c r="AL32" s="34" t="n">
        <v>48.275</v>
      </c>
      <c r="AM32" s="34" t="n">
        <v>190.567</v>
      </c>
      <c r="AN32" s="34" t="n">
        <v>51.502</v>
      </c>
      <c r="AO32" s="34" t="n">
        <v>52.342</v>
      </c>
      <c r="AP32" s="34" t="n">
        <v>50.268</v>
      </c>
      <c r="AQ32" s="34" t="n">
        <v>52.878</v>
      </c>
      <c r="AR32" s="34" t="n">
        <v>206.99</v>
      </c>
      <c r="AS32" s="34" t="n">
        <v>59.518</v>
      </c>
      <c r="AT32" s="34" t="n">
        <v>57.434</v>
      </c>
      <c r="AU32" s="34" t="n">
        <v>57.218</v>
      </c>
      <c r="AV32" s="34" t="n">
        <v>57.599</v>
      </c>
      <c r="AW32" s="34" t="n">
        <v>231.769</v>
      </c>
      <c r="AX32" s="34" t="n">
        <v>63.577</v>
      </c>
      <c r="AY32" s="34" t="n">
        <v>62.091</v>
      </c>
      <c r="AZ32" s="34" t="n">
        <v>60.521</v>
      </c>
      <c r="BA32" s="34" t="n">
        <v>64.964</v>
      </c>
      <c r="BB32" s="34" t="n">
        <v>251.153</v>
      </c>
      <c r="BC32" s="34" t="n">
        <v>63.547</v>
      </c>
      <c r="BD32" s="34" t="n">
        <v>65.957</v>
      </c>
      <c r="BE32" s="34" t="n">
        <v>67.9</v>
      </c>
      <c r="BF32" s="34" t="n">
        <v>68.026</v>
      </c>
      <c r="BG32" s="34" t="n">
        <v>265.43</v>
      </c>
      <c r="BH32" s="34" t="n">
        <v>75.291</v>
      </c>
      <c r="BI32" s="34" t="n">
        <v>73.658</v>
      </c>
      <c r="BJ32" s="34" t="n">
        <v>72.137</v>
      </c>
      <c r="BK32" s="34" t="n">
        <v>80.312</v>
      </c>
      <c r="BL32" s="34" t="n">
        <v>301.398</v>
      </c>
      <c r="BM32" s="34" t="n">
        <v>86.196</v>
      </c>
      <c r="BN32" s="34" t="n">
        <v>86.785</v>
      </c>
      <c r="BO32" s="34" t="n">
        <v>90.015</v>
      </c>
      <c r="BP32" s="34" t="n">
        <v>90.507</v>
      </c>
      <c r="BQ32" s="34" t="n">
        <v>353.503</v>
      </c>
      <c r="BR32" s="34" t="n">
        <v>97.515</v>
      </c>
      <c r="BS32" s="34" t="n">
        <v>96.262</v>
      </c>
      <c r="BT32" s="34" t="n">
        <v>100.6</v>
      </c>
      <c r="BU32" s="34" t="n">
        <v>107.505</v>
      </c>
      <c r="BV32" s="34" t="n">
        <v>401.882</v>
      </c>
      <c r="BW32" s="34" t="n">
        <v>109.841</v>
      </c>
      <c r="BX32" s="34" t="n">
        <v>110.598</v>
      </c>
      <c r="BY32" s="34" t="n">
        <v>114.306</v>
      </c>
      <c r="BZ32" s="34" t="n">
        <v>114.475</v>
      </c>
      <c r="CA32" s="34" t="n">
        <v>449.084</v>
      </c>
      <c r="CB32" s="34" t="n">
        <v>124.275</v>
      </c>
      <c r="CC32" s="35" t="n">
        <f aca="false">CC25*CC33</f>
        <v>121.518603242973</v>
      </c>
      <c r="CD32" s="35" t="n">
        <f aca="false">CD25*CD33</f>
        <v>125.657632548279</v>
      </c>
      <c r="CE32" s="35" t="n">
        <f aca="false">CE25*CE33</f>
        <v>125.647563785397</v>
      </c>
      <c r="CF32" s="35" t="n">
        <f aca="false">SUM(CB32,CC32,CD32,CE32)</f>
        <v>497.098799576649</v>
      </c>
      <c r="CG32" s="35" t="n">
        <f aca="false">CG25*CG33</f>
        <v>553.197959007681</v>
      </c>
      <c r="CH32" s="35" t="n">
        <f aca="false">CH25*CH33</f>
        <v>610.118960130161</v>
      </c>
      <c r="CI32" s="35" t="n">
        <f aca="false">CI25*CI33</f>
        <v>666.807004337975</v>
      </c>
      <c r="CJ32" s="35" t="n">
        <f aca="false">CJ25*CJ33</f>
        <v>722.106636260723</v>
      </c>
      <c r="CK32" s="23"/>
      <c r="CS32" s="29" t="s">
        <v>174</v>
      </c>
      <c r="CU32" s="38" t="n">
        <v>0.05</v>
      </c>
      <c r="CW32" s="16" t="s">
        <v>175</v>
      </c>
    </row>
    <row r="33" customFormat="false" ht="15" hidden="false" customHeight="true" outlineLevel="0" collapsed="false">
      <c r="B33" s="29" t="s">
        <v>139</v>
      </c>
      <c r="C33" s="37" t="str">
        <f aca="false">IF(AND(ISNUMBER(C32),ISNUMBER(C25)),IFERROR(C32/C25,""),"")</f>
        <v/>
      </c>
      <c r="D33" s="37" t="str">
        <f aca="false">IF(AND(ISNUMBER(D32),ISNUMBER(D25)),IFERROR(D32/D25,""),"")</f>
        <v/>
      </c>
      <c r="E33" s="37" t="str">
        <f aca="false">IF(AND(ISNUMBER(E32),ISNUMBER(E25)),IFERROR(E32/E25,""),"")</f>
        <v/>
      </c>
      <c r="F33" s="37" t="str">
        <f aca="false">IF(AND(ISNUMBER(F32),ISNUMBER(F25)),IFERROR(F32/F25,""),"")</f>
        <v/>
      </c>
      <c r="G33" s="37" t="str">
        <f aca="false">IF(AND(ISNUMBER(G32),ISNUMBER(G25)),IFERROR(G32/G25,""),"")</f>
        <v/>
      </c>
      <c r="H33" s="37" t="str">
        <f aca="false">IF(AND(ISNUMBER(H32),ISNUMBER(H25)),IFERROR(H32/H25,""),"")</f>
        <v/>
      </c>
      <c r="I33" s="37" t="str">
        <f aca="false">IF(AND(ISNUMBER(I32),ISNUMBER(I25)),IFERROR(I32/I25,""),"")</f>
        <v/>
      </c>
      <c r="J33" s="37" t="str">
        <f aca="false">IF(AND(ISNUMBER(J32),ISNUMBER(J25)),IFERROR(J32/J25,""),"")</f>
        <v/>
      </c>
      <c r="K33" s="37" t="str">
        <f aca="false">IF(AND(ISNUMBER(K32),ISNUMBER(K25)),IFERROR(K32/K25,""),"")</f>
        <v/>
      </c>
      <c r="L33" s="37" t="str">
        <f aca="false">IF(AND(ISNUMBER(L32),ISNUMBER(L25)),IFERROR(L32/L25,""),"")</f>
        <v/>
      </c>
      <c r="M33" s="37" t="str">
        <f aca="false">IF(AND(ISNUMBER(M32),ISNUMBER(M25)),IFERROR(M32/M25,""),"")</f>
        <v/>
      </c>
      <c r="N33" s="37" t="str">
        <f aca="false">IF(AND(ISNUMBER(N32),ISNUMBER(N25)),IFERROR(N32/N25,""),"")</f>
        <v/>
      </c>
      <c r="O33" s="37" t="str">
        <f aca="false">IF(AND(ISNUMBER(O32),ISNUMBER(O25)),IFERROR(O32/O25,""),"")</f>
        <v/>
      </c>
      <c r="P33" s="37" t="str">
        <f aca="false">IF(AND(ISNUMBER(P32),ISNUMBER(P25)),IFERROR(P32/P25,""),"")</f>
        <v/>
      </c>
      <c r="Q33" s="37" t="str">
        <f aca="false">IF(AND(ISNUMBER(Q32),ISNUMBER(Q25)),IFERROR(Q32/Q25,""),"")</f>
        <v/>
      </c>
      <c r="R33" s="37" t="str">
        <f aca="false">IF(AND(ISNUMBER(R32),ISNUMBER(R25)),IFERROR(R32/R25,""),"")</f>
        <v/>
      </c>
      <c r="S33" s="37" t="str">
        <f aca="false">IF(AND(ISNUMBER(S32),ISNUMBER(S25)),IFERROR(S32/S25,""),"")</f>
        <v/>
      </c>
      <c r="T33" s="37" t="n">
        <f aca="false">IF(AND(ISNUMBER(T32),ISNUMBER(T25)),IFERROR(T32/T25,""),"")</f>
        <v>0.344176968119714</v>
      </c>
      <c r="U33" s="37" t="n">
        <f aca="false">IF(AND(ISNUMBER(U32),ISNUMBER(U25)),IFERROR(U32/U25,""),"")</f>
        <v>0.32355264917164</v>
      </c>
      <c r="V33" s="37" t="n">
        <f aca="false">IF(AND(ISNUMBER(V32),ISNUMBER(V25)),IFERROR(V32/V25,""),"")</f>
        <v>0.330762164814838</v>
      </c>
      <c r="W33" s="37" t="n">
        <f aca="false">IF(AND(ISNUMBER(W32),ISNUMBER(W25)),IFERROR(W32/W25,""),"")</f>
        <v>0.315718205046687</v>
      </c>
      <c r="X33" s="37" t="n">
        <f aca="false">IF(AND(ISNUMBER(X32),ISNUMBER(X25)),IFERROR(X32/X25,""),"")</f>
        <v>0.328316895953067</v>
      </c>
      <c r="Y33" s="37" t="n">
        <f aca="false">IF(AND(ISNUMBER(Y32),ISNUMBER(Y25)),IFERROR(Y32/Y25,""),"")</f>
        <v>0.336915004824702</v>
      </c>
      <c r="Z33" s="37" t="n">
        <f aca="false">IF(AND(ISNUMBER(Z32),ISNUMBER(Z25)),IFERROR(Z32/Z25,""),"")</f>
        <v>0.308706554409738</v>
      </c>
      <c r="AA33" s="37" t="n">
        <f aca="false">IF(AND(ISNUMBER(AA32),ISNUMBER(AA25)),IFERROR(AA32/AA25,""),"")</f>
        <v>0.315855338305449</v>
      </c>
      <c r="AB33" s="37" t="n">
        <f aca="false">IF(AND(ISNUMBER(AB32),ISNUMBER(AB25)),IFERROR(AB32/AB25,""),"")</f>
        <v>0.319212007199108</v>
      </c>
      <c r="AC33" s="37" t="n">
        <f aca="false">IF(AND(ISNUMBER(AC32),ISNUMBER(AC25)),IFERROR(AC32/AC25,""),"")</f>
        <v>0.319420593655462</v>
      </c>
      <c r="AD33" s="37" t="n">
        <f aca="false">IF(AND(ISNUMBER(AD32),ISNUMBER(AD25)),IFERROR(AD32/AD25,""),"")</f>
        <v>0.365390623122582</v>
      </c>
      <c r="AE33" s="37" t="n">
        <f aca="false">IF(AND(ISNUMBER(AE32),ISNUMBER(AE25)),IFERROR(AE32/AE25,""),"")</f>
        <v>0.342684519659928</v>
      </c>
      <c r="AF33" s="37" t="n">
        <f aca="false">IF(AND(ISNUMBER(AF32),ISNUMBER(AF25)),IFERROR(AF32/AF25,""),"")</f>
        <v>0.34969695506242</v>
      </c>
      <c r="AG33" s="37" t="n">
        <f aca="false">IF(AND(ISNUMBER(AG32),ISNUMBER(AG25)),IFERROR(AG32/AG25,""),"")</f>
        <v>0.339027076913917</v>
      </c>
      <c r="AH33" s="37" t="n">
        <f aca="false">IF(AND(ISNUMBER(AH32),ISNUMBER(AH25)),IFERROR(AH32/AH25,""),"")</f>
        <v>0.349009214277703</v>
      </c>
      <c r="AI33" s="37" t="n">
        <f aca="false">IF(AND(ISNUMBER(AI32),ISNUMBER(AI25)),IFERROR(AI32/AI25,""),"")</f>
        <v>0.336913687385298</v>
      </c>
      <c r="AJ33" s="37" t="n">
        <f aca="false">IF(AND(ISNUMBER(AJ32),ISNUMBER(AJ25)),IFERROR(AJ32/AJ25,""),"")</f>
        <v>0.339959738298943</v>
      </c>
      <c r="AK33" s="37" t="n">
        <f aca="false">IF(AND(ISNUMBER(AK32),ISNUMBER(AK25)),IFERROR(AK32/AK25,""),"")</f>
        <v>0.346931047791039</v>
      </c>
      <c r="AL33" s="37" t="n">
        <f aca="false">IF(AND(ISNUMBER(AL32),ISNUMBER(AL25)),IFERROR(AL32/AL25,""),"")</f>
        <v>0.326829466443703</v>
      </c>
      <c r="AM33" s="37" t="n">
        <f aca="false">IF(AND(ISNUMBER(AM32),ISNUMBER(AM25)),IFERROR(AM32/AM25,""),"")</f>
        <v>0.337462325528682</v>
      </c>
      <c r="AN33" s="37" t="n">
        <f aca="false">IF(AND(ISNUMBER(AN32),ISNUMBER(AN25)),IFERROR(AN32/AN25,""),"")</f>
        <v>0.335699433569943</v>
      </c>
      <c r="AO33" s="37" t="n">
        <f aca="false">IF(AND(ISNUMBER(AO32),ISNUMBER(AO25)),IFERROR(AO32/AO25,""),"")</f>
        <v>0.341328220778882</v>
      </c>
      <c r="AP33" s="37" t="n">
        <f aca="false">IF(AND(ISNUMBER(AP32),ISNUMBER(AP25)),IFERROR(AP32/AP25,""),"")</f>
        <v>0.336984648387746</v>
      </c>
      <c r="AQ33" s="37" t="n">
        <f aca="false">IF(AND(ISNUMBER(AQ32),ISNUMBER(AQ25)),IFERROR(AQ32/AQ25,""),"")</f>
        <v>0.323343626746568</v>
      </c>
      <c r="AR33" s="37" t="n">
        <f aca="false">IF(AND(ISNUMBER(AR32),ISNUMBER(AR25)),IFERROR(AR32/AR25,""),"")</f>
        <v>0.334140474922111</v>
      </c>
      <c r="AS33" s="37" t="n">
        <f aca="false">IF(AND(ISNUMBER(AS32),ISNUMBER(AS25)),IFERROR(AS32/AS25,""),"")</f>
        <v>0.345853913649834</v>
      </c>
      <c r="AT33" s="37" t="n">
        <f aca="false">IF(AND(ISNUMBER(AT32),ISNUMBER(AT25)),IFERROR(AT32/AT25,""),"")</f>
        <v>0.33851014045159</v>
      </c>
      <c r="AU33" s="37" t="n">
        <f aca="false">IF(AND(ISNUMBER(AU32),ISNUMBER(AU25)),IFERROR(AU32/AU25,""),"")</f>
        <v>0.335508763288593</v>
      </c>
      <c r="AV33" s="37" t="n">
        <f aca="false">IF(AND(ISNUMBER(AV32),ISNUMBER(AV25)),IFERROR(AV32/AV25,""),"")</f>
        <v>0.29346818158659</v>
      </c>
      <c r="AW33" s="37" t="n">
        <f aca="false">IF(AND(ISNUMBER(AW32),ISNUMBER(AW25)),IFERROR(AW32/AW25,""),"")</f>
        <v>0.327094467864104</v>
      </c>
      <c r="AX33" s="37" t="n">
        <f aca="false">IF(AND(ISNUMBER(AX32),ISNUMBER(AX25)),IFERROR(AX32/AX25,""),"")</f>
        <v>0.310918862877236</v>
      </c>
      <c r="AY33" s="37" t="n">
        <f aca="false">IF(AND(ISNUMBER(AY32),ISNUMBER(AY25)),IFERROR(AY32/AY25,""),"")</f>
        <v>0.319366934301689</v>
      </c>
      <c r="AZ33" s="37" t="n">
        <f aca="false">IF(AND(ISNUMBER(AZ32),ISNUMBER(AZ25)),IFERROR(AZ32/AZ25,""),"")</f>
        <v>0.304931628324113</v>
      </c>
      <c r="BA33" s="37" t="n">
        <f aca="false">IF(AND(ISNUMBER(BA32),ISNUMBER(BA25)),IFERROR(BA32/BA25,""),"")</f>
        <v>0.347555332045774</v>
      </c>
      <c r="BB33" s="37" t="n">
        <f aca="false">IF(AND(ISNUMBER(BB32),ISNUMBER(BB25)),IFERROR(BB32/BB25,""),"")</f>
        <v>0.320229353645522</v>
      </c>
      <c r="BC33" s="37" t="n">
        <f aca="false">IF(AND(ISNUMBER(BC32),ISNUMBER(BC25)),IFERROR(BC32/BC25,""),"")</f>
        <v>0.319145623656562</v>
      </c>
      <c r="BD33" s="37" t="n">
        <f aca="false">IF(AND(ISNUMBER(BD32),ISNUMBER(BD25)),IFERROR(BD32/BD25,""),"")</f>
        <v>0.326261377127028</v>
      </c>
      <c r="BE33" s="37" t="n">
        <f aca="false">IF(AND(ISNUMBER(BE32),ISNUMBER(BE25)),IFERROR(BE32/BE25,""),"")</f>
        <v>0.31884221301853</v>
      </c>
      <c r="BF33" s="37" t="n">
        <f aca="false">IF(AND(ISNUMBER(BF32),ISNUMBER(BF25)),IFERROR(BF32/BF25,""),"")</f>
        <v>0.311725566390498</v>
      </c>
      <c r="BG33" s="37" t="n">
        <f aca="false">IF(AND(ISNUMBER(BG32),ISNUMBER(BG25)),IFERROR(BG32/BG25,""),"")</f>
        <v>0.318850921007426</v>
      </c>
      <c r="BH33" s="37" t="n">
        <f aca="false">IF(AND(ISNUMBER(BH32),ISNUMBER(BH25)),IFERROR(BH32/BH25,""),"")</f>
        <v>0.321535183057811</v>
      </c>
      <c r="BI33" s="37" t="n">
        <f aca="false">IF(AND(ISNUMBER(BI32),ISNUMBER(BI25)),IFERROR(BI32/BI25,""),"")</f>
        <v>0.312144558298796</v>
      </c>
      <c r="BJ33" s="37" t="n">
        <f aca="false">IF(AND(ISNUMBER(BJ32),ISNUMBER(BJ25)),IFERROR(BJ32/BJ25,""),"")</f>
        <v>0.311465641933464</v>
      </c>
      <c r="BK33" s="37" t="n">
        <f aca="false">IF(AND(ISNUMBER(BK32),ISNUMBER(BK25)),IFERROR(BK32/BK25,""),"")</f>
        <v>0.321561844360095</v>
      </c>
      <c r="BL33" s="37" t="n">
        <f aca="false">IF(AND(ISNUMBER(BL32),ISNUMBER(BL25)),IFERROR(BL32/BL25,""),"")</f>
        <v>0.316762235469198</v>
      </c>
      <c r="BM33" s="37" t="n">
        <f aca="false">IF(AND(ISNUMBER(BM32),ISNUMBER(BM25)),IFERROR(BM32/BM25,""),"")</f>
        <v>0.330641789384448</v>
      </c>
      <c r="BN33" s="37" t="n">
        <f aca="false">IF(AND(ISNUMBER(BN32),ISNUMBER(BN25)),IFERROR(BN32/BN25,""),"")</f>
        <v>0.325768296665553</v>
      </c>
      <c r="BO33" s="37" t="n">
        <f aca="false">IF(AND(ISNUMBER(BO32),ISNUMBER(BO25)),IFERROR(BO32/BO25,""),"")</f>
        <v>0.342781090776156</v>
      </c>
      <c r="BP33" s="37" t="n">
        <f aca="false">IF(AND(ISNUMBER(BP32),ISNUMBER(BP25)),IFERROR(BP32/BP25,""),"")</f>
        <v>0.325989237784453</v>
      </c>
      <c r="BQ33" s="37" t="n">
        <f aca="false">IF(AND(ISNUMBER(BQ32),ISNUMBER(BQ25)),IFERROR(BQ32/BQ25,""),"")</f>
        <v>0.331201854339879</v>
      </c>
      <c r="BR33" s="37" t="n">
        <f aca="false">IF(AND(ISNUMBER(BR32),ISNUMBER(BR25)),IFERROR(BR32/BR25,""),"")</f>
        <v>0.333308267849758</v>
      </c>
      <c r="BS33" s="37" t="n">
        <f aca="false">IF(AND(ISNUMBER(BS32),ISNUMBER(BS25)),IFERROR(BS32/BS25,""),"")</f>
        <v>0.32155180764747</v>
      </c>
      <c r="BT33" s="37" t="n">
        <f aca="false">IF(AND(ISNUMBER(BT32),ISNUMBER(BT25)),IFERROR(BT32/BT25,""),"")</f>
        <v>0.333378623338492</v>
      </c>
      <c r="BU33" s="37" t="n">
        <f aca="false">IF(AND(ISNUMBER(BU32),ISNUMBER(BU25)),IFERROR(BU32/BU25,""),"")</f>
        <v>0.331399488897863</v>
      </c>
      <c r="BV33" s="37" t="n">
        <f aca="false">IF(AND(ISNUMBER(BV32),ISNUMBER(BV25)),IFERROR(BV32/BV25,""),"")</f>
        <v>0.329928002035974</v>
      </c>
      <c r="BW33" s="37" t="n">
        <f aca="false">IF(AND(ISNUMBER(BW32),ISNUMBER(BW25)),IFERROR(BW32/BW25,""),"")</f>
        <v>0.328219639810313</v>
      </c>
      <c r="BX33" s="37" t="n">
        <f aca="false">IF(AND(ISNUMBER(BX32),ISNUMBER(BX25)),IFERROR(BX32/BX25,""),"")</f>
        <v>0.323159186535764</v>
      </c>
      <c r="BY33" s="37" t="n">
        <f aca="false">IF(AND(ISNUMBER(BY32),ISNUMBER(BY25)),IFERROR(BY32/BY25,""),"")</f>
        <v>0.329580218151622</v>
      </c>
      <c r="BZ33" s="37" t="n">
        <f aca="false">IF(AND(ISNUMBER(BZ32),ISNUMBER(BZ25)),IFERROR(BZ32/BZ25,""),"")</f>
        <v>0.310960984209511</v>
      </c>
      <c r="CA33" s="37" t="n">
        <f aca="false">IF(AND(ISNUMBER(CA32),ISNUMBER(CA25)),IFERROR(CA32/CA25,""),"")</f>
        <v>0.322651889244051</v>
      </c>
      <c r="CB33" s="37" t="n">
        <f aca="false">IF(AND(ISNUMBER(CB32),ISNUMBER(CB25)),IFERROR(CB32/CB25,""),"")</f>
        <v>0.319870172991143</v>
      </c>
      <c r="CC33" s="28" t="n">
        <f aca="false">BX33+($CB$33-$BW$33)</f>
        <v>0.314809719716594</v>
      </c>
      <c r="CD33" s="28" t="n">
        <f aca="false">BY33+($CB$33-$BW$33)</f>
        <v>0.321230751332452</v>
      </c>
      <c r="CE33" s="28" t="n">
        <f aca="false">BZ33+($CB$33-$BW$33)</f>
        <v>0.302611517390341</v>
      </c>
      <c r="CF33" s="28" t="n">
        <f aca="false">IF(AND(ISNUMBER(CF32),ISNUMBER(CF25)),IFERROR(CF32/CF25,""),"")</f>
        <v>0.314438413258866</v>
      </c>
      <c r="CG33" s="28" t="n">
        <f aca="false">$CF$33+(CG124-$CF$123)</f>
        <v>0.312431941879129</v>
      </c>
      <c r="CH33" s="28" t="n">
        <f aca="false">$CF$33+(CH124-$CF$123)</f>
        <v>0.310431941879129</v>
      </c>
      <c r="CI33" s="28" t="n">
        <f aca="false">$CF$33+(CI124-$CF$123)</f>
        <v>0.308431941879129</v>
      </c>
      <c r="CJ33" s="28" t="n">
        <f aca="false">$CF$33+(CJ124-$CF$123)</f>
        <v>0.306431941879129</v>
      </c>
      <c r="CK33" s="23" t="s">
        <v>140</v>
      </c>
      <c r="CS33" s="29" t="s">
        <v>176</v>
      </c>
      <c r="CU33" s="38" t="n">
        <v>0.95</v>
      </c>
      <c r="CW33" s="16" t="s">
        <v>177</v>
      </c>
    </row>
    <row r="34" customFormat="false" ht="15" hidden="false" customHeight="true" outlineLevel="0" collapsed="false">
      <c r="B34" s="20" t="s">
        <v>143</v>
      </c>
      <c r="C34" s="39" t="str">
        <f aca="false">IF(AND(ISNUMBER(C29),ISNUMBER(C32)),C29-C32,"")</f>
        <v/>
      </c>
      <c r="D34" s="39" t="str">
        <f aca="false">IF(AND(ISNUMBER(D29),ISNUMBER(D32)),D29-D32,"")</f>
        <v/>
      </c>
      <c r="E34" s="39" t="str">
        <f aca="false">IF(AND(ISNUMBER(E29),ISNUMBER(E32)),E29-E32,"")</f>
        <v/>
      </c>
      <c r="F34" s="39" t="str">
        <f aca="false">IF(AND(ISNUMBER(F29),ISNUMBER(F32)),F29-F32,"")</f>
        <v/>
      </c>
      <c r="G34" s="39" t="str">
        <f aca="false">IF(AND(ISNUMBER(G29),ISNUMBER(G32)),G29-G32,"")</f>
        <v/>
      </c>
      <c r="H34" s="39" t="str">
        <f aca="false">IF(AND(ISNUMBER(H29),ISNUMBER(H32)),H29-H32,"")</f>
        <v/>
      </c>
      <c r="I34" s="39" t="str">
        <f aca="false">IF(AND(ISNUMBER(I29),ISNUMBER(I32)),I29-I32,"")</f>
        <v/>
      </c>
      <c r="J34" s="39" t="str">
        <f aca="false">IF(AND(ISNUMBER(J29),ISNUMBER(J32)),J29-J32,"")</f>
        <v/>
      </c>
      <c r="K34" s="39" t="str">
        <f aca="false">IF(AND(ISNUMBER(K29),ISNUMBER(K32)),K29-K32,"")</f>
        <v/>
      </c>
      <c r="L34" s="39" t="str">
        <f aca="false">IF(AND(ISNUMBER(L29),ISNUMBER(L32)),L29-L32,"")</f>
        <v/>
      </c>
      <c r="M34" s="39" t="str">
        <f aca="false">IF(AND(ISNUMBER(M29),ISNUMBER(M32)),M29-M32,"")</f>
        <v/>
      </c>
      <c r="N34" s="39" t="str">
        <f aca="false">IF(AND(ISNUMBER(N29),ISNUMBER(N32)),N29-N32,"")</f>
        <v/>
      </c>
      <c r="O34" s="39" t="str">
        <f aca="false">IF(AND(ISNUMBER(O29),ISNUMBER(O32)),O29-O32,"")</f>
        <v/>
      </c>
      <c r="P34" s="39" t="str">
        <f aca="false">IF(AND(ISNUMBER(P29),ISNUMBER(P32)),P29-P32,"")</f>
        <v/>
      </c>
      <c r="Q34" s="39" t="str">
        <f aca="false">IF(AND(ISNUMBER(Q29),ISNUMBER(Q32)),Q29-Q32,"")</f>
        <v/>
      </c>
      <c r="R34" s="39" t="str">
        <f aca="false">IF(AND(ISNUMBER(R29),ISNUMBER(R32)),R29-R32,"")</f>
        <v/>
      </c>
      <c r="S34" s="39" t="str">
        <f aca="false">IF(AND(ISNUMBER(S29),ISNUMBER(S32)),S29-S32,"")</f>
        <v/>
      </c>
      <c r="T34" s="39" t="n">
        <f aca="false">IF(AND(ISNUMBER(T29),ISNUMBER(T32)),T29-T32,"")</f>
        <v>9.147</v>
      </c>
      <c r="U34" s="39" t="n">
        <f aca="false">IF(AND(ISNUMBER(U29),ISNUMBER(U32)),U29-U32,"")</f>
        <v>11.777</v>
      </c>
      <c r="V34" s="39" t="n">
        <f aca="false">IF(AND(ISNUMBER(V29),ISNUMBER(V32)),V29-V32,"")</f>
        <v>11.298</v>
      </c>
      <c r="W34" s="39" t="n">
        <f aca="false">IF(AND(ISNUMBER(W29),ISNUMBER(W32)),W29-W32,"")</f>
        <v>12.891</v>
      </c>
      <c r="X34" s="39" t="n">
        <f aca="false">IF(AND(ISNUMBER(X29),ISNUMBER(X32)),X29-X32,"")</f>
        <v>45.113</v>
      </c>
      <c r="Y34" s="39" t="n">
        <f aca="false">IF(AND(ISNUMBER(Y29),ISNUMBER(Y32)),Y29-Y32,"")</f>
        <v>8.592</v>
      </c>
      <c r="Z34" s="39" t="n">
        <f aca="false">IF(AND(ISNUMBER(Z29),ISNUMBER(Z32)),Z29-Z32,"")</f>
        <v>14.847</v>
      </c>
      <c r="AA34" s="39" t="n">
        <f aca="false">IF(AND(ISNUMBER(AA29),ISNUMBER(AA32)),AA29-AA32,"")</f>
        <v>12.634</v>
      </c>
      <c r="AB34" s="39" t="n">
        <f aca="false">IF(AND(ISNUMBER(AB29),ISNUMBER(AB32)),AB29-AB32,"")</f>
        <v>13.434</v>
      </c>
      <c r="AC34" s="39" t="n">
        <f aca="false">IF(AND(ISNUMBER(AC29),ISNUMBER(AC32)),AC29-AC32,"")</f>
        <v>49.507</v>
      </c>
      <c r="AD34" s="39" t="n">
        <f aca="false">IF(AND(ISNUMBER(AD29),ISNUMBER(AD32)),AD29-AD32,"")</f>
        <v>11.511</v>
      </c>
      <c r="AE34" s="39" t="n">
        <f aca="false">IF(AND(ISNUMBER(AE29),ISNUMBER(AE32)),AE29-AE32,"")</f>
        <v>14.779</v>
      </c>
      <c r="AF34" s="39" t="n">
        <f aca="false">IF(AND(ISNUMBER(AF29),ISNUMBER(AF32)),AF29-AF32,"")</f>
        <v>12.235</v>
      </c>
      <c r="AG34" s="39" t="n">
        <f aca="false">IF(AND(ISNUMBER(AG29),ISNUMBER(AG32)),AG29-AG32,"")</f>
        <v>14.263</v>
      </c>
      <c r="AH34" s="39" t="n">
        <f aca="false">IF(AND(ISNUMBER(AH29),ISNUMBER(AH32)),AH29-AH32,"")</f>
        <v>52.788</v>
      </c>
      <c r="AI34" s="39" t="n">
        <f aca="false">IF(AND(ISNUMBER(AI29),ISNUMBER(AI32)),AI29-AI32,"")</f>
        <v>19.411</v>
      </c>
      <c r="AJ34" s="39" t="n">
        <f aca="false">IF(AND(ISNUMBER(AJ29),ISNUMBER(AJ32)),AJ29-AJ32,"")</f>
        <v>17.975</v>
      </c>
      <c r="AK34" s="39" t="n">
        <f aca="false">IF(AND(ISNUMBER(AK29),ISNUMBER(AK32)),AK29-AK32,"")</f>
        <v>16.705</v>
      </c>
      <c r="AL34" s="39" t="n">
        <f aca="false">IF(AND(ISNUMBER(AL29),ISNUMBER(AL32)),AL29-AL32,"")</f>
        <v>21.127</v>
      </c>
      <c r="AM34" s="39" t="n">
        <f aca="false">IF(AND(ISNUMBER(AM29),ISNUMBER(AM32)),AM29-AM32,"")</f>
        <v>75.218</v>
      </c>
      <c r="AN34" s="39" t="n">
        <f aca="false">IF(AND(ISNUMBER(AN29),ISNUMBER(AN32)),AN29-AN32,"")</f>
        <v>21.983</v>
      </c>
      <c r="AO34" s="39" t="n">
        <f aca="false">IF(AND(ISNUMBER(AO29),ISNUMBER(AO32)),AO29-AO32,"")</f>
        <v>21.328</v>
      </c>
      <c r="AP34" s="39" t="n">
        <f aca="false">IF(AND(ISNUMBER(AP29),ISNUMBER(AP32)),AP29-AP32,"")</f>
        <v>21.622</v>
      </c>
      <c r="AQ34" s="39" t="n">
        <f aca="false">IF(AND(ISNUMBER(AQ29),ISNUMBER(AQ32)),AQ29-AQ32,"")</f>
        <v>25.151</v>
      </c>
      <c r="AR34" s="39" t="n">
        <f aca="false">IF(AND(ISNUMBER(AR29),ISNUMBER(AR32)),AR29-AR32,"")</f>
        <v>90.084</v>
      </c>
      <c r="AS34" s="39" t="n">
        <f aca="false">IF(AND(ISNUMBER(AS29),ISNUMBER(AS32)),AS29-AS32,"")</f>
        <v>24.769</v>
      </c>
      <c r="AT34" s="39" t="n">
        <f aca="false">IF(AND(ISNUMBER(AT29),ISNUMBER(AT32)),AT29-AT32,"")</f>
        <v>24.64</v>
      </c>
      <c r="AU34" s="39" t="n">
        <f aca="false">IF(AND(ISNUMBER(AU29),ISNUMBER(AU32)),AU29-AU32,"")</f>
        <v>24.692</v>
      </c>
      <c r="AV34" s="39" t="n">
        <f aca="false">IF(AND(ISNUMBER(AV29),ISNUMBER(AV32)),AV29-AV32,"")</f>
        <v>32.79</v>
      </c>
      <c r="AW34" s="39" t="n">
        <f aca="false">IF(AND(ISNUMBER(AW29),ISNUMBER(AW32)),AW29-AW32,"")</f>
        <v>106.892</v>
      </c>
      <c r="AX34" s="39" t="n">
        <f aca="false">IF(AND(ISNUMBER(AX29),ISNUMBER(AX32)),AX29-AX32,"")</f>
        <v>18.527</v>
      </c>
      <c r="AY34" s="39" t="n">
        <f aca="false">IF(AND(ISNUMBER(AY29),ISNUMBER(AY32)),AY29-AY32,"")</f>
        <v>21.506</v>
      </c>
      <c r="AZ34" s="39" t="n">
        <f aca="false">IF(AND(ISNUMBER(AZ29),ISNUMBER(AZ32)),AZ29-AZ32,"")</f>
        <v>25.82</v>
      </c>
      <c r="BA34" s="39" t="n">
        <f aca="false">IF(AND(ISNUMBER(BA29),ISNUMBER(BA32)),BA29-BA32,"")</f>
        <v>15.33</v>
      </c>
      <c r="BB34" s="39" t="n">
        <f aca="false">IF(AND(ISNUMBER(BB29),ISNUMBER(BB32)),BB29-BB32,"")</f>
        <v>81.183</v>
      </c>
      <c r="BC34" s="39" t="n">
        <f aca="false">IF(AND(ISNUMBER(BC29),ISNUMBER(BC32)),BC29-BC32,"")</f>
        <v>25.728</v>
      </c>
      <c r="BD34" s="39" t="n">
        <f aca="false">IF(AND(ISNUMBER(BD29),ISNUMBER(BD32)),BD29-BD32,"")</f>
        <v>22.077</v>
      </c>
      <c r="BE34" s="39" t="n">
        <f aca="false">IF(AND(ISNUMBER(BE29),ISNUMBER(BE32)),BE29-BE32,"")</f>
        <v>26.304</v>
      </c>
      <c r="BF34" s="39" t="n">
        <f aca="false">IF(AND(ISNUMBER(BF29),ISNUMBER(BF32)),BF29-BF32,"")</f>
        <v>32.654</v>
      </c>
      <c r="BG34" s="39" t="n">
        <f aca="false">IF(AND(ISNUMBER(BG29),ISNUMBER(BG32)),BG29-BG32,"")</f>
        <v>106.763</v>
      </c>
      <c r="BH34" s="39" t="n">
        <f aca="false">IF(AND(ISNUMBER(BH29),ISNUMBER(BH32)),BH29-BH32,"")</f>
        <v>40.846</v>
      </c>
      <c r="BI34" s="39" t="n">
        <f aca="false">IF(AND(ISNUMBER(BI29),ISNUMBER(BI32)),BI29-BI32,"")</f>
        <v>45.495</v>
      </c>
      <c r="BJ34" s="39" t="n">
        <f aca="false">IF(AND(ISNUMBER(BJ29),ISNUMBER(BJ32)),BJ29-BJ32,"")</f>
        <v>47.271</v>
      </c>
      <c r="BK34" s="39" t="n">
        <f aca="false">IF(AND(ISNUMBER(BK29),ISNUMBER(BK32)),BK29-BK32,"")</f>
        <v>47.078</v>
      </c>
      <c r="BL34" s="39" t="n">
        <f aca="false">IF(AND(ISNUMBER(BL29),ISNUMBER(BL32)),BL29-BL32,"")</f>
        <v>180.69</v>
      </c>
      <c r="BM34" s="39" t="n">
        <f aca="false">IF(AND(ISNUMBER(BM29),ISNUMBER(BM32)),BM29-BM32,"")</f>
        <v>59.58</v>
      </c>
      <c r="BN34" s="39" t="n">
        <f aca="false">IF(AND(ISNUMBER(BN29),ISNUMBER(BN32)),BN29-BN32,"")</f>
        <v>58.531</v>
      </c>
      <c r="BO34" s="39" t="n">
        <f aca="false">IF(AND(ISNUMBER(BO29),ISNUMBER(BO32)),BO29-BO32,"")</f>
        <v>57.717</v>
      </c>
      <c r="BP34" s="39" t="n">
        <f aca="false">IF(AND(ISNUMBER(BP29),ISNUMBER(BP32)),BP29-BP32,"")</f>
        <v>63.325</v>
      </c>
      <c r="BQ34" s="39" t="n">
        <f aca="false">IF(AND(ISNUMBER(BQ29),ISNUMBER(BQ32)),BQ29-BQ32,"")</f>
        <v>239.153</v>
      </c>
      <c r="BR34" s="39" t="n">
        <f aca="false">IF(AND(ISNUMBER(BR29),ISNUMBER(BR32)),BR29-BR32,"")</f>
        <v>71.288</v>
      </c>
      <c r="BS34" s="39" t="n">
        <f aca="false">IF(AND(ISNUMBER(BS29),ISNUMBER(BS32)),BS29-BS32,"")</f>
        <v>75.223</v>
      </c>
      <c r="BT34" s="39" t="n">
        <f aca="false">IF(AND(ISNUMBER(BT29),ISNUMBER(BT32)),BT29-BT32,"")</f>
        <v>71.533</v>
      </c>
      <c r="BU34" s="39" t="n">
        <f aca="false">IF(AND(ISNUMBER(BU29),ISNUMBER(BU32)),BU29-BU32,"")</f>
        <v>76.684</v>
      </c>
      <c r="BV34" s="39" t="n">
        <f aca="false">IF(AND(ISNUMBER(BV29),ISNUMBER(BV32)),BV29-BV32,"")</f>
        <v>294.728</v>
      </c>
      <c r="BW34" s="39" t="n">
        <f aca="false">IF(AND(ISNUMBER(BW29),ISNUMBER(BW32)),BW29-BW32,"")</f>
        <v>80.327</v>
      </c>
      <c r="BX34" s="39" t="n">
        <f aca="false">IF(AND(ISNUMBER(BX29),ISNUMBER(BX32)),BX29-BX32,"")</f>
        <v>87.004</v>
      </c>
      <c r="BY34" s="39" t="n">
        <f aca="false">IF(AND(ISNUMBER(BY29),ISNUMBER(BY32)),BY29-BY32,"")</f>
        <v>87.341</v>
      </c>
      <c r="BZ34" s="39" t="n">
        <f aca="false">IF(AND(ISNUMBER(BZ29),ISNUMBER(BZ32)),BZ29-BZ32,"")</f>
        <v>98.591</v>
      </c>
      <c r="CA34" s="39" t="n">
        <f aca="false">IF(AND(ISNUMBER(CA29),ISNUMBER(CA32)),CA29-CA32,"")</f>
        <v>353.399</v>
      </c>
      <c r="CB34" s="39" t="n">
        <f aca="false">IF(AND(ISNUMBER(CB29),ISNUMBER(CB32)),CB29-CB32,"")</f>
        <v>99.542</v>
      </c>
      <c r="CC34" s="22" t="n">
        <f aca="false">CC29-CC32</f>
        <v>99.5506854257024</v>
      </c>
      <c r="CD34" s="22" t="n">
        <f aca="false">CD29-CD32</f>
        <v>99.9498025993433</v>
      </c>
      <c r="CE34" s="22" t="n">
        <f aca="false">CE29-CE32</f>
        <v>112.726923639555</v>
      </c>
      <c r="CF34" s="22" t="n">
        <f aca="false">CF29-CF32</f>
        <v>411.769411664601</v>
      </c>
      <c r="CG34" s="22" t="n">
        <f aca="false">CG29-CG32</f>
        <v>477.302348374552</v>
      </c>
      <c r="CH34" s="22" t="n">
        <f aca="false">CH29-CH32</f>
        <v>539.632542616666</v>
      </c>
      <c r="CI34" s="22" t="n">
        <f aca="false">CI29-CI32</f>
        <v>604.405426391337</v>
      </c>
      <c r="CJ34" s="22" t="n">
        <f aca="false">CJ29-CJ32</f>
        <v>668.227911701897</v>
      </c>
      <c r="CK34" s="23"/>
      <c r="CM34" s="24" t="n">
        <f aca="false">IFERROR((CJ34/CA34)^(1/5)-1,"n/m")</f>
        <v>0.135878447416529</v>
      </c>
      <c r="CN34" s="24" t="n">
        <f aca="false">IFERROR((CA34/BB34)^(1/5)-1,"n/m")</f>
        <v>0.342023262922519</v>
      </c>
      <c r="CO34" s="24" t="n">
        <f aca="false">IFERROR((CA34/AC34)^(1/10)-1,"n/m")</f>
        <v>0.217194189843802</v>
      </c>
      <c r="CP34" s="24" t="str">
        <f aca="false">IFERROR((CA34/C34)^(1/20)-1,"n/m")</f>
        <v>n/m</v>
      </c>
      <c r="CS34" s="29" t="s">
        <v>178</v>
      </c>
      <c r="CU34" s="36" t="n">
        <v>15</v>
      </c>
      <c r="CW34" s="16" t="s">
        <v>179</v>
      </c>
    </row>
    <row r="35" customFormat="false" ht="15" hidden="false" customHeight="true" outlineLevel="0" collapsed="false">
      <c r="B35" s="29" t="s">
        <v>146</v>
      </c>
      <c r="C35" s="37" t="str">
        <f aca="false">IF(AND(ISNUMBER(C34),ISNUMBER(C25)),IFERROR(C34/C25,""),"")</f>
        <v/>
      </c>
      <c r="D35" s="37" t="str">
        <f aca="false">IF(AND(ISNUMBER(D34),ISNUMBER(D25)),IFERROR(D34/D25,""),"")</f>
        <v/>
      </c>
      <c r="E35" s="37" t="str">
        <f aca="false">IF(AND(ISNUMBER(E34),ISNUMBER(E25)),IFERROR(E34/E25,""),"")</f>
        <v/>
      </c>
      <c r="F35" s="37" t="str">
        <f aca="false">IF(AND(ISNUMBER(F34),ISNUMBER(F25)),IFERROR(F34/F25,""),"")</f>
        <v/>
      </c>
      <c r="G35" s="37" t="str">
        <f aca="false">IF(AND(ISNUMBER(G34),ISNUMBER(G25)),IFERROR(G34/G25,""),"")</f>
        <v/>
      </c>
      <c r="H35" s="37" t="str">
        <f aca="false">IF(AND(ISNUMBER(H34),ISNUMBER(H25)),IFERROR(H34/H25,""),"")</f>
        <v/>
      </c>
      <c r="I35" s="37" t="str">
        <f aca="false">IF(AND(ISNUMBER(I34),ISNUMBER(I25)),IFERROR(I34/I25,""),"")</f>
        <v/>
      </c>
      <c r="J35" s="37" t="str">
        <f aca="false">IF(AND(ISNUMBER(J34),ISNUMBER(J25)),IFERROR(J34/J25,""),"")</f>
        <v/>
      </c>
      <c r="K35" s="37" t="str">
        <f aca="false">IF(AND(ISNUMBER(K34),ISNUMBER(K25)),IFERROR(K34/K25,""),"")</f>
        <v/>
      </c>
      <c r="L35" s="37" t="str">
        <f aca="false">IF(AND(ISNUMBER(L34),ISNUMBER(L25)),IFERROR(L34/L25,""),"")</f>
        <v/>
      </c>
      <c r="M35" s="37" t="str">
        <f aca="false">IF(AND(ISNUMBER(M34),ISNUMBER(M25)),IFERROR(M34/M25,""),"")</f>
        <v/>
      </c>
      <c r="N35" s="37" t="str">
        <f aca="false">IF(AND(ISNUMBER(N34),ISNUMBER(N25)),IFERROR(N34/N25,""),"")</f>
        <v/>
      </c>
      <c r="O35" s="37" t="str">
        <f aca="false">IF(AND(ISNUMBER(O34),ISNUMBER(O25)),IFERROR(O34/O25,""),"")</f>
        <v/>
      </c>
      <c r="P35" s="37" t="str">
        <f aca="false">IF(AND(ISNUMBER(P34),ISNUMBER(P25)),IFERROR(P34/P25,""),"")</f>
        <v/>
      </c>
      <c r="Q35" s="37" t="str">
        <f aca="false">IF(AND(ISNUMBER(Q34),ISNUMBER(Q25)),IFERROR(Q34/Q25,""),"")</f>
        <v/>
      </c>
      <c r="R35" s="37" t="str">
        <f aca="false">IF(AND(ISNUMBER(R34),ISNUMBER(R25)),IFERROR(R34/R25,""),"")</f>
        <v/>
      </c>
      <c r="S35" s="37" t="str">
        <f aca="false">IF(AND(ISNUMBER(S34),ISNUMBER(S25)),IFERROR(S34/S25,""),"")</f>
        <v/>
      </c>
      <c r="T35" s="37" t="n">
        <f aca="false">IF(AND(ISNUMBER(T34),ISNUMBER(T25)),IFERROR(T34/T25,""),"")</f>
        <v>0.114446223912717</v>
      </c>
      <c r="U35" s="37" t="n">
        <f aca="false">IF(AND(ISNUMBER(U34),ISNUMBER(U25)),IFERROR(U34/U25,""),"")</f>
        <v>0.143148861688809</v>
      </c>
      <c r="V35" s="37" t="n">
        <f aca="false">IF(AND(ISNUMBER(V34),ISNUMBER(V25)),IFERROR(V34/V25,""),"")</f>
        <v>0.142165066502246</v>
      </c>
      <c r="W35" s="37" t="n">
        <f aca="false">IF(AND(ISNUMBER(W34),ISNUMBER(W25)),IFERROR(W34/W25,""),"")</f>
        <v>0.151789183651842</v>
      </c>
      <c r="X35" s="37" t="n">
        <f aca="false">IF(AND(ISNUMBER(X34),ISNUMBER(X25)),IFERROR(X34/X25,""),"")</f>
        <v>0.138132170622151</v>
      </c>
      <c r="Y35" s="37" t="n">
        <f aca="false">IF(AND(ISNUMBER(Y34),ISNUMBER(Y25)),IFERROR(Y34/Y25,""),"")</f>
        <v>0.0863621743325828</v>
      </c>
      <c r="Z35" s="37" t="n">
        <f aca="false">IF(AND(ISNUMBER(Z34),ISNUMBER(Z25)),IFERROR(Z34/Z25,""),"")</f>
        <v>0.123275046081801</v>
      </c>
      <c r="AA35" s="37" t="n">
        <f aca="false">IF(AND(ISNUMBER(AA34),ISNUMBER(AA25)),IFERROR(AA34/AA25,""),"")</f>
        <v>0.10611099912652</v>
      </c>
      <c r="AB35" s="37" t="n">
        <f aca="false">IF(AND(ISNUMBER(AB34),ISNUMBER(AB25)),IFERROR(AB34/AB25,""),"")</f>
        <v>0.10940363050011</v>
      </c>
      <c r="AC35" s="37" t="n">
        <f aca="false">IF(AND(ISNUMBER(AC34),ISNUMBER(AC25)),IFERROR(AC34/AC25,""),"")</f>
        <v>0.107208364101753</v>
      </c>
      <c r="AD35" s="37" t="n">
        <f aca="false">IF(AND(ISNUMBER(AD34),ISNUMBER(AD25)),IFERROR(AD34/AD25,""),"")</f>
        <v>0.0922067623098551</v>
      </c>
      <c r="AE35" s="37" t="n">
        <f aca="false">IF(AND(ISNUMBER(AE34),ISNUMBER(AE25)),IFERROR(AE34/AE25,""),"")</f>
        <v>0.118424321097462</v>
      </c>
      <c r="AF35" s="37" t="n">
        <f aca="false">IF(AND(ISNUMBER(AF34),ISNUMBER(AF25)),IFERROR(AF34/AF25,""),"")</f>
        <v>0.0984795434605881</v>
      </c>
      <c r="AG35" s="37" t="n">
        <f aca="false">IF(AND(ISNUMBER(AG34),ISNUMBER(AG25)),IFERROR(AG34/AG25,""),"")</f>
        <v>0.106156685869096</v>
      </c>
      <c r="AH35" s="37" t="n">
        <f aca="false">IF(AND(ISNUMBER(AH34),ISNUMBER(AH25)),IFERROR(AH34/AH25,""),"")</f>
        <v>0.103865746616217</v>
      </c>
      <c r="AI35" s="37" t="n">
        <f aca="false">IF(AND(ISNUMBER(AI34),ISNUMBER(AI25)),IFERROR(AI34/AI25,""),"")</f>
        <v>0.138075998349718</v>
      </c>
      <c r="AJ35" s="37" t="n">
        <f aca="false">IF(AND(ISNUMBER(AJ34),ISNUMBER(AJ25)),IFERROR(AJ34/AJ25,""),"")</f>
        <v>0.129232870803077</v>
      </c>
      <c r="AK35" s="37" t="n">
        <f aca="false">IF(AND(ISNUMBER(AK34),ISNUMBER(AK25)),IFERROR(AK34/AK25,""),"")</f>
        <v>0.121643959308803</v>
      </c>
      <c r="AL35" s="37" t="n">
        <f aca="false">IF(AND(ISNUMBER(AL34),ISNUMBER(AL25)),IFERROR(AL34/AL25,""),"")</f>
        <v>0.143033167013073</v>
      </c>
      <c r="AM35" s="37" t="n">
        <f aca="false">IF(AND(ISNUMBER(AM34),ISNUMBER(AM25)),IFERROR(AM34/AM25,""),"")</f>
        <v>0.133198513916976</v>
      </c>
      <c r="AN35" s="37" t="n">
        <f aca="false">IF(AND(ISNUMBER(AN34),ISNUMBER(AN25)),IFERROR(AN34/AN25,""),"")</f>
        <v>0.143289205238011</v>
      </c>
      <c r="AO35" s="37" t="n">
        <f aca="false">IF(AND(ISNUMBER(AO34),ISNUMBER(AO25)),IFERROR(AO34/AO25,""),"")</f>
        <v>0.139082348644912</v>
      </c>
      <c r="AP35" s="37" t="n">
        <f aca="false">IF(AND(ISNUMBER(AP34),ISNUMBER(AP25)),IFERROR(AP34/AP25,""),"")</f>
        <v>0.144948716229805</v>
      </c>
      <c r="AQ35" s="37" t="n">
        <f aca="false">IF(AND(ISNUMBER(AQ34),ISNUMBER(AQ25)),IFERROR(AQ34/AQ25,""),"")</f>
        <v>0.153795823524016</v>
      </c>
      <c r="AR35" s="37" t="n">
        <f aca="false">IF(AND(ISNUMBER(AR34),ISNUMBER(AR25)),IFERROR(AR34/AR25,""),"")</f>
        <v>0.145421085766865</v>
      </c>
      <c r="AS35" s="37" t="n">
        <f aca="false">IF(AND(ISNUMBER(AS34),ISNUMBER(AS25)),IFERROR(AS34/AS25,""),"")</f>
        <v>0.143930501481783</v>
      </c>
      <c r="AT35" s="37" t="n">
        <f aca="false">IF(AND(ISNUMBER(AT34),ISNUMBER(AT25)),IFERROR(AT34/AT25,""),"")</f>
        <v>0.145225647886743</v>
      </c>
      <c r="AU35" s="37" t="n">
        <f aca="false">IF(AND(ISNUMBER(AU34),ISNUMBER(AU25)),IFERROR(AU34/AU25,""),"")</f>
        <v>0.144786297723128</v>
      </c>
      <c r="AV35" s="37" t="n">
        <f aca="false">IF(AND(ISNUMBER(AV34),ISNUMBER(AV25)),IFERROR(AV34/AV25,""),"")</f>
        <v>0.167065776736129</v>
      </c>
      <c r="AW35" s="37" t="n">
        <f aca="false">IF(AND(ISNUMBER(AW34),ISNUMBER(AW25)),IFERROR(AW34/AW25,""),"")</f>
        <v>0.15085616220862</v>
      </c>
      <c r="AX35" s="37" t="n">
        <f aca="false">IF(AND(ISNUMBER(AX34),ISNUMBER(AX25)),IFERROR(AX34/AX25,""),"")</f>
        <v>0.0906049950851179</v>
      </c>
      <c r="AY35" s="37" t="n">
        <f aca="false">IF(AND(ISNUMBER(AY34),ISNUMBER(AY25)),IFERROR(AY34/AY25,""),"")</f>
        <v>0.110616760707544</v>
      </c>
      <c r="AZ35" s="37" t="n">
        <f aca="false">IF(AND(ISNUMBER(AZ34),ISNUMBER(AZ25)),IFERROR(AZ34/AZ25,""),"")</f>
        <v>0.130092606588268</v>
      </c>
      <c r="BA35" s="37" t="n">
        <f aca="false">IF(AND(ISNUMBER(BA34),ISNUMBER(BA25)),IFERROR(BA34/BA25,""),"")</f>
        <v>0.0820150120106785</v>
      </c>
      <c r="BB35" s="37" t="n">
        <f aca="false">IF(AND(ISNUMBER(BB34),ISNUMBER(BB25)),IFERROR(BB34/BB25,""),"")</f>
        <v>0.10351132424062</v>
      </c>
      <c r="BC35" s="37" t="n">
        <f aca="false">IF(AND(ISNUMBER(BC34),ISNUMBER(BC25)),IFERROR(BC34/BC25,""),"")</f>
        <v>0.12921111311999</v>
      </c>
      <c r="BD35" s="37" t="n">
        <f aca="false">IF(AND(ISNUMBER(BD34),ISNUMBER(BD25)),IFERROR(BD34/BD25,""),"")</f>
        <v>0.109205579738821</v>
      </c>
      <c r="BE35" s="37" t="n">
        <f aca="false">IF(AND(ISNUMBER(BE34),ISNUMBER(BE25)),IFERROR(BE34/BE25,""),"")</f>
        <v>0.12351731327304</v>
      </c>
      <c r="BF35" s="37" t="n">
        <f aca="false">IF(AND(ISNUMBER(BF34),ISNUMBER(BF25)),IFERROR(BF34/BF25,""),"")</f>
        <v>0.149635237187477</v>
      </c>
      <c r="BG35" s="37" t="n">
        <f aca="false">IF(AND(ISNUMBER(BG34),ISNUMBER(BG25)),IFERROR(BG34/BG25,""),"")</f>
        <v>0.128250314129962</v>
      </c>
      <c r="BH35" s="37" t="n">
        <f aca="false">IF(AND(ISNUMBER(BH34),ISNUMBER(BH25)),IFERROR(BH34/BH25,""),"")</f>
        <v>0.174435537941843</v>
      </c>
      <c r="BI35" s="37" t="n">
        <f aca="false">IF(AND(ISNUMBER(BI34),ISNUMBER(BI25)),IFERROR(BI34/BI25,""),"")</f>
        <v>0.192796664039259</v>
      </c>
      <c r="BJ35" s="37" t="n">
        <f aca="false">IF(AND(ISNUMBER(BJ34),ISNUMBER(BJ25)),IFERROR(BJ34/BJ25,""),"")</f>
        <v>0.204101811273504</v>
      </c>
      <c r="BK35" s="37" t="n">
        <f aca="false">IF(AND(ISNUMBER(BK34),ISNUMBER(BK25)),IFERROR(BK34/BK25,""),"")</f>
        <v>0.188495972068739</v>
      </c>
      <c r="BL35" s="37" t="n">
        <f aca="false">IF(AND(ISNUMBER(BL34),ISNUMBER(BL25)),IFERROR(BL34/BL25,""),"")</f>
        <v>0.189900955968286</v>
      </c>
      <c r="BM35" s="37" t="n">
        <f aca="false">IF(AND(ISNUMBER(BM34),ISNUMBER(BM25)),IFERROR(BM34/BM25,""),"")</f>
        <v>0.228544686662089</v>
      </c>
      <c r="BN35" s="37" t="n">
        <f aca="false">IF(AND(ISNUMBER(BN34),ISNUMBER(BN25)),IFERROR(BN34/BN25,""),"")</f>
        <v>0.219710136223212</v>
      </c>
      <c r="BO35" s="37" t="n">
        <f aca="false">IF(AND(ISNUMBER(BO34),ISNUMBER(BO25)),IFERROR(BO34/BO25,""),"")</f>
        <v>0.21978888203441</v>
      </c>
      <c r="BP35" s="37" t="n">
        <f aca="false">IF(AND(ISNUMBER(BP34),ISNUMBER(BP25)),IFERROR(BP34/BP25,""),"")</f>
        <v>0.2280847722574</v>
      </c>
      <c r="BQ35" s="37" t="n">
        <f aca="false">IF(AND(ISNUMBER(BQ34),ISNUMBER(BQ25)),IFERROR(BQ34/BQ25,""),"")</f>
        <v>0.224065756361176</v>
      </c>
      <c r="BR35" s="37" t="n">
        <f aca="false">IF(AND(ISNUMBER(BR34),ISNUMBER(BR25)),IFERROR(BR34/BR25,""),"")</f>
        <v>0.243663844521084</v>
      </c>
      <c r="BS35" s="37" t="n">
        <f aca="false">IF(AND(ISNUMBER(BS34),ISNUMBER(BS25)),IFERROR(BS34/BS25,""),"")</f>
        <v>0.251273520461507</v>
      </c>
      <c r="BT35" s="37" t="n">
        <f aca="false">IF(AND(ISNUMBER(BT34),ISNUMBER(BT25)),IFERROR(BT34/BT25,""),"")</f>
        <v>0.237053410171693</v>
      </c>
      <c r="BU35" s="37" t="n">
        <f aca="false">IF(AND(ISNUMBER(BU34),ISNUMBER(BU25)),IFERROR(BU34/BU25,""),"")</f>
        <v>0.236389362417038</v>
      </c>
      <c r="BV35" s="37" t="n">
        <f aca="false">IF(AND(ISNUMBER(BV34),ISNUMBER(BV25)),IFERROR(BV34/BV25,""),"")</f>
        <v>0.241959132740602</v>
      </c>
      <c r="BW35" s="37" t="n">
        <f aca="false">IF(AND(ISNUMBER(BW34),ISNUMBER(BW25)),IFERROR(BW34/BW25,""),"")</f>
        <v>0.240027849409993</v>
      </c>
      <c r="BX35" s="37" t="n">
        <f aca="false">IF(AND(ISNUMBER(BX34),ISNUMBER(BX25)),IFERROR(BX34/BX25,""),"")</f>
        <v>0.254219261337073</v>
      </c>
      <c r="BY35" s="37" t="n">
        <f aca="false">IF(AND(ISNUMBER(BY34),ISNUMBER(BY25)),IFERROR(BY34/BY25,""),"")</f>
        <v>0.25183162593023</v>
      </c>
      <c r="BZ35" s="37" t="n">
        <f aca="false">IF(AND(ISNUMBER(BZ34),ISNUMBER(BZ25)),IFERROR(BZ34/BZ25,""),"")</f>
        <v>0.267813534782266</v>
      </c>
      <c r="CA35" s="37" t="n">
        <f aca="false">IF(AND(ISNUMBER(CA34),ISNUMBER(CA25)),IFERROR(CA34/CA25,""),"")</f>
        <v>0.253905405240352</v>
      </c>
      <c r="CB35" s="37" t="n">
        <f aca="false">IF(AND(ISNUMBER(CB34),ISNUMBER(CB25)),IFERROR(CB34/CB25,""),"")</f>
        <v>0.256210152966279</v>
      </c>
      <c r="CC35" s="28" t="n">
        <f aca="false">IF(AND(ISNUMBER(CC34),ISNUMBER(CC25)),IFERROR(CC34/CC25,""),"")</f>
        <v>0.257898976289233</v>
      </c>
      <c r="CD35" s="28" t="n">
        <f aca="false">IF(AND(ISNUMBER(CD34),ISNUMBER(CD25)),IFERROR(CD34/CD25,""),"")</f>
        <v>0.255511340882389</v>
      </c>
      <c r="CE35" s="28" t="n">
        <f aca="false">IF(AND(ISNUMBER(CE34),ISNUMBER(CE25)),IFERROR(CE34/CE25,""),"")</f>
        <v>0.271493249734426</v>
      </c>
      <c r="CF35" s="28" t="n">
        <f aca="false">IF(AND(ISNUMBER(CF34),ISNUMBER(CF25)),IFERROR(CF34/CF25,""),"")</f>
        <v>0.260463554815705</v>
      </c>
      <c r="CG35" s="28" t="n">
        <f aca="false">IF(AND(ISNUMBER(CG34),ISNUMBER(CG25)),IFERROR(CG34/CG25,""),"")</f>
        <v>0.269568058120871</v>
      </c>
      <c r="CH35" s="28" t="n">
        <f aca="false">IF(AND(ISNUMBER(CH34),ISNUMBER(CH25)),IFERROR(CH34/CH25,""),"")</f>
        <v>0.274568058120871</v>
      </c>
      <c r="CI35" s="28" t="n">
        <f aca="false">IF(AND(ISNUMBER(CI34),ISNUMBER(CI25)),IFERROR(CI34/CI25,""),"")</f>
        <v>0.279568058120871</v>
      </c>
      <c r="CJ35" s="28" t="n">
        <f aca="false">IF(AND(ISNUMBER(CJ34),ISNUMBER(CJ25)),IFERROR(CJ34/CJ25,""),"")</f>
        <v>0.283568058120871</v>
      </c>
      <c r="CK35" s="23"/>
      <c r="CS35" s="29" t="s">
        <v>180</v>
      </c>
      <c r="CU35" s="36" t="n">
        <v>72.7</v>
      </c>
      <c r="CW35" s="16" t="s">
        <v>181</v>
      </c>
    </row>
    <row r="36" customFormat="false" ht="15" hidden="false" customHeight="true" outlineLevel="1" collapsed="false">
      <c r="B36" s="42" t="s">
        <v>149</v>
      </c>
      <c r="T36" s="34" t="n">
        <v>9.147</v>
      </c>
      <c r="U36" s="34" t="n">
        <v>11.777</v>
      </c>
      <c r="V36" s="34" t="n">
        <v>11.298</v>
      </c>
      <c r="W36" s="34" t="n">
        <v>12.891</v>
      </c>
      <c r="X36" s="34" t="n">
        <v>45.113</v>
      </c>
      <c r="Y36" s="34" t="n">
        <v>8.592</v>
      </c>
      <c r="Z36" s="34" t="n">
        <v>14.847</v>
      </c>
      <c r="AA36" s="34" t="n">
        <v>12.634</v>
      </c>
      <c r="AB36" s="34" t="n">
        <v>13.434</v>
      </c>
      <c r="AC36" s="34" t="n">
        <v>49.507</v>
      </c>
      <c r="AD36" s="34" t="n">
        <v>11.511</v>
      </c>
      <c r="AE36" s="34" t="n">
        <v>14.779</v>
      </c>
      <c r="AF36" s="34" t="n">
        <v>12.235</v>
      </c>
      <c r="AG36" s="34" t="n">
        <v>14.263</v>
      </c>
      <c r="AH36" s="34" t="n">
        <v>52.788</v>
      </c>
      <c r="AI36" s="34" t="n">
        <v>19.411</v>
      </c>
      <c r="AJ36" s="34" t="n">
        <v>17.975</v>
      </c>
      <c r="AK36" s="34" t="n">
        <v>16.705</v>
      </c>
      <c r="AL36" s="34" t="n">
        <v>21.127</v>
      </c>
      <c r="AM36" s="34" t="n">
        <v>75.218</v>
      </c>
      <c r="AN36" s="34" t="n">
        <v>21.983</v>
      </c>
      <c r="AO36" s="34" t="n">
        <v>21.328</v>
      </c>
      <c r="AP36" s="34" t="n">
        <v>21.622</v>
      </c>
      <c r="AQ36" s="34" t="n">
        <v>25.151</v>
      </c>
      <c r="AR36" s="34" t="n">
        <v>90.084</v>
      </c>
      <c r="AS36" s="34" t="n">
        <v>24.769</v>
      </c>
      <c r="AT36" s="34" t="n">
        <v>24.64</v>
      </c>
      <c r="AU36" s="34" t="n">
        <v>24.692</v>
      </c>
      <c r="AV36" s="34" t="n">
        <v>32.79</v>
      </c>
      <c r="AW36" s="34" t="n">
        <v>106.892</v>
      </c>
      <c r="AX36" s="34" t="n">
        <v>18.527</v>
      </c>
      <c r="AY36" s="34" t="n">
        <v>21.506</v>
      </c>
      <c r="AZ36" s="34" t="n">
        <v>25.82</v>
      </c>
      <c r="BA36" s="34" t="n">
        <v>15.33</v>
      </c>
      <c r="BB36" s="34" t="n">
        <v>81.183</v>
      </c>
      <c r="BC36" s="34" t="n">
        <v>25.728</v>
      </c>
      <c r="BD36" s="34" t="n">
        <v>22.077</v>
      </c>
      <c r="BE36" s="34" t="n">
        <v>26.304</v>
      </c>
      <c r="BF36" s="34" t="n">
        <v>32.654</v>
      </c>
      <c r="BG36" s="34" t="n">
        <v>106.763</v>
      </c>
      <c r="BH36" s="34" t="n">
        <v>40.846</v>
      </c>
      <c r="BI36" s="34" t="n">
        <v>45.495</v>
      </c>
      <c r="BJ36" s="34" t="n">
        <v>47.271</v>
      </c>
      <c r="BK36" s="34" t="n">
        <v>47.078</v>
      </c>
      <c r="BL36" s="34" t="n">
        <v>180.69</v>
      </c>
      <c r="BM36" s="34" t="n">
        <v>59.58</v>
      </c>
      <c r="BN36" s="34" t="n">
        <v>58.531</v>
      </c>
      <c r="BO36" s="34" t="n">
        <v>57.717</v>
      </c>
      <c r="BP36" s="34" t="n">
        <v>63.325</v>
      </c>
      <c r="BQ36" s="34" t="n">
        <v>239.153</v>
      </c>
      <c r="BR36" s="34" t="n">
        <v>71.288</v>
      </c>
      <c r="BS36" s="34" t="n">
        <v>75.223</v>
      </c>
      <c r="BT36" s="34" t="n">
        <v>71.533</v>
      </c>
      <c r="BU36" s="34" t="n">
        <v>76.684</v>
      </c>
      <c r="BV36" s="34" t="n">
        <v>294.728</v>
      </c>
      <c r="BW36" s="34" t="n">
        <v>80.327</v>
      </c>
      <c r="BX36" s="34" t="n">
        <v>87.004</v>
      </c>
      <c r="BY36" s="34" t="n">
        <v>87.341</v>
      </c>
      <c r="BZ36" s="34" t="n">
        <v>98.591</v>
      </c>
      <c r="CA36" s="34" t="n">
        <v>353.399</v>
      </c>
      <c r="CB36" s="34" t="n">
        <v>99.542</v>
      </c>
      <c r="CC36" s="43"/>
      <c r="CD36" s="43"/>
      <c r="CE36" s="43"/>
      <c r="CF36" s="43"/>
      <c r="CG36" s="43"/>
      <c r="CH36" s="43"/>
      <c r="CI36" s="43"/>
      <c r="CJ36" s="43"/>
      <c r="CK36" s="23"/>
      <c r="CS36" s="29" t="s">
        <v>182</v>
      </c>
      <c r="CU36" s="36" t="n">
        <v>350</v>
      </c>
      <c r="CW36" s="16" t="s">
        <v>183</v>
      </c>
    </row>
    <row r="37" customFormat="false" ht="15" hidden="false" customHeight="true" outlineLevel="0" collapsed="false">
      <c r="CS37" s="29" t="s">
        <v>184</v>
      </c>
      <c r="CU37" s="38" t="n">
        <v>0.15</v>
      </c>
      <c r="CW37" s="16"/>
    </row>
    <row r="38" customFormat="false" ht="15" hidden="false" customHeight="true" outlineLevel="0" collapsed="false">
      <c r="B38" s="17" t="s">
        <v>185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9" t="s">
        <v>186</v>
      </c>
      <c r="CS38" s="29" t="s">
        <v>187</v>
      </c>
      <c r="CU38" s="38" t="n">
        <v>0.45</v>
      </c>
      <c r="CW38" s="16"/>
    </row>
    <row r="39" customFormat="false" ht="15" hidden="false" customHeight="true" outlineLevel="0" collapsed="false">
      <c r="B39" s="20" t="s">
        <v>110</v>
      </c>
      <c r="T39" s="21" t="n">
        <v>148.455</v>
      </c>
      <c r="U39" s="21" t="n">
        <v>149.633</v>
      </c>
      <c r="V39" s="21" t="n">
        <v>145.975</v>
      </c>
      <c r="W39" s="21" t="n">
        <v>166.387</v>
      </c>
      <c r="X39" s="21" t="n">
        <v>610.45</v>
      </c>
      <c r="Y39" s="21" t="n">
        <v>160.994</v>
      </c>
      <c r="Z39" s="21" t="n">
        <v>160.938</v>
      </c>
      <c r="AA39" s="21" t="n">
        <v>160.454</v>
      </c>
      <c r="AB39" s="21" t="n">
        <v>183.488</v>
      </c>
      <c r="AC39" s="21" t="n">
        <v>665.874</v>
      </c>
      <c r="AD39" s="21" t="n">
        <v>169.695</v>
      </c>
      <c r="AE39" s="21" t="n">
        <v>166.561</v>
      </c>
      <c r="AF39" s="21" t="n">
        <v>163.498</v>
      </c>
      <c r="AG39" s="21" t="n">
        <v>175.914</v>
      </c>
      <c r="AH39" s="21" t="n">
        <v>612.658</v>
      </c>
      <c r="AI39" s="21" t="n">
        <v>159.137</v>
      </c>
      <c r="AJ39" s="21" t="n">
        <v>159.313</v>
      </c>
      <c r="AK39" s="21" t="n">
        <v>167.295</v>
      </c>
      <c r="AL39" s="21" t="n">
        <v>179.057</v>
      </c>
      <c r="AM39" s="21" t="n">
        <v>664.802</v>
      </c>
      <c r="AN39" s="21" t="n">
        <v>169.62</v>
      </c>
      <c r="AO39" s="21" t="n">
        <v>174.142</v>
      </c>
      <c r="AP39" s="21" t="n">
        <v>174.838</v>
      </c>
      <c r="AQ39" s="21" t="n">
        <v>201.803</v>
      </c>
      <c r="AR39" s="21" t="n">
        <v>720.403</v>
      </c>
      <c r="AS39" s="21" t="n">
        <v>184.522</v>
      </c>
      <c r="AT39" s="21" t="n">
        <v>204.105</v>
      </c>
      <c r="AU39" s="21" t="n">
        <v>192.086</v>
      </c>
      <c r="AV39" s="21" t="n">
        <v>152.344</v>
      </c>
      <c r="AW39" s="21" t="n">
        <v>733.057</v>
      </c>
      <c r="AX39" s="21" t="n">
        <v>147.683</v>
      </c>
      <c r="AY39" s="21" t="n">
        <v>152.141</v>
      </c>
      <c r="AZ39" s="21" t="n">
        <v>160.717</v>
      </c>
      <c r="BA39" s="21" t="n">
        <v>181.876</v>
      </c>
      <c r="BB39" s="21" t="n">
        <v>642.417</v>
      </c>
      <c r="BC39" s="21" t="n">
        <v>189.658</v>
      </c>
      <c r="BD39" s="21" t="n">
        <v>184.85</v>
      </c>
      <c r="BE39" s="21" t="n">
        <v>194.264</v>
      </c>
      <c r="BF39" s="21" t="n">
        <v>226.249</v>
      </c>
      <c r="BG39" s="21" t="n">
        <v>795.021</v>
      </c>
      <c r="BH39" s="21" t="n">
        <v>234.521</v>
      </c>
      <c r="BI39" s="21" t="n">
        <v>228.897</v>
      </c>
      <c r="BJ39" s="21" t="n">
        <v>242.216</v>
      </c>
      <c r="BK39" s="21" t="n">
        <v>261.509</v>
      </c>
      <c r="BL39" s="21" t="n">
        <v>967.143</v>
      </c>
      <c r="BM39" s="21" t="n">
        <v>254.812</v>
      </c>
      <c r="BN39" s="21" t="n">
        <v>260.234</v>
      </c>
      <c r="BO39" s="21" t="n">
        <v>266.929</v>
      </c>
      <c r="BP39" s="21" t="n">
        <v>282.107</v>
      </c>
      <c r="BQ39" s="21" t="n">
        <v>1064.082</v>
      </c>
      <c r="BR39" s="21" t="n">
        <v>275.181</v>
      </c>
      <c r="BS39" s="21" t="n">
        <v>272.006</v>
      </c>
      <c r="BT39" s="21" t="n">
        <v>286.256</v>
      </c>
      <c r="BU39" s="21" t="n">
        <v>312.575</v>
      </c>
      <c r="BV39" s="21" t="n">
        <v>1146.018</v>
      </c>
      <c r="BW39" s="21" t="n">
        <v>292.399</v>
      </c>
      <c r="BX39" s="21" t="n">
        <v>302.352</v>
      </c>
      <c r="BY39" s="21" t="n">
        <v>317.168</v>
      </c>
      <c r="BZ39" s="21" t="n">
        <v>339.365</v>
      </c>
      <c r="CA39" s="21" t="n">
        <v>1251.284</v>
      </c>
      <c r="CB39" s="21" t="n">
        <v>330.728</v>
      </c>
      <c r="CC39" s="22" t="n">
        <f aca="false">BX39*(1+CC40)</f>
        <v>331.990418853022</v>
      </c>
      <c r="CD39" s="22" t="n">
        <f aca="false">BY39*(1+CD40)</f>
        <v>348.258775092526</v>
      </c>
      <c r="CE39" s="22" t="n">
        <f aca="false">BZ39*(1+CE40)</f>
        <v>372.631662744271</v>
      </c>
      <c r="CF39" s="22" t="n">
        <f aca="false">SUM(CB39,CC39,CD39,CE39)</f>
        <v>1383.60885668982</v>
      </c>
      <c r="CG39" s="22" t="n">
        <f aca="false">CF39*(1+CG40)</f>
        <v>1508.1336537919</v>
      </c>
      <c r="CH39" s="22" t="n">
        <f aca="false">CG39*(1+CH40)</f>
        <v>1628.78434609525</v>
      </c>
      <c r="CI39" s="22" t="n">
        <f aca="false">CH39*(1+CI40)</f>
        <v>1759.08709378288</v>
      </c>
      <c r="CJ39" s="22" t="n">
        <f aca="false">CI39*(1+CJ40)</f>
        <v>1882.22319034768</v>
      </c>
      <c r="CK39" s="23" t="s">
        <v>188</v>
      </c>
      <c r="CM39" s="24" t="n">
        <f aca="false">IFERROR((CJ39/CA39)^(1/5)-1,"n/m")</f>
        <v>0.0850832155674393</v>
      </c>
      <c r="CN39" s="24" t="n">
        <f aca="false">IFERROR((CA39/BB39)^(1/5)-1,"n/m")</f>
        <v>0.142635659046003</v>
      </c>
      <c r="CO39" s="24" t="n">
        <f aca="false">IFERROR((CA39/AC39)^(1/10)-1,"n/m")</f>
        <v>0.0651147117916178</v>
      </c>
      <c r="CP39" s="24" t="str">
        <f aca="false">IFERROR((CA39/C39)^(1/20)-1,"n/m")</f>
        <v>n/m</v>
      </c>
      <c r="CS39" s="29" t="s">
        <v>189</v>
      </c>
      <c r="CU39" s="38" t="n">
        <v>0.3</v>
      </c>
      <c r="CW39" s="16"/>
    </row>
    <row r="40" customFormat="false" ht="15" hidden="false" customHeight="true" outlineLevel="0" collapsed="false">
      <c r="B40" s="26" t="s">
        <v>117</v>
      </c>
      <c r="D40" s="27" t="str">
        <f aca="false">IF(AND(ISNUMBER(D39),ISNUMBER(C39)),IFERROR(D39/C39-1,""),"")</f>
        <v/>
      </c>
      <c r="E40" s="27" t="str">
        <f aca="false">IF(AND(ISNUMBER(E39),ISNUMBER(D39)),IFERROR(E39/D39-1,""),"")</f>
        <v/>
      </c>
      <c r="F40" s="27" t="str">
        <f aca="false">IF(AND(ISNUMBER(F39),ISNUMBER(E39)),IFERROR(F39/E39-1,""),"")</f>
        <v/>
      </c>
      <c r="G40" s="27" t="str">
        <f aca="false">IF(AND(ISNUMBER(G39),ISNUMBER(F39)),IFERROR(G39/F39-1,""),"")</f>
        <v/>
      </c>
      <c r="H40" s="27" t="str">
        <f aca="false">IF(AND(ISNUMBER(H39),ISNUMBER(G39)),IFERROR(H39/G39-1,""),"")</f>
        <v/>
      </c>
      <c r="I40" s="27" t="str">
        <f aca="false">IF(AND(ISNUMBER(I39),ISNUMBER(H39)),IFERROR(I39/H39-1,""),"")</f>
        <v/>
      </c>
      <c r="N40" s="27" t="str">
        <f aca="false">IF(AND(ISNUMBER(N39),ISNUMBER(I39)),IFERROR(N39/I39-1,""),"")</f>
        <v/>
      </c>
      <c r="O40" s="27" t="str">
        <f aca="false">IF(AND(ISNUMBER(O39),ISNUMBER(J39)),IFERROR(O39/J39-1,""),"")</f>
        <v/>
      </c>
      <c r="P40" s="27" t="str">
        <f aca="false">IF(AND(ISNUMBER(P39),ISNUMBER(K39)),IFERROR(P39/K39-1,""),"")</f>
        <v/>
      </c>
      <c r="Q40" s="27" t="str">
        <f aca="false">IF(AND(ISNUMBER(Q39),ISNUMBER(L39)),IFERROR(Q39/L39-1,""),"")</f>
        <v/>
      </c>
      <c r="R40" s="27" t="str">
        <f aca="false">IF(AND(ISNUMBER(R39),ISNUMBER(M39)),IFERROR(R39/M39-1,""),"")</f>
        <v/>
      </c>
      <c r="S40" s="27" t="str">
        <f aca="false">IF(AND(ISNUMBER(S39),ISNUMBER(N39)),IFERROR(S39/N39-1,""),"")</f>
        <v/>
      </c>
      <c r="T40" s="27" t="str">
        <f aca="false">IF(AND(ISNUMBER(T39),ISNUMBER(O39)),IFERROR(T39/O39-1,""),"")</f>
        <v/>
      </c>
      <c r="U40" s="27" t="str">
        <f aca="false">IF(AND(ISNUMBER(U39),ISNUMBER(P39)),IFERROR(U39/P39-1,""),"")</f>
        <v/>
      </c>
      <c r="V40" s="27" t="str">
        <f aca="false">IF(AND(ISNUMBER(V39),ISNUMBER(Q39)),IFERROR(V39/Q39-1,""),"")</f>
        <v/>
      </c>
      <c r="W40" s="27" t="str">
        <f aca="false">IF(AND(ISNUMBER(W39),ISNUMBER(R39)),IFERROR(W39/R39-1,""),"")</f>
        <v/>
      </c>
      <c r="X40" s="27" t="str">
        <f aca="false">IF(AND(ISNUMBER(X39),ISNUMBER(S39)),IFERROR(X39/S39-1,""),"")</f>
        <v/>
      </c>
      <c r="Y40" s="27" t="n">
        <f aca="false">IF(AND(ISNUMBER(Y39),ISNUMBER(T39)),IFERROR(Y39/T39-1,""),"")</f>
        <v>0.0844633053787343</v>
      </c>
      <c r="Z40" s="27" t="n">
        <f aca="false">IF(AND(ISNUMBER(Z39),ISNUMBER(U39)),IFERROR(Z39/U39-1,""),"")</f>
        <v>0.0755515160425841</v>
      </c>
      <c r="AA40" s="27" t="n">
        <f aca="false">IF(AND(ISNUMBER(AA39),ISNUMBER(V39)),IFERROR(AA39/V39-1,""),"")</f>
        <v>0.0991882171604728</v>
      </c>
      <c r="AB40" s="27" t="n">
        <f aca="false">IF(AND(ISNUMBER(AB39),ISNUMBER(W39)),IFERROR(AB39/W39-1,""),"")</f>
        <v>0.102778462259672</v>
      </c>
      <c r="AC40" s="27" t="n">
        <f aca="false">IF(AND(ISNUMBER(AC39),ISNUMBER(X39)),IFERROR(AC39/X39-1,""),"")</f>
        <v>0.090792038660005</v>
      </c>
      <c r="AD40" s="27" t="n">
        <f aca="false">IF(AND(ISNUMBER(AD39),ISNUMBER(Y39)),IFERROR(AD39/Y39-1,""),"")</f>
        <v>0.054045492378598</v>
      </c>
      <c r="AE40" s="27" t="n">
        <f aca="false">IF(AND(ISNUMBER(AE39),ISNUMBER(Z39)),IFERROR(AE39/Z39-1,""),"")</f>
        <v>0.034938920578111</v>
      </c>
      <c r="AF40" s="27" t="n">
        <f aca="false">IF(AND(ISNUMBER(AF39),ISNUMBER(AA39)),IFERROR(AF39/AA39-1,""),"")</f>
        <v>0.0189711693070911</v>
      </c>
      <c r="AG40" s="27" t="n">
        <f aca="false">IF(AND(ISNUMBER(AG39),ISNUMBER(AB39)),IFERROR(AG39/AB39-1,""),"")</f>
        <v>-0.0412779037321243</v>
      </c>
      <c r="AH40" s="27" t="n">
        <f aca="false">IF(AND(ISNUMBER(AH39),ISNUMBER(AC39)),IFERROR(AH39/AC39-1,""),"")</f>
        <v>-0.0799190237192021</v>
      </c>
      <c r="AI40" s="27" t="n">
        <f aca="false">IF(AND(ISNUMBER(AI39),ISNUMBER(AD39)),IFERROR(AI39/AD39-1,""),"")</f>
        <v>-0.0622175078817879</v>
      </c>
      <c r="AJ40" s="27" t="n">
        <f aca="false">IF(AND(ISNUMBER(AJ39),ISNUMBER(AE39)),IFERROR(AJ39/AE39-1,""),"")</f>
        <v>-0.0435155888833522</v>
      </c>
      <c r="AK40" s="27" t="n">
        <f aca="false">IF(AND(ISNUMBER(AK39),ISNUMBER(AF39)),IFERROR(AK39/AF39-1,""),"")</f>
        <v>0.0232235256700388</v>
      </c>
      <c r="AL40" s="27" t="n">
        <f aca="false">IF(AND(ISNUMBER(AL39),ISNUMBER(AG39)),IFERROR(AL39/AG39-1,""),"")</f>
        <v>0.0178666848573734</v>
      </c>
      <c r="AM40" s="27" t="n">
        <f aca="false">IF(AND(ISNUMBER(AM39),ISNUMBER(AH39)),IFERROR(AM39/AH39-1,""),"")</f>
        <v>0.0851111060330561</v>
      </c>
      <c r="AN40" s="27" t="n">
        <f aca="false">IF(AND(ISNUMBER(AN39),ISNUMBER(AI39)),IFERROR(AN39/AI39-1,""),"")</f>
        <v>0.0658740582014239</v>
      </c>
      <c r="AO40" s="27" t="n">
        <f aca="false">IF(AND(ISNUMBER(AO39),ISNUMBER(AJ39)),IFERROR(AO39/AJ39-1,""),"")</f>
        <v>0.0930809161838646</v>
      </c>
      <c r="AP40" s="27" t="n">
        <f aca="false">IF(AND(ISNUMBER(AP39),ISNUMBER(AK39)),IFERROR(AP39/AK39-1,""),"")</f>
        <v>0.0450880181714934</v>
      </c>
      <c r="AQ40" s="27" t="n">
        <f aca="false">IF(AND(ISNUMBER(AQ39),ISNUMBER(AL39)),IFERROR(AQ39/AL39-1,""),"")</f>
        <v>0.127032174112154</v>
      </c>
      <c r="AR40" s="27" t="n">
        <f aca="false">IF(AND(ISNUMBER(AR39),ISNUMBER(AM39)),IFERROR(AR39/AM39-1,""),"")</f>
        <v>0.0836354282929352</v>
      </c>
      <c r="AS40" s="27" t="n">
        <f aca="false">IF(AND(ISNUMBER(AS39),ISNUMBER(AN39)),IFERROR(AS39/AN39-1,""),"")</f>
        <v>0.0878552057540383</v>
      </c>
      <c r="AT40" s="27" t="n">
        <f aca="false">IF(AND(ISNUMBER(AT39),ISNUMBER(AO39)),IFERROR(AT39/AO39-1,""),"")</f>
        <v>0.172060732046261</v>
      </c>
      <c r="AU40" s="27" t="n">
        <f aca="false">IF(AND(ISNUMBER(AU39),ISNUMBER(AP39)),IFERROR(AU39/AP39-1,""),"")</f>
        <v>0.0986513229389494</v>
      </c>
      <c r="AV40" s="27" t="n">
        <f aca="false">IF(AND(ISNUMBER(AV39),ISNUMBER(AQ39)),IFERROR(AV39/AQ39-1,""),"")</f>
        <v>-0.245085553733096</v>
      </c>
      <c r="AW40" s="27" t="n">
        <f aca="false">IF(AND(ISNUMBER(AW39),ISNUMBER(AR39)),IFERROR(AW39/AR39-1,""),"")</f>
        <v>0.0175651683849178</v>
      </c>
      <c r="AX40" s="27" t="n">
        <f aca="false">IF(AND(ISNUMBER(AX39),ISNUMBER(AS39)),IFERROR(AX39/AS39-1,""),"")</f>
        <v>-0.199645570717855</v>
      </c>
      <c r="AY40" s="27" t="n">
        <f aca="false">IF(AND(ISNUMBER(AY39),ISNUMBER(AT39)),IFERROR(AY39/AT39-1,""),"")</f>
        <v>-0.254594448935597</v>
      </c>
      <c r="AZ40" s="27" t="n">
        <f aca="false">IF(AND(ISNUMBER(AZ39),ISNUMBER(AU39)),IFERROR(AZ39/AU39-1,""),"")</f>
        <v>-0.163307060379205</v>
      </c>
      <c r="BA40" s="27" t="n">
        <f aca="false">IF(AND(ISNUMBER(BA39),ISNUMBER(AV39)),IFERROR(BA39/AV39-1,""),"")</f>
        <v>0.193850758809011</v>
      </c>
      <c r="BB40" s="27" t="n">
        <f aca="false">IF(AND(ISNUMBER(BB39),ISNUMBER(AW39)),IFERROR(BB39/AW39-1,""),"")</f>
        <v>-0.123646592284092</v>
      </c>
      <c r="BC40" s="27" t="n">
        <f aca="false">IF(AND(ISNUMBER(BC39),ISNUMBER(AX39)),IFERROR(BC39/AX39-1,""),"")</f>
        <v>0.284223641177387</v>
      </c>
      <c r="BD40" s="27" t="n">
        <f aca="false">IF(AND(ISNUMBER(BD39),ISNUMBER(AY39)),IFERROR(BD39/AY39-1,""),"")</f>
        <v>0.214991356702007</v>
      </c>
      <c r="BE40" s="27" t="n">
        <f aca="false">IF(AND(ISNUMBER(BE39),ISNUMBER(AZ39)),IFERROR(BE39/AZ39-1,""),"")</f>
        <v>0.208733363614303</v>
      </c>
      <c r="BF40" s="27" t="n">
        <f aca="false">IF(AND(ISNUMBER(BF39),ISNUMBER(BA39)),IFERROR(BF39/BA39-1,""),"")</f>
        <v>0.243973916294618</v>
      </c>
      <c r="BG40" s="27" t="n">
        <f aca="false">IF(AND(ISNUMBER(BG39),ISNUMBER(BB39)),IFERROR(BG39/BB39-1,""),"")</f>
        <v>0.237546640266369</v>
      </c>
      <c r="BH40" s="27" t="n">
        <f aca="false">IF(AND(ISNUMBER(BH39),ISNUMBER(BC39)),IFERROR(BH39/BC39-1,""),"")</f>
        <v>0.236546836938067</v>
      </c>
      <c r="BI40" s="27" t="n">
        <f aca="false">IF(AND(ISNUMBER(BI39),ISNUMBER(BD39)),IFERROR(BI39/BD39-1,""),"")</f>
        <v>0.238285096023803</v>
      </c>
      <c r="BJ40" s="27" t="n">
        <f aca="false">IF(AND(ISNUMBER(BJ39),ISNUMBER(BE39)),IFERROR(BJ39/BE39-1,""),"")</f>
        <v>0.24683935263353</v>
      </c>
      <c r="BK40" s="27" t="n">
        <f aca="false">IF(AND(ISNUMBER(BK39),ISNUMBER(BF39)),IFERROR(BK39/BF39-1,""),"")</f>
        <v>0.155845992689471</v>
      </c>
      <c r="BL40" s="27" t="n">
        <f aca="false">IF(AND(ISNUMBER(BL39),ISNUMBER(BG39)),IFERROR(BL39/BG39-1,""),"")</f>
        <v>0.216499941510979</v>
      </c>
      <c r="BM40" s="27" t="n">
        <f aca="false">IF(AND(ISNUMBER(BM39),ISNUMBER(BH39)),IFERROR(BM39/BH39-1,""),"")</f>
        <v>0.0865210364956657</v>
      </c>
      <c r="BN40" s="27" t="n">
        <f aca="false">IF(AND(ISNUMBER(BN39),ISNUMBER(BI39)),IFERROR(BN39/BI39-1,""),"")</f>
        <v>0.136904371835367</v>
      </c>
      <c r="BO40" s="27" t="n">
        <f aca="false">IF(AND(ISNUMBER(BO39),ISNUMBER(BJ39)),IFERROR(BO39/BJ39-1,""),"")</f>
        <v>0.102028767711464</v>
      </c>
      <c r="BP40" s="27" t="n">
        <f aca="false">IF(AND(ISNUMBER(BP39),ISNUMBER(BK39)),IFERROR(BP39/BK39-1,""),"")</f>
        <v>0.0787659315740568</v>
      </c>
      <c r="BQ40" s="27" t="n">
        <f aca="false">IF(AND(ISNUMBER(BQ39),ISNUMBER(BL39)),IFERROR(BQ39/BL39-1,""),"")</f>
        <v>0.100232333791384</v>
      </c>
      <c r="BR40" s="27" t="n">
        <f aca="false">IF(AND(ISNUMBER(BR39),ISNUMBER(BM39)),IFERROR(BR39/BM39-1,""),"")</f>
        <v>0.0799373655871778</v>
      </c>
      <c r="BS40" s="27" t="n">
        <f aca="false">IF(AND(ISNUMBER(BS39),ISNUMBER(BN39)),IFERROR(BS39/BN39-1,""),"")</f>
        <v>0.0452362104874844</v>
      </c>
      <c r="BT40" s="27" t="n">
        <f aca="false">IF(AND(ISNUMBER(BT39),ISNUMBER(BO39)),IFERROR(BT39/BO39-1,""),"")</f>
        <v>0.0724050215600403</v>
      </c>
      <c r="BU40" s="27" t="n">
        <f aca="false">IF(AND(ISNUMBER(BU39),ISNUMBER(BP39)),IFERROR(BU39/BP39-1,""),"")</f>
        <v>0.108001573870907</v>
      </c>
      <c r="BV40" s="27" t="n">
        <f aca="false">IF(AND(ISNUMBER(BV39),ISNUMBER(BQ39)),IFERROR(BV39/BQ39-1,""),"")</f>
        <v>0.077001584464355</v>
      </c>
      <c r="BW40" s="27" t="n">
        <f aca="false">IF(AND(ISNUMBER(BW39),ISNUMBER(BR39)),IFERROR(BW39/BR39-1,""),"")</f>
        <v>0.0625697268343382</v>
      </c>
      <c r="BX40" s="27" t="n">
        <f aca="false">IF(AND(ISNUMBER(BX39),ISNUMBER(BS39)),IFERROR(BX39/BS39-1,""),"")</f>
        <v>0.111563715506276</v>
      </c>
      <c r="BY40" s="27" t="n">
        <f aca="false">IF(AND(ISNUMBER(BY39),ISNUMBER(BT39)),IFERROR(BY39/BT39-1,""),"")</f>
        <v>0.107987256162316</v>
      </c>
      <c r="BZ40" s="27" t="n">
        <f aca="false">IF(AND(ISNUMBER(BZ39),ISNUMBER(BU39)),IFERROR(BZ39/BU39-1,""),"")</f>
        <v>0.085707430216748</v>
      </c>
      <c r="CA40" s="27" t="n">
        <f aca="false">IF(AND(ISNUMBER(CA39),ISNUMBER(BV39)),IFERROR(CA39/BV39-1,""),"")</f>
        <v>0.091853705613699</v>
      </c>
      <c r="CB40" s="27" t="n">
        <f aca="false">IF(AND(ISNUMBER(CB39),ISNUMBER(BW39)),IFERROR(CB39/BW39-1,""),"")</f>
        <v>0.131084579632625</v>
      </c>
      <c r="CC40" s="28" t="n">
        <f aca="false">$CB$40-$CB$109+CC114</f>
        <v>0.0980262040701631</v>
      </c>
      <c r="CD40" s="28" t="n">
        <f aca="false">$CB$40-$CB$109+CD114</f>
        <v>0.0980262040701631</v>
      </c>
      <c r="CE40" s="28" t="n">
        <f aca="false">$CB$40-$CB$109+CE114</f>
        <v>0.0980262040701631</v>
      </c>
      <c r="CF40" s="28" t="n">
        <f aca="false">IFERROR(CF39/CA39-1,"")</f>
        <v>0.105751257659986</v>
      </c>
      <c r="CG40" s="28" t="n">
        <f aca="false">CHOOSE(MATCH($CK$2,{"Bull","Base","Bear"},0),$CT$88,$CU$88,$CV$88)</f>
        <v>0.09</v>
      </c>
      <c r="CH40" s="28" t="n">
        <f aca="false">CHOOSE(MATCH($CK$2,{"Bull","Base","Bear"},0),$CT$89,$CU$89,$CV$89)</f>
        <v>0.08</v>
      </c>
      <c r="CI40" s="28" t="n">
        <f aca="false">CHOOSE(MATCH($CK$2,{"Bull","Base","Bear"},0),$CT$90,$CU$90,$CV$90)</f>
        <v>0.08</v>
      </c>
      <c r="CJ40" s="28" t="n">
        <f aca="false">CHOOSE(MATCH($CK$2,{"Bull","Base","Bear"},0),$CT$91,$CU$91,$CV$91)</f>
        <v>0.07</v>
      </c>
      <c r="CK40" s="23" t="s">
        <v>118</v>
      </c>
      <c r="CS40" s="29" t="s">
        <v>190</v>
      </c>
      <c r="CU40" s="38" t="n">
        <v>0.1</v>
      </c>
      <c r="CW40" s="16"/>
    </row>
    <row r="41" customFormat="false" ht="15" hidden="false" customHeight="true" outlineLevel="1" collapsed="false">
      <c r="B41" s="26" t="s">
        <v>121</v>
      </c>
      <c r="CC41" s="28" t="n">
        <f aca="false">CC40</f>
        <v>0.0980262040701631</v>
      </c>
      <c r="CD41" s="28" t="n">
        <f aca="false">CD40</f>
        <v>0.0980262040701631</v>
      </c>
      <c r="CE41" s="28" t="n">
        <f aca="false">CE40</f>
        <v>0.0980262040701631</v>
      </c>
      <c r="CF41" s="28" t="n">
        <f aca="false">CF40</f>
        <v>0.105751257659986</v>
      </c>
      <c r="CG41" s="28" t="n">
        <f aca="false">CG40</f>
        <v>0.09</v>
      </c>
      <c r="CH41" s="28" t="n">
        <f aca="false">CH40</f>
        <v>0.08</v>
      </c>
      <c r="CI41" s="28" t="n">
        <f aca="false">CI40</f>
        <v>0.08</v>
      </c>
      <c r="CJ41" s="28" t="n">
        <f aca="false">CJ40</f>
        <v>0.07</v>
      </c>
      <c r="CK41" s="23" t="s">
        <v>191</v>
      </c>
      <c r="CS41" s="29" t="s">
        <v>192</v>
      </c>
      <c r="CU41" s="44" t="n">
        <v>2</v>
      </c>
      <c r="CW41" s="16" t="s">
        <v>193</v>
      </c>
    </row>
    <row r="42" customFormat="false" ht="15" hidden="false" customHeight="true" outlineLevel="1" collapsed="false">
      <c r="B42" s="26" t="s">
        <v>125</v>
      </c>
      <c r="C42" s="27" t="str">
        <f aca="false">IF(AND(ISNUMBER(C40),ISNUMBER(C41)),C40-C41,"")</f>
        <v/>
      </c>
      <c r="D42" s="27" t="str">
        <f aca="false">IF(AND(ISNUMBER(D40),ISNUMBER(D41)),D40-D41,"")</f>
        <v/>
      </c>
      <c r="E42" s="27" t="str">
        <f aca="false">IF(AND(ISNUMBER(E40),ISNUMBER(E41)),E40-E41,"")</f>
        <v/>
      </c>
      <c r="F42" s="27" t="str">
        <f aca="false">IF(AND(ISNUMBER(F40),ISNUMBER(F41)),F40-F41,"")</f>
        <v/>
      </c>
      <c r="G42" s="27" t="str">
        <f aca="false">IF(AND(ISNUMBER(G40),ISNUMBER(G41)),G40-G41,"")</f>
        <v/>
      </c>
      <c r="H42" s="27" t="str">
        <f aca="false">IF(AND(ISNUMBER(H40),ISNUMBER(H41)),H40-H41,"")</f>
        <v/>
      </c>
      <c r="I42" s="27" t="str">
        <f aca="false">IF(AND(ISNUMBER(I40),ISNUMBER(I41)),I40-I41,"")</f>
        <v/>
      </c>
      <c r="J42" s="27" t="str">
        <f aca="false">IF(AND(ISNUMBER(J40),ISNUMBER(J41)),J40-J41,"")</f>
        <v/>
      </c>
      <c r="K42" s="27" t="str">
        <f aca="false">IF(AND(ISNUMBER(K40),ISNUMBER(K41)),K40-K41,"")</f>
        <v/>
      </c>
      <c r="L42" s="27" t="str">
        <f aca="false">IF(AND(ISNUMBER(L40),ISNUMBER(L41)),L40-L41,"")</f>
        <v/>
      </c>
      <c r="M42" s="27" t="str">
        <f aca="false">IF(AND(ISNUMBER(M40),ISNUMBER(M41)),M40-M41,"")</f>
        <v/>
      </c>
      <c r="N42" s="27" t="str">
        <f aca="false">IF(AND(ISNUMBER(N40),ISNUMBER(N41)),N40-N41,"")</f>
        <v/>
      </c>
      <c r="O42" s="27" t="str">
        <f aca="false">IF(AND(ISNUMBER(O40),ISNUMBER(O41)),O40-O41,"")</f>
        <v/>
      </c>
      <c r="P42" s="27" t="str">
        <f aca="false">IF(AND(ISNUMBER(P40),ISNUMBER(P41)),P40-P41,"")</f>
        <v/>
      </c>
      <c r="Q42" s="27" t="str">
        <f aca="false">IF(AND(ISNUMBER(Q40),ISNUMBER(Q41)),Q40-Q41,"")</f>
        <v/>
      </c>
      <c r="R42" s="27" t="str">
        <f aca="false">IF(AND(ISNUMBER(R40),ISNUMBER(R41)),R40-R41,"")</f>
        <v/>
      </c>
      <c r="S42" s="27" t="str">
        <f aca="false">IF(AND(ISNUMBER(S40),ISNUMBER(S41)),S40-S41,"")</f>
        <v/>
      </c>
      <c r="T42" s="27" t="str">
        <f aca="false">IF(AND(ISNUMBER(T40),ISNUMBER(T41)),T40-T41,"")</f>
        <v/>
      </c>
      <c r="U42" s="27" t="str">
        <f aca="false">IF(AND(ISNUMBER(U40),ISNUMBER(U41)),U40-U41,"")</f>
        <v/>
      </c>
      <c r="V42" s="27" t="str">
        <f aca="false">IF(AND(ISNUMBER(V40),ISNUMBER(V41)),V40-V41,"")</f>
        <v/>
      </c>
      <c r="W42" s="27" t="str">
        <f aca="false">IF(AND(ISNUMBER(W40),ISNUMBER(W41)),W40-W41,"")</f>
        <v/>
      </c>
      <c r="X42" s="27" t="str">
        <f aca="false">IF(AND(ISNUMBER(X40),ISNUMBER(X41)),X40-X41,"")</f>
        <v/>
      </c>
      <c r="Y42" s="27" t="str">
        <f aca="false">IF(AND(ISNUMBER(Y40),ISNUMBER(Y41)),Y40-Y41,"")</f>
        <v/>
      </c>
      <c r="Z42" s="27" t="str">
        <f aca="false">IF(AND(ISNUMBER(Z40),ISNUMBER(Z41)),Z40-Z41,"")</f>
        <v/>
      </c>
      <c r="AA42" s="27" t="str">
        <f aca="false">IF(AND(ISNUMBER(AA40),ISNUMBER(AA41)),AA40-AA41,"")</f>
        <v/>
      </c>
      <c r="AB42" s="27" t="str">
        <f aca="false">IF(AND(ISNUMBER(AB40),ISNUMBER(AB41)),AB40-AB41,"")</f>
        <v/>
      </c>
      <c r="AC42" s="27" t="str">
        <f aca="false">IF(AND(ISNUMBER(AC40),ISNUMBER(AC41)),AC40-AC41,"")</f>
        <v/>
      </c>
      <c r="AD42" s="27" t="str">
        <f aca="false">IF(AND(ISNUMBER(AD40),ISNUMBER(AD41)),AD40-AD41,"")</f>
        <v/>
      </c>
      <c r="AE42" s="27" t="str">
        <f aca="false">IF(AND(ISNUMBER(AE40),ISNUMBER(AE41)),AE40-AE41,"")</f>
        <v/>
      </c>
      <c r="AF42" s="27" t="str">
        <f aca="false">IF(AND(ISNUMBER(AF40),ISNUMBER(AF41)),AF40-AF41,"")</f>
        <v/>
      </c>
      <c r="AG42" s="27" t="str">
        <f aca="false">IF(AND(ISNUMBER(AG40),ISNUMBER(AG41)),AG40-AG41,"")</f>
        <v/>
      </c>
      <c r="AH42" s="27" t="str">
        <f aca="false">IF(AND(ISNUMBER(AH40),ISNUMBER(AH41)),AH40-AH41,"")</f>
        <v/>
      </c>
      <c r="AI42" s="27" t="str">
        <f aca="false">IF(AND(ISNUMBER(AI40),ISNUMBER(AI41)),AI40-AI41,"")</f>
        <v/>
      </c>
      <c r="AJ42" s="27" t="str">
        <f aca="false">IF(AND(ISNUMBER(AJ40),ISNUMBER(AJ41)),AJ40-AJ41,"")</f>
        <v/>
      </c>
      <c r="AK42" s="27" t="str">
        <f aca="false">IF(AND(ISNUMBER(AK40),ISNUMBER(AK41)),AK40-AK41,"")</f>
        <v/>
      </c>
      <c r="AL42" s="27" t="str">
        <f aca="false">IF(AND(ISNUMBER(AL40),ISNUMBER(AL41)),AL40-AL41,"")</f>
        <v/>
      </c>
      <c r="AM42" s="27" t="str">
        <f aca="false">IF(AND(ISNUMBER(AM40),ISNUMBER(AM41)),AM40-AM41,"")</f>
        <v/>
      </c>
      <c r="AN42" s="27" t="str">
        <f aca="false">IF(AND(ISNUMBER(AN40),ISNUMBER(AN41)),AN40-AN41,"")</f>
        <v/>
      </c>
      <c r="AO42" s="27" t="str">
        <f aca="false">IF(AND(ISNUMBER(AO40),ISNUMBER(AO41)),AO40-AO41,"")</f>
        <v/>
      </c>
      <c r="AP42" s="27" t="str">
        <f aca="false">IF(AND(ISNUMBER(AP40),ISNUMBER(AP41)),AP40-AP41,"")</f>
        <v/>
      </c>
      <c r="AQ42" s="27" t="str">
        <f aca="false">IF(AND(ISNUMBER(AQ40),ISNUMBER(AQ41)),AQ40-AQ41,"")</f>
        <v/>
      </c>
      <c r="AR42" s="27" t="str">
        <f aca="false">IF(AND(ISNUMBER(AR40),ISNUMBER(AR41)),AR40-AR41,"")</f>
        <v/>
      </c>
      <c r="AS42" s="27" t="str">
        <f aca="false">IF(AND(ISNUMBER(AS40),ISNUMBER(AS41)),AS40-AS41,"")</f>
        <v/>
      </c>
      <c r="AT42" s="27" t="str">
        <f aca="false">IF(AND(ISNUMBER(AT40),ISNUMBER(AT41)),AT40-AT41,"")</f>
        <v/>
      </c>
      <c r="AU42" s="27" t="str">
        <f aca="false">IF(AND(ISNUMBER(AU40),ISNUMBER(AU41)),AU40-AU41,"")</f>
        <v/>
      </c>
      <c r="AV42" s="27" t="str">
        <f aca="false">IF(AND(ISNUMBER(AV40),ISNUMBER(AV41)),AV40-AV41,"")</f>
        <v/>
      </c>
      <c r="AW42" s="27" t="str">
        <f aca="false">IF(AND(ISNUMBER(AW40),ISNUMBER(AW41)),AW40-AW41,"")</f>
        <v/>
      </c>
      <c r="AX42" s="27" t="str">
        <f aca="false">IF(AND(ISNUMBER(AX40),ISNUMBER(AX41)),AX40-AX41,"")</f>
        <v/>
      </c>
      <c r="AY42" s="27" t="str">
        <f aca="false">IF(AND(ISNUMBER(AY40),ISNUMBER(AY41)),AY40-AY41,"")</f>
        <v/>
      </c>
      <c r="AZ42" s="27" t="str">
        <f aca="false">IF(AND(ISNUMBER(AZ40),ISNUMBER(AZ41)),AZ40-AZ41,"")</f>
        <v/>
      </c>
      <c r="BA42" s="27" t="str">
        <f aca="false">IF(AND(ISNUMBER(BA40),ISNUMBER(BA41)),BA40-BA41,"")</f>
        <v/>
      </c>
      <c r="BB42" s="27" t="str">
        <f aca="false">IF(AND(ISNUMBER(BB40),ISNUMBER(BB41)),BB40-BB41,"")</f>
        <v/>
      </c>
      <c r="BC42" s="27" t="str">
        <f aca="false">IF(AND(ISNUMBER(BC40),ISNUMBER(BC41)),BC40-BC41,"")</f>
        <v/>
      </c>
      <c r="BD42" s="27" t="str">
        <f aca="false">IF(AND(ISNUMBER(BD40),ISNUMBER(BD41)),BD40-BD41,"")</f>
        <v/>
      </c>
      <c r="BE42" s="27" t="str">
        <f aca="false">IF(AND(ISNUMBER(BE40),ISNUMBER(BE41)),BE40-BE41,"")</f>
        <v/>
      </c>
      <c r="BF42" s="27" t="str">
        <f aca="false">IF(AND(ISNUMBER(BF40),ISNUMBER(BF41)),BF40-BF41,"")</f>
        <v/>
      </c>
      <c r="BG42" s="27" t="str">
        <f aca="false">IF(AND(ISNUMBER(BG40),ISNUMBER(BG41)),BG40-BG41,"")</f>
        <v/>
      </c>
      <c r="BH42" s="27" t="str">
        <f aca="false">IF(AND(ISNUMBER(BH40),ISNUMBER(BH41)),BH40-BH41,"")</f>
        <v/>
      </c>
      <c r="BI42" s="27" t="str">
        <f aca="false">IF(AND(ISNUMBER(BI40),ISNUMBER(BI41)),BI40-BI41,"")</f>
        <v/>
      </c>
      <c r="BJ42" s="27" t="str">
        <f aca="false">IF(AND(ISNUMBER(BJ40),ISNUMBER(BJ41)),BJ40-BJ41,"")</f>
        <v/>
      </c>
      <c r="BK42" s="27" t="str">
        <f aca="false">IF(AND(ISNUMBER(BK40),ISNUMBER(BK41)),BK40-BK41,"")</f>
        <v/>
      </c>
      <c r="BL42" s="27" t="str">
        <f aca="false">IF(AND(ISNUMBER(BL40),ISNUMBER(BL41)),BL40-BL41,"")</f>
        <v/>
      </c>
      <c r="BM42" s="27" t="str">
        <f aca="false">IF(AND(ISNUMBER(BM40),ISNUMBER(BM41)),BM40-BM41,"")</f>
        <v/>
      </c>
      <c r="BN42" s="27" t="str">
        <f aca="false">IF(AND(ISNUMBER(BN40),ISNUMBER(BN41)),BN40-BN41,"")</f>
        <v/>
      </c>
      <c r="BO42" s="27" t="str">
        <f aca="false">IF(AND(ISNUMBER(BO40),ISNUMBER(BO41)),BO40-BO41,"")</f>
        <v/>
      </c>
      <c r="BP42" s="27" t="str">
        <f aca="false">IF(AND(ISNUMBER(BP40),ISNUMBER(BP41)),BP40-BP41,"")</f>
        <v/>
      </c>
      <c r="BQ42" s="27" t="str">
        <f aca="false">IF(AND(ISNUMBER(BQ40),ISNUMBER(BQ41)),BQ40-BQ41,"")</f>
        <v/>
      </c>
      <c r="BR42" s="27" t="str">
        <f aca="false">IF(AND(ISNUMBER(BR40),ISNUMBER(BR41)),BR40-BR41,"")</f>
        <v/>
      </c>
      <c r="BS42" s="27" t="str">
        <f aca="false">IF(AND(ISNUMBER(BS40),ISNUMBER(BS41)),BS40-BS41,"")</f>
        <v/>
      </c>
      <c r="BT42" s="27" t="str">
        <f aca="false">IF(AND(ISNUMBER(BT40),ISNUMBER(BT41)),BT40-BT41,"")</f>
        <v/>
      </c>
      <c r="BU42" s="27" t="str">
        <f aca="false">IF(AND(ISNUMBER(BU40),ISNUMBER(BU41)),BU40-BU41,"")</f>
        <v/>
      </c>
      <c r="BV42" s="27" t="str">
        <f aca="false">IF(AND(ISNUMBER(BV40),ISNUMBER(BV41)),BV40-BV41,"")</f>
        <v/>
      </c>
      <c r="BW42" s="27" t="str">
        <f aca="false">IF(AND(ISNUMBER(BW40),ISNUMBER(BW41)),BW40-BW41,"")</f>
        <v/>
      </c>
      <c r="BX42" s="27" t="str">
        <f aca="false">IF(AND(ISNUMBER(BX40),ISNUMBER(BX41)),BX40-BX41,"")</f>
        <v/>
      </c>
      <c r="BY42" s="27" t="str">
        <f aca="false">IF(AND(ISNUMBER(BY40),ISNUMBER(BY41)),BY40-BY41,"")</f>
        <v/>
      </c>
      <c r="BZ42" s="27" t="str">
        <f aca="false">IF(AND(ISNUMBER(BZ40),ISNUMBER(BZ41)),BZ40-BZ41,"")</f>
        <v/>
      </c>
      <c r="CA42" s="27" t="str">
        <f aca="false">IF(AND(ISNUMBER(CA40),ISNUMBER(CA41)),CA40-CA41,"")</f>
        <v/>
      </c>
      <c r="CB42" s="27" t="str">
        <f aca="false">IF(AND(ISNUMBER(CB40),ISNUMBER(CB41)),CB40-CB41,"")</f>
        <v/>
      </c>
      <c r="CC42" s="33"/>
      <c r="CD42" s="33"/>
      <c r="CE42" s="33"/>
      <c r="CF42" s="33"/>
      <c r="CG42" s="33"/>
      <c r="CH42" s="33"/>
      <c r="CI42" s="33"/>
      <c r="CJ42" s="33"/>
      <c r="CK42" s="23"/>
      <c r="CS42" s="29" t="s">
        <v>194</v>
      </c>
      <c r="CU42" s="38" t="n">
        <v>0.15</v>
      </c>
      <c r="CW42" s="16"/>
    </row>
    <row r="43" customFormat="false" ht="15" hidden="false" customHeight="true" outlineLevel="0" collapsed="false">
      <c r="B43" s="29" t="s">
        <v>126</v>
      </c>
      <c r="T43" s="34" t="n">
        <v>58.268</v>
      </c>
      <c r="U43" s="34" t="n">
        <v>57.376</v>
      </c>
      <c r="V43" s="34" t="n">
        <v>55.595</v>
      </c>
      <c r="W43" s="34" t="n">
        <v>65.548</v>
      </c>
      <c r="X43" s="34" t="n">
        <v>236.787</v>
      </c>
      <c r="Y43" s="34" t="n">
        <v>62.128</v>
      </c>
      <c r="Z43" s="34" t="n">
        <v>63.76</v>
      </c>
      <c r="AA43" s="34" t="n">
        <v>62.458</v>
      </c>
      <c r="AB43" s="34" t="n">
        <v>73.506</v>
      </c>
      <c r="AC43" s="34" t="n">
        <v>261.852</v>
      </c>
      <c r="AD43" s="34" t="n">
        <v>67.984</v>
      </c>
      <c r="AE43" s="34" t="n">
        <v>64.069</v>
      </c>
      <c r="AF43" s="34" t="n">
        <v>63.883</v>
      </c>
      <c r="AG43" s="34" t="n">
        <v>75.286</v>
      </c>
      <c r="AH43" s="34" t="n">
        <v>255.413</v>
      </c>
      <c r="AI43" s="34" t="n">
        <v>67.657</v>
      </c>
      <c r="AJ43" s="34" t="n">
        <v>67.031</v>
      </c>
      <c r="AK43" s="34" t="n">
        <v>69.737</v>
      </c>
      <c r="AL43" s="34" t="n">
        <v>78.148</v>
      </c>
      <c r="AM43" s="34" t="n">
        <v>282.573</v>
      </c>
      <c r="AN43" s="34" t="n">
        <v>72.742</v>
      </c>
      <c r="AO43" s="34" t="n">
        <v>71.829</v>
      </c>
      <c r="AP43" s="34" t="n">
        <v>73.912</v>
      </c>
      <c r="AQ43" s="34" t="n">
        <v>88.2</v>
      </c>
      <c r="AR43" s="34" t="n">
        <v>306.683</v>
      </c>
      <c r="AS43" s="34" t="n">
        <v>79.004</v>
      </c>
      <c r="AT43" s="34" t="n">
        <v>85.277</v>
      </c>
      <c r="AU43" s="34" t="n">
        <v>79.394</v>
      </c>
      <c r="AV43" s="34" t="n">
        <v>63.063</v>
      </c>
      <c r="AW43" s="34" t="n">
        <v>306.738</v>
      </c>
      <c r="AX43" s="34" t="n">
        <v>65.098</v>
      </c>
      <c r="AY43" s="34" t="n">
        <v>65.61</v>
      </c>
      <c r="AZ43" s="34" t="n">
        <v>67.16</v>
      </c>
      <c r="BA43" s="34" t="n">
        <v>78.329</v>
      </c>
      <c r="BB43" s="34" t="n">
        <v>276.197</v>
      </c>
      <c r="BC43" s="34" t="n">
        <v>84.606</v>
      </c>
      <c r="BD43" s="34" t="n">
        <v>79.097</v>
      </c>
      <c r="BE43" s="34" t="n">
        <v>84.712</v>
      </c>
      <c r="BF43" s="34" t="n">
        <v>101.091</v>
      </c>
      <c r="BG43" s="34" t="n">
        <v>349.506</v>
      </c>
      <c r="BH43" s="34" t="n">
        <v>104.969</v>
      </c>
      <c r="BI43" s="34" t="n">
        <v>100.034</v>
      </c>
      <c r="BJ43" s="34" t="n">
        <v>106.451</v>
      </c>
      <c r="BK43" s="34" t="n">
        <v>114.871</v>
      </c>
      <c r="BL43" s="34" t="n">
        <v>426.325</v>
      </c>
      <c r="BM43" s="34" t="n">
        <v>116.553</v>
      </c>
      <c r="BN43" s="34" t="n">
        <v>119.921</v>
      </c>
      <c r="BO43" s="34" t="n">
        <v>123.682</v>
      </c>
      <c r="BP43" s="34" t="n">
        <v>133.476</v>
      </c>
      <c r="BQ43" s="34" t="n">
        <v>493.632</v>
      </c>
      <c r="BR43" s="34" t="n">
        <v>130.652</v>
      </c>
      <c r="BS43" s="34" t="n">
        <v>128.86</v>
      </c>
      <c r="BT43" s="34" t="n">
        <v>135.724</v>
      </c>
      <c r="BU43" s="34" t="n">
        <v>147.133</v>
      </c>
      <c r="BV43" s="34" t="n">
        <v>542.369</v>
      </c>
      <c r="BW43" s="34" t="n">
        <v>137.88</v>
      </c>
      <c r="BX43" s="34" t="n">
        <v>140.701</v>
      </c>
      <c r="BY43" s="34" t="n">
        <v>152.375</v>
      </c>
      <c r="BZ43" s="34" t="n">
        <v>164.827</v>
      </c>
      <c r="CA43" s="34" t="n">
        <v>595.783</v>
      </c>
      <c r="CB43" s="34" t="n">
        <v>163.874</v>
      </c>
      <c r="CC43" s="35" t="n">
        <f aca="false">CC39*CC45</f>
        <v>158.292935053961</v>
      </c>
      <c r="CD43" s="35" t="n">
        <f aca="false">CD39*CD45</f>
        <v>171.297480366032</v>
      </c>
      <c r="CE43" s="35" t="n">
        <f aca="false">CE39*CE45</f>
        <v>185.249044468345</v>
      </c>
      <c r="CF43" s="35" t="n">
        <f aca="false">SUM(CB43,CC43,CD43,CE43)</f>
        <v>678.713459888338</v>
      </c>
      <c r="CG43" s="35" t="n">
        <f aca="false">CG39*CG45</f>
        <v>745.0180249732</v>
      </c>
      <c r="CH43" s="35" t="n">
        <f aca="false">CH39*CH45</f>
        <v>811.134604355437</v>
      </c>
      <c r="CI43" s="35" t="n">
        <f aca="false">CI39*CI45</f>
        <v>881.30263398522</v>
      </c>
      <c r="CJ43" s="35" t="n">
        <f aca="false">CJ39*CJ45</f>
        <v>948.640487935229</v>
      </c>
      <c r="CK43" s="23"/>
      <c r="CM43" s="24" t="n">
        <f aca="false">IFERROR((CJ43/CA43)^(1/5)-1,"n/m")</f>
        <v>0.0974954031677584</v>
      </c>
      <c r="CN43" s="24" t="n">
        <f aca="false">IFERROR((CA43/BB43)^(1/5)-1,"n/m")</f>
        <v>0.166202129146333</v>
      </c>
      <c r="CO43" s="24" t="n">
        <f aca="false">IFERROR((CA43/AC43)^(1/10)-1,"n/m")</f>
        <v>0.0856834590081057</v>
      </c>
      <c r="CP43" s="24" t="str">
        <f aca="false">IFERROR((CA43/C43)^(1/20)-1,"n/m")</f>
        <v>n/m</v>
      </c>
      <c r="CS43" s="29" t="s">
        <v>195</v>
      </c>
      <c r="CU43" s="38" t="n">
        <v>0.45</v>
      </c>
      <c r="CW43" s="16"/>
    </row>
    <row r="44" customFormat="false" ht="15" hidden="false" customHeight="true" outlineLevel="1" collapsed="false">
      <c r="B44" s="29" t="s">
        <v>128</v>
      </c>
      <c r="CC44" s="28" t="n">
        <f aca="false">BX45+($CB$45-$BW$45)</f>
        <v>0.489302297465726</v>
      </c>
      <c r="CD44" s="28" t="n">
        <f aca="false">BY45+($CB$45-$BW$45)</f>
        <v>0.504370971017525</v>
      </c>
      <c r="CE44" s="28" t="n">
        <f aca="false">BZ45+($CB$45-$BW$45)</f>
        <v>0.509639743037182</v>
      </c>
      <c r="CF44" s="33"/>
      <c r="CG44" s="33"/>
      <c r="CH44" s="33"/>
      <c r="CI44" s="33"/>
      <c r="CJ44" s="33"/>
      <c r="CK44" s="23" t="s">
        <v>129</v>
      </c>
      <c r="CS44" s="29" t="s">
        <v>196</v>
      </c>
      <c r="CU44" s="38" t="n">
        <v>0.7</v>
      </c>
      <c r="CW44" s="16" t="s">
        <v>197</v>
      </c>
    </row>
    <row r="45" customFormat="false" ht="15" hidden="false" customHeight="true" outlineLevel="0" collapsed="false">
      <c r="B45" s="29" t="s">
        <v>132</v>
      </c>
      <c r="C45" s="37" t="str">
        <f aca="false">IF(AND(ISNUMBER(C43),ISNUMBER(C39)),IFERROR(C43/C39,""),"")</f>
        <v/>
      </c>
      <c r="D45" s="37" t="str">
        <f aca="false">IF(AND(ISNUMBER(D43),ISNUMBER(D39)),IFERROR(D43/D39,""),"")</f>
        <v/>
      </c>
      <c r="E45" s="37" t="str">
        <f aca="false">IF(AND(ISNUMBER(E43),ISNUMBER(E39)),IFERROR(E43/E39,""),"")</f>
        <v/>
      </c>
      <c r="F45" s="37" t="str">
        <f aca="false">IF(AND(ISNUMBER(F43),ISNUMBER(F39)),IFERROR(F43/F39,""),"")</f>
        <v/>
      </c>
      <c r="G45" s="37" t="str">
        <f aca="false">IF(AND(ISNUMBER(G43),ISNUMBER(G39)),IFERROR(G43/G39,""),"")</f>
        <v/>
      </c>
      <c r="H45" s="37" t="str">
        <f aca="false">IF(AND(ISNUMBER(H43),ISNUMBER(H39)),IFERROR(H43/H39,""),"")</f>
        <v/>
      </c>
      <c r="I45" s="37" t="str">
        <f aca="false">IF(AND(ISNUMBER(I43),ISNUMBER(I39)),IFERROR(I43/I39,""),"")</f>
        <v/>
      </c>
      <c r="J45" s="37" t="str">
        <f aca="false">IF(AND(ISNUMBER(J43),ISNUMBER(J39)),IFERROR(J43/J39,""),"")</f>
        <v/>
      </c>
      <c r="K45" s="37" t="str">
        <f aca="false">IF(AND(ISNUMBER(K43),ISNUMBER(K39)),IFERROR(K43/K39,""),"")</f>
        <v/>
      </c>
      <c r="L45" s="37" t="str">
        <f aca="false">IF(AND(ISNUMBER(L43),ISNUMBER(L39)),IFERROR(L43/L39,""),"")</f>
        <v/>
      </c>
      <c r="M45" s="37" t="str">
        <f aca="false">IF(AND(ISNUMBER(M43),ISNUMBER(M39)),IFERROR(M43/M39,""),"")</f>
        <v/>
      </c>
      <c r="N45" s="37" t="str">
        <f aca="false">IF(AND(ISNUMBER(N43),ISNUMBER(N39)),IFERROR(N43/N39,""),"")</f>
        <v/>
      </c>
      <c r="O45" s="37" t="str">
        <f aca="false">IF(AND(ISNUMBER(O43),ISNUMBER(O39)),IFERROR(O43/O39,""),"")</f>
        <v/>
      </c>
      <c r="P45" s="37" t="str">
        <f aca="false">IF(AND(ISNUMBER(P43),ISNUMBER(P39)),IFERROR(P43/P39,""),"")</f>
        <v/>
      </c>
      <c r="Q45" s="37" t="str">
        <f aca="false">IF(AND(ISNUMBER(Q43),ISNUMBER(Q39)),IFERROR(Q43/Q39,""),"")</f>
        <v/>
      </c>
      <c r="R45" s="37" t="str">
        <f aca="false">IF(AND(ISNUMBER(R43),ISNUMBER(R39)),IFERROR(R43/R39,""),"")</f>
        <v/>
      </c>
      <c r="S45" s="37" t="str">
        <f aca="false">IF(AND(ISNUMBER(S43),ISNUMBER(S39)),IFERROR(S43/S39,""),"")</f>
        <v/>
      </c>
      <c r="T45" s="37" t="n">
        <f aca="false">IF(AND(ISNUMBER(T43),ISNUMBER(T39)),IFERROR(T43/T39,""),"")</f>
        <v>0.392496042571823</v>
      </c>
      <c r="U45" s="37" t="n">
        <f aca="false">IF(AND(ISNUMBER(U43),ISNUMBER(U39)),IFERROR(U43/U39,""),"")</f>
        <v>0.383444828346688</v>
      </c>
      <c r="V45" s="37" t="n">
        <f aca="false">IF(AND(ISNUMBER(V43),ISNUMBER(V39)),IFERROR(V43/V39,""),"")</f>
        <v>0.380852885768111</v>
      </c>
      <c r="W45" s="37" t="n">
        <f aca="false">IF(AND(ISNUMBER(W43),ISNUMBER(W39)),IFERROR(W43/W39,""),"")</f>
        <v>0.393949046500027</v>
      </c>
      <c r="X45" s="37" t="n">
        <f aca="false">IF(AND(ISNUMBER(X43),ISNUMBER(X39)),IFERROR(X43/X39,""),"")</f>
        <v>0.387889262019821</v>
      </c>
      <c r="Y45" s="37" t="n">
        <f aca="false">IF(AND(ISNUMBER(Y43),ISNUMBER(Y39)),IFERROR(Y43/Y39,""),"")</f>
        <v>0.385902580220381</v>
      </c>
      <c r="Z45" s="37" t="n">
        <f aca="false">IF(AND(ISNUMBER(Z43),ISNUMBER(Z39)),IFERROR(Z43/Z39,""),"")</f>
        <v>0.39617740993426</v>
      </c>
      <c r="AA45" s="37" t="n">
        <f aca="false">IF(AND(ISNUMBER(AA43),ISNUMBER(AA39)),IFERROR(AA43/AA39,""),"")</f>
        <v>0.389257980480387</v>
      </c>
      <c r="AB45" s="37" t="n">
        <f aca="false">IF(AND(ISNUMBER(AB43),ISNUMBER(AB39)),IFERROR(AB43/AB39,""),"")</f>
        <v>0.400603854203</v>
      </c>
      <c r="AC45" s="37" t="n">
        <f aca="false">IF(AND(ISNUMBER(AC43),ISNUMBER(AC39)),IFERROR(AC43/AC39,""),"")</f>
        <v>0.393245568981519</v>
      </c>
      <c r="AD45" s="37" t="n">
        <f aca="false">IF(AND(ISNUMBER(AD43),ISNUMBER(AD39)),IFERROR(AD43/AD39,""),"")</f>
        <v>0.400624650107546</v>
      </c>
      <c r="AE45" s="37" t="n">
        <f aca="false">IF(AND(ISNUMBER(AE43),ISNUMBER(AE39)),IFERROR(AE43/AE39,""),"")</f>
        <v>0.38465787309154</v>
      </c>
      <c r="AF45" s="37" t="n">
        <f aca="false">IF(AND(ISNUMBER(AF43),ISNUMBER(AF39)),IFERROR(AF43/AF39,""),"")</f>
        <v>0.390726492067181</v>
      </c>
      <c r="AG45" s="37" t="n">
        <f aca="false">IF(AND(ISNUMBER(AG43),ISNUMBER(AG39)),IFERROR(AG43/AG39,""),"")</f>
        <v>0.42797048557818</v>
      </c>
      <c r="AH45" s="37" t="n">
        <f aca="false">IF(AND(ISNUMBER(AH43),ISNUMBER(AH39)),IFERROR(AH43/AH39,""),"")</f>
        <v>0.416893274877664</v>
      </c>
      <c r="AI45" s="37" t="n">
        <f aca="false">IF(AND(ISNUMBER(AI43),ISNUMBER(AI39)),IFERROR(AI43/AI39,""),"")</f>
        <v>0.425149399573952</v>
      </c>
      <c r="AJ45" s="37" t="n">
        <f aca="false">IF(AND(ISNUMBER(AJ43),ISNUMBER(AJ39)),IFERROR(AJ43/AJ39,""),"")</f>
        <v>0.420750346801579</v>
      </c>
      <c r="AK45" s="37" t="n">
        <f aca="false">IF(AND(ISNUMBER(AK43),ISNUMBER(AK39)),IFERROR(AK43/AK39,""),"")</f>
        <v>0.416850473714098</v>
      </c>
      <c r="AL45" s="37" t="n">
        <f aca="false">IF(AND(ISNUMBER(AL43),ISNUMBER(AL39)),IFERROR(AL43/AL39,""),"")</f>
        <v>0.436442026840615</v>
      </c>
      <c r="AM45" s="37" t="n">
        <f aca="false">IF(AND(ISNUMBER(AM43),ISNUMBER(AM39)),IFERROR(AM43/AM39,""),"")</f>
        <v>0.425048360263657</v>
      </c>
      <c r="AN45" s="37" t="n">
        <f aca="false">IF(AND(ISNUMBER(AN43),ISNUMBER(AN39)),IFERROR(AN43/AN39,""),"")</f>
        <v>0.42885272963094</v>
      </c>
      <c r="AO45" s="37" t="n">
        <f aca="false">IF(AND(ISNUMBER(AO43),ISNUMBER(AO39)),IFERROR(AO43/AO39,""),"")</f>
        <v>0.412473728336645</v>
      </c>
      <c r="AP45" s="37" t="n">
        <f aca="false">IF(AND(ISNUMBER(AP43),ISNUMBER(AP39)),IFERROR(AP43/AP39,""),"")</f>
        <v>0.422745627380775</v>
      </c>
      <c r="AQ45" s="37" t="n">
        <f aca="false">IF(AND(ISNUMBER(AQ43),ISNUMBER(AQ39)),IFERROR(AQ43/AQ39,""),"")</f>
        <v>0.437059904956814</v>
      </c>
      <c r="AR45" s="37" t="n">
        <f aca="false">IF(AND(ISNUMBER(AR43),ISNUMBER(AR39)),IFERROR(AR43/AR39,""),"")</f>
        <v>0.425710331578297</v>
      </c>
      <c r="AS45" s="37" t="n">
        <f aca="false">IF(AND(ISNUMBER(AS43),ISNUMBER(AS39)),IFERROR(AS43/AS39,""),"")</f>
        <v>0.428154908357811</v>
      </c>
      <c r="AT45" s="37" t="n">
        <f aca="false">IF(AND(ISNUMBER(AT43),ISNUMBER(AT39)),IFERROR(AT43/AT39,""),"")</f>
        <v>0.417809460816737</v>
      </c>
      <c r="AU45" s="37" t="n">
        <f aca="false">IF(AND(ISNUMBER(AU43),ISNUMBER(AU39)),IFERROR(AU43/AU39,""),"")</f>
        <v>0.41332528138438</v>
      </c>
      <c r="AV45" s="37" t="n">
        <f aca="false">IF(AND(ISNUMBER(AV43),ISNUMBER(AV39)),IFERROR(AV43/AV39,""),"")</f>
        <v>0.413951320695269</v>
      </c>
      <c r="AW45" s="37" t="n">
        <f aca="false">IF(AND(ISNUMBER(AW43),ISNUMBER(AW39)),IFERROR(AW43/AW39,""),"")</f>
        <v>0.418436765490269</v>
      </c>
      <c r="AX45" s="37" t="n">
        <f aca="false">IF(AND(ISNUMBER(AX43),ISNUMBER(AX39)),IFERROR(AX43/AX39,""),"")</f>
        <v>0.440795487632294</v>
      </c>
      <c r="AY45" s="37" t="n">
        <f aca="false">IF(AND(ISNUMBER(AY43),ISNUMBER(AY39)),IFERROR(AY43/AY39,""),"")</f>
        <v>0.431244700639538</v>
      </c>
      <c r="AZ45" s="37" t="n">
        <f aca="false">IF(AND(ISNUMBER(AZ43),ISNUMBER(AZ39)),IFERROR(AZ43/AZ39,""),"")</f>
        <v>0.417877386959687</v>
      </c>
      <c r="BA45" s="37" t="n">
        <f aca="false">IF(AND(ISNUMBER(BA43),ISNUMBER(BA39)),IFERROR(BA43/BA39,""),"")</f>
        <v>0.430672546130331</v>
      </c>
      <c r="BB45" s="37" t="n">
        <f aca="false">IF(AND(ISNUMBER(BB43),ISNUMBER(BB39)),IFERROR(BB43/BB39,""),"")</f>
        <v>0.429934139351854</v>
      </c>
      <c r="BC45" s="37" t="n">
        <f aca="false">IF(AND(ISNUMBER(BC43),ISNUMBER(BC39)),IFERROR(BC43/BC39,""),"")</f>
        <v>0.44609771272501</v>
      </c>
      <c r="BD45" s="37" t="n">
        <f aca="false">IF(AND(ISNUMBER(BD43),ISNUMBER(BD39)),IFERROR(BD43/BD39,""),"")</f>
        <v>0.427898295915607</v>
      </c>
      <c r="BE45" s="37" t="n">
        <f aca="false">IF(AND(ISNUMBER(BE43),ISNUMBER(BE39)),IFERROR(BE43/BE39,""),"")</f>
        <v>0.436066383889964</v>
      </c>
      <c r="BF45" s="37" t="n">
        <f aca="false">IF(AND(ISNUMBER(BF43),ISNUMBER(BF39)),IFERROR(BF43/BF39,""),"")</f>
        <v>0.446813024587954</v>
      </c>
      <c r="BG45" s="37" t="n">
        <f aca="false">IF(AND(ISNUMBER(BG43),ISNUMBER(BG39)),IFERROR(BG43/BG39,""),"")</f>
        <v>0.439618576113084</v>
      </c>
      <c r="BH45" s="37" t="n">
        <f aca="false">IF(AND(ISNUMBER(BH43),ISNUMBER(BH39)),IFERROR(BH43/BH39,""),"")</f>
        <v>0.447588915278376</v>
      </c>
      <c r="BI45" s="37" t="n">
        <f aca="false">IF(AND(ISNUMBER(BI43),ISNUMBER(BI39)),IFERROR(BI43/BI39,""),"")</f>
        <v>0.437026260719887</v>
      </c>
      <c r="BJ45" s="37" t="n">
        <f aca="false">IF(AND(ISNUMBER(BJ43),ISNUMBER(BJ39)),IFERROR(BJ43/BJ39,""),"")</f>
        <v>0.439487895101892</v>
      </c>
      <c r="BK45" s="37" t="n">
        <f aca="false">IF(AND(ISNUMBER(BK43),ISNUMBER(BK39)),IFERROR(BK43/BK39,""),"")</f>
        <v>0.439262128645668</v>
      </c>
      <c r="BL45" s="37" t="n">
        <f aca="false">IF(AND(ISNUMBER(BL43),ISNUMBER(BL39)),IFERROR(BL43/BL39,""),"")</f>
        <v>0.440808649806699</v>
      </c>
      <c r="BM45" s="37" t="n">
        <f aca="false">IF(AND(ISNUMBER(BM43),ISNUMBER(BM39)),IFERROR(BM43/BM39,""),"")</f>
        <v>0.457407814388647</v>
      </c>
      <c r="BN45" s="37" t="n">
        <f aca="false">IF(AND(ISNUMBER(BN43),ISNUMBER(BN39)),IFERROR(BN43/BN39,""),"")</f>
        <v>0.46081987749487</v>
      </c>
      <c r="BO45" s="37" t="n">
        <f aca="false">IF(AND(ISNUMBER(BO43),ISNUMBER(BO39)),IFERROR(BO43/BO39,""),"")</f>
        <v>0.463351677786977</v>
      </c>
      <c r="BP45" s="37" t="n">
        <f aca="false">IF(AND(ISNUMBER(BP43),ISNUMBER(BP39)),IFERROR(BP43/BP39,""),"")</f>
        <v>0.47313962432694</v>
      </c>
      <c r="BQ45" s="37" t="n">
        <f aca="false">IF(AND(ISNUMBER(BQ43),ISNUMBER(BQ39)),IFERROR(BQ43/BQ39,""),"")</f>
        <v>0.463904097616537</v>
      </c>
      <c r="BR45" s="37" t="n">
        <f aca="false">IF(AND(ISNUMBER(BR43),ISNUMBER(BR39)),IFERROR(BR43/BR39,""),"")</f>
        <v>0.474785686511787</v>
      </c>
      <c r="BS45" s="37" t="n">
        <f aca="false">IF(AND(ISNUMBER(BS43),ISNUMBER(BS39)),IFERROR(BS43/BS39,""),"")</f>
        <v>0.473739549862871</v>
      </c>
      <c r="BT45" s="37" t="n">
        <f aca="false">IF(AND(ISNUMBER(BT43),ISNUMBER(BT39)),IFERROR(BT43/BT39,""),"")</f>
        <v>0.474135039964228</v>
      </c>
      <c r="BU45" s="37" t="n">
        <f aca="false">IF(AND(ISNUMBER(BU43),ISNUMBER(BU39)),IFERROR(BU43/BU39,""),"")</f>
        <v>0.470712628969048</v>
      </c>
      <c r="BV45" s="37" t="n">
        <f aca="false">IF(AND(ISNUMBER(BV43),ISNUMBER(BV39)),IFERROR(BV43/BV39,""),"")</f>
        <v>0.473263945243443</v>
      </c>
      <c r="BW45" s="37" t="n">
        <f aca="false">IF(AND(ISNUMBER(BW43),ISNUMBER(BW39)),IFERROR(BW43/BW39,""),"")</f>
        <v>0.471547440312723</v>
      </c>
      <c r="BX45" s="37" t="n">
        <f aca="false">IF(AND(ISNUMBER(BX43),ISNUMBER(BX39)),IFERROR(BX43/BX39,""),"")</f>
        <v>0.465354950521247</v>
      </c>
      <c r="BY45" s="37" t="n">
        <f aca="false">IF(AND(ISNUMBER(BY43),ISNUMBER(BY39)),IFERROR(BY43/BY39,""),"")</f>
        <v>0.480423624073046</v>
      </c>
      <c r="BZ45" s="37" t="n">
        <f aca="false">IF(AND(ISNUMBER(BZ43),ISNUMBER(BZ39)),IFERROR(BZ43/BZ39,""),"")</f>
        <v>0.485692396092703</v>
      </c>
      <c r="CA45" s="37" t="n">
        <f aca="false">IF(AND(ISNUMBER(CA43),ISNUMBER(CA39)),IFERROR(CA43/CA39,""),"")</f>
        <v>0.476137311753367</v>
      </c>
      <c r="CB45" s="37" t="n">
        <f aca="false">IF(AND(ISNUMBER(CB43),ISNUMBER(CB39)),IFERROR(CB43/CB39,""),"")</f>
        <v>0.495494787257202</v>
      </c>
      <c r="CC45" s="28" t="n">
        <f aca="false">CC44+CC120</f>
        <v>0.476799708861599</v>
      </c>
      <c r="CD45" s="28" t="n">
        <f aca="false">CD44+CD120</f>
        <v>0.491868382413398</v>
      </c>
      <c r="CE45" s="28" t="n">
        <f aca="false">CE44+CE120</f>
        <v>0.497137154433055</v>
      </c>
      <c r="CF45" s="28" t="n">
        <f aca="false">IF(AND(ISNUMBER(CF43),ISNUMBER(CF39)),IFERROR(CF43/CF39,""),"")</f>
        <v>0.490538533781946</v>
      </c>
      <c r="CG45" s="28" t="n">
        <f aca="false">CHOOSE(MATCH($CK$2,{"Bull","Base","Bear"},0),$CT$106,$CU$106,$CV$106)</f>
        <v>0.494</v>
      </c>
      <c r="CH45" s="28" t="n">
        <f aca="false">CHOOSE(MATCH($CK$2,{"Bull","Base","Bear"},0),$CT$107,$CU$107,$CV$107)</f>
        <v>0.498</v>
      </c>
      <c r="CI45" s="28" t="n">
        <f aca="false">CHOOSE(MATCH($CK$2,{"Bull","Base","Bear"},0),$CT$108,$CU$108,$CV$108)</f>
        <v>0.501</v>
      </c>
      <c r="CJ45" s="28" t="n">
        <f aca="false">CHOOSE(MATCH($CK$2,{"Bull","Base","Bear"},0),$CT$109,$CU$109,$CV$109)</f>
        <v>0.504</v>
      </c>
      <c r="CK45" s="23" t="s">
        <v>198</v>
      </c>
      <c r="CS45" s="29" t="s">
        <v>199</v>
      </c>
      <c r="CU45" s="36" t="n">
        <v>10</v>
      </c>
      <c r="CW45" s="16"/>
    </row>
    <row r="46" customFormat="false" ht="15" hidden="false" customHeight="true" outlineLevel="0" collapsed="false">
      <c r="B46" s="29" t="s">
        <v>136</v>
      </c>
      <c r="T46" s="34" t="n">
        <v>48.743</v>
      </c>
      <c r="U46" s="34" t="n">
        <v>47.137</v>
      </c>
      <c r="V46" s="34" t="n">
        <v>45.441</v>
      </c>
      <c r="W46" s="34" t="n">
        <v>50.207</v>
      </c>
      <c r="X46" s="34" t="n">
        <v>191.528</v>
      </c>
      <c r="Y46" s="34" t="n">
        <v>50.594</v>
      </c>
      <c r="Z46" s="34" t="n">
        <v>47.553</v>
      </c>
      <c r="AA46" s="34" t="n">
        <v>49.642</v>
      </c>
      <c r="AB46" s="34" t="n">
        <v>54.761</v>
      </c>
      <c r="AC46" s="34" t="n">
        <v>202.55</v>
      </c>
      <c r="AD46" s="34" t="n">
        <v>57.779</v>
      </c>
      <c r="AE46" s="34" t="n">
        <v>53.351</v>
      </c>
      <c r="AF46" s="34" t="n">
        <v>53.966</v>
      </c>
      <c r="AG46" s="34" t="n">
        <v>55.721</v>
      </c>
      <c r="AH46" s="34" t="n">
        <v>211.657</v>
      </c>
      <c r="AI46" s="34" t="n">
        <v>56.879</v>
      </c>
      <c r="AJ46" s="34" t="n">
        <v>53.609</v>
      </c>
      <c r="AK46" s="34" t="n">
        <v>59.705</v>
      </c>
      <c r="AL46" s="34" t="n">
        <v>55.388</v>
      </c>
      <c r="AM46" s="34" t="n">
        <v>225.581</v>
      </c>
      <c r="AN46" s="34" t="n">
        <v>61.031</v>
      </c>
      <c r="AO46" s="34" t="n">
        <v>60.408</v>
      </c>
      <c r="AP46" s="34" t="n">
        <v>56.417</v>
      </c>
      <c r="AQ46" s="34" t="n">
        <v>62.087</v>
      </c>
      <c r="AR46" s="34" t="n">
        <v>239.943</v>
      </c>
      <c r="AS46" s="34" t="n">
        <v>66.638</v>
      </c>
      <c r="AT46" s="34" t="n">
        <v>61.813</v>
      </c>
      <c r="AU46" s="34" t="n">
        <v>61.063</v>
      </c>
      <c r="AV46" s="34" t="n">
        <v>65.978</v>
      </c>
      <c r="AW46" s="34" t="n">
        <v>255.492</v>
      </c>
      <c r="AX46" s="34" t="n">
        <v>48.947</v>
      </c>
      <c r="AY46" s="34" t="n">
        <v>49.853</v>
      </c>
      <c r="AZ46" s="34" t="n">
        <v>49.915</v>
      </c>
      <c r="BA46" s="34" t="n">
        <v>49.013</v>
      </c>
      <c r="BB46" s="34" t="n">
        <v>197.728</v>
      </c>
      <c r="BC46" s="34" t="n">
        <v>45.615</v>
      </c>
      <c r="BD46" s="34" t="n">
        <v>57.561</v>
      </c>
      <c r="BE46" s="34" t="n">
        <v>59.401</v>
      </c>
      <c r="BF46" s="34" t="n">
        <v>59.812</v>
      </c>
      <c r="BG46" s="34" t="n">
        <v>222.389</v>
      </c>
      <c r="BH46" s="34" t="n">
        <v>70.466</v>
      </c>
      <c r="BI46" s="34" t="n">
        <v>69.69</v>
      </c>
      <c r="BJ46" s="34" t="n">
        <v>66.905</v>
      </c>
      <c r="BK46" s="34" t="n">
        <v>76.047</v>
      </c>
      <c r="BL46" s="34" t="n">
        <v>283.108</v>
      </c>
      <c r="BM46" s="34" t="n">
        <v>82.106</v>
      </c>
      <c r="BN46" s="34" t="n">
        <v>78.38</v>
      </c>
      <c r="BO46" s="34" t="n">
        <v>81.006</v>
      </c>
      <c r="BP46" s="34" t="n">
        <v>82.161</v>
      </c>
      <c r="BQ46" s="34" t="n">
        <v>323.653</v>
      </c>
      <c r="BR46" s="34" t="n">
        <v>87.347</v>
      </c>
      <c r="BS46" s="34" t="n">
        <v>85.052</v>
      </c>
      <c r="BT46" s="34" t="n">
        <v>86.887</v>
      </c>
      <c r="BU46" s="34" t="n">
        <v>91.474</v>
      </c>
      <c r="BV46" s="34" t="n">
        <v>350.761</v>
      </c>
      <c r="BW46" s="34" t="n">
        <v>100.285</v>
      </c>
      <c r="BX46" s="34" t="n">
        <v>97.722</v>
      </c>
      <c r="BY46" s="34" t="n">
        <v>100.837</v>
      </c>
      <c r="BZ46" s="34" t="n">
        <v>105.827</v>
      </c>
      <c r="CA46" s="34" t="n">
        <v>404.546</v>
      </c>
      <c r="CB46" s="34" t="n">
        <v>112.205</v>
      </c>
      <c r="CC46" s="35" t="n">
        <f aca="false">CC39*CC47</f>
        <v>106.070820590458</v>
      </c>
      <c r="CD46" s="35" t="n">
        <f aca="false">CD39*CD47</f>
        <v>109.430874845627</v>
      </c>
      <c r="CE46" s="35" t="n">
        <f aca="false">CE39*CE47</f>
        <v>114.819689431338</v>
      </c>
      <c r="CF46" s="35" t="n">
        <f aca="false">SUM(CB46,CC46,CD46,CE46)</f>
        <v>442.526384867423</v>
      </c>
      <c r="CG46" s="35" t="n">
        <f aca="false">CG39*CG47</f>
        <v>479.32773249234</v>
      </c>
      <c r="CH46" s="35" t="n">
        <f aca="false">CH39*CH47</f>
        <v>514.416382399537</v>
      </c>
      <c r="CI46" s="35" t="n">
        <f aca="false">CI39*CI47</f>
        <v>552.051518803934</v>
      </c>
      <c r="CJ46" s="35" t="n">
        <f aca="false">CJ39*CJ47</f>
        <v>586.930678739514</v>
      </c>
      <c r="CK46" s="23"/>
      <c r="CS46" s="29" t="s">
        <v>200</v>
      </c>
      <c r="CU46" s="38" t="n">
        <v>0.043</v>
      </c>
      <c r="CW46" s="16" t="s">
        <v>201</v>
      </c>
    </row>
    <row r="47" customFormat="false" ht="15" hidden="false" customHeight="true" outlineLevel="0" collapsed="false">
      <c r="B47" s="29" t="s">
        <v>139</v>
      </c>
      <c r="C47" s="37" t="str">
        <f aca="false">IF(AND(ISNUMBER(C46),ISNUMBER(C39)),IFERROR(C46/C39,""),"")</f>
        <v/>
      </c>
      <c r="D47" s="37" t="str">
        <f aca="false">IF(AND(ISNUMBER(D46),ISNUMBER(D39)),IFERROR(D46/D39,""),"")</f>
        <v/>
      </c>
      <c r="E47" s="37" t="str">
        <f aca="false">IF(AND(ISNUMBER(E46),ISNUMBER(E39)),IFERROR(E46/E39,""),"")</f>
        <v/>
      </c>
      <c r="F47" s="37" t="str">
        <f aca="false">IF(AND(ISNUMBER(F46),ISNUMBER(F39)),IFERROR(F46/F39,""),"")</f>
        <v/>
      </c>
      <c r="G47" s="37" t="str">
        <f aca="false">IF(AND(ISNUMBER(G46),ISNUMBER(G39)),IFERROR(G46/G39,""),"")</f>
        <v/>
      </c>
      <c r="H47" s="37" t="str">
        <f aca="false">IF(AND(ISNUMBER(H46),ISNUMBER(H39)),IFERROR(H46/H39,""),"")</f>
        <v/>
      </c>
      <c r="I47" s="37" t="str">
        <f aca="false">IF(AND(ISNUMBER(I46),ISNUMBER(I39)),IFERROR(I46/I39,""),"")</f>
        <v/>
      </c>
      <c r="J47" s="37" t="str">
        <f aca="false">IF(AND(ISNUMBER(J46),ISNUMBER(J39)),IFERROR(J46/J39,""),"")</f>
        <v/>
      </c>
      <c r="K47" s="37" t="str">
        <f aca="false">IF(AND(ISNUMBER(K46),ISNUMBER(K39)),IFERROR(K46/K39,""),"")</f>
        <v/>
      </c>
      <c r="L47" s="37" t="str">
        <f aca="false">IF(AND(ISNUMBER(L46),ISNUMBER(L39)),IFERROR(L46/L39,""),"")</f>
        <v/>
      </c>
      <c r="M47" s="37" t="str">
        <f aca="false">IF(AND(ISNUMBER(M46),ISNUMBER(M39)),IFERROR(M46/M39,""),"")</f>
        <v/>
      </c>
      <c r="N47" s="37" t="str">
        <f aca="false">IF(AND(ISNUMBER(N46),ISNUMBER(N39)),IFERROR(N46/N39,""),"")</f>
        <v/>
      </c>
      <c r="O47" s="37" t="str">
        <f aca="false">IF(AND(ISNUMBER(O46),ISNUMBER(O39)),IFERROR(O46/O39,""),"")</f>
        <v/>
      </c>
      <c r="P47" s="37" t="str">
        <f aca="false">IF(AND(ISNUMBER(P46),ISNUMBER(P39)),IFERROR(P46/P39,""),"")</f>
        <v/>
      </c>
      <c r="Q47" s="37" t="str">
        <f aca="false">IF(AND(ISNUMBER(Q46),ISNUMBER(Q39)),IFERROR(Q46/Q39,""),"")</f>
        <v/>
      </c>
      <c r="R47" s="37" t="str">
        <f aca="false">IF(AND(ISNUMBER(R46),ISNUMBER(R39)),IFERROR(R46/R39,""),"")</f>
        <v/>
      </c>
      <c r="S47" s="37" t="str">
        <f aca="false">IF(AND(ISNUMBER(S46),ISNUMBER(S39)),IFERROR(S46/S39,""),"")</f>
        <v/>
      </c>
      <c r="T47" s="37" t="n">
        <f aca="false">IF(AND(ISNUMBER(T46),ISNUMBER(T39)),IFERROR(T46/T39,""),"")</f>
        <v>0.328335185746523</v>
      </c>
      <c r="U47" s="37" t="n">
        <f aca="false">IF(AND(ISNUMBER(U46),ISNUMBER(U39)),IFERROR(U46/U39,""),"")</f>
        <v>0.315017409261326</v>
      </c>
      <c r="V47" s="37" t="n">
        <f aca="false">IF(AND(ISNUMBER(V46),ISNUMBER(V39)),IFERROR(V46/V39,""),"")</f>
        <v>0.311293029628361</v>
      </c>
      <c r="W47" s="37" t="n">
        <f aca="false">IF(AND(ISNUMBER(W46),ISNUMBER(W39)),IFERROR(W46/W39,""),"")</f>
        <v>0.301748333703955</v>
      </c>
      <c r="X47" s="37" t="n">
        <f aca="false">IF(AND(ISNUMBER(X46),ISNUMBER(X39)),IFERROR(X46/X39,""),"")</f>
        <v>0.313748873781636</v>
      </c>
      <c r="Y47" s="37" t="n">
        <f aca="false">IF(AND(ISNUMBER(Y46),ISNUMBER(Y39)),IFERROR(Y46/Y39,""),"")</f>
        <v>0.314260158763681</v>
      </c>
      <c r="Z47" s="37" t="n">
        <f aca="false">IF(AND(ISNUMBER(Z46),ISNUMBER(Z39)),IFERROR(Z46/Z39,""),"")</f>
        <v>0.295474033478731</v>
      </c>
      <c r="AA47" s="37" t="n">
        <f aca="false">IF(AND(ISNUMBER(AA46),ISNUMBER(AA39)),IFERROR(AA46/AA39,""),"")</f>
        <v>0.309384621137522</v>
      </c>
      <c r="AB47" s="37" t="n">
        <f aca="false">IF(AND(ISNUMBER(AB46),ISNUMBER(AB39)),IFERROR(AB46/AB39,""),"")</f>
        <v>0.298444584931985</v>
      </c>
      <c r="AC47" s="37" t="n">
        <f aca="false">IF(AND(ISNUMBER(AC46),ISNUMBER(AC39)),IFERROR(AC46/AC39,""),"")</f>
        <v>0.304186677960095</v>
      </c>
      <c r="AD47" s="37" t="n">
        <f aca="false">IF(AND(ISNUMBER(AD46),ISNUMBER(AD39)),IFERROR(AD46/AD39,""),"")</f>
        <v>0.340487344942397</v>
      </c>
      <c r="AE47" s="37" t="n">
        <f aca="false">IF(AND(ISNUMBER(AE46),ISNUMBER(AE39)),IFERROR(AE46/AE39,""),"")</f>
        <v>0.320309075954155</v>
      </c>
      <c r="AF47" s="37" t="n">
        <f aca="false">IF(AND(ISNUMBER(AF46),ISNUMBER(AF39)),IFERROR(AF46/AF39,""),"")</f>
        <v>0.330071315857075</v>
      </c>
      <c r="AG47" s="37" t="n">
        <f aca="false">IF(AND(ISNUMBER(AG46),ISNUMBER(AG39)),IFERROR(AG46/AG39,""),"")</f>
        <v>0.31675136714531</v>
      </c>
      <c r="AH47" s="37" t="n">
        <f aca="false">IF(AND(ISNUMBER(AH46),ISNUMBER(AH39)),IFERROR(AH46/AH39,""),"")</f>
        <v>0.345473330961156</v>
      </c>
      <c r="AI47" s="37" t="n">
        <f aca="false">IF(AND(ISNUMBER(AI46),ISNUMBER(AI39)),IFERROR(AI46/AI39,""),"")</f>
        <v>0.35742159271571</v>
      </c>
      <c r="AJ47" s="37" t="n">
        <f aca="false">IF(AND(ISNUMBER(AJ46),ISNUMBER(AJ39)),IFERROR(AJ46/AJ39,""),"")</f>
        <v>0.336501101605017</v>
      </c>
      <c r="AK47" s="37" t="n">
        <f aca="false">IF(AND(ISNUMBER(AK46),ISNUMBER(AK39)),IFERROR(AK46/AK39,""),"")</f>
        <v>0.356884545264353</v>
      </c>
      <c r="AL47" s="37" t="n">
        <f aca="false">IF(AND(ISNUMBER(AL46),ISNUMBER(AL39)),IFERROR(AL46/AL39,""),"")</f>
        <v>0.309331665335619</v>
      </c>
      <c r="AM47" s="37" t="n">
        <f aca="false">IF(AND(ISNUMBER(AM46),ISNUMBER(AM39)),IFERROR(AM46/AM39,""),"")</f>
        <v>0.339320579661313</v>
      </c>
      <c r="AN47" s="37" t="n">
        <f aca="false">IF(AND(ISNUMBER(AN46),ISNUMBER(AN39)),IFERROR(AN46/AN39,""),"")</f>
        <v>0.359810163895767</v>
      </c>
      <c r="AO47" s="37" t="n">
        <f aca="false">IF(AND(ISNUMBER(AO46),ISNUMBER(AO39)),IFERROR(AO46/AO39,""),"")</f>
        <v>0.346889320209944</v>
      </c>
      <c r="AP47" s="37" t="n">
        <f aca="false">IF(AND(ISNUMBER(AP46),ISNUMBER(AP39)),IFERROR(AP46/AP39,""),"")</f>
        <v>0.322681568080166</v>
      </c>
      <c r="AQ47" s="37" t="n">
        <f aca="false">IF(AND(ISNUMBER(AQ46),ISNUMBER(AQ39)),IFERROR(AQ46/AQ39,""),"")</f>
        <v>0.307661432188818</v>
      </c>
      <c r="AR47" s="37" t="n">
        <f aca="false">IF(AND(ISNUMBER(AR46),ISNUMBER(AR39)),IFERROR(AR46/AR39,""),"")</f>
        <v>0.333067741250383</v>
      </c>
      <c r="AS47" s="37" t="n">
        <f aca="false">IF(AND(ISNUMBER(AS46),ISNUMBER(AS39)),IFERROR(AS46/AS39,""),"")</f>
        <v>0.361138509229252</v>
      </c>
      <c r="AT47" s="37" t="n">
        <f aca="false">IF(AND(ISNUMBER(AT46),ISNUMBER(AT39)),IFERROR(AT46/AT39,""),"")</f>
        <v>0.302849023786776</v>
      </c>
      <c r="AU47" s="37" t="n">
        <f aca="false">IF(AND(ISNUMBER(AU46),ISNUMBER(AU39)),IFERROR(AU46/AU39,""),"")</f>
        <v>0.317894068281915</v>
      </c>
      <c r="AV47" s="37" t="n">
        <f aca="false">IF(AND(ISNUMBER(AV46),ISNUMBER(AV39)),IFERROR(AV46/AV39,""),"")</f>
        <v>0.433085648269705</v>
      </c>
      <c r="AW47" s="37" t="n">
        <f aca="false">IF(AND(ISNUMBER(AW46),ISNUMBER(AW39)),IFERROR(AW46/AW39,""),"")</f>
        <v>0.348529514075986</v>
      </c>
      <c r="AX47" s="37" t="n">
        <f aca="false">IF(AND(ISNUMBER(AX46),ISNUMBER(AX39)),IFERROR(AX46/AX39,""),"")</f>
        <v>0.331432866342098</v>
      </c>
      <c r="AY47" s="37" t="n">
        <f aca="false">IF(AND(ISNUMBER(AY46),ISNUMBER(AY39)),IFERROR(AY46/AY39,""),"")</f>
        <v>0.327676300274088</v>
      </c>
      <c r="AZ47" s="37" t="n">
        <f aca="false">IF(AND(ISNUMBER(AZ46),ISNUMBER(AZ39)),IFERROR(AZ46/AZ39,""),"")</f>
        <v>0.310576976922168</v>
      </c>
      <c r="BA47" s="37" t="n">
        <f aca="false">IF(AND(ISNUMBER(BA46),ISNUMBER(BA39)),IFERROR(BA46/BA39,""),"")</f>
        <v>0.269485803514482</v>
      </c>
      <c r="BB47" s="37" t="n">
        <f aca="false">IF(AND(ISNUMBER(BB46),ISNUMBER(BB39)),IFERROR(BB46/BB39,""),"")</f>
        <v>0.307787620813272</v>
      </c>
      <c r="BC47" s="37" t="n">
        <f aca="false">IF(AND(ISNUMBER(BC46),ISNUMBER(BC39)),IFERROR(BC46/BC39,""),"")</f>
        <v>0.240511868732139</v>
      </c>
      <c r="BD47" s="37" t="n">
        <f aca="false">IF(AND(ISNUMBER(BD46),ISNUMBER(BD39)),IFERROR(BD46/BD39,""),"")</f>
        <v>0.311393021368677</v>
      </c>
      <c r="BE47" s="37" t="n">
        <f aca="false">IF(AND(ISNUMBER(BE46),ISNUMBER(BE39)),IFERROR(BE46/BE39,""),"")</f>
        <v>0.305774615986493</v>
      </c>
      <c r="BF47" s="37" t="n">
        <f aca="false">IF(AND(ISNUMBER(BF46),ISNUMBER(BF39)),IFERROR(BF46/BF39,""),"")</f>
        <v>0.264363599397124</v>
      </c>
      <c r="BG47" s="37" t="n">
        <f aca="false">IF(AND(ISNUMBER(BG46),ISNUMBER(BG39)),IFERROR(BG46/BG39,""),"")</f>
        <v>0.279727202174534</v>
      </c>
      <c r="BH47" s="37" t="n">
        <f aca="false">IF(AND(ISNUMBER(BH46),ISNUMBER(BH39)),IFERROR(BH46/BH39,""),"")</f>
        <v>0.300467761948823</v>
      </c>
      <c r="BI47" s="37" t="n">
        <f aca="false">IF(AND(ISNUMBER(BI46),ISNUMBER(BI39)),IFERROR(BI46/BI39,""),"")</f>
        <v>0.304460084666903</v>
      </c>
      <c r="BJ47" s="37" t="n">
        <f aca="false">IF(AND(ISNUMBER(BJ46),ISNUMBER(BJ39)),IFERROR(BJ46/BJ39,""),"")</f>
        <v>0.276220398322159</v>
      </c>
      <c r="BK47" s="37" t="n">
        <f aca="false">IF(AND(ISNUMBER(BK46),ISNUMBER(BK39)),IFERROR(BK46/BK39,""),"")</f>
        <v>0.290800699019919</v>
      </c>
      <c r="BL47" s="37" t="n">
        <f aca="false">IF(AND(ISNUMBER(BL46),ISNUMBER(BL39)),IFERROR(BL46/BL39,""),"")</f>
        <v>0.292726101517563</v>
      </c>
      <c r="BM47" s="37" t="n">
        <f aca="false">IF(AND(ISNUMBER(BM46),ISNUMBER(BM39)),IFERROR(BM46/BM39,""),"")</f>
        <v>0.322221873381159</v>
      </c>
      <c r="BN47" s="37" t="n">
        <f aca="false">IF(AND(ISNUMBER(BN46),ISNUMBER(BN39)),IFERROR(BN46/BN39,""),"")</f>
        <v>0.301190467041201</v>
      </c>
      <c r="BO47" s="37" t="n">
        <f aca="false">IF(AND(ISNUMBER(BO46),ISNUMBER(BO39)),IFERROR(BO46/BO39,""),"")</f>
        <v>0.303473957494315</v>
      </c>
      <c r="BP47" s="37" t="n">
        <f aca="false">IF(AND(ISNUMBER(BP46),ISNUMBER(BP39)),IFERROR(BP46/BP39,""),"")</f>
        <v>0.291240557660746</v>
      </c>
      <c r="BQ47" s="37" t="n">
        <f aca="false">IF(AND(ISNUMBER(BQ46),ISNUMBER(BQ39)),IFERROR(BQ46/BQ39,""),"")</f>
        <v>0.304161709341949</v>
      </c>
      <c r="BR47" s="37" t="n">
        <f aca="false">IF(AND(ISNUMBER(BR46),ISNUMBER(BR39)),IFERROR(BR46/BR39,""),"")</f>
        <v>0.317416536752174</v>
      </c>
      <c r="BS47" s="37" t="n">
        <f aca="false">IF(AND(ISNUMBER(BS46),ISNUMBER(BS39)),IFERROR(BS46/BS39,""),"")</f>
        <v>0.312684279023257</v>
      </c>
      <c r="BT47" s="37" t="n">
        <f aca="false">IF(AND(ISNUMBER(BT46),ISNUMBER(BT39)),IFERROR(BT46/BT39,""),"")</f>
        <v>0.303529008998938</v>
      </c>
      <c r="BU47" s="37" t="n">
        <f aca="false">IF(AND(ISNUMBER(BU46),ISNUMBER(BU39)),IFERROR(BU46/BU39,""),"")</f>
        <v>0.292646564824442</v>
      </c>
      <c r="BV47" s="37" t="n">
        <f aca="false">IF(AND(ISNUMBER(BV46),ISNUMBER(BV39)),IFERROR(BV46/BV39,""),"")</f>
        <v>0.306069363657464</v>
      </c>
      <c r="BW47" s="37" t="n">
        <f aca="false">IF(AND(ISNUMBER(BW46),ISNUMBER(BW39)),IFERROR(BW46/BW39,""),"")</f>
        <v>0.342973129183068</v>
      </c>
      <c r="BX47" s="37" t="n">
        <f aca="false">IF(AND(ISNUMBER(BX46),ISNUMBER(BX39)),IFERROR(BX46/BX39,""),"")</f>
        <v>0.323206064454675</v>
      </c>
      <c r="BY47" s="37" t="n">
        <f aca="false">IF(AND(ISNUMBER(BY46),ISNUMBER(BY39)),IFERROR(BY46/BY39,""),"")</f>
        <v>0.317929299298794</v>
      </c>
      <c r="BZ47" s="37" t="n">
        <f aca="false">IF(AND(ISNUMBER(BZ46),ISNUMBER(BZ39)),IFERROR(BZ46/BZ39,""),"")</f>
        <v>0.311838286211012</v>
      </c>
      <c r="CA47" s="37" t="n">
        <f aca="false">IF(AND(ISNUMBER(CA46),ISNUMBER(CA39)),IFERROR(CA46/CA39,""),"")</f>
        <v>0.323304701410711</v>
      </c>
      <c r="CB47" s="37" t="n">
        <f aca="false">IF(AND(ISNUMBER(CB46),ISNUMBER(CB39)),IFERROR(CB46/CB39,""),"")</f>
        <v>0.339266708594374</v>
      </c>
      <c r="CC47" s="28" t="n">
        <f aca="false">BX47+($CB$47-$BW$47)</f>
        <v>0.319499643865981</v>
      </c>
      <c r="CD47" s="28" t="n">
        <f aca="false">BY47+($CB$47-$BW$47)</f>
        <v>0.3142228787101</v>
      </c>
      <c r="CE47" s="28" t="n">
        <f aca="false">BZ47+($CB$47-$BW$47)</f>
        <v>0.308131865622317</v>
      </c>
      <c r="CF47" s="28" t="n">
        <f aca="false">IF(AND(ISNUMBER(CF46),ISNUMBER(CF39)),IFERROR(CF46/CF39,""),"")</f>
        <v>0.319834888832769</v>
      </c>
      <c r="CG47" s="28" t="n">
        <f aca="false">$CF$47+(CG124-$CF$123)</f>
        <v>0.317828417453032</v>
      </c>
      <c r="CH47" s="28" t="n">
        <f aca="false">$CF$47+(CH124-$CF$123)</f>
        <v>0.315828417453032</v>
      </c>
      <c r="CI47" s="28" t="n">
        <f aca="false">$CF$47+(CI124-$CF$123)</f>
        <v>0.313828417453032</v>
      </c>
      <c r="CJ47" s="28" t="n">
        <f aca="false">$CF$47+(CJ124-$CF$123)</f>
        <v>0.311828417453032</v>
      </c>
      <c r="CK47" s="23" t="s">
        <v>140</v>
      </c>
      <c r="CS47" s="29" t="s">
        <v>202</v>
      </c>
      <c r="CU47" s="38" t="n">
        <v>0.12</v>
      </c>
      <c r="CW47" s="16" t="s">
        <v>203</v>
      </c>
    </row>
    <row r="48" customFormat="false" ht="15" hidden="false" customHeight="true" outlineLevel="0" collapsed="false">
      <c r="B48" s="20" t="s">
        <v>143</v>
      </c>
      <c r="C48" s="39" t="str">
        <f aca="false">IF(AND(ISNUMBER(C43),ISNUMBER(C46)),C43-C46,"")</f>
        <v/>
      </c>
      <c r="D48" s="39" t="str">
        <f aca="false">IF(AND(ISNUMBER(D43),ISNUMBER(D46)),D43-D46,"")</f>
        <v/>
      </c>
      <c r="E48" s="39" t="str">
        <f aca="false">IF(AND(ISNUMBER(E43),ISNUMBER(E46)),E43-E46,"")</f>
        <v/>
      </c>
      <c r="F48" s="39" t="str">
        <f aca="false">IF(AND(ISNUMBER(F43),ISNUMBER(F46)),F43-F46,"")</f>
        <v/>
      </c>
      <c r="G48" s="39" t="str">
        <f aca="false">IF(AND(ISNUMBER(G43),ISNUMBER(G46)),G43-G46,"")</f>
        <v/>
      </c>
      <c r="H48" s="39" t="str">
        <f aca="false">IF(AND(ISNUMBER(H43),ISNUMBER(H46)),H43-H46,"")</f>
        <v/>
      </c>
      <c r="I48" s="39" t="str">
        <f aca="false">IF(AND(ISNUMBER(I43),ISNUMBER(I46)),I43-I46,"")</f>
        <v/>
      </c>
      <c r="J48" s="39" t="str">
        <f aca="false">IF(AND(ISNUMBER(J43),ISNUMBER(J46)),J43-J46,"")</f>
        <v/>
      </c>
      <c r="K48" s="39" t="str">
        <f aca="false">IF(AND(ISNUMBER(K43),ISNUMBER(K46)),K43-K46,"")</f>
        <v/>
      </c>
      <c r="L48" s="39" t="str">
        <f aca="false">IF(AND(ISNUMBER(L43),ISNUMBER(L46)),L43-L46,"")</f>
        <v/>
      </c>
      <c r="M48" s="39" t="str">
        <f aca="false">IF(AND(ISNUMBER(M43),ISNUMBER(M46)),M43-M46,"")</f>
        <v/>
      </c>
      <c r="N48" s="39" t="str">
        <f aca="false">IF(AND(ISNUMBER(N43),ISNUMBER(N46)),N43-N46,"")</f>
        <v/>
      </c>
      <c r="O48" s="39" t="str">
        <f aca="false">IF(AND(ISNUMBER(O43),ISNUMBER(O46)),O43-O46,"")</f>
        <v/>
      </c>
      <c r="P48" s="39" t="str">
        <f aca="false">IF(AND(ISNUMBER(P43),ISNUMBER(P46)),P43-P46,"")</f>
        <v/>
      </c>
      <c r="Q48" s="39" t="str">
        <f aca="false">IF(AND(ISNUMBER(Q43),ISNUMBER(Q46)),Q43-Q46,"")</f>
        <v/>
      </c>
      <c r="R48" s="39" t="str">
        <f aca="false">IF(AND(ISNUMBER(R43),ISNUMBER(R46)),R43-R46,"")</f>
        <v/>
      </c>
      <c r="S48" s="39" t="str">
        <f aca="false">IF(AND(ISNUMBER(S43),ISNUMBER(S46)),S43-S46,"")</f>
        <v/>
      </c>
      <c r="T48" s="39" t="n">
        <f aca="false">IF(AND(ISNUMBER(T43),ISNUMBER(T46)),T43-T46,"")</f>
        <v>9.525</v>
      </c>
      <c r="U48" s="39" t="n">
        <f aca="false">IF(AND(ISNUMBER(U43),ISNUMBER(U46)),U43-U46,"")</f>
        <v>10.239</v>
      </c>
      <c r="V48" s="39" t="n">
        <f aca="false">IF(AND(ISNUMBER(V43),ISNUMBER(V46)),V43-V46,"")</f>
        <v>10.154</v>
      </c>
      <c r="W48" s="39" t="n">
        <f aca="false">IF(AND(ISNUMBER(W43),ISNUMBER(W46)),W43-W46,"")</f>
        <v>15.341</v>
      </c>
      <c r="X48" s="39" t="n">
        <f aca="false">IF(AND(ISNUMBER(X43),ISNUMBER(X46)),X43-X46,"")</f>
        <v>45.259</v>
      </c>
      <c r="Y48" s="39" t="n">
        <f aca="false">IF(AND(ISNUMBER(Y43),ISNUMBER(Y46)),Y43-Y46,"")</f>
        <v>11.534</v>
      </c>
      <c r="Z48" s="39" t="n">
        <f aca="false">IF(AND(ISNUMBER(Z43),ISNUMBER(Z46)),Z43-Z46,"")</f>
        <v>16.207</v>
      </c>
      <c r="AA48" s="39" t="n">
        <f aca="false">IF(AND(ISNUMBER(AA43),ISNUMBER(AA46)),AA43-AA46,"")</f>
        <v>12.816</v>
      </c>
      <c r="AB48" s="39" t="n">
        <f aca="false">IF(AND(ISNUMBER(AB43),ISNUMBER(AB46)),AB43-AB46,"")</f>
        <v>18.745</v>
      </c>
      <c r="AC48" s="39" t="n">
        <f aca="false">IF(AND(ISNUMBER(AC43),ISNUMBER(AC46)),AC43-AC46,"")</f>
        <v>59.302</v>
      </c>
      <c r="AD48" s="39" t="n">
        <f aca="false">IF(AND(ISNUMBER(AD43),ISNUMBER(AD46)),AD43-AD46,"")</f>
        <v>10.205</v>
      </c>
      <c r="AE48" s="39" t="n">
        <f aca="false">IF(AND(ISNUMBER(AE43),ISNUMBER(AE46)),AE43-AE46,"")</f>
        <v>10.718</v>
      </c>
      <c r="AF48" s="39" t="n">
        <f aca="false">IF(AND(ISNUMBER(AF43),ISNUMBER(AF46)),AF43-AF46,"")</f>
        <v>9.917</v>
      </c>
      <c r="AG48" s="39" t="n">
        <f aca="false">IF(AND(ISNUMBER(AG43),ISNUMBER(AG46)),AG43-AG46,"")</f>
        <v>19.565</v>
      </c>
      <c r="AH48" s="39" t="n">
        <f aca="false">IF(AND(ISNUMBER(AH43),ISNUMBER(AH46)),AH43-AH46,"")</f>
        <v>43.756</v>
      </c>
      <c r="AI48" s="39" t="n">
        <f aca="false">IF(AND(ISNUMBER(AI43),ISNUMBER(AI46)),AI43-AI46,"")</f>
        <v>10.778</v>
      </c>
      <c r="AJ48" s="39" t="n">
        <f aca="false">IF(AND(ISNUMBER(AJ43),ISNUMBER(AJ46)),AJ43-AJ46,"")</f>
        <v>13.422</v>
      </c>
      <c r="AK48" s="39" t="n">
        <f aca="false">IF(AND(ISNUMBER(AK43),ISNUMBER(AK46)),AK43-AK46,"")</f>
        <v>10.032</v>
      </c>
      <c r="AL48" s="39" t="n">
        <f aca="false">IF(AND(ISNUMBER(AL43),ISNUMBER(AL46)),AL43-AL46,"")</f>
        <v>22.76</v>
      </c>
      <c r="AM48" s="39" t="n">
        <f aca="false">IF(AND(ISNUMBER(AM43),ISNUMBER(AM46)),AM43-AM46,"")</f>
        <v>56.992</v>
      </c>
      <c r="AN48" s="39" t="n">
        <f aca="false">IF(AND(ISNUMBER(AN43),ISNUMBER(AN46)),AN43-AN46,"")</f>
        <v>11.711</v>
      </c>
      <c r="AO48" s="39" t="n">
        <f aca="false">IF(AND(ISNUMBER(AO43),ISNUMBER(AO46)),AO43-AO46,"")</f>
        <v>11.421</v>
      </c>
      <c r="AP48" s="39" t="n">
        <f aca="false">IF(AND(ISNUMBER(AP43),ISNUMBER(AP46)),AP43-AP46,"")</f>
        <v>17.495</v>
      </c>
      <c r="AQ48" s="39" t="n">
        <f aca="false">IF(AND(ISNUMBER(AQ43),ISNUMBER(AQ46)),AQ43-AQ46,"")</f>
        <v>26.113</v>
      </c>
      <c r="AR48" s="39" t="n">
        <f aca="false">IF(AND(ISNUMBER(AR43),ISNUMBER(AR46)),AR43-AR46,"")</f>
        <v>66.74</v>
      </c>
      <c r="AS48" s="39" t="n">
        <f aca="false">IF(AND(ISNUMBER(AS43),ISNUMBER(AS46)),AS43-AS46,"")</f>
        <v>12.366</v>
      </c>
      <c r="AT48" s="39" t="n">
        <f aca="false">IF(AND(ISNUMBER(AT43),ISNUMBER(AT46)),AT43-AT46,"")</f>
        <v>23.464</v>
      </c>
      <c r="AU48" s="39" t="n">
        <f aca="false">IF(AND(ISNUMBER(AU43),ISNUMBER(AU46)),AU43-AU46,"")</f>
        <v>18.331</v>
      </c>
      <c r="AV48" s="39" t="n">
        <f aca="false">IF(AND(ISNUMBER(AV43),ISNUMBER(AV46)),AV43-AV46,"")</f>
        <v>-2.91499999999999</v>
      </c>
      <c r="AW48" s="39" t="n">
        <f aca="false">IF(AND(ISNUMBER(AW43),ISNUMBER(AW46)),AW43-AW46,"")</f>
        <v>51.246</v>
      </c>
      <c r="AX48" s="39" t="n">
        <f aca="false">IF(AND(ISNUMBER(AX43),ISNUMBER(AX46)),AX43-AX46,"")</f>
        <v>16.151</v>
      </c>
      <c r="AY48" s="39" t="n">
        <f aca="false">IF(AND(ISNUMBER(AY43),ISNUMBER(AY46)),AY43-AY46,"")</f>
        <v>15.757</v>
      </c>
      <c r="AZ48" s="39" t="n">
        <f aca="false">IF(AND(ISNUMBER(AZ43),ISNUMBER(AZ46)),AZ43-AZ46,"")</f>
        <v>17.245</v>
      </c>
      <c r="BA48" s="39" t="n">
        <f aca="false">IF(AND(ISNUMBER(BA43),ISNUMBER(BA46)),BA43-BA46,"")</f>
        <v>29.316</v>
      </c>
      <c r="BB48" s="39" t="n">
        <f aca="false">IF(AND(ISNUMBER(BB43),ISNUMBER(BB46)),BB43-BB46,"")</f>
        <v>78.469</v>
      </c>
      <c r="BC48" s="39" t="n">
        <f aca="false">IF(AND(ISNUMBER(BC43),ISNUMBER(BC46)),BC43-BC46,"")</f>
        <v>38.991</v>
      </c>
      <c r="BD48" s="39" t="n">
        <f aca="false">IF(AND(ISNUMBER(BD43),ISNUMBER(BD46)),BD43-BD46,"")</f>
        <v>21.536</v>
      </c>
      <c r="BE48" s="39" t="n">
        <f aca="false">IF(AND(ISNUMBER(BE43),ISNUMBER(BE46)),BE43-BE46,"")</f>
        <v>25.311</v>
      </c>
      <c r="BF48" s="39" t="n">
        <f aca="false">IF(AND(ISNUMBER(BF43),ISNUMBER(BF46)),BF43-BF46,"")</f>
        <v>41.279</v>
      </c>
      <c r="BG48" s="39" t="n">
        <f aca="false">IF(AND(ISNUMBER(BG43),ISNUMBER(BG46)),BG43-BG46,"")</f>
        <v>127.117</v>
      </c>
      <c r="BH48" s="39" t="n">
        <f aca="false">IF(AND(ISNUMBER(BH43),ISNUMBER(BH46)),BH43-BH46,"")</f>
        <v>34.503</v>
      </c>
      <c r="BI48" s="39" t="n">
        <f aca="false">IF(AND(ISNUMBER(BI43),ISNUMBER(BI46)),BI43-BI46,"")</f>
        <v>30.344</v>
      </c>
      <c r="BJ48" s="39" t="n">
        <f aca="false">IF(AND(ISNUMBER(BJ43),ISNUMBER(BJ46)),BJ43-BJ46,"")</f>
        <v>39.546</v>
      </c>
      <c r="BK48" s="39" t="n">
        <f aca="false">IF(AND(ISNUMBER(BK43),ISNUMBER(BK46)),BK43-BK46,"")</f>
        <v>38.824</v>
      </c>
      <c r="BL48" s="39" t="n">
        <f aca="false">IF(AND(ISNUMBER(BL43),ISNUMBER(BL46)),BL43-BL46,"")</f>
        <v>143.217</v>
      </c>
      <c r="BM48" s="39" t="n">
        <f aca="false">IF(AND(ISNUMBER(BM43),ISNUMBER(BM46)),BM43-BM46,"")</f>
        <v>34.447</v>
      </c>
      <c r="BN48" s="39" t="n">
        <f aca="false">IF(AND(ISNUMBER(BN43),ISNUMBER(BN46)),BN43-BN46,"")</f>
        <v>41.541</v>
      </c>
      <c r="BO48" s="39" t="n">
        <f aca="false">IF(AND(ISNUMBER(BO43),ISNUMBER(BO46)),BO43-BO46,"")</f>
        <v>42.676</v>
      </c>
      <c r="BP48" s="39" t="n">
        <f aca="false">IF(AND(ISNUMBER(BP43),ISNUMBER(BP46)),BP43-BP46,"")</f>
        <v>51.315</v>
      </c>
      <c r="BQ48" s="39" t="n">
        <f aca="false">IF(AND(ISNUMBER(BQ43),ISNUMBER(BQ46)),BQ43-BQ46,"")</f>
        <v>169.979</v>
      </c>
      <c r="BR48" s="39" t="n">
        <f aca="false">IF(AND(ISNUMBER(BR43),ISNUMBER(BR46)),BR43-BR46,"")</f>
        <v>43.305</v>
      </c>
      <c r="BS48" s="39" t="n">
        <f aca="false">IF(AND(ISNUMBER(BS43),ISNUMBER(BS46)),BS43-BS46,"")</f>
        <v>43.808</v>
      </c>
      <c r="BT48" s="39" t="n">
        <f aca="false">IF(AND(ISNUMBER(BT43),ISNUMBER(BT46)),BT43-BT46,"")</f>
        <v>48.837</v>
      </c>
      <c r="BU48" s="39" t="n">
        <f aca="false">IF(AND(ISNUMBER(BU43),ISNUMBER(BU46)),BU43-BU46,"")</f>
        <v>55.659</v>
      </c>
      <c r="BV48" s="39" t="n">
        <f aca="false">IF(AND(ISNUMBER(BV43),ISNUMBER(BV46)),BV43-BV46,"")</f>
        <v>191.608</v>
      </c>
      <c r="BW48" s="39" t="n">
        <f aca="false">IF(AND(ISNUMBER(BW43),ISNUMBER(BW46)),BW43-BW46,"")</f>
        <v>37.595</v>
      </c>
      <c r="BX48" s="39" t="n">
        <f aca="false">IF(AND(ISNUMBER(BX43),ISNUMBER(BX46)),BX43-BX46,"")</f>
        <v>42.979</v>
      </c>
      <c r="BY48" s="39" t="n">
        <f aca="false">IF(AND(ISNUMBER(BY43),ISNUMBER(BY46)),BY43-BY46,"")</f>
        <v>51.538</v>
      </c>
      <c r="BZ48" s="39" t="n">
        <f aca="false">IF(AND(ISNUMBER(BZ43),ISNUMBER(BZ46)),BZ43-BZ46,"")</f>
        <v>59</v>
      </c>
      <c r="CA48" s="39" t="n">
        <f aca="false">IF(AND(ISNUMBER(CA43),ISNUMBER(CA46)),CA43-CA46,"")</f>
        <v>191.237</v>
      </c>
      <c r="CB48" s="39" t="n">
        <f aca="false">IF(AND(ISNUMBER(CB43),ISNUMBER(CB46)),CB43-CB46,"")</f>
        <v>51.669</v>
      </c>
      <c r="CC48" s="22" t="n">
        <f aca="false">CC43-CC46</f>
        <v>52.2221144635028</v>
      </c>
      <c r="CD48" s="22" t="n">
        <f aca="false">CD43-CD46</f>
        <v>61.8666055204055</v>
      </c>
      <c r="CE48" s="22" t="n">
        <f aca="false">CE43-CE46</f>
        <v>70.4293550370063</v>
      </c>
      <c r="CF48" s="22" t="n">
        <f aca="false">CF43-CF46</f>
        <v>236.187075020915</v>
      </c>
      <c r="CG48" s="22" t="n">
        <f aca="false">CG43-CG46</f>
        <v>265.69029248086</v>
      </c>
      <c r="CH48" s="22" t="n">
        <f aca="false">CH43-CH46</f>
        <v>296.7182219559</v>
      </c>
      <c r="CI48" s="22" t="n">
        <f aca="false">CI43-CI46</f>
        <v>329.251115181287</v>
      </c>
      <c r="CJ48" s="22" t="n">
        <f aca="false">CJ43-CJ46</f>
        <v>361.709809195715</v>
      </c>
      <c r="CK48" s="23"/>
      <c r="CM48" s="24" t="n">
        <f aca="false">IFERROR((CJ48/CA48)^(1/5)-1,"n/m")</f>
        <v>0.13594596409537</v>
      </c>
      <c r="CN48" s="24" t="n">
        <f aca="false">IFERROR((CA48/BB48)^(1/5)-1,"n/m")</f>
        <v>0.195018863770784</v>
      </c>
      <c r="CO48" s="24" t="n">
        <f aca="false">IFERROR((CA48/AC48)^(1/10)-1,"n/m")</f>
        <v>0.124217284531821</v>
      </c>
      <c r="CP48" s="24" t="str">
        <f aca="false">IFERROR((CA48/C48)^(1/20)-1,"n/m")</f>
        <v>n/m</v>
      </c>
      <c r="CS48" s="29" t="s">
        <v>204</v>
      </c>
      <c r="CU48" s="38" t="n">
        <v>0.25</v>
      </c>
      <c r="CW48" s="16" t="s">
        <v>205</v>
      </c>
    </row>
    <row r="49" customFormat="false" ht="15" hidden="false" customHeight="true" outlineLevel="0" collapsed="false">
      <c r="B49" s="29" t="s">
        <v>146</v>
      </c>
      <c r="C49" s="37" t="str">
        <f aca="false">IF(AND(ISNUMBER(C48),ISNUMBER(C39)),IFERROR(C48/C39,""),"")</f>
        <v/>
      </c>
      <c r="D49" s="37" t="str">
        <f aca="false">IF(AND(ISNUMBER(D48),ISNUMBER(D39)),IFERROR(D48/D39,""),"")</f>
        <v/>
      </c>
      <c r="E49" s="37" t="str">
        <f aca="false">IF(AND(ISNUMBER(E48),ISNUMBER(E39)),IFERROR(E48/E39,""),"")</f>
        <v/>
      </c>
      <c r="F49" s="37" t="str">
        <f aca="false">IF(AND(ISNUMBER(F48),ISNUMBER(F39)),IFERROR(F48/F39,""),"")</f>
        <v/>
      </c>
      <c r="G49" s="37" t="str">
        <f aca="false">IF(AND(ISNUMBER(G48),ISNUMBER(G39)),IFERROR(G48/G39,""),"")</f>
        <v/>
      </c>
      <c r="H49" s="37" t="str">
        <f aca="false">IF(AND(ISNUMBER(H48),ISNUMBER(H39)),IFERROR(H48/H39,""),"")</f>
        <v/>
      </c>
      <c r="I49" s="37" t="str">
        <f aca="false">IF(AND(ISNUMBER(I48),ISNUMBER(I39)),IFERROR(I48/I39,""),"")</f>
        <v/>
      </c>
      <c r="J49" s="37" t="str">
        <f aca="false">IF(AND(ISNUMBER(J48),ISNUMBER(J39)),IFERROR(J48/J39,""),"")</f>
        <v/>
      </c>
      <c r="K49" s="37" t="str">
        <f aca="false">IF(AND(ISNUMBER(K48),ISNUMBER(K39)),IFERROR(K48/K39,""),"")</f>
        <v/>
      </c>
      <c r="L49" s="37" t="str">
        <f aca="false">IF(AND(ISNUMBER(L48),ISNUMBER(L39)),IFERROR(L48/L39,""),"")</f>
        <v/>
      </c>
      <c r="M49" s="37" t="str">
        <f aca="false">IF(AND(ISNUMBER(M48),ISNUMBER(M39)),IFERROR(M48/M39,""),"")</f>
        <v/>
      </c>
      <c r="N49" s="37" t="str">
        <f aca="false">IF(AND(ISNUMBER(N48),ISNUMBER(N39)),IFERROR(N48/N39,""),"")</f>
        <v/>
      </c>
      <c r="O49" s="37" t="str">
        <f aca="false">IF(AND(ISNUMBER(O48),ISNUMBER(O39)),IFERROR(O48/O39,""),"")</f>
        <v/>
      </c>
      <c r="P49" s="37" t="str">
        <f aca="false">IF(AND(ISNUMBER(P48),ISNUMBER(P39)),IFERROR(P48/P39,""),"")</f>
        <v/>
      </c>
      <c r="Q49" s="37" t="str">
        <f aca="false">IF(AND(ISNUMBER(Q48),ISNUMBER(Q39)),IFERROR(Q48/Q39,""),"")</f>
        <v/>
      </c>
      <c r="R49" s="37" t="str">
        <f aca="false">IF(AND(ISNUMBER(R48),ISNUMBER(R39)),IFERROR(R48/R39,""),"")</f>
        <v/>
      </c>
      <c r="S49" s="37" t="str">
        <f aca="false">IF(AND(ISNUMBER(S48),ISNUMBER(S39)),IFERROR(S48/S39,""),"")</f>
        <v/>
      </c>
      <c r="T49" s="37" t="n">
        <f aca="false">IF(AND(ISNUMBER(T48),ISNUMBER(T39)),IFERROR(T48/T39,""),"")</f>
        <v>0.0641608568253006</v>
      </c>
      <c r="U49" s="37" t="n">
        <f aca="false">IF(AND(ISNUMBER(U48),ISNUMBER(U39)),IFERROR(U48/U39,""),"")</f>
        <v>0.0684274190853622</v>
      </c>
      <c r="V49" s="37" t="n">
        <f aca="false">IF(AND(ISNUMBER(V48),ISNUMBER(V39)),IFERROR(V48/V39,""),"")</f>
        <v>0.0695598561397499</v>
      </c>
      <c r="W49" s="37" t="n">
        <f aca="false">IF(AND(ISNUMBER(W48),ISNUMBER(W39)),IFERROR(W48/W39,""),"")</f>
        <v>0.0922007127960718</v>
      </c>
      <c r="X49" s="37" t="n">
        <f aca="false">IF(AND(ISNUMBER(X48),ISNUMBER(X39)),IFERROR(X48/X39,""),"")</f>
        <v>0.074140388238185</v>
      </c>
      <c r="Y49" s="37" t="n">
        <f aca="false">IF(AND(ISNUMBER(Y48),ISNUMBER(Y39)),IFERROR(Y48/Y39,""),"")</f>
        <v>0.0716424214567002</v>
      </c>
      <c r="Z49" s="37" t="n">
        <f aca="false">IF(AND(ISNUMBER(Z48),ISNUMBER(Z39)),IFERROR(Z48/Z39,""),"")</f>
        <v>0.100703376455529</v>
      </c>
      <c r="AA49" s="37" t="n">
        <f aca="false">IF(AND(ISNUMBER(AA48),ISNUMBER(AA39)),IFERROR(AA48/AA39,""),"")</f>
        <v>0.0798733593428646</v>
      </c>
      <c r="AB49" s="37" t="n">
        <f aca="false">IF(AND(ISNUMBER(AB48),ISNUMBER(AB39)),IFERROR(AB48/AB39,""),"")</f>
        <v>0.102159269271015</v>
      </c>
      <c r="AC49" s="37" t="n">
        <f aca="false">IF(AND(ISNUMBER(AC48),ISNUMBER(AC39)),IFERROR(AC48/AC39,""),"")</f>
        <v>0.0890588910214244</v>
      </c>
      <c r="AD49" s="37" t="n">
        <f aca="false">IF(AND(ISNUMBER(AD48),ISNUMBER(AD39)),IFERROR(AD48/AD39,""),"")</f>
        <v>0.0601373051651492</v>
      </c>
      <c r="AE49" s="37" t="n">
        <f aca="false">IF(AND(ISNUMBER(AE48),ISNUMBER(AE39)),IFERROR(AE48/AE39,""),"")</f>
        <v>0.0643487971373851</v>
      </c>
      <c r="AF49" s="37" t="n">
        <f aca="false">IF(AND(ISNUMBER(AF48),ISNUMBER(AF39)),IFERROR(AF48/AF39,""),"")</f>
        <v>0.0606551762101066</v>
      </c>
      <c r="AG49" s="37" t="n">
        <f aca="false">IF(AND(ISNUMBER(AG48),ISNUMBER(AG39)),IFERROR(AG48/AG39,""),"")</f>
        <v>0.111219118432871</v>
      </c>
      <c r="AH49" s="37" t="n">
        <f aca="false">IF(AND(ISNUMBER(AH48),ISNUMBER(AH39)),IFERROR(AH48/AH39,""),"")</f>
        <v>0.0714199439165081</v>
      </c>
      <c r="AI49" s="37" t="n">
        <f aca="false">IF(AND(ISNUMBER(AI48),ISNUMBER(AI39)),IFERROR(AI48/AI39,""),"")</f>
        <v>0.0677278068582416</v>
      </c>
      <c r="AJ49" s="37" t="n">
        <f aca="false">IF(AND(ISNUMBER(AJ48),ISNUMBER(AJ39)),IFERROR(AJ48/AJ39,""),"")</f>
        <v>0.0842492451965628</v>
      </c>
      <c r="AK49" s="37" t="n">
        <f aca="false">IF(AND(ISNUMBER(AK48),ISNUMBER(AK39)),IFERROR(AK48/AK39,""),"")</f>
        <v>0.0599659284497444</v>
      </c>
      <c r="AL49" s="37" t="n">
        <f aca="false">IF(AND(ISNUMBER(AL48),ISNUMBER(AL39)),IFERROR(AL48/AL39,""),"")</f>
        <v>0.127110361504996</v>
      </c>
      <c r="AM49" s="37" t="n">
        <f aca="false">IF(AND(ISNUMBER(AM48),ISNUMBER(AM39)),IFERROR(AM48/AM39,""),"")</f>
        <v>0.0857277806023448</v>
      </c>
      <c r="AN49" s="37" t="n">
        <f aca="false">IF(AND(ISNUMBER(AN48),ISNUMBER(AN39)),IFERROR(AN48/AN39,""),"")</f>
        <v>0.0690425657351728</v>
      </c>
      <c r="AO49" s="37" t="n">
        <f aca="false">IF(AND(ISNUMBER(AO48),ISNUMBER(AO39)),IFERROR(AO48/AO39,""),"")</f>
        <v>0.0655844081267012</v>
      </c>
      <c r="AP49" s="37" t="n">
        <f aca="false">IF(AND(ISNUMBER(AP48),ISNUMBER(AP39)),IFERROR(AP48/AP39,""),"")</f>
        <v>0.10006405930061</v>
      </c>
      <c r="AQ49" s="37" t="n">
        <f aca="false">IF(AND(ISNUMBER(AQ48),ISNUMBER(AQ39)),IFERROR(AQ48/AQ39,""),"")</f>
        <v>0.129398472767997</v>
      </c>
      <c r="AR49" s="37" t="n">
        <f aca="false">IF(AND(ISNUMBER(AR48),ISNUMBER(AR39)),IFERROR(AR48/AR39,""),"")</f>
        <v>0.0926425903279137</v>
      </c>
      <c r="AS49" s="37" t="n">
        <f aca="false">IF(AND(ISNUMBER(AS48),ISNUMBER(AS39)),IFERROR(AS48/AS39,""),"")</f>
        <v>0.0670163991285592</v>
      </c>
      <c r="AT49" s="37" t="n">
        <f aca="false">IF(AND(ISNUMBER(AT48),ISNUMBER(AT39)),IFERROR(AT48/AT39,""),"")</f>
        <v>0.11496043702996</v>
      </c>
      <c r="AU49" s="37" t="n">
        <f aca="false">IF(AND(ISNUMBER(AU48),ISNUMBER(AU39)),IFERROR(AU48/AU39,""),"")</f>
        <v>0.0954312131024645</v>
      </c>
      <c r="AV49" s="37" t="n">
        <f aca="false">IF(AND(ISNUMBER(AV48),ISNUMBER(AV39)),IFERROR(AV48/AV39,""),"")</f>
        <v>-0.0191343275744367</v>
      </c>
      <c r="AW49" s="37" t="n">
        <f aca="false">IF(AND(ISNUMBER(AW48),ISNUMBER(AW39)),IFERROR(AW48/AW39,""),"")</f>
        <v>0.0699072514142829</v>
      </c>
      <c r="AX49" s="37" t="n">
        <f aca="false">IF(AND(ISNUMBER(AX48),ISNUMBER(AX39)),IFERROR(AX48/AX39,""),"")</f>
        <v>0.109362621290196</v>
      </c>
      <c r="AY49" s="37" t="n">
        <f aca="false">IF(AND(ISNUMBER(AY48),ISNUMBER(AY39)),IFERROR(AY48/AY39,""),"")</f>
        <v>0.10356840036545</v>
      </c>
      <c r="AZ49" s="37" t="n">
        <f aca="false">IF(AND(ISNUMBER(AZ48),ISNUMBER(AZ39)),IFERROR(AZ48/AZ39,""),"")</f>
        <v>0.107300410037519</v>
      </c>
      <c r="BA49" s="37" t="n">
        <f aca="false">IF(AND(ISNUMBER(BA48),ISNUMBER(BA39)),IFERROR(BA48/BA39,""),"")</f>
        <v>0.161186742615848</v>
      </c>
      <c r="BB49" s="37" t="n">
        <f aca="false">IF(AND(ISNUMBER(BB48),ISNUMBER(BB39)),IFERROR(BB48/BB39,""),"")</f>
        <v>0.122146518538582</v>
      </c>
      <c r="BC49" s="37" t="n">
        <f aca="false">IF(AND(ISNUMBER(BC48),ISNUMBER(BC39)),IFERROR(BC48/BC39,""),"")</f>
        <v>0.205585843992871</v>
      </c>
      <c r="BD49" s="37" t="n">
        <f aca="false">IF(AND(ISNUMBER(BD48),ISNUMBER(BD39)),IFERROR(BD48/BD39,""),"")</f>
        <v>0.11650527454693</v>
      </c>
      <c r="BE49" s="37" t="n">
        <f aca="false">IF(AND(ISNUMBER(BE48),ISNUMBER(BE39)),IFERROR(BE48/BE39,""),"")</f>
        <v>0.130291767903472</v>
      </c>
      <c r="BF49" s="37" t="n">
        <f aca="false">IF(AND(ISNUMBER(BF48),ISNUMBER(BF39)),IFERROR(BF48/BF39,""),"")</f>
        <v>0.18244942519083</v>
      </c>
      <c r="BG49" s="37" t="n">
        <f aca="false">IF(AND(ISNUMBER(BG48),ISNUMBER(BG39)),IFERROR(BG48/BG39,""),"")</f>
        <v>0.15989137393855</v>
      </c>
      <c r="BH49" s="37" t="n">
        <f aca="false">IF(AND(ISNUMBER(BH48),ISNUMBER(BH39)),IFERROR(BH48/BH39,""),"")</f>
        <v>0.147121153329553</v>
      </c>
      <c r="BI49" s="37" t="n">
        <f aca="false">IF(AND(ISNUMBER(BI48),ISNUMBER(BI39)),IFERROR(BI48/BI39,""),"")</f>
        <v>0.132566176052985</v>
      </c>
      <c r="BJ49" s="37" t="n">
        <f aca="false">IF(AND(ISNUMBER(BJ48),ISNUMBER(BJ39)),IFERROR(BJ48/BJ39,""),"")</f>
        <v>0.163267496779734</v>
      </c>
      <c r="BK49" s="37" t="n">
        <f aca="false">IF(AND(ISNUMBER(BK48),ISNUMBER(BK39)),IFERROR(BK48/BK39,""),"")</f>
        <v>0.148461429625749</v>
      </c>
      <c r="BL49" s="37" t="n">
        <f aca="false">IF(AND(ISNUMBER(BL48),ISNUMBER(BL39)),IFERROR(BL48/BL39,""),"")</f>
        <v>0.148082548289136</v>
      </c>
      <c r="BM49" s="37" t="n">
        <f aca="false">IF(AND(ISNUMBER(BM48),ISNUMBER(BM39)),IFERROR(BM48/BM39,""),"")</f>
        <v>0.135185941007488</v>
      </c>
      <c r="BN49" s="37" t="n">
        <f aca="false">IF(AND(ISNUMBER(BN48),ISNUMBER(BN39)),IFERROR(BN48/BN39,""),"")</f>
        <v>0.159629410453669</v>
      </c>
      <c r="BO49" s="37" t="n">
        <f aca="false">IF(AND(ISNUMBER(BO48),ISNUMBER(BO39)),IFERROR(BO48/BO39,""),"")</f>
        <v>0.159877720292662</v>
      </c>
      <c r="BP49" s="37" t="n">
        <f aca="false">IF(AND(ISNUMBER(BP48),ISNUMBER(BP39)),IFERROR(BP48/BP39,""),"")</f>
        <v>0.181899066666194</v>
      </c>
      <c r="BQ49" s="37" t="n">
        <f aca="false">IF(AND(ISNUMBER(BQ48),ISNUMBER(BQ39)),IFERROR(BQ48/BQ39,""),"")</f>
        <v>0.159742388274588</v>
      </c>
      <c r="BR49" s="37" t="n">
        <f aca="false">IF(AND(ISNUMBER(BR48),ISNUMBER(BR39)),IFERROR(BR48/BR39,""),"")</f>
        <v>0.157369149759613</v>
      </c>
      <c r="BS49" s="37" t="n">
        <f aca="false">IF(AND(ISNUMBER(BS48),ISNUMBER(BS39)),IFERROR(BS48/BS39,""),"")</f>
        <v>0.161055270839614</v>
      </c>
      <c r="BT49" s="37" t="n">
        <f aca="false">IF(AND(ISNUMBER(BT48),ISNUMBER(BT39)),IFERROR(BT48/BT39,""),"")</f>
        <v>0.17060603096529</v>
      </c>
      <c r="BU49" s="37" t="n">
        <f aca="false">IF(AND(ISNUMBER(BU48),ISNUMBER(BU39)),IFERROR(BU48/BU39,""),"")</f>
        <v>0.178066064144605</v>
      </c>
      <c r="BV49" s="37" t="n">
        <f aca="false">IF(AND(ISNUMBER(BV48),ISNUMBER(BV39)),IFERROR(BV48/BV39,""),"")</f>
        <v>0.167194581585979</v>
      </c>
      <c r="BW49" s="37" t="n">
        <f aca="false">IF(AND(ISNUMBER(BW48),ISNUMBER(BW39)),IFERROR(BW48/BW39,""),"")</f>
        <v>0.128574311129655</v>
      </c>
      <c r="BX49" s="37" t="n">
        <f aca="false">IF(AND(ISNUMBER(BX48),ISNUMBER(BX39)),IFERROR(BX48/BX39,""),"")</f>
        <v>0.142148886066571</v>
      </c>
      <c r="BY49" s="37" t="n">
        <f aca="false">IF(AND(ISNUMBER(BY48),ISNUMBER(BY39)),IFERROR(BY48/BY39,""),"")</f>
        <v>0.162494324774252</v>
      </c>
      <c r="BZ49" s="37" t="n">
        <f aca="false">IF(AND(ISNUMBER(BZ48),ISNUMBER(BZ39)),IFERROR(BZ48/BZ39,""),"")</f>
        <v>0.173854109881691</v>
      </c>
      <c r="CA49" s="37" t="n">
        <f aca="false">IF(AND(ISNUMBER(CA48),ISNUMBER(CA39)),IFERROR(CA48/CA39,""),"")</f>
        <v>0.152832610342656</v>
      </c>
      <c r="CB49" s="37" t="n">
        <f aca="false">IF(AND(ISNUMBER(CB48),ISNUMBER(CB39)),IFERROR(CB48/CB39,""),"")</f>
        <v>0.156228078662829</v>
      </c>
      <c r="CC49" s="28" t="n">
        <f aca="false">IF(AND(ISNUMBER(CC48),ISNUMBER(CC39)),IFERROR(CC48/CC39,""),"")</f>
        <v>0.157300064995618</v>
      </c>
      <c r="CD49" s="28" t="n">
        <f aca="false">IF(AND(ISNUMBER(CD48),ISNUMBER(CD39)),IFERROR(CD48/CD39,""),"")</f>
        <v>0.177645503703299</v>
      </c>
      <c r="CE49" s="28" t="n">
        <f aca="false">IF(AND(ISNUMBER(CE48),ISNUMBER(CE39)),IFERROR(CE48/CE39,""),"")</f>
        <v>0.189005288810738</v>
      </c>
      <c r="CF49" s="28" t="n">
        <f aca="false">IF(AND(ISNUMBER(CF48),ISNUMBER(CF39)),IFERROR(CF48/CF39,""),"")</f>
        <v>0.170703644949176</v>
      </c>
      <c r="CG49" s="28" t="n">
        <f aca="false">IF(AND(ISNUMBER(CG48),ISNUMBER(CG39)),IFERROR(CG48/CG39,""),"")</f>
        <v>0.176171582546968</v>
      </c>
      <c r="CH49" s="28" t="n">
        <f aca="false">IF(AND(ISNUMBER(CH48),ISNUMBER(CH39)),IFERROR(CH48/CH39,""),"")</f>
        <v>0.182171582546968</v>
      </c>
      <c r="CI49" s="28" t="n">
        <f aca="false">IF(AND(ISNUMBER(CI48),ISNUMBER(CI39)),IFERROR(CI48/CI39,""),"")</f>
        <v>0.187171582546968</v>
      </c>
      <c r="CJ49" s="28" t="n">
        <f aca="false">IF(AND(ISNUMBER(CJ48),ISNUMBER(CJ39)),IFERROR(CJ48/CJ39,""),"")</f>
        <v>0.192171582546968</v>
      </c>
      <c r="CK49" s="23"/>
      <c r="CS49" s="29" t="s">
        <v>206</v>
      </c>
      <c r="CU49" s="38" t="n">
        <v>0.037</v>
      </c>
      <c r="CW49" s="16" t="s">
        <v>207</v>
      </c>
    </row>
    <row r="50" customFormat="false" ht="15" hidden="false" customHeight="true" outlineLevel="1" collapsed="false">
      <c r="B50" s="42" t="s">
        <v>149</v>
      </c>
      <c r="T50" s="34" t="n">
        <v>9.525</v>
      </c>
      <c r="U50" s="34" t="n">
        <v>10.239</v>
      </c>
      <c r="V50" s="34" t="n">
        <v>10.154</v>
      </c>
      <c r="W50" s="34" t="n">
        <v>15.341</v>
      </c>
      <c r="X50" s="34" t="n">
        <v>45.259</v>
      </c>
      <c r="Y50" s="34" t="n">
        <v>11.534</v>
      </c>
      <c r="Z50" s="34" t="n">
        <v>16.207</v>
      </c>
      <c r="AA50" s="34" t="n">
        <v>12.816</v>
      </c>
      <c r="AB50" s="34" t="n">
        <v>18.745</v>
      </c>
      <c r="AC50" s="34" t="n">
        <v>59.302</v>
      </c>
      <c r="AD50" s="34" t="n">
        <v>10.205</v>
      </c>
      <c r="AE50" s="34" t="n">
        <v>10.718</v>
      </c>
      <c r="AF50" s="34" t="n">
        <v>9.917</v>
      </c>
      <c r="AG50" s="34" t="n">
        <v>19.565</v>
      </c>
      <c r="AH50" s="34" t="n">
        <v>43.756</v>
      </c>
      <c r="AI50" s="34" t="n">
        <v>10.778</v>
      </c>
      <c r="AJ50" s="34" t="n">
        <v>13.422</v>
      </c>
      <c r="AK50" s="34" t="n">
        <v>10.032</v>
      </c>
      <c r="AL50" s="34" t="n">
        <v>22.76</v>
      </c>
      <c r="AM50" s="34" t="n">
        <v>56.992</v>
      </c>
      <c r="AN50" s="34" t="n">
        <v>11.711</v>
      </c>
      <c r="AO50" s="34" t="n">
        <v>11.421</v>
      </c>
      <c r="AP50" s="34" t="n">
        <v>17.495</v>
      </c>
      <c r="AQ50" s="34" t="n">
        <v>26.113</v>
      </c>
      <c r="AR50" s="34" t="n">
        <v>66.74</v>
      </c>
      <c r="AS50" s="34" t="n">
        <v>12.366</v>
      </c>
      <c r="AT50" s="34" t="n">
        <v>23.464</v>
      </c>
      <c r="AU50" s="34" t="n">
        <v>18.331</v>
      </c>
      <c r="AV50" s="34" t="n">
        <v>-2.915</v>
      </c>
      <c r="AW50" s="34" t="n">
        <v>51.246</v>
      </c>
      <c r="AX50" s="34" t="n">
        <v>16.151</v>
      </c>
      <c r="AY50" s="34" t="n">
        <v>15.757</v>
      </c>
      <c r="AZ50" s="34" t="n">
        <v>17.245</v>
      </c>
      <c r="BA50" s="34" t="n">
        <v>29.316</v>
      </c>
      <c r="BB50" s="34" t="n">
        <v>78.469</v>
      </c>
      <c r="BC50" s="34" t="n">
        <v>38.991</v>
      </c>
      <c r="BD50" s="34" t="n">
        <v>21.536</v>
      </c>
      <c r="BE50" s="34" t="n">
        <v>25.311</v>
      </c>
      <c r="BF50" s="34" t="n">
        <v>41.279</v>
      </c>
      <c r="BG50" s="34" t="n">
        <v>127.117</v>
      </c>
      <c r="BH50" s="34" t="n">
        <v>34.503</v>
      </c>
      <c r="BI50" s="34" t="n">
        <v>30.344</v>
      </c>
      <c r="BJ50" s="34" t="n">
        <v>39.546</v>
      </c>
      <c r="BK50" s="34" t="n">
        <v>38.824</v>
      </c>
      <c r="BL50" s="34" t="n">
        <v>143.217</v>
      </c>
      <c r="BM50" s="34" t="n">
        <v>34.447</v>
      </c>
      <c r="BN50" s="34" t="n">
        <v>41.541</v>
      </c>
      <c r="BO50" s="34" t="n">
        <v>42.676</v>
      </c>
      <c r="BP50" s="34" t="n">
        <v>51.315</v>
      </c>
      <c r="BQ50" s="34" t="n">
        <v>169.979</v>
      </c>
      <c r="BR50" s="34" t="n">
        <v>43.305</v>
      </c>
      <c r="BS50" s="34" t="n">
        <v>43.808</v>
      </c>
      <c r="BT50" s="34" t="n">
        <v>48.837</v>
      </c>
      <c r="BU50" s="34" t="n">
        <v>55.659</v>
      </c>
      <c r="BV50" s="34" t="n">
        <v>191.608</v>
      </c>
      <c r="BW50" s="34" t="n">
        <v>37.595</v>
      </c>
      <c r="BX50" s="34" t="n">
        <v>42.979</v>
      </c>
      <c r="BY50" s="34" t="n">
        <v>51.538</v>
      </c>
      <c r="BZ50" s="34" t="n">
        <v>59</v>
      </c>
      <c r="CA50" s="34" t="n">
        <v>191.237</v>
      </c>
      <c r="CB50" s="34" t="n">
        <v>51.669</v>
      </c>
      <c r="CC50" s="43"/>
      <c r="CD50" s="43"/>
      <c r="CE50" s="43"/>
      <c r="CF50" s="43"/>
      <c r="CG50" s="43"/>
      <c r="CH50" s="43"/>
      <c r="CI50" s="43"/>
      <c r="CJ50" s="43"/>
      <c r="CK50" s="23"/>
      <c r="CS50" s="29" t="s">
        <v>208</v>
      </c>
      <c r="CU50" s="38" t="n">
        <v>0.039</v>
      </c>
      <c r="CW50" s="16" t="s">
        <v>209</v>
      </c>
    </row>
    <row r="51" customFormat="false" ht="15" hidden="false" customHeight="true" outlineLevel="0" collapsed="false">
      <c r="CS51" s="29" t="s">
        <v>210</v>
      </c>
      <c r="CU51" s="36" t="n">
        <v>229</v>
      </c>
      <c r="CW51" s="16" t="s">
        <v>211</v>
      </c>
    </row>
    <row r="52" customFormat="false" ht="15" hidden="false" customHeight="true" outlineLevel="0" collapsed="false">
      <c r="B52" s="17" t="s">
        <v>212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9" t="s">
        <v>213</v>
      </c>
      <c r="CS52" s="29" t="s">
        <v>214</v>
      </c>
      <c r="CU52" s="36" t="n">
        <v>1</v>
      </c>
      <c r="CW52" s="16" t="s">
        <v>215</v>
      </c>
    </row>
    <row r="53" customFormat="false" ht="15" hidden="false" customHeight="true" outlineLevel="1" collapsed="false">
      <c r="B53" s="42" t="s">
        <v>216</v>
      </c>
      <c r="D53" s="34" t="n">
        <v>501.443</v>
      </c>
      <c r="E53" s="34" t="n">
        <v>517.49</v>
      </c>
      <c r="F53" s="34" t="n">
        <v>428.369</v>
      </c>
      <c r="G53" s="34" t="n">
        <v>386.37</v>
      </c>
      <c r="H53" s="34" t="n">
        <v>419.222</v>
      </c>
      <c r="I53" s="34" t="n">
        <v>433.994</v>
      </c>
      <c r="J53" s="34" t="n">
        <v>100.279</v>
      </c>
      <c r="K53" s="34" t="n">
        <v>110.203</v>
      </c>
      <c r="L53" s="34" t="n">
        <v>126.129</v>
      </c>
      <c r="M53" s="34" t="n">
        <v>124.717</v>
      </c>
      <c r="N53" s="34" t="n">
        <v>461.328</v>
      </c>
      <c r="O53" s="34" t="n">
        <v>107.462</v>
      </c>
      <c r="P53" s="34" t="n">
        <v>121.883</v>
      </c>
      <c r="Q53" s="34" t="n">
        <v>107.678</v>
      </c>
      <c r="R53" s="34" t="n">
        <v>118.462</v>
      </c>
      <c r="S53" s="34" t="n">
        <v>455.485</v>
      </c>
      <c r="CC53" s="43"/>
      <c r="CD53" s="43"/>
      <c r="CE53" s="43"/>
      <c r="CF53" s="43"/>
      <c r="CG53" s="43"/>
      <c r="CH53" s="43"/>
      <c r="CI53" s="43"/>
      <c r="CJ53" s="43"/>
      <c r="CK53" s="23"/>
      <c r="CS53" s="29" t="s">
        <v>217</v>
      </c>
      <c r="CU53" s="36" t="n">
        <v>1.2</v>
      </c>
      <c r="CW53" s="16"/>
    </row>
    <row r="54" customFormat="false" ht="15" hidden="false" customHeight="true" outlineLevel="1" collapsed="false">
      <c r="B54" s="42" t="s">
        <v>218</v>
      </c>
      <c r="D54" s="34" t="n">
        <v>63.315</v>
      </c>
      <c r="E54" s="34" t="n">
        <v>64.766</v>
      </c>
      <c r="F54" s="34" t="n">
        <v>3.22</v>
      </c>
      <c r="G54" s="34" t="n">
        <v>40.104</v>
      </c>
      <c r="H54" s="34" t="n">
        <v>48.255</v>
      </c>
      <c r="I54" s="34" t="n">
        <v>49.037</v>
      </c>
      <c r="J54" s="34" t="n">
        <v>8.741</v>
      </c>
      <c r="K54" s="34" t="n">
        <v>10.404</v>
      </c>
      <c r="L54" s="34" t="n">
        <v>16.05</v>
      </c>
      <c r="M54" s="34" t="n">
        <v>18.051</v>
      </c>
      <c r="N54" s="34" t="n">
        <v>53.246</v>
      </c>
      <c r="O54" s="34" t="n">
        <v>8.681</v>
      </c>
      <c r="P54" s="34" t="n">
        <v>13.864</v>
      </c>
      <c r="Q54" s="34" t="n">
        <v>9.254</v>
      </c>
      <c r="R54" s="34" t="n">
        <v>14.91</v>
      </c>
      <c r="S54" s="34" t="n">
        <v>46.709</v>
      </c>
      <c r="CC54" s="43"/>
      <c r="CD54" s="43"/>
      <c r="CE54" s="43"/>
      <c r="CF54" s="43"/>
      <c r="CG54" s="43"/>
      <c r="CH54" s="43"/>
      <c r="CI54" s="43"/>
      <c r="CJ54" s="43"/>
      <c r="CK54" s="23"/>
      <c r="CS54" s="29" t="s">
        <v>219</v>
      </c>
      <c r="CU54" s="36" t="n">
        <v>50.3911578772066</v>
      </c>
      <c r="CW54" s="16" t="s">
        <v>220</v>
      </c>
    </row>
    <row r="55" customFormat="false" ht="15" hidden="false" customHeight="true" outlineLevel="1" collapsed="false">
      <c r="B55" s="42" t="s">
        <v>221</v>
      </c>
      <c r="D55" s="34" t="n">
        <v>362.417</v>
      </c>
      <c r="E55" s="34" t="n">
        <v>403.552</v>
      </c>
      <c r="F55" s="34" t="n">
        <v>378.097</v>
      </c>
      <c r="G55" s="34" t="n">
        <v>338.651</v>
      </c>
      <c r="H55" s="34" t="n">
        <v>377.663</v>
      </c>
      <c r="I55" s="34" t="n">
        <v>415.703</v>
      </c>
      <c r="J55" s="34" t="n">
        <v>110.841</v>
      </c>
      <c r="K55" s="34" t="n">
        <v>111.513</v>
      </c>
      <c r="L55" s="34" t="n">
        <v>112.878</v>
      </c>
      <c r="M55" s="34" t="n">
        <v>125.36</v>
      </c>
      <c r="N55" s="34" t="n">
        <v>460.592</v>
      </c>
      <c r="O55" s="34" t="n">
        <v>125.875</v>
      </c>
      <c r="P55" s="34" t="n">
        <v>124.585</v>
      </c>
      <c r="Q55" s="34" t="n">
        <v>126.743</v>
      </c>
      <c r="R55" s="34" t="n">
        <v>137.226</v>
      </c>
      <c r="S55" s="34" t="n">
        <v>514.429</v>
      </c>
      <c r="CC55" s="43"/>
      <c r="CD55" s="43"/>
      <c r="CE55" s="43"/>
      <c r="CF55" s="43"/>
      <c r="CG55" s="43"/>
      <c r="CH55" s="43"/>
      <c r="CI55" s="43"/>
      <c r="CJ55" s="43"/>
      <c r="CK55" s="23"/>
      <c r="CS55" s="29" t="s">
        <v>222</v>
      </c>
      <c r="CU55" s="36" t="n">
        <v>29.3233243380203</v>
      </c>
      <c r="CW55" s="16" t="s">
        <v>220</v>
      </c>
    </row>
    <row r="56" customFormat="false" ht="15" hidden="false" customHeight="true" outlineLevel="1" collapsed="false">
      <c r="B56" s="42" t="s">
        <v>223</v>
      </c>
      <c r="D56" s="34" t="n">
        <v>38.268</v>
      </c>
      <c r="E56" s="34" t="n">
        <v>35.638</v>
      </c>
      <c r="F56" s="34" t="n">
        <v>15.947</v>
      </c>
      <c r="G56" s="34" t="n">
        <v>13.442</v>
      </c>
      <c r="H56" s="34" t="n">
        <v>21.456</v>
      </c>
      <c r="I56" s="34" t="n">
        <v>35.127</v>
      </c>
      <c r="J56" s="34" t="n">
        <v>9.021</v>
      </c>
      <c r="K56" s="34" t="n">
        <v>9.654</v>
      </c>
      <c r="L56" s="34" t="n">
        <v>10.53</v>
      </c>
      <c r="M56" s="34" t="n">
        <v>13.877</v>
      </c>
      <c r="N56" s="34" t="n">
        <v>43.082</v>
      </c>
      <c r="O56" s="34" t="n">
        <v>11.446</v>
      </c>
      <c r="P56" s="34" t="n">
        <v>10.585</v>
      </c>
      <c r="Q56" s="34" t="n">
        <v>10.654</v>
      </c>
      <c r="R56" s="34" t="n">
        <v>16.267</v>
      </c>
      <c r="S56" s="34" t="n">
        <v>48.952</v>
      </c>
      <c r="CC56" s="43"/>
      <c r="CD56" s="43"/>
      <c r="CE56" s="43"/>
      <c r="CF56" s="43"/>
      <c r="CG56" s="43"/>
      <c r="CH56" s="43"/>
      <c r="CI56" s="43"/>
      <c r="CJ56" s="43"/>
      <c r="CK56" s="23"/>
      <c r="CS56" s="29" t="s">
        <v>224</v>
      </c>
      <c r="CU56" s="38" t="n">
        <v>0.14802014098504</v>
      </c>
      <c r="CW56" s="16" t="s">
        <v>220</v>
      </c>
    </row>
    <row r="57" customFormat="false" ht="15" hidden="false" customHeight="true" outlineLevel="1" collapsed="false">
      <c r="B57" s="42" t="s">
        <v>225</v>
      </c>
      <c r="D57" s="34" t="n">
        <v>108.411</v>
      </c>
      <c r="E57" s="34" t="n">
        <v>182.29</v>
      </c>
      <c r="F57" s="34" t="n">
        <v>213.204</v>
      </c>
      <c r="G57" s="34" t="n">
        <v>252.961</v>
      </c>
      <c r="H57" s="34" t="n">
        <v>321.251</v>
      </c>
      <c r="I57" s="34" t="n">
        <v>340.042</v>
      </c>
      <c r="J57" s="34" t="n">
        <v>85.362</v>
      </c>
      <c r="K57" s="34" t="n">
        <v>82.831</v>
      </c>
      <c r="L57" s="34" t="n">
        <v>87.78</v>
      </c>
      <c r="M57" s="34" t="n">
        <v>93.991</v>
      </c>
      <c r="N57" s="34" t="n">
        <v>349.964</v>
      </c>
      <c r="O57" s="34" t="n">
        <v>94.14</v>
      </c>
      <c r="P57" s="34" t="n">
        <v>92.969</v>
      </c>
      <c r="Q57" s="34" t="n">
        <v>94.114</v>
      </c>
      <c r="R57" s="34" t="n">
        <v>76.745</v>
      </c>
      <c r="S57" s="34" t="n">
        <v>357.968</v>
      </c>
      <c r="CC57" s="43"/>
      <c r="CD57" s="43"/>
      <c r="CE57" s="43"/>
      <c r="CF57" s="43"/>
      <c r="CG57" s="43"/>
      <c r="CH57" s="43"/>
      <c r="CI57" s="43"/>
      <c r="CJ57" s="43"/>
      <c r="CK57" s="23"/>
      <c r="CS57" s="29" t="s">
        <v>226</v>
      </c>
      <c r="CU57" s="38" t="n">
        <v>0.0254088835084917</v>
      </c>
      <c r="CW57" s="16" t="s">
        <v>220</v>
      </c>
    </row>
    <row r="58" customFormat="false" ht="15" hidden="false" customHeight="true" outlineLevel="1" collapsed="false">
      <c r="B58" s="42" t="s">
        <v>227</v>
      </c>
      <c r="D58" s="34" t="n">
        <v>7.204</v>
      </c>
      <c r="E58" s="34" t="n">
        <v>25.791</v>
      </c>
      <c r="F58" s="34" t="n">
        <v>19.374</v>
      </c>
      <c r="G58" s="34" t="n">
        <v>24.276</v>
      </c>
      <c r="H58" s="34" t="n">
        <v>31.07</v>
      </c>
      <c r="I58" s="34" t="n">
        <v>25.963</v>
      </c>
      <c r="J58" s="34" t="n">
        <v>4.625</v>
      </c>
      <c r="K58" s="34" t="n">
        <v>2.914</v>
      </c>
      <c r="L58" s="34" t="n">
        <v>3.896</v>
      </c>
      <c r="M58" s="34" t="n">
        <v>4.407</v>
      </c>
      <c r="N58" s="34" t="n">
        <v>15.842</v>
      </c>
      <c r="O58" s="34" t="n">
        <v>2.55</v>
      </c>
      <c r="P58" s="34" t="n">
        <v>2.453</v>
      </c>
      <c r="Q58" s="34" t="n">
        <v>1.872</v>
      </c>
      <c r="R58" s="34" t="n">
        <v>63.856</v>
      </c>
      <c r="S58" s="34" t="n">
        <v>70.731</v>
      </c>
      <c r="CC58" s="43"/>
      <c r="CD58" s="43"/>
      <c r="CE58" s="43"/>
      <c r="CF58" s="43"/>
      <c r="CG58" s="43"/>
      <c r="CH58" s="43"/>
      <c r="CI58" s="43"/>
      <c r="CJ58" s="43"/>
      <c r="CK58" s="23"/>
      <c r="CS58" s="29" t="s">
        <v>228</v>
      </c>
      <c r="CU58" s="36" t="n">
        <v>30.2903138905965</v>
      </c>
      <c r="CW58" s="16" t="s">
        <v>220</v>
      </c>
    </row>
    <row r="59" customFormat="false" ht="15" hidden="false" customHeight="true" outlineLevel="0" collapsed="false">
      <c r="B59" s="29" t="s">
        <v>229</v>
      </c>
      <c r="C59" s="34" t="n">
        <v>834.832</v>
      </c>
      <c r="D59" s="45" t="n">
        <f aca="false">SUM(D53,D55,D57)</f>
        <v>972.271</v>
      </c>
      <c r="E59" s="45" t="n">
        <f aca="false">SUM(E53,E55,E57)</f>
        <v>1103.332</v>
      </c>
      <c r="F59" s="45" t="n">
        <f aca="false">SUM(F53,F55,F57)</f>
        <v>1019.67</v>
      </c>
      <c r="G59" s="45" t="n">
        <f aca="false">SUM(G53,G55,G57)</f>
        <v>977.982</v>
      </c>
      <c r="H59" s="45" t="n">
        <f aca="false">SUM(H53,H55,H57)</f>
        <v>1118.136</v>
      </c>
      <c r="I59" s="45" t="n">
        <f aca="false">SUM(I53,I55,I57)</f>
        <v>1189.739</v>
      </c>
      <c r="J59" s="45" t="n">
        <f aca="false">SUM(J53,J55,J57)</f>
        <v>296.482</v>
      </c>
      <c r="K59" s="45" t="n">
        <f aca="false">SUM(K53,K55,K57)</f>
        <v>304.547</v>
      </c>
      <c r="L59" s="45" t="n">
        <f aca="false">SUM(L53,L55,L57)</f>
        <v>326.787</v>
      </c>
      <c r="M59" s="45" t="n">
        <f aca="false">SUM(M53,M55,M57)</f>
        <v>344.068</v>
      </c>
      <c r="N59" s="45" t="n">
        <f aca="false">SUM(N53,N55,N57)</f>
        <v>1271.884</v>
      </c>
      <c r="O59" s="45" t="n">
        <f aca="false">SUM(O53,O55,O57)</f>
        <v>327.477</v>
      </c>
      <c r="P59" s="45" t="n">
        <f aca="false">SUM(P53,P55,P57)</f>
        <v>339.437</v>
      </c>
      <c r="Q59" s="45" t="n">
        <f aca="false">SUM(Q53,Q55,Q57)</f>
        <v>328.535</v>
      </c>
      <c r="R59" s="45" t="n">
        <f aca="false">SUM(R53,R55,R57)</f>
        <v>332.433</v>
      </c>
      <c r="S59" s="45" t="n">
        <f aca="false">SUM(S53,S55,S57)</f>
        <v>1327.882</v>
      </c>
      <c r="CC59" s="43"/>
      <c r="CD59" s="43"/>
      <c r="CE59" s="43"/>
      <c r="CF59" s="43"/>
      <c r="CG59" s="43"/>
      <c r="CH59" s="43"/>
      <c r="CI59" s="43"/>
      <c r="CJ59" s="43"/>
      <c r="CK59" s="23"/>
      <c r="CS59" s="29" t="s">
        <v>230</v>
      </c>
      <c r="CU59" s="38" t="n">
        <v>0.0210427899890641</v>
      </c>
      <c r="CW59" s="16" t="s">
        <v>220</v>
      </c>
    </row>
    <row r="60" customFormat="false" ht="15" hidden="false" customHeight="true" outlineLevel="0" collapsed="false">
      <c r="B60" s="29" t="s">
        <v>231</v>
      </c>
      <c r="C60" s="34" t="n">
        <v>292.845</v>
      </c>
      <c r="D60" s="34" t="n">
        <v>361.911</v>
      </c>
      <c r="E60" s="34" t="n">
        <v>428.649</v>
      </c>
      <c r="F60" s="34" t="n">
        <v>358.086</v>
      </c>
      <c r="G60" s="34" t="n">
        <v>378.036</v>
      </c>
      <c r="H60" s="34" t="n">
        <v>447.495</v>
      </c>
      <c r="I60" s="34" t="n">
        <v>474.898</v>
      </c>
      <c r="J60" s="34" t="n">
        <v>119.18</v>
      </c>
      <c r="K60" s="34" t="n">
        <v>115.099</v>
      </c>
      <c r="L60" s="34" t="n">
        <v>127.863</v>
      </c>
      <c r="M60" s="34" t="n">
        <v>136.635</v>
      </c>
      <c r="N60" s="34" t="n">
        <v>498.777</v>
      </c>
      <c r="O60" s="34" t="n">
        <v>127.845</v>
      </c>
      <c r="P60" s="34" t="n">
        <v>131.715</v>
      </c>
      <c r="Q60" s="34" t="n">
        <v>127.509</v>
      </c>
      <c r="R60" s="34" t="n">
        <v>132.814</v>
      </c>
      <c r="S60" s="34" t="n">
        <v>519.883</v>
      </c>
      <c r="CC60" s="43"/>
      <c r="CD60" s="43"/>
      <c r="CE60" s="43"/>
      <c r="CF60" s="43"/>
      <c r="CG60" s="43"/>
      <c r="CH60" s="43"/>
      <c r="CI60" s="43"/>
      <c r="CJ60" s="43"/>
      <c r="CK60" s="23"/>
      <c r="CS60" s="29" t="s">
        <v>232</v>
      </c>
      <c r="CU60" s="38" t="n">
        <v>0.0789362508445585</v>
      </c>
      <c r="CW60" s="16" t="s">
        <v>220</v>
      </c>
    </row>
    <row r="61" customFormat="false" ht="15" hidden="false" customHeight="true" outlineLevel="0" collapsed="false">
      <c r="CS61" s="29" t="s">
        <v>233</v>
      </c>
      <c r="CU61" s="38" t="n">
        <v>0.25</v>
      </c>
      <c r="CW61" s="16" t="s">
        <v>234</v>
      </c>
    </row>
    <row r="62" customFormat="false" ht="15" hidden="false" customHeight="true" outlineLevel="0" collapsed="false">
      <c r="B62" s="17" t="s">
        <v>235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9" t="s">
        <v>236</v>
      </c>
      <c r="CS62" s="29" t="s">
        <v>237</v>
      </c>
      <c r="CU62" s="38" t="n">
        <v>0.62</v>
      </c>
      <c r="CW62" s="16" t="s">
        <v>238</v>
      </c>
    </row>
    <row r="63" customFormat="false" ht="15" hidden="false" customHeight="true" outlineLevel="0" collapsed="false">
      <c r="B63" s="29" t="s">
        <v>239</v>
      </c>
      <c r="CC63" s="46" t="n">
        <f aca="false">$CU$20</f>
        <v>1</v>
      </c>
      <c r="CD63" s="46" t="n">
        <f aca="false">$CU$20</f>
        <v>1</v>
      </c>
      <c r="CE63" s="46" t="n">
        <f aca="false">$CU$20</f>
        <v>1</v>
      </c>
      <c r="CF63" s="46" t="n">
        <f aca="false">$CU$20</f>
        <v>1</v>
      </c>
      <c r="CG63" s="46" t="n">
        <f aca="false">$CU$20</f>
        <v>1</v>
      </c>
      <c r="CH63" s="46" t="n">
        <f aca="false">$CU$20</f>
        <v>1</v>
      </c>
      <c r="CI63" s="46" t="n">
        <f aca="false">$CU$20</f>
        <v>1</v>
      </c>
      <c r="CJ63" s="46" t="n">
        <f aca="false">$CU$20</f>
        <v>1</v>
      </c>
      <c r="CK63" s="23" t="s">
        <v>240</v>
      </c>
      <c r="CS63" s="29" t="s">
        <v>241</v>
      </c>
      <c r="CU63" s="36" t="n">
        <v>58</v>
      </c>
      <c r="CW63" s="16" t="s">
        <v>242</v>
      </c>
    </row>
    <row r="64" customFormat="false" ht="15" hidden="false" customHeight="true" outlineLevel="0" collapsed="false">
      <c r="B64" s="29" t="s">
        <v>243</v>
      </c>
      <c r="CC64" s="47" t="n">
        <f aca="false">MAX(0,DATE(2026,11,30)-MAX(DATE(2026,9,1),$CU$21)+1)*CC63</f>
        <v>0</v>
      </c>
      <c r="CD64" s="47" t="n">
        <f aca="false">MAX(0,DATE(2027,2,28)-MAX(DATE(2026,12,1),$CU$21)+1)*CD63</f>
        <v>60</v>
      </c>
      <c r="CE64" s="47" t="n">
        <f aca="false">MAX(0,DATE(2027,5,31)-MAX(DATE(2027,3,1),$CU$21)+1)*CE63</f>
        <v>92</v>
      </c>
      <c r="CF64" s="47" t="n">
        <f aca="false">SUM(CB64,CC64,CD64,CE64)</f>
        <v>152</v>
      </c>
      <c r="CG64" s="47" t="n">
        <f aca="false">365*CG63</f>
        <v>365</v>
      </c>
      <c r="CH64" s="47" t="n">
        <f aca="false">365*CH63</f>
        <v>365</v>
      </c>
      <c r="CI64" s="47" t="n">
        <f aca="false">365*CI63</f>
        <v>365</v>
      </c>
      <c r="CJ64" s="47" t="n">
        <f aca="false">365*CJ63</f>
        <v>365</v>
      </c>
      <c r="CK64" s="23" t="s">
        <v>244</v>
      </c>
      <c r="CS64" s="29" t="s">
        <v>245</v>
      </c>
      <c r="CU64" s="36" t="n">
        <v>-1000</v>
      </c>
      <c r="CW64" s="16" t="s">
        <v>246</v>
      </c>
    </row>
    <row r="65" customFormat="false" ht="15" hidden="false" customHeight="true" outlineLevel="0" collapsed="false">
      <c r="B65" s="29" t="s">
        <v>247</v>
      </c>
      <c r="CA65" s="34" t="n">
        <v>2492.672</v>
      </c>
      <c r="CC65" s="35" t="n">
        <f aca="false">$CF$65</f>
        <v>2567.45216</v>
      </c>
      <c r="CD65" s="35" t="n">
        <f aca="false">$CF$65</f>
        <v>2567.45216</v>
      </c>
      <c r="CE65" s="35" t="n">
        <f aca="false">$CF$65</f>
        <v>2567.45216</v>
      </c>
      <c r="CF65" s="35" t="n">
        <f aca="false">CA65*(1+CF66)</f>
        <v>2567.45216</v>
      </c>
      <c r="CG65" s="35" t="n">
        <f aca="false">CF65*(1+CG66)</f>
        <v>2644.4757248</v>
      </c>
      <c r="CH65" s="35" t="n">
        <f aca="false">CG65*(1+CH66)</f>
        <v>2737.032375168</v>
      </c>
      <c r="CI65" s="35" t="n">
        <f aca="false">CH65*(1+CI66)</f>
        <v>2832.82850829888</v>
      </c>
      <c r="CJ65" s="35" t="n">
        <f aca="false">CI65*(1+CJ66)</f>
        <v>2931.97750608934</v>
      </c>
      <c r="CK65" s="23" t="s">
        <v>248</v>
      </c>
      <c r="CS65" s="29" t="s">
        <v>249</v>
      </c>
      <c r="CU65" s="36" t="n">
        <v>-400</v>
      </c>
      <c r="CW65" s="16" t="s">
        <v>250</v>
      </c>
    </row>
    <row r="66" customFormat="false" ht="15" hidden="false" customHeight="true" outlineLevel="0" collapsed="false">
      <c r="B66" s="26" t="s">
        <v>251</v>
      </c>
      <c r="CA66" s="31" t="n">
        <v>0.033</v>
      </c>
      <c r="CC66" s="33"/>
      <c r="CD66" s="33"/>
      <c r="CE66" s="33"/>
      <c r="CF66" s="28" t="n">
        <f aca="false">CHOOSE(MATCH($CK$2,{"Bull","Base","Bear"},0),$CT$118,$CU$118,$CV$118)</f>
        <v>0.03</v>
      </c>
      <c r="CG66" s="28" t="n">
        <f aca="false">CHOOSE(MATCH($CK$2,{"Bull","Base","Bear"},0),$CT$119,$CU$119,$CV$119)</f>
        <v>0.03</v>
      </c>
      <c r="CH66" s="28" t="n">
        <f aca="false">CHOOSE(MATCH($CK$2,{"Bull","Base","Bear"},0),$CT$120,$CU$120,$CV$120)</f>
        <v>0.035</v>
      </c>
      <c r="CI66" s="28" t="n">
        <f aca="false">CHOOSE(MATCH($CK$2,{"Bull","Base","Bear"},0),$CT$121,$CU$121,$CV$121)</f>
        <v>0.035</v>
      </c>
      <c r="CJ66" s="28" t="n">
        <f aca="false">CHOOSE(MATCH($CK$2,{"Bull","Base","Bear"},0),$CT$122,$CU$122,$CV$122)</f>
        <v>0.035</v>
      </c>
      <c r="CK66" s="23" t="s">
        <v>252</v>
      </c>
      <c r="CS66" s="29" t="s">
        <v>253</v>
      </c>
      <c r="CU66" s="38" t="n">
        <v>1</v>
      </c>
      <c r="CW66" s="16"/>
    </row>
    <row r="67" customFormat="false" ht="15" hidden="false" customHeight="true" outlineLevel="0" collapsed="false">
      <c r="B67" s="20" t="s">
        <v>254</v>
      </c>
      <c r="CC67" s="22" t="n">
        <f aca="false">CC65*CC64/365</f>
        <v>0</v>
      </c>
      <c r="CD67" s="22" t="n">
        <f aca="false">CD65*CD64/365</f>
        <v>422.046930410959</v>
      </c>
      <c r="CE67" s="22" t="n">
        <f aca="false">CE65*CE64/365</f>
        <v>647.138626630137</v>
      </c>
      <c r="CF67" s="22" t="n">
        <f aca="false">SUM(CB67,CC67,CD67,CE67)</f>
        <v>1069.1855570411</v>
      </c>
      <c r="CG67" s="22" t="n">
        <f aca="false">CG65*CG63</f>
        <v>2644.4757248</v>
      </c>
      <c r="CH67" s="22" t="n">
        <f aca="false">CH65*CH63</f>
        <v>2737.032375168</v>
      </c>
      <c r="CI67" s="22" t="n">
        <f aca="false">CI65*CI63</f>
        <v>2832.82850829888</v>
      </c>
      <c r="CJ67" s="22" t="n">
        <f aca="false">CJ65*CJ63</f>
        <v>2931.97750608934</v>
      </c>
      <c r="CK67" s="23"/>
      <c r="CS67" s="29" t="s">
        <v>255</v>
      </c>
      <c r="CU67" s="36" t="n">
        <v>250</v>
      </c>
      <c r="CW67" s="16" t="s">
        <v>256</v>
      </c>
    </row>
    <row r="68" customFormat="false" ht="15" hidden="false" customHeight="true" outlineLevel="0" collapsed="false">
      <c r="B68" s="29" t="s">
        <v>257</v>
      </c>
      <c r="CC68" s="28" t="n">
        <f aca="false">$CF$68</f>
        <v>0.318</v>
      </c>
      <c r="CD68" s="28" t="n">
        <f aca="false">$CF$68</f>
        <v>0.318</v>
      </c>
      <c r="CE68" s="28" t="n">
        <f aca="false">$CF$68</f>
        <v>0.318</v>
      </c>
      <c r="CF68" s="28" t="n">
        <f aca="false">$CU$30</f>
        <v>0.318</v>
      </c>
      <c r="CG68" s="28" t="n">
        <f aca="false">CF68</f>
        <v>0.318</v>
      </c>
      <c r="CH68" s="28" t="n">
        <f aca="false">CG68</f>
        <v>0.318</v>
      </c>
      <c r="CI68" s="28" t="n">
        <f aca="false">CH68</f>
        <v>0.318</v>
      </c>
      <c r="CJ68" s="28" t="n">
        <f aca="false">CI68</f>
        <v>0.318</v>
      </c>
      <c r="CK68" s="23" t="s">
        <v>258</v>
      </c>
      <c r="CS68" s="29" t="s">
        <v>259</v>
      </c>
      <c r="CU68" s="38" t="n">
        <v>0.048</v>
      </c>
      <c r="CW68" s="16"/>
    </row>
    <row r="69" customFormat="false" ht="15" hidden="false" customHeight="true" outlineLevel="0" collapsed="false">
      <c r="B69" s="29" t="s">
        <v>260</v>
      </c>
      <c r="CC69" s="28" t="n">
        <f aca="false">$CF$69</f>
        <v>0.03</v>
      </c>
      <c r="CD69" s="28" t="n">
        <f aca="false">$CF$69</f>
        <v>0.03</v>
      </c>
      <c r="CE69" s="28" t="n">
        <f aca="false">$CF$69</f>
        <v>0.03</v>
      </c>
      <c r="CF69" s="28" t="n">
        <f aca="false">CHOOSE(MATCH($CK$2,{"Bull","Base","Bear"},0),$CT$125,$CU$125,$CV$125)</f>
        <v>0.03</v>
      </c>
      <c r="CG69" s="28" t="n">
        <f aca="false">MIN(1,CHOOSE(MATCH($CK$2,{"Bull","Base","Bear"},0),$CT$126,$CU$126,$CV$126))</f>
        <v>0.25</v>
      </c>
      <c r="CH69" s="28" t="n">
        <f aca="false">MIN(1,CHOOSE(MATCH($CK$2,{"Bull","Base","Bear"},0),$CT$127,$CU$127,$CV$127))</f>
        <v>0.55</v>
      </c>
      <c r="CI69" s="28" t="n">
        <f aca="false">MIN(1,CHOOSE(MATCH($CK$2,{"Bull","Base","Bear"},0),$CT$128,$CU$128,$CV$128))</f>
        <v>0.85</v>
      </c>
      <c r="CJ69" s="28" t="n">
        <f aca="false">MIN(1,CHOOSE(MATCH($CK$2,{"Bull","Base","Bear"},0),$CT$129,$CU$129,$CV$129))</f>
        <v>1</v>
      </c>
      <c r="CK69" s="23" t="s">
        <v>261</v>
      </c>
      <c r="CS69" s="29" t="s">
        <v>262</v>
      </c>
      <c r="CU69" s="38" t="n">
        <v>0.045</v>
      </c>
      <c r="CW69" s="16" t="s">
        <v>263</v>
      </c>
    </row>
    <row r="70" customFormat="false" ht="15" hidden="false" customHeight="true" outlineLevel="0" collapsed="false">
      <c r="B70" s="29" t="s">
        <v>264</v>
      </c>
      <c r="CC70" s="35" t="n">
        <f aca="false">$CU$25*CC69*CC64/365</f>
        <v>0</v>
      </c>
      <c r="CD70" s="35" t="n">
        <f aca="false">$CU$25*CD69*CD64/365</f>
        <v>1.84931506849315</v>
      </c>
      <c r="CE70" s="35" t="n">
        <f aca="false">$CU$25*CE69*CE64/365</f>
        <v>2.83561643835616</v>
      </c>
      <c r="CF70" s="35" t="n">
        <f aca="false">SUM(CB70,CC70,CD70,CE70)</f>
        <v>4.68493150684932</v>
      </c>
      <c r="CG70" s="35" t="n">
        <f aca="false">$CU$25*CG69*CG63</f>
        <v>93.75</v>
      </c>
      <c r="CH70" s="35" t="n">
        <f aca="false">$CU$25*CH69*CH63</f>
        <v>206.25</v>
      </c>
      <c r="CI70" s="35" t="n">
        <f aca="false">$CU$25*CI69*CI63</f>
        <v>318.75</v>
      </c>
      <c r="CJ70" s="35" t="n">
        <f aca="false">$CU$25*CJ69*CJ63</f>
        <v>375</v>
      </c>
      <c r="CK70" s="23"/>
      <c r="CS70" s="29" t="s">
        <v>265</v>
      </c>
      <c r="CU70" s="38" t="n">
        <v>0.035</v>
      </c>
      <c r="CW70" s="16"/>
    </row>
    <row r="71" customFormat="false" ht="15" hidden="false" customHeight="true" outlineLevel="0" collapsed="false">
      <c r="B71" s="29" t="s">
        <v>266</v>
      </c>
      <c r="CC71" s="35" t="n">
        <f aca="false">CC67*CC68+CC70*$CU$26-$CU$27*CC64/365</f>
        <v>0</v>
      </c>
      <c r="CD71" s="35" t="n">
        <f aca="false">CD67*CD68+CD70*$CU$26-$CU$27*CD64/365</f>
        <v>135.34640332274</v>
      </c>
      <c r="CE71" s="35" t="n">
        <f aca="false">CE67*CE68+CE70*$CU$26-$CU$27*CE64/365</f>
        <v>207.531151761534</v>
      </c>
      <c r="CF71" s="35" t="n">
        <f aca="false">SUM(CB71,CC71,CD71,CE71)</f>
        <v>342.877555084274</v>
      </c>
      <c r="CG71" s="35" t="n">
        <f aca="false">CG67*CG68+CG70*$CU$26-$CU$27*CG63</f>
        <v>901.4757804864</v>
      </c>
      <c r="CH71" s="35" t="n">
        <f aca="false">CH67*CH68+CH70*$CU$26-$CU$27*CH63</f>
        <v>1004.03379530342</v>
      </c>
      <c r="CI71" s="35" t="n">
        <f aca="false">CI67*CI68+CI70*$CU$26-$CU$27*CI63</f>
        <v>1107.62196563904</v>
      </c>
      <c r="CJ71" s="35" t="n">
        <f aca="false">CJ67*CJ68+CJ70*$CU$26-$CU$27*CJ63</f>
        <v>1175.71384693641</v>
      </c>
      <c r="CK71" s="23" t="s">
        <v>267</v>
      </c>
      <c r="CS71" s="29" t="s">
        <v>268</v>
      </c>
      <c r="CU71" s="36" t="n">
        <v>4</v>
      </c>
      <c r="CW71" s="16" t="s">
        <v>269</v>
      </c>
    </row>
    <row r="72" customFormat="false" ht="15" hidden="false" customHeight="true" outlineLevel="0" collapsed="false">
      <c r="B72" s="29" t="s">
        <v>270</v>
      </c>
      <c r="CC72" s="28" t="n">
        <f aca="false">$CF$72</f>
        <v>0.25</v>
      </c>
      <c r="CD72" s="28" t="n">
        <f aca="false">$CF$72</f>
        <v>0.25</v>
      </c>
      <c r="CE72" s="28" t="n">
        <f aca="false">$CF$72</f>
        <v>0.25</v>
      </c>
      <c r="CF72" s="28" t="n">
        <f aca="false">$CU$31</f>
        <v>0.25</v>
      </c>
      <c r="CG72" s="28" t="n">
        <f aca="false">CF72</f>
        <v>0.25</v>
      </c>
      <c r="CH72" s="28" t="n">
        <f aca="false">CG72</f>
        <v>0.25</v>
      </c>
      <c r="CI72" s="28" t="n">
        <f aca="false">CH72</f>
        <v>0.25</v>
      </c>
      <c r="CJ72" s="28" t="n">
        <f aca="false">CI72</f>
        <v>0.25</v>
      </c>
      <c r="CK72" s="23" t="s">
        <v>271</v>
      </c>
      <c r="CS72" s="29" t="s">
        <v>272</v>
      </c>
      <c r="CU72" s="48" t="n">
        <v>198.95</v>
      </c>
      <c r="CW72" s="16" t="s">
        <v>273</v>
      </c>
    </row>
    <row r="73" customFormat="false" ht="15" hidden="false" customHeight="true" outlineLevel="0" collapsed="false">
      <c r="B73" s="29" t="s">
        <v>274</v>
      </c>
      <c r="CC73" s="35" t="n">
        <f aca="false">$CU$28*CC64/365</f>
        <v>0</v>
      </c>
      <c r="CD73" s="35" t="n">
        <f aca="false">$CU$28*CD64/365</f>
        <v>16.1518356164384</v>
      </c>
      <c r="CE73" s="35" t="n">
        <f aca="false">$CU$28*CE64/365</f>
        <v>24.7661479452055</v>
      </c>
      <c r="CF73" s="35" t="n">
        <f aca="false">SUM(CB73,CC73,CD73,CE73)</f>
        <v>40.9179835616438</v>
      </c>
      <c r="CG73" s="35" t="n">
        <f aca="false">($CU$28)*CG63</f>
        <v>98.257</v>
      </c>
      <c r="CH73" s="35" t="n">
        <f aca="false">($CU$28)*CH63</f>
        <v>98.257</v>
      </c>
      <c r="CI73" s="35" t="n">
        <f aca="false">($CU$29)*CI63</f>
        <v>82.7333333333333</v>
      </c>
      <c r="CJ73" s="35" t="n">
        <f aca="false">($CU$29)*CJ63</f>
        <v>82.7333333333333</v>
      </c>
      <c r="CK73" s="23" t="s">
        <v>275</v>
      </c>
      <c r="CS73" s="29" t="s">
        <v>276</v>
      </c>
      <c r="CU73" s="38" t="n">
        <v>0.08</v>
      </c>
      <c r="CW73" s="16"/>
    </row>
    <row r="74" customFormat="false" ht="15" hidden="false" customHeight="true" outlineLevel="0" collapsed="false">
      <c r="B74" s="29" t="s">
        <v>277</v>
      </c>
      <c r="CC74" s="35" t="n">
        <f aca="false">CC67*CC72-CC70*(1-$CU$26)+CC73</f>
        <v>0</v>
      </c>
      <c r="CD74" s="35" t="n">
        <f aca="false">CD67*CD72-CD70*(1-$CU$26)+CD73</f>
        <v>121.016307945205</v>
      </c>
      <c r="CE74" s="35" t="n">
        <f aca="false">CE67*CE72-CE70*(1-$CU$26)+CE73</f>
        <v>185.558338849315</v>
      </c>
      <c r="CF74" s="35" t="n">
        <f aca="false">SUM(CB74,CC74,CD74,CE74)</f>
        <v>306.574646794521</v>
      </c>
      <c r="CG74" s="35" t="n">
        <f aca="false">CG67*CG72-CG70*(1-$CU$26)+CG73</f>
        <v>726.5634312</v>
      </c>
      <c r="CH74" s="35" t="n">
        <f aca="false">CH67*CH72-CH70*(1-$CU$26)+CH73</f>
        <v>710.327593792</v>
      </c>
      <c r="CI74" s="35" t="n">
        <f aca="false">CI67*CI72-CI70*(1-$CU$26)+CI73</f>
        <v>679.377960408053</v>
      </c>
      <c r="CJ74" s="35" t="n">
        <f aca="false">CJ67*CJ72-CJ70*(1-$CU$26)+CJ73</f>
        <v>684.477709855669</v>
      </c>
      <c r="CK74" s="23"/>
    </row>
    <row r="75" customFormat="false" ht="15" hidden="false" customHeight="true" outlineLevel="0" collapsed="false">
      <c r="B75" s="20" t="s">
        <v>278</v>
      </c>
      <c r="CC75" s="22" t="n">
        <f aca="false">CC71-CC74</f>
        <v>0</v>
      </c>
      <c r="CD75" s="22" t="n">
        <f aca="false">CD71-CD74</f>
        <v>14.3300953775343</v>
      </c>
      <c r="CE75" s="22" t="n">
        <f aca="false">CE71-CE74</f>
        <v>21.9728129122192</v>
      </c>
      <c r="CF75" s="22" t="n">
        <f aca="false">CF71-CF74</f>
        <v>36.3029082897534</v>
      </c>
      <c r="CG75" s="22" t="n">
        <f aca="false">CG71-CG74</f>
        <v>174.9123492864</v>
      </c>
      <c r="CH75" s="22" t="n">
        <f aca="false">CH71-CH74</f>
        <v>293.706201511424</v>
      </c>
      <c r="CI75" s="22" t="n">
        <f aca="false">CI71-CI74</f>
        <v>428.24400523099</v>
      </c>
      <c r="CJ75" s="22" t="n">
        <f aca="false">CJ71-CJ74</f>
        <v>491.236137080742</v>
      </c>
      <c r="CK75" s="23"/>
      <c r="CS75" s="19" t="s">
        <v>279</v>
      </c>
      <c r="CT75" s="49" t="n">
        <v>0.015</v>
      </c>
      <c r="CU75" s="50" t="s">
        <v>280</v>
      </c>
      <c r="CV75" s="49" t="n">
        <v>-0.02</v>
      </c>
      <c r="CW75" s="16" t="s">
        <v>281</v>
      </c>
    </row>
    <row r="76" customFormat="false" ht="15" hidden="false" customHeight="true" outlineLevel="0" collapsed="false">
      <c r="B76" s="29" t="s">
        <v>282</v>
      </c>
      <c r="CC76" s="28" t="n">
        <f aca="false">$CF$76</f>
        <v>0.05</v>
      </c>
      <c r="CD76" s="28" t="n">
        <f aca="false">$CF$76</f>
        <v>0.05</v>
      </c>
      <c r="CE76" s="28" t="n">
        <f aca="false">$CF$76</f>
        <v>0.05</v>
      </c>
      <c r="CF76" s="28" t="n">
        <f aca="false">$CU$32</f>
        <v>0.05</v>
      </c>
      <c r="CG76" s="28" t="n">
        <f aca="false">CF76</f>
        <v>0.05</v>
      </c>
      <c r="CH76" s="28" t="n">
        <f aca="false">CG76</f>
        <v>0.05</v>
      </c>
      <c r="CI76" s="28" t="n">
        <f aca="false">CH76</f>
        <v>0.05</v>
      </c>
      <c r="CJ76" s="28" t="n">
        <f aca="false">CI76</f>
        <v>0.05</v>
      </c>
      <c r="CK76" s="23" t="s">
        <v>283</v>
      </c>
      <c r="CS76" s="29" t="s">
        <v>284</v>
      </c>
      <c r="CT76" s="51" t="n">
        <f aca="false">CU76+$CT$75</f>
        <v>0.085</v>
      </c>
      <c r="CU76" s="38" t="n">
        <v>0.07</v>
      </c>
      <c r="CV76" s="51" t="n">
        <f aca="false">CU76+$CV$75</f>
        <v>0.05</v>
      </c>
    </row>
    <row r="77" customFormat="false" ht="15" hidden="false" customHeight="true" outlineLevel="0" collapsed="false">
      <c r="B77" s="29" t="s">
        <v>285</v>
      </c>
      <c r="CC77" s="35" t="n">
        <f aca="false">CC67*CC76+$CU$27*CC64/365+CC73</f>
        <v>0</v>
      </c>
      <c r="CD77" s="35" t="n">
        <f aca="false">CD67*CD76+$CU$27*CD64/365+CD73</f>
        <v>37.3207574794521</v>
      </c>
      <c r="CE77" s="35" t="n">
        <f aca="false">CE67*CE76+$CU$27*CE64/365+CE73</f>
        <v>57.2251614684932</v>
      </c>
      <c r="CF77" s="35" t="n">
        <f aca="false">SUM(CB77,CC77,CD77,CE77)</f>
        <v>94.5459189479452</v>
      </c>
      <c r="CG77" s="35" t="n">
        <f aca="false">CG67*CG76+$CU$27*CG63+CG73</f>
        <v>230.88578624</v>
      </c>
      <c r="CH77" s="35" t="n">
        <f aca="false">CH67*CH76+$CU$27*CH63+CH73</f>
        <v>235.5136187584</v>
      </c>
      <c r="CI77" s="35" t="n">
        <f aca="false">CI67*CI76+$CU$27*CI63+CI73</f>
        <v>224.779758748277</v>
      </c>
      <c r="CJ77" s="35" t="n">
        <f aca="false">CJ67*CJ76+$CU$27*CJ63+CJ73</f>
        <v>229.7372086378</v>
      </c>
      <c r="CK77" s="23"/>
      <c r="CS77" s="29" t="s">
        <v>286</v>
      </c>
      <c r="CT77" s="51" t="n">
        <f aca="false">CU77+$CT$75</f>
        <v>0.08</v>
      </c>
      <c r="CU77" s="38" t="n">
        <v>0.065</v>
      </c>
      <c r="CV77" s="51" t="n">
        <f aca="false">CU77+$CV$75</f>
        <v>0.045</v>
      </c>
    </row>
    <row r="78" customFormat="false" ht="15" hidden="false" customHeight="true" outlineLevel="0" collapsed="false">
      <c r="B78" s="42" t="s">
        <v>287</v>
      </c>
      <c r="CC78" s="35" t="n">
        <f aca="false">CC75+CC77</f>
        <v>0</v>
      </c>
      <c r="CD78" s="35" t="n">
        <f aca="false">CD75+CD77</f>
        <v>51.6508528569863</v>
      </c>
      <c r="CE78" s="35" t="n">
        <f aca="false">CE75+CE77</f>
        <v>79.1979743807123</v>
      </c>
      <c r="CF78" s="35" t="n">
        <f aca="false">CF75+CF77</f>
        <v>130.848827237699</v>
      </c>
      <c r="CG78" s="35" t="n">
        <f aca="false">CG75+CG77</f>
        <v>405.7981355264</v>
      </c>
      <c r="CH78" s="35" t="n">
        <f aca="false">CH75+CH77</f>
        <v>529.219820269824</v>
      </c>
      <c r="CI78" s="35" t="n">
        <f aca="false">CI75+CI77</f>
        <v>653.023763979268</v>
      </c>
      <c r="CJ78" s="35" t="n">
        <f aca="false">CJ75+CJ77</f>
        <v>720.973345718542</v>
      </c>
      <c r="CK78" s="23" t="s">
        <v>288</v>
      </c>
      <c r="CS78" s="29" t="s">
        <v>289</v>
      </c>
      <c r="CT78" s="51" t="n">
        <f aca="false">CU78+$CT$75</f>
        <v>0.08</v>
      </c>
      <c r="CU78" s="38" t="n">
        <v>0.065</v>
      </c>
      <c r="CV78" s="51" t="n">
        <f aca="false">CU78+$CV$75</f>
        <v>0.045</v>
      </c>
    </row>
    <row r="79" customFormat="false" ht="15" hidden="false" customHeight="true" outlineLevel="0" collapsed="false">
      <c r="B79" s="29" t="s">
        <v>290</v>
      </c>
      <c r="CC79" s="28" t="str">
        <f aca="false">IF(AND(ISNUMBER(CC78),ISNUMBER(CC67)),IFERROR(CC78/CC67,""),"")</f>
        <v/>
      </c>
      <c r="CD79" s="28" t="n">
        <f aca="false">IF(AND(ISNUMBER(CD78),ISNUMBER(CD67)),IFERROR(CD78/CD67,""),"")</f>
        <v>0.122381775900354</v>
      </c>
      <c r="CE79" s="28" t="n">
        <f aca="false">IF(AND(ISNUMBER(CE78),ISNUMBER(CE67)),IFERROR(CE78/CE67,""),"")</f>
        <v>0.122381775900354</v>
      </c>
      <c r="CF79" s="28" t="n">
        <f aca="false">IF(AND(ISNUMBER(CF78),ISNUMBER(CF67)),IFERROR(CF78/CF67,""),"")</f>
        <v>0.122381775900354</v>
      </c>
      <c r="CG79" s="28" t="n">
        <f aca="false">IF(AND(ISNUMBER(CG78),ISNUMBER(CG67)),IFERROR(CG78/CG67,""),"")</f>
        <v>0.153451261329725</v>
      </c>
      <c r="CH79" s="28" t="n">
        <f aca="false">IF(AND(ISNUMBER(CH78),ISNUMBER(CH67)),IFERROR(CH78/CH67,""),"")</f>
        <v>0.19335533809217</v>
      </c>
      <c r="CI79" s="28" t="n">
        <f aca="false">IF(AND(ISNUMBER(CI78),ISNUMBER(CI67)),IFERROR(CI78/CI67,""),"")</f>
        <v>0.230520048095467</v>
      </c>
      <c r="CJ79" s="28" t="n">
        <f aca="false">IF(AND(ISNUMBER(CJ78),ISNUMBER(CJ67)),IFERROR(CJ78/CJ67,""),"")</f>
        <v>0.245900026252307</v>
      </c>
      <c r="CK79" s="23"/>
      <c r="CS79" s="29" t="s">
        <v>291</v>
      </c>
      <c r="CT79" s="51" t="n">
        <f aca="false">CU79+$CT$75</f>
        <v>0.075</v>
      </c>
      <c r="CU79" s="38" t="n">
        <v>0.06</v>
      </c>
      <c r="CV79" s="51" t="n">
        <f aca="false">CU79+$CV$75</f>
        <v>0.04</v>
      </c>
    </row>
    <row r="80" customFormat="false" ht="15" hidden="false" customHeight="true" outlineLevel="0" collapsed="false">
      <c r="B80" s="29" t="s">
        <v>292</v>
      </c>
      <c r="BZ80" s="34" t="n">
        <v>14.024</v>
      </c>
      <c r="CA80" s="34" t="n">
        <v>15.136</v>
      </c>
      <c r="CB80" s="34" t="n">
        <v>14.412</v>
      </c>
      <c r="CC80" s="35" t="n">
        <f aca="false">$CU$34</f>
        <v>15</v>
      </c>
      <c r="CD80" s="35" t="n">
        <f aca="false">$CU$34+($CU$35+$CU$36*$CU$37*0.4)*IF(CD64&gt;0,1,0)</f>
        <v>108.7</v>
      </c>
      <c r="CE80" s="35" t="n">
        <f aca="false">$CU$34*IF(CD64&gt;0,0,1)+$CU$36*$CU$37*0.6*CE63</f>
        <v>31.5</v>
      </c>
      <c r="CF80" s="35" t="n">
        <f aca="false">SUM(CB80,CC80,CD80,CE80)</f>
        <v>169.612</v>
      </c>
      <c r="CG80" s="35" t="n">
        <f aca="false">$CU$36*$CU$38*CG63</f>
        <v>157.5</v>
      </c>
      <c r="CH80" s="35" t="n">
        <f aca="false">$CU$36*$CU$39*CH63</f>
        <v>105</v>
      </c>
      <c r="CI80" s="35" t="n">
        <f aca="false">$CU$36*$CU$40*CI63</f>
        <v>35</v>
      </c>
      <c r="CJ80" s="35" t="n">
        <f aca="false">$CU$36*0*CJ63</f>
        <v>0</v>
      </c>
      <c r="CK80" s="23" t="s">
        <v>293</v>
      </c>
    </row>
    <row r="81" customFormat="false" ht="15" hidden="false" customHeight="true" outlineLevel="0" collapsed="false">
      <c r="CS81" s="19" t="s">
        <v>294</v>
      </c>
      <c r="CT81" s="49" t="n">
        <v>0.03</v>
      </c>
      <c r="CU81" s="50" t="s">
        <v>280</v>
      </c>
      <c r="CV81" s="49" t="n">
        <v>-0.04</v>
      </c>
      <c r="CW81" s="16" t="s">
        <v>295</v>
      </c>
    </row>
    <row r="82" customFormat="false" ht="15" hidden="false" customHeight="true" outlineLevel="0" collapsed="false">
      <c r="B82" s="17" t="s">
        <v>296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9" t="s">
        <v>297</v>
      </c>
      <c r="CS82" s="29" t="s">
        <v>284</v>
      </c>
      <c r="CT82" s="51" t="n">
        <f aca="false">CU82+$CT$81</f>
        <v>0.15</v>
      </c>
      <c r="CU82" s="38" t="n">
        <v>0.12</v>
      </c>
      <c r="CV82" s="51" t="n">
        <f aca="false">CU82+$CV$81</f>
        <v>0.08</v>
      </c>
    </row>
    <row r="83" customFormat="false" ht="15" hidden="false" customHeight="true" outlineLevel="0" collapsed="false">
      <c r="B83" s="29" t="s">
        <v>298</v>
      </c>
      <c r="N83" s="34" t="n">
        <v>69.37</v>
      </c>
      <c r="S83" s="34" t="n">
        <v>33.441</v>
      </c>
      <c r="X83" s="34" t="n">
        <v>15.495</v>
      </c>
      <c r="AC83" s="34" t="n">
        <v>156.579</v>
      </c>
      <c r="AH83" s="34" t="n">
        <v>2102.371</v>
      </c>
      <c r="AM83" s="34" t="n">
        <v>19.346</v>
      </c>
      <c r="AR83" s="34" t="n">
        <v>9.813</v>
      </c>
      <c r="AW83" s="34" t="n">
        <v>53.72</v>
      </c>
      <c r="BB83" s="34" t="n">
        <v>10.038</v>
      </c>
      <c r="BG83" s="34" t="n">
        <v>164.228</v>
      </c>
      <c r="BL83" s="34" t="n">
        <v>46.357</v>
      </c>
      <c r="BQ83" s="34" t="n">
        <v>186.837</v>
      </c>
      <c r="BV83" s="34" t="n">
        <v>232.899</v>
      </c>
      <c r="CA83" s="34" t="n">
        <v>164.548</v>
      </c>
      <c r="CC83" s="43"/>
      <c r="CD83" s="43"/>
      <c r="CE83" s="43"/>
      <c r="CF83" s="43"/>
      <c r="CG83" s="35" t="n">
        <f aca="false">CHOOSE(MATCH($CK$2,{"Bull","Base","Bear"},0),$CT$132,$CU$132,$CV$132)</f>
        <v>300</v>
      </c>
      <c r="CH83" s="35" t="n">
        <f aca="false">CHOOSE(MATCH($CK$2,{"Bull","Base","Bear"},0),$CT$133,$CU$133,$CV$133)</f>
        <v>350</v>
      </c>
      <c r="CI83" s="35" t="n">
        <f aca="false">CHOOSE(MATCH($CK$2,{"Bull","Base","Bear"},0),$CT$134,$CU$134,$CV$134)</f>
        <v>400</v>
      </c>
      <c r="CJ83" s="35" t="n">
        <f aca="false">CHOOSE(MATCH($CK$2,{"Bull","Base","Bear"},0),$CT$135,$CU$135,$CV$135)</f>
        <v>450</v>
      </c>
      <c r="CK83" s="23" t="s">
        <v>299</v>
      </c>
      <c r="CS83" s="29" t="s">
        <v>286</v>
      </c>
      <c r="CT83" s="51" t="n">
        <f aca="false">CU83+$CT$81</f>
        <v>0.14</v>
      </c>
      <c r="CU83" s="38" t="n">
        <v>0.11</v>
      </c>
      <c r="CV83" s="51" t="n">
        <f aca="false">CU83+$CV$81</f>
        <v>0.07</v>
      </c>
    </row>
    <row r="84" customFormat="false" ht="15" hidden="false" customHeight="true" outlineLevel="0" collapsed="false">
      <c r="B84" s="29" t="s">
        <v>300</v>
      </c>
      <c r="CC84" s="52"/>
      <c r="CD84" s="52"/>
      <c r="CE84" s="52"/>
      <c r="CF84" s="52"/>
      <c r="CG84" s="53" t="n">
        <f aca="false">$CU$41</f>
        <v>2</v>
      </c>
      <c r="CH84" s="53" t="n">
        <f aca="false">$CU$41</f>
        <v>2</v>
      </c>
      <c r="CI84" s="53" t="n">
        <f aca="false">$CU$41</f>
        <v>2</v>
      </c>
      <c r="CJ84" s="53" t="n">
        <f aca="false">$CU$41</f>
        <v>2</v>
      </c>
      <c r="CK84" s="23"/>
      <c r="CS84" s="29" t="s">
        <v>289</v>
      </c>
      <c r="CT84" s="51" t="n">
        <f aca="false">CU84+$CT$81</f>
        <v>0.13</v>
      </c>
      <c r="CU84" s="38" t="n">
        <v>0.1</v>
      </c>
      <c r="CV84" s="51" t="n">
        <f aca="false">CU84+$CV$81</f>
        <v>0.06</v>
      </c>
    </row>
    <row r="85" customFormat="false" ht="15" hidden="false" customHeight="true" outlineLevel="0" collapsed="false">
      <c r="B85" s="29" t="s">
        <v>301</v>
      </c>
      <c r="CC85" s="43"/>
      <c r="CD85" s="43"/>
      <c r="CE85" s="43"/>
      <c r="CF85" s="43"/>
      <c r="CG85" s="35" t="n">
        <f aca="false">IFERROR(CG83/CG84,0)</f>
        <v>150</v>
      </c>
      <c r="CH85" s="35" t="n">
        <f aca="false">IFERROR(CH83/CH84,0)</f>
        <v>175</v>
      </c>
      <c r="CI85" s="35" t="n">
        <f aca="false">IFERROR(CI83/CI84,0)</f>
        <v>200</v>
      </c>
      <c r="CJ85" s="35" t="n">
        <f aca="false">IFERROR(CJ83/CJ84,0)</f>
        <v>225</v>
      </c>
      <c r="CK85" s="23"/>
      <c r="CS85" s="29" t="s">
        <v>291</v>
      </c>
      <c r="CT85" s="51" t="n">
        <f aca="false">CU85+$CT$81</f>
        <v>0.12</v>
      </c>
      <c r="CU85" s="38" t="n">
        <v>0.09</v>
      </c>
      <c r="CV85" s="51" t="n">
        <f aca="false">CU85+$CV$81</f>
        <v>0.05</v>
      </c>
    </row>
    <row r="86" customFormat="false" ht="15" hidden="false" customHeight="true" outlineLevel="0" collapsed="false">
      <c r="B86" s="29" t="s">
        <v>302</v>
      </c>
      <c r="CC86" s="33"/>
      <c r="CD86" s="33"/>
      <c r="CE86" s="33"/>
      <c r="CF86" s="33"/>
      <c r="CG86" s="28" t="n">
        <f aca="false">CG12</f>
        <v>0.07</v>
      </c>
      <c r="CH86" s="28" t="n">
        <f aca="false">CH12</f>
        <v>0.065</v>
      </c>
      <c r="CI86" s="28" t="n">
        <f aca="false">CI12</f>
        <v>0.065</v>
      </c>
      <c r="CJ86" s="28" t="n">
        <f aca="false">CJ12</f>
        <v>0.06</v>
      </c>
      <c r="CK86" s="23"/>
    </row>
    <row r="87" customFormat="false" ht="15" hidden="false" customHeight="true" outlineLevel="0" collapsed="false">
      <c r="B87" s="29" t="s">
        <v>303</v>
      </c>
      <c r="CC87" s="43"/>
      <c r="CD87" s="43"/>
      <c r="CE87" s="43"/>
      <c r="CF87" s="43"/>
      <c r="CG87" s="35" t="n">
        <f aca="false">CG85</f>
        <v>150</v>
      </c>
      <c r="CH87" s="35" t="n">
        <f aca="false">CG87*(1+CH86)+CH85</f>
        <v>334.75</v>
      </c>
      <c r="CI87" s="35" t="n">
        <f aca="false">CH87*(1+CI86)+CI85</f>
        <v>556.50875</v>
      </c>
      <c r="CJ87" s="35" t="n">
        <f aca="false">CI87*(1+CJ86)+CJ85</f>
        <v>814.899275</v>
      </c>
      <c r="CK87" s="23"/>
      <c r="CS87" s="19" t="s">
        <v>304</v>
      </c>
      <c r="CT87" s="49" t="n">
        <v>0.02</v>
      </c>
      <c r="CU87" s="50" t="s">
        <v>280</v>
      </c>
      <c r="CV87" s="49" t="n">
        <v>-0.03</v>
      </c>
      <c r="CW87" s="16" t="s">
        <v>305</v>
      </c>
    </row>
    <row r="88" customFormat="false" ht="15" hidden="false" customHeight="true" outlineLevel="0" collapsed="false">
      <c r="B88" s="20" t="s">
        <v>306</v>
      </c>
      <c r="CC88" s="54"/>
      <c r="CD88" s="54"/>
      <c r="CE88" s="54"/>
      <c r="CF88" s="54"/>
      <c r="CG88" s="22" t="n">
        <f aca="false">CG85*0.5</f>
        <v>75</v>
      </c>
      <c r="CH88" s="22" t="n">
        <f aca="false">CG87*(1+CH86)+CH85*0.5</f>
        <v>247.25</v>
      </c>
      <c r="CI88" s="22" t="n">
        <f aca="false">CH87*(1+CI86)+CI85*0.5</f>
        <v>456.50875</v>
      </c>
      <c r="CJ88" s="22" t="n">
        <f aca="false">CI87*(1+CJ86)+CJ85*0.5</f>
        <v>702.399275</v>
      </c>
      <c r="CK88" s="23" t="s">
        <v>307</v>
      </c>
      <c r="CS88" s="29" t="s">
        <v>284</v>
      </c>
      <c r="CT88" s="51" t="n">
        <f aca="false">CU88+$CT$87</f>
        <v>0.11</v>
      </c>
      <c r="CU88" s="38" t="n">
        <v>0.09</v>
      </c>
      <c r="CV88" s="51" t="n">
        <f aca="false">CU88+$CV$87</f>
        <v>0.06</v>
      </c>
    </row>
    <row r="89" customFormat="false" ht="15" hidden="false" customHeight="true" outlineLevel="0" collapsed="false">
      <c r="B89" s="29" t="s">
        <v>308</v>
      </c>
      <c r="CC89" s="33"/>
      <c r="CD89" s="33"/>
      <c r="CE89" s="33"/>
      <c r="CF89" s="33"/>
      <c r="CG89" s="28" t="n">
        <f aca="false">$CU$42</f>
        <v>0.15</v>
      </c>
      <c r="CH89" s="28" t="n">
        <f aca="false">$CU$42</f>
        <v>0.15</v>
      </c>
      <c r="CI89" s="28" t="n">
        <f aca="false">$CU$42</f>
        <v>0.15</v>
      </c>
      <c r="CJ89" s="28" t="n">
        <f aca="false">$CU$42</f>
        <v>0.15</v>
      </c>
      <c r="CK89" s="23"/>
      <c r="CS89" s="29" t="s">
        <v>286</v>
      </c>
      <c r="CT89" s="51" t="n">
        <f aca="false">CU89+$CT$87</f>
        <v>0.1</v>
      </c>
      <c r="CU89" s="38" t="n">
        <v>0.08</v>
      </c>
      <c r="CV89" s="51" t="n">
        <f aca="false">CU89+$CV$87</f>
        <v>0.05</v>
      </c>
    </row>
    <row r="90" customFormat="false" ht="15" hidden="false" customHeight="true" outlineLevel="0" collapsed="false">
      <c r="B90" s="29" t="s">
        <v>309</v>
      </c>
      <c r="CC90" s="33"/>
      <c r="CD90" s="33"/>
      <c r="CE90" s="33"/>
      <c r="CF90" s="33"/>
      <c r="CG90" s="28" t="n">
        <f aca="false">$CU$43</f>
        <v>0.45</v>
      </c>
      <c r="CH90" s="28" t="n">
        <f aca="false">$CU$43</f>
        <v>0.45</v>
      </c>
      <c r="CI90" s="28" t="n">
        <f aca="false">$CU$43</f>
        <v>0.45</v>
      </c>
      <c r="CJ90" s="28" t="n">
        <f aca="false">$CU$43</f>
        <v>0.45</v>
      </c>
      <c r="CK90" s="23"/>
      <c r="CS90" s="29" t="s">
        <v>289</v>
      </c>
      <c r="CT90" s="51" t="n">
        <f aca="false">CU90+$CT$87</f>
        <v>0.1</v>
      </c>
      <c r="CU90" s="38" t="n">
        <v>0.08</v>
      </c>
      <c r="CV90" s="51" t="n">
        <f aca="false">CU90+$CV$87</f>
        <v>0.05</v>
      </c>
    </row>
    <row r="91" customFormat="false" ht="15" hidden="false" customHeight="true" outlineLevel="0" collapsed="false">
      <c r="B91" s="29" t="s">
        <v>310</v>
      </c>
      <c r="CC91" s="43"/>
      <c r="CD91" s="43"/>
      <c r="CE91" s="43"/>
      <c r="CF91" s="43"/>
      <c r="CG91" s="35" t="n">
        <f aca="false">CG88*CG90</f>
        <v>33.75</v>
      </c>
      <c r="CH91" s="35" t="n">
        <f aca="false">CH88*CH90</f>
        <v>111.2625</v>
      </c>
      <c r="CI91" s="35" t="n">
        <f aca="false">CI88*CI90</f>
        <v>205.4289375</v>
      </c>
      <c r="CJ91" s="35" t="n">
        <f aca="false">CJ88*CJ90</f>
        <v>316.07967375</v>
      </c>
      <c r="CK91" s="23"/>
      <c r="CS91" s="29" t="s">
        <v>291</v>
      </c>
      <c r="CT91" s="51" t="n">
        <f aca="false">CU91+$CT$87</f>
        <v>0.09</v>
      </c>
      <c r="CU91" s="38" t="n">
        <v>0.07</v>
      </c>
      <c r="CV91" s="51" t="n">
        <f aca="false">CU91+$CV$87</f>
        <v>0.04</v>
      </c>
    </row>
    <row r="92" customFormat="false" ht="15" hidden="false" customHeight="true" outlineLevel="0" collapsed="false">
      <c r="B92" s="29" t="s">
        <v>311</v>
      </c>
      <c r="CC92" s="43"/>
      <c r="CD92" s="43"/>
      <c r="CE92" s="43"/>
      <c r="CF92" s="43"/>
      <c r="CG92" s="35" t="n">
        <f aca="false">CG91-CG88*CG89</f>
        <v>22.5</v>
      </c>
      <c r="CH92" s="35" t="n">
        <f aca="false">CH91-CH88*CH89</f>
        <v>74.175</v>
      </c>
      <c r="CI92" s="35" t="n">
        <f aca="false">CI91-CI88*CI89</f>
        <v>136.952625</v>
      </c>
      <c r="CJ92" s="35" t="n">
        <f aca="false">CJ91-CJ88*CJ89</f>
        <v>210.7197825</v>
      </c>
      <c r="CK92" s="23"/>
    </row>
    <row r="93" customFormat="false" ht="15" hidden="false" customHeight="true" outlineLevel="0" collapsed="false">
      <c r="B93" s="29" t="s">
        <v>312</v>
      </c>
      <c r="CC93" s="33"/>
      <c r="CD93" s="33"/>
      <c r="CE93" s="33"/>
      <c r="CF93" s="33"/>
      <c r="CG93" s="28" t="n">
        <f aca="false">$CU$44</f>
        <v>0.7</v>
      </c>
      <c r="CH93" s="28" t="n">
        <f aca="false">$CU$44</f>
        <v>0.7</v>
      </c>
      <c r="CI93" s="28" t="n">
        <f aca="false">$CU$44</f>
        <v>0.7</v>
      </c>
      <c r="CJ93" s="28" t="n">
        <f aca="false">$CU$44</f>
        <v>0.7</v>
      </c>
      <c r="CK93" s="23"/>
      <c r="CS93" s="19" t="s">
        <v>313</v>
      </c>
      <c r="CT93" s="49" t="n">
        <v>0.0075</v>
      </c>
      <c r="CU93" s="50" t="s">
        <v>280</v>
      </c>
      <c r="CV93" s="49" t="n">
        <v>-0.01</v>
      </c>
      <c r="CW93" s="16" t="s">
        <v>314</v>
      </c>
    </row>
    <row r="94" customFormat="false" ht="15" hidden="false" customHeight="true" outlineLevel="0" collapsed="false">
      <c r="B94" s="29" t="s">
        <v>315</v>
      </c>
      <c r="CC94" s="43"/>
      <c r="CD94" s="43"/>
      <c r="CE94" s="43"/>
      <c r="CF94" s="43"/>
      <c r="CG94" s="35" t="n">
        <f aca="false">$CU$45</f>
        <v>10</v>
      </c>
      <c r="CH94" s="35" t="n">
        <f aca="false">$CU$45</f>
        <v>10</v>
      </c>
      <c r="CI94" s="35" t="n">
        <f aca="false">$CU$45</f>
        <v>10</v>
      </c>
      <c r="CJ94" s="35" t="n">
        <f aca="false">$CU$45</f>
        <v>10</v>
      </c>
      <c r="CK94" s="23"/>
      <c r="CS94" s="29" t="s">
        <v>284</v>
      </c>
      <c r="CT94" s="51" t="n">
        <f aca="false">CU94+$CT$93</f>
        <v>0.5175</v>
      </c>
      <c r="CU94" s="38" t="n">
        <v>0.51</v>
      </c>
      <c r="CV94" s="51" t="n">
        <f aca="false">CU94+$CV$93</f>
        <v>0.5</v>
      </c>
    </row>
    <row r="95" customFormat="false" ht="15" hidden="false" customHeight="true" outlineLevel="0" collapsed="false">
      <c r="B95" s="29" t="s">
        <v>316</v>
      </c>
      <c r="CC95" s="43"/>
      <c r="CD95" s="43"/>
      <c r="CE95" s="43"/>
      <c r="CF95" s="43"/>
      <c r="CG95" s="35" t="n">
        <f aca="false">CG83*(1-CG93)</f>
        <v>90</v>
      </c>
      <c r="CH95" s="35" t="n">
        <f aca="false">CG95+CH83*(1-CH93)</f>
        <v>195</v>
      </c>
      <c r="CI95" s="35" t="n">
        <f aca="false">CH95+CI83*(1-CI93)</f>
        <v>315</v>
      </c>
      <c r="CJ95" s="35" t="n">
        <f aca="false">CI95+CJ83*(1-CJ93)</f>
        <v>450</v>
      </c>
      <c r="CK95" s="23"/>
      <c r="CS95" s="29" t="s">
        <v>286</v>
      </c>
      <c r="CT95" s="51" t="n">
        <f aca="false">CU95+$CT$93</f>
        <v>0.5205</v>
      </c>
      <c r="CU95" s="38" t="n">
        <v>0.513</v>
      </c>
      <c r="CV95" s="51" t="n">
        <f aca="false">CU95+$CV$93</f>
        <v>0.503</v>
      </c>
    </row>
    <row r="96" customFormat="false" ht="15" hidden="false" customHeight="true" outlineLevel="0" collapsed="false">
      <c r="B96" s="29" t="s">
        <v>317</v>
      </c>
      <c r="CC96" s="43"/>
      <c r="CD96" s="43"/>
      <c r="CE96" s="43"/>
      <c r="CF96" s="43"/>
      <c r="CG96" s="35" t="n">
        <f aca="false">IFERROR(CG83*(1-CG93)/CG94*0.5,0)</f>
        <v>4.5</v>
      </c>
      <c r="CH96" s="35" t="n">
        <f aca="false">IFERROR(CG95/CH94+CH83*(1-CH93)/CH94*0.5,0)</f>
        <v>14.25</v>
      </c>
      <c r="CI96" s="35" t="n">
        <f aca="false">IFERROR(CH95/CI94+CI83*(1-CI93)/CI94*0.5,0)</f>
        <v>25.5</v>
      </c>
      <c r="CJ96" s="35" t="n">
        <f aca="false">IFERROR(CI95/CJ94+CJ83*(1-CJ93)/CJ94*0.5,0)</f>
        <v>38.25</v>
      </c>
      <c r="CK96" s="23"/>
      <c r="CS96" s="29" t="s">
        <v>289</v>
      </c>
      <c r="CT96" s="51" t="n">
        <f aca="false">CU96+$CT$93</f>
        <v>0.5235</v>
      </c>
      <c r="CU96" s="38" t="n">
        <v>0.516</v>
      </c>
      <c r="CV96" s="51" t="n">
        <f aca="false">CU96+$CV$93</f>
        <v>0.506</v>
      </c>
    </row>
    <row r="97" customFormat="false" ht="15" hidden="false" customHeight="true" outlineLevel="0" collapsed="false">
      <c r="B97" s="29" t="s">
        <v>318</v>
      </c>
      <c r="CC97" s="43"/>
      <c r="CD97" s="43"/>
      <c r="CE97" s="43"/>
      <c r="CF97" s="43"/>
      <c r="CG97" s="35" t="n">
        <f aca="false">CG96+CG88*0.015</f>
        <v>5.625</v>
      </c>
      <c r="CH97" s="35" t="n">
        <f aca="false">CH96+CH88*0.015</f>
        <v>17.95875</v>
      </c>
      <c r="CI97" s="35" t="n">
        <f aca="false">CI96+CI88*0.015</f>
        <v>32.34763125</v>
      </c>
      <c r="CJ97" s="35" t="n">
        <f aca="false">CJ96+CJ88*0.015</f>
        <v>48.785989125</v>
      </c>
      <c r="CK97" s="23"/>
      <c r="CS97" s="29" t="s">
        <v>291</v>
      </c>
      <c r="CT97" s="51" t="n">
        <f aca="false">CU97+$CT$93</f>
        <v>0.5265</v>
      </c>
      <c r="CU97" s="38" t="n">
        <v>0.519</v>
      </c>
      <c r="CV97" s="51" t="n">
        <f aca="false">CU97+$CV$93</f>
        <v>0.509</v>
      </c>
    </row>
    <row r="98" customFormat="false" ht="15" hidden="false" customHeight="true" outlineLevel="0" collapsed="false"/>
    <row r="99" customFormat="false" ht="15" hidden="false" customHeight="true" outlineLevel="0" collapsed="false">
      <c r="B99" s="17" t="s">
        <v>319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9" t="s">
        <v>320</v>
      </c>
      <c r="CS99" s="19" t="s">
        <v>321</v>
      </c>
      <c r="CT99" s="49" t="n">
        <v>0.01</v>
      </c>
      <c r="CU99" s="50" t="s">
        <v>280</v>
      </c>
      <c r="CV99" s="49" t="n">
        <v>-0.015</v>
      </c>
      <c r="CW99" s="16" t="s">
        <v>322</v>
      </c>
    </row>
    <row r="100" customFormat="false" ht="15" hidden="false" customHeight="true" outlineLevel="0" collapsed="false">
      <c r="B100" s="55" t="s">
        <v>323</v>
      </c>
      <c r="C100" s="56" t="n">
        <f aca="false">SUM(C11,C59)</f>
        <v>3403.608</v>
      </c>
      <c r="D100" s="56" t="n">
        <f aca="false">SUM(D11,D59)</f>
        <v>3706.9</v>
      </c>
      <c r="E100" s="56" t="n">
        <f aca="false">SUM(E11,E59)</f>
        <v>3937.9</v>
      </c>
      <c r="F100" s="56" t="n">
        <f aca="false">SUM(F11,F59)</f>
        <v>3774.685</v>
      </c>
      <c r="G100" s="56" t="n">
        <f aca="false">SUM(G11,G59)</f>
        <v>3547.339</v>
      </c>
      <c r="H100" s="56" t="n">
        <f aca="false">SUM(H11,H59)</f>
        <v>3810.384</v>
      </c>
      <c r="I100" s="56" t="n">
        <f aca="false">SUM(I11,I59)</f>
        <v>4102</v>
      </c>
      <c r="J100" s="56" t="n">
        <f aca="false">SUM(J11,J59)</f>
        <v>1051.325</v>
      </c>
      <c r="K100" s="56" t="n">
        <f aca="false">SUM(K11,K59)</f>
        <v>1060.386</v>
      </c>
      <c r="L100" s="56" t="n">
        <f aca="false">SUM(L11,L59)</f>
        <v>1075.674</v>
      </c>
      <c r="M100" s="56" t="n">
        <f aca="false">SUM(M11,M59)</f>
        <v>1129.086</v>
      </c>
      <c r="N100" s="56" t="n">
        <f aca="false">SUM(N11,N59)</f>
        <v>4316.471</v>
      </c>
      <c r="O100" s="56" t="n">
        <f aca="false">SUM(O11,O59)</f>
        <v>1120.343</v>
      </c>
      <c r="P100" s="56" t="n">
        <f aca="false">SUM(P11,P59)</f>
        <v>1143.753</v>
      </c>
      <c r="Q100" s="56" t="n">
        <f aca="false">SUM(Q11,Q59)</f>
        <v>1130.237</v>
      </c>
      <c r="R100" s="56" t="n">
        <f aca="false">SUM(R11,R59)</f>
        <v>1157.479</v>
      </c>
      <c r="S100" s="56" t="n">
        <f aca="false">SUM(S11,S59)</f>
        <v>4551.812</v>
      </c>
      <c r="T100" s="56" t="n">
        <f aca="false">SUM(T11,T25,T39)</f>
        <v>1102.077</v>
      </c>
      <c r="U100" s="56" t="n">
        <f aca="false">SUM(U11,U25,U39)</f>
        <v>1123.379</v>
      </c>
      <c r="V100" s="56" t="n">
        <f aca="false">SUM(V11,V25,V39)</f>
        <v>1108.847</v>
      </c>
      <c r="W100" s="56" t="n">
        <f aca="false">SUM(W11,W25,W39)</f>
        <v>1142.583</v>
      </c>
      <c r="X100" s="56" t="n">
        <f aca="false">SUM(X11,X25,X39)</f>
        <v>4476.886</v>
      </c>
      <c r="Y100" s="56" t="n">
        <f aca="false">SUM(Y11,Y25,Y39)</f>
        <v>1198.89</v>
      </c>
      <c r="Z100" s="56" t="n">
        <f aca="false">SUM(Z11,Z25,Z39)</f>
        <v>1219.08</v>
      </c>
      <c r="AA100" s="56" t="n">
        <f aca="false">SUM(AA11,AA25,AA39)</f>
        <v>1216.083</v>
      </c>
      <c r="AB100" s="56" t="n">
        <f aca="false">SUM(AB11,AB25,AB39)</f>
        <v>1271.405</v>
      </c>
      <c r="AC100" s="56" t="n">
        <f aca="false">SUM(AC11,AC25,AC39)</f>
        <v>4905.458</v>
      </c>
      <c r="AD100" s="56" t="n">
        <f aca="false">SUM(AD11,AD25,AD39)</f>
        <v>1294.13</v>
      </c>
      <c r="AE100" s="56" t="n">
        <f aca="false">SUM(AE11,AE25,AE39)</f>
        <v>1296.923</v>
      </c>
      <c r="AF100" s="56" t="n">
        <f aca="false">SUM(AF11,AF25,AF39)</f>
        <v>1281.135</v>
      </c>
      <c r="AG100" s="56" t="n">
        <f aca="false">SUM(AG11,AG25,AG39)</f>
        <v>1530.287</v>
      </c>
      <c r="AH100" s="56" t="n">
        <f aca="false">SUM(AH11,AH25,AH39)</f>
        <v>5323.381</v>
      </c>
      <c r="AI100" s="56" t="n">
        <f aca="false">SUM(AI11,AI25,AI39)</f>
        <v>1611.503</v>
      </c>
      <c r="AJ100" s="56" t="n">
        <f aca="false">SUM(AJ11,AJ25,AJ39)</f>
        <v>1606.441</v>
      </c>
      <c r="AK100" s="56" t="n">
        <f aca="false">SUM(AK11,AK25,AK39)</f>
        <v>1589.138</v>
      </c>
      <c r="AL100" s="56" t="n">
        <f aca="false">SUM(AL11,AL25,AL39)</f>
        <v>1669.55</v>
      </c>
      <c r="AM100" s="56" t="n">
        <f aca="false">SUM(AM11,AM25,AM39)</f>
        <v>6476.632</v>
      </c>
      <c r="AN100" s="56" t="n">
        <f aca="false">SUM(AN11,AN25,AN39)</f>
        <v>1697.975</v>
      </c>
      <c r="AO100" s="56" t="n">
        <f aca="false">SUM(AO11,AO25,AO39)</f>
        <v>1718.268</v>
      </c>
      <c r="AP100" s="56" t="n">
        <f aca="false">SUM(AP11,AP25,AP39)</f>
        <v>1682.33</v>
      </c>
      <c r="AQ100" s="56" t="n">
        <f aca="false">SUM(AQ11,AQ25,AQ39)</f>
        <v>1793.73</v>
      </c>
      <c r="AR100" s="56" t="n">
        <f aca="false">SUM(AR11,AR25,AR39)</f>
        <v>6892.303</v>
      </c>
      <c r="AS100" s="56" t="n">
        <f aca="false">SUM(AS11,AS25,AS39)</f>
        <v>1811.139</v>
      </c>
      <c r="AT100" s="56" t="n">
        <f aca="false">SUM(AT11,AT25,AT39)</f>
        <v>1843.749</v>
      </c>
      <c r="AU100" s="56" t="n">
        <f aca="false">SUM(AU11,AU25,AU39)</f>
        <v>1810.648</v>
      </c>
      <c r="AV100" s="56" t="n">
        <f aca="false">SUM(AV11,AV25,AV39)</f>
        <v>1619.584</v>
      </c>
      <c r="AW100" s="56" t="n">
        <f aca="false">SUM(AW11,AW25,AW39)</f>
        <v>7085.12</v>
      </c>
      <c r="AX100" s="56" t="n">
        <f aca="false">SUM(AX11,AX25,AX39)</f>
        <v>1746.575</v>
      </c>
      <c r="AY100" s="56" t="n">
        <f aca="false">SUM(AY11,AY25,AY39)</f>
        <v>1757.048</v>
      </c>
      <c r="AZ100" s="56" t="n">
        <f aca="false">SUM(AZ11,AZ25,AZ39)</f>
        <v>1777.056</v>
      </c>
      <c r="BA100" s="56" t="n">
        <f aca="false">SUM(BA11,BA25,BA39)</f>
        <v>1835.661</v>
      </c>
      <c r="BB100" s="56" t="n">
        <f aca="false">SUM(BB11,BB25,BB39)</f>
        <v>7116.34</v>
      </c>
      <c r="BC100" s="56" t="n">
        <f aca="false">SUM(BC11,BC25,BC39)</f>
        <v>1896.95</v>
      </c>
      <c r="BD100" s="56" t="n">
        <f aca="false">SUM(BD11,BD25,BD39)</f>
        <v>1922.281</v>
      </c>
      <c r="BE100" s="56" t="n">
        <f aca="false">SUM(BE11,BE25,BE39)</f>
        <v>1960.542</v>
      </c>
      <c r="BF100" s="56" t="n">
        <f aca="false">SUM(BF11,BF25,BF39)</f>
        <v>2074.686</v>
      </c>
      <c r="BG100" s="56" t="n">
        <f aca="false">SUM(BG11,BG25,BG39)</f>
        <v>7854.459</v>
      </c>
      <c r="BH100" s="56" t="n">
        <f aca="false">SUM(BH11,BH25,BH39)</f>
        <v>2166.454</v>
      </c>
      <c r="BI100" s="56" t="n">
        <f aca="false">SUM(BI11,BI25,BI39)</f>
        <v>2174.858</v>
      </c>
      <c r="BJ100" s="56" t="n">
        <f aca="false">SUM(BJ11,BJ25,BJ39)</f>
        <v>2189.986</v>
      </c>
      <c r="BK100" s="56" t="n">
        <f aca="false">SUM(BK11,BK25,BK39)</f>
        <v>2284.471</v>
      </c>
      <c r="BL100" s="56" t="n">
        <f aca="false">SUM(BL11,BL25,BL39)</f>
        <v>8815.769</v>
      </c>
      <c r="BM100" s="56" t="n">
        <f aca="false">SUM(BM11,BM25,BM39)</f>
        <v>2342.33</v>
      </c>
      <c r="BN100" s="56" t="n">
        <f aca="false">SUM(BN11,BN25,BN39)</f>
        <v>2377.177</v>
      </c>
      <c r="BO100" s="56" t="n">
        <f aca="false">SUM(BO11,BO25,BO39)</f>
        <v>2406.173</v>
      </c>
      <c r="BP100" s="56" t="n">
        <f aca="false">SUM(BP11,BP25,BP39)</f>
        <v>2470.935</v>
      </c>
      <c r="BQ100" s="56" t="n">
        <f aca="false">SUM(BQ11,BQ25,BQ39)</f>
        <v>9596.615</v>
      </c>
      <c r="BR100" s="56" t="n">
        <f aca="false">SUM(BR11,BR25,BR39)</f>
        <v>2501.587</v>
      </c>
      <c r="BS100" s="56" t="n">
        <f aca="false">SUM(BS11,BS25,BS39)</f>
        <v>2561.783</v>
      </c>
      <c r="BT100" s="56" t="n">
        <f aca="false">SUM(BT11,BT25,BT39)</f>
        <v>2609.159</v>
      </c>
      <c r="BU100" s="56" t="n">
        <f aca="false">SUM(BU11,BU25,BU39)</f>
        <v>2667.652</v>
      </c>
      <c r="BV100" s="56" t="n">
        <f aca="false">SUM(BV11,BV25,BV39)</f>
        <v>10340.181</v>
      </c>
      <c r="BW100" s="56" t="n">
        <f aca="false">SUM(BW11,BW25,BW39)</f>
        <v>2718.122</v>
      </c>
      <c r="BX100" s="56" t="n">
        <f aca="false">SUM(BX11,BX25,BX39)</f>
        <v>2799.992</v>
      </c>
      <c r="BY100" s="56" t="n">
        <f aca="false">SUM(BY11,BY25,BY39)</f>
        <v>2841.444</v>
      </c>
      <c r="BZ100" s="56" t="n">
        <f aca="false">SUM(BZ11,BZ25,BZ39)</f>
        <v>2905.203</v>
      </c>
      <c r="CA100" s="56" t="n">
        <f aca="false">SUM(CA11,CA25,CA39)</f>
        <v>11264.761</v>
      </c>
      <c r="CB100" s="56" t="n">
        <f aca="false">SUM(CB11,CB25,CB39)</f>
        <v>3013.981</v>
      </c>
      <c r="CC100" s="56" t="n">
        <f aca="false">SUM(CC11,CC25,CC39,CC67)</f>
        <v>3012.0790494652</v>
      </c>
      <c r="CD100" s="56" t="n">
        <f aca="false">SUM(CD11,CD25,CD39,CD67)</f>
        <v>3479.03534939545</v>
      </c>
      <c r="CE100" s="56" t="n">
        <f aca="false">SUM(CE11,CE25,CE39,CE67)</f>
        <v>3774.09015818044</v>
      </c>
      <c r="CF100" s="56" t="n">
        <f aca="false">SUM(CF11,CF25,CF39,CF67)</f>
        <v>13279.1855570411</v>
      </c>
      <c r="CG100" s="56" t="n">
        <f aca="false">SUM(CG11,CG25,CG39,CG67,CG88)</f>
        <v>15890.8933967931</v>
      </c>
      <c r="CH100" s="56" t="n">
        <f aca="false">SUM(CH11,CH25,CH39,CH67,CH88)</f>
        <v>17114.1420594658</v>
      </c>
      <c r="CI100" s="56" t="n">
        <f aca="false">SUM(CI11,CI25,CI39,CI67,CI88)</f>
        <v>18430.8581387138</v>
      </c>
      <c r="CJ100" s="56" t="n">
        <f aca="false">SUM(CJ11,CJ25,CJ39,CJ67,CJ88)</f>
        <v>19766.8375623451</v>
      </c>
      <c r="CK100" s="23" t="s">
        <v>324</v>
      </c>
      <c r="CM100" s="24" t="n">
        <f aca="false">IFERROR((CJ100/CA100)^(1/5)-1,"n/m")</f>
        <v>0.119033382236509</v>
      </c>
      <c r="CN100" s="24" t="n">
        <f aca="false">IFERROR((CA100/BB100)^(1/5)-1,"n/m")</f>
        <v>0.0962082305284735</v>
      </c>
      <c r="CO100" s="24" t="n">
        <f aca="false">IFERROR((CA100/AC100)^(1/10)-1,"n/m")</f>
        <v>0.0866864254489292</v>
      </c>
      <c r="CP100" s="24" t="n">
        <f aca="false">IFERROR((CA100/C100)^(1/20)-1,"n/m")</f>
        <v>0.0616689654396991</v>
      </c>
      <c r="CS100" s="29" t="s">
        <v>284</v>
      </c>
      <c r="CT100" s="51" t="n">
        <f aca="false">CU100+$CT$99</f>
        <v>0.592</v>
      </c>
      <c r="CU100" s="38" t="n">
        <v>0.582</v>
      </c>
      <c r="CV100" s="51" t="n">
        <f aca="false">CU100+$CV$99</f>
        <v>0.567</v>
      </c>
    </row>
    <row r="101" customFormat="false" ht="15" hidden="false" customHeight="true" outlineLevel="0" collapsed="false">
      <c r="B101" s="55" t="s">
        <v>325</v>
      </c>
      <c r="C101" s="56" t="n">
        <f aca="false">SUM(C15,C60)</f>
        <v>1454.792</v>
      </c>
      <c r="D101" s="56" t="n">
        <f aca="false">SUM(D15,D60)</f>
        <v>1581.355</v>
      </c>
      <c r="E101" s="56" t="n">
        <f aca="false">SUM(E15,E60)</f>
        <v>1681.6</v>
      </c>
      <c r="F101" s="56" t="n">
        <f aca="false">SUM(F15,F60)</f>
        <v>1550.871</v>
      </c>
      <c r="G101" s="56" t="n">
        <f aca="false">SUM(G15,G60)</f>
        <v>1497.817</v>
      </c>
      <c r="H101" s="56" t="n">
        <f aca="false">SUM(H15,H60)</f>
        <v>1609.287</v>
      </c>
      <c r="I101" s="56" t="n">
        <f aca="false">SUM(I15,I60)</f>
        <v>1738.608</v>
      </c>
      <c r="J101" s="56" t="n">
        <f aca="false">SUM(J15,J60)</f>
        <v>445.875</v>
      </c>
      <c r="K101" s="56" t="n">
        <f aca="false">SUM(K15,K60)</f>
        <v>432.036</v>
      </c>
      <c r="L101" s="56" t="n">
        <f aca="false">SUM(L15,L60)</f>
        <v>441.941</v>
      </c>
      <c r="M101" s="56" t="n">
        <f aca="false">SUM(M15,M60)</f>
        <v>467.215</v>
      </c>
      <c r="N101" s="56" t="n">
        <f aca="false">SUM(N15,N60)</f>
        <v>1787.067</v>
      </c>
      <c r="O101" s="56" t="n">
        <f aca="false">SUM(O15,O60)</f>
        <v>465.98</v>
      </c>
      <c r="P101" s="56" t="n">
        <f aca="false">SUM(P15,P60)</f>
        <v>476.919</v>
      </c>
      <c r="Q101" s="56" t="n">
        <f aca="false">SUM(Q15,Q60)</f>
        <v>479.125</v>
      </c>
      <c r="R101" s="56" t="n">
        <f aca="false">SUM(R15,R60)</f>
        <v>492.362</v>
      </c>
      <c r="S101" s="56" t="n">
        <f aca="false">SUM(S15,S60)</f>
        <v>1914.386</v>
      </c>
      <c r="T101" s="56" t="n">
        <f aca="false">SUM(T15,T29,T43)</f>
        <v>477.946</v>
      </c>
      <c r="U101" s="56" t="n">
        <f aca="false">SUM(U15,U29,U43)</f>
        <v>481.424</v>
      </c>
      <c r="V101" s="56" t="n">
        <f aca="false">SUM(V15,V29,V43)</f>
        <v>475.307</v>
      </c>
      <c r="W101" s="56" t="n">
        <f aca="false">SUM(W15,W29,W43)</f>
        <v>486.66</v>
      </c>
      <c r="X101" s="56" t="n">
        <f aca="false">SUM(X15,X29,X43)</f>
        <v>1921.337</v>
      </c>
      <c r="Y101" s="56" t="n">
        <f aca="false">SUM(Y15,Y29,Y43)</f>
        <v>524.144</v>
      </c>
      <c r="Z101" s="56" t="n">
        <f aca="false">SUM(Z15,Z29,Z43)</f>
        <v>527.4</v>
      </c>
      <c r="AA101" s="56" t="n">
        <f aca="false">SUM(AA15,AA29,AA43)</f>
        <v>524.608</v>
      </c>
      <c r="AB101" s="56" t="n">
        <f aca="false">SUM(AB15,AB29,AB43)</f>
        <v>553.718</v>
      </c>
      <c r="AC101" s="56" t="n">
        <f aca="false">SUM(AC15,AC29,AC43)</f>
        <v>2129.87</v>
      </c>
      <c r="AD101" s="56" t="n">
        <f aca="false">SUM(AD15,AD29,AD43)</f>
        <v>583.774</v>
      </c>
      <c r="AE101" s="56" t="n">
        <f aca="false">SUM(AE15,AE29,AE43)</f>
        <v>571.427</v>
      </c>
      <c r="AF101" s="56" t="n">
        <f aca="false">SUM(AF15,AF29,AF43)</f>
        <v>566.424</v>
      </c>
      <c r="AG101" s="56" t="n">
        <f aca="false">SUM(AG15,AG29,AG43)</f>
        <v>678.726</v>
      </c>
      <c r="AH101" s="56" t="n">
        <f aca="false">SUM(AH15,AH29,AH43)</f>
        <v>2380.295</v>
      </c>
      <c r="AI101" s="56" t="n">
        <f aca="false">SUM(AI15,AI29,AI43)</f>
        <v>739.353</v>
      </c>
      <c r="AJ101" s="56" t="n">
        <f aca="false">SUM(AJ15,AJ29,AJ43)</f>
        <v>716.369</v>
      </c>
      <c r="AK101" s="56" t="n">
        <f aca="false">SUM(AK15,AK29,AK43)</f>
        <v>700.463</v>
      </c>
      <c r="AL101" s="56" t="n">
        <f aca="false">SUM(AL15,AL29,AL43)</f>
        <v>752.338</v>
      </c>
      <c r="AM101" s="56" t="n">
        <f aca="false">SUM(AM15,AM29,AM43)</f>
        <v>2908.523</v>
      </c>
      <c r="AN101" s="56" t="n">
        <f aca="false">SUM(AN15,AN29,AN43)</f>
        <v>774.712</v>
      </c>
      <c r="AO101" s="56" t="n">
        <f aca="false">SUM(AO15,AO29,AO43)</f>
        <v>775.158</v>
      </c>
      <c r="AP101" s="56" t="n">
        <f aca="false">SUM(AP15,AP29,AP43)</f>
        <v>755.153</v>
      </c>
      <c r="AQ101" s="56" t="n">
        <f aca="false">SUM(AQ15,AQ29,AQ43)</f>
        <v>823.565</v>
      </c>
      <c r="AR101" s="56" t="n">
        <f aca="false">SUM(AR15,AR29,AR43)</f>
        <v>3128.588</v>
      </c>
      <c r="AS101" s="56" t="n">
        <f aca="false">SUM(AS15,AS29,AS43)</f>
        <v>849.142</v>
      </c>
      <c r="AT101" s="56" t="n">
        <f aca="false">SUM(AT15,AT29,AT43)</f>
        <v>852.391</v>
      </c>
      <c r="AU101" s="56" t="n">
        <f aca="false">SUM(AU15,AU29,AU43)</f>
        <v>824.395</v>
      </c>
      <c r="AV101" s="56" t="n">
        <f aca="false">SUM(AV15,AV29,AV43)</f>
        <v>707.82</v>
      </c>
      <c r="AW101" s="56" t="n">
        <f aca="false">SUM(AW15,AW29,AW43)</f>
        <v>3233.748</v>
      </c>
      <c r="AX101" s="56" t="n">
        <f aca="false">SUM(AX15,AX29,AX43)</f>
        <v>826.201</v>
      </c>
      <c r="AY101" s="56" t="n">
        <f aca="false">SUM(AY15,AY29,AY43)</f>
        <v>819.884</v>
      </c>
      <c r="AZ101" s="56" t="n">
        <f aca="false">SUM(AZ15,AZ29,AZ43)</f>
        <v>809.516</v>
      </c>
      <c r="BA101" s="56" t="n">
        <f aca="false">SUM(BA15,BA29,BA43)</f>
        <v>859.05</v>
      </c>
      <c r="BB101" s="56" t="n">
        <f aca="false">SUM(BB15,BB29,BB43)</f>
        <v>3314.651</v>
      </c>
      <c r="BC101" s="56" t="n">
        <f aca="false">SUM(BC15,BC29,BC43)</f>
        <v>902.756</v>
      </c>
      <c r="BD101" s="56" t="n">
        <f aca="false">SUM(BD15,BD29,BD43)</f>
        <v>885.141</v>
      </c>
      <c r="BE101" s="56" t="n">
        <f aca="false">SUM(BE15,BE29,BE43)</f>
        <v>898.154</v>
      </c>
      <c r="BF101" s="56" t="n">
        <f aca="false">SUM(BF15,BF29,BF43)</f>
        <v>946.195</v>
      </c>
      <c r="BG101" s="56" t="n">
        <f aca="false">SUM(BG15,BG29,BG43)</f>
        <v>3632.246</v>
      </c>
      <c r="BH101" s="56" t="n">
        <f aca="false">SUM(BH15,BH29,BH43)</f>
        <v>1028.112</v>
      </c>
      <c r="BI101" s="56" t="n">
        <f aca="false">SUM(BI15,BI29,BI43)</f>
        <v>1022.447</v>
      </c>
      <c r="BJ101" s="56" t="n">
        <f aca="false">SUM(BJ15,BJ29,BJ43)</f>
        <v>1034.031</v>
      </c>
      <c r="BK101" s="56" t="n">
        <f aca="false">SUM(BK15,BK29,BK43)</f>
        <v>1088.778</v>
      </c>
      <c r="BL101" s="56" t="n">
        <f aca="false">SUM(BL15,BL29,BL43)</f>
        <v>4173.368</v>
      </c>
      <c r="BM101" s="56" t="n">
        <f aca="false">SUM(BM15,BM29,BM43)</f>
        <v>1141.571</v>
      </c>
      <c r="BN101" s="56" t="n">
        <f aca="false">SUM(BN15,BN29,BN43)</f>
        <v>1141.548</v>
      </c>
      <c r="BO101" s="56" t="n">
        <f aca="false">SUM(BO15,BO29,BO43)</f>
        <v>1187.848</v>
      </c>
      <c r="BP101" s="56" t="n">
        <f aca="false">SUM(BP15,BP29,BP43)</f>
        <v>1215.449</v>
      </c>
      <c r="BQ101" s="56" t="n">
        <f aca="false">SUM(BQ15,BQ29,BQ43)</f>
        <v>4686.416</v>
      </c>
      <c r="BR101" s="56" t="n">
        <f aca="false">SUM(BR15,BR29,BR43)</f>
        <v>1252.131</v>
      </c>
      <c r="BS101" s="56" t="n">
        <f aca="false">SUM(BS15,BS29,BS43)</f>
        <v>1276.703</v>
      </c>
      <c r="BT101" s="56" t="n">
        <f aca="false">SUM(BT15,BT29,BT43)</f>
        <v>1319.341</v>
      </c>
      <c r="BU101" s="56" t="n">
        <f aca="false">SUM(BU15,BU29,BU43)</f>
        <v>1325.989</v>
      </c>
      <c r="BV101" s="56" t="n">
        <f aca="false">SUM(BV15,BV29,BV43)</f>
        <v>5174.164</v>
      </c>
      <c r="BW101" s="56" t="n">
        <f aca="false">SUM(BW15,BW29,BW43)</f>
        <v>1366.561</v>
      </c>
      <c r="BX101" s="56" t="n">
        <f aca="false">SUM(BX15,BX29,BX43)</f>
        <v>1412.485</v>
      </c>
      <c r="BY101" s="56" t="n">
        <f aca="false">SUM(BY15,BY29,BY43)</f>
        <v>1448.456</v>
      </c>
      <c r="BZ101" s="56" t="n">
        <f aca="false">SUM(BZ15,BZ29,BZ43)</f>
        <v>1480.291</v>
      </c>
      <c r="CA101" s="56" t="n">
        <f aca="false">SUM(CA15,CA29,CA43)</f>
        <v>5707.793</v>
      </c>
      <c r="CB101" s="56" t="n">
        <f aca="false">SUM(CB15,CB29,CB43)</f>
        <v>1553.543</v>
      </c>
      <c r="CC101" s="56" t="n">
        <f aca="false">SUM(CC15,CC29,CC43,CC71)</f>
        <v>1520.15724816558</v>
      </c>
      <c r="CD101" s="56" t="n">
        <f aca="false">SUM(CD15,CD29,CD43,CD71)</f>
        <v>1694.57579556662</v>
      </c>
      <c r="CE101" s="56" t="n">
        <f aca="false">SUM(CE15,CE29,CE43,CE71)</f>
        <v>1801.9320721248</v>
      </c>
      <c r="CF101" s="56" t="n">
        <f aca="false">SUM(CF15,CF29,CF43,CF71)</f>
        <v>6570.20811585699</v>
      </c>
      <c r="CG101" s="56" t="n">
        <f aca="false">SUM(CG15,CG29,CG43,CG71,CG91)</f>
        <v>7756.00322885137</v>
      </c>
      <c r="CH101" s="56" t="n">
        <f aca="false">SUM(CH15,CH29,CH43,CH71,CH91)</f>
        <v>8480.9904254179</v>
      </c>
      <c r="CI101" s="56" t="n">
        <f aca="false">SUM(CI15,CI29,CI43,CI71,CI91)</f>
        <v>9255.34803601368</v>
      </c>
      <c r="CJ101" s="56" t="n">
        <f aca="false">SUM(CJ15,CJ29,CJ43,CJ71,CJ91)</f>
        <v>10003.6187639052</v>
      </c>
      <c r="CK101" s="23" t="s">
        <v>326</v>
      </c>
      <c r="CM101" s="24" t="n">
        <f aca="false">IFERROR((CJ101/CA101)^(1/5)-1,"n/m")</f>
        <v>0.11876219820561</v>
      </c>
      <c r="CN101" s="24" t="n">
        <f aca="false">IFERROR((CA101/BB101)^(1/5)-1,"n/m")</f>
        <v>0.11482341369384</v>
      </c>
      <c r="CO101" s="24" t="n">
        <f aca="false">IFERROR((CA101/AC101)^(1/10)-1,"n/m")</f>
        <v>0.103599542608746</v>
      </c>
      <c r="CP101" s="24" t="n">
        <f aca="false">IFERROR((CA101/C101)^(1/20)-1,"n/m")</f>
        <v>0.0707383689728138</v>
      </c>
      <c r="CS101" s="29" t="s">
        <v>286</v>
      </c>
      <c r="CT101" s="51" t="n">
        <f aca="false">CU101+$CT$99</f>
        <v>0.595</v>
      </c>
      <c r="CU101" s="38" t="n">
        <v>0.585</v>
      </c>
      <c r="CV101" s="51" t="n">
        <f aca="false">CU101+$CV$99</f>
        <v>0.57</v>
      </c>
    </row>
    <row r="102" customFormat="false" ht="15" hidden="false" customHeight="true" outlineLevel="0" collapsed="false">
      <c r="B102" s="29" t="s">
        <v>132</v>
      </c>
      <c r="C102" s="37" t="n">
        <f aca="false">IF(AND(ISNUMBER(C101),ISNUMBER(C100)),IFERROR(C101/C100,""),"")</f>
        <v>0.427426425134739</v>
      </c>
      <c r="D102" s="37" t="n">
        <f aca="false">IF(AND(ISNUMBER(D101),ISNUMBER(D100)),IFERROR(D101/D100,""),"")</f>
        <v>0.42659769618819</v>
      </c>
      <c r="E102" s="37" t="n">
        <f aca="false">IF(AND(ISNUMBER(E101),ISNUMBER(E100)),IFERROR(E101/E100,""),"")</f>
        <v>0.42702963508469</v>
      </c>
      <c r="F102" s="37" t="n">
        <f aca="false">IF(AND(ISNUMBER(F101),ISNUMBER(F100)),IFERROR(F101/F100,""),"")</f>
        <v>0.410861038735683</v>
      </c>
      <c r="G102" s="37" t="n">
        <f aca="false">IF(AND(ISNUMBER(G101),ISNUMBER(G100)),IFERROR(G101/G100,""),"")</f>
        <v>0.422236780865883</v>
      </c>
      <c r="H102" s="37" t="n">
        <f aca="false">IF(AND(ISNUMBER(H101),ISNUMBER(H100)),IFERROR(H101/H100,""),"")</f>
        <v>0.422342472569694</v>
      </c>
      <c r="I102" s="37" t="n">
        <f aca="false">IF(AND(ISNUMBER(I101),ISNUMBER(I100)),IFERROR(I101/I100,""),"")</f>
        <v>0.42384397854705</v>
      </c>
      <c r="J102" s="37" t="n">
        <f aca="false">IF(AND(ISNUMBER(J101),ISNUMBER(J100)),IFERROR(J101/J100,""),"")</f>
        <v>0.424107673649918</v>
      </c>
      <c r="K102" s="37" t="n">
        <f aca="false">IF(AND(ISNUMBER(K101),ISNUMBER(K100)),IFERROR(K101/K100,""),"")</f>
        <v>0.407432765049708</v>
      </c>
      <c r="L102" s="37" t="n">
        <f aca="false">IF(AND(ISNUMBER(L101),ISNUMBER(L100)),IFERROR(L101/L100,""),"")</f>
        <v>0.41085031338491</v>
      </c>
      <c r="M102" s="37" t="n">
        <f aca="false">IF(AND(ISNUMBER(M101),ISNUMBER(M100)),IFERROR(M101/M100,""),"")</f>
        <v>0.41379930315317</v>
      </c>
      <c r="N102" s="37" t="n">
        <f aca="false">IF(AND(ISNUMBER(N101),ISNUMBER(N100)),IFERROR(N101/N100,""),"")</f>
        <v>0.414011121585202</v>
      </c>
      <c r="O102" s="37" t="n">
        <f aca="false">IF(AND(ISNUMBER(O101),ISNUMBER(O100)),IFERROR(O101/O100,""),"")</f>
        <v>0.415926194031649</v>
      </c>
      <c r="P102" s="37" t="n">
        <f aca="false">IF(AND(ISNUMBER(P101),ISNUMBER(P100)),IFERROR(P101/P100,""),"")</f>
        <v>0.416977266944874</v>
      </c>
      <c r="Q102" s="37" t="n">
        <f aca="false">IF(AND(ISNUMBER(Q101),ISNUMBER(Q100)),IFERROR(Q101/Q100,""),"")</f>
        <v>0.42391551506454</v>
      </c>
      <c r="R102" s="37" t="n">
        <f aca="false">IF(AND(ISNUMBER(R101),ISNUMBER(R100)),IFERROR(R101/R100,""),"")</f>
        <v>0.425374456037647</v>
      </c>
      <c r="S102" s="37" t="n">
        <f aca="false">IF(AND(ISNUMBER(S101),ISNUMBER(S100)),IFERROR(S101/S100,""),"")</f>
        <v>0.420576684625815</v>
      </c>
      <c r="T102" s="37" t="n">
        <f aca="false">IF(AND(ISNUMBER(T101),ISNUMBER(T100)),IFERROR(T101/T100,""),"")</f>
        <v>0.43367750166277</v>
      </c>
      <c r="U102" s="37" t="n">
        <f aca="false">IF(AND(ISNUMBER(U101),ISNUMBER(U100)),IFERROR(U101/U100,""),"")</f>
        <v>0.428549937287416</v>
      </c>
      <c r="V102" s="37" t="n">
        <f aca="false">IF(AND(ISNUMBER(V101),ISNUMBER(V100)),IFERROR(V101/V100,""),"")</f>
        <v>0.428649759615168</v>
      </c>
      <c r="W102" s="37" t="n">
        <f aca="false">IF(AND(ISNUMBER(W101),ISNUMBER(W100)),IFERROR(W101/W100,""),"")</f>
        <v>0.425929669879562</v>
      </c>
      <c r="X102" s="37" t="n">
        <f aca="false">IF(AND(ISNUMBER(X101),ISNUMBER(X100)),IFERROR(X101/X100,""),"")</f>
        <v>0.429168176272525</v>
      </c>
      <c r="Y102" s="37" t="n">
        <f aca="false">IF(AND(ISNUMBER(Y101),ISNUMBER(Y100)),IFERROR(Y101/Y100,""),"")</f>
        <v>0.437191068404941</v>
      </c>
      <c r="Z102" s="37" t="n">
        <f aca="false">IF(AND(ISNUMBER(Z101),ISNUMBER(Z100)),IFERROR(Z101/Z100,""),"")</f>
        <v>0.432621320996161</v>
      </c>
      <c r="AA102" s="37" t="n">
        <f aca="false">IF(AND(ISNUMBER(AA101),ISNUMBER(AA100)),IFERROR(AA101/AA100,""),"")</f>
        <v>0.431391607316277</v>
      </c>
      <c r="AB102" s="37" t="n">
        <f aca="false">IF(AND(ISNUMBER(AB101),ISNUMBER(AB100)),IFERROR(AB101/AB100,""),"")</f>
        <v>0.435516613510251</v>
      </c>
      <c r="AC102" s="37" t="n">
        <f aca="false">IF(AND(ISNUMBER(AC101),ISNUMBER(AC100)),IFERROR(AC101/AC100,""),"")</f>
        <v>0.434183719440672</v>
      </c>
      <c r="AD102" s="37" t="n">
        <f aca="false">IF(AND(ISNUMBER(AD101),ISNUMBER(AD100)),IFERROR(AD101/AD100,""),"")</f>
        <v>0.45109378501387</v>
      </c>
      <c r="AE102" s="37" t="n">
        <f aca="false">IF(AND(ISNUMBER(AE101),ISNUMBER(AE100)),IFERROR(AE101/AE100,""),"")</f>
        <v>0.440602102052319</v>
      </c>
      <c r="AF102" s="37" t="n">
        <f aca="false">IF(AND(ISNUMBER(AF101),ISNUMBER(AF100)),IFERROR(AF101/AF100,""),"")</f>
        <v>0.442126707958178</v>
      </c>
      <c r="AG102" s="37" t="n">
        <f aca="false">IF(AND(ISNUMBER(AG101),ISNUMBER(AG100)),IFERROR(AG101/AG100,""),"")</f>
        <v>0.443528566863601</v>
      </c>
      <c r="AH102" s="37" t="n">
        <f aca="false">IF(AND(ISNUMBER(AH101),ISNUMBER(AH100)),IFERROR(AH101/AH100,""),"")</f>
        <v>0.447139703132276</v>
      </c>
      <c r="AI102" s="37" t="n">
        <f aca="false">IF(AND(ISNUMBER(AI101),ISNUMBER(AI100)),IFERROR(AI101/AI100,""),"")</f>
        <v>0.458797160166627</v>
      </c>
      <c r="AJ102" s="37" t="n">
        <f aca="false">IF(AND(ISNUMBER(AJ101),ISNUMBER(AJ100)),IFERROR(AJ101/AJ100,""),"")</f>
        <v>0.44593545607962</v>
      </c>
      <c r="AK102" s="37" t="n">
        <f aca="false">IF(AND(ISNUMBER(AK101),ISNUMBER(AK100)),IFERROR(AK101/AK100,""),"")</f>
        <v>0.440781731983</v>
      </c>
      <c r="AL102" s="37" t="n">
        <f aca="false">IF(AND(ISNUMBER(AL101),ISNUMBER(AL100)),IFERROR(AL101/AL100,""),"")</f>
        <v>0.450623221826241</v>
      </c>
      <c r="AM102" s="37" t="n">
        <f aca="false">IF(AND(ISNUMBER(AM101),ISNUMBER(AM100)),IFERROR(AM101/AM100,""),"")</f>
        <v>0.449079552458747</v>
      </c>
      <c r="AN102" s="37" t="n">
        <f aca="false">IF(AND(ISNUMBER(AN101),ISNUMBER(AN100)),IFERROR(AN101/AN100,""),"")</f>
        <v>0.456256423092213</v>
      </c>
      <c r="AO102" s="37" t="n">
        <f aca="false">IF(AND(ISNUMBER(AO101),ISNUMBER(AO100)),IFERROR(AO101/AO100,""),"")</f>
        <v>0.451127530746077</v>
      </c>
      <c r="AP102" s="37" t="n">
        <f aca="false">IF(AND(ISNUMBER(AP101),ISNUMBER(AP100)),IFERROR(AP101/AP100,""),"")</f>
        <v>0.448873288831561</v>
      </c>
      <c r="AQ102" s="37" t="n">
        <f aca="false">IF(AND(ISNUMBER(AQ101),ISNUMBER(AQ100)),IFERROR(AQ101/AQ100,""),"")</f>
        <v>0.459135432868938</v>
      </c>
      <c r="AR102" s="37" t="n">
        <f aca="false">IF(AND(ISNUMBER(AR101),ISNUMBER(AR100)),IFERROR(AR101/AR100,""),"")</f>
        <v>0.453924907247984</v>
      </c>
      <c r="AS102" s="37" t="n">
        <f aca="false">IF(AND(ISNUMBER(AS101),ISNUMBER(AS100)),IFERROR(AS101/AS100,""),"")</f>
        <v>0.468844191417666</v>
      </c>
      <c r="AT102" s="37" t="n">
        <f aca="false">IF(AND(ISNUMBER(AT101),ISNUMBER(AT100)),IFERROR(AT101/AT100,""),"")</f>
        <v>0.462314013458448</v>
      </c>
      <c r="AU102" s="37" t="n">
        <f aca="false">IF(AND(ISNUMBER(AU101),ISNUMBER(AU100)),IFERROR(AU101/AU100,""),"")</f>
        <v>0.455303847020514</v>
      </c>
      <c r="AV102" s="37" t="n">
        <f aca="false">IF(AND(ISNUMBER(AV101),ISNUMBER(AV100)),IFERROR(AV101/AV100,""),"")</f>
        <v>0.437038153007192</v>
      </c>
      <c r="AW102" s="37" t="n">
        <f aca="false">IF(AND(ISNUMBER(AW101),ISNUMBER(AW100)),IFERROR(AW101/AW100,""),"")</f>
        <v>0.4564140056908</v>
      </c>
      <c r="AX102" s="37" t="n">
        <f aca="false">IF(AND(ISNUMBER(AX101),ISNUMBER(AX100)),IFERROR(AX101/AX100,""),"")</f>
        <v>0.473040665302091</v>
      </c>
      <c r="AY102" s="37" t="n">
        <f aca="false">IF(AND(ISNUMBER(AY101),ISNUMBER(AY100)),IFERROR(AY101/AY100,""),"")</f>
        <v>0.466625840614485</v>
      </c>
      <c r="AZ102" s="37" t="n">
        <f aca="false">IF(AND(ISNUMBER(AZ101),ISNUMBER(AZ100)),IFERROR(AZ101/AZ100,""),"")</f>
        <v>0.455537698305512</v>
      </c>
      <c r="BA102" s="37" t="n">
        <f aca="false">IF(AND(ISNUMBER(BA101),ISNUMBER(BA100)),IFERROR(BA101/BA100,""),"")</f>
        <v>0.46797856466962</v>
      </c>
      <c r="BB102" s="37" t="n">
        <f aca="false">IF(AND(ISNUMBER(BB101),ISNUMBER(BB100)),IFERROR(BB101/BB100,""),"")</f>
        <v>0.4657803027961</v>
      </c>
      <c r="BC102" s="37" t="n">
        <f aca="false">IF(AND(ISNUMBER(BC101),ISNUMBER(BC100)),IFERROR(BC101/BC100,""),"")</f>
        <v>0.475898679459132</v>
      </c>
      <c r="BD102" s="37" t="n">
        <f aca="false">IF(AND(ISNUMBER(BD101),ISNUMBER(BD100)),IFERROR(BD101/BD100,""),"")</f>
        <v>0.460463896797607</v>
      </c>
      <c r="BE102" s="37" t="n">
        <f aca="false">IF(AND(ISNUMBER(BE101),ISNUMBER(BE100)),IFERROR(BE101/BE100,""),"")</f>
        <v>0.458115153870715</v>
      </c>
      <c r="BF102" s="37" t="n">
        <f aca="false">IF(AND(ISNUMBER(BF101),ISNUMBER(BF100)),IFERROR(BF101/BF100,""),"")</f>
        <v>0.456066604777783</v>
      </c>
      <c r="BG102" s="37" t="n">
        <f aca="false">IF(AND(ISNUMBER(BG101),ISNUMBER(BG100)),IFERROR(BG101/BG100,""),"")</f>
        <v>0.462443816945254</v>
      </c>
      <c r="BH102" s="37" t="n">
        <f aca="false">IF(AND(ISNUMBER(BH101),ISNUMBER(BH100)),IFERROR(BH101/BH100,""),"")</f>
        <v>0.474559810639875</v>
      </c>
      <c r="BI102" s="37" t="n">
        <f aca="false">IF(AND(ISNUMBER(BI101),ISNUMBER(BI100)),IFERROR(BI101/BI100,""),"")</f>
        <v>0.470121267687362</v>
      </c>
      <c r="BJ102" s="37" t="n">
        <f aca="false">IF(AND(ISNUMBER(BJ101),ISNUMBER(BJ100)),IFERROR(BJ101/BJ100,""),"")</f>
        <v>0.472163292368079</v>
      </c>
      <c r="BK102" s="37" t="n">
        <f aca="false">IF(AND(ISNUMBER(BK101),ISNUMBER(BK100)),IFERROR(BK101/BK100,""),"")</f>
        <v>0.476599615403303</v>
      </c>
      <c r="BL102" s="37" t="n">
        <f aca="false">IF(AND(ISNUMBER(BL101),ISNUMBER(BL100)),IFERROR(BL101/BL100,""),"")</f>
        <v>0.473398066578196</v>
      </c>
      <c r="BM102" s="37" t="n">
        <f aca="false">IF(AND(ISNUMBER(BM101),ISNUMBER(BM100)),IFERROR(BM101/BM100,""),"")</f>
        <v>0.487365571887821</v>
      </c>
      <c r="BN102" s="37" t="n">
        <f aca="false">IF(AND(ISNUMBER(BN101),ISNUMBER(BN100)),IFERROR(BN101/BN100,""),"")</f>
        <v>0.480211612345231</v>
      </c>
      <c r="BO102" s="37" t="n">
        <f aca="false">IF(AND(ISNUMBER(BO101),ISNUMBER(BO100)),IFERROR(BO101/BO100,""),"")</f>
        <v>0.493666914224372</v>
      </c>
      <c r="BP102" s="37" t="n">
        <f aca="false">IF(AND(ISNUMBER(BP101),ISNUMBER(BP100)),IFERROR(BP101/BP100,""),"")</f>
        <v>0.491898410925419</v>
      </c>
      <c r="BQ102" s="37" t="n">
        <f aca="false">IF(AND(ISNUMBER(BQ101),ISNUMBER(BQ100)),IFERROR(BQ101/BQ100,""),"")</f>
        <v>0.488340524236932</v>
      </c>
      <c r="BR102" s="37" t="n">
        <f aca="false">IF(AND(ISNUMBER(BR101),ISNUMBER(BR100)),IFERROR(BR101/BR100,""),"")</f>
        <v>0.500534660597453</v>
      </c>
      <c r="BS102" s="37" t="n">
        <f aca="false">IF(AND(ISNUMBER(BS101),ISNUMBER(BS100)),IFERROR(BS101/BS100,""),"")</f>
        <v>0.498365005935319</v>
      </c>
      <c r="BT102" s="37" t="n">
        <f aca="false">IF(AND(ISNUMBER(BT101),ISNUMBER(BT100)),IFERROR(BT101/BT100,""),"")</f>
        <v>0.505657570121254</v>
      </c>
      <c r="BU102" s="37" t="n">
        <f aca="false">IF(AND(ISNUMBER(BU101),ISNUMBER(BU100)),IFERROR(BU101/BU100,""),"")</f>
        <v>0.497062210513215</v>
      </c>
      <c r="BV102" s="37" t="n">
        <f aca="false">IF(AND(ISNUMBER(BV101),ISNUMBER(BV100)),IFERROR(BV101/BV100,""),"")</f>
        <v>0.500393948616567</v>
      </c>
      <c r="BW102" s="37" t="n">
        <f aca="false">IF(AND(ISNUMBER(BW101),ISNUMBER(BW100)),IFERROR(BW101/BW100,""),"")</f>
        <v>0.502759258046548</v>
      </c>
      <c r="BX102" s="37" t="n">
        <f aca="false">IF(AND(ISNUMBER(BX101),ISNUMBER(BX100)),IFERROR(BX101/BX100,""),"")</f>
        <v>0.504460369886771</v>
      </c>
      <c r="BY102" s="37" t="n">
        <f aca="false">IF(AND(ISNUMBER(BY101),ISNUMBER(BY100)),IFERROR(BY101/BY100,""),"")</f>
        <v>0.509760530209288</v>
      </c>
      <c r="BZ102" s="37" t="n">
        <f aca="false">IF(AND(ISNUMBER(BZ101),ISNUMBER(BZ100)),IFERROR(BZ101/BZ100,""),"")</f>
        <v>0.509531003513352</v>
      </c>
      <c r="CA102" s="37" t="n">
        <f aca="false">IF(AND(ISNUMBER(CA101),ISNUMBER(CA100)),IFERROR(CA101/CA100,""),"")</f>
        <v>0.506694549489332</v>
      </c>
      <c r="CB102" s="37" t="n">
        <f aca="false">IF(AND(ISNUMBER(CB101),ISNUMBER(CB100)),IFERROR(CB101/CB100,""),"")</f>
        <v>0.515445518734193</v>
      </c>
      <c r="CC102" s="28" t="n">
        <f aca="false">IF(AND(ISNUMBER(CC101),ISNUMBER(CC100)),IFERROR(CC101/CC100,""),"")</f>
        <v>0.50468703616377</v>
      </c>
      <c r="CD102" s="28" t="n">
        <f aca="false">IF(AND(ISNUMBER(CD101),ISNUMBER(CD100)),IFERROR(CD101/CD100,""),"")</f>
        <v>0.48708208609064</v>
      </c>
      <c r="CE102" s="28" t="n">
        <f aca="false">IF(AND(ISNUMBER(CE101),ISNUMBER(CE100)),IFERROR(CE101/CE100,""),"")</f>
        <v>0.477448072674963</v>
      </c>
      <c r="CF102" s="28" t="n">
        <f aca="false">IF(AND(ISNUMBER(CF101),ISNUMBER(CF100)),IFERROR(CF101/CF100,""),"")</f>
        <v>0.494774930859614</v>
      </c>
      <c r="CG102" s="28" t="n">
        <f aca="false">IF(AND(ISNUMBER(CG101),ISNUMBER(CG100)),IFERROR(CG101/CG100,""),"")</f>
        <v>0.48807848842637</v>
      </c>
      <c r="CH102" s="28" t="n">
        <f aca="false">IF(AND(ISNUMBER(CH101),ISNUMBER(CH100)),IFERROR(CH101/CH100,""),"")</f>
        <v>0.495554518359692</v>
      </c>
      <c r="CI102" s="28" t="n">
        <f aca="false">IF(AND(ISNUMBER(CI101),ISNUMBER(CI100)),IFERROR(CI101/CI100,""),"")</f>
        <v>0.502165876724585</v>
      </c>
      <c r="CJ102" s="28" t="n">
        <f aca="false">IF(AND(ISNUMBER(CJ101),ISNUMBER(CJ100)),IFERROR(CJ101/CJ100,""),"")</f>
        <v>0.506080890903947</v>
      </c>
      <c r="CK102" s="23"/>
      <c r="CS102" s="29" t="s">
        <v>289</v>
      </c>
      <c r="CT102" s="51" t="n">
        <f aca="false">CU102+$CT$99</f>
        <v>0.598</v>
      </c>
      <c r="CU102" s="38" t="n">
        <v>0.588</v>
      </c>
      <c r="CV102" s="51" t="n">
        <f aca="false">CU102+$CV$99</f>
        <v>0.573</v>
      </c>
    </row>
    <row r="103" customFormat="false" ht="15" hidden="false" customHeight="true" outlineLevel="0" collapsed="false">
      <c r="B103" s="26" t="s">
        <v>117</v>
      </c>
      <c r="D103" s="27" t="n">
        <f aca="false">IF(AND(ISNUMBER(D100),ISNUMBER(C100)),IFERROR(D100/C100-1,""),"")</f>
        <v>0.0891089690704687</v>
      </c>
      <c r="E103" s="27" t="n">
        <f aca="false">IF(AND(ISNUMBER(E100),ISNUMBER(D100)),IFERROR(E100/D100-1,""),"")</f>
        <v>0.0623162211011898</v>
      </c>
      <c r="F103" s="27" t="n">
        <f aca="false">IF(AND(ISNUMBER(F100),ISNUMBER(E100)),IFERROR(F100/E100-1,""),"")</f>
        <v>-0.0414472180603877</v>
      </c>
      <c r="G103" s="27" t="n">
        <f aca="false">IF(AND(ISNUMBER(G100),ISNUMBER(F100)),IFERROR(G100/F100-1,""),"")</f>
        <v>-0.0602291317023804</v>
      </c>
      <c r="H103" s="27" t="n">
        <f aca="false">IF(AND(ISNUMBER(H100),ISNUMBER(G100)),IFERROR(H100/G100-1,""),"")</f>
        <v>0.0741527663411927</v>
      </c>
      <c r="I103" s="27" t="n">
        <f aca="false">IF(AND(ISNUMBER(I100),ISNUMBER(H100)),IFERROR(I100/H100-1,""),"")</f>
        <v>0.0765319190926688</v>
      </c>
      <c r="N103" s="27" t="n">
        <f aca="false">IF(AND(ISNUMBER(N100),ISNUMBER(I100)),IFERROR(N100/I100-1,""),"")</f>
        <v>0.052284495368113</v>
      </c>
      <c r="O103" s="27" t="n">
        <f aca="false">IF(AND(ISNUMBER(O100),ISNUMBER(J100)),IFERROR(O100/J100-1,""),"")</f>
        <v>0.0656485863077545</v>
      </c>
      <c r="P103" s="27" t="n">
        <f aca="false">IF(AND(ISNUMBER(P100),ISNUMBER(K100)),IFERROR(P100/K100-1,""),"")</f>
        <v>0.0786194838483347</v>
      </c>
      <c r="Q103" s="27" t="n">
        <f aca="false">IF(AND(ISNUMBER(Q100),ISNUMBER(L100)),IFERROR(Q100/L100-1,""),"")</f>
        <v>0.0507244760029526</v>
      </c>
      <c r="R103" s="27" t="n">
        <f aca="false">IF(AND(ISNUMBER(R100),ISNUMBER(M100)),IFERROR(R100/M100-1,""),"")</f>
        <v>0.0251468887223825</v>
      </c>
      <c r="S103" s="27" t="n">
        <f aca="false">IF(AND(ISNUMBER(S100),ISNUMBER(N100)),IFERROR(S100/N100-1,""),"")</f>
        <v>0.0545216219453346</v>
      </c>
      <c r="T103" s="27" t="n">
        <f aca="false">IF(AND(ISNUMBER(T100),ISNUMBER(O100)),IFERROR(T100/O100-1,""),"")</f>
        <v>-0.0163039354911843</v>
      </c>
      <c r="U103" s="27" t="n">
        <f aca="false">IF(AND(ISNUMBER(U100),ISNUMBER(P100)),IFERROR(U100/P100-1,""),"")</f>
        <v>-0.0178132866099586</v>
      </c>
      <c r="V103" s="27" t="n">
        <f aca="false">IF(AND(ISNUMBER(V100),ISNUMBER(Q100)),IFERROR(V100/Q100-1,""),"")</f>
        <v>-0.0189252342650259</v>
      </c>
      <c r="W103" s="27" t="n">
        <f aca="false">IF(AND(ISNUMBER(W100),ISNUMBER(R100)),IFERROR(W100/R100-1,""),"")</f>
        <v>-0.0128693479536129</v>
      </c>
      <c r="X103" s="27" t="n">
        <f aca="false">IF(AND(ISNUMBER(X100),ISNUMBER(S100)),IFERROR(X100/S100-1,""),"")</f>
        <v>-0.0164606974101743</v>
      </c>
      <c r="Y103" s="27" t="n">
        <f aca="false">IF(AND(ISNUMBER(Y100),ISNUMBER(T100)),IFERROR(Y100/T100-1,""),"")</f>
        <v>0.0878459490580059</v>
      </c>
      <c r="Z103" s="27" t="n">
        <f aca="false">IF(AND(ISNUMBER(Z100),ISNUMBER(U100)),IFERROR(Z100/U100-1,""),"")</f>
        <v>0.0851903053199319</v>
      </c>
      <c r="AA103" s="27" t="n">
        <f aca="false">IF(AND(ISNUMBER(AA100),ISNUMBER(V100)),IFERROR(AA100/V100-1,""),"")</f>
        <v>0.0967094648765792</v>
      </c>
      <c r="AB103" s="27" t="n">
        <f aca="false">IF(AND(ISNUMBER(AB100),ISNUMBER(W100)),IFERROR(AB100/W100-1,""),"")</f>
        <v>0.112746295017517</v>
      </c>
      <c r="AC103" s="27" t="n">
        <f aca="false">IF(AND(ISNUMBER(AC100),ISNUMBER(X100)),IFERROR(AC100/X100-1,""),"")</f>
        <v>0.0957299337083857</v>
      </c>
      <c r="AD103" s="27" t="n">
        <f aca="false">IF(AND(ISNUMBER(AD100),ISNUMBER(Y100)),IFERROR(AD100/Y100-1,""),"")</f>
        <v>0.0794401488043106</v>
      </c>
      <c r="AE103" s="27" t="n">
        <f aca="false">IF(AND(ISNUMBER(AE100),ISNUMBER(Z100)),IFERROR(AE100/Z100-1,""),"")</f>
        <v>0.0638538898185517</v>
      </c>
      <c r="AF103" s="27" t="n">
        <f aca="false">IF(AND(ISNUMBER(AF100),ISNUMBER(AA100)),IFERROR(AF100/AA100-1,""),"")</f>
        <v>0.0534930592730922</v>
      </c>
      <c r="AG103" s="27" t="n">
        <f aca="false">IF(AND(ISNUMBER(AG100),ISNUMBER(AB100)),IFERROR(AG100/AB100-1,""),"")</f>
        <v>0.203618831135634</v>
      </c>
      <c r="AH103" s="27" t="n">
        <f aca="false">IF(AND(ISNUMBER(AH100),ISNUMBER(AC100)),IFERROR(AH100/AC100-1,""),"")</f>
        <v>0.0851955107963416</v>
      </c>
      <c r="AI103" s="27" t="n">
        <f aca="false">IF(AND(ISNUMBER(AI100),ISNUMBER(AD100)),IFERROR(AI100/AD100-1,""),"")</f>
        <v>0.245240431795878</v>
      </c>
      <c r="AJ103" s="27" t="n">
        <f aca="false">IF(AND(ISNUMBER(AJ100),ISNUMBER(AE100)),IFERROR(AJ100/AE100-1,""),"")</f>
        <v>0.238655648793336</v>
      </c>
      <c r="AK103" s="27" t="n">
        <f aca="false">IF(AND(ISNUMBER(AK100),ISNUMBER(AF100)),IFERROR(AK100/AF100-1,""),"")</f>
        <v>0.240414164003013</v>
      </c>
      <c r="AL103" s="27" t="n">
        <f aca="false">IF(AND(ISNUMBER(AL100),ISNUMBER(AG100)),IFERROR(AL100/AG100-1,""),"")</f>
        <v>0.0910044978490963</v>
      </c>
      <c r="AM103" s="27" t="n">
        <f aca="false">IF(AND(ISNUMBER(AM100),ISNUMBER(AH100)),IFERROR(AM100/AH100-1,""),"")</f>
        <v>0.21663882408567</v>
      </c>
      <c r="AN103" s="27" t="n">
        <f aca="false">IF(AND(ISNUMBER(AN100),ISNUMBER(AI100)),IFERROR(AN100/AI100-1,""),"")</f>
        <v>0.053659223718479</v>
      </c>
      <c r="AO103" s="27" t="n">
        <f aca="false">IF(AND(ISNUMBER(AO100),ISNUMBER(AJ100)),IFERROR(AO100/AJ100-1,""),"")</f>
        <v>0.0696116446231141</v>
      </c>
      <c r="AP103" s="27" t="n">
        <f aca="false">IF(AND(ISNUMBER(AP100),ISNUMBER(AK100)),IFERROR(AP100/AK100-1,""),"")</f>
        <v>0.0586431134363408</v>
      </c>
      <c r="AQ103" s="27" t="n">
        <f aca="false">IF(AND(ISNUMBER(AQ100),ISNUMBER(AL100)),IFERROR(AQ100/AL100-1,""),"")</f>
        <v>0.0743793237698782</v>
      </c>
      <c r="AR103" s="27" t="n">
        <f aca="false">IF(AND(ISNUMBER(AR100),ISNUMBER(AM100)),IFERROR(AR100/AM100-1,""),"")</f>
        <v>0.0641801170731948</v>
      </c>
      <c r="AS103" s="27" t="n">
        <f aca="false">IF(AND(ISNUMBER(AS100),ISNUMBER(AN100)),IFERROR(AS100/AN100-1,""),"")</f>
        <v>0.0666464465024514</v>
      </c>
      <c r="AT103" s="27" t="n">
        <f aca="false">IF(AND(ISNUMBER(AT100),ISNUMBER(AO100)),IFERROR(AT100/AO100-1,""),"")</f>
        <v>0.0730276068692428</v>
      </c>
      <c r="AU103" s="27" t="n">
        <f aca="false">IF(AND(ISNUMBER(AU100),ISNUMBER(AP100)),IFERROR(AU100/AP100-1,""),"")</f>
        <v>0.0762739771626257</v>
      </c>
      <c r="AV103" s="27" t="n">
        <f aca="false">IF(AND(ISNUMBER(AV100),ISNUMBER(AQ100)),IFERROR(AV100/AQ100-1,""),"")</f>
        <v>-0.0970859605403266</v>
      </c>
      <c r="AW103" s="27" t="n">
        <f aca="false">IF(AND(ISNUMBER(AW100),ISNUMBER(AR100)),IFERROR(AW100/AR100-1,""),"")</f>
        <v>0.0279756998495277</v>
      </c>
      <c r="AX103" s="27" t="n">
        <f aca="false">IF(AND(ISNUMBER(AX100),ISNUMBER(AS100)),IFERROR(AX100/AS100-1,""),"")</f>
        <v>-0.0356482854159731</v>
      </c>
      <c r="AY103" s="27" t="n">
        <f aca="false">IF(AND(ISNUMBER(AY100),ISNUMBER(AT100)),IFERROR(AY100/AT100-1,""),"")</f>
        <v>-0.0470242966911439</v>
      </c>
      <c r="AZ103" s="27" t="n">
        <f aca="false">IF(AND(ISNUMBER(AZ100),ISNUMBER(AU100)),IFERROR(AZ100/AU100-1,""),"")</f>
        <v>-0.0185524740313964</v>
      </c>
      <c r="BA103" s="27" t="n">
        <f aca="false">IF(AND(ISNUMBER(BA100),ISNUMBER(AV100)),IFERROR(BA100/AV100-1,""),"")</f>
        <v>0.133415123883664</v>
      </c>
      <c r="BB103" s="27" t="n">
        <f aca="false">IF(AND(ISNUMBER(BB100),ISNUMBER(AW100)),IFERROR(BB100/AW100-1,""),"")</f>
        <v>0.0044064179576353</v>
      </c>
      <c r="BC103" s="27" t="n">
        <f aca="false">IF(AND(ISNUMBER(BC100),ISNUMBER(AX100)),IFERROR(BC100/AX100-1,""),"")</f>
        <v>0.0860970757053088</v>
      </c>
      <c r="BD103" s="27" t="n">
        <f aca="false">IF(AND(ISNUMBER(BD100),ISNUMBER(AY100)),IFERROR(BD100/AY100-1,""),"")</f>
        <v>0.0940401172876324</v>
      </c>
      <c r="BE103" s="27" t="n">
        <f aca="false">IF(AND(ISNUMBER(BE100),ISNUMBER(AZ100)),IFERROR(BE100/AZ100-1,""),"")</f>
        <v>0.103252795635028</v>
      </c>
      <c r="BF103" s="27" t="n">
        <f aca="false">IF(AND(ISNUMBER(BF100),ISNUMBER(BA100)),IFERROR(BF100/BA100-1,""),"")</f>
        <v>0.130211950899431</v>
      </c>
      <c r="BG103" s="27" t="n">
        <f aca="false">IF(AND(ISNUMBER(BG100),ISNUMBER(BB100)),IFERROR(BG100/BB100-1,""),"")</f>
        <v>0.103721716500336</v>
      </c>
      <c r="BH103" s="27" t="n">
        <f aca="false">IF(AND(ISNUMBER(BH100),ISNUMBER(BC100)),IFERROR(BH100/BC100-1,""),"")</f>
        <v>0.142072273913387</v>
      </c>
      <c r="BI103" s="27" t="n">
        <f aca="false">IF(AND(ISNUMBER(BI100),ISNUMBER(BD100)),IFERROR(BI100/BD100-1,""),"")</f>
        <v>0.13139442152318</v>
      </c>
      <c r="BJ103" s="27" t="n">
        <f aca="false">IF(AND(ISNUMBER(BJ100),ISNUMBER(BE100)),IFERROR(BJ100/BE100-1,""),"")</f>
        <v>0.117030902678953</v>
      </c>
      <c r="BK103" s="27" t="n">
        <f aca="false">IF(AND(ISNUMBER(BK100),ISNUMBER(BF100)),IFERROR(BK100/BF100-1,""),"")</f>
        <v>0.10111650630505</v>
      </c>
      <c r="BL103" s="27" t="n">
        <f aca="false">IF(AND(ISNUMBER(BL100),ISNUMBER(BG100)),IFERROR(BL100/BG100-1,""),"")</f>
        <v>0.122390351773432</v>
      </c>
      <c r="BM103" s="27" t="n">
        <f aca="false">IF(AND(ISNUMBER(BM100),ISNUMBER(BH100)),IFERROR(BM100/BH100-1,""),"")</f>
        <v>0.0811815067386614</v>
      </c>
      <c r="BN103" s="27" t="n">
        <f aca="false">IF(AND(ISNUMBER(BN100),ISNUMBER(BI100)),IFERROR(BN100/BI100-1,""),"")</f>
        <v>0.0930263033264698</v>
      </c>
      <c r="BO103" s="27" t="n">
        <f aca="false">IF(AND(ISNUMBER(BO100),ISNUMBER(BJ100)),IFERROR(BO100/BJ100-1,""),"")</f>
        <v>0.0987161561763408</v>
      </c>
      <c r="BP103" s="27" t="n">
        <f aca="false">IF(AND(ISNUMBER(BP100),ISNUMBER(BK100)),IFERROR(BP100/BK100-1,""),"")</f>
        <v>0.0816223974828307</v>
      </c>
      <c r="BQ103" s="27" t="n">
        <f aca="false">IF(AND(ISNUMBER(BQ100),ISNUMBER(BL100)),IFERROR(BQ100/BL100-1,""),"")</f>
        <v>0.0885737818220962</v>
      </c>
      <c r="BR103" s="27" t="n">
        <f aca="false">IF(AND(ISNUMBER(BR100),ISNUMBER(BM100)),IFERROR(BR100/BM100-1,""),"")</f>
        <v>0.067990846721</v>
      </c>
      <c r="BS103" s="27" t="n">
        <f aca="false">IF(AND(ISNUMBER(BS100),ISNUMBER(BN100)),IFERROR(BS100/BN100-1,""),"")</f>
        <v>0.077657658643004</v>
      </c>
      <c r="BT103" s="27" t="n">
        <f aca="false">IF(AND(ISNUMBER(BT100),ISNUMBER(BO100)),IFERROR(BT100/BO100-1,""),"")</f>
        <v>0.0843605177183853</v>
      </c>
      <c r="BU103" s="27" t="n">
        <f aca="false">IF(AND(ISNUMBER(BU100),ISNUMBER(BP100)),IFERROR(BU100/BP100-1,""),"")</f>
        <v>0.0796123734537737</v>
      </c>
      <c r="BV103" s="27" t="n">
        <f aca="false">IF(AND(ISNUMBER(BV100),ISNUMBER(BQ100)),IFERROR(BV100/BQ100-1,""),"")</f>
        <v>0.0774821121822644</v>
      </c>
      <c r="BW103" s="27" t="n">
        <f aca="false">IF(AND(ISNUMBER(BW100),ISNUMBER(BR100)),IFERROR(BW100/BR100-1,""),"")</f>
        <v>0.0865590523135913</v>
      </c>
      <c r="BX103" s="27" t="n">
        <f aca="false">IF(AND(ISNUMBER(BX100),ISNUMBER(BS100)),IFERROR(BX100/BS100-1,""),"")</f>
        <v>0.0929856275882852</v>
      </c>
      <c r="BY103" s="27" t="n">
        <f aca="false">IF(AND(ISNUMBER(BY100),ISNUMBER(BT100)),IFERROR(BY100/BT100-1,""),"")</f>
        <v>0.0890267706950783</v>
      </c>
      <c r="BZ103" s="27" t="n">
        <f aca="false">IF(AND(ISNUMBER(BZ100),ISNUMBER(BU100)),IFERROR(BZ100/BU100-1,""),"")</f>
        <v>0.0890487214974067</v>
      </c>
      <c r="CA103" s="27" t="n">
        <f aca="false">IF(AND(ISNUMBER(CA100),ISNUMBER(BV100)),IFERROR(CA100/BV100-1,""),"")</f>
        <v>0.0894162297545855</v>
      </c>
      <c r="CB103" s="27" t="n">
        <f aca="false">IF(AND(ISNUMBER(CB100),ISNUMBER(BW100)),IFERROR(CB100/BW100-1,""),"")</f>
        <v>0.108846843519165</v>
      </c>
      <c r="CC103" s="28" t="n">
        <f aca="false">IFERROR(CC100/BX100-1,"")</f>
        <v>0.0757455912249758</v>
      </c>
      <c r="CD103" s="28" t="n">
        <f aca="false">IFERROR(CD100/BY100-1,"")</f>
        <v>0.224389905060756</v>
      </c>
      <c r="CE103" s="28" t="n">
        <f aca="false">IFERROR(CE100/BZ100-1,"")</f>
        <v>0.299079671258924</v>
      </c>
      <c r="CF103" s="28" t="n">
        <f aca="false">IFERROR(CF100/CA100-1,"")</f>
        <v>0.178825325902706</v>
      </c>
      <c r="CG103" s="28" t="n">
        <f aca="false">IFERROR(CG100/CF100-1,"")</f>
        <v>0.196676808870046</v>
      </c>
      <c r="CH103" s="28" t="n">
        <f aca="false">IFERROR(CH100/CG100-1,"")</f>
        <v>0.0769779666962904</v>
      </c>
      <c r="CI103" s="28" t="n">
        <f aca="false">IFERROR(CI100/CH100-1,"")</f>
        <v>0.0769373115329368</v>
      </c>
      <c r="CJ103" s="28" t="n">
        <f aca="false">IFERROR(CJ100/CI100-1,"")</f>
        <v>0.0724860130535647</v>
      </c>
      <c r="CK103" s="23"/>
      <c r="CS103" s="29" t="s">
        <v>291</v>
      </c>
      <c r="CT103" s="51" t="n">
        <f aca="false">CU103+$CT$99</f>
        <v>0.6</v>
      </c>
      <c r="CU103" s="38" t="n">
        <v>0.59</v>
      </c>
      <c r="CV103" s="51" t="n">
        <f aca="false">CU103+$CV$99</f>
        <v>0.575</v>
      </c>
    </row>
    <row r="104" customFormat="false" ht="15" hidden="false" customHeight="true" outlineLevel="0" collapsed="false">
      <c r="B104" s="57" t="s">
        <v>327</v>
      </c>
      <c r="C104" s="45" t="n">
        <f aca="false">ROUND(C100-C132,1)</f>
        <v>0</v>
      </c>
      <c r="D104" s="45" t="n">
        <f aca="false">ROUND(D100-D132,1)</f>
        <v>0</v>
      </c>
      <c r="E104" s="45" t="n">
        <f aca="false">ROUND(E100-E132,1)</f>
        <v>0</v>
      </c>
      <c r="F104" s="45" t="n">
        <f aca="false">ROUND(F100-F132,1)</f>
        <v>0</v>
      </c>
      <c r="G104" s="45" t="n">
        <f aca="false">ROUND(G100-G132,1)</f>
        <v>0</v>
      </c>
      <c r="H104" s="45" t="n">
        <f aca="false">ROUND(H100-H132,1)</f>
        <v>0</v>
      </c>
      <c r="I104" s="45" t="n">
        <f aca="false">ROUND(I100-I132,1)</f>
        <v>0</v>
      </c>
      <c r="J104" s="45" t="n">
        <f aca="false">ROUND(J100-J132,1)</f>
        <v>0</v>
      </c>
      <c r="K104" s="45" t="n">
        <f aca="false">ROUND(K100-K132,1)</f>
        <v>0</v>
      </c>
      <c r="L104" s="45" t="n">
        <f aca="false">ROUND(L100-L132,1)</f>
        <v>0</v>
      </c>
      <c r="M104" s="45" t="n">
        <f aca="false">ROUND(M100-M132,1)</f>
        <v>0</v>
      </c>
      <c r="N104" s="45" t="n">
        <f aca="false">ROUND(N100-N132,1)</f>
        <v>0</v>
      </c>
      <c r="O104" s="45" t="n">
        <f aca="false">ROUND(O100-O132,1)</f>
        <v>0</v>
      </c>
      <c r="P104" s="45" t="n">
        <f aca="false">ROUND(P100-P132,1)</f>
        <v>0</v>
      </c>
      <c r="Q104" s="45" t="n">
        <f aca="false">ROUND(Q100-Q132,1)</f>
        <v>0</v>
      </c>
      <c r="R104" s="45" t="n">
        <f aca="false">ROUND(R100-R132,1)</f>
        <v>0</v>
      </c>
      <c r="S104" s="45" t="n">
        <f aca="false">ROUND(S100-S132,1)</f>
        <v>0</v>
      </c>
      <c r="T104" s="45" t="n">
        <f aca="false">ROUND(T100-T132,1)</f>
        <v>0</v>
      </c>
      <c r="U104" s="45" t="n">
        <f aca="false">ROUND(U100-U132,1)</f>
        <v>0</v>
      </c>
      <c r="V104" s="45" t="n">
        <f aca="false">ROUND(V100-V132,1)</f>
        <v>0</v>
      </c>
      <c r="W104" s="45" t="n">
        <f aca="false">ROUND(W100-W132,1)</f>
        <v>0</v>
      </c>
      <c r="X104" s="45" t="n">
        <f aca="false">ROUND(X100-X132,1)</f>
        <v>0</v>
      </c>
      <c r="Y104" s="45" t="n">
        <f aca="false">ROUND(Y100-Y132,1)</f>
        <v>0</v>
      </c>
      <c r="Z104" s="45" t="n">
        <f aca="false">ROUND(Z100-Z132,1)</f>
        <v>0</v>
      </c>
      <c r="AA104" s="45" t="n">
        <f aca="false">ROUND(AA100-AA132,1)</f>
        <v>0</v>
      </c>
      <c r="AB104" s="45" t="n">
        <f aca="false">ROUND(AB100-AB132,1)</f>
        <v>0</v>
      </c>
      <c r="AC104" s="45" t="n">
        <f aca="false">ROUND(AC100-AC132,1)</f>
        <v>0</v>
      </c>
      <c r="AD104" s="45" t="n">
        <f aca="false">ROUND(AD100-AD132,1)</f>
        <v>0</v>
      </c>
      <c r="AE104" s="45" t="n">
        <f aca="false">ROUND(AE100-AE132,1)</f>
        <v>0</v>
      </c>
      <c r="AF104" s="45" t="n">
        <f aca="false">ROUND(AF100-AF132,1)</f>
        <v>0</v>
      </c>
      <c r="AG104" s="45" t="n">
        <f aca="false">ROUND(AG100-AG132,1)</f>
        <v>0</v>
      </c>
      <c r="AH104" s="45" t="n">
        <f aca="false">ROUND(AH100-AH132,1)</f>
        <v>0</v>
      </c>
      <c r="AI104" s="45" t="n">
        <f aca="false">ROUND(AI100-AI132,1)</f>
        <v>0</v>
      </c>
      <c r="AJ104" s="45" t="n">
        <f aca="false">ROUND(AJ100-AJ132,1)</f>
        <v>0</v>
      </c>
      <c r="AK104" s="45" t="n">
        <f aca="false">ROUND(AK100-AK132,1)</f>
        <v>0</v>
      </c>
      <c r="AL104" s="45" t="n">
        <f aca="false">ROUND(AL100-AL132,1)</f>
        <v>0</v>
      </c>
      <c r="AM104" s="45" t="n">
        <f aca="false">ROUND(AM100-AM132,1)</f>
        <v>0</v>
      </c>
      <c r="AN104" s="45" t="n">
        <f aca="false">ROUND(AN100-AN132,1)</f>
        <v>0</v>
      </c>
      <c r="AO104" s="45" t="n">
        <f aca="false">ROUND(AO100-AO132,1)</f>
        <v>0</v>
      </c>
      <c r="AP104" s="45" t="n">
        <f aca="false">ROUND(AP100-AP132,1)</f>
        <v>0</v>
      </c>
      <c r="AQ104" s="45" t="n">
        <f aca="false">ROUND(AQ100-AQ132,1)</f>
        <v>0</v>
      </c>
      <c r="AR104" s="45" t="n">
        <f aca="false">ROUND(AR100-AR132,1)</f>
        <v>0</v>
      </c>
      <c r="AS104" s="45" t="n">
        <f aca="false">ROUND(AS100-AS132,1)</f>
        <v>0</v>
      </c>
      <c r="AT104" s="45" t="n">
        <f aca="false">ROUND(AT100-AT132,1)</f>
        <v>0</v>
      </c>
      <c r="AU104" s="45" t="n">
        <f aca="false">ROUND(AU100-AU132,1)</f>
        <v>0</v>
      </c>
      <c r="AV104" s="45" t="n">
        <f aca="false">ROUND(AV100-AV132,1)</f>
        <v>0</v>
      </c>
      <c r="AW104" s="45" t="n">
        <f aca="false">ROUND(AW100-AW132,1)</f>
        <v>0</v>
      </c>
      <c r="AX104" s="45" t="n">
        <f aca="false">ROUND(AX100-AX132,1)</f>
        <v>0</v>
      </c>
      <c r="AY104" s="45" t="n">
        <f aca="false">ROUND(AY100-AY132,1)</f>
        <v>0</v>
      </c>
      <c r="AZ104" s="45" t="n">
        <f aca="false">ROUND(AZ100-AZ132,1)</f>
        <v>0</v>
      </c>
      <c r="BA104" s="45" t="n">
        <f aca="false">ROUND(BA100-BA132,1)</f>
        <v>0</v>
      </c>
      <c r="BB104" s="45" t="n">
        <f aca="false">ROUND(BB100-BB132,1)</f>
        <v>0</v>
      </c>
      <c r="BC104" s="45" t="n">
        <f aca="false">ROUND(BC100-BC132,1)</f>
        <v>0</v>
      </c>
      <c r="BD104" s="45" t="n">
        <f aca="false">ROUND(BD100-BD132,1)</f>
        <v>0</v>
      </c>
      <c r="BE104" s="45" t="n">
        <f aca="false">ROUND(BE100-BE132,1)</f>
        <v>0</v>
      </c>
      <c r="BF104" s="45" t="n">
        <f aca="false">ROUND(BF100-BF132,1)</f>
        <v>0</v>
      </c>
      <c r="BG104" s="45" t="n">
        <f aca="false">ROUND(BG100-BG132,1)</f>
        <v>0</v>
      </c>
      <c r="BH104" s="45" t="n">
        <f aca="false">ROUND(BH100-BH132,1)</f>
        <v>0</v>
      </c>
      <c r="BI104" s="45" t="n">
        <f aca="false">ROUND(BI100-BI132,1)</f>
        <v>0</v>
      </c>
      <c r="BJ104" s="45" t="n">
        <f aca="false">ROUND(BJ100-BJ132,1)</f>
        <v>0</v>
      </c>
      <c r="BK104" s="45" t="n">
        <f aca="false">ROUND(BK100-BK132,1)</f>
        <v>0</v>
      </c>
      <c r="BL104" s="45" t="n">
        <f aca="false">ROUND(BL100-BL132,1)</f>
        <v>0</v>
      </c>
      <c r="BM104" s="45" t="n">
        <f aca="false">ROUND(BM100-BM132,1)</f>
        <v>0</v>
      </c>
      <c r="BN104" s="45" t="n">
        <f aca="false">ROUND(BN100-BN132,1)</f>
        <v>0</v>
      </c>
      <c r="BO104" s="45" t="n">
        <f aca="false">ROUND(BO100-BO132,1)</f>
        <v>0</v>
      </c>
      <c r="BP104" s="45" t="n">
        <f aca="false">ROUND(BP100-BP132,1)</f>
        <v>0</v>
      </c>
      <c r="BQ104" s="45" t="n">
        <f aca="false">ROUND(BQ100-BQ132,1)</f>
        <v>0</v>
      </c>
      <c r="BR104" s="45" t="n">
        <f aca="false">ROUND(BR100-BR132,1)</f>
        <v>0</v>
      </c>
      <c r="BS104" s="45" t="n">
        <f aca="false">ROUND(BS100-BS132,1)</f>
        <v>0</v>
      </c>
      <c r="BT104" s="45" t="n">
        <f aca="false">ROUND(BT100-BT132,1)</f>
        <v>0</v>
      </c>
      <c r="BU104" s="45" t="n">
        <f aca="false">ROUND(BU100-BU132,1)</f>
        <v>0</v>
      </c>
      <c r="BV104" s="45" t="n">
        <f aca="false">ROUND(BV100-BV132,1)</f>
        <v>0</v>
      </c>
      <c r="BW104" s="45" t="n">
        <f aca="false">ROUND(BW100-BW132,1)</f>
        <v>0</v>
      </c>
      <c r="BX104" s="45" t="n">
        <f aca="false">ROUND(BX100-BX132,1)</f>
        <v>0</v>
      </c>
      <c r="BY104" s="45" t="n">
        <f aca="false">ROUND(BY100-BY132,1)</f>
        <v>0</v>
      </c>
      <c r="BZ104" s="45" t="n">
        <f aca="false">ROUND(BZ100-BZ132,1)</f>
        <v>0</v>
      </c>
      <c r="CA104" s="45" t="n">
        <f aca="false">ROUND(CA100-CA132,1)</f>
        <v>0</v>
      </c>
      <c r="CB104" s="45" t="n">
        <f aca="false">ROUND(CB100-CB132,1)</f>
        <v>0</v>
      </c>
      <c r="CC104" s="35" t="n">
        <f aca="false">ROUND(CC100-CC132,1)</f>
        <v>0</v>
      </c>
      <c r="CD104" s="35" t="n">
        <f aca="false">ROUND(CD100-CD132,1)</f>
        <v>0</v>
      </c>
      <c r="CE104" s="35" t="n">
        <f aca="false">ROUND(CE100-CE132,1)</f>
        <v>0</v>
      </c>
      <c r="CF104" s="35" t="n">
        <f aca="false">ROUND(CF100-CF132,1)</f>
        <v>0</v>
      </c>
      <c r="CG104" s="35" t="n">
        <f aca="false">ROUND(CG100-CG132,1)</f>
        <v>0</v>
      </c>
      <c r="CH104" s="35" t="n">
        <f aca="false">ROUND(CH100-CH132,1)</f>
        <v>0</v>
      </c>
      <c r="CI104" s="35" t="n">
        <f aca="false">ROUND(CI100-CI132,1)</f>
        <v>0</v>
      </c>
      <c r="CJ104" s="35" t="n">
        <f aca="false">ROUND(CJ100-CJ132,1)</f>
        <v>0</v>
      </c>
      <c r="CK104" s="23"/>
    </row>
    <row r="105" customFormat="false" ht="15" hidden="false" customHeight="true" outlineLevel="0" collapsed="false">
      <c r="B105" s="57" t="s">
        <v>328</v>
      </c>
      <c r="C105" s="45" t="n">
        <f aca="false">ROUND(C101-C138,1)</f>
        <v>0</v>
      </c>
      <c r="D105" s="45" t="n">
        <f aca="false">ROUND(D101-D138,1)</f>
        <v>0</v>
      </c>
      <c r="E105" s="45" t="n">
        <f aca="false">ROUND(E101-E138,1)</f>
        <v>0</v>
      </c>
      <c r="F105" s="45" t="n">
        <f aca="false">ROUND(F101-F138,1)</f>
        <v>0</v>
      </c>
      <c r="G105" s="45" t="n">
        <f aca="false">ROUND(G101-G138,1)</f>
        <v>0</v>
      </c>
      <c r="H105" s="45" t="n">
        <f aca="false">ROUND(H101-H138,1)</f>
        <v>0</v>
      </c>
      <c r="I105" s="45" t="n">
        <f aca="false">ROUND(I101-I138,1)</f>
        <v>0</v>
      </c>
      <c r="J105" s="45" t="n">
        <f aca="false">ROUND(J101-J138,1)</f>
        <v>0</v>
      </c>
      <c r="K105" s="45" t="n">
        <f aca="false">ROUND(K101-K138,1)</f>
        <v>0</v>
      </c>
      <c r="L105" s="45" t="n">
        <f aca="false">ROUND(L101-L138,1)</f>
        <v>0</v>
      </c>
      <c r="M105" s="45" t="n">
        <f aca="false">ROUND(M101-M138,1)</f>
        <v>0</v>
      </c>
      <c r="N105" s="45" t="n">
        <f aca="false">ROUND(N101-N138,1)</f>
        <v>0</v>
      </c>
      <c r="O105" s="45" t="n">
        <f aca="false">ROUND(O101-O138,1)</f>
        <v>0</v>
      </c>
      <c r="P105" s="45" t="n">
        <f aca="false">ROUND(P101-P138,1)</f>
        <v>0</v>
      </c>
      <c r="Q105" s="45" t="n">
        <f aca="false">ROUND(Q101-Q138,1)</f>
        <v>0</v>
      </c>
      <c r="R105" s="45" t="n">
        <f aca="false">ROUND(R101-R138,1)</f>
        <v>0</v>
      </c>
      <c r="S105" s="45" t="n">
        <f aca="false">ROUND(S101-S138,1)</f>
        <v>0</v>
      </c>
      <c r="T105" s="45" t="n">
        <f aca="false">ROUND(T101-T138,1)</f>
        <v>0</v>
      </c>
      <c r="U105" s="45" t="n">
        <f aca="false">ROUND(U101-U138,1)</f>
        <v>0</v>
      </c>
      <c r="V105" s="45" t="n">
        <f aca="false">ROUND(V101-V138,1)</f>
        <v>0</v>
      </c>
      <c r="W105" s="45" t="n">
        <f aca="false">ROUND(W101-W138,1)</f>
        <v>0</v>
      </c>
      <c r="X105" s="45" t="n">
        <f aca="false">ROUND(X101-X138,1)</f>
        <v>0</v>
      </c>
      <c r="Y105" s="45" t="n">
        <f aca="false">ROUND(Y101-Y138,1)</f>
        <v>0</v>
      </c>
      <c r="Z105" s="45" t="n">
        <f aca="false">ROUND(Z101-Z138,1)</f>
        <v>0</v>
      </c>
      <c r="AA105" s="45" t="n">
        <f aca="false">ROUND(AA101-AA138,1)</f>
        <v>0</v>
      </c>
      <c r="AB105" s="45" t="n">
        <f aca="false">ROUND(AB101-AB138,1)</f>
        <v>0</v>
      </c>
      <c r="AC105" s="45" t="n">
        <f aca="false">ROUND(AC101-AC138,1)</f>
        <v>0</v>
      </c>
      <c r="AD105" s="45" t="n">
        <f aca="false">ROUND(AD101-AD138,1)</f>
        <v>0</v>
      </c>
      <c r="AE105" s="45" t="n">
        <f aca="false">ROUND(AE101-AE138,1)</f>
        <v>0</v>
      </c>
      <c r="AF105" s="45" t="n">
        <f aca="false">ROUND(AF101-AF138,1)</f>
        <v>0</v>
      </c>
      <c r="AG105" s="45" t="n">
        <f aca="false">ROUND(AG101-AG138,1)</f>
        <v>0</v>
      </c>
      <c r="AH105" s="45" t="n">
        <f aca="false">ROUND(AH101-AH138,1)</f>
        <v>0</v>
      </c>
      <c r="AI105" s="45" t="n">
        <f aca="false">ROUND(AI101-AI138,1)</f>
        <v>0</v>
      </c>
      <c r="AJ105" s="45" t="n">
        <f aca="false">ROUND(AJ101-AJ138,1)</f>
        <v>0</v>
      </c>
      <c r="AK105" s="45" t="n">
        <f aca="false">ROUND(AK101-AK138,1)</f>
        <v>0</v>
      </c>
      <c r="AL105" s="45" t="n">
        <f aca="false">ROUND(AL101-AL138,1)</f>
        <v>0</v>
      </c>
      <c r="AM105" s="45" t="n">
        <f aca="false">ROUND(AM101-AM138,1)</f>
        <v>0</v>
      </c>
      <c r="AN105" s="45" t="n">
        <f aca="false">ROUND(AN101-AN138,1)</f>
        <v>0</v>
      </c>
      <c r="AO105" s="45" t="n">
        <f aca="false">ROUND(AO101-AO138,1)</f>
        <v>0</v>
      </c>
      <c r="AP105" s="45" t="n">
        <f aca="false">ROUND(AP101-AP138,1)</f>
        <v>0</v>
      </c>
      <c r="AQ105" s="45" t="n">
        <f aca="false">ROUND(AQ101-AQ138,1)</f>
        <v>0</v>
      </c>
      <c r="AR105" s="45" t="n">
        <f aca="false">ROUND(AR101-AR138,1)</f>
        <v>0</v>
      </c>
      <c r="AS105" s="45" t="n">
        <f aca="false">ROUND(AS101-AS138,1)</f>
        <v>0</v>
      </c>
      <c r="AT105" s="45" t="n">
        <f aca="false">ROUND(AT101-AT138,1)</f>
        <v>0</v>
      </c>
      <c r="AU105" s="45" t="n">
        <f aca="false">ROUND(AU101-AU138,1)</f>
        <v>0</v>
      </c>
      <c r="AV105" s="45" t="n">
        <f aca="false">ROUND(AV101-AV138,1)</f>
        <v>0</v>
      </c>
      <c r="AW105" s="45" t="n">
        <f aca="false">ROUND(AW101-AW138,1)</f>
        <v>0</v>
      </c>
      <c r="AX105" s="45" t="n">
        <f aca="false">ROUND(AX101-AX138,1)</f>
        <v>0</v>
      </c>
      <c r="AY105" s="45" t="n">
        <f aca="false">ROUND(AY101-AY138,1)</f>
        <v>0</v>
      </c>
      <c r="AZ105" s="45" t="n">
        <f aca="false">ROUND(AZ101-AZ138,1)</f>
        <v>0</v>
      </c>
      <c r="BA105" s="45" t="n">
        <f aca="false">ROUND(BA101-BA138,1)</f>
        <v>0</v>
      </c>
      <c r="BB105" s="45" t="n">
        <f aca="false">ROUND(BB101-BB138,1)</f>
        <v>0</v>
      </c>
      <c r="BC105" s="45" t="n">
        <f aca="false">ROUND(BC101-BC138,1)</f>
        <v>0</v>
      </c>
      <c r="BD105" s="45" t="n">
        <f aca="false">ROUND(BD101-BD138,1)</f>
        <v>0</v>
      </c>
      <c r="BE105" s="45" t="n">
        <f aca="false">ROUND(BE101-BE138,1)</f>
        <v>0</v>
      </c>
      <c r="BF105" s="45" t="n">
        <f aca="false">ROUND(BF101-BF138,1)</f>
        <v>0</v>
      </c>
      <c r="BG105" s="45" t="n">
        <f aca="false">ROUND(BG101-BG138,1)</f>
        <v>0</v>
      </c>
      <c r="BH105" s="45" t="n">
        <f aca="false">ROUND(BH101-BH138,1)</f>
        <v>0</v>
      </c>
      <c r="BI105" s="45" t="n">
        <f aca="false">ROUND(BI101-BI138,1)</f>
        <v>0</v>
      </c>
      <c r="BJ105" s="45" t="n">
        <f aca="false">ROUND(BJ101-BJ138,1)</f>
        <v>0</v>
      </c>
      <c r="BK105" s="45" t="n">
        <f aca="false">ROUND(BK101-BK138,1)</f>
        <v>0</v>
      </c>
      <c r="BL105" s="45" t="n">
        <f aca="false">ROUND(BL101-BL138,1)</f>
        <v>0</v>
      </c>
      <c r="BM105" s="45" t="n">
        <f aca="false">ROUND(BM101-BM138,1)</f>
        <v>0</v>
      </c>
      <c r="BN105" s="45" t="n">
        <f aca="false">ROUND(BN101-BN138,1)</f>
        <v>0</v>
      </c>
      <c r="BO105" s="45" t="n">
        <f aca="false">ROUND(BO101-BO138,1)</f>
        <v>0</v>
      </c>
      <c r="BP105" s="45" t="n">
        <f aca="false">ROUND(BP101-BP138,1)</f>
        <v>0</v>
      </c>
      <c r="BQ105" s="45" t="n">
        <f aca="false">ROUND(BQ101-BQ138,1)</f>
        <v>0</v>
      </c>
      <c r="BR105" s="45" t="n">
        <f aca="false">ROUND(BR101-BR138,1)</f>
        <v>0</v>
      </c>
      <c r="BS105" s="45" t="n">
        <f aca="false">ROUND(BS101-BS138,1)</f>
        <v>0</v>
      </c>
      <c r="BT105" s="45" t="n">
        <f aca="false">ROUND(BT101-BT138,1)</f>
        <v>0</v>
      </c>
      <c r="BU105" s="45" t="n">
        <f aca="false">ROUND(BU101-BU138,1)</f>
        <v>0</v>
      </c>
      <c r="BV105" s="45" t="n">
        <f aca="false">ROUND(BV101-BV138,1)</f>
        <v>0</v>
      </c>
      <c r="BW105" s="45" t="n">
        <f aca="false">ROUND(BW101-BW138,1)</f>
        <v>0</v>
      </c>
      <c r="BX105" s="45" t="n">
        <f aca="false">ROUND(BX101-BX138,1)</f>
        <v>0</v>
      </c>
      <c r="BY105" s="45" t="n">
        <f aca="false">ROUND(BY101-BY138,1)</f>
        <v>0</v>
      </c>
      <c r="BZ105" s="45" t="n">
        <f aca="false">ROUND(BZ101-BZ138,1)</f>
        <v>0</v>
      </c>
      <c r="CA105" s="45" t="n">
        <f aca="false">ROUND(CA101-CA138,1)</f>
        <v>0</v>
      </c>
      <c r="CB105" s="45" t="n">
        <f aca="false">ROUND(CB101-CB138,1)</f>
        <v>0</v>
      </c>
      <c r="CC105" s="35" t="n">
        <f aca="false">ROUND(CC101-CC138,1)</f>
        <v>0</v>
      </c>
      <c r="CD105" s="35" t="n">
        <f aca="false">ROUND(CD101-CD138,1)</f>
        <v>0</v>
      </c>
      <c r="CE105" s="35" t="n">
        <f aca="false">ROUND(CE101-CE138,1)</f>
        <v>0</v>
      </c>
      <c r="CF105" s="35" t="n">
        <f aca="false">ROUND(CF101-CF138,1)</f>
        <v>0</v>
      </c>
      <c r="CG105" s="35" t="n">
        <f aca="false">ROUND(CG101-CG138,1)</f>
        <v>0</v>
      </c>
      <c r="CH105" s="35" t="n">
        <f aca="false">ROUND(CH101-CH138,1)</f>
        <v>0</v>
      </c>
      <c r="CI105" s="35" t="n">
        <f aca="false">ROUND(CI101-CI138,1)</f>
        <v>0</v>
      </c>
      <c r="CJ105" s="35" t="n">
        <f aca="false">ROUND(CJ101-CJ138,1)</f>
        <v>0</v>
      </c>
      <c r="CK105" s="23"/>
      <c r="CS105" s="19" t="s">
        <v>329</v>
      </c>
      <c r="CT105" s="49" t="n">
        <v>0.01</v>
      </c>
      <c r="CU105" s="50" t="s">
        <v>280</v>
      </c>
      <c r="CV105" s="49" t="n">
        <v>-0.015</v>
      </c>
      <c r="CW105" s="16" t="s">
        <v>330</v>
      </c>
    </row>
    <row r="106" customFormat="false" ht="15" hidden="false" customHeight="true" outlineLevel="1" collapsed="false">
      <c r="B106" s="26" t="s">
        <v>331</v>
      </c>
      <c r="D106" s="27" t="n">
        <f aca="false">IF(AND(ISNUMBER(D132),ISNUMBER(C132)),IFERROR(D132/C132-1,""),"")</f>
        <v>0.0891089690704687</v>
      </c>
      <c r="E106" s="27" t="n">
        <f aca="false">IF(AND(ISNUMBER(E132),ISNUMBER(D132)),IFERROR(E132/D132-1,""),"")</f>
        <v>0.0623162211011896</v>
      </c>
      <c r="F106" s="27" t="n">
        <f aca="false">IF(AND(ISNUMBER(F132),ISNUMBER(E132)),IFERROR(F132/E132-1,""),"")</f>
        <v>-0.0414472180603875</v>
      </c>
      <c r="G106" s="27" t="n">
        <f aca="false">IF(AND(ISNUMBER(G132),ISNUMBER(F132)),IFERROR(G132/F132-1,""),"")</f>
        <v>-0.0602291317023804</v>
      </c>
      <c r="H106" s="27" t="n">
        <f aca="false">IF(AND(ISNUMBER(H132),ISNUMBER(G132)),IFERROR(H132/G132-1,""),"")</f>
        <v>0.0741527663411927</v>
      </c>
      <c r="I106" s="27" t="n">
        <f aca="false">IF(AND(ISNUMBER(I132),ISNUMBER(H132)),IFERROR(I132/H132-1,""),"")</f>
        <v>0.0765319190926688</v>
      </c>
      <c r="N106" s="27" t="n">
        <f aca="false">IF(AND(ISNUMBER(N132),ISNUMBER(I132)),IFERROR(N132/I132-1,""),"")</f>
        <v>0.052284495368113</v>
      </c>
      <c r="O106" s="27" t="n">
        <f aca="false">IF(AND(ISNUMBER(O132),ISNUMBER(J132)),IFERROR(O132/J132-1,""),"")</f>
        <v>0.0656485863077545</v>
      </c>
      <c r="P106" s="27" t="n">
        <f aca="false">IF(AND(ISNUMBER(P132),ISNUMBER(K132)),IFERROR(P132/K132-1,""),"")</f>
        <v>0.0786194838483345</v>
      </c>
      <c r="Q106" s="27" t="n">
        <f aca="false">IF(AND(ISNUMBER(Q132),ISNUMBER(L132)),IFERROR(Q132/L132-1,""),"")</f>
        <v>0.0507244760029526</v>
      </c>
      <c r="R106" s="27" t="n">
        <f aca="false">IF(AND(ISNUMBER(R132),ISNUMBER(M132)),IFERROR(R132/M132-1,""),"")</f>
        <v>0.0251468887223825</v>
      </c>
      <c r="S106" s="27" t="n">
        <f aca="false">IF(AND(ISNUMBER(S132),ISNUMBER(N132)),IFERROR(S132/N132-1,""),"")</f>
        <v>0.0545216219453346</v>
      </c>
      <c r="T106" s="27" t="n">
        <f aca="false">IF(AND(ISNUMBER(T132),ISNUMBER(O132)),IFERROR(T132/O132-1,""),"")</f>
        <v>-0.0163039354911845</v>
      </c>
      <c r="U106" s="27" t="n">
        <f aca="false">IF(AND(ISNUMBER(U132),ISNUMBER(P132)),IFERROR(U132/P132-1,""),"")</f>
        <v>-0.0178132866099586</v>
      </c>
      <c r="V106" s="27" t="n">
        <f aca="false">IF(AND(ISNUMBER(V132),ISNUMBER(Q132)),IFERROR(V132/Q132-1,""),"")</f>
        <v>-0.0189252342650259</v>
      </c>
      <c r="W106" s="27" t="n">
        <f aca="false">IF(AND(ISNUMBER(W132),ISNUMBER(R132)),IFERROR(W132/R132-1,""),"")</f>
        <v>-0.0128693479536129</v>
      </c>
      <c r="X106" s="27" t="n">
        <f aca="false">IF(AND(ISNUMBER(X132),ISNUMBER(S132)),IFERROR(X132/S132-1,""),"")</f>
        <v>-0.0164606974101741</v>
      </c>
      <c r="Y106" s="27" t="n">
        <f aca="false">IF(AND(ISNUMBER(Y132),ISNUMBER(T132)),IFERROR(Y132/T132-1,""),"")</f>
        <v>0.0878459490580059</v>
      </c>
      <c r="Z106" s="27" t="n">
        <f aca="false">IF(AND(ISNUMBER(Z132),ISNUMBER(U132)),IFERROR(Z132/U132-1,""),"")</f>
        <v>0.0851903053199321</v>
      </c>
      <c r="AA106" s="27" t="n">
        <f aca="false">IF(AND(ISNUMBER(AA132),ISNUMBER(V132)),IFERROR(AA132/V132-1,""),"")</f>
        <v>0.0967094648765792</v>
      </c>
      <c r="AB106" s="27" t="n">
        <f aca="false">IF(AND(ISNUMBER(AB132),ISNUMBER(W132)),IFERROR(AB132/W132-1,""),"")</f>
        <v>0.112746295017517</v>
      </c>
      <c r="AC106" s="27" t="n">
        <f aca="false">IF(AND(ISNUMBER(AC132),ISNUMBER(X132)),IFERROR(AC132/X132-1,""),"")</f>
        <v>0.0957299337083855</v>
      </c>
      <c r="AD106" s="27" t="n">
        <f aca="false">IF(AND(ISNUMBER(AD132),ISNUMBER(Y132)),IFERROR(AD132/Y132-1,""),"")</f>
        <v>0.0794401488043106</v>
      </c>
      <c r="AE106" s="27" t="n">
        <f aca="false">IF(AND(ISNUMBER(AE132),ISNUMBER(Z132)),IFERROR(AE132/Z132-1,""),"")</f>
        <v>0.0638538898185517</v>
      </c>
      <c r="AF106" s="27" t="n">
        <f aca="false">IF(AND(ISNUMBER(AF132),ISNUMBER(AA132)),IFERROR(AF132/AA132-1,""),"")</f>
        <v>0.0534930592730922</v>
      </c>
      <c r="AG106" s="27" t="n">
        <f aca="false">IF(AND(ISNUMBER(AG132),ISNUMBER(AB132)),IFERROR(AG132/AB132-1,""),"")</f>
        <v>0.203618831135634</v>
      </c>
      <c r="AH106" s="27" t="n">
        <f aca="false">IF(AND(ISNUMBER(AH132),ISNUMBER(AC132)),IFERROR(AH132/AC132-1,""),"")</f>
        <v>0.0851955107963418</v>
      </c>
      <c r="AI106" s="27" t="n">
        <f aca="false">IF(AND(ISNUMBER(AI132),ISNUMBER(AD132)),IFERROR(AI132/AD132-1,""),"")</f>
        <v>0.245240431795878</v>
      </c>
      <c r="AJ106" s="27" t="n">
        <f aca="false">IF(AND(ISNUMBER(AJ132),ISNUMBER(AE132)),IFERROR(AJ132/AE132-1,""),"")</f>
        <v>0.238655648793336</v>
      </c>
      <c r="AK106" s="27" t="n">
        <f aca="false">IF(AND(ISNUMBER(AK132),ISNUMBER(AF132)),IFERROR(AK132/AF132-1,""),"")</f>
        <v>0.240414164003013</v>
      </c>
      <c r="AL106" s="27" t="n">
        <f aca="false">IF(AND(ISNUMBER(AL132),ISNUMBER(AG132)),IFERROR(AL132/AG132-1,""),"")</f>
        <v>0.0910044978490963</v>
      </c>
      <c r="AM106" s="27" t="n">
        <f aca="false">IF(AND(ISNUMBER(AM132),ISNUMBER(AH132)),IFERROR(AM132/AH132-1,""),"")</f>
        <v>0.21663882408567</v>
      </c>
      <c r="AN106" s="27" t="n">
        <f aca="false">IF(AND(ISNUMBER(AN132),ISNUMBER(AI132)),IFERROR(AN132/AI132-1,""),"")</f>
        <v>0.053659223718479</v>
      </c>
      <c r="AO106" s="27" t="n">
        <f aca="false">IF(AND(ISNUMBER(AO132),ISNUMBER(AJ132)),IFERROR(AO132/AJ132-1,""),"")</f>
        <v>0.0696116446231141</v>
      </c>
      <c r="AP106" s="27" t="n">
        <f aca="false">IF(AND(ISNUMBER(AP132),ISNUMBER(AK132)),IFERROR(AP132/AK132-1,""),"")</f>
        <v>0.058643113436341</v>
      </c>
      <c r="AQ106" s="27" t="n">
        <f aca="false">IF(AND(ISNUMBER(AQ132),ISNUMBER(AL132)),IFERROR(AQ132/AL132-1,""),"")</f>
        <v>0.0743793237698782</v>
      </c>
      <c r="AR106" s="27" t="n">
        <f aca="false">IF(AND(ISNUMBER(AR132),ISNUMBER(AM132)),IFERROR(AR132/AM132-1,""),"")</f>
        <v>0.0641801170731948</v>
      </c>
      <c r="AS106" s="27" t="n">
        <f aca="false">IF(AND(ISNUMBER(AS132),ISNUMBER(AN132)),IFERROR(AS132/AN132-1,""),"")</f>
        <v>0.0666464465024514</v>
      </c>
      <c r="AT106" s="27" t="n">
        <f aca="false">IF(AND(ISNUMBER(AT132),ISNUMBER(AO132)),IFERROR(AT132/AO132-1,""),"")</f>
        <v>0.0730276068692428</v>
      </c>
      <c r="AU106" s="27" t="n">
        <f aca="false">IF(AND(ISNUMBER(AU132),ISNUMBER(AP132)),IFERROR(AU132/AP132-1,""),"")</f>
        <v>0.0762739771626257</v>
      </c>
      <c r="AV106" s="27" t="n">
        <f aca="false">IF(AND(ISNUMBER(AV132),ISNUMBER(AQ132)),IFERROR(AV132/AQ132-1,""),"")</f>
        <v>-0.0970859605403266</v>
      </c>
      <c r="AW106" s="27" t="n">
        <f aca="false">IF(AND(ISNUMBER(AW132),ISNUMBER(AR132)),IFERROR(AW132/AR132-1,""),"")</f>
        <v>0.0279756998495277</v>
      </c>
      <c r="AX106" s="27" t="n">
        <f aca="false">IF(AND(ISNUMBER(AX132),ISNUMBER(AS132)),IFERROR(AX132/AS132-1,""),"")</f>
        <v>-0.035648285415973</v>
      </c>
      <c r="AY106" s="27" t="n">
        <f aca="false">IF(AND(ISNUMBER(AY132),ISNUMBER(AT132)),IFERROR(AY132/AT132-1,""),"")</f>
        <v>-0.0470242966911439</v>
      </c>
      <c r="AZ106" s="27" t="n">
        <f aca="false">IF(AND(ISNUMBER(AZ132),ISNUMBER(AU132)),IFERROR(AZ132/AU132-1,""),"")</f>
        <v>-0.0185524740313964</v>
      </c>
      <c r="BA106" s="27" t="n">
        <f aca="false">IF(AND(ISNUMBER(BA132),ISNUMBER(AV132)),IFERROR(BA132/AV132-1,""),"")</f>
        <v>0.133415123883664</v>
      </c>
      <c r="BB106" s="27" t="n">
        <f aca="false">IF(AND(ISNUMBER(BB132),ISNUMBER(AW132)),IFERROR(BB132/AW132-1,""),"")</f>
        <v>0.0044064179576353</v>
      </c>
      <c r="BC106" s="27" t="n">
        <f aca="false">IF(AND(ISNUMBER(BC132),ISNUMBER(AX132)),IFERROR(BC132/AX132-1,""),"")</f>
        <v>0.086097075705309</v>
      </c>
      <c r="BD106" s="27" t="n">
        <f aca="false">IF(AND(ISNUMBER(BD132),ISNUMBER(AY132)),IFERROR(BD132/AY132-1,""),"")</f>
        <v>0.0940401172876324</v>
      </c>
      <c r="BE106" s="27" t="n">
        <f aca="false">IF(AND(ISNUMBER(BE132),ISNUMBER(AZ132)),IFERROR(BE132/AZ132-1,""),"")</f>
        <v>0.103252795635028</v>
      </c>
      <c r="BF106" s="27" t="n">
        <f aca="false">IF(AND(ISNUMBER(BF132),ISNUMBER(BA132)),IFERROR(BF132/BA132-1,""),"")</f>
        <v>0.130211950899431</v>
      </c>
      <c r="BG106" s="27" t="n">
        <f aca="false">IF(AND(ISNUMBER(BG132),ISNUMBER(BB132)),IFERROR(BG132/BB132-1,""),"")</f>
        <v>0.103721716500336</v>
      </c>
      <c r="BH106" s="27" t="n">
        <f aca="false">IF(AND(ISNUMBER(BH132),ISNUMBER(BC132)),IFERROR(BH132/BC132-1,""),"")</f>
        <v>0.142072273913387</v>
      </c>
      <c r="BI106" s="27" t="n">
        <f aca="false">IF(AND(ISNUMBER(BI132),ISNUMBER(BD132)),IFERROR(BI132/BD132-1,""),"")</f>
        <v>0.13139442152318</v>
      </c>
      <c r="BJ106" s="27" t="n">
        <f aca="false">IF(AND(ISNUMBER(BJ132),ISNUMBER(BE132)),IFERROR(BJ132/BE132-1,""),"")</f>
        <v>0.117030902678953</v>
      </c>
      <c r="BK106" s="27" t="n">
        <f aca="false">IF(AND(ISNUMBER(BK132),ISNUMBER(BF132)),IFERROR(BK132/BF132-1,""),"")</f>
        <v>0.10111650630505</v>
      </c>
      <c r="BL106" s="27" t="n">
        <f aca="false">IF(AND(ISNUMBER(BL132),ISNUMBER(BG132)),IFERROR(BL132/BG132-1,""),"")</f>
        <v>0.122390351773432</v>
      </c>
      <c r="BM106" s="27" t="n">
        <f aca="false">IF(AND(ISNUMBER(BM132),ISNUMBER(BH132)),IFERROR(BM132/BH132-1,""),"")</f>
        <v>0.0811815067386612</v>
      </c>
      <c r="BN106" s="27" t="n">
        <f aca="false">IF(AND(ISNUMBER(BN132),ISNUMBER(BI132)),IFERROR(BN132/BI132-1,""),"")</f>
        <v>0.09302630332647</v>
      </c>
      <c r="BO106" s="27" t="n">
        <f aca="false">IF(AND(ISNUMBER(BO132),ISNUMBER(BJ132)),IFERROR(BO132/BJ132-1,""),"")</f>
        <v>0.0987161561763408</v>
      </c>
      <c r="BP106" s="27" t="n">
        <f aca="false">IF(AND(ISNUMBER(BP132),ISNUMBER(BK132)),IFERROR(BP132/BK132-1,""),"")</f>
        <v>0.0816223974828307</v>
      </c>
      <c r="BQ106" s="27" t="n">
        <f aca="false">IF(AND(ISNUMBER(BQ132),ISNUMBER(BL132)),IFERROR(BQ132/BL132-1,""),"")</f>
        <v>0.0885737818220962</v>
      </c>
      <c r="BR106" s="27" t="n">
        <f aca="false">IF(AND(ISNUMBER(BR132),ISNUMBER(BM132)),IFERROR(BR132/BM132-1,""),"")</f>
        <v>0.067990846721</v>
      </c>
      <c r="BS106" s="27" t="n">
        <f aca="false">IF(AND(ISNUMBER(BS132),ISNUMBER(BN132)),IFERROR(BS132/BN132-1,""),"")</f>
        <v>0.0776576586430038</v>
      </c>
      <c r="BT106" s="27" t="n">
        <f aca="false">IF(AND(ISNUMBER(BT132),ISNUMBER(BO132)),IFERROR(BT132/BO132-1,""),"")</f>
        <v>0.0843605177183853</v>
      </c>
      <c r="BU106" s="27" t="n">
        <f aca="false">IF(AND(ISNUMBER(BU132),ISNUMBER(BP132)),IFERROR(BU132/BP132-1,""),"")</f>
        <v>0.0796123734537737</v>
      </c>
      <c r="BV106" s="27" t="n">
        <f aca="false">IF(AND(ISNUMBER(BV132),ISNUMBER(BQ132)),IFERROR(BV132/BQ132-1,""),"")</f>
        <v>0.0774821121822644</v>
      </c>
      <c r="BW106" s="27" t="n">
        <f aca="false">IF(AND(ISNUMBER(BW132),ISNUMBER(BR132)),IFERROR(BW132/BR132-1,""),"")</f>
        <v>0.0865590523135913</v>
      </c>
      <c r="BX106" s="27" t="n">
        <f aca="false">IF(AND(ISNUMBER(BX132),ISNUMBER(BS132)),IFERROR(BX132/BS132-1,""),"")</f>
        <v>0.0929856275882852</v>
      </c>
      <c r="BY106" s="27" t="n">
        <f aca="false">IF(AND(ISNUMBER(BY132),ISNUMBER(BT132)),IFERROR(BY132/BT132-1,""),"")</f>
        <v>0.0890267706950783</v>
      </c>
      <c r="BZ106" s="27" t="n">
        <f aca="false">IF(AND(ISNUMBER(BZ132),ISNUMBER(BU132)),IFERROR(BZ132/BU132-1,""),"")</f>
        <v>0.0890487214974067</v>
      </c>
      <c r="CA106" s="27" t="n">
        <f aca="false">IF(AND(ISNUMBER(CA132),ISNUMBER(BV132)),IFERROR(CA132/BV132-1,""),"")</f>
        <v>0.0894162297545855</v>
      </c>
      <c r="CB106" s="27" t="n">
        <f aca="false">IF(AND(ISNUMBER(CB132),ISNUMBER(BW132)),IFERROR(CB132/BW132-1,""),"")</f>
        <v>0.108846843519165</v>
      </c>
      <c r="CC106" s="33"/>
      <c r="CD106" s="33"/>
      <c r="CE106" s="33"/>
      <c r="CF106" s="33"/>
      <c r="CG106" s="33"/>
      <c r="CH106" s="33"/>
      <c r="CI106" s="33"/>
      <c r="CJ106" s="33"/>
      <c r="CK106" s="23" t="s">
        <v>332</v>
      </c>
      <c r="CS106" s="29" t="s">
        <v>284</v>
      </c>
      <c r="CT106" s="51" t="n">
        <f aca="false">CU106+$CT$105</f>
        <v>0.504</v>
      </c>
      <c r="CU106" s="38" t="n">
        <v>0.494</v>
      </c>
      <c r="CV106" s="51" t="n">
        <f aca="false">CU106+$CV$105</f>
        <v>0.479</v>
      </c>
    </row>
    <row r="107" customFormat="false" ht="15" hidden="false" customHeight="true" outlineLevel="1" collapsed="false">
      <c r="B107" s="26" t="s">
        <v>333</v>
      </c>
      <c r="C107" s="27" t="str">
        <f aca="false">IF(AND(ISNUMBER(C106),ISNUMBER(C108)),C106-C108,"")</f>
        <v/>
      </c>
      <c r="D107" s="27" t="str">
        <f aca="false">IF(AND(ISNUMBER(D106),ISNUMBER(D108)),D106-D108,"")</f>
        <v/>
      </c>
      <c r="E107" s="27" t="str">
        <f aca="false">IF(AND(ISNUMBER(E106),ISNUMBER(E108)),E106-E108,"")</f>
        <v/>
      </c>
      <c r="F107" s="27" t="str">
        <f aca="false">IF(AND(ISNUMBER(F106),ISNUMBER(F108)),F106-F108,"")</f>
        <v/>
      </c>
      <c r="G107" s="27" t="n">
        <f aca="false">IF(AND(ISNUMBER(G106),ISNUMBER(G108)),G106-G108,"")</f>
        <v>0.00377086829761958</v>
      </c>
      <c r="H107" s="27" t="n">
        <f aca="false">IF(AND(ISNUMBER(H106),ISNUMBER(H108)),H106-H108,"")</f>
        <v>0.0231527663411927</v>
      </c>
      <c r="I107" s="27" t="n">
        <f aca="false">IF(AND(ISNUMBER(I106),ISNUMBER(I108)),I106-I108,"")</f>
        <v>0.0155319190926688</v>
      </c>
      <c r="J107" s="27" t="str">
        <f aca="false">IF(AND(ISNUMBER(J106),ISNUMBER(J108)),J106-J108,"")</f>
        <v/>
      </c>
      <c r="K107" s="27" t="str">
        <f aca="false">IF(AND(ISNUMBER(K106),ISNUMBER(K108)),K106-K108,"")</f>
        <v/>
      </c>
      <c r="L107" s="27" t="str">
        <f aca="false">IF(AND(ISNUMBER(L106),ISNUMBER(L108)),L106-L108,"")</f>
        <v/>
      </c>
      <c r="M107" s="27" t="str">
        <f aca="false">IF(AND(ISNUMBER(M106),ISNUMBER(M108)),M106-M108,"")</f>
        <v/>
      </c>
      <c r="N107" s="27" t="n">
        <f aca="false">IF(AND(ISNUMBER(N106),ISNUMBER(N108)),N106-N108,"")</f>
        <v>0.00328449536811297</v>
      </c>
      <c r="O107" s="27" t="n">
        <f aca="false">IF(AND(ISNUMBER(O106),ISNUMBER(O108)),O106-O108,"")</f>
        <v>-0.0053514136922455</v>
      </c>
      <c r="P107" s="27" t="n">
        <f aca="false">IF(AND(ISNUMBER(P106),ISNUMBER(P108)),P106-P108,"")</f>
        <v>0.00761948384833451</v>
      </c>
      <c r="Q107" s="27" t="n">
        <f aca="false">IF(AND(ISNUMBER(Q106),ISNUMBER(Q108)),Q106-Q108,"")</f>
        <v>0.0197244760029526</v>
      </c>
      <c r="R107" s="27" t="n">
        <f aca="false">IF(AND(ISNUMBER(R106),ISNUMBER(R108)),R106-R108,"")</f>
        <v>-0.0358531112776175</v>
      </c>
      <c r="S107" s="27" t="n">
        <f aca="false">IF(AND(ISNUMBER(S106),ISNUMBER(S108)),S106-S108,"")</f>
        <v>-0.00447837805466539</v>
      </c>
      <c r="T107" s="27" t="n">
        <f aca="false">IF(AND(ISNUMBER(T106),ISNUMBER(T108)),T106-T108,"")</f>
        <v>-0.0883039354911845</v>
      </c>
      <c r="U107" s="27" t="n">
        <f aca="false">IF(AND(ISNUMBER(U106),ISNUMBER(U108)),U106-U108,"")</f>
        <v>-0.0898132866099586</v>
      </c>
      <c r="V107" s="27" t="n">
        <f aca="false">IF(AND(ISNUMBER(V106),ISNUMBER(V108)),V106-V108,"")</f>
        <v>-0.0939252342650259</v>
      </c>
      <c r="W107" s="27" t="n">
        <f aca="false">IF(AND(ISNUMBER(W106),ISNUMBER(W108)),W106-W108,"")</f>
        <v>-0.0728693479536129</v>
      </c>
      <c r="X107" s="27" t="n">
        <f aca="false">IF(AND(ISNUMBER(X106),ISNUMBER(X108)),X106-X108,"")</f>
        <v>-0.0874606974101741</v>
      </c>
      <c r="Y107" s="27" t="n">
        <f aca="false">IF(AND(ISNUMBER(Y106),ISNUMBER(Y108)),Y106-Y108,"")</f>
        <v>0.0198459490580059</v>
      </c>
      <c r="Z107" s="27" t="n">
        <f aca="false">IF(AND(ISNUMBER(Z106),ISNUMBER(Z108)),Z106-Z108,"")</f>
        <v>0.0201903053199321</v>
      </c>
      <c r="AA107" s="27" t="n">
        <f aca="false">IF(AND(ISNUMBER(AA106),ISNUMBER(AA108)),AA106-AA108,"")</f>
        <v>0.0287094648765792</v>
      </c>
      <c r="AB107" s="27" t="n">
        <f aca="false">IF(AND(ISNUMBER(AB106),ISNUMBER(AB108)),AB106-AB108,"")</f>
        <v>0.0457462950175173</v>
      </c>
      <c r="AC107" s="27" t="n">
        <f aca="false">IF(AND(ISNUMBER(AC106),ISNUMBER(AC108)),AC106-AC108,"")</f>
        <v>0.0287299337083854</v>
      </c>
      <c r="AD107" s="27" t="n">
        <f aca="false">IF(AND(ISNUMBER(AD106),ISNUMBER(AD108)),AD106-AD108,"")</f>
        <v>0.0224401488043106</v>
      </c>
      <c r="AE107" s="27" t="n">
        <f aca="false">IF(AND(ISNUMBER(AE106),ISNUMBER(AE108)),AE106-AE108,"")</f>
        <v>0.00685388981855167</v>
      </c>
      <c r="AF107" s="27" t="n">
        <f aca="false">IF(AND(ISNUMBER(AF106),ISNUMBER(AF108)),AF106-AF108,"")</f>
        <v>-0.0115069407269078</v>
      </c>
      <c r="AG107" s="27" t="n">
        <f aca="false">IF(AND(ISNUMBER(AG106),ISNUMBER(AG108)),AG106-AG108,"")</f>
        <v>0.122618831135634</v>
      </c>
      <c r="AH107" s="27" t="n">
        <f aca="false">IF(AND(ISNUMBER(AH106),ISNUMBER(AH108)),AH106-AH108,"")</f>
        <v>0.0181955107963418</v>
      </c>
      <c r="AI107" s="27" t="n">
        <f aca="false">IF(AND(ISNUMBER(AI106),ISNUMBER(AI108)),AI106-AI108,"")</f>
        <v>0.162240431795878</v>
      </c>
      <c r="AJ107" s="27" t="n">
        <f aca="false">IF(AND(ISNUMBER(AJ106),ISNUMBER(AJ108)),AJ106-AJ108,"")</f>
        <v>0.161655648793336</v>
      </c>
      <c r="AK107" s="27" t="n">
        <f aca="false">IF(AND(ISNUMBER(AK106),ISNUMBER(AK108)),AK106-AK108,"")</f>
        <v>0.162414164003013</v>
      </c>
      <c r="AL107" s="27" t="n">
        <f aca="false">IF(AND(ISNUMBER(AL106),ISNUMBER(AL108)),AL106-AL108,"")</f>
        <v>0.0400044978490963</v>
      </c>
      <c r="AM107" s="27" t="n">
        <f aca="false">IF(AND(ISNUMBER(AM106),ISNUMBER(AM108)),AM106-AM108,"")</f>
        <v>0.14563882408567</v>
      </c>
      <c r="AN107" s="27" t="n">
        <f aca="false">IF(AND(ISNUMBER(AN106),ISNUMBER(AN108)),AN106-AN108,"")</f>
        <v>0.00165922371847898</v>
      </c>
      <c r="AO107" s="27" t="n">
        <f aca="false">IF(AND(ISNUMBER(AO106),ISNUMBER(AO108)),AO106-AO108,"")</f>
        <v>-0.000388355376885918</v>
      </c>
      <c r="AP107" s="27" t="n">
        <f aca="false">IF(AND(ISNUMBER(AP106),ISNUMBER(AP108)),AP106-AP108,"")</f>
        <v>-0.00135688656365901</v>
      </c>
      <c r="AQ107" s="27" t="n">
        <f aca="false">IF(AND(ISNUMBER(AQ106),ISNUMBER(AQ108)),AQ106-AQ108,"")</f>
        <v>-0.00162067623012178</v>
      </c>
      <c r="AR107" s="27" t="n">
        <f aca="false">IF(AND(ISNUMBER(AR106),ISNUMBER(AR108)),AR106-AR108,"")</f>
        <v>-0.000819882926805182</v>
      </c>
      <c r="AS107" s="27" t="n">
        <f aca="false">IF(AND(ISNUMBER(AS106),ISNUMBER(AS108)),AS106-AS108,"")</f>
        <v>-0.0163535534975486</v>
      </c>
      <c r="AT107" s="27" t="n">
        <f aca="false">IF(AND(ISNUMBER(AT106),ISNUMBER(AT108)),AT106-AT108,"")</f>
        <v>2.76068692428161E-005</v>
      </c>
      <c r="AU107" s="27" t="n">
        <f aca="false">IF(AND(ISNUMBER(AU106),ISNUMBER(AU108)),AU106-AU108,"")</f>
        <v>0.0192739771626257</v>
      </c>
      <c r="AV107" s="27" t="n">
        <f aca="false">IF(AND(ISNUMBER(AV106),ISNUMBER(AV108)),AV106-AV108,"")</f>
        <v>-0.0130859605403266</v>
      </c>
      <c r="AW107" s="27" t="n">
        <f aca="false">IF(AND(ISNUMBER(AW106),ISNUMBER(AW108)),AW106-AW108,"")</f>
        <v>-0.00302430015047225</v>
      </c>
      <c r="AX107" s="27" t="n">
        <f aca="false">IF(AND(ISNUMBER(AX106),ISNUMBER(AX108)),AX106-AX108,"")</f>
        <v>0.014351714584027</v>
      </c>
      <c r="AY107" s="27" t="n">
        <f aca="false">IF(AND(ISNUMBER(AY106),ISNUMBER(AY108)),AY106-AY108,"")</f>
        <v>-0.00302429669114394</v>
      </c>
      <c r="AZ107" s="27" t="n">
        <f aca="false">IF(AND(ISNUMBER(AZ106),ISNUMBER(AZ108)),AZ106-AZ108,"")</f>
        <v>-0.0195524740313964</v>
      </c>
      <c r="BA107" s="27" t="n">
        <f aca="false">IF(AND(ISNUMBER(BA106),ISNUMBER(BA108)),BA106-BA108,"")</f>
        <v>0.0184151238836641</v>
      </c>
      <c r="BB107" s="27" t="n">
        <f aca="false">IF(AND(ISNUMBER(BB106),ISNUMBER(BB108)),BB106-BB108,"")</f>
        <v>0.0024064179576353</v>
      </c>
      <c r="BC107" s="27" t="n">
        <f aca="false">IF(AND(ISNUMBER(BC106),ISNUMBER(BC108)),BC106-BC108,"")</f>
        <v>9.70757053090077E-005</v>
      </c>
      <c r="BD107" s="27" t="n">
        <f aca="false">IF(AND(ISNUMBER(BD106),ISNUMBER(BD108)),BD106-BD108,"")</f>
        <v>0.0010401172876324</v>
      </c>
      <c r="BE107" s="27" t="n">
        <f aca="false">IF(AND(ISNUMBER(BE106),ISNUMBER(BE108)),BE106-BE108,"")</f>
        <v>0.00325279563502776</v>
      </c>
      <c r="BF107" s="27" t="n">
        <f aca="false">IF(AND(ISNUMBER(BF106),ISNUMBER(BF108)),BF106-BF108,"")</f>
        <v>0.00321195089943083</v>
      </c>
      <c r="BG107" s="27" t="n">
        <f aca="false">IF(AND(ISNUMBER(BG106),ISNUMBER(BG108)),BG106-BG108,"")</f>
        <v>0.00172171650033591</v>
      </c>
      <c r="BH107" s="27" t="n">
        <f aca="false">IF(AND(ISNUMBER(BH106),ISNUMBER(BH108)),BH106-BH108,"")</f>
        <v>0.00307227391338727</v>
      </c>
      <c r="BI107" s="27" t="n">
        <f aca="false">IF(AND(ISNUMBER(BI106),ISNUMBER(BI108)),BI106-BI108,"")</f>
        <v>0.00339442152318015</v>
      </c>
      <c r="BJ107" s="27" t="n">
        <f aca="false">IF(AND(ISNUMBER(BJ106),ISNUMBER(BJ108)),BJ106-BJ108,"")</f>
        <v>-0.000969097321046886</v>
      </c>
      <c r="BK107" s="27" t="n">
        <f aca="false">IF(AND(ISNUMBER(BK106),ISNUMBER(BK108)),BK106-BK108,"")</f>
        <v>-0.00188349369494968</v>
      </c>
      <c r="BL107" s="27" t="n">
        <f aca="false">IF(AND(ISNUMBER(BL106),ISNUMBER(BL108)),BL106-BL108,"")</f>
        <v>0.000390351773432163</v>
      </c>
      <c r="BM107" s="27" t="n">
        <f aca="false">IF(AND(ISNUMBER(BM106),ISNUMBER(BM108)),BM106-BM108,"")</f>
        <v>0.0001815067386612</v>
      </c>
      <c r="BN107" s="27" t="n">
        <f aca="false">IF(AND(ISNUMBER(BN106),ISNUMBER(BN108)),BN106-BN108,"")</f>
        <v>0.00302630332647</v>
      </c>
      <c r="BO107" s="27" t="n">
        <f aca="false">IF(AND(ISNUMBER(BO106),ISNUMBER(BO108)),BO106-BO108,"")</f>
        <v>0.0217161561763408</v>
      </c>
      <c r="BP107" s="27" t="n">
        <f aca="false">IF(AND(ISNUMBER(BP106),ISNUMBER(BP108)),BP106-BP108,"")</f>
        <v>0.00662239748283074</v>
      </c>
      <c r="BQ107" s="27" t="n">
        <f aca="false">IF(AND(ISNUMBER(BQ106),ISNUMBER(BQ108)),BQ106-BQ108,"")</f>
        <v>0.00857378182209619</v>
      </c>
      <c r="BR107" s="27" t="n">
        <f aca="false">IF(AND(ISNUMBER(BR106),ISNUMBER(BR108)),BR106-BR108,"")</f>
        <v>-0.012009153279</v>
      </c>
      <c r="BS107" s="27" t="n">
        <f aca="false">IF(AND(ISNUMBER(BS106),ISNUMBER(BS108)),BS106-BS108,"")</f>
        <v>0.00665765864300379</v>
      </c>
      <c r="BT107" s="27" t="n">
        <f aca="false">IF(AND(ISNUMBER(BT106),ISNUMBER(BT108)),BT106-BT108,"")</f>
        <v>0.00536051771838526</v>
      </c>
      <c r="BU107" s="27" t="n">
        <f aca="false">IF(AND(ISNUMBER(BU106),ISNUMBER(BU108)),BU106-BU108,"")</f>
        <v>-0.0103876265462263</v>
      </c>
      <c r="BV107" s="27" t="n">
        <f aca="false">IF(AND(ISNUMBER(BV106),ISNUMBER(BV108)),BV106-BV108,"")</f>
        <v>-0.00251788781773558</v>
      </c>
      <c r="BW107" s="27" t="n">
        <f aca="false">IF(AND(ISNUMBER(BW106),ISNUMBER(BW108)),BW106-BW108,"")</f>
        <v>0.00855905231359129</v>
      </c>
      <c r="BX107" s="27" t="n">
        <f aca="false">IF(AND(ISNUMBER(BX106),ISNUMBER(BX108)),BX106-BX108,"")</f>
        <v>0.00698562758828522</v>
      </c>
      <c r="BY107" s="27" t="n">
        <f aca="false">IF(AND(ISNUMBER(BY106),ISNUMBER(BY108)),BY106-BY108,"")</f>
        <v>0.00702677069507825</v>
      </c>
      <c r="BZ107" s="27" t="n">
        <f aca="false">IF(AND(ISNUMBER(BZ106),ISNUMBER(BZ108)),BZ106-BZ108,"")</f>
        <v>0.00504872149740672</v>
      </c>
      <c r="CA107" s="27" t="n">
        <f aca="false">IF(AND(ISNUMBER(CA106),ISNUMBER(CA108)),CA106-CA108,"")</f>
        <v>0.00641622975458552</v>
      </c>
      <c r="CB107" s="27" t="n">
        <f aca="false">IF(AND(ISNUMBER(CB106),ISNUMBER(CB108)),CB106-CB108,"")</f>
        <v>0.0198468435191652</v>
      </c>
      <c r="CC107" s="33"/>
      <c r="CD107" s="33"/>
      <c r="CE107" s="33"/>
      <c r="CF107" s="33"/>
      <c r="CG107" s="33"/>
      <c r="CH107" s="33"/>
      <c r="CI107" s="33"/>
      <c r="CJ107" s="33"/>
      <c r="CK107" s="23"/>
      <c r="CS107" s="29" t="s">
        <v>286</v>
      </c>
      <c r="CT107" s="51" t="n">
        <f aca="false">CU107+$CT$105</f>
        <v>0.508</v>
      </c>
      <c r="CU107" s="38" t="n">
        <v>0.498</v>
      </c>
      <c r="CV107" s="51" t="n">
        <f aca="false">CU107+$CV$105</f>
        <v>0.483</v>
      </c>
    </row>
    <row r="108" customFormat="false" ht="15" hidden="false" customHeight="true" outlineLevel="1" collapsed="false">
      <c r="B108" s="42" t="s">
        <v>334</v>
      </c>
      <c r="G108" s="31" t="n">
        <v>-0.064</v>
      </c>
      <c r="H108" s="31" t="n">
        <v>0.051</v>
      </c>
      <c r="I108" s="31" t="n">
        <v>0.061</v>
      </c>
      <c r="J108" s="31" t="n">
        <v>0.032</v>
      </c>
      <c r="K108" s="31" t="n">
        <v>0.034</v>
      </c>
      <c r="L108" s="31" t="n">
        <v>0.069</v>
      </c>
      <c r="M108" s="31" t="n">
        <v>0.062</v>
      </c>
      <c r="N108" s="31" t="n">
        <v>0.049</v>
      </c>
      <c r="O108" s="31" t="n">
        <v>0.071</v>
      </c>
      <c r="P108" s="31" t="n">
        <v>0.071</v>
      </c>
      <c r="Q108" s="31" t="n">
        <v>0.031</v>
      </c>
      <c r="R108" s="31" t="n">
        <v>0.061</v>
      </c>
      <c r="S108" s="31" t="n">
        <v>0.059</v>
      </c>
      <c r="T108" s="31" t="n">
        <v>0.072</v>
      </c>
      <c r="U108" s="31" t="n">
        <v>0.072</v>
      </c>
      <c r="V108" s="31" t="n">
        <v>0.075</v>
      </c>
      <c r="W108" s="31" t="n">
        <v>0.06</v>
      </c>
      <c r="X108" s="31" t="n">
        <v>0.071</v>
      </c>
      <c r="Y108" s="31" t="n">
        <v>0.068</v>
      </c>
      <c r="Z108" s="31" t="n">
        <v>0.065</v>
      </c>
      <c r="AA108" s="31" t="n">
        <v>0.068</v>
      </c>
      <c r="AB108" s="31" t="n">
        <v>0.067</v>
      </c>
      <c r="AC108" s="31" t="n">
        <v>0.067</v>
      </c>
      <c r="AD108" s="31" t="n">
        <v>0.057</v>
      </c>
      <c r="AE108" s="31" t="n">
        <v>0.057</v>
      </c>
      <c r="AF108" s="31" t="n">
        <v>0.065</v>
      </c>
      <c r="AG108" s="31" t="n">
        <v>0.081</v>
      </c>
      <c r="AH108" s="31" t="n">
        <v>0.067</v>
      </c>
      <c r="AI108" s="31" t="n">
        <v>0.083</v>
      </c>
      <c r="AJ108" s="31" t="n">
        <v>0.077</v>
      </c>
      <c r="AK108" s="31" t="n">
        <v>0.078</v>
      </c>
      <c r="AL108" s="31" t="n">
        <v>0.051</v>
      </c>
      <c r="AM108" s="31" t="n">
        <v>0.071</v>
      </c>
      <c r="AN108" s="31" t="n">
        <v>0.052</v>
      </c>
      <c r="AO108" s="31" t="n">
        <v>0.07</v>
      </c>
      <c r="AP108" s="31" t="n">
        <v>0.06</v>
      </c>
      <c r="AQ108" s="31" t="n">
        <v>0.076</v>
      </c>
      <c r="AR108" s="31" t="n">
        <v>0.065</v>
      </c>
      <c r="AS108" s="31" t="n">
        <v>0.083</v>
      </c>
      <c r="AT108" s="31" t="n">
        <v>0.073</v>
      </c>
      <c r="AU108" s="31" t="n">
        <v>0.057</v>
      </c>
      <c r="AV108" s="31" t="n">
        <v>-0.084</v>
      </c>
      <c r="AW108" s="31" t="n">
        <v>0.031</v>
      </c>
      <c r="AX108" s="31" t="n">
        <v>-0.05</v>
      </c>
      <c r="AY108" s="31" t="n">
        <v>-0.044</v>
      </c>
      <c r="AZ108" s="31" t="n">
        <v>0.001</v>
      </c>
      <c r="BA108" s="31" t="n">
        <v>0.115</v>
      </c>
      <c r="BB108" s="31" t="n">
        <v>0.002</v>
      </c>
      <c r="BC108" s="31" t="n">
        <v>0.086</v>
      </c>
      <c r="BD108" s="31" t="n">
        <v>0.093</v>
      </c>
      <c r="BE108" s="31" t="n">
        <v>0.1</v>
      </c>
      <c r="BF108" s="31" t="n">
        <v>0.127</v>
      </c>
      <c r="BG108" s="31" t="n">
        <v>0.102</v>
      </c>
      <c r="BH108" s="31" t="n">
        <v>0.139</v>
      </c>
      <c r="BI108" s="31" t="n">
        <v>0.128</v>
      </c>
      <c r="BJ108" s="31" t="n">
        <v>0.118</v>
      </c>
      <c r="BK108" s="31" t="n">
        <v>0.103</v>
      </c>
      <c r="BL108" s="31" t="n">
        <v>0.122</v>
      </c>
      <c r="BM108" s="31" t="n">
        <v>0.081</v>
      </c>
      <c r="BN108" s="31" t="n">
        <v>0.09</v>
      </c>
      <c r="BO108" s="31" t="n">
        <v>0.077</v>
      </c>
      <c r="BP108" s="31" t="n">
        <v>0.075</v>
      </c>
      <c r="BQ108" s="31" t="n">
        <v>0.08</v>
      </c>
      <c r="BR108" s="31" t="n">
        <v>0.08</v>
      </c>
      <c r="BS108" s="31" t="n">
        <v>0.071</v>
      </c>
      <c r="BT108" s="31" t="n">
        <v>0.079</v>
      </c>
      <c r="BU108" s="31" t="n">
        <v>0.09</v>
      </c>
      <c r="BV108" s="31" t="n">
        <v>0.08</v>
      </c>
      <c r="BW108" s="31" t="n">
        <v>0.078</v>
      </c>
      <c r="BX108" s="31" t="n">
        <v>0.086</v>
      </c>
      <c r="BY108" s="31" t="n">
        <v>0.082</v>
      </c>
      <c r="BZ108" s="31" t="n">
        <v>0.084</v>
      </c>
      <c r="CA108" s="31" t="n">
        <v>0.083</v>
      </c>
      <c r="CB108" s="31" t="n">
        <v>0.089</v>
      </c>
      <c r="CC108" s="33"/>
      <c r="CD108" s="33"/>
      <c r="CE108" s="33"/>
      <c r="CF108" s="33"/>
      <c r="CG108" s="33"/>
      <c r="CH108" s="33"/>
      <c r="CI108" s="33"/>
      <c r="CJ108" s="33"/>
      <c r="CK108" s="23"/>
      <c r="CS108" s="29" t="s">
        <v>289</v>
      </c>
      <c r="CT108" s="51" t="n">
        <f aca="false">CU108+$CT$105</f>
        <v>0.511</v>
      </c>
      <c r="CU108" s="38" t="n">
        <v>0.501</v>
      </c>
      <c r="CV108" s="51" t="n">
        <f aca="false">CU108+$CV$105</f>
        <v>0.486</v>
      </c>
    </row>
    <row r="109" customFormat="false" ht="15" hidden="false" customHeight="true" outlineLevel="1" collapsed="false">
      <c r="B109" s="29" t="s">
        <v>335</v>
      </c>
      <c r="CB109" s="31" t="n">
        <v>0.015385</v>
      </c>
      <c r="CC109" s="33"/>
      <c r="CD109" s="33"/>
      <c r="CE109" s="33"/>
      <c r="CF109" s="33"/>
      <c r="CG109" s="33"/>
      <c r="CH109" s="33"/>
      <c r="CI109" s="33"/>
      <c r="CJ109" s="33"/>
      <c r="CK109" s="23" t="s">
        <v>336</v>
      </c>
      <c r="CS109" s="29" t="s">
        <v>291</v>
      </c>
      <c r="CT109" s="51" t="n">
        <f aca="false">CU109+$CT$105</f>
        <v>0.514</v>
      </c>
      <c r="CU109" s="38" t="n">
        <v>0.504</v>
      </c>
      <c r="CV109" s="51" t="n">
        <f aca="false">CU109+$CV$105</f>
        <v>0.489</v>
      </c>
    </row>
    <row r="110" customFormat="false" ht="15" hidden="false" customHeight="true" outlineLevel="0" collapsed="false">
      <c r="B110" s="42" t="s">
        <v>337</v>
      </c>
      <c r="C110" s="45" t="n">
        <f aca="false">SUM(C11,C59)</f>
        <v>3403.608</v>
      </c>
      <c r="D110" s="45" t="n">
        <f aca="false">SUM(D11,D59)</f>
        <v>3706.9</v>
      </c>
      <c r="E110" s="45" t="n">
        <f aca="false">SUM(E11,E59)</f>
        <v>3937.9</v>
      </c>
      <c r="F110" s="45" t="n">
        <f aca="false">SUM(F11,F59)</f>
        <v>3774.685</v>
      </c>
      <c r="G110" s="45" t="n">
        <f aca="false">SUM(G11,G59)</f>
        <v>3547.339</v>
      </c>
      <c r="H110" s="45" t="n">
        <f aca="false">SUM(H11,H59)</f>
        <v>3810.384</v>
      </c>
      <c r="I110" s="45" t="n">
        <f aca="false">SUM(I11,I59)</f>
        <v>4102</v>
      </c>
      <c r="J110" s="45" t="n">
        <f aca="false">SUM(J11,J59)</f>
        <v>1051.325</v>
      </c>
      <c r="K110" s="45" t="n">
        <f aca="false">SUM(K11,K59)</f>
        <v>1060.386</v>
      </c>
      <c r="L110" s="45" t="n">
        <f aca="false">SUM(L11,L59)</f>
        <v>1075.674</v>
      </c>
      <c r="M110" s="45" t="n">
        <f aca="false">SUM(M11,M59)</f>
        <v>1129.086</v>
      </c>
      <c r="N110" s="45" t="n">
        <f aca="false">SUM(N11,N59)</f>
        <v>4316.471</v>
      </c>
      <c r="O110" s="45" t="n">
        <f aca="false">SUM(O11,O59)</f>
        <v>1120.343</v>
      </c>
      <c r="P110" s="45" t="n">
        <f aca="false">SUM(P11,P59)</f>
        <v>1143.753</v>
      </c>
      <c r="Q110" s="45" t="n">
        <f aca="false">SUM(Q11,Q59)</f>
        <v>1130.237</v>
      </c>
      <c r="R110" s="45" t="n">
        <f aca="false">SUM(R11,R59)</f>
        <v>1157.479</v>
      </c>
      <c r="S110" s="45" t="n">
        <f aca="false">SUM(S11,S59)</f>
        <v>4551.812</v>
      </c>
      <c r="T110" s="45" t="n">
        <f aca="false">SUM(T11,T25,T39)</f>
        <v>1102.077</v>
      </c>
      <c r="U110" s="45" t="n">
        <f aca="false">SUM(U11,U25,U39)</f>
        <v>1123.379</v>
      </c>
      <c r="V110" s="45" t="n">
        <f aca="false">SUM(V11,V25,V39)</f>
        <v>1108.847</v>
      </c>
      <c r="W110" s="45" t="n">
        <f aca="false">SUM(W11,W25,W39)</f>
        <v>1142.583</v>
      </c>
      <c r="X110" s="45" t="n">
        <f aca="false">SUM(X11,X25,X39)</f>
        <v>4476.886</v>
      </c>
      <c r="Y110" s="45" t="n">
        <f aca="false">SUM(Y11,Y25,Y39)</f>
        <v>1198.89</v>
      </c>
      <c r="Z110" s="45" t="n">
        <f aca="false">SUM(Z11,Z25,Z39)</f>
        <v>1219.08</v>
      </c>
      <c r="AA110" s="45" t="n">
        <f aca="false">SUM(AA11,AA25,AA39)</f>
        <v>1216.083</v>
      </c>
      <c r="AB110" s="45" t="n">
        <f aca="false">SUM(AB11,AB25,AB39)</f>
        <v>1271.405</v>
      </c>
      <c r="AC110" s="45" t="n">
        <f aca="false">SUM(AC11,AC25,AC39)</f>
        <v>4905.458</v>
      </c>
      <c r="AD110" s="45" t="n">
        <f aca="false">SUM(AD11,AD25,AD39)</f>
        <v>1294.13</v>
      </c>
      <c r="AE110" s="45" t="n">
        <f aca="false">SUM(AE11,AE25,AE39)</f>
        <v>1296.923</v>
      </c>
      <c r="AF110" s="45" t="n">
        <f aca="false">SUM(AF11,AF25,AF39)</f>
        <v>1281.135</v>
      </c>
      <c r="AG110" s="45" t="n">
        <f aca="false">SUM(AG11,AG25,AG39)</f>
        <v>1530.287</v>
      </c>
      <c r="AH110" s="45" t="n">
        <f aca="false">SUM(AH11,AH25,AH39)</f>
        <v>5323.381</v>
      </c>
      <c r="AI110" s="45" t="n">
        <f aca="false">SUM(AI11,AI25,AI39)</f>
        <v>1611.503</v>
      </c>
      <c r="AJ110" s="45" t="n">
        <f aca="false">SUM(AJ11,AJ25,AJ39)</f>
        <v>1606.441</v>
      </c>
      <c r="AK110" s="45" t="n">
        <f aca="false">SUM(AK11,AK25,AK39)</f>
        <v>1589.138</v>
      </c>
      <c r="AL110" s="45" t="n">
        <f aca="false">SUM(AL11,AL25,AL39)</f>
        <v>1669.55</v>
      </c>
      <c r="AM110" s="45" t="n">
        <f aca="false">SUM(AM11,AM25,AM39)</f>
        <v>6476.632</v>
      </c>
      <c r="AN110" s="45" t="n">
        <f aca="false">SUM(AN11,AN25,AN39)</f>
        <v>1697.975</v>
      </c>
      <c r="AO110" s="45" t="n">
        <f aca="false">SUM(AO11,AO25,AO39)</f>
        <v>1718.268</v>
      </c>
      <c r="AP110" s="45" t="n">
        <f aca="false">SUM(AP11,AP25,AP39)</f>
        <v>1682.33</v>
      </c>
      <c r="AQ110" s="45" t="n">
        <f aca="false">SUM(AQ11,AQ25,AQ39)</f>
        <v>1793.73</v>
      </c>
      <c r="AR110" s="45" t="n">
        <f aca="false">SUM(AR11,AR25,AR39)</f>
        <v>6892.303</v>
      </c>
      <c r="AS110" s="45" t="n">
        <f aca="false">SUM(AS11,AS25,AS39)</f>
        <v>1811.139</v>
      </c>
      <c r="AT110" s="45" t="n">
        <f aca="false">SUM(AT11,AT25,AT39)</f>
        <v>1843.749</v>
      </c>
      <c r="AU110" s="45" t="n">
        <f aca="false">SUM(AU11,AU25,AU39)</f>
        <v>1810.648</v>
      </c>
      <c r="AV110" s="45" t="n">
        <f aca="false">SUM(AV11,AV25,AV39)</f>
        <v>1619.584</v>
      </c>
      <c r="AW110" s="45" t="n">
        <f aca="false">SUM(AW11,AW25,AW39)</f>
        <v>7085.12</v>
      </c>
      <c r="AX110" s="45" t="n">
        <f aca="false">SUM(AX11,AX25,AX39)</f>
        <v>1746.575</v>
      </c>
      <c r="AY110" s="45" t="n">
        <f aca="false">SUM(AY11,AY25,AY39)</f>
        <v>1757.048</v>
      </c>
      <c r="AZ110" s="45" t="n">
        <f aca="false">SUM(AZ11,AZ25,AZ39)</f>
        <v>1777.056</v>
      </c>
      <c r="BA110" s="45" t="n">
        <f aca="false">SUM(BA11,BA25,BA39)</f>
        <v>1835.661</v>
      </c>
      <c r="BB110" s="45" t="n">
        <f aca="false">SUM(BB11,BB25,BB39)</f>
        <v>7116.34</v>
      </c>
      <c r="BC110" s="45" t="n">
        <f aca="false">SUM(BC11,BC25,BC39)</f>
        <v>1896.95</v>
      </c>
      <c r="BD110" s="45" t="n">
        <f aca="false">SUM(BD11,BD25,BD39)</f>
        <v>1922.281</v>
      </c>
      <c r="BE110" s="45" t="n">
        <f aca="false">SUM(BE11,BE25,BE39)</f>
        <v>1960.542</v>
      </c>
      <c r="BF110" s="45" t="n">
        <f aca="false">SUM(BF11,BF25,BF39)</f>
        <v>2074.686</v>
      </c>
      <c r="BG110" s="45" t="n">
        <f aca="false">SUM(BG11,BG25,BG39)</f>
        <v>7854.459</v>
      </c>
      <c r="BH110" s="45" t="n">
        <f aca="false">SUM(BH11,BH25,BH39)</f>
        <v>2166.454</v>
      </c>
      <c r="BI110" s="45" t="n">
        <f aca="false">SUM(BI11,BI25,BI39)</f>
        <v>2174.858</v>
      </c>
      <c r="BJ110" s="45" t="n">
        <f aca="false">SUM(BJ11,BJ25,BJ39)</f>
        <v>2189.986</v>
      </c>
      <c r="BK110" s="45" t="n">
        <f aca="false">SUM(BK11,BK25,BK39)</f>
        <v>2284.471</v>
      </c>
      <c r="BL110" s="45" t="n">
        <f aca="false">SUM(BL11,BL25,BL39)</f>
        <v>8815.769</v>
      </c>
      <c r="BM110" s="45" t="n">
        <f aca="false">SUM(BM11,BM25,BM39)</f>
        <v>2342.33</v>
      </c>
      <c r="BN110" s="45" t="n">
        <f aca="false">SUM(BN11,BN25,BN39)</f>
        <v>2377.177</v>
      </c>
      <c r="BO110" s="45" t="n">
        <f aca="false">SUM(BO11,BO25,BO39)</f>
        <v>2406.173</v>
      </c>
      <c r="BP110" s="45" t="n">
        <f aca="false">SUM(BP11,BP25,BP39)</f>
        <v>2470.935</v>
      </c>
      <c r="BQ110" s="45" t="n">
        <f aca="false">SUM(BQ11,BQ25,BQ39)</f>
        <v>9596.615</v>
      </c>
      <c r="BR110" s="45" t="n">
        <f aca="false">SUM(BR11,BR25,BR39)</f>
        <v>2501.587</v>
      </c>
      <c r="BS110" s="45" t="n">
        <f aca="false">SUM(BS11,BS25,BS39)</f>
        <v>2561.783</v>
      </c>
      <c r="BT110" s="45" t="n">
        <f aca="false">SUM(BT11,BT25,BT39)</f>
        <v>2609.159</v>
      </c>
      <c r="BU110" s="45" t="n">
        <f aca="false">SUM(BU11,BU25,BU39)</f>
        <v>2667.652</v>
      </c>
      <c r="BV110" s="45" t="n">
        <f aca="false">SUM(BV11,BV25,BV39)</f>
        <v>10340.181</v>
      </c>
      <c r="BW110" s="45" t="n">
        <f aca="false">SUM(BW11,BW25,BW39)</f>
        <v>2718.122</v>
      </c>
      <c r="BX110" s="45" t="n">
        <f aca="false">SUM(BX11,BX25,BX39)</f>
        <v>2799.992</v>
      </c>
      <c r="BY110" s="45" t="n">
        <f aca="false">SUM(BY11,BY25,BY39)</f>
        <v>2841.444</v>
      </c>
      <c r="BZ110" s="45" t="n">
        <f aca="false">SUM(BZ11,BZ25,BZ39)</f>
        <v>2905.203</v>
      </c>
      <c r="CA110" s="45" t="n">
        <f aca="false">SUM(CA11,CA25,CA39)</f>
        <v>11264.761</v>
      </c>
      <c r="CB110" s="45" t="n">
        <f aca="false">SUM(CB11,CB25,CB39)</f>
        <v>3013.981</v>
      </c>
      <c r="CC110" s="35" t="n">
        <f aca="false">SUM(CC11,CC25,CC39)</f>
        <v>3012.0790494652</v>
      </c>
      <c r="CD110" s="35" t="n">
        <f aca="false">SUM(CD11,CD25,CD39)</f>
        <v>3056.9884189845</v>
      </c>
      <c r="CE110" s="35" t="n">
        <f aca="false">SUM(CE11,CE25,CE39)</f>
        <v>3126.9515315503</v>
      </c>
      <c r="CF110" s="35" t="n">
        <f aca="false">SUM(CF11,CF25,CF39)</f>
        <v>12210</v>
      </c>
      <c r="CG110" s="35" t="n">
        <f aca="false">SUM(CG11,CG25,CG39)</f>
        <v>13171.4176719931</v>
      </c>
      <c r="CH110" s="35" t="n">
        <f aca="false">SUM(CH11,CH25,CH39)</f>
        <v>14129.8596842978</v>
      </c>
      <c r="CI110" s="35" t="n">
        <f aca="false">SUM(CI11,CI25,CI39)</f>
        <v>15141.520880415</v>
      </c>
      <c r="CJ110" s="35" t="n">
        <f aca="false">SUM(CJ11,CJ25,CJ39)</f>
        <v>16132.4607812557</v>
      </c>
      <c r="CK110" s="23"/>
    </row>
    <row r="111" customFormat="false" ht="15" hidden="false" customHeight="true" outlineLevel="0" collapsed="false">
      <c r="B111" s="42" t="s">
        <v>338</v>
      </c>
      <c r="CC111" s="43"/>
      <c r="CD111" s="43"/>
      <c r="CE111" s="43"/>
      <c r="CF111" s="35" t="n">
        <f aca="false">CHOOSE(MATCH($CK$2,{"Bull","Base","Bear"},0),$CT$12,$CU$12,$CV$12)</f>
        <v>12210</v>
      </c>
      <c r="CG111" s="43"/>
      <c r="CH111" s="43"/>
      <c r="CI111" s="43"/>
      <c r="CJ111" s="43"/>
      <c r="CK111" s="23" t="s">
        <v>339</v>
      </c>
      <c r="CS111" s="19" t="s">
        <v>340</v>
      </c>
      <c r="CT111" s="49" t="n">
        <v>-0.005</v>
      </c>
      <c r="CU111" s="50" t="s">
        <v>280</v>
      </c>
      <c r="CV111" s="49" t="n">
        <v>0.0075</v>
      </c>
      <c r="CW111" s="16" t="s">
        <v>341</v>
      </c>
    </row>
    <row r="112" customFormat="false" ht="15" hidden="false" customHeight="true" outlineLevel="1" collapsed="false">
      <c r="B112" s="29" t="s">
        <v>342</v>
      </c>
      <c r="CC112" s="35" t="n">
        <f aca="false">(BX11*(1+$CB$12-$CB$109)+BX25*(1+$CB$26-$CB$109)+BX39*(1+$CB$40-$CB$109))</f>
        <v>3061.56435965309</v>
      </c>
      <c r="CD112" s="35" t="n">
        <f aca="false">(BY11*(1+$CB$12-$CB$109)+BY25*(1+$CB$26-$CB$109)+BY39*(1+$CB$40-$CB$109))</f>
        <v>3107.2063259362</v>
      </c>
      <c r="CE112" s="35" t="n">
        <f aca="false">(BZ11*(1+$CB$12-$CB$109)+BZ25*(1+$CB$26-$CB$109)+BZ39*(1+$CB$40-$CB$109))</f>
        <v>3178.29627525449</v>
      </c>
      <c r="CF112" s="35" t="n">
        <f aca="false">CB110+SUM(CC112,CD112,CE112)</f>
        <v>12361.0479608438</v>
      </c>
      <c r="CG112" s="43"/>
      <c r="CH112" s="43"/>
      <c r="CI112" s="43"/>
      <c r="CJ112" s="43"/>
      <c r="CK112" s="23" t="s">
        <v>343</v>
      </c>
      <c r="CS112" s="29" t="s">
        <v>284</v>
      </c>
      <c r="CT112" s="51" t="n">
        <f aca="false">CU112+$CT$111</f>
        <v>0.266</v>
      </c>
      <c r="CU112" s="38" t="n">
        <v>0.271</v>
      </c>
      <c r="CV112" s="51" t="n">
        <f aca="false">CU112+$CV$111</f>
        <v>0.2785</v>
      </c>
    </row>
    <row r="113" customFormat="false" ht="15" hidden="false" customHeight="true" outlineLevel="1" collapsed="false">
      <c r="B113" s="29" t="s">
        <v>344</v>
      </c>
      <c r="CC113" s="35" t="n">
        <f aca="false">BX110</f>
        <v>2799.992</v>
      </c>
      <c r="CD113" s="35" t="n">
        <f aca="false">BY110</f>
        <v>2841.444</v>
      </c>
      <c r="CE113" s="35" t="n">
        <f aca="false">BZ110</f>
        <v>2905.203</v>
      </c>
      <c r="CF113" s="35" t="n">
        <f aca="false">SUM(CC113,CD113,CE113)</f>
        <v>8546.639</v>
      </c>
      <c r="CG113" s="43"/>
      <c r="CH113" s="43"/>
      <c r="CI113" s="43"/>
      <c r="CJ113" s="43"/>
      <c r="CK113" s="23"/>
      <c r="CS113" s="29" t="s">
        <v>286</v>
      </c>
      <c r="CT113" s="51" t="n">
        <f aca="false">CU113+$CT$111</f>
        <v>0.264</v>
      </c>
      <c r="CU113" s="38" t="n">
        <v>0.269</v>
      </c>
      <c r="CV113" s="51" t="n">
        <f aca="false">CU113+$CV$111</f>
        <v>0.2765</v>
      </c>
    </row>
    <row r="114" customFormat="false" ht="15" hidden="false" customHeight="true" outlineLevel="0" collapsed="false">
      <c r="B114" s="29" t="s">
        <v>345</v>
      </c>
      <c r="CC114" s="28" t="n">
        <f aca="false">$CF$114</f>
        <v>-0.0176733755624621</v>
      </c>
      <c r="CD114" s="28" t="n">
        <f aca="false">$CF$114</f>
        <v>-0.0176733755624621</v>
      </c>
      <c r="CE114" s="28" t="n">
        <f aca="false">$CF$114</f>
        <v>-0.0176733755624621</v>
      </c>
      <c r="CF114" s="28" t="n">
        <f aca="false">IFERROR((CF111-CF112)/CF113,0)</f>
        <v>-0.0176733755624621</v>
      </c>
      <c r="CG114" s="33"/>
      <c r="CH114" s="33"/>
      <c r="CI114" s="33"/>
      <c r="CJ114" s="33"/>
      <c r="CK114" s="23" t="s">
        <v>346</v>
      </c>
      <c r="CS114" s="29" t="s">
        <v>289</v>
      </c>
      <c r="CT114" s="51" t="n">
        <f aca="false">CU114+$CT$111</f>
        <v>0.262</v>
      </c>
      <c r="CU114" s="38" t="n">
        <v>0.267</v>
      </c>
      <c r="CV114" s="51" t="n">
        <f aca="false">CU114+$CV$111</f>
        <v>0.2745</v>
      </c>
    </row>
    <row r="115" customFormat="false" ht="15" hidden="false" customHeight="true" outlineLevel="0" collapsed="false">
      <c r="B115" s="57" t="s">
        <v>347</v>
      </c>
      <c r="CC115" s="58"/>
      <c r="CD115" s="58"/>
      <c r="CE115" s="58"/>
      <c r="CF115" s="35" t="n">
        <f aca="false">ROUND(CF110-CF111,1)</f>
        <v>0</v>
      </c>
      <c r="CG115" s="58"/>
      <c r="CH115" s="58"/>
      <c r="CI115" s="58"/>
      <c r="CJ115" s="58"/>
      <c r="CK115" s="23"/>
      <c r="CS115" s="29" t="s">
        <v>291</v>
      </c>
      <c r="CT115" s="51" t="n">
        <f aca="false">CU115+$CT$111</f>
        <v>0.26</v>
      </c>
      <c r="CU115" s="38" t="n">
        <v>0.265</v>
      </c>
      <c r="CV115" s="51" t="n">
        <f aca="false">CU115+$CV$111</f>
        <v>0.2725</v>
      </c>
    </row>
    <row r="116" customFormat="false" ht="15" hidden="false" customHeight="true" outlineLevel="1" collapsed="false">
      <c r="B116" s="29" t="s">
        <v>348</v>
      </c>
      <c r="CC116" s="35" t="n">
        <f aca="false">CC11*CC16-CC18+CC25*CC30-CC32+CC39*CC44-CC46</f>
        <v>746.756606105547</v>
      </c>
      <c r="CD116" s="35" t="n">
        <f aca="false">CD11*CD16-CD18+CD25*CD30-CD32+CD39*CD44-CD46</f>
        <v>752.330064721641</v>
      </c>
      <c r="CE116" s="35" t="n">
        <f aca="false">CE11*CE16-CE18+CE25*CE30-CE32+CE39*CE44-CE46</f>
        <v>783.509916751678</v>
      </c>
      <c r="CF116" s="35" t="n">
        <f aca="false">SUM(CB20,CB34,CB48)+SUM(CC116,CD116,CE116)</f>
        <v>3008.89558757887</v>
      </c>
      <c r="CG116" s="43"/>
      <c r="CH116" s="43"/>
      <c r="CI116" s="43"/>
      <c r="CJ116" s="43"/>
      <c r="CK116" s="23"/>
    </row>
    <row r="117" customFormat="false" ht="15" hidden="false" customHeight="true" outlineLevel="1" collapsed="false">
      <c r="B117" s="29" t="s">
        <v>349</v>
      </c>
      <c r="CC117" s="35" t="n">
        <f aca="false">CC110</f>
        <v>3012.0790494652</v>
      </c>
      <c r="CD117" s="35" t="n">
        <f aca="false">CD110</f>
        <v>3056.9884189845</v>
      </c>
      <c r="CE117" s="35" t="n">
        <f aca="false">CE110</f>
        <v>3126.9515315503</v>
      </c>
      <c r="CF117" s="35" t="n">
        <f aca="false">SUM(CC117,CD117,CE117)</f>
        <v>9196.019</v>
      </c>
      <c r="CG117" s="43"/>
      <c r="CH117" s="43"/>
      <c r="CI117" s="43"/>
      <c r="CJ117" s="43"/>
      <c r="CK117" s="23"/>
      <c r="CS117" s="19" t="s">
        <v>350</v>
      </c>
      <c r="CT117" s="49" t="n">
        <v>0.015</v>
      </c>
      <c r="CU117" s="50" t="s">
        <v>280</v>
      </c>
      <c r="CV117" s="49" t="n">
        <v>-0.025</v>
      </c>
      <c r="CW117" s="16" t="s">
        <v>351</v>
      </c>
    </row>
    <row r="118" customFormat="false" ht="15" hidden="false" customHeight="true" outlineLevel="0" collapsed="false">
      <c r="B118" s="42" t="s">
        <v>352</v>
      </c>
      <c r="CC118" s="59"/>
      <c r="CD118" s="59"/>
      <c r="CE118" s="59"/>
      <c r="CF118" s="60" t="n">
        <f aca="false">CHOOSE(MATCH($CK$2,{"Bull","Base","Bear"},0),$CT$13,$CU$13,$CV$13)</f>
        <v>5.495</v>
      </c>
      <c r="CG118" s="59"/>
      <c r="CH118" s="59"/>
      <c r="CI118" s="59"/>
      <c r="CJ118" s="59"/>
      <c r="CK118" s="23" t="s">
        <v>353</v>
      </c>
      <c r="CS118" s="29" t="s">
        <v>354</v>
      </c>
      <c r="CT118" s="51" t="n">
        <f aca="false">CU118+$CT$117</f>
        <v>0.045</v>
      </c>
      <c r="CU118" s="38" t="n">
        <v>0.03</v>
      </c>
      <c r="CV118" s="51" t="n">
        <f aca="false">CU118+$CV$117</f>
        <v>0.005</v>
      </c>
    </row>
    <row r="119" customFormat="false" ht="15" hidden="false" customHeight="true" outlineLevel="0" collapsed="false">
      <c r="B119" s="42" t="s">
        <v>355</v>
      </c>
      <c r="CC119" s="43"/>
      <c r="CD119" s="43"/>
      <c r="CE119" s="43"/>
      <c r="CF119" s="35" t="n">
        <f aca="false">CF118*$CU$18/(1-$CU$17)+$CU$16</f>
        <v>2893.92154522613</v>
      </c>
      <c r="CG119" s="43"/>
      <c r="CH119" s="43"/>
      <c r="CI119" s="43"/>
      <c r="CJ119" s="43"/>
      <c r="CK119" s="23" t="s">
        <v>356</v>
      </c>
      <c r="CS119" s="29" t="s">
        <v>284</v>
      </c>
      <c r="CT119" s="51" t="n">
        <f aca="false">CU119+$CT$117</f>
        <v>0.045</v>
      </c>
      <c r="CU119" s="38" t="n">
        <v>0.03</v>
      </c>
      <c r="CV119" s="51" t="n">
        <f aca="false">CU119+$CV$117</f>
        <v>0.005</v>
      </c>
    </row>
    <row r="120" customFormat="false" ht="15" hidden="false" customHeight="true" outlineLevel="0" collapsed="false">
      <c r="B120" s="29" t="s">
        <v>357</v>
      </c>
      <c r="CC120" s="28" t="n">
        <f aca="false">$CF$120</f>
        <v>-0.012502588604127</v>
      </c>
      <c r="CD120" s="28" t="n">
        <f aca="false">$CF$120</f>
        <v>-0.012502588604127</v>
      </c>
      <c r="CE120" s="28" t="n">
        <f aca="false">$CF$120</f>
        <v>-0.012502588604127</v>
      </c>
      <c r="CF120" s="28" t="n">
        <f aca="false">IFERROR((CF119-CF116)/CF117,0)</f>
        <v>-0.012502588604127</v>
      </c>
      <c r="CG120" s="33"/>
      <c r="CH120" s="33"/>
      <c r="CI120" s="33"/>
      <c r="CJ120" s="33"/>
      <c r="CK120" s="23" t="s">
        <v>358</v>
      </c>
      <c r="CS120" s="29" t="s">
        <v>286</v>
      </c>
      <c r="CT120" s="51" t="n">
        <f aca="false">CU120+$CT$117</f>
        <v>0.05</v>
      </c>
      <c r="CU120" s="38" t="n">
        <v>0.035</v>
      </c>
      <c r="CV120" s="51" t="n">
        <f aca="false">CU120+$CV$117</f>
        <v>0.01</v>
      </c>
    </row>
    <row r="121" customFormat="false" ht="15" hidden="false" customHeight="true" outlineLevel="0" collapsed="false">
      <c r="B121" s="42" t="s">
        <v>359</v>
      </c>
      <c r="T121" s="45" t="n">
        <f aca="false">SUM(T20,T34,T48)</f>
        <v>163.488</v>
      </c>
      <c r="U121" s="45" t="n">
        <f aca="false">SUM(U20,U34,U48)</f>
        <v>181.583</v>
      </c>
      <c r="V121" s="45" t="n">
        <f aca="false">SUM(V20,V34,V48)</f>
        <v>173.617</v>
      </c>
      <c r="W121" s="45" t="n">
        <f aca="false">SUM(W20,W34,W48)</f>
        <v>177.719</v>
      </c>
      <c r="X121" s="45" t="n">
        <f aca="false">SUM(X20,X34,X48)</f>
        <v>696.407</v>
      </c>
      <c r="Y121" s="45" t="n">
        <f aca="false">SUM(Y20,Y34,Y48)</f>
        <v>185.507</v>
      </c>
      <c r="Z121" s="45" t="n">
        <f aca="false">SUM(Z20,Z34,Z48)</f>
        <v>200.349</v>
      </c>
      <c r="AA121" s="45" t="n">
        <f aca="false">SUM(AA20,AA34,AA48)</f>
        <v>192.952</v>
      </c>
      <c r="AB121" s="45" t="n">
        <f aca="false">SUM(AB20,AB34,AB48)</f>
        <v>202.94</v>
      </c>
      <c r="AC121" s="45" t="n">
        <f aca="false">SUM(AC20,AC34,AC48)</f>
        <v>781.748</v>
      </c>
      <c r="AD121" s="45" t="n">
        <f aca="false">SUM(AD20,AD34,AD48)</f>
        <v>209.748</v>
      </c>
      <c r="AE121" s="45" t="n">
        <f aca="false">SUM(AE20,AE34,AE48)</f>
        <v>206.205</v>
      </c>
      <c r="AF121" s="45" t="n">
        <f aca="false">SUM(AF20,AF34,AF48)</f>
        <v>204.039</v>
      </c>
      <c r="AG121" s="45" t="n">
        <f aca="false">SUM(AG20,AG34,AG48)</f>
        <v>241.054</v>
      </c>
      <c r="AH121" s="45" t="n">
        <f aca="false">SUM(AH20,AH34,AH48)</f>
        <v>852.915</v>
      </c>
      <c r="AI121" s="45" t="n">
        <f aca="false">SUM(AI20,AI34,AI48)</f>
        <v>253.07</v>
      </c>
      <c r="AJ121" s="45" t="n">
        <f aca="false">SUM(AJ20,AJ34,AJ48)</f>
        <v>248.285</v>
      </c>
      <c r="AK121" s="45" t="n">
        <f aca="false">SUM(AK20,AK34,AK48)</f>
        <v>209.845</v>
      </c>
      <c r="AL121" s="45" t="n">
        <f aca="false">SUM(AL20,AL34,AL48)</f>
        <v>280.531</v>
      </c>
      <c r="AM121" s="45" t="n">
        <f aca="false">SUM(AM20,AM34,AM48)</f>
        <v>991.731</v>
      </c>
      <c r="AN121" s="45" t="n">
        <f aca="false">SUM(AN20,AN34,AN48)</f>
        <v>270.078</v>
      </c>
      <c r="AO121" s="45" t="n">
        <f aca="false">SUM(AO20,AO34,AO48)</f>
        <v>283.487</v>
      </c>
      <c r="AP121" s="45" t="n">
        <f aca="false">SUM(AP20,AP34,AP48)</f>
        <v>279.054</v>
      </c>
      <c r="AQ121" s="45" t="n">
        <f aca="false">SUM(AQ20,AQ34,AQ48)</f>
        <v>315.325</v>
      </c>
      <c r="AR121" s="45" t="n">
        <f aca="false">SUM(AR20,AR34,AR48)</f>
        <v>1147.944</v>
      </c>
      <c r="AS121" s="45" t="n">
        <f aca="false">SUM(AS20,AS34,AS48)</f>
        <v>306.146</v>
      </c>
      <c r="AT121" s="45" t="n">
        <f aca="false">SUM(AT20,AT34,AT48)</f>
        <v>334.464</v>
      </c>
      <c r="AU121" s="45" t="n">
        <f aca="false">SUM(AU20,AU34,AU48)</f>
        <v>314.652</v>
      </c>
      <c r="AV121" s="45" t="n">
        <f aca="false">SUM(AV20,AV34,AV48)</f>
        <v>207.434</v>
      </c>
      <c r="AW121" s="45" t="n">
        <f aca="false">SUM(AW20,AW34,AW48)</f>
        <v>1162.696</v>
      </c>
      <c r="AX121" s="45" t="n">
        <f aca="false">SUM(AX20,AX34,AX48)</f>
        <v>349.706</v>
      </c>
      <c r="AY121" s="45" t="n">
        <f aca="false">SUM(AY20,AY34,AY48)</f>
        <v>352.872</v>
      </c>
      <c r="AZ121" s="45" t="n">
        <f aca="false">SUM(AZ20,AZ34,AZ48)</f>
        <v>326.468</v>
      </c>
      <c r="BA121" s="45" t="n">
        <f aca="false">SUM(BA20,BA34,BA48)</f>
        <v>356.446</v>
      </c>
      <c r="BB121" s="45" t="n">
        <f aca="false">SUM(BB20,BB34,BB48)</f>
        <v>1385.492</v>
      </c>
      <c r="BC121" s="45" t="n">
        <f aca="false">SUM(BC20,BC34,BC48)</f>
        <v>394.101</v>
      </c>
      <c r="BD121" s="45" t="n">
        <f aca="false">SUM(BD20,BD34,BD48)</f>
        <v>381.228</v>
      </c>
      <c r="BE121" s="45" t="n">
        <f aca="false">SUM(BE20,BE34,BE48)</f>
        <v>407.605</v>
      </c>
      <c r="BF121" s="45" t="n">
        <f aca="false">SUM(BF20,BF34,BF48)</f>
        <v>404.436</v>
      </c>
      <c r="BG121" s="45" t="n">
        <f aca="false">SUM(BG20,BG34,BG48)</f>
        <v>1587.37</v>
      </c>
      <c r="BH121" s="45" t="n">
        <f aca="false">SUM(BH20,BH34,BH48)</f>
        <v>440.12</v>
      </c>
      <c r="BI121" s="45" t="n">
        <f aca="false">SUM(BI20,BI34,BI48)</f>
        <v>444.934</v>
      </c>
      <c r="BJ121" s="45" t="n">
        <f aca="false">SUM(BJ20,BJ34,BJ48)</f>
        <v>446.812</v>
      </c>
      <c r="BK121" s="45" t="n">
        <f aca="false">SUM(BK20,BK34,BK48)</f>
        <v>470.798</v>
      </c>
      <c r="BL121" s="45" t="n">
        <f aca="false">SUM(BL20,BL34,BL48)</f>
        <v>1802.664</v>
      </c>
      <c r="BM121" s="45" t="n">
        <f aca="false">SUM(BM20,BM34,BM48)</f>
        <v>500.556</v>
      </c>
      <c r="BN121" s="45" t="n">
        <f aca="false">SUM(BN20,BN34,BN48)</f>
        <v>499.683</v>
      </c>
      <c r="BO121" s="45" t="n">
        <f aca="false">SUM(BO20,BO34,BO48)</f>
        <v>520.8</v>
      </c>
      <c r="BP121" s="45" t="n">
        <f aca="false">SUM(BP20,BP34,BP48)</f>
        <v>547.594</v>
      </c>
      <c r="BQ121" s="45" t="n">
        <f aca="false">SUM(BQ20,BQ34,BQ48)</f>
        <v>2068.633</v>
      </c>
      <c r="BR121" s="45" t="n">
        <f aca="false">SUM(BR20,BR34,BR48)</f>
        <v>561.031</v>
      </c>
      <c r="BS121" s="45" t="n">
        <f aca="false">SUM(BS20,BS34,BS48)</f>
        <v>591.39</v>
      </c>
      <c r="BT121" s="45" t="n">
        <f aca="false">SUM(BT20,BT34,BT48)</f>
        <v>609.853</v>
      </c>
      <c r="BU121" s="45" t="n">
        <f aca="false">SUM(BU20,BU34,BU48)</f>
        <v>597.452</v>
      </c>
      <c r="BV121" s="45" t="n">
        <f aca="false">SUM(BV20,BV34,BV48)</f>
        <v>2359.726</v>
      </c>
      <c r="BW121" s="45" t="n">
        <f aca="false">SUM(BW20,BW34,BW48)</f>
        <v>617.859</v>
      </c>
      <c r="BX121" s="45" t="n">
        <f aca="false">SUM(BX20,BX34,BX48)</f>
        <v>655.714</v>
      </c>
      <c r="BY121" s="45" t="n">
        <f aca="false">SUM(BY20,BY34,BY48)</f>
        <v>659.904</v>
      </c>
      <c r="BZ121" s="45" t="n">
        <f aca="false">SUM(BZ20,BZ34,BZ48)</f>
        <v>687.059</v>
      </c>
      <c r="CA121" s="45" t="n">
        <f aca="false">SUM(CA20,CA34,CA48)</f>
        <v>2621.648</v>
      </c>
      <c r="CB121" s="45" t="n">
        <f aca="false">SUM(CB20,CB34,CB48)</f>
        <v>726.299</v>
      </c>
      <c r="CC121" s="35" t="n">
        <f aca="false">SUM(CC20,CC34,CC48)</f>
        <v>709.097820906974</v>
      </c>
      <c r="CD121" s="35" t="n">
        <f aca="false">SUM(CD20,CD34,CD48)</f>
        <v>714.109796151497</v>
      </c>
      <c r="CE121" s="35" t="n">
        <f aca="false">SUM(CE20,CE34,CE48)</f>
        <v>744.41492816766</v>
      </c>
      <c r="CF121" s="35" t="n">
        <f aca="false">SUM(CF20,CF34,CF48)</f>
        <v>2893.92154522613</v>
      </c>
      <c r="CG121" s="35" t="n">
        <f aca="false">SUM(CG20,CG34,CG48)</f>
        <v>3246.75240664336</v>
      </c>
      <c r="CH121" s="35" t="n">
        <f aca="false">SUM(CH20,CH34,CH48)</f>
        <v>3555.53335590683</v>
      </c>
      <c r="CI121" s="35" t="n">
        <f aca="false">SUM(CI20,CI34,CI48)</f>
        <v>3885.68854076377</v>
      </c>
      <c r="CJ121" s="35" t="n">
        <f aca="false">SUM(CJ20,CJ34,CJ48)</f>
        <v>4218.56033182559</v>
      </c>
      <c r="CK121" s="23"/>
      <c r="CS121" s="29" t="s">
        <v>289</v>
      </c>
      <c r="CT121" s="51" t="n">
        <f aca="false">CU121+$CT$117</f>
        <v>0.05</v>
      </c>
      <c r="CU121" s="38" t="n">
        <v>0.035</v>
      </c>
      <c r="CV121" s="51" t="n">
        <f aca="false">CU121+$CV$117</f>
        <v>0.01</v>
      </c>
    </row>
    <row r="122" customFormat="false" ht="15" hidden="false" customHeight="true" outlineLevel="0" collapsed="false">
      <c r="B122" s="57" t="s">
        <v>360</v>
      </c>
      <c r="CC122" s="58"/>
      <c r="CD122" s="58"/>
      <c r="CE122" s="58"/>
      <c r="CF122" s="35" t="n">
        <f aca="false">ROUND(CF121-CF119,1)</f>
        <v>0</v>
      </c>
      <c r="CG122" s="58"/>
      <c r="CH122" s="58"/>
      <c r="CI122" s="58"/>
      <c r="CJ122" s="58"/>
      <c r="CK122" s="23"/>
      <c r="CS122" s="29" t="s">
        <v>291</v>
      </c>
      <c r="CT122" s="51" t="n">
        <f aca="false">CU122+$CT$117</f>
        <v>0.05</v>
      </c>
      <c r="CU122" s="38" t="n">
        <v>0.035</v>
      </c>
      <c r="CV122" s="51" t="n">
        <f aca="false">CU122+$CV$117</f>
        <v>0.01</v>
      </c>
    </row>
    <row r="123" customFormat="false" ht="15" hidden="false" customHeight="true" outlineLevel="0" collapsed="false">
      <c r="B123" s="42" t="s">
        <v>361</v>
      </c>
      <c r="T123" s="37" t="n">
        <f aca="false">IFERROR(SUM(T18,T32,T46)/T110,"")</f>
        <v>0.285332150112923</v>
      </c>
      <c r="U123" s="37" t="n">
        <f aca="false">IFERROR(SUM(U18,U32,U46)/U110,"")</f>
        <v>0.266909920872653</v>
      </c>
      <c r="V123" s="37" t="n">
        <f aca="false">IFERROR(SUM(V18,V32,V46)/V110,"")</f>
        <v>0.272075408059002</v>
      </c>
      <c r="W123" s="37" t="n">
        <f aca="false">IFERROR(SUM(W18,W32,W46)/W110,"")</f>
        <v>0.270388234377721</v>
      </c>
      <c r="X123" s="37" t="n">
        <f aca="false">IFERROR(SUM(X18,X32,X46)/X110,"")</f>
        <v>0.273612059811217</v>
      </c>
      <c r="Y123" s="37" t="n">
        <f aca="false">IFERROR(SUM(Y18,Y32,Y46)/Y110,"")</f>
        <v>0.282458774366289</v>
      </c>
      <c r="Z123" s="37" t="n">
        <f aca="false">IFERROR(SUM(Z18,Z32,Z46)/Z110,"")</f>
        <v>0.268276897332415</v>
      </c>
      <c r="AA123" s="37" t="n">
        <f aca="false">IFERROR(SUM(AA18,AA32,AA46)/AA110,"")</f>
        <v>0.272724805790394</v>
      </c>
      <c r="AB123" s="37" t="n">
        <f aca="false">IFERROR(SUM(AB18,AB32,AB46)/AB110,"")</f>
        <v>0.275897923950276</v>
      </c>
      <c r="AC123" s="37" t="n">
        <f aca="false">IFERROR(SUM(AC18,AC32,AC46)/AC110,"")</f>
        <v>0.274820822031297</v>
      </c>
      <c r="AD123" s="37" t="n">
        <f aca="false">IFERROR(SUM(AD18,AD32,AD46)/AD110,"")</f>
        <v>0.289017332107284</v>
      </c>
      <c r="AE123" s="37" t="n">
        <f aca="false">IFERROR(SUM(AE18,AE32,AE46)/AE110,"")</f>
        <v>0.281606541020554</v>
      </c>
      <c r="AF123" s="37" t="n">
        <f aca="false">IFERROR(SUM(AF18,AF32,AF46)/AF110,"")</f>
        <v>0.282862461801449</v>
      </c>
      <c r="AG123" s="37" t="n">
        <f aca="false">IFERROR(SUM(AG18,AG32,AG46)/AG110,"")</f>
        <v>0.286006481137198</v>
      </c>
      <c r="AH123" s="37" t="n">
        <f aca="false">IFERROR(SUM(AH18,AH32,AH46)/AH110,"")</f>
        <v>0.286919159083297</v>
      </c>
      <c r="AI123" s="37" t="n">
        <f aca="false">IFERROR(SUM(AI18,AI32,AI46)/AI110,"")</f>
        <v>0.301757427693278</v>
      </c>
      <c r="AJ123" s="37" t="n">
        <f aca="false">IFERROR(SUM(AJ18,AJ32,AJ46)/AJ110,"")</f>
        <v>0.291379515338565</v>
      </c>
      <c r="AK123" s="37" t="n">
        <f aca="false">IFERROR(SUM(AK18,AK32,AK46)/AK110,"")</f>
        <v>0.308732155420108</v>
      </c>
      <c r="AL123" s="37" t="n">
        <f aca="false">IFERROR(SUM(AL18,AL32,AL46)/AL110,"")</f>
        <v>0.282595310113504</v>
      </c>
      <c r="AM123" s="37" t="n">
        <f aca="false">IFERROR(SUM(AM18,AM32,AM46)/AM110,"")</f>
        <v>0.295955058122802</v>
      </c>
      <c r="AN123" s="37" t="n">
        <f aca="false">IFERROR(SUM(AN18,AN32,AN46)/AN110,"")</f>
        <v>0.297197544133453</v>
      </c>
      <c r="AO123" s="37" t="n">
        <f aca="false">IFERROR(SUM(AO18,AO32,AO46)/AO110,"")</f>
        <v>0.286143372279528</v>
      </c>
      <c r="AP123" s="37" t="n">
        <f aca="false">IFERROR(SUM(AP18,AP32,AP46)/AP110,"")</f>
        <v>0.282999768178657</v>
      </c>
      <c r="AQ123" s="37" t="n">
        <f aca="false">IFERROR(SUM(AQ18,AQ32,AQ46)/AQ110,"")</f>
        <v>0.283342532042169</v>
      </c>
      <c r="AR123" s="37" t="n">
        <f aca="false">IFERROR(SUM(AR18,AR32,AR46)/AR110,"")</f>
        <v>0.287370418857093</v>
      </c>
      <c r="AS123" s="37" t="n">
        <f aca="false">IFERROR(SUM(AS18,AS32,AS46)/AS110,"")</f>
        <v>0.299809125638617</v>
      </c>
      <c r="AT123" s="37" t="n">
        <f aca="false">IFERROR(SUM(AT18,AT32,AT46)/AT110,"")</f>
        <v>0.280909711679844</v>
      </c>
      <c r="AU123" s="37" t="n">
        <f aca="false">IFERROR(SUM(AU18,AU32,AU46)/AU110,"")</f>
        <v>0.281525177726427</v>
      </c>
      <c r="AV123" s="37" t="n">
        <f aca="false">IFERROR(SUM(AV18,AV32,AV46)/AV110,"")</f>
        <v>0.308959584683474</v>
      </c>
      <c r="AW123" s="37" t="n">
        <f aca="false">IFERROR(SUM(AW18,AW32,AW46)/AW110,"")</f>
        <v>0.29231008084549</v>
      </c>
      <c r="AX123" s="37" t="n">
        <f aca="false">IFERROR(SUM(AX18,AX32,AX46)/AX110,"")</f>
        <v>0.272816798591529</v>
      </c>
      <c r="AY123" s="37" t="n">
        <f aca="false">IFERROR(SUM(AY18,AY32,AY46)/AY110,"")</f>
        <v>0.265793535520942</v>
      </c>
      <c r="AZ123" s="37" t="n">
        <f aca="false">IFERROR(SUM(AZ18,AZ32,AZ46)/AZ110,"")</f>
        <v>0.271824860893523</v>
      </c>
      <c r="BA123" s="37" t="n">
        <f aca="false">IFERROR(SUM(BA18,BA32,BA46)/BA110,"")</f>
        <v>0.273800009914685</v>
      </c>
      <c r="BB123" s="37" t="n">
        <f aca="false">IFERROR(SUM(BB18,BB32,BB46)/BB110,"")</f>
        <v>0.271088649502413</v>
      </c>
      <c r="BC123" s="37" t="n">
        <f aca="false">IFERROR(SUM(BC18,BC32,BC46)/BC110,"")</f>
        <v>0.268143598935133</v>
      </c>
      <c r="BD123" s="37" t="n">
        <f aca="false">IFERROR(SUM(BD18,BD32,BD46)/BD110,"")</f>
        <v>0.262143255850732</v>
      </c>
      <c r="BE123" s="37" t="n">
        <f aca="false">IFERROR(SUM(BE18,BE32,BE46)/BE110,"")</f>
        <v>0.250210911064389</v>
      </c>
      <c r="BF123" s="37" t="n">
        <f aca="false">IFERROR(SUM(BF18,BF32,BF46)/BF110,"")</f>
        <v>0.2611281900008</v>
      </c>
      <c r="BG123" s="37" t="n">
        <f aca="false">IFERROR(SUM(BG18,BG32,BG46)/BG110,"")</f>
        <v>0.26034587487184</v>
      </c>
      <c r="BH123" s="37" t="n">
        <f aca="false">IFERROR(SUM(BH18,BH32,BH46)/BH110,"")</f>
        <v>0.271407562773085</v>
      </c>
      <c r="BI123" s="37" t="n">
        <f aca="false">IFERROR(SUM(BI18,BI32,BI46)/BI110,"")</f>
        <v>0.265540554831626</v>
      </c>
      <c r="BJ123" s="37" t="n">
        <f aca="false">IFERROR(SUM(BJ18,BJ32,BJ46)/BJ110,"")</f>
        <v>0.268138243806125</v>
      </c>
      <c r="BK123" s="37" t="n">
        <f aca="false">IFERROR(SUM(BK18,BK32,BK46)/BK110,"")</f>
        <v>0.270513392378367</v>
      </c>
      <c r="BL123" s="37" t="n">
        <f aca="false">IFERROR(SUM(BL18,BL32,BL46)/BL110,"")</f>
        <v>0.268916302139949</v>
      </c>
      <c r="BM123" s="37" t="n">
        <f aca="false">IFERROR(SUM(BM18,BM32,BM46)/BM110,"")</f>
        <v>0.27366553816072</v>
      </c>
      <c r="BN123" s="37" t="n">
        <f aca="false">IFERROR(SUM(BN18,BN32,BN46)/BN110,"")</f>
        <v>0.270011446350019</v>
      </c>
      <c r="BO123" s="37" t="n">
        <f aca="false">IFERROR(SUM(BO18,BO32,BO46)/BO110,"")</f>
        <v>0.277223624402734</v>
      </c>
      <c r="BP123" s="37" t="n">
        <f aca="false">IFERROR(SUM(BP18,BP32,BP46)/BP110,"")</f>
        <v>0.270284325569066</v>
      </c>
      <c r="BQ123" s="37" t="n">
        <f aca="false">IFERROR(SUM(BQ18,BQ32,BQ46)/BQ110,"")</f>
        <v>0.272781913205854</v>
      </c>
      <c r="BR123" s="37" t="n">
        <f aca="false">IFERROR(SUM(BR18,BR32,BR46)/BR110,"")</f>
        <v>0.276264627214644</v>
      </c>
      <c r="BS123" s="37" t="n">
        <f aca="false">IFERROR(SUM(BS18,BS32,BS46)/BS110,"")</f>
        <v>0.267514071254279</v>
      </c>
      <c r="BT123" s="37" t="n">
        <f aca="false">IFERROR(SUM(BT18,BT32,BT46)/BT110,"")</f>
        <v>0.271922102102632</v>
      </c>
      <c r="BU123" s="37" t="n">
        <f aca="false">IFERROR(SUM(BU18,BU32,BU46)/BU110,"")</f>
        <v>0.273100464378412</v>
      </c>
      <c r="BV123" s="37" t="n">
        <f aca="false">IFERROR(SUM(BV18,BV32,BV46)/BV110,"")</f>
        <v>0.272184597155504</v>
      </c>
      <c r="BW123" s="37" t="n">
        <f aca="false">IFERROR(SUM(BW18,BW32,BW46)/BW110,"")</f>
        <v>0.275448269062242</v>
      </c>
      <c r="BX123" s="37" t="n">
        <f aca="false">IFERROR(SUM(BX18,BX32,BX46)/BX110,"")</f>
        <v>0.27027612936037</v>
      </c>
      <c r="BY123" s="37" t="n">
        <f aca="false">IFERROR(SUM(BY18,BY32,BY46)/BY110,"")</f>
        <v>0.277518050681273</v>
      </c>
      <c r="BZ123" s="37" t="n">
        <f aca="false">IFERROR(SUM(BZ18,BZ32,BZ46)/BZ110,"")</f>
        <v>0.273038407298905</v>
      </c>
      <c r="CA123" s="37" t="n">
        <f aca="false">IFERROR(SUM(CA18,CA32,CA46)/CA110,"")</f>
        <v>0.273964534178754</v>
      </c>
      <c r="CB123" s="37" t="n">
        <f aca="false">IFERROR(SUM(CB18,CB32,CB46)/CB110,"")</f>
        <v>0.274468883513201</v>
      </c>
      <c r="CC123" s="28" t="n">
        <f aca="false">IFERROR(SUM(CC18,CC32,CC46)/CC110,"")</f>
        <v>0.269268971344762</v>
      </c>
      <c r="CD123" s="28" t="n">
        <f aca="false">IFERROR(SUM(CD18,CD32,CD46)/CD110,"")</f>
        <v>0.27645495509372</v>
      </c>
      <c r="CE123" s="28" t="n">
        <f aca="false">IFERROR(SUM(CE18,CE32,CE46)/CE110,"")</f>
        <v>0.271825765004484</v>
      </c>
      <c r="CF123" s="28" t="n">
        <f aca="false">IFERROR(SUM(CF18,CF32,CF46)/CF110,"")</f>
        <v>0.273006471379737</v>
      </c>
      <c r="CG123" s="28" t="n">
        <f aca="false">IFERROR(SUM(CG18,CG32,CG46)/CG110,"")</f>
        <v>0.271347028142703</v>
      </c>
      <c r="CH123" s="28" t="n">
        <f aca="false">IFERROR(SUM(CH18,CH32,CH46)/CH110,"")</f>
        <v>0.269653121781656</v>
      </c>
      <c r="CI123" s="28" t="n">
        <f aca="false">IFERROR(SUM(CI18,CI32,CI46)/CI110,"")</f>
        <v>0.267912888285744</v>
      </c>
      <c r="CJ123" s="28" t="n">
        <f aca="false">IFERROR(SUM(CJ18,CJ32,CJ46)/CJ110,"")</f>
        <v>0.266125854549204</v>
      </c>
      <c r="CK123" s="23"/>
    </row>
    <row r="124" customFormat="false" ht="15" hidden="false" customHeight="true" outlineLevel="0" collapsed="false">
      <c r="B124" s="29" t="s">
        <v>362</v>
      </c>
      <c r="CC124" s="33"/>
      <c r="CD124" s="33"/>
      <c r="CE124" s="33"/>
      <c r="CF124" s="33"/>
      <c r="CG124" s="28" t="n">
        <f aca="false">CHOOSE(MATCH($CK$2,{"Bull","Base","Bear"},0),$CT$112,$CU$112,$CV$112)</f>
        <v>0.271</v>
      </c>
      <c r="CH124" s="28" t="n">
        <f aca="false">CHOOSE(MATCH($CK$2,{"Bull","Base","Bear"},0),$CT$113,$CU$113,$CV$113)</f>
        <v>0.269</v>
      </c>
      <c r="CI124" s="28" t="n">
        <f aca="false">CHOOSE(MATCH($CK$2,{"Bull","Base","Bear"},0),$CT$114,$CU$114,$CV$114)</f>
        <v>0.267</v>
      </c>
      <c r="CJ124" s="28" t="n">
        <f aca="false">CHOOSE(MATCH($CK$2,{"Bull","Base","Bear"},0),$CT$115,$CU$115,$CV$115)</f>
        <v>0.265</v>
      </c>
      <c r="CK124" s="23" t="s">
        <v>363</v>
      </c>
      <c r="CS124" s="19" t="s">
        <v>364</v>
      </c>
      <c r="CT124" s="49" t="n">
        <v>0.1</v>
      </c>
      <c r="CU124" s="50" t="s">
        <v>280</v>
      </c>
      <c r="CV124" s="49" t="n">
        <v>-0.2</v>
      </c>
      <c r="CW124" s="16" t="s">
        <v>365</v>
      </c>
    </row>
    <row r="125" customFormat="false" ht="15" hidden="false" customHeight="true" outlineLevel="0" collapsed="false">
      <c r="CS125" s="29" t="s">
        <v>354</v>
      </c>
      <c r="CT125" s="51" t="n">
        <f aca="false">CU125+$CT$124</f>
        <v>0.13</v>
      </c>
      <c r="CU125" s="38" t="n">
        <v>0.03</v>
      </c>
      <c r="CV125" s="51" t="n">
        <f aca="false">CU125+$CV$124</f>
        <v>-0.17</v>
      </c>
    </row>
    <row r="126" customFormat="false" ht="15" hidden="false" customHeight="true" outlineLevel="0" collapsed="false">
      <c r="B126" s="17" t="s">
        <v>366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9" t="s">
        <v>367</v>
      </c>
      <c r="CS126" s="29" t="s">
        <v>284</v>
      </c>
      <c r="CT126" s="51" t="n">
        <f aca="false">CU126+$CT$124</f>
        <v>0.35</v>
      </c>
      <c r="CU126" s="38" t="n">
        <v>0.25</v>
      </c>
      <c r="CV126" s="51" t="n">
        <f aca="false">CU126+$CV$124</f>
        <v>0.05</v>
      </c>
    </row>
    <row r="127" customFormat="false" ht="15" hidden="false" customHeight="true" outlineLevel="0" collapsed="false">
      <c r="B127" s="29" t="s">
        <v>368</v>
      </c>
      <c r="C127" s="34" t="n">
        <v>160.653</v>
      </c>
      <c r="D127" s="34" t="n">
        <v>175.926</v>
      </c>
      <c r="E127" s="34" t="n">
        <v>191.903</v>
      </c>
      <c r="F127" s="34" t="n">
        <v>200.106</v>
      </c>
      <c r="G127" s="34" t="n">
        <v>193.141</v>
      </c>
      <c r="H127" s="34" t="n">
        <v>193.467</v>
      </c>
      <c r="I127" s="34" t="n">
        <v>194.165</v>
      </c>
      <c r="J127" s="34" t="n">
        <v>46.442</v>
      </c>
      <c r="K127" s="34" t="n">
        <v>46.852</v>
      </c>
      <c r="L127" s="34" t="n">
        <v>47.832</v>
      </c>
      <c r="M127" s="34" t="n">
        <v>48.251</v>
      </c>
      <c r="N127" s="34" t="n">
        <v>189.377</v>
      </c>
      <c r="O127" s="34" t="n">
        <v>48.394</v>
      </c>
      <c r="P127" s="34" t="n">
        <v>48.527</v>
      </c>
      <c r="Q127" s="34" t="n">
        <v>48.364</v>
      </c>
      <c r="R127" s="34" t="n">
        <v>45.577</v>
      </c>
      <c r="S127" s="34" t="n">
        <v>190.862</v>
      </c>
      <c r="T127" s="34" t="n">
        <v>39.654</v>
      </c>
      <c r="U127" s="34" t="n">
        <v>38.499</v>
      </c>
      <c r="V127" s="34" t="n">
        <v>37.887</v>
      </c>
      <c r="W127" s="34" t="n">
        <v>39.042</v>
      </c>
      <c r="X127" s="34" t="n">
        <v>155.082</v>
      </c>
      <c r="Y127" s="34" t="n">
        <v>39.768</v>
      </c>
      <c r="Z127" s="34" t="n">
        <v>41.126</v>
      </c>
      <c r="AA127" s="34" t="n">
        <v>41.777</v>
      </c>
      <c r="AB127" s="34" t="n">
        <v>42.608</v>
      </c>
      <c r="AC127" s="34" t="n">
        <v>165.279</v>
      </c>
      <c r="AD127" s="34" t="n">
        <v>43.168</v>
      </c>
      <c r="AE127" s="34" t="n">
        <v>43.882</v>
      </c>
      <c r="AF127" s="34" t="n">
        <v>44.664</v>
      </c>
      <c r="AG127" s="34" t="n">
        <v>64.881</v>
      </c>
      <c r="AH127" s="34" t="n">
        <v>196.595</v>
      </c>
      <c r="AI127" s="34" t="n">
        <v>68.509</v>
      </c>
      <c r="AJ127" s="34" t="n">
        <v>70.33</v>
      </c>
      <c r="AK127" s="34" t="n">
        <v>66.063</v>
      </c>
      <c r="AL127" s="34" t="n">
        <v>74.514</v>
      </c>
      <c r="AM127" s="34" t="n">
        <v>279.416</v>
      </c>
      <c r="AN127" s="34" t="n">
        <v>86.295</v>
      </c>
      <c r="AO127" s="34" t="n">
        <v>88.376</v>
      </c>
      <c r="AP127" s="34" t="n">
        <v>91.658</v>
      </c>
      <c r="AQ127" s="34" t="n">
        <v>93.764</v>
      </c>
      <c r="AR127" s="34" t="n">
        <v>360.093</v>
      </c>
      <c r="AS127" s="34" t="n">
        <v>91.994</v>
      </c>
      <c r="AT127" s="34" t="n">
        <v>94.336</v>
      </c>
      <c r="AU127" s="34" t="n">
        <v>96.163</v>
      </c>
      <c r="AV127" s="34" t="n">
        <v>96.56</v>
      </c>
      <c r="AW127" s="34" t="n">
        <v>379.053</v>
      </c>
      <c r="AX127" s="34" t="n">
        <v>96.179</v>
      </c>
      <c r="AY127" s="34" t="n">
        <v>96.475</v>
      </c>
      <c r="AZ127" s="34" t="n">
        <v>97.167</v>
      </c>
      <c r="BA127" s="34" t="n">
        <v>98.13</v>
      </c>
      <c r="BB127" s="34" t="n">
        <v>387.951</v>
      </c>
      <c r="BC127" s="34" t="n">
        <v>97.949</v>
      </c>
      <c r="BD127" s="34" t="n">
        <v>98.69</v>
      </c>
      <c r="BE127" s="34" t="n">
        <v>100.684</v>
      </c>
      <c r="BF127" s="34" t="n">
        <v>102.378</v>
      </c>
      <c r="BG127" s="34" t="n">
        <v>399.701</v>
      </c>
      <c r="BH127" s="34" t="n">
        <v>100.046</v>
      </c>
      <c r="BI127" s="34" t="n">
        <v>101.208</v>
      </c>
      <c r="BJ127" s="34" t="n">
        <v>102.828</v>
      </c>
      <c r="BK127" s="34" t="n">
        <v>105.08</v>
      </c>
      <c r="BL127" s="34" t="n">
        <v>409.162</v>
      </c>
      <c r="BM127" s="34" t="n">
        <v>106.812</v>
      </c>
      <c r="BN127" s="34" t="n">
        <v>109.226</v>
      </c>
      <c r="BO127" s="34" t="n">
        <v>111.414</v>
      </c>
      <c r="BP127" s="34" t="n">
        <v>114.932</v>
      </c>
      <c r="BQ127" s="34" t="n">
        <v>442.384</v>
      </c>
      <c r="BR127" s="34" t="n">
        <v>115.204</v>
      </c>
      <c r="BS127" s="34" t="n">
        <v>130.043</v>
      </c>
      <c r="BT127" s="34" t="n">
        <v>127.047</v>
      </c>
      <c r="BU127" s="34" t="n">
        <v>121.889</v>
      </c>
      <c r="BV127" s="34" t="n">
        <v>494.183</v>
      </c>
      <c r="BW127" s="34" t="n">
        <v>125.937</v>
      </c>
      <c r="BX127" s="34" t="n">
        <v>127.501</v>
      </c>
      <c r="BY127" s="34" t="n">
        <v>128.67</v>
      </c>
      <c r="BZ127" s="34" t="n">
        <v>130.738</v>
      </c>
      <c r="CA127" s="34" t="n">
        <v>512.846</v>
      </c>
      <c r="CB127" s="34" t="n">
        <v>127.326</v>
      </c>
      <c r="CC127" s="35" t="n">
        <f aca="false">CC110*$CB$128</f>
        <v>127.245651864496</v>
      </c>
      <c r="CD127" s="35" t="n">
        <f aca="false">CD110*$CB$128</f>
        <v>129.142853732528</v>
      </c>
      <c r="CE127" s="35" t="n">
        <f aca="false">CE110*$CB$128</f>
        <v>132.098454073259</v>
      </c>
      <c r="CF127" s="35" t="n">
        <f aca="false">SUM(CB127,CC127,CD127,CE127)</f>
        <v>515.812959670283</v>
      </c>
      <c r="CG127" s="35" t="n">
        <f aca="false">CG110*CG128</f>
        <v>566.370959895705</v>
      </c>
      <c r="CH127" s="35" t="n">
        <f aca="false">CH110*CH128</f>
        <v>607.583966424805</v>
      </c>
      <c r="CI127" s="35" t="n">
        <f aca="false">CI110*CI128</f>
        <v>651.085397857843</v>
      </c>
      <c r="CJ127" s="35" t="n">
        <f aca="false">CJ110*CJ128</f>
        <v>693.695813593995</v>
      </c>
      <c r="CK127" s="23" t="s">
        <v>369</v>
      </c>
      <c r="CS127" s="29" t="s">
        <v>286</v>
      </c>
      <c r="CT127" s="51" t="n">
        <f aca="false">CU127+$CT$124</f>
        <v>0.65</v>
      </c>
      <c r="CU127" s="38" t="n">
        <v>0.55</v>
      </c>
      <c r="CV127" s="51" t="n">
        <f aca="false">CU127+$CV$124</f>
        <v>0.35</v>
      </c>
    </row>
    <row r="128" customFormat="false" ht="15" hidden="false" customHeight="true" outlineLevel="0" collapsed="false">
      <c r="B128" s="29" t="s">
        <v>370</v>
      </c>
      <c r="C128" s="37" t="n">
        <f aca="false">IFERROR(C127/C110,"")</f>
        <v>0.0472007939809755</v>
      </c>
      <c r="D128" s="37" t="n">
        <f aca="false">IFERROR(D127/D110,"")</f>
        <v>0.0474590628287788</v>
      </c>
      <c r="E128" s="37" t="n">
        <f aca="false">IFERROR(E127/E110,"")</f>
        <v>0.0487323192564565</v>
      </c>
      <c r="F128" s="37" t="n">
        <f aca="false">IFERROR(F127/F110,"")</f>
        <v>0.0530126354914384</v>
      </c>
      <c r="G128" s="37" t="n">
        <f aca="false">IFERROR(G127/G110,"")</f>
        <v>0.0544467275329479</v>
      </c>
      <c r="H128" s="37" t="n">
        <f aca="false">IFERROR(H127/H110,"")</f>
        <v>0.0507736228159682</v>
      </c>
      <c r="I128" s="37" t="n">
        <f aca="false">IFERROR(I127/I110,"")</f>
        <v>0.0473342272062409</v>
      </c>
      <c r="J128" s="37" t="n">
        <f aca="false">IFERROR(J127/J110,"")</f>
        <v>0.0441747318859534</v>
      </c>
      <c r="K128" s="37" t="n">
        <f aca="false">IFERROR(K127/K110,"")</f>
        <v>0.0441839103873495</v>
      </c>
      <c r="L128" s="37" t="n">
        <f aca="false">IFERROR(L127/L110,"")</f>
        <v>0.044467003943574</v>
      </c>
      <c r="M128" s="37" t="n">
        <f aca="false">IFERROR(M127/M110,"")</f>
        <v>0.0427345658346663</v>
      </c>
      <c r="N128" s="37" t="n">
        <f aca="false">IFERROR(N127/N110,"")</f>
        <v>0.0438731083795072</v>
      </c>
      <c r="O128" s="37" t="n">
        <f aca="false">IFERROR(O127/O110,"")</f>
        <v>0.0431956998883378</v>
      </c>
      <c r="P128" s="37" t="n">
        <f aca="false">IFERROR(P127/P110,"")</f>
        <v>0.0424278668558684</v>
      </c>
      <c r="Q128" s="37" t="n">
        <f aca="false">IFERROR(Q127/Q110,"")</f>
        <v>0.0427910252451477</v>
      </c>
      <c r="R128" s="37" t="n">
        <f aca="false">IFERROR(R127/R110,"")</f>
        <v>0.0393760923524315</v>
      </c>
      <c r="S128" s="37" t="n">
        <f aca="false">IFERROR(S127/S110,"")</f>
        <v>0.0419309936350623</v>
      </c>
      <c r="T128" s="37" t="n">
        <f aca="false">IFERROR(T127/T110,"")</f>
        <v>0.0359811519521776</v>
      </c>
      <c r="U128" s="37" t="n">
        <f aca="false">IFERROR(U127/U110,"")</f>
        <v>0.0342707136238082</v>
      </c>
      <c r="V128" s="37" t="n">
        <f aca="false">IFERROR(V127/V110,"")</f>
        <v>0.0341679239786914</v>
      </c>
      <c r="W128" s="37" t="n">
        <f aca="false">IFERROR(W127/W110,"")</f>
        <v>0.0341699465159205</v>
      </c>
      <c r="X128" s="37" t="n">
        <f aca="false">IFERROR(X127/X110,"")</f>
        <v>0.0346405961643875</v>
      </c>
      <c r="Y128" s="37" t="n">
        <f aca="false">IFERROR(Y127/Y110,"")</f>
        <v>0.0331706828816655</v>
      </c>
      <c r="Z128" s="37" t="n">
        <f aca="false">IFERROR(Z127/Z110,"")</f>
        <v>0.033735275781737</v>
      </c>
      <c r="AA128" s="37" t="n">
        <f aca="false">IFERROR(AA127/AA110,"")</f>
        <v>0.0343537406575045</v>
      </c>
      <c r="AB128" s="37" t="n">
        <f aca="false">IFERROR(AB127/AB110,"")</f>
        <v>0.0335125314120992</v>
      </c>
      <c r="AC128" s="37" t="n">
        <f aca="false">IFERROR(AC127/AC110,"")</f>
        <v>0.0336928784223614</v>
      </c>
      <c r="AD128" s="37" t="n">
        <f aca="false">IFERROR(AD127/AD110,"")</f>
        <v>0.0333567725035352</v>
      </c>
      <c r="AE128" s="37" t="n">
        <f aca="false">IFERROR(AE127/AE110,"")</f>
        <v>0.0338354705714989</v>
      </c>
      <c r="AF128" s="37" t="n">
        <f aca="false">IFERROR(AF127/AF110,"")</f>
        <v>0.0348628364692246</v>
      </c>
      <c r="AG128" s="37" t="n">
        <f aca="false">IFERROR(AG127/AG110,"")</f>
        <v>0.0423979292773186</v>
      </c>
      <c r="AH128" s="37" t="n">
        <f aca="false">IFERROR(AH127/AH110,"")</f>
        <v>0.0369304770783831</v>
      </c>
      <c r="AI128" s="37" t="n">
        <f aca="false">IFERROR(AI127/AI110,"")</f>
        <v>0.0425124867902821</v>
      </c>
      <c r="AJ128" s="37" t="n">
        <f aca="false">IFERROR(AJ127/AJ110,"")</f>
        <v>0.0437800081048728</v>
      </c>
      <c r="AK128" s="37" t="n">
        <f aca="false">IFERROR(AK127/AK110,"")</f>
        <v>0.0415715941598527</v>
      </c>
      <c r="AL128" s="37" t="n">
        <f aca="false">IFERROR(AL127/AL110,"")</f>
        <v>0.0446311880446827</v>
      </c>
      <c r="AM128" s="37" t="n">
        <f aca="false">IFERROR(AM127/AM110,"")</f>
        <v>0.0431421763657407</v>
      </c>
      <c r="AN128" s="37" t="n">
        <f aca="false">IFERROR(AN127/AN110,"")</f>
        <v>0.0508223030374417</v>
      </c>
      <c r="AO128" s="37" t="n">
        <f aca="false">IFERROR(AO127/AO110,"")</f>
        <v>0.0514331873724006</v>
      </c>
      <c r="AP128" s="37" t="n">
        <f aca="false">IFERROR(AP127/AP110,"")</f>
        <v>0.0544827709189041</v>
      </c>
      <c r="AQ128" s="37" t="n">
        <f aca="false">IFERROR(AQ127/AQ110,"")</f>
        <v>0.0522731960774476</v>
      </c>
      <c r="AR128" s="37" t="n">
        <f aca="false">IFERROR(AR127/AR110,"")</f>
        <v>0.0522456717297542</v>
      </c>
      <c r="AS128" s="37" t="n">
        <f aca="false">IFERROR(AS127/AS110,"")</f>
        <v>0.0507934509720126</v>
      </c>
      <c r="AT128" s="37" t="n">
        <f aca="false">IFERROR(AT127/AT110,"")</f>
        <v>0.051165315886273</v>
      </c>
      <c r="AU128" s="37" t="n">
        <f aca="false">IFERROR(AU127/AU110,"")</f>
        <v>0.0531097154168011</v>
      </c>
      <c r="AV128" s="37" t="n">
        <f aca="false">IFERROR(AV127/AV110,"")</f>
        <v>0.0596202481624911</v>
      </c>
      <c r="AW128" s="37" t="n">
        <f aca="false">IFERROR(AW127/AW110,"")</f>
        <v>0.0534998701503997</v>
      </c>
      <c r="AX128" s="37" t="n">
        <f aca="false">IFERROR(AX127/AX110,"")</f>
        <v>0.0550672029543535</v>
      </c>
      <c r="AY128" s="37" t="n">
        <f aca="false">IFERROR(AY127/AY110,"")</f>
        <v>0.0549074356534369</v>
      </c>
      <c r="AZ128" s="37" t="n">
        <f aca="false">IFERROR(AZ127/AZ110,"")</f>
        <v>0.0546786370266328</v>
      </c>
      <c r="BA128" s="37" t="n">
        <f aca="false">IFERROR(BA127/BA110,"")</f>
        <v>0.0534575828543506</v>
      </c>
      <c r="BB128" s="37" t="n">
        <f aca="false">IFERROR(BB127/BB110,"")</f>
        <v>0.0545155234291785</v>
      </c>
      <c r="BC128" s="37" t="n">
        <f aca="false">IFERROR(BC127/BC110,"")</f>
        <v>0.0516349930151032</v>
      </c>
      <c r="BD128" s="37" t="n">
        <f aca="false">IFERROR(BD127/BD110,"")</f>
        <v>0.0513400486193226</v>
      </c>
      <c r="BE128" s="37" t="n">
        <f aca="false">IFERROR(BE127/BE110,"")</f>
        <v>0.0513551864739445</v>
      </c>
      <c r="BF128" s="37" t="n">
        <f aca="false">IFERROR(BF127/BF110,"")</f>
        <v>0.0493462625187619</v>
      </c>
      <c r="BG128" s="37" t="n">
        <f aca="false">IFERROR(BG127/BG110,"")</f>
        <v>0.0508884189222962</v>
      </c>
      <c r="BH128" s="37" t="n">
        <f aca="false">IFERROR(BH127/BH110,"")</f>
        <v>0.0461796096293759</v>
      </c>
      <c r="BI128" s="37" t="n">
        <f aca="false">IFERROR(BI127/BI110,"")</f>
        <v>0.0465354519697378</v>
      </c>
      <c r="BJ128" s="37" t="n">
        <f aca="false">IFERROR(BJ127/BJ110,"")</f>
        <v>0.0469537248183322</v>
      </c>
      <c r="BK128" s="37" t="n">
        <f aca="false">IFERROR(BK127/BK110,"")</f>
        <v>0.0459975197759131</v>
      </c>
      <c r="BL128" s="37" t="n">
        <f aca="false">IFERROR(BL127/BL110,"")</f>
        <v>0.046412513758017</v>
      </c>
      <c r="BM128" s="37" t="n">
        <f aca="false">IFERROR(BM127/BM110,"")</f>
        <v>0.045600747973172</v>
      </c>
      <c r="BN128" s="37" t="n">
        <f aca="false">IFERROR(BN127/BN110,"")</f>
        <v>0.0459477775529546</v>
      </c>
      <c r="BO128" s="37" t="n">
        <f aca="false">IFERROR(BO127/BO110,"")</f>
        <v>0.0463034037868433</v>
      </c>
      <c r="BP128" s="37" t="n">
        <f aca="false">IFERROR(BP127/BP110,"")</f>
        <v>0.0465135667267654</v>
      </c>
      <c r="BQ128" s="37" t="n">
        <f aca="false">IFERROR(BQ127/BQ110,"")</f>
        <v>0.0460979209856809</v>
      </c>
      <c r="BR128" s="37" t="n">
        <f aca="false">IFERROR(BR127/BR110,"")</f>
        <v>0.0460523659580898</v>
      </c>
      <c r="BS128" s="37" t="n">
        <f aca="false">IFERROR(BS127/BS110,"")</f>
        <v>0.0507626914535696</v>
      </c>
      <c r="BT128" s="37" t="n">
        <f aca="false">IFERROR(BT127/BT110,"")</f>
        <v>0.0486927013646926</v>
      </c>
      <c r="BU128" s="37" t="n">
        <f aca="false">IFERROR(BU127/BU110,"")</f>
        <v>0.0456914919937083</v>
      </c>
      <c r="BV128" s="37" t="n">
        <f aca="false">IFERROR(BV127/BV110,"")</f>
        <v>0.0477924902861952</v>
      </c>
      <c r="BW128" s="37" t="n">
        <f aca="false">IFERROR(BW127/BW110,"")</f>
        <v>0.0463323574144207</v>
      </c>
      <c r="BX128" s="37" t="n">
        <f aca="false">IFERROR(BX127/BX110,"")</f>
        <v>0.0455362015320044</v>
      </c>
      <c r="BY128" s="37" t="n">
        <f aca="false">IFERROR(BY127/BY110,"")</f>
        <v>0.0452833136954309</v>
      </c>
      <c r="BZ128" s="37" t="n">
        <f aca="false">IFERROR(BZ127/BZ110,"")</f>
        <v>0.0450013303717503</v>
      </c>
      <c r="CA128" s="37" t="n">
        <f aca="false">IFERROR(CA127/CA110,"")</f>
        <v>0.0455265761963347</v>
      </c>
      <c r="CB128" s="37" t="n">
        <f aca="false">IFERROR(CB127/CB110,"")</f>
        <v>0.0422451236421198</v>
      </c>
      <c r="CC128" s="33"/>
      <c r="CD128" s="33"/>
      <c r="CE128" s="33"/>
      <c r="CF128" s="28" t="n">
        <f aca="false">IFERROR(CF127/CF110,"")</f>
        <v>0.0422451236421198</v>
      </c>
      <c r="CG128" s="28" t="n">
        <f aca="false">$CU$46</f>
        <v>0.043</v>
      </c>
      <c r="CH128" s="28" t="n">
        <f aca="false">$CU$46</f>
        <v>0.043</v>
      </c>
      <c r="CI128" s="28" t="n">
        <f aca="false">$CU$46</f>
        <v>0.043</v>
      </c>
      <c r="CJ128" s="28" t="n">
        <f aca="false">$CU$46</f>
        <v>0.043</v>
      </c>
      <c r="CK128" s="23" t="s">
        <v>371</v>
      </c>
      <c r="CS128" s="29" t="s">
        <v>289</v>
      </c>
      <c r="CT128" s="51" t="n">
        <f aca="false">CU128+$CT$124</f>
        <v>0.95</v>
      </c>
      <c r="CU128" s="38" t="n">
        <v>0.85</v>
      </c>
      <c r="CV128" s="51" t="n">
        <f aca="false">CU128+$CV$124</f>
        <v>0.65</v>
      </c>
    </row>
    <row r="129" customFormat="false" ht="15" hidden="false" customHeight="true" outlineLevel="0" collapsed="false">
      <c r="B129" s="29" t="s">
        <v>372</v>
      </c>
      <c r="D129" s="37" t="n">
        <f aca="false">IFERROR(D158/D132,"")</f>
        <v>0.00121395235911408</v>
      </c>
      <c r="E129" s="37" t="n">
        <f aca="false">IFERROR(E158/E132,"")</f>
        <v>0.00189339495670281</v>
      </c>
      <c r="F129" s="37" t="n">
        <f aca="false">IFERROR(F158/F132,"")</f>
        <v>0.00316662185056501</v>
      </c>
      <c r="G129" s="37" t="n">
        <f aca="false">IFERROR(G158/G132,"")</f>
        <v>0.00432690532255305</v>
      </c>
      <c r="H129" s="37" t="n">
        <f aca="false">IFERROR(H158/H132,"")</f>
        <v>0.00398988658360942</v>
      </c>
      <c r="I129" s="37" t="n">
        <f aca="false">IFERROR(I158/I132,"")</f>
        <v>0.00495173086299366</v>
      </c>
      <c r="J129" s="37" t="n">
        <f aca="false">IFERROR(J158/J132,"")</f>
        <v>0.0051820321974651</v>
      </c>
      <c r="K129" s="37" t="n">
        <f aca="false">IFERROR(K158/K132,"")</f>
        <v>0.00531504565318667</v>
      </c>
      <c r="L129" s="37" t="n">
        <f aca="false">IFERROR(L158/L132,"")</f>
        <v>0.00518372666811692</v>
      </c>
      <c r="M129" s="37" t="n">
        <f aca="false">IFERROR(M158/M132,"")</f>
        <v>0.00588971964934469</v>
      </c>
      <c r="N129" s="37" t="n">
        <f aca="false">IFERROR(N158/N132,"")</f>
        <v>0.00540024478329636</v>
      </c>
      <c r="O129" s="37" t="n">
        <f aca="false">IFERROR(O158/O132,"")</f>
        <v>0.00623380518287703</v>
      </c>
      <c r="P129" s="37" t="n">
        <f aca="false">IFERROR(P158/P132,"")</f>
        <v>0.00667976390007283</v>
      </c>
      <c r="Q129" s="37" t="n">
        <f aca="false">IFERROR(Q158/Q132,"")</f>
        <v>0.00674548789324717</v>
      </c>
      <c r="R129" s="37" t="n">
        <f aca="false">IFERROR(R158/R132,"")</f>
        <v>0.00658932041099666</v>
      </c>
      <c r="S129" s="37" t="n">
        <f aca="false">IFERROR(S158/S132,"")</f>
        <v>0.00656332027772676</v>
      </c>
      <c r="T129" s="37" t="n">
        <f aca="false">IFERROR(T158/T132,"")</f>
        <v>0.0111425971143577</v>
      </c>
      <c r="U129" s="37" t="n">
        <f aca="false">IFERROR(U158/U132,"")</f>
        <v>0.0111315949470303</v>
      </c>
      <c r="V129" s="37" t="n">
        <f aca="false">IFERROR(V158/V132,"")</f>
        <v>0.010128538923765</v>
      </c>
      <c r="W129" s="37" t="n">
        <f aca="false">IFERROR(W158/W132,"")</f>
        <v>0.00961505641165675</v>
      </c>
      <c r="X129" s="37" t="n">
        <f aca="false">IFERROR(X158/X132,"")</f>
        <v>0.0104988154712896</v>
      </c>
      <c r="Y129" s="37" t="n">
        <f aca="false">IFERROR(Y158/Y132,"")</f>
        <v>0.0199492864232749</v>
      </c>
      <c r="Z129" s="37" t="n">
        <f aca="false">IFERROR(Z158/Z132,"")</f>
        <v>0.0133904255668209</v>
      </c>
      <c r="AA129" s="37" t="n">
        <f aca="false">IFERROR(AA158/AA132,"")</f>
        <v>0.0139201024930042</v>
      </c>
      <c r="AB129" s="37" t="n">
        <f aca="false">IFERROR(AB158/AB132,"")</f>
        <v>0.0174012214833196</v>
      </c>
      <c r="AC129" s="37" t="n">
        <f aca="false">IFERROR(AC158/AC132,"")</f>
        <v>0.0161642399139897</v>
      </c>
      <c r="AD129" s="37" t="n">
        <f aca="false">IFERROR(AD158/AD132,"")</f>
        <v>0.0160563467348721</v>
      </c>
      <c r="AE129" s="37" t="n">
        <f aca="false">IFERROR(AE158/AE132,"")</f>
        <v>0.0144981621885031</v>
      </c>
      <c r="AF129" s="37" t="n">
        <f aca="false">IFERROR(AF158/AF132,"")</f>
        <v>0.0187302665214829</v>
      </c>
      <c r="AG129" s="37" t="n">
        <f aca="false">IFERROR(AG158/AG132,"")</f>
        <v>0.0165263117310674</v>
      </c>
      <c r="AH129" s="37" t="n">
        <f aca="false">IFERROR(AH158/AH132,"")</f>
        <v>0.0166939018642476</v>
      </c>
      <c r="AI129" s="37" t="n">
        <f aca="false">IFERROR(AI158/AI132,"")</f>
        <v>0.0177660233955506</v>
      </c>
      <c r="AJ129" s="37" t="n">
        <f aca="false">IFERROR(AJ158/AJ132,"")</f>
        <v>0.0165421574773054</v>
      </c>
      <c r="AK129" s="37" t="n">
        <f aca="false">IFERROR(AK158/AK132,"")</f>
        <v>0.0194067475574808</v>
      </c>
      <c r="AL129" s="37" t="n">
        <f aca="false">IFERROR(AL158/AL132,"")</f>
        <v>0.0160468389685844</v>
      </c>
      <c r="AM129" s="37" t="n">
        <f aca="false">IFERROR(AM158/AM132,"")</f>
        <v>0.0174218637094095</v>
      </c>
      <c r="AN129" s="37" t="n">
        <f aca="false">IFERROR(AN158/AN132,"")</f>
        <v>0.0271923909362623</v>
      </c>
      <c r="AO129" s="37" t="n">
        <f aca="false">IFERROR(AO158/AO132,"")</f>
        <v>0.0166516515467901</v>
      </c>
      <c r="AP129" s="37" t="n">
        <f aca="false">IFERROR(AP158/AP132,"")</f>
        <v>0.0182895151367449</v>
      </c>
      <c r="AQ129" s="37" t="n">
        <f aca="false">IFERROR(AQ158/AQ132,"")</f>
        <v>0.0187636935324714</v>
      </c>
      <c r="AR129" s="37" t="n">
        <f aca="false">IFERROR(AR158/AR132,"")</f>
        <v>0.0201978932150836</v>
      </c>
      <c r="AS129" s="37" t="n">
        <f aca="false">IFERROR(AS158/AS132,"")</f>
        <v>0.0223036442813059</v>
      </c>
      <c r="AT129" s="37" t="n">
        <f aca="false">IFERROR(AT158/AT132,"")</f>
        <v>0.0157304492097352</v>
      </c>
      <c r="AU129" s="37" t="n">
        <f aca="false">IFERROR(AU158/AU132,"")</f>
        <v>0.014928357140648</v>
      </c>
      <c r="AV129" s="37" t="n">
        <f aca="false">IFERROR(AV158/AV132,"")</f>
        <v>0.0117357296688532</v>
      </c>
      <c r="AW129" s="37" t="n">
        <f aca="false">IFERROR(AW158/AW132,"")</f>
        <v>0.0162925963145296</v>
      </c>
      <c r="AX129" s="37" t="n">
        <f aca="false">IFERROR(AX158/AX132,"")</f>
        <v>0.016635415026552</v>
      </c>
      <c r="AY129" s="37" t="n">
        <f aca="false">IFERROR(AY158/AY132,"")</f>
        <v>0.0162471372438317</v>
      </c>
      <c r="AZ129" s="37" t="n">
        <f aca="false">IFERROR(AZ158/AZ132,"")</f>
        <v>0.0145290863090415</v>
      </c>
      <c r="BA129" s="37" t="n">
        <f aca="false">IFERROR(BA158/BA132,"")</f>
        <v>0.0155878454681992</v>
      </c>
      <c r="BB129" s="37" t="n">
        <f aca="false">IFERROR(BB158/BB132,"")</f>
        <v>0.0157433455961913</v>
      </c>
      <c r="BC129" s="37" t="n">
        <f aca="false">IFERROR(BC158/BC132,"")</f>
        <v>0.0192393052004534</v>
      </c>
      <c r="BD129" s="37" t="n">
        <f aca="false">IFERROR(BD158/BD132,"")</f>
        <v>0.0126916928378317</v>
      </c>
      <c r="BE129" s="37" t="n">
        <f aca="false">IFERROR(BE158/BE132,"")</f>
        <v>0.0116263767876434</v>
      </c>
      <c r="BF129" s="37" t="n">
        <f aca="false">IFERROR(BF158/BF132,"")</f>
        <v>0.0123493386469085</v>
      </c>
      <c r="BG129" s="37" t="n">
        <f aca="false">IFERROR(BG158/BG132,"")</f>
        <v>0.0139166809579119</v>
      </c>
      <c r="BH129" s="37" t="n">
        <f aca="false">IFERROR(BH158/BH132,"")</f>
        <v>0.0121313445842838</v>
      </c>
      <c r="BI129" s="37" t="n">
        <f aca="false">IFERROR(BI158/BI132,"")</f>
        <v>0.0116122523861328</v>
      </c>
      <c r="BJ129" s="37" t="n">
        <f aca="false">IFERROR(BJ158/BJ132,"")</f>
        <v>0.0108662795104626</v>
      </c>
      <c r="BK129" s="37" t="n">
        <f aca="false">IFERROR(BK158/BK132,"")</f>
        <v>0.012382297696053</v>
      </c>
      <c r="BL129" s="37" t="n">
        <f aca="false">IFERROR(BL158/BL132,"")</f>
        <v>0.0117540511780651</v>
      </c>
      <c r="BM129" s="37" t="n">
        <f aca="false">IFERROR(BM158/BM132,"")</f>
        <v>0.0129110757237452</v>
      </c>
      <c r="BN129" s="37" t="n">
        <f aca="false">IFERROR(BN158/BN132,"")</f>
        <v>0.00965010178038909</v>
      </c>
      <c r="BO129" s="37" t="n">
        <f aca="false">IFERROR(BO158/BO132,"")</f>
        <v>0.013011533252181</v>
      </c>
      <c r="BP129" s="37" t="n">
        <f aca="false">IFERROR(BP158/BP132,"")</f>
        <v>0.0131512969786741</v>
      </c>
      <c r="BQ129" s="37" t="n">
        <f aca="false">IFERROR(BQ158/BQ132,"")</f>
        <v>0.0121903400313548</v>
      </c>
      <c r="BR129" s="37" t="n">
        <f aca="false">IFERROR(BR158/BR132,"")</f>
        <v>0.0133383328263218</v>
      </c>
      <c r="BS129" s="37" t="n">
        <f aca="false">IFERROR(BS158/BS132,"")</f>
        <v>0.0126540772579098</v>
      </c>
      <c r="BT129" s="37" t="n">
        <f aca="false">IFERROR(BT158/BT132,"")</f>
        <v>0.0121886017678493</v>
      </c>
      <c r="BU129" s="37" t="n">
        <f aca="false">IFERROR(BU158/BU132,"")</f>
        <v>0.0115243667464872</v>
      </c>
      <c r="BV129" s="37" t="n">
        <f aca="false">IFERROR(BV158/BV132,"")</f>
        <v>0.01241071118581</v>
      </c>
      <c r="BW129" s="37" t="n">
        <f aca="false">IFERROR(BW158/BW132,"")</f>
        <v>0.0111650617595531</v>
      </c>
      <c r="BX129" s="37" t="n">
        <f aca="false">IFERROR(BX158/BX132,"")</f>
        <v>0.0115546758705025</v>
      </c>
      <c r="BY129" s="37" t="n">
        <f aca="false">IFERROR(BY158/BY132,"")</f>
        <v>0.0120533784934702</v>
      </c>
      <c r="BZ129" s="37" t="n">
        <f aca="false">IFERROR(BZ158/BZ132,"")</f>
        <v>0.0107138812675052</v>
      </c>
      <c r="CA129" s="37" t="n">
        <f aca="false">IFERROR(CA158/CA132,"")</f>
        <v>0.0113696153873127</v>
      </c>
      <c r="CB129" s="37" t="n">
        <f aca="false">IFERROR(CB158/CB132,"")</f>
        <v>0.0103009939346001</v>
      </c>
      <c r="CC129" s="28" t="n">
        <f aca="false">$CB$129</f>
        <v>0.0103009939346001</v>
      </c>
      <c r="CD129" s="28" t="n">
        <f aca="false">$CB$129</f>
        <v>0.0103009939346001</v>
      </c>
      <c r="CE129" s="28" t="n">
        <f aca="false">$CB$129</f>
        <v>0.0103009939346001</v>
      </c>
      <c r="CF129" s="28" t="n">
        <f aca="false">$CB$129</f>
        <v>0.0103009939346001</v>
      </c>
      <c r="CG129" s="28" t="n">
        <f aca="false">CF129</f>
        <v>0.0103009939346001</v>
      </c>
      <c r="CH129" s="28" t="n">
        <f aca="false">CG129</f>
        <v>0.0103009939346001</v>
      </c>
      <c r="CI129" s="28" t="n">
        <f aca="false">CH129</f>
        <v>0.0103009939346001</v>
      </c>
      <c r="CJ129" s="28" t="n">
        <f aca="false">CI129</f>
        <v>0.0103009939346001</v>
      </c>
      <c r="CK129" s="23"/>
      <c r="CS129" s="29" t="s">
        <v>291</v>
      </c>
      <c r="CT129" s="51" t="n">
        <f aca="false">CU129+$CT$124</f>
        <v>1.1</v>
      </c>
      <c r="CU129" s="38" t="n">
        <v>1</v>
      </c>
      <c r="CV129" s="51" t="n">
        <f aca="false">CU129+$CV$124</f>
        <v>0.8</v>
      </c>
    </row>
    <row r="130" customFormat="false" ht="15" hidden="false" customHeight="true" outlineLevel="0" collapsed="false"/>
    <row r="131" customFormat="false" ht="15" hidden="false" customHeight="true" outlineLevel="0" collapsed="false">
      <c r="B131" s="12" t="s">
        <v>373</v>
      </c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2" t="s">
        <v>374</v>
      </c>
      <c r="CS131" s="19" t="s">
        <v>375</v>
      </c>
      <c r="CT131" s="61" t="n">
        <v>200</v>
      </c>
      <c r="CU131" s="50" t="s">
        <v>280</v>
      </c>
      <c r="CV131" s="61" t="n">
        <v>-200</v>
      </c>
      <c r="CW131" s="16" t="s">
        <v>376</v>
      </c>
    </row>
    <row r="132" customFormat="false" ht="15" hidden="false" customHeight="true" outlineLevel="0" collapsed="false">
      <c r="B132" s="55" t="s">
        <v>377</v>
      </c>
      <c r="C132" s="62" t="n">
        <v>3403.608</v>
      </c>
      <c r="D132" s="62" t="n">
        <v>3706.9</v>
      </c>
      <c r="E132" s="62" t="n">
        <v>3937.9</v>
      </c>
      <c r="F132" s="62" t="n">
        <v>3774.685</v>
      </c>
      <c r="G132" s="62" t="n">
        <v>3547.339</v>
      </c>
      <c r="H132" s="62" t="n">
        <v>3810.384</v>
      </c>
      <c r="I132" s="62" t="n">
        <v>4102</v>
      </c>
      <c r="J132" s="62" t="n">
        <v>1051.325</v>
      </c>
      <c r="K132" s="62" t="n">
        <v>1060.386</v>
      </c>
      <c r="L132" s="62" t="n">
        <v>1075.674</v>
      </c>
      <c r="M132" s="62" t="n">
        <v>1129.086</v>
      </c>
      <c r="N132" s="62" t="n">
        <v>4316.471</v>
      </c>
      <c r="O132" s="62" t="n">
        <v>1120.343</v>
      </c>
      <c r="P132" s="62" t="n">
        <v>1143.753</v>
      </c>
      <c r="Q132" s="62" t="n">
        <v>1130.237</v>
      </c>
      <c r="R132" s="62" t="n">
        <v>1157.479</v>
      </c>
      <c r="S132" s="62" t="n">
        <v>4551.812</v>
      </c>
      <c r="T132" s="62" t="n">
        <v>1102.077</v>
      </c>
      <c r="U132" s="62" t="n">
        <v>1123.379</v>
      </c>
      <c r="V132" s="62" t="n">
        <v>1108.847</v>
      </c>
      <c r="W132" s="62" t="n">
        <v>1142.583</v>
      </c>
      <c r="X132" s="62" t="n">
        <v>4476.886</v>
      </c>
      <c r="Y132" s="62" t="n">
        <v>1198.89</v>
      </c>
      <c r="Z132" s="62" t="n">
        <v>1219.08</v>
      </c>
      <c r="AA132" s="62" t="n">
        <v>1216.083</v>
      </c>
      <c r="AB132" s="62" t="n">
        <v>1271.405</v>
      </c>
      <c r="AC132" s="62" t="n">
        <v>4905.458</v>
      </c>
      <c r="AD132" s="62" t="n">
        <v>1294.13</v>
      </c>
      <c r="AE132" s="62" t="n">
        <v>1296.923</v>
      </c>
      <c r="AF132" s="62" t="n">
        <v>1281.135</v>
      </c>
      <c r="AG132" s="62" t="n">
        <v>1530.287</v>
      </c>
      <c r="AH132" s="62" t="n">
        <v>5323.381</v>
      </c>
      <c r="AI132" s="62" t="n">
        <v>1611.503</v>
      </c>
      <c r="AJ132" s="62" t="n">
        <v>1606.441</v>
      </c>
      <c r="AK132" s="62" t="n">
        <v>1589.138</v>
      </c>
      <c r="AL132" s="62" t="n">
        <v>1669.55</v>
      </c>
      <c r="AM132" s="62" t="n">
        <v>6476.632</v>
      </c>
      <c r="AN132" s="62" t="n">
        <v>1697.975</v>
      </c>
      <c r="AO132" s="62" t="n">
        <v>1718.268</v>
      </c>
      <c r="AP132" s="62" t="n">
        <v>1682.33</v>
      </c>
      <c r="AQ132" s="62" t="n">
        <v>1793.73</v>
      </c>
      <c r="AR132" s="62" t="n">
        <v>6892.303</v>
      </c>
      <c r="AS132" s="62" t="n">
        <v>1811.139</v>
      </c>
      <c r="AT132" s="62" t="n">
        <v>1843.749</v>
      </c>
      <c r="AU132" s="62" t="n">
        <v>1810.648</v>
      </c>
      <c r="AV132" s="62" t="n">
        <v>1619.584</v>
      </c>
      <c r="AW132" s="62" t="n">
        <v>7085.12</v>
      </c>
      <c r="AX132" s="62" t="n">
        <v>1746.575</v>
      </c>
      <c r="AY132" s="62" t="n">
        <v>1757.048</v>
      </c>
      <c r="AZ132" s="62" t="n">
        <v>1777.056</v>
      </c>
      <c r="BA132" s="62" t="n">
        <v>1835.661</v>
      </c>
      <c r="BB132" s="62" t="n">
        <v>7116.34</v>
      </c>
      <c r="BC132" s="62" t="n">
        <v>1896.95</v>
      </c>
      <c r="BD132" s="62" t="n">
        <v>1922.281</v>
      </c>
      <c r="BE132" s="62" t="n">
        <v>1960.542</v>
      </c>
      <c r="BF132" s="62" t="n">
        <v>2074.686</v>
      </c>
      <c r="BG132" s="62" t="n">
        <v>7854.459</v>
      </c>
      <c r="BH132" s="62" t="n">
        <v>2166.454</v>
      </c>
      <c r="BI132" s="62" t="n">
        <v>2174.858</v>
      </c>
      <c r="BJ132" s="62" t="n">
        <v>2189.986</v>
      </c>
      <c r="BK132" s="62" t="n">
        <v>2284.471</v>
      </c>
      <c r="BL132" s="62" t="n">
        <v>8815.769</v>
      </c>
      <c r="BM132" s="62" t="n">
        <v>2342.33</v>
      </c>
      <c r="BN132" s="62" t="n">
        <v>2377.177</v>
      </c>
      <c r="BO132" s="62" t="n">
        <v>2406.173</v>
      </c>
      <c r="BP132" s="62" t="n">
        <v>2470.935</v>
      </c>
      <c r="BQ132" s="62" t="n">
        <v>9596.615</v>
      </c>
      <c r="BR132" s="62" t="n">
        <v>2501.587</v>
      </c>
      <c r="BS132" s="62" t="n">
        <v>2561.783</v>
      </c>
      <c r="BT132" s="62" t="n">
        <v>2609.159</v>
      </c>
      <c r="BU132" s="62" t="n">
        <v>2667.652</v>
      </c>
      <c r="BV132" s="62" t="n">
        <v>10340.181</v>
      </c>
      <c r="BW132" s="62" t="n">
        <v>2718.122</v>
      </c>
      <c r="BX132" s="62" t="n">
        <v>2799.992</v>
      </c>
      <c r="BY132" s="62" t="n">
        <v>2841.444</v>
      </c>
      <c r="BZ132" s="62" t="n">
        <v>2905.203</v>
      </c>
      <c r="CA132" s="62" t="n">
        <v>11264.761</v>
      </c>
      <c r="CB132" s="62" t="n">
        <v>3013.981</v>
      </c>
      <c r="CC132" s="56" t="n">
        <f aca="false">CC100</f>
        <v>3012.0790494652</v>
      </c>
      <c r="CD132" s="56" t="n">
        <f aca="false">CD100</f>
        <v>3479.03534939545</v>
      </c>
      <c r="CE132" s="56" t="n">
        <f aca="false">CE100</f>
        <v>3774.09015818044</v>
      </c>
      <c r="CF132" s="56" t="n">
        <f aca="false">CF100</f>
        <v>13279.1855570411</v>
      </c>
      <c r="CG132" s="56" t="n">
        <f aca="false">CG100</f>
        <v>15890.8933967931</v>
      </c>
      <c r="CH132" s="56" t="n">
        <f aca="false">CH100</f>
        <v>17114.1420594658</v>
      </c>
      <c r="CI132" s="56" t="n">
        <f aca="false">CI100</f>
        <v>18430.8581387138</v>
      </c>
      <c r="CJ132" s="56" t="n">
        <f aca="false">CJ100</f>
        <v>19766.8375623451</v>
      </c>
      <c r="CK132" s="23" t="s">
        <v>378</v>
      </c>
      <c r="CM132" s="24" t="n">
        <f aca="false">IFERROR((CJ132/CA132)^(1/5)-1,"n/m")</f>
        <v>0.119033382236509</v>
      </c>
      <c r="CN132" s="24" t="n">
        <f aca="false">IFERROR((CA132/BB132)^(1/5)-1,"n/m")</f>
        <v>0.0962082305284735</v>
      </c>
      <c r="CO132" s="24" t="n">
        <f aca="false">IFERROR((CA132/AC132)^(1/10)-1,"n/m")</f>
        <v>0.0866864254489292</v>
      </c>
      <c r="CP132" s="24" t="n">
        <f aca="false">IFERROR((CA132/C132)^(1/20)-1,"n/m")</f>
        <v>0.0616689654396991</v>
      </c>
      <c r="CS132" s="29" t="s">
        <v>284</v>
      </c>
      <c r="CT132" s="63" t="n">
        <f aca="false">CU132+$CT$131</f>
        <v>500</v>
      </c>
      <c r="CU132" s="36" t="n">
        <v>300</v>
      </c>
      <c r="CV132" s="63" t="n">
        <f aca="false">CU132+$CV$131</f>
        <v>100</v>
      </c>
    </row>
    <row r="133" customFormat="false" ht="15" hidden="false" customHeight="true" outlineLevel="0" collapsed="false">
      <c r="B133" s="29" t="s">
        <v>379</v>
      </c>
      <c r="C133" s="34" t="n">
        <v>2568.776</v>
      </c>
      <c r="D133" s="34" t="n">
        <v>2734.629</v>
      </c>
      <c r="E133" s="34" t="n">
        <v>2834.568</v>
      </c>
      <c r="F133" s="34" t="n">
        <v>2755.015</v>
      </c>
      <c r="G133" s="34" t="n">
        <v>2569.357</v>
      </c>
      <c r="H133" s="34" t="n">
        <v>2692.248</v>
      </c>
      <c r="I133" s="34" t="n">
        <v>2912.261</v>
      </c>
      <c r="J133" s="34" t="n">
        <v>754.843</v>
      </c>
      <c r="K133" s="34" t="n">
        <v>755.839</v>
      </c>
      <c r="L133" s="34" t="n">
        <v>748.887</v>
      </c>
      <c r="M133" s="34" t="n">
        <v>785.018</v>
      </c>
      <c r="N133" s="34" t="n">
        <v>3044.587</v>
      </c>
      <c r="O133" s="34" t="n">
        <v>792.866</v>
      </c>
      <c r="P133" s="34" t="n">
        <v>804.316</v>
      </c>
      <c r="Q133" s="34" t="n">
        <v>801.702</v>
      </c>
      <c r="R133" s="34" t="n">
        <v>825.046</v>
      </c>
      <c r="S133" s="34" t="n">
        <v>3223.93</v>
      </c>
      <c r="T133" s="34" t="n">
        <v>856.872</v>
      </c>
      <c r="U133" s="34" t="n">
        <v>865.428</v>
      </c>
      <c r="V133" s="34" t="n">
        <v>859.52</v>
      </c>
      <c r="W133" s="34" t="n">
        <v>873.136</v>
      </c>
      <c r="X133" s="34" t="n">
        <v>3454.956</v>
      </c>
      <c r="Y133" s="34" t="n">
        <v>938.408</v>
      </c>
      <c r="Z133" s="34" t="n">
        <v>937.704</v>
      </c>
      <c r="AA133" s="34" t="n">
        <v>936.565</v>
      </c>
      <c r="AB133" s="34" t="n">
        <v>965.124</v>
      </c>
      <c r="AC133" s="34" t="n">
        <v>3777.801</v>
      </c>
      <c r="AD133" s="34" t="n">
        <v>999.596</v>
      </c>
      <c r="AE133" s="34" t="n">
        <v>1005.565</v>
      </c>
      <c r="AF133" s="34" t="n">
        <v>993.398</v>
      </c>
      <c r="AG133" s="34" t="n">
        <v>1220.015</v>
      </c>
      <c r="AH133" s="34" t="n">
        <v>4202.49</v>
      </c>
      <c r="AI133" s="34" t="n">
        <v>1311.784</v>
      </c>
      <c r="AJ133" s="34" t="n">
        <v>1308.038</v>
      </c>
      <c r="AK133" s="34" t="n">
        <v>1284.516</v>
      </c>
      <c r="AL133" s="34" t="n">
        <v>1342.786</v>
      </c>
      <c r="AM133" s="34" t="n">
        <v>5247.124</v>
      </c>
      <c r="AN133" s="34" t="n">
        <v>1374.938</v>
      </c>
      <c r="AO133" s="34" t="n">
        <v>1390.778</v>
      </c>
      <c r="AP133" s="34" t="n">
        <v>1358.322</v>
      </c>
      <c r="AQ133" s="34" t="n">
        <v>1428.392</v>
      </c>
      <c r="AR133" s="34" t="n">
        <v>5552.43</v>
      </c>
      <c r="AS133" s="34" t="n">
        <v>1454.527</v>
      </c>
      <c r="AT133" s="34" t="n">
        <v>1469.976</v>
      </c>
      <c r="AU133" s="34" t="n">
        <v>1448.021</v>
      </c>
      <c r="AV133" s="34" t="n">
        <v>1270.97</v>
      </c>
      <c r="AW133" s="34" t="n">
        <v>5643.494</v>
      </c>
      <c r="AX133" s="34" t="n">
        <v>1394.411</v>
      </c>
      <c r="AY133" s="34" t="n">
        <v>1410.488</v>
      </c>
      <c r="AZ133" s="34" t="n">
        <v>1417.865</v>
      </c>
      <c r="BA133" s="34" t="n">
        <v>1466.868</v>
      </c>
      <c r="BB133" s="34" t="n">
        <v>5689.632</v>
      </c>
      <c r="BC133" s="34" t="n">
        <v>1508.176</v>
      </c>
      <c r="BD133" s="34" t="n">
        <v>1535.271</v>
      </c>
      <c r="BE133" s="34" t="n">
        <v>1553.32</v>
      </c>
      <c r="BF133" s="34" t="n">
        <v>1630.213</v>
      </c>
      <c r="BG133" s="34" t="n">
        <v>6226.98</v>
      </c>
      <c r="BH133" s="34" t="n">
        <v>1697.772</v>
      </c>
      <c r="BI133" s="34" t="n">
        <v>1709.987</v>
      </c>
      <c r="BJ133" s="34" t="n">
        <v>1716.165</v>
      </c>
      <c r="BK133" s="34" t="n">
        <v>1773.206</v>
      </c>
      <c r="BL133" s="34" t="n">
        <v>6897.13</v>
      </c>
      <c r="BM133" s="34" t="n">
        <v>1826.825</v>
      </c>
      <c r="BN133" s="34" t="n">
        <v>1850.542</v>
      </c>
      <c r="BO133" s="34" t="n">
        <v>1876.642</v>
      </c>
      <c r="BP133" s="34" t="n">
        <v>1911.19</v>
      </c>
      <c r="BQ133" s="34" t="n">
        <v>7465.199</v>
      </c>
      <c r="BR133" s="34" t="n">
        <v>1933.839</v>
      </c>
      <c r="BS133" s="34" t="n">
        <v>1990.41</v>
      </c>
      <c r="BT133" s="34" t="n">
        <v>2021.144</v>
      </c>
      <c r="BU133" s="34" t="n">
        <v>2030.68</v>
      </c>
      <c r="BV133" s="34" t="n">
        <v>7976.073</v>
      </c>
      <c r="BW133" s="34" t="n">
        <v>2091.066</v>
      </c>
      <c r="BX133" s="34" t="n">
        <v>2155.4</v>
      </c>
      <c r="BY133" s="34" t="n">
        <v>2177.453</v>
      </c>
      <c r="BZ133" s="34" t="n">
        <v>2197.705</v>
      </c>
      <c r="CA133" s="34" t="n">
        <v>8621.624</v>
      </c>
      <c r="CB133" s="34" t="n">
        <v>2294.736</v>
      </c>
      <c r="CC133" s="35" t="n">
        <f aca="false">CC11+CC67*$CU$33</f>
        <v>2294.08211419214</v>
      </c>
      <c r="CD133" s="35" t="n">
        <f aca="false">CD11+CD67*$CU$33</f>
        <v>2718.49862573601</v>
      </c>
      <c r="CE133" s="35" t="n">
        <f aca="false">CE11+CE67*$CU$33</f>
        <v>2953.89078538429</v>
      </c>
      <c r="CF133" s="35" t="n">
        <f aca="false">CF11+CF67*$CU$33</f>
        <v>10261.2075253124</v>
      </c>
      <c r="CG133" s="35" t="n">
        <f aca="false">CG11+CG67*$CU$33</f>
        <v>12404.916871912</v>
      </c>
      <c r="CH133" s="35" t="n">
        <f aca="false">CH11+CH67*$CU$33</f>
        <v>13135.8689104295</v>
      </c>
      <c r="CI133" s="35" t="n">
        <f aca="false">CI11+CI67*$CU$33</f>
        <v>13911.6949669151</v>
      </c>
      <c r="CJ133" s="35" t="n">
        <f aca="false">CJ11+CJ67*$CU$33</f>
        <v>14679.116987858</v>
      </c>
      <c r="CK133" s="23" t="s">
        <v>380</v>
      </c>
      <c r="CS133" s="29" t="s">
        <v>286</v>
      </c>
      <c r="CT133" s="63" t="n">
        <f aca="false">CU133+$CT$131</f>
        <v>550</v>
      </c>
      <c r="CU133" s="36" t="n">
        <v>350</v>
      </c>
      <c r="CV133" s="63" t="n">
        <f aca="false">CU133+$CV$131</f>
        <v>150</v>
      </c>
    </row>
    <row r="134" customFormat="false" ht="15" hidden="false" customHeight="true" outlineLevel="0" collapsed="false">
      <c r="B134" s="29" t="s">
        <v>381</v>
      </c>
      <c r="C134" s="34" t="n">
        <v>834.832</v>
      </c>
      <c r="D134" s="34" t="n">
        <v>972.271</v>
      </c>
      <c r="E134" s="34" t="n">
        <v>1103.332</v>
      </c>
      <c r="F134" s="34" t="n">
        <v>1019.67</v>
      </c>
      <c r="G134" s="34" t="n">
        <v>977.982</v>
      </c>
      <c r="H134" s="34" t="n">
        <v>1118.136</v>
      </c>
      <c r="I134" s="34" t="n">
        <v>1189.739</v>
      </c>
      <c r="J134" s="34" t="n">
        <v>296.482</v>
      </c>
      <c r="K134" s="34" t="n">
        <v>304.547</v>
      </c>
      <c r="L134" s="34" t="n">
        <v>326.787</v>
      </c>
      <c r="M134" s="34" t="n">
        <v>344.068</v>
      </c>
      <c r="N134" s="34" t="n">
        <v>1271.884</v>
      </c>
      <c r="O134" s="34" t="n">
        <v>327.477</v>
      </c>
      <c r="P134" s="34" t="n">
        <v>339.437</v>
      </c>
      <c r="Q134" s="34" t="n">
        <v>328.535</v>
      </c>
      <c r="R134" s="34" t="n">
        <v>332.433</v>
      </c>
      <c r="S134" s="34" t="n">
        <v>1327.882</v>
      </c>
      <c r="T134" s="34" t="n">
        <v>245.205</v>
      </c>
      <c r="U134" s="34" t="n">
        <v>257.951</v>
      </c>
      <c r="V134" s="34" t="n">
        <v>249.327</v>
      </c>
      <c r="W134" s="34" t="n">
        <v>269.447</v>
      </c>
      <c r="X134" s="34" t="n">
        <v>1021.93</v>
      </c>
      <c r="Y134" s="34" t="n">
        <v>260.482</v>
      </c>
      <c r="Z134" s="34" t="n">
        <v>281.376</v>
      </c>
      <c r="AA134" s="34" t="n">
        <v>279.518</v>
      </c>
      <c r="AB134" s="34" t="n">
        <v>306.281</v>
      </c>
      <c r="AC134" s="34" t="n">
        <v>1127.657</v>
      </c>
      <c r="AD134" s="34" t="n">
        <v>294.534</v>
      </c>
      <c r="AE134" s="34" t="n">
        <v>291.358</v>
      </c>
      <c r="AF134" s="34" t="n">
        <v>287.737</v>
      </c>
      <c r="AG134" s="34" t="n">
        <v>310.272</v>
      </c>
      <c r="AH134" s="34" t="n">
        <v>1120.891</v>
      </c>
      <c r="AI134" s="34" t="n">
        <v>299.719</v>
      </c>
      <c r="AJ134" s="34" t="n">
        <v>298.403</v>
      </c>
      <c r="AK134" s="34" t="n">
        <v>304.622</v>
      </c>
      <c r="AL134" s="34" t="n">
        <v>326.764</v>
      </c>
      <c r="AM134" s="34" t="n">
        <v>1229.508</v>
      </c>
      <c r="AN134" s="34" t="n">
        <v>323.037</v>
      </c>
      <c r="AO134" s="34" t="n">
        <v>327.49</v>
      </c>
      <c r="AP134" s="34" t="n">
        <v>324.008</v>
      </c>
      <c r="AQ134" s="34" t="n">
        <v>365.338</v>
      </c>
      <c r="AR134" s="34" t="n">
        <v>1339.873</v>
      </c>
      <c r="AS134" s="34" t="n">
        <v>356.612</v>
      </c>
      <c r="AT134" s="34" t="n">
        <v>373.773</v>
      </c>
      <c r="AU134" s="34" t="n">
        <v>362.627</v>
      </c>
      <c r="AV134" s="34" t="n">
        <v>348.614</v>
      </c>
      <c r="AW134" s="34" t="n">
        <v>1441.626</v>
      </c>
      <c r="AX134" s="34" t="n">
        <v>352.164</v>
      </c>
      <c r="AY134" s="34" t="n">
        <v>346.56</v>
      </c>
      <c r="AZ134" s="34" t="n">
        <v>359.191</v>
      </c>
      <c r="BA134" s="34" t="n">
        <v>368.793</v>
      </c>
      <c r="BB134" s="34" t="n">
        <v>1426.708</v>
      </c>
      <c r="BC134" s="34" t="n">
        <v>388.774</v>
      </c>
      <c r="BD134" s="34" t="n">
        <v>387.01</v>
      </c>
      <c r="BE134" s="34" t="n">
        <v>407.222</v>
      </c>
      <c r="BF134" s="34" t="n">
        <v>444.473</v>
      </c>
      <c r="BG134" s="34" t="n">
        <v>1627.479</v>
      </c>
      <c r="BH134" s="34" t="n">
        <v>468.682</v>
      </c>
      <c r="BI134" s="34" t="n">
        <v>464.871</v>
      </c>
      <c r="BJ134" s="34" t="n">
        <v>473.821</v>
      </c>
      <c r="BK134" s="34" t="n">
        <v>511.265</v>
      </c>
      <c r="BL134" s="34" t="n">
        <v>1918.639</v>
      </c>
      <c r="BM134" s="34" t="n">
        <v>515.505</v>
      </c>
      <c r="BN134" s="34" t="n">
        <v>526.635</v>
      </c>
      <c r="BO134" s="34" t="n">
        <v>529.531</v>
      </c>
      <c r="BP134" s="34" t="n">
        <v>559.745</v>
      </c>
      <c r="BQ134" s="34" t="n">
        <v>2131.416</v>
      </c>
      <c r="BR134" s="34" t="n">
        <v>567.748</v>
      </c>
      <c r="BS134" s="34" t="n">
        <v>571.373</v>
      </c>
      <c r="BT134" s="34" t="n">
        <v>588.015</v>
      </c>
      <c r="BU134" s="34" t="n">
        <v>636.972</v>
      </c>
      <c r="BV134" s="34" t="n">
        <v>2364.108</v>
      </c>
      <c r="BW134" s="34" t="n">
        <v>627.056</v>
      </c>
      <c r="BX134" s="34" t="n">
        <v>644.592</v>
      </c>
      <c r="BY134" s="34" t="n">
        <v>663.991</v>
      </c>
      <c r="BZ134" s="34" t="n">
        <v>707.498</v>
      </c>
      <c r="CA134" s="34" t="n">
        <v>2643.137</v>
      </c>
      <c r="CB134" s="34" t="n">
        <v>719.245</v>
      </c>
      <c r="CC134" s="35" t="n">
        <f aca="false">CC132-CC133</f>
        <v>717.996935273066</v>
      </c>
      <c r="CD134" s="35" t="n">
        <f aca="false">CD132-CD133</f>
        <v>760.536723659441</v>
      </c>
      <c r="CE134" s="35" t="n">
        <f aca="false">CE132-CE133</f>
        <v>820.199372796149</v>
      </c>
      <c r="CF134" s="35" t="n">
        <f aca="false">CF132-CF133</f>
        <v>3017.97803172866</v>
      </c>
      <c r="CG134" s="35" t="n">
        <f aca="false">CG132-CG133</f>
        <v>3485.9765248811</v>
      </c>
      <c r="CH134" s="35" t="n">
        <f aca="false">CH132-CH133</f>
        <v>3978.27314903626</v>
      </c>
      <c r="CI134" s="35" t="n">
        <f aca="false">CI132-CI133</f>
        <v>4519.16317179869</v>
      </c>
      <c r="CJ134" s="35" t="n">
        <f aca="false">CJ132-CJ133</f>
        <v>5087.72057448709</v>
      </c>
      <c r="CK134" s="23"/>
      <c r="CS134" s="29" t="s">
        <v>289</v>
      </c>
      <c r="CT134" s="63" t="n">
        <f aca="false">CU134+$CT$131</f>
        <v>600</v>
      </c>
      <c r="CU134" s="36" t="n">
        <v>400</v>
      </c>
      <c r="CV134" s="63" t="n">
        <f aca="false">CU134+$CV$131</f>
        <v>200</v>
      </c>
    </row>
    <row r="135" customFormat="false" ht="15" hidden="false" customHeight="true" outlineLevel="0" collapsed="false">
      <c r="B135" s="29" t="s">
        <v>382</v>
      </c>
      <c r="C135" s="34" t="n">
        <v>1948.816</v>
      </c>
      <c r="D135" s="34" t="n">
        <v>2125.545</v>
      </c>
      <c r="E135" s="34" t="n">
        <v>2256.3</v>
      </c>
      <c r="F135" s="34" t="n">
        <v>2223.814</v>
      </c>
      <c r="G135" s="34" t="n">
        <v>2049.522</v>
      </c>
      <c r="H135" s="34" t="n">
        <v>2201.097</v>
      </c>
      <c r="I135" s="34" t="n">
        <v>2363.392</v>
      </c>
      <c r="J135" s="34" t="n">
        <v>605.45</v>
      </c>
      <c r="K135" s="34" t="n">
        <v>628.35</v>
      </c>
      <c r="L135" s="34" t="n">
        <v>633.733</v>
      </c>
      <c r="M135" s="34" t="n">
        <v>661.871</v>
      </c>
      <c r="N135" s="34" t="n">
        <v>2529.404</v>
      </c>
      <c r="O135" s="34" t="n">
        <v>654.363</v>
      </c>
      <c r="P135" s="34" t="n">
        <v>666.834</v>
      </c>
      <c r="Q135" s="34" t="n">
        <v>651.112</v>
      </c>
      <c r="R135" s="34" t="n">
        <v>665.117</v>
      </c>
      <c r="S135" s="34" t="n">
        <v>2637.426</v>
      </c>
      <c r="T135" s="34" t="n">
        <v>624.131</v>
      </c>
      <c r="U135" s="34" t="n">
        <v>641.955</v>
      </c>
      <c r="V135" s="34" t="n">
        <v>633.54</v>
      </c>
      <c r="W135" s="34" t="n">
        <v>655.923</v>
      </c>
      <c r="X135" s="34" t="n">
        <v>2555.549</v>
      </c>
      <c r="Y135" s="34" t="n">
        <v>674.746</v>
      </c>
      <c r="Z135" s="34" t="n">
        <v>691.68</v>
      </c>
      <c r="AA135" s="34" t="n">
        <v>691.475</v>
      </c>
      <c r="AB135" s="34" t="n">
        <v>717.687</v>
      </c>
      <c r="AC135" s="34" t="n">
        <v>2775.588</v>
      </c>
      <c r="AD135" s="34" t="n">
        <v>710.356</v>
      </c>
      <c r="AE135" s="34" t="n">
        <v>725.496</v>
      </c>
      <c r="AF135" s="34" t="n">
        <v>714.711</v>
      </c>
      <c r="AG135" s="34" t="n">
        <v>851.561</v>
      </c>
      <c r="AH135" s="34" t="n">
        <v>2943.086</v>
      </c>
      <c r="AI135" s="34" t="n">
        <v>872.15</v>
      </c>
      <c r="AJ135" s="34" t="n">
        <v>890.072</v>
      </c>
      <c r="AK135" s="34" t="n">
        <v>888.675</v>
      </c>
      <c r="AL135" s="34" t="n">
        <v>917.212</v>
      </c>
      <c r="AM135" s="34" t="n">
        <v>3568.109</v>
      </c>
      <c r="AN135" s="34" t="n">
        <v>923.263</v>
      </c>
      <c r="AO135" s="34" t="n">
        <v>943.11</v>
      </c>
      <c r="AP135" s="34" t="n">
        <v>927.177</v>
      </c>
      <c r="AQ135" s="34" t="n">
        <v>970.165</v>
      </c>
      <c r="AR135" s="34" t="n">
        <v>3763.715</v>
      </c>
      <c r="AS135" s="34" t="n">
        <v>961.997</v>
      </c>
      <c r="AT135" s="34" t="n">
        <v>991.358</v>
      </c>
      <c r="AU135" s="34" t="n">
        <v>986.253</v>
      </c>
      <c r="AV135" s="34" t="n">
        <v>911.764</v>
      </c>
      <c r="AW135" s="34" t="n">
        <v>3851.372</v>
      </c>
      <c r="AX135" s="34" t="n">
        <v>920.374</v>
      </c>
      <c r="AY135" s="34" t="n">
        <v>937.164</v>
      </c>
      <c r="AZ135" s="34" t="n">
        <v>967.54</v>
      </c>
      <c r="BA135" s="34" t="n">
        <v>976.611</v>
      </c>
      <c r="BB135" s="34" t="n">
        <v>3801.689</v>
      </c>
      <c r="BC135" s="34" t="n">
        <v>994.194</v>
      </c>
      <c r="BD135" s="34" t="n">
        <v>1037.14</v>
      </c>
      <c r="BE135" s="34" t="n">
        <v>1062.388</v>
      </c>
      <c r="BF135" s="34" t="n">
        <v>1128.491</v>
      </c>
      <c r="BG135" s="34" t="n">
        <v>4222.213</v>
      </c>
      <c r="BH135" s="34" t="n">
        <v>1138.342</v>
      </c>
      <c r="BI135" s="34" t="n">
        <v>1152.411</v>
      </c>
      <c r="BJ135" s="34" t="n">
        <v>1155.955</v>
      </c>
      <c r="BK135" s="34" t="n">
        <v>1195.693</v>
      </c>
      <c r="BL135" s="34" t="n">
        <v>4642.401</v>
      </c>
      <c r="BM135" s="34" t="n">
        <v>1200.759</v>
      </c>
      <c r="BN135" s="34" t="n">
        <v>1235.629</v>
      </c>
      <c r="BO135" s="34" t="n">
        <v>1218.325</v>
      </c>
      <c r="BP135" s="34" t="n">
        <v>1255.486</v>
      </c>
      <c r="BQ135" s="34" t="n">
        <v>4910.199</v>
      </c>
      <c r="BR135" s="34" t="n">
        <v>1249.456</v>
      </c>
      <c r="BS135" s="34" t="n">
        <v>1285.08</v>
      </c>
      <c r="BT135" s="34" t="n">
        <v>1289.818</v>
      </c>
      <c r="BU135" s="34" t="n">
        <v>1341.663</v>
      </c>
      <c r="BV135" s="34" t="n">
        <v>5166.017</v>
      </c>
      <c r="BW135" s="34" t="n">
        <v>1351.561</v>
      </c>
      <c r="BX135" s="34" t="n">
        <v>1387.507</v>
      </c>
      <c r="BY135" s="34" t="n">
        <v>1392.988</v>
      </c>
      <c r="BZ135" s="34" t="n">
        <v>1424.912</v>
      </c>
      <c r="CA135" s="34" t="n">
        <v>5556.968</v>
      </c>
      <c r="CB135" s="34" t="n">
        <v>1460.438</v>
      </c>
      <c r="CC135" s="35" t="n">
        <f aca="false">CC132-CC101</f>
        <v>1491.92180129962</v>
      </c>
      <c r="CD135" s="35" t="n">
        <f aca="false">CD132-CD101</f>
        <v>1784.45955382884</v>
      </c>
      <c r="CE135" s="35" t="n">
        <f aca="false">CE132-CE101</f>
        <v>1972.15808605564</v>
      </c>
      <c r="CF135" s="35" t="n">
        <f aca="false">CF132-CF101</f>
        <v>6708.9774411841</v>
      </c>
      <c r="CG135" s="35" t="n">
        <f aca="false">CG132-CG101</f>
        <v>8134.89016794176</v>
      </c>
      <c r="CH135" s="35" t="n">
        <f aca="false">CH132-CH101</f>
        <v>8633.15163404788</v>
      </c>
      <c r="CI135" s="35" t="n">
        <f aca="false">CI132-CI101</f>
        <v>9175.51010270016</v>
      </c>
      <c r="CJ135" s="35" t="n">
        <f aca="false">CJ132-CJ101</f>
        <v>9763.21879843986</v>
      </c>
      <c r="CK135" s="23" t="s">
        <v>383</v>
      </c>
      <c r="CS135" s="29" t="s">
        <v>291</v>
      </c>
      <c r="CT135" s="63" t="n">
        <f aca="false">CU135+$CT$131</f>
        <v>650</v>
      </c>
      <c r="CU135" s="36" t="n">
        <v>450</v>
      </c>
      <c r="CV135" s="63" t="n">
        <f aca="false">CU135+$CV$131</f>
        <v>250</v>
      </c>
    </row>
    <row r="136" customFormat="false" ht="15" hidden="false" customHeight="true" outlineLevel="1" collapsed="false">
      <c r="B136" s="29" t="s">
        <v>384</v>
      </c>
      <c r="C136" s="34" t="n">
        <v>1406.829</v>
      </c>
      <c r="D136" s="34" t="n">
        <v>1515.185</v>
      </c>
      <c r="E136" s="34" t="n">
        <v>1581.618</v>
      </c>
      <c r="F136" s="34" t="n">
        <v>1562.23</v>
      </c>
      <c r="G136" s="34" t="n">
        <v>1449.576</v>
      </c>
      <c r="H136" s="34" t="n">
        <v>1530.456</v>
      </c>
      <c r="I136" s="34" t="n">
        <v>1648.551</v>
      </c>
      <c r="J136" s="34" t="n">
        <v>428.148</v>
      </c>
      <c r="K136" s="34" t="n">
        <v>438.902</v>
      </c>
      <c r="L136" s="34" t="n">
        <v>434.809</v>
      </c>
      <c r="M136" s="34" t="n">
        <v>454.438</v>
      </c>
      <c r="N136" s="34" t="n">
        <v>1756.297</v>
      </c>
      <c r="O136" s="34" t="n">
        <v>454.731</v>
      </c>
      <c r="P136" s="34" t="n">
        <v>459.112</v>
      </c>
      <c r="Q136" s="34" t="n">
        <v>450.086</v>
      </c>
      <c r="R136" s="34" t="n">
        <v>465.498</v>
      </c>
      <c r="S136" s="34" t="n">
        <v>1829.427</v>
      </c>
      <c r="T136" s="34" t="n">
        <v>470.609</v>
      </c>
      <c r="U136" s="34" t="n">
        <v>477.96</v>
      </c>
      <c r="V136" s="34" t="n">
        <v>476.092</v>
      </c>
      <c r="W136" s="34" t="n">
        <v>488.805</v>
      </c>
      <c r="X136" s="34" t="n">
        <v>1913.466</v>
      </c>
      <c r="Y136" s="34" t="n">
        <v>518.503</v>
      </c>
      <c r="Z136" s="34" t="n">
        <v>526.091</v>
      </c>
      <c r="AA136" s="34" t="n">
        <v>524.656</v>
      </c>
      <c r="AB136" s="34" t="n">
        <v>537.543</v>
      </c>
      <c r="AC136" s="34" t="n">
        <v>2106.793</v>
      </c>
      <c r="AD136" s="34" t="n">
        <v>540.932</v>
      </c>
      <c r="AE136" s="34" t="n">
        <v>555.752</v>
      </c>
      <c r="AF136" s="34" t="n">
        <v>546.538</v>
      </c>
      <c r="AG136" s="34" t="n">
        <v>676.389</v>
      </c>
      <c r="AH136" s="34" t="n">
        <v>2307.774</v>
      </c>
      <c r="AI136" s="34" t="n">
        <v>706.863</v>
      </c>
      <c r="AJ136" s="34" t="n">
        <v>723.96</v>
      </c>
      <c r="AK136" s="34" t="n">
        <v>718.138</v>
      </c>
      <c r="AL136" s="34" t="n">
        <v>737.998</v>
      </c>
      <c r="AM136" s="34" t="n">
        <v>2886.959</v>
      </c>
      <c r="AN136" s="34" t="n">
        <v>746.453</v>
      </c>
      <c r="AO136" s="34" t="n">
        <v>761.119</v>
      </c>
      <c r="AP136" s="34" t="n">
        <v>748.971</v>
      </c>
      <c r="AQ136" s="34" t="n">
        <v>771.056</v>
      </c>
      <c r="AR136" s="34" t="n">
        <v>3027.599</v>
      </c>
      <c r="AS136" s="34" t="n">
        <v>768.676</v>
      </c>
      <c r="AT136" s="34" t="n">
        <v>784.937</v>
      </c>
      <c r="AU136" s="34" t="n">
        <v>784.93</v>
      </c>
      <c r="AV136" s="34" t="n">
        <v>716.602</v>
      </c>
      <c r="AW136" s="34" t="n">
        <v>3055.145</v>
      </c>
      <c r="AX136" s="34" t="n">
        <v>715.412</v>
      </c>
      <c r="AY136" s="34" t="n">
        <v>739.811</v>
      </c>
      <c r="AZ136" s="34" t="n">
        <v>761.85</v>
      </c>
      <c r="BA136" s="34" t="n">
        <v>766.441</v>
      </c>
      <c r="BB136" s="34" t="n">
        <v>2983.514</v>
      </c>
      <c r="BC136" s="34" t="n">
        <v>779.301</v>
      </c>
      <c r="BD136" s="34" t="n">
        <v>817.261</v>
      </c>
      <c r="BE136" s="34" t="n">
        <v>834.082</v>
      </c>
      <c r="BF136" s="34" t="n">
        <v>885.789</v>
      </c>
      <c r="BG136" s="34" t="n">
        <v>3316.433</v>
      </c>
      <c r="BH136" s="34" t="n">
        <v>890.766</v>
      </c>
      <c r="BI136" s="34" t="n">
        <v>906.727</v>
      </c>
      <c r="BJ136" s="34" t="n">
        <v>907.993</v>
      </c>
      <c r="BK136" s="34" t="n">
        <v>926.689</v>
      </c>
      <c r="BL136" s="34" t="n">
        <v>3632.175</v>
      </c>
      <c r="BM136" s="34" t="n">
        <v>947.583</v>
      </c>
      <c r="BN136" s="34" t="n">
        <v>974.231</v>
      </c>
      <c r="BO136" s="34" t="n">
        <v>960.208</v>
      </c>
      <c r="BP136" s="34" t="n">
        <v>983.049</v>
      </c>
      <c r="BQ136" s="34" t="n">
        <v>3865.071</v>
      </c>
      <c r="BR136" s="34" t="n">
        <v>981.163</v>
      </c>
      <c r="BS136" s="34" t="n">
        <v>1014.052</v>
      </c>
      <c r="BT136" s="34" t="n">
        <v>1009.66</v>
      </c>
      <c r="BU136" s="34" t="n">
        <v>1036.013</v>
      </c>
      <c r="BV136" s="34" t="n">
        <v>4040.888</v>
      </c>
      <c r="BW136" s="34" t="n">
        <v>1052.553</v>
      </c>
      <c r="BX136" s="34" t="n">
        <v>1081.218</v>
      </c>
      <c r="BY136" s="34" t="n">
        <v>1083.019</v>
      </c>
      <c r="BZ136" s="34" t="n">
        <v>1095.307</v>
      </c>
      <c r="CA136" s="34" t="n">
        <v>4312.097</v>
      </c>
      <c r="CB136" s="34" t="n">
        <v>1128.884</v>
      </c>
      <c r="CC136" s="43"/>
      <c r="CD136" s="43"/>
      <c r="CE136" s="43"/>
      <c r="CF136" s="43"/>
      <c r="CG136" s="43"/>
      <c r="CH136" s="43"/>
      <c r="CI136" s="43"/>
      <c r="CJ136" s="43"/>
      <c r="CK136" s="23"/>
    </row>
    <row r="137" customFormat="false" ht="15" hidden="false" customHeight="true" outlineLevel="1" collapsed="false">
      <c r="B137" s="29" t="s">
        <v>385</v>
      </c>
      <c r="C137" s="34" t="n">
        <v>541.987</v>
      </c>
      <c r="D137" s="34" t="n">
        <v>610.36</v>
      </c>
      <c r="E137" s="34" t="n">
        <v>674.682</v>
      </c>
      <c r="F137" s="34" t="n">
        <v>661.584</v>
      </c>
      <c r="G137" s="34" t="n">
        <v>599.946</v>
      </c>
      <c r="H137" s="34" t="n">
        <v>670.641</v>
      </c>
      <c r="I137" s="34" t="n">
        <v>714.841</v>
      </c>
      <c r="J137" s="34" t="n">
        <v>177.302</v>
      </c>
      <c r="K137" s="34" t="n">
        <v>189.448</v>
      </c>
      <c r="L137" s="34" t="n">
        <v>198.924</v>
      </c>
      <c r="M137" s="34" t="n">
        <v>207.433</v>
      </c>
      <c r="N137" s="34" t="n">
        <v>773.107</v>
      </c>
      <c r="O137" s="34" t="n">
        <v>199.632</v>
      </c>
      <c r="P137" s="34" t="n">
        <v>207.722</v>
      </c>
      <c r="Q137" s="34" t="n">
        <v>201.026</v>
      </c>
      <c r="R137" s="34" t="n">
        <v>199.619</v>
      </c>
      <c r="S137" s="34" t="n">
        <v>807.999</v>
      </c>
      <c r="T137" s="34" t="n">
        <v>153.522</v>
      </c>
      <c r="U137" s="34" t="n">
        <v>163.995</v>
      </c>
      <c r="V137" s="34" t="n">
        <v>157.448</v>
      </c>
      <c r="W137" s="34" t="n">
        <v>167.118</v>
      </c>
      <c r="X137" s="34" t="n">
        <v>642.083</v>
      </c>
      <c r="Y137" s="34" t="n">
        <v>156.243</v>
      </c>
      <c r="Z137" s="34" t="n">
        <v>165.589</v>
      </c>
      <c r="AA137" s="34" t="n">
        <v>166.819</v>
      </c>
      <c r="AB137" s="34" t="n">
        <v>180.144</v>
      </c>
      <c r="AC137" s="34" t="n">
        <v>668.795</v>
      </c>
      <c r="AD137" s="34" t="n">
        <v>169.424</v>
      </c>
      <c r="AE137" s="34" t="n">
        <v>169.744</v>
      </c>
      <c r="AF137" s="34" t="n">
        <v>168.173</v>
      </c>
      <c r="AG137" s="34" t="n">
        <v>175.172</v>
      </c>
      <c r="AH137" s="34" t="n">
        <v>635.312</v>
      </c>
      <c r="AI137" s="34" t="n">
        <v>165.287</v>
      </c>
      <c r="AJ137" s="34" t="n">
        <v>166.112</v>
      </c>
      <c r="AK137" s="34" t="n">
        <v>170.537</v>
      </c>
      <c r="AL137" s="34" t="n">
        <v>179.214</v>
      </c>
      <c r="AM137" s="34" t="n">
        <v>681.15</v>
      </c>
      <c r="AN137" s="34" t="n">
        <v>176.81</v>
      </c>
      <c r="AO137" s="34" t="n">
        <v>181.991</v>
      </c>
      <c r="AP137" s="34" t="n">
        <v>178.206</v>
      </c>
      <c r="AQ137" s="34" t="n">
        <v>199.109</v>
      </c>
      <c r="AR137" s="34" t="n">
        <v>736.116</v>
      </c>
      <c r="AS137" s="34" t="n">
        <v>193.321</v>
      </c>
      <c r="AT137" s="34" t="n">
        <v>206.421</v>
      </c>
      <c r="AU137" s="34" t="n">
        <v>201.323</v>
      </c>
      <c r="AV137" s="34" t="n">
        <v>195.162</v>
      </c>
      <c r="AW137" s="34" t="n">
        <v>796.227</v>
      </c>
      <c r="AX137" s="34" t="n">
        <v>204.962</v>
      </c>
      <c r="AY137" s="34" t="n">
        <v>197.353</v>
      </c>
      <c r="AZ137" s="34" t="n">
        <v>205.69</v>
      </c>
      <c r="BA137" s="34" t="n">
        <v>210.17</v>
      </c>
      <c r="BB137" s="34" t="n">
        <v>818.175</v>
      </c>
      <c r="BC137" s="34" t="n">
        <v>214.893</v>
      </c>
      <c r="BD137" s="34" t="n">
        <v>219.879</v>
      </c>
      <c r="BE137" s="34" t="n">
        <v>228.306</v>
      </c>
      <c r="BF137" s="34" t="n">
        <v>242.702</v>
      </c>
      <c r="BG137" s="34" t="n">
        <v>905.78</v>
      </c>
      <c r="BH137" s="34" t="n">
        <v>247.576</v>
      </c>
      <c r="BI137" s="34" t="n">
        <v>245.684</v>
      </c>
      <c r="BJ137" s="34" t="n">
        <v>247.962</v>
      </c>
      <c r="BK137" s="34" t="n">
        <v>269.004</v>
      </c>
      <c r="BL137" s="34" t="n">
        <v>1010.226</v>
      </c>
      <c r="BM137" s="34" t="n">
        <v>253.176</v>
      </c>
      <c r="BN137" s="34" t="n">
        <v>261.398</v>
      </c>
      <c r="BO137" s="34" t="n">
        <v>258.117</v>
      </c>
      <c r="BP137" s="34" t="n">
        <v>272.437</v>
      </c>
      <c r="BQ137" s="34" t="n">
        <v>1045.128</v>
      </c>
      <c r="BR137" s="34" t="n">
        <v>268.293</v>
      </c>
      <c r="BS137" s="34" t="n">
        <v>271.028</v>
      </c>
      <c r="BT137" s="34" t="n">
        <v>280.158</v>
      </c>
      <c r="BU137" s="34" t="n">
        <v>305.65</v>
      </c>
      <c r="BV137" s="34" t="n">
        <v>1125.129</v>
      </c>
      <c r="BW137" s="34" t="n">
        <v>299.008</v>
      </c>
      <c r="BX137" s="34" t="n">
        <v>306.289</v>
      </c>
      <c r="BY137" s="34" t="n">
        <v>309.969</v>
      </c>
      <c r="BZ137" s="34" t="n">
        <v>329.605</v>
      </c>
      <c r="CA137" s="34" t="n">
        <v>1244.871</v>
      </c>
      <c r="CB137" s="34" t="n">
        <v>331.554</v>
      </c>
      <c r="CC137" s="43"/>
      <c r="CD137" s="43"/>
      <c r="CE137" s="43"/>
      <c r="CF137" s="43"/>
      <c r="CG137" s="43"/>
      <c r="CH137" s="43"/>
      <c r="CI137" s="43"/>
      <c r="CJ137" s="43"/>
      <c r="CK137" s="23"/>
      <c r="CS137" s="19" t="s">
        <v>386</v>
      </c>
      <c r="CT137" s="64" t="n">
        <v>0.5</v>
      </c>
      <c r="CU137" s="50" t="s">
        <v>280</v>
      </c>
      <c r="CV137" s="64" t="n">
        <v>-0.5</v>
      </c>
      <c r="CW137" s="16" t="s">
        <v>387</v>
      </c>
    </row>
    <row r="138" customFormat="false" ht="15" hidden="false" customHeight="true" outlineLevel="0" collapsed="false">
      <c r="B138" s="20" t="s">
        <v>388</v>
      </c>
      <c r="C138" s="39" t="n">
        <f aca="false">C132-C135</f>
        <v>1454.792</v>
      </c>
      <c r="D138" s="39" t="n">
        <f aca="false">D132-D135</f>
        <v>1581.355</v>
      </c>
      <c r="E138" s="39" t="n">
        <f aca="false">E132-E135</f>
        <v>1681.6</v>
      </c>
      <c r="F138" s="39" t="n">
        <f aca="false">F132-F135</f>
        <v>1550.871</v>
      </c>
      <c r="G138" s="39" t="n">
        <f aca="false">G132-G135</f>
        <v>1497.817</v>
      </c>
      <c r="H138" s="39" t="n">
        <f aca="false">H132-H135</f>
        <v>1609.287</v>
      </c>
      <c r="I138" s="39" t="n">
        <f aca="false">I132-I135</f>
        <v>1738.608</v>
      </c>
      <c r="J138" s="39" t="n">
        <f aca="false">J132-J135</f>
        <v>445.875</v>
      </c>
      <c r="K138" s="39" t="n">
        <f aca="false">K132-K135</f>
        <v>432.036</v>
      </c>
      <c r="L138" s="39" t="n">
        <f aca="false">L132-L135</f>
        <v>441.941</v>
      </c>
      <c r="M138" s="39" t="n">
        <f aca="false">M132-M135</f>
        <v>467.215</v>
      </c>
      <c r="N138" s="39" t="n">
        <f aca="false">N132-N135</f>
        <v>1787.067</v>
      </c>
      <c r="O138" s="39" t="n">
        <f aca="false">O132-O135</f>
        <v>465.98</v>
      </c>
      <c r="P138" s="39" t="n">
        <f aca="false">P132-P135</f>
        <v>476.919</v>
      </c>
      <c r="Q138" s="39" t="n">
        <f aca="false">Q132-Q135</f>
        <v>479.125</v>
      </c>
      <c r="R138" s="39" t="n">
        <f aca="false">R132-R135</f>
        <v>492.362</v>
      </c>
      <c r="S138" s="39" t="n">
        <f aca="false">S132-S135</f>
        <v>1914.386</v>
      </c>
      <c r="T138" s="39" t="n">
        <f aca="false">T132-T135</f>
        <v>477.946</v>
      </c>
      <c r="U138" s="39" t="n">
        <f aca="false">U132-U135</f>
        <v>481.424</v>
      </c>
      <c r="V138" s="39" t="n">
        <f aca="false">V132-V135</f>
        <v>475.307</v>
      </c>
      <c r="W138" s="39" t="n">
        <f aca="false">W132-W135</f>
        <v>486.66</v>
      </c>
      <c r="X138" s="39" t="n">
        <f aca="false">X132-X135</f>
        <v>1921.337</v>
      </c>
      <c r="Y138" s="39" t="n">
        <f aca="false">Y132-Y135</f>
        <v>524.144</v>
      </c>
      <c r="Z138" s="39" t="n">
        <f aca="false">Z132-Z135</f>
        <v>527.4</v>
      </c>
      <c r="AA138" s="39" t="n">
        <f aca="false">AA132-AA135</f>
        <v>524.608</v>
      </c>
      <c r="AB138" s="39" t="n">
        <f aca="false">AB132-AB135</f>
        <v>553.718</v>
      </c>
      <c r="AC138" s="39" t="n">
        <f aca="false">AC132-AC135</f>
        <v>2129.87</v>
      </c>
      <c r="AD138" s="39" t="n">
        <f aca="false">AD132-AD135</f>
        <v>583.774</v>
      </c>
      <c r="AE138" s="39" t="n">
        <f aca="false">AE132-AE135</f>
        <v>571.427</v>
      </c>
      <c r="AF138" s="39" t="n">
        <f aca="false">AF132-AF135</f>
        <v>566.424</v>
      </c>
      <c r="AG138" s="39" t="n">
        <f aca="false">AG132-AG135</f>
        <v>678.726</v>
      </c>
      <c r="AH138" s="39" t="n">
        <f aca="false">AH132-AH135</f>
        <v>2380.295</v>
      </c>
      <c r="AI138" s="39" t="n">
        <f aca="false">AI132-AI135</f>
        <v>739.353</v>
      </c>
      <c r="AJ138" s="39" t="n">
        <f aca="false">AJ132-AJ135</f>
        <v>716.369</v>
      </c>
      <c r="AK138" s="39" t="n">
        <f aca="false">AK132-AK135</f>
        <v>700.463</v>
      </c>
      <c r="AL138" s="39" t="n">
        <f aca="false">AL132-AL135</f>
        <v>752.338</v>
      </c>
      <c r="AM138" s="39" t="n">
        <f aca="false">AM132-AM135</f>
        <v>2908.523</v>
      </c>
      <c r="AN138" s="39" t="n">
        <f aca="false">AN132-AN135</f>
        <v>774.712</v>
      </c>
      <c r="AO138" s="39" t="n">
        <f aca="false">AO132-AO135</f>
        <v>775.158</v>
      </c>
      <c r="AP138" s="39" t="n">
        <f aca="false">AP132-AP135</f>
        <v>755.153</v>
      </c>
      <c r="AQ138" s="39" t="n">
        <f aca="false">AQ132-AQ135</f>
        <v>823.565</v>
      </c>
      <c r="AR138" s="39" t="n">
        <f aca="false">AR132-AR135</f>
        <v>3128.588</v>
      </c>
      <c r="AS138" s="39" t="n">
        <f aca="false">AS132-AS135</f>
        <v>849.142</v>
      </c>
      <c r="AT138" s="39" t="n">
        <f aca="false">AT132-AT135</f>
        <v>852.391</v>
      </c>
      <c r="AU138" s="39" t="n">
        <f aca="false">AU132-AU135</f>
        <v>824.395</v>
      </c>
      <c r="AV138" s="39" t="n">
        <f aca="false">AV132-AV135</f>
        <v>707.82</v>
      </c>
      <c r="AW138" s="39" t="n">
        <f aca="false">AW132-AW135</f>
        <v>3233.748</v>
      </c>
      <c r="AX138" s="39" t="n">
        <f aca="false">AX132-AX135</f>
        <v>826.201</v>
      </c>
      <c r="AY138" s="39" t="n">
        <f aca="false">AY132-AY135</f>
        <v>819.884</v>
      </c>
      <c r="AZ138" s="39" t="n">
        <f aca="false">AZ132-AZ135</f>
        <v>809.516</v>
      </c>
      <c r="BA138" s="39" t="n">
        <f aca="false">BA132-BA135</f>
        <v>859.05</v>
      </c>
      <c r="BB138" s="39" t="n">
        <f aca="false">BB132-BB135</f>
        <v>3314.651</v>
      </c>
      <c r="BC138" s="39" t="n">
        <f aca="false">BC132-BC135</f>
        <v>902.756</v>
      </c>
      <c r="BD138" s="39" t="n">
        <f aca="false">BD132-BD135</f>
        <v>885.141</v>
      </c>
      <c r="BE138" s="39" t="n">
        <f aca="false">BE132-BE135</f>
        <v>898.154</v>
      </c>
      <c r="BF138" s="39" t="n">
        <f aca="false">BF132-BF135</f>
        <v>946.195</v>
      </c>
      <c r="BG138" s="39" t="n">
        <f aca="false">BG132-BG135</f>
        <v>3632.246</v>
      </c>
      <c r="BH138" s="39" t="n">
        <f aca="false">BH132-BH135</f>
        <v>1028.112</v>
      </c>
      <c r="BI138" s="39" t="n">
        <f aca="false">BI132-BI135</f>
        <v>1022.447</v>
      </c>
      <c r="BJ138" s="39" t="n">
        <f aca="false">BJ132-BJ135</f>
        <v>1034.031</v>
      </c>
      <c r="BK138" s="39" t="n">
        <f aca="false">BK132-BK135</f>
        <v>1088.778</v>
      </c>
      <c r="BL138" s="39" t="n">
        <f aca="false">BL132-BL135</f>
        <v>4173.368</v>
      </c>
      <c r="BM138" s="39" t="n">
        <f aca="false">BM132-BM135</f>
        <v>1141.571</v>
      </c>
      <c r="BN138" s="39" t="n">
        <f aca="false">BN132-BN135</f>
        <v>1141.548</v>
      </c>
      <c r="BO138" s="39" t="n">
        <f aca="false">BO132-BO135</f>
        <v>1187.848</v>
      </c>
      <c r="BP138" s="39" t="n">
        <f aca="false">BP132-BP135</f>
        <v>1215.449</v>
      </c>
      <c r="BQ138" s="39" t="n">
        <f aca="false">BQ132-BQ135</f>
        <v>4686.416</v>
      </c>
      <c r="BR138" s="39" t="n">
        <f aca="false">BR132-BR135</f>
        <v>1252.131</v>
      </c>
      <c r="BS138" s="39" t="n">
        <f aca="false">BS132-BS135</f>
        <v>1276.703</v>
      </c>
      <c r="BT138" s="39" t="n">
        <f aca="false">BT132-BT135</f>
        <v>1319.341</v>
      </c>
      <c r="BU138" s="39" t="n">
        <f aca="false">BU132-BU135</f>
        <v>1325.989</v>
      </c>
      <c r="BV138" s="39" t="n">
        <f aca="false">BV132-BV135</f>
        <v>5174.164</v>
      </c>
      <c r="BW138" s="39" t="n">
        <f aca="false">BW132-BW135</f>
        <v>1366.561</v>
      </c>
      <c r="BX138" s="39" t="n">
        <f aca="false">BX132-BX135</f>
        <v>1412.485</v>
      </c>
      <c r="BY138" s="39" t="n">
        <f aca="false">BY132-BY135</f>
        <v>1448.456</v>
      </c>
      <c r="BZ138" s="39" t="n">
        <f aca="false">BZ132-BZ135</f>
        <v>1480.291</v>
      </c>
      <c r="CA138" s="39" t="n">
        <f aca="false">CA132-CA135</f>
        <v>5707.793</v>
      </c>
      <c r="CB138" s="39" t="n">
        <f aca="false">CB132-CB135</f>
        <v>1553.543</v>
      </c>
      <c r="CC138" s="22" t="n">
        <f aca="false">CC132-CC135</f>
        <v>1520.15724816558</v>
      </c>
      <c r="CD138" s="22" t="n">
        <f aca="false">CD132-CD135</f>
        <v>1694.57579556662</v>
      </c>
      <c r="CE138" s="22" t="n">
        <f aca="false">CE132-CE135</f>
        <v>1801.9320721248</v>
      </c>
      <c r="CF138" s="22" t="n">
        <f aca="false">CF132-CF135</f>
        <v>6570.20811585699</v>
      </c>
      <c r="CG138" s="22" t="n">
        <f aca="false">CG132-CG135</f>
        <v>7756.00322885137</v>
      </c>
      <c r="CH138" s="22" t="n">
        <f aca="false">CH132-CH135</f>
        <v>8480.9904254179</v>
      </c>
      <c r="CI138" s="22" t="n">
        <f aca="false">CI132-CI135</f>
        <v>9255.34803601368</v>
      </c>
      <c r="CJ138" s="22" t="n">
        <f aca="false">CJ132-CJ135</f>
        <v>10003.6187639052</v>
      </c>
      <c r="CK138" s="23"/>
      <c r="CM138" s="24" t="n">
        <f aca="false">IFERROR((CJ138/CA138)^(1/5)-1,"n/m")</f>
        <v>0.11876219820561</v>
      </c>
      <c r="CN138" s="24" t="n">
        <f aca="false">IFERROR((CA138/BB138)^(1/5)-1,"n/m")</f>
        <v>0.11482341369384</v>
      </c>
      <c r="CO138" s="24" t="n">
        <f aca="false">IFERROR((CA138/AC138)^(1/10)-1,"n/m")</f>
        <v>0.103599542608746</v>
      </c>
      <c r="CP138" s="24" t="n">
        <f aca="false">IFERROR((CA138/C138)^(1/20)-1,"n/m")</f>
        <v>0.0707383689728138</v>
      </c>
      <c r="CS138" s="29" t="s">
        <v>284</v>
      </c>
      <c r="CT138" s="65" t="n">
        <f aca="false">CU138+$CT$137</f>
        <v>1.75</v>
      </c>
      <c r="CU138" s="66" t="n">
        <v>1.25</v>
      </c>
      <c r="CV138" s="65" t="n">
        <f aca="false">CU138+$CV$137</f>
        <v>0.75</v>
      </c>
    </row>
    <row r="139" customFormat="false" ht="15" hidden="false" customHeight="true" outlineLevel="0" collapsed="false">
      <c r="B139" s="29" t="s">
        <v>132</v>
      </c>
      <c r="C139" s="37" t="n">
        <f aca="false">IF(AND(ISNUMBER(C138),ISNUMBER(C132)),IFERROR(C138/C132,""),"")</f>
        <v>0.427426425134739</v>
      </c>
      <c r="D139" s="37" t="n">
        <f aca="false">IF(AND(ISNUMBER(D138),ISNUMBER(D132)),IFERROR(D138/D132,""),"")</f>
        <v>0.42659769618819</v>
      </c>
      <c r="E139" s="37" t="n">
        <f aca="false">IF(AND(ISNUMBER(E138),ISNUMBER(E132)),IFERROR(E138/E132,""),"")</f>
        <v>0.42702963508469</v>
      </c>
      <c r="F139" s="37" t="n">
        <f aca="false">IF(AND(ISNUMBER(F138),ISNUMBER(F132)),IFERROR(F138/F132,""),"")</f>
        <v>0.410861038735683</v>
      </c>
      <c r="G139" s="37" t="n">
        <f aca="false">IF(AND(ISNUMBER(G138),ISNUMBER(G132)),IFERROR(G138/G132,""),"")</f>
        <v>0.422236780865883</v>
      </c>
      <c r="H139" s="37" t="n">
        <f aca="false">IF(AND(ISNUMBER(H138),ISNUMBER(H132)),IFERROR(H138/H132,""),"")</f>
        <v>0.422342472569694</v>
      </c>
      <c r="I139" s="37" t="n">
        <f aca="false">IF(AND(ISNUMBER(I138),ISNUMBER(I132)),IFERROR(I138/I132,""),"")</f>
        <v>0.42384397854705</v>
      </c>
      <c r="J139" s="37" t="n">
        <f aca="false">IF(AND(ISNUMBER(J138),ISNUMBER(J132)),IFERROR(J138/J132,""),"")</f>
        <v>0.424107673649918</v>
      </c>
      <c r="K139" s="37" t="n">
        <f aca="false">IF(AND(ISNUMBER(K138),ISNUMBER(K132)),IFERROR(K138/K132,""),"")</f>
        <v>0.407432765049708</v>
      </c>
      <c r="L139" s="37" t="n">
        <f aca="false">IF(AND(ISNUMBER(L138),ISNUMBER(L132)),IFERROR(L138/L132,""),"")</f>
        <v>0.41085031338491</v>
      </c>
      <c r="M139" s="37" t="n">
        <f aca="false">IF(AND(ISNUMBER(M138),ISNUMBER(M132)),IFERROR(M138/M132,""),"")</f>
        <v>0.41379930315317</v>
      </c>
      <c r="N139" s="37" t="n">
        <f aca="false">IF(AND(ISNUMBER(N138),ISNUMBER(N132)),IFERROR(N138/N132,""),"")</f>
        <v>0.414011121585202</v>
      </c>
      <c r="O139" s="37" t="n">
        <f aca="false">IF(AND(ISNUMBER(O138),ISNUMBER(O132)),IFERROR(O138/O132,""),"")</f>
        <v>0.415926194031649</v>
      </c>
      <c r="P139" s="37" t="n">
        <f aca="false">IF(AND(ISNUMBER(P138),ISNUMBER(P132)),IFERROR(P138/P132,""),"")</f>
        <v>0.416977266944874</v>
      </c>
      <c r="Q139" s="37" t="n">
        <f aca="false">IF(AND(ISNUMBER(Q138),ISNUMBER(Q132)),IFERROR(Q138/Q132,""),"")</f>
        <v>0.42391551506454</v>
      </c>
      <c r="R139" s="37" t="n">
        <f aca="false">IF(AND(ISNUMBER(R138),ISNUMBER(R132)),IFERROR(R138/R132,""),"")</f>
        <v>0.425374456037647</v>
      </c>
      <c r="S139" s="37" t="n">
        <f aca="false">IF(AND(ISNUMBER(S138),ISNUMBER(S132)),IFERROR(S138/S132,""),"")</f>
        <v>0.420576684625815</v>
      </c>
      <c r="T139" s="37" t="n">
        <f aca="false">IF(AND(ISNUMBER(T138),ISNUMBER(T132)),IFERROR(T138/T132,""),"")</f>
        <v>0.43367750166277</v>
      </c>
      <c r="U139" s="37" t="n">
        <f aca="false">IF(AND(ISNUMBER(U138),ISNUMBER(U132)),IFERROR(U138/U132,""),"")</f>
        <v>0.428549937287416</v>
      </c>
      <c r="V139" s="37" t="n">
        <f aca="false">IF(AND(ISNUMBER(V138),ISNUMBER(V132)),IFERROR(V138/V132,""),"")</f>
        <v>0.428649759615168</v>
      </c>
      <c r="W139" s="37" t="n">
        <f aca="false">IF(AND(ISNUMBER(W138),ISNUMBER(W132)),IFERROR(W138/W132,""),"")</f>
        <v>0.425929669879562</v>
      </c>
      <c r="X139" s="37" t="n">
        <f aca="false">IF(AND(ISNUMBER(X138),ISNUMBER(X132)),IFERROR(X138/X132,""),"")</f>
        <v>0.429168176272525</v>
      </c>
      <c r="Y139" s="37" t="n">
        <f aca="false">IF(AND(ISNUMBER(Y138),ISNUMBER(Y132)),IFERROR(Y138/Y132,""),"")</f>
        <v>0.437191068404941</v>
      </c>
      <c r="Z139" s="37" t="n">
        <f aca="false">IF(AND(ISNUMBER(Z138),ISNUMBER(Z132)),IFERROR(Z138/Z132,""),"")</f>
        <v>0.432621320996161</v>
      </c>
      <c r="AA139" s="37" t="n">
        <f aca="false">IF(AND(ISNUMBER(AA138),ISNUMBER(AA132)),IFERROR(AA138/AA132,""),"")</f>
        <v>0.431391607316277</v>
      </c>
      <c r="AB139" s="37" t="n">
        <f aca="false">IF(AND(ISNUMBER(AB138),ISNUMBER(AB132)),IFERROR(AB138/AB132,""),"")</f>
        <v>0.43551661351025</v>
      </c>
      <c r="AC139" s="37" t="n">
        <f aca="false">IF(AND(ISNUMBER(AC138),ISNUMBER(AC132)),IFERROR(AC138/AC132,""),"")</f>
        <v>0.434183719440672</v>
      </c>
      <c r="AD139" s="37" t="n">
        <f aca="false">IF(AND(ISNUMBER(AD138),ISNUMBER(AD132)),IFERROR(AD138/AD132,""),"")</f>
        <v>0.45109378501387</v>
      </c>
      <c r="AE139" s="37" t="n">
        <f aca="false">IF(AND(ISNUMBER(AE138),ISNUMBER(AE132)),IFERROR(AE138/AE132,""),"")</f>
        <v>0.440602102052319</v>
      </c>
      <c r="AF139" s="37" t="n">
        <f aca="false">IF(AND(ISNUMBER(AF138),ISNUMBER(AF132)),IFERROR(AF138/AF132,""),"")</f>
        <v>0.442126707958178</v>
      </c>
      <c r="AG139" s="37" t="n">
        <f aca="false">IF(AND(ISNUMBER(AG138),ISNUMBER(AG132)),IFERROR(AG138/AG132,""),"")</f>
        <v>0.443528566863601</v>
      </c>
      <c r="AH139" s="37" t="n">
        <f aca="false">IF(AND(ISNUMBER(AH138),ISNUMBER(AH132)),IFERROR(AH138/AH132,""),"")</f>
        <v>0.447139703132276</v>
      </c>
      <c r="AI139" s="37" t="n">
        <f aca="false">IF(AND(ISNUMBER(AI138),ISNUMBER(AI132)),IFERROR(AI138/AI132,""),"")</f>
        <v>0.458797160166627</v>
      </c>
      <c r="AJ139" s="37" t="n">
        <f aca="false">IF(AND(ISNUMBER(AJ138),ISNUMBER(AJ132)),IFERROR(AJ138/AJ132,""),"")</f>
        <v>0.44593545607962</v>
      </c>
      <c r="AK139" s="37" t="n">
        <f aca="false">IF(AND(ISNUMBER(AK138),ISNUMBER(AK132)),IFERROR(AK138/AK132,""),"")</f>
        <v>0.440781731983</v>
      </c>
      <c r="AL139" s="37" t="n">
        <f aca="false">IF(AND(ISNUMBER(AL138),ISNUMBER(AL132)),IFERROR(AL138/AL132,""),"")</f>
        <v>0.450623221826241</v>
      </c>
      <c r="AM139" s="37" t="n">
        <f aca="false">IF(AND(ISNUMBER(AM138),ISNUMBER(AM132)),IFERROR(AM138/AM132,""),"")</f>
        <v>0.449079552458747</v>
      </c>
      <c r="AN139" s="37" t="n">
        <f aca="false">IF(AND(ISNUMBER(AN138),ISNUMBER(AN132)),IFERROR(AN138/AN132,""),"")</f>
        <v>0.456256423092213</v>
      </c>
      <c r="AO139" s="37" t="n">
        <f aca="false">IF(AND(ISNUMBER(AO138),ISNUMBER(AO132)),IFERROR(AO138/AO132,""),"")</f>
        <v>0.451127530746077</v>
      </c>
      <c r="AP139" s="37" t="n">
        <f aca="false">IF(AND(ISNUMBER(AP138),ISNUMBER(AP132)),IFERROR(AP138/AP132,""),"")</f>
        <v>0.448873288831561</v>
      </c>
      <c r="AQ139" s="37" t="n">
        <f aca="false">IF(AND(ISNUMBER(AQ138),ISNUMBER(AQ132)),IFERROR(AQ138/AQ132,""),"")</f>
        <v>0.459135432868938</v>
      </c>
      <c r="AR139" s="37" t="n">
        <f aca="false">IF(AND(ISNUMBER(AR138),ISNUMBER(AR132)),IFERROR(AR138/AR132,""),"")</f>
        <v>0.453924907247984</v>
      </c>
      <c r="AS139" s="37" t="n">
        <f aca="false">IF(AND(ISNUMBER(AS138),ISNUMBER(AS132)),IFERROR(AS138/AS132,""),"")</f>
        <v>0.468844191417666</v>
      </c>
      <c r="AT139" s="37" t="n">
        <f aca="false">IF(AND(ISNUMBER(AT138),ISNUMBER(AT132)),IFERROR(AT138/AT132,""),"")</f>
        <v>0.462314013458448</v>
      </c>
      <c r="AU139" s="37" t="n">
        <f aca="false">IF(AND(ISNUMBER(AU138),ISNUMBER(AU132)),IFERROR(AU138/AU132,""),"")</f>
        <v>0.455303847020514</v>
      </c>
      <c r="AV139" s="37" t="n">
        <f aca="false">IF(AND(ISNUMBER(AV138),ISNUMBER(AV132)),IFERROR(AV138/AV132,""),"")</f>
        <v>0.437038153007192</v>
      </c>
      <c r="AW139" s="37" t="n">
        <f aca="false">IF(AND(ISNUMBER(AW138),ISNUMBER(AW132)),IFERROR(AW138/AW132,""),"")</f>
        <v>0.4564140056908</v>
      </c>
      <c r="AX139" s="37" t="n">
        <f aca="false">IF(AND(ISNUMBER(AX138),ISNUMBER(AX132)),IFERROR(AX138/AX132,""),"")</f>
        <v>0.473040665302091</v>
      </c>
      <c r="AY139" s="37" t="n">
        <f aca="false">IF(AND(ISNUMBER(AY138),ISNUMBER(AY132)),IFERROR(AY138/AY132,""),"")</f>
        <v>0.466625840614485</v>
      </c>
      <c r="AZ139" s="37" t="n">
        <f aca="false">IF(AND(ISNUMBER(AZ138),ISNUMBER(AZ132)),IFERROR(AZ138/AZ132,""),"")</f>
        <v>0.455537698305512</v>
      </c>
      <c r="BA139" s="37" t="n">
        <f aca="false">IF(AND(ISNUMBER(BA138),ISNUMBER(BA132)),IFERROR(BA138/BA132,""),"")</f>
        <v>0.46797856466962</v>
      </c>
      <c r="BB139" s="37" t="n">
        <f aca="false">IF(AND(ISNUMBER(BB138),ISNUMBER(BB132)),IFERROR(BB138/BB132,""),"")</f>
        <v>0.4657803027961</v>
      </c>
      <c r="BC139" s="37" t="n">
        <f aca="false">IF(AND(ISNUMBER(BC138),ISNUMBER(BC132)),IFERROR(BC138/BC132,""),"")</f>
        <v>0.475898679459132</v>
      </c>
      <c r="BD139" s="37" t="n">
        <f aca="false">IF(AND(ISNUMBER(BD138),ISNUMBER(BD132)),IFERROR(BD138/BD132,""),"")</f>
        <v>0.460463896797607</v>
      </c>
      <c r="BE139" s="37" t="n">
        <f aca="false">IF(AND(ISNUMBER(BE138),ISNUMBER(BE132)),IFERROR(BE138/BE132,""),"")</f>
        <v>0.458115153870715</v>
      </c>
      <c r="BF139" s="37" t="n">
        <f aca="false">IF(AND(ISNUMBER(BF138),ISNUMBER(BF132)),IFERROR(BF138/BF132,""),"")</f>
        <v>0.456066604777783</v>
      </c>
      <c r="BG139" s="37" t="n">
        <f aca="false">IF(AND(ISNUMBER(BG138),ISNUMBER(BG132)),IFERROR(BG138/BG132,""),"")</f>
        <v>0.462443816945254</v>
      </c>
      <c r="BH139" s="37" t="n">
        <f aca="false">IF(AND(ISNUMBER(BH138),ISNUMBER(BH132)),IFERROR(BH138/BH132,""),"")</f>
        <v>0.474559810639875</v>
      </c>
      <c r="BI139" s="37" t="n">
        <f aca="false">IF(AND(ISNUMBER(BI138),ISNUMBER(BI132)),IFERROR(BI138/BI132,""),"")</f>
        <v>0.470121267687362</v>
      </c>
      <c r="BJ139" s="37" t="n">
        <f aca="false">IF(AND(ISNUMBER(BJ138),ISNUMBER(BJ132)),IFERROR(BJ138/BJ132,""),"")</f>
        <v>0.472163292368079</v>
      </c>
      <c r="BK139" s="37" t="n">
        <f aca="false">IF(AND(ISNUMBER(BK138),ISNUMBER(BK132)),IFERROR(BK138/BK132,""),"")</f>
        <v>0.476599615403303</v>
      </c>
      <c r="BL139" s="37" t="n">
        <f aca="false">IF(AND(ISNUMBER(BL138),ISNUMBER(BL132)),IFERROR(BL138/BL132,""),"")</f>
        <v>0.473398066578196</v>
      </c>
      <c r="BM139" s="37" t="n">
        <f aca="false">IF(AND(ISNUMBER(BM138),ISNUMBER(BM132)),IFERROR(BM138/BM132,""),"")</f>
        <v>0.487365571887821</v>
      </c>
      <c r="BN139" s="37" t="n">
        <f aca="false">IF(AND(ISNUMBER(BN138),ISNUMBER(BN132)),IFERROR(BN138/BN132,""),"")</f>
        <v>0.480211612345231</v>
      </c>
      <c r="BO139" s="37" t="n">
        <f aca="false">IF(AND(ISNUMBER(BO138),ISNUMBER(BO132)),IFERROR(BO138/BO132,""),"")</f>
        <v>0.493666914224372</v>
      </c>
      <c r="BP139" s="37" t="n">
        <f aca="false">IF(AND(ISNUMBER(BP138),ISNUMBER(BP132)),IFERROR(BP138/BP132,""),"")</f>
        <v>0.491898410925419</v>
      </c>
      <c r="BQ139" s="37" t="n">
        <f aca="false">IF(AND(ISNUMBER(BQ138),ISNUMBER(BQ132)),IFERROR(BQ138/BQ132,""),"")</f>
        <v>0.488340524236932</v>
      </c>
      <c r="BR139" s="37" t="n">
        <f aca="false">IF(AND(ISNUMBER(BR138),ISNUMBER(BR132)),IFERROR(BR138/BR132,""),"")</f>
        <v>0.500534660597453</v>
      </c>
      <c r="BS139" s="37" t="n">
        <f aca="false">IF(AND(ISNUMBER(BS138),ISNUMBER(BS132)),IFERROR(BS138/BS132,""),"")</f>
        <v>0.498365005935319</v>
      </c>
      <c r="BT139" s="37" t="n">
        <f aca="false">IF(AND(ISNUMBER(BT138),ISNUMBER(BT132)),IFERROR(BT138/BT132,""),"")</f>
        <v>0.505657570121254</v>
      </c>
      <c r="BU139" s="37" t="n">
        <f aca="false">IF(AND(ISNUMBER(BU138),ISNUMBER(BU132)),IFERROR(BU138/BU132,""),"")</f>
        <v>0.497062210513215</v>
      </c>
      <c r="BV139" s="37" t="n">
        <f aca="false">IF(AND(ISNUMBER(BV138),ISNUMBER(BV132)),IFERROR(BV138/BV132,""),"")</f>
        <v>0.500393948616567</v>
      </c>
      <c r="BW139" s="37" t="n">
        <f aca="false">IF(AND(ISNUMBER(BW138),ISNUMBER(BW132)),IFERROR(BW138/BW132,""),"")</f>
        <v>0.502759258046548</v>
      </c>
      <c r="BX139" s="37" t="n">
        <f aca="false">IF(AND(ISNUMBER(BX138),ISNUMBER(BX132)),IFERROR(BX138/BX132,""),"")</f>
        <v>0.504460369886771</v>
      </c>
      <c r="BY139" s="37" t="n">
        <f aca="false">IF(AND(ISNUMBER(BY138),ISNUMBER(BY132)),IFERROR(BY138/BY132,""),"")</f>
        <v>0.509760530209288</v>
      </c>
      <c r="BZ139" s="37" t="n">
        <f aca="false">IF(AND(ISNUMBER(BZ138),ISNUMBER(BZ132)),IFERROR(BZ138/BZ132,""),"")</f>
        <v>0.509531003513352</v>
      </c>
      <c r="CA139" s="37" t="n">
        <f aca="false">IF(AND(ISNUMBER(CA138),ISNUMBER(CA132)),IFERROR(CA138/CA132,""),"")</f>
        <v>0.506694549489332</v>
      </c>
      <c r="CB139" s="37" t="n">
        <f aca="false">IF(AND(ISNUMBER(CB138),ISNUMBER(CB132)),IFERROR(CB138/CB132,""),"")</f>
        <v>0.515445518734192</v>
      </c>
      <c r="CC139" s="28" t="n">
        <f aca="false">IF(AND(ISNUMBER(CC138),ISNUMBER(CC132)),IFERROR(CC138/CC132,""),"")</f>
        <v>0.50468703616377</v>
      </c>
      <c r="CD139" s="28" t="n">
        <f aca="false">IF(AND(ISNUMBER(CD138),ISNUMBER(CD132)),IFERROR(CD138/CD132,""),"")</f>
        <v>0.48708208609064</v>
      </c>
      <c r="CE139" s="28" t="n">
        <f aca="false">IF(AND(ISNUMBER(CE138),ISNUMBER(CE132)),IFERROR(CE138/CE132,""),"")</f>
        <v>0.477448072674963</v>
      </c>
      <c r="CF139" s="28" t="n">
        <f aca="false">IF(AND(ISNUMBER(CF138),ISNUMBER(CF132)),IFERROR(CF138/CF132,""),"")</f>
        <v>0.494774930859614</v>
      </c>
      <c r="CG139" s="28" t="n">
        <f aca="false">IF(AND(ISNUMBER(CG138),ISNUMBER(CG132)),IFERROR(CG138/CG132,""),"")</f>
        <v>0.48807848842637</v>
      </c>
      <c r="CH139" s="28" t="n">
        <f aca="false">IF(AND(ISNUMBER(CH138),ISNUMBER(CH132)),IFERROR(CH138/CH132,""),"")</f>
        <v>0.495554518359692</v>
      </c>
      <c r="CI139" s="28" t="n">
        <f aca="false">IF(AND(ISNUMBER(CI138),ISNUMBER(CI132)),IFERROR(CI138/CI132,""),"")</f>
        <v>0.502165876724585</v>
      </c>
      <c r="CJ139" s="28" t="n">
        <f aca="false">IF(AND(ISNUMBER(CJ138),ISNUMBER(CJ132)),IFERROR(CJ138/CJ132,""),"")</f>
        <v>0.506080890903947</v>
      </c>
      <c r="CK139" s="23"/>
      <c r="CS139" s="29" t="s">
        <v>286</v>
      </c>
      <c r="CT139" s="65" t="n">
        <f aca="false">CU139+$CT$137</f>
        <v>1.75</v>
      </c>
      <c r="CU139" s="66" t="n">
        <v>1.25</v>
      </c>
      <c r="CV139" s="65" t="n">
        <f aca="false">CU139+$CV$137</f>
        <v>0.75</v>
      </c>
    </row>
    <row r="140" customFormat="false" ht="15" hidden="false" customHeight="true" outlineLevel="0" collapsed="false">
      <c r="B140" s="29" t="s">
        <v>389</v>
      </c>
      <c r="C140" s="34" t="n">
        <v>907.954</v>
      </c>
      <c r="D140" s="34" t="n">
        <v>1003.958</v>
      </c>
      <c r="E140" s="34" t="n">
        <v>1104.145</v>
      </c>
      <c r="F140" s="34" t="n">
        <v>1082.709</v>
      </c>
      <c r="G140" s="34" t="n">
        <v>1086.359</v>
      </c>
      <c r="H140" s="34" t="n">
        <v>1168.944</v>
      </c>
      <c r="I140" s="34" t="n">
        <v>1198.981</v>
      </c>
      <c r="J140" s="34" t="n">
        <v>306.581</v>
      </c>
      <c r="K140" s="34" t="n">
        <v>293.013</v>
      </c>
      <c r="L140" s="34" t="n">
        <v>308.918</v>
      </c>
      <c r="M140" s="34" t="n">
        <v>313.344</v>
      </c>
      <c r="N140" s="34" t="n">
        <v>1221.856</v>
      </c>
      <c r="O140" s="34" t="n">
        <v>325.91</v>
      </c>
      <c r="P140" s="34" t="n">
        <v>323.947</v>
      </c>
      <c r="Q140" s="34" t="n">
        <v>328.963</v>
      </c>
      <c r="R140" s="34" t="n">
        <v>326.09</v>
      </c>
      <c r="S140" s="34" t="n">
        <v>1302.752</v>
      </c>
      <c r="T140" s="34" t="n">
        <v>314.458</v>
      </c>
      <c r="U140" s="34" t="n">
        <v>300.249</v>
      </c>
      <c r="V140" s="34" t="n">
        <v>301.69</v>
      </c>
      <c r="W140" s="34" t="n">
        <v>308.941</v>
      </c>
      <c r="X140" s="34" t="n">
        <v>1224.93</v>
      </c>
      <c r="Y140" s="34" t="n">
        <v>338.637</v>
      </c>
      <c r="Z140" s="34" t="n">
        <v>327.051</v>
      </c>
      <c r="AA140" s="34" t="n">
        <v>331.656</v>
      </c>
      <c r="AB140" s="34" t="n">
        <v>350.778</v>
      </c>
      <c r="AC140" s="34" t="n">
        <v>1348.122</v>
      </c>
      <c r="AD140" s="34" t="n">
        <v>374.026</v>
      </c>
      <c r="AE140" s="34" t="n">
        <v>365.222</v>
      </c>
      <c r="AF140" s="34" t="n">
        <v>362.385</v>
      </c>
      <c r="AG140" s="34" t="n">
        <v>437.672</v>
      </c>
      <c r="AH140" s="34" t="n">
        <v>1527.38</v>
      </c>
      <c r="AI140" s="34" t="n">
        <v>486.283</v>
      </c>
      <c r="AJ140" s="34" t="n">
        <v>468.084</v>
      </c>
      <c r="AK140" s="34" t="n">
        <v>490.618</v>
      </c>
      <c r="AL140" s="34" t="n">
        <v>471.807</v>
      </c>
      <c r="AM140" s="34" t="n">
        <v>1916.792</v>
      </c>
      <c r="AN140" s="34" t="n">
        <v>504.634</v>
      </c>
      <c r="AO140" s="34" t="n">
        <v>491.671</v>
      </c>
      <c r="AP140" s="34" t="n">
        <v>476.099</v>
      </c>
      <c r="AQ140" s="34" t="n">
        <v>508.24</v>
      </c>
      <c r="AR140" s="34" t="n">
        <v>1980.644</v>
      </c>
      <c r="AS140" s="34" t="n">
        <v>542.996</v>
      </c>
      <c r="AT140" s="34" t="n">
        <v>517.927</v>
      </c>
      <c r="AU140" s="34" t="n">
        <v>509.743</v>
      </c>
      <c r="AV140" s="34" t="n">
        <v>500.386</v>
      </c>
      <c r="AW140" s="34" t="n">
        <v>2071.052</v>
      </c>
      <c r="AX140" s="34" t="n">
        <v>476.495</v>
      </c>
      <c r="AY140" s="34" t="n">
        <v>467.012</v>
      </c>
      <c r="AZ140" s="34" t="n">
        <v>483.048</v>
      </c>
      <c r="BA140" s="34" t="n">
        <v>502.604</v>
      </c>
      <c r="BB140" s="34" t="n">
        <v>1929.159</v>
      </c>
      <c r="BC140" s="34" t="n">
        <v>508.655</v>
      </c>
      <c r="BD140" s="34" t="n">
        <v>503.913</v>
      </c>
      <c r="BE140" s="34" t="n">
        <v>490.549</v>
      </c>
      <c r="BF140" s="34" t="n">
        <v>541.759</v>
      </c>
      <c r="BG140" s="34" t="n">
        <v>2044.876</v>
      </c>
      <c r="BH140" s="34" t="n">
        <v>587.992</v>
      </c>
      <c r="BI140" s="34" t="n">
        <v>577.513</v>
      </c>
      <c r="BJ140" s="34" t="n">
        <v>587.219</v>
      </c>
      <c r="BK140" s="34" t="n">
        <v>617.98</v>
      </c>
      <c r="BL140" s="34" t="n">
        <v>2370.704</v>
      </c>
      <c r="BM140" s="34" t="n">
        <v>641.015</v>
      </c>
      <c r="BN140" s="34" t="n">
        <v>641.865</v>
      </c>
      <c r="BO140" s="34" t="n">
        <v>667.048</v>
      </c>
      <c r="BP140" s="34" t="n">
        <v>667.855</v>
      </c>
      <c r="BQ140" s="34" t="n">
        <v>2617.783</v>
      </c>
      <c r="BR140" s="34" t="n">
        <v>691.1</v>
      </c>
      <c r="BS140" s="34" t="n">
        <v>685.313</v>
      </c>
      <c r="BT140" s="34" t="n">
        <v>709.488</v>
      </c>
      <c r="BU140" s="34" t="n">
        <v>728.537</v>
      </c>
      <c r="BV140" s="34" t="n">
        <v>2814.438</v>
      </c>
      <c r="BW140" s="34" t="n">
        <v>748.702</v>
      </c>
      <c r="BX140" s="34" t="n">
        <v>756.771</v>
      </c>
      <c r="BY140" s="34" t="n">
        <v>788.552</v>
      </c>
      <c r="BZ140" s="34" t="n">
        <v>793.232</v>
      </c>
      <c r="CA140" s="34" t="n">
        <v>3086.145</v>
      </c>
      <c r="CB140" s="34" t="n">
        <v>827.244</v>
      </c>
      <c r="CC140" s="35" t="n">
        <f aca="false">SUM(CC18,CC32,CC46,CC74)</f>
        <v>811.059427258605</v>
      </c>
      <c r="CD140" s="35" t="n">
        <f aca="false">SUM(CD18,CD32,CD46,CD74)</f>
        <v>966.135904037585</v>
      </c>
      <c r="CE140" s="35" t="n">
        <f aca="false">SUM(CE18,CE32,CE46,CE74)</f>
        <v>1035.54433104492</v>
      </c>
      <c r="CF140" s="35" t="n">
        <f aca="false">SUM(CF18,CF32,CF46,CF74)</f>
        <v>3639.98366234111</v>
      </c>
      <c r="CG140" s="35" t="n">
        <f aca="false">SUM(CG18,CG32,CG46,CG74,CG92)</f>
        <v>4323.08847292162</v>
      </c>
      <c r="CH140" s="35" t="n">
        <f aca="false">SUM(CH18,CH32,CH46,CH74,CH92)</f>
        <v>4594.66336799966</v>
      </c>
      <c r="CI140" s="35" t="n">
        <f aca="false">SUM(CI18,CI32,CI46,CI74,CI92)</f>
        <v>4872.93917751892</v>
      </c>
      <c r="CJ140" s="35" t="n">
        <f aca="false">SUM(CJ18,CJ32,CJ46,CJ74,CJ92)</f>
        <v>5188.46240374886</v>
      </c>
      <c r="CK140" s="23" t="s">
        <v>390</v>
      </c>
      <c r="CS140" s="29" t="s">
        <v>289</v>
      </c>
      <c r="CT140" s="65" t="n">
        <f aca="false">CU140+$CT$137</f>
        <v>1.75</v>
      </c>
      <c r="CU140" s="66" t="n">
        <v>1.25</v>
      </c>
      <c r="CV140" s="65" t="n">
        <f aca="false">CU140+$CV$137</f>
        <v>0.75</v>
      </c>
    </row>
    <row r="141" customFormat="false" ht="15" hidden="false" customHeight="true" outlineLevel="0" collapsed="false">
      <c r="B141" s="29" t="s">
        <v>391</v>
      </c>
      <c r="C141" s="34" t="n">
        <v>0</v>
      </c>
      <c r="D141" s="34" t="n">
        <v>0</v>
      </c>
      <c r="E141" s="34" t="n">
        <v>0</v>
      </c>
      <c r="F141" s="34" t="n">
        <v>0</v>
      </c>
      <c r="G141" s="34" t="n">
        <v>0</v>
      </c>
      <c r="H141" s="34" t="n">
        <v>0</v>
      </c>
      <c r="I141" s="34" t="n">
        <v>0</v>
      </c>
      <c r="J141" s="34" t="n">
        <v>0</v>
      </c>
      <c r="K141" s="34" t="n">
        <v>0</v>
      </c>
      <c r="L141" s="34" t="n">
        <v>0</v>
      </c>
      <c r="M141" s="34" t="n">
        <v>0</v>
      </c>
      <c r="N141" s="34" t="n">
        <v>0</v>
      </c>
      <c r="O141" s="34" t="n">
        <v>0</v>
      </c>
      <c r="P141" s="34" t="n">
        <v>0</v>
      </c>
      <c r="Q141" s="34" t="n">
        <v>0</v>
      </c>
      <c r="R141" s="34" t="n">
        <v>0</v>
      </c>
      <c r="S141" s="34" t="n">
        <v>0</v>
      </c>
      <c r="T141" s="34" t="n">
        <v>0</v>
      </c>
      <c r="U141" s="34" t="n">
        <v>0</v>
      </c>
      <c r="V141" s="34" t="n">
        <v>0</v>
      </c>
      <c r="W141" s="34" t="n">
        <v>0</v>
      </c>
      <c r="X141" s="34" t="n">
        <v>0</v>
      </c>
      <c r="Y141" s="34" t="n">
        <v>0</v>
      </c>
      <c r="Z141" s="34" t="n">
        <v>0</v>
      </c>
      <c r="AA141" s="34" t="n">
        <v>0</v>
      </c>
      <c r="AB141" s="34" t="n">
        <v>0</v>
      </c>
      <c r="AC141" s="34" t="n">
        <v>0</v>
      </c>
      <c r="AD141" s="34" t="n">
        <v>2.787</v>
      </c>
      <c r="AE141" s="34" t="n">
        <v>3.347</v>
      </c>
      <c r="AF141" s="34" t="n">
        <v>9.344</v>
      </c>
      <c r="AG141" s="34" t="n">
        <v>63.746</v>
      </c>
      <c r="AH141" s="34" t="n">
        <v>79.224</v>
      </c>
      <c r="AI141" s="34" t="n">
        <v>3.971</v>
      </c>
      <c r="AJ141" s="34" t="n">
        <v>13.074</v>
      </c>
      <c r="AK141" s="34" t="n">
        <v>9.821</v>
      </c>
      <c r="AL141" s="34" t="n">
        <v>15.031</v>
      </c>
      <c r="AM141" s="34" t="n">
        <v>41.897</v>
      </c>
      <c r="AN141" s="34" t="n">
        <v>4.85</v>
      </c>
      <c r="AO141" s="34" t="n">
        <v>7.847</v>
      </c>
      <c r="AP141" s="34" t="n">
        <v>0.799</v>
      </c>
      <c r="AQ141" s="34" t="n">
        <v>0.914</v>
      </c>
      <c r="AR141" s="34" t="n">
        <v>14.41</v>
      </c>
      <c r="AS141" s="34" t="n">
        <v>0</v>
      </c>
      <c r="AT141" s="34" t="n">
        <v>0</v>
      </c>
      <c r="AU141" s="34" t="n">
        <v>0</v>
      </c>
      <c r="AV141" s="34" t="n">
        <v>0</v>
      </c>
      <c r="AW141" s="34" t="n">
        <v>0</v>
      </c>
      <c r="AX141" s="34" t="n">
        <v>0</v>
      </c>
      <c r="AY141" s="34" t="n">
        <v>0</v>
      </c>
      <c r="AZ141" s="34" t="n">
        <v>0</v>
      </c>
      <c r="BA141" s="34" t="n">
        <v>0</v>
      </c>
      <c r="BB141" s="34" t="n">
        <v>0</v>
      </c>
      <c r="BC141" s="34" t="n">
        <v>0</v>
      </c>
      <c r="BD141" s="34" t="n">
        <v>0</v>
      </c>
      <c r="BE141" s="34" t="n">
        <v>0</v>
      </c>
      <c r="BF141" s="34" t="n">
        <v>0</v>
      </c>
      <c r="BG141" s="34" t="n">
        <v>0</v>
      </c>
      <c r="BH141" s="34" t="n">
        <v>0</v>
      </c>
      <c r="BI141" s="34" t="n">
        <v>0</v>
      </c>
      <c r="BJ141" s="34" t="n">
        <v>0</v>
      </c>
      <c r="BK141" s="34" t="n">
        <v>0</v>
      </c>
      <c r="BL141" s="34" t="n">
        <v>0</v>
      </c>
      <c r="BM141" s="34" t="n">
        <v>0</v>
      </c>
      <c r="BN141" s="34" t="n">
        <v>0</v>
      </c>
      <c r="BO141" s="34" t="n">
        <v>0</v>
      </c>
      <c r="BP141" s="34" t="n">
        <v>0</v>
      </c>
      <c r="BQ141" s="34" t="n">
        <v>0</v>
      </c>
      <c r="BR141" s="34" t="n">
        <v>0</v>
      </c>
      <c r="BS141" s="34" t="n">
        <v>0</v>
      </c>
      <c r="BT141" s="34" t="n">
        <v>0</v>
      </c>
      <c r="BU141" s="34" t="n">
        <v>0</v>
      </c>
      <c r="BV141" s="34" t="n">
        <v>0</v>
      </c>
      <c r="BW141" s="34" t="n">
        <v>0</v>
      </c>
      <c r="BX141" s="34" t="n">
        <v>0</v>
      </c>
      <c r="BY141" s="34" t="n">
        <v>0</v>
      </c>
      <c r="BZ141" s="34" t="n">
        <v>14.024</v>
      </c>
      <c r="CA141" s="34" t="n">
        <v>15.136</v>
      </c>
      <c r="CB141" s="34" t="n">
        <v>14.412</v>
      </c>
      <c r="CC141" s="35" t="n">
        <f aca="false">CC80</f>
        <v>15</v>
      </c>
      <c r="CD141" s="35" t="n">
        <f aca="false">CD80</f>
        <v>108.7</v>
      </c>
      <c r="CE141" s="35" t="n">
        <f aca="false">CE80</f>
        <v>31.5</v>
      </c>
      <c r="CF141" s="35" t="n">
        <f aca="false">CF80</f>
        <v>169.612</v>
      </c>
      <c r="CG141" s="35" t="n">
        <f aca="false">CG80</f>
        <v>157.5</v>
      </c>
      <c r="CH141" s="35" t="n">
        <f aca="false">CH80</f>
        <v>105</v>
      </c>
      <c r="CI141" s="35" t="n">
        <f aca="false">CI80</f>
        <v>35</v>
      </c>
      <c r="CJ141" s="35" t="n">
        <f aca="false">CJ80</f>
        <v>0</v>
      </c>
      <c r="CK141" s="23" t="s">
        <v>392</v>
      </c>
      <c r="CS141" s="29" t="s">
        <v>291</v>
      </c>
      <c r="CT141" s="65" t="n">
        <f aca="false">CU141+$CT$137</f>
        <v>1.75</v>
      </c>
      <c r="CU141" s="66" t="n">
        <v>1.25</v>
      </c>
      <c r="CV141" s="65" t="n">
        <f aca="false">CU141+$CV$137</f>
        <v>0.75</v>
      </c>
    </row>
    <row r="142" customFormat="false" ht="15" hidden="false" customHeight="true" outlineLevel="0" collapsed="false">
      <c r="B142" s="29" t="s">
        <v>393</v>
      </c>
      <c r="C142" s="34" t="n">
        <v>0</v>
      </c>
      <c r="D142" s="34" t="n">
        <v>0</v>
      </c>
      <c r="E142" s="34" t="n">
        <v>0</v>
      </c>
      <c r="F142" s="34" t="n">
        <v>59.097</v>
      </c>
      <c r="G142" s="34" t="n">
        <v>20.649</v>
      </c>
      <c r="H142" s="34" t="n">
        <v>0</v>
      </c>
      <c r="I142" s="34" t="n">
        <v>0</v>
      </c>
      <c r="J142" s="34" t="n">
        <v>0</v>
      </c>
      <c r="K142" s="34" t="n">
        <v>0</v>
      </c>
      <c r="L142" s="34" t="n">
        <v>0</v>
      </c>
      <c r="M142" s="34" t="n">
        <v>0</v>
      </c>
      <c r="N142" s="34" t="n">
        <v>0</v>
      </c>
      <c r="O142" s="34" t="n">
        <v>0</v>
      </c>
      <c r="P142" s="34" t="n">
        <v>0</v>
      </c>
      <c r="Q142" s="34" t="n">
        <v>0</v>
      </c>
      <c r="R142" s="34" t="n">
        <v>42.466</v>
      </c>
      <c r="S142" s="34" t="n">
        <v>44.624</v>
      </c>
      <c r="T142" s="34" t="n">
        <v>0</v>
      </c>
      <c r="U142" s="34" t="n">
        <v>0</v>
      </c>
      <c r="V142" s="34" t="n">
        <v>0</v>
      </c>
      <c r="W142" s="34" t="n">
        <v>0</v>
      </c>
      <c r="X142" s="34" t="n">
        <v>0</v>
      </c>
      <c r="Y142" s="34" t="n">
        <v>0</v>
      </c>
      <c r="Z142" s="34" t="n">
        <v>0</v>
      </c>
      <c r="AA142" s="34" t="n">
        <v>0</v>
      </c>
      <c r="AB142" s="34" t="n">
        <v>0</v>
      </c>
      <c r="AC142" s="34" t="n">
        <v>0</v>
      </c>
      <c r="AD142" s="34" t="n">
        <v>0</v>
      </c>
      <c r="AE142" s="34" t="n">
        <v>0</v>
      </c>
      <c r="AF142" s="34" t="n">
        <v>0</v>
      </c>
      <c r="AG142" s="34" t="n">
        <v>0</v>
      </c>
      <c r="AH142" s="34" t="n">
        <v>0</v>
      </c>
      <c r="AI142" s="34" t="n">
        <v>0</v>
      </c>
      <c r="AJ142" s="34" t="n">
        <v>0</v>
      </c>
      <c r="AK142" s="34" t="n">
        <v>0</v>
      </c>
      <c r="AL142" s="34" t="n">
        <v>0</v>
      </c>
      <c r="AM142" s="34" t="n">
        <v>0</v>
      </c>
      <c r="AN142" s="34" t="n">
        <v>0</v>
      </c>
      <c r="AO142" s="34" t="n">
        <v>0</v>
      </c>
      <c r="AP142" s="34" t="n">
        <v>0</v>
      </c>
      <c r="AQ142" s="34" t="n">
        <v>0</v>
      </c>
      <c r="AR142" s="34" t="n">
        <v>0</v>
      </c>
      <c r="AS142" s="34" t="n">
        <v>0</v>
      </c>
      <c r="AT142" s="34" t="n">
        <v>0</v>
      </c>
      <c r="AU142" s="34" t="n">
        <v>0</v>
      </c>
      <c r="AV142" s="34" t="n">
        <v>0</v>
      </c>
      <c r="AW142" s="34" t="n">
        <v>0</v>
      </c>
      <c r="AX142" s="34" t="n">
        <v>0</v>
      </c>
      <c r="AY142" s="34" t="n">
        <v>0</v>
      </c>
      <c r="AZ142" s="34" t="n">
        <v>0</v>
      </c>
      <c r="BA142" s="34" t="n">
        <v>0</v>
      </c>
      <c r="BB142" s="34" t="n">
        <v>0</v>
      </c>
      <c r="BC142" s="34" t="n">
        <v>0</v>
      </c>
      <c r="BD142" s="34" t="n">
        <v>0</v>
      </c>
      <c r="BE142" s="34" t="n">
        <v>0</v>
      </c>
      <c r="BF142" s="34" t="n">
        <v>0</v>
      </c>
      <c r="BG142" s="34" t="n">
        <v>0</v>
      </c>
      <c r="BH142" s="34" t="n">
        <v>0</v>
      </c>
      <c r="BI142" s="34" t="n">
        <v>0</v>
      </c>
      <c r="BJ142" s="34" t="n">
        <v>0</v>
      </c>
      <c r="BK142" s="34" t="n">
        <v>0</v>
      </c>
      <c r="BL142" s="34" t="n">
        <v>0</v>
      </c>
      <c r="BM142" s="34" t="n">
        <v>0</v>
      </c>
      <c r="BN142" s="34" t="n">
        <v>0</v>
      </c>
      <c r="BO142" s="34" t="n">
        <v>0</v>
      </c>
      <c r="BP142" s="34" t="n">
        <v>0</v>
      </c>
      <c r="BQ142" s="34" t="n">
        <v>0</v>
      </c>
      <c r="BR142" s="34" t="n">
        <v>0</v>
      </c>
      <c r="BS142" s="34" t="n">
        <v>0</v>
      </c>
      <c r="BT142" s="34" t="n">
        <v>0</v>
      </c>
      <c r="BU142" s="34" t="n">
        <v>0</v>
      </c>
      <c r="BV142" s="34" t="n">
        <v>0</v>
      </c>
      <c r="BW142" s="34" t="n">
        <v>0</v>
      </c>
      <c r="BX142" s="34" t="n">
        <v>0</v>
      </c>
      <c r="BY142" s="34" t="n">
        <v>0</v>
      </c>
      <c r="BZ142" s="34" t="n">
        <v>0</v>
      </c>
      <c r="CA142" s="34" t="n">
        <v>0</v>
      </c>
      <c r="CB142" s="34" t="n">
        <v>0</v>
      </c>
      <c r="CC142" s="35" t="n">
        <f aca="false">0</f>
        <v>0</v>
      </c>
      <c r="CD142" s="35" t="n">
        <f aca="false">0</f>
        <v>0</v>
      </c>
      <c r="CE142" s="35" t="n">
        <f aca="false">0</f>
        <v>0</v>
      </c>
      <c r="CF142" s="35" t="n">
        <f aca="false">0</f>
        <v>0</v>
      </c>
      <c r="CG142" s="35" t="n">
        <f aca="false">0</f>
        <v>0</v>
      </c>
      <c r="CH142" s="35" t="n">
        <f aca="false">0</f>
        <v>0</v>
      </c>
      <c r="CI142" s="35" t="n">
        <f aca="false">0</f>
        <v>0</v>
      </c>
      <c r="CJ142" s="35" t="n">
        <f aca="false">0</f>
        <v>0</v>
      </c>
      <c r="CK142" s="23" t="s">
        <v>394</v>
      </c>
    </row>
    <row r="143" customFormat="false" ht="15" hidden="false" customHeight="true" outlineLevel="0" collapsed="false">
      <c r="B143" s="55" t="s">
        <v>395</v>
      </c>
      <c r="C143" s="56" t="n">
        <f aca="false">C138-C140-C141-C142</f>
        <v>546.838</v>
      </c>
      <c r="D143" s="56" t="n">
        <f aca="false">D138-D140-D141-D142</f>
        <v>577.397</v>
      </c>
      <c r="E143" s="56" t="n">
        <f aca="false">E138-E140-E141-E142</f>
        <v>577.455</v>
      </c>
      <c r="F143" s="56" t="n">
        <f aca="false">F138-F140-F141-F142</f>
        <v>409.065</v>
      </c>
      <c r="G143" s="56" t="n">
        <f aca="false">G138-G140-G141-G142</f>
        <v>390.809</v>
      </c>
      <c r="H143" s="56" t="n">
        <f aca="false">H138-H140-H141-H142</f>
        <v>440.343</v>
      </c>
      <c r="I143" s="56" t="n">
        <f aca="false">I138-I140-I141-I142</f>
        <v>539.627</v>
      </c>
      <c r="J143" s="56" t="n">
        <f aca="false">J138-J140-J141-J142</f>
        <v>139.294</v>
      </c>
      <c r="K143" s="56" t="n">
        <f aca="false">K138-K140-K141-K142</f>
        <v>139.023</v>
      </c>
      <c r="L143" s="56" t="n">
        <f aca="false">L138-L140-L141-L142</f>
        <v>133.023</v>
      </c>
      <c r="M143" s="56" t="n">
        <f aca="false">M138-M140-M141-M142</f>
        <v>153.871</v>
      </c>
      <c r="N143" s="56" t="n">
        <f aca="false">N138-N140-N141-N142</f>
        <v>565.211</v>
      </c>
      <c r="O143" s="56" t="n">
        <f aca="false">O138-O140-O141-O142</f>
        <v>140.07</v>
      </c>
      <c r="P143" s="56" t="n">
        <f aca="false">P138-P140-P141-P142</f>
        <v>152.972</v>
      </c>
      <c r="Q143" s="56" t="n">
        <f aca="false">Q138-Q140-Q141-Q142</f>
        <v>150.162</v>
      </c>
      <c r="R143" s="56" t="n">
        <f aca="false">R138-R140-R141-R142</f>
        <v>123.806</v>
      </c>
      <c r="S143" s="56" t="n">
        <f aca="false">S138-S140-S141-S142</f>
        <v>567.01</v>
      </c>
      <c r="T143" s="56" t="n">
        <f aca="false">T138-T140-T141-T142</f>
        <v>163.488</v>
      </c>
      <c r="U143" s="56" t="n">
        <f aca="false">U138-U140-U141-U142</f>
        <v>181.175</v>
      </c>
      <c r="V143" s="56" t="n">
        <f aca="false">V138-V140-V141-V142</f>
        <v>173.617</v>
      </c>
      <c r="W143" s="56" t="n">
        <f aca="false">W138-W140-W141-W142</f>
        <v>177.719</v>
      </c>
      <c r="X143" s="56" t="n">
        <f aca="false">X138-X140-X141-X142</f>
        <v>696.407</v>
      </c>
      <c r="Y143" s="56" t="n">
        <f aca="false">Y138-Y140-Y141-Y142</f>
        <v>185.507</v>
      </c>
      <c r="Z143" s="56" t="n">
        <f aca="false">Z138-Z140-Z141-Z142</f>
        <v>200.349</v>
      </c>
      <c r="AA143" s="56" t="n">
        <f aca="false">AA138-AA140-AA141-AA142</f>
        <v>192.952</v>
      </c>
      <c r="AB143" s="56" t="n">
        <f aca="false">AB138-AB140-AB141-AB142</f>
        <v>202.94</v>
      </c>
      <c r="AC143" s="56" t="n">
        <f aca="false">AC138-AC140-AC141-AC142</f>
        <v>781.747999999999</v>
      </c>
      <c r="AD143" s="56" t="n">
        <f aca="false">AD138-AD140-AD141-AD142</f>
        <v>206.961</v>
      </c>
      <c r="AE143" s="56" t="n">
        <f aca="false">AE138-AE140-AE141-AE142</f>
        <v>202.858</v>
      </c>
      <c r="AF143" s="56" t="n">
        <f aca="false">AF138-AF140-AF141-AF142</f>
        <v>194.695</v>
      </c>
      <c r="AG143" s="56" t="n">
        <f aca="false">AG138-AG140-AG141-AG142</f>
        <v>177.308</v>
      </c>
      <c r="AH143" s="56" t="n">
        <f aca="false">AH138-AH140-AH141-AH142</f>
        <v>773.691</v>
      </c>
      <c r="AI143" s="56" t="n">
        <f aca="false">AI138-AI140-AI141-AI142</f>
        <v>249.099</v>
      </c>
      <c r="AJ143" s="56" t="n">
        <f aca="false">AJ138-AJ140-AJ141-AJ142</f>
        <v>235.211</v>
      </c>
      <c r="AK143" s="56" t="n">
        <f aca="false">AK138-AK140-AK141-AK142</f>
        <v>200.024</v>
      </c>
      <c r="AL143" s="56" t="n">
        <f aca="false">AL138-AL140-AL141-AL142</f>
        <v>265.5</v>
      </c>
      <c r="AM143" s="56" t="n">
        <f aca="false">AM138-AM140-AM141-AM142</f>
        <v>949.834</v>
      </c>
      <c r="AN143" s="56" t="n">
        <f aca="false">AN138-AN140-AN141-AN142</f>
        <v>265.228</v>
      </c>
      <c r="AO143" s="56" t="n">
        <f aca="false">AO138-AO140-AO141-AO142</f>
        <v>275.64</v>
      </c>
      <c r="AP143" s="56" t="n">
        <f aca="false">AP138-AP140-AP141-AP142</f>
        <v>278.255</v>
      </c>
      <c r="AQ143" s="56" t="n">
        <f aca="false">AQ138-AQ140-AQ141-AQ142</f>
        <v>314.411</v>
      </c>
      <c r="AR143" s="56" t="n">
        <f aca="false">AR138-AR140-AR141-AR142</f>
        <v>1133.534</v>
      </c>
      <c r="AS143" s="56" t="n">
        <f aca="false">AS138-AS140-AS141-AS142</f>
        <v>306.146</v>
      </c>
      <c r="AT143" s="56" t="n">
        <f aca="false">AT138-AT140-AT141-AT142</f>
        <v>334.464</v>
      </c>
      <c r="AU143" s="56" t="n">
        <f aca="false">AU138-AU140-AU141-AU142</f>
        <v>314.652</v>
      </c>
      <c r="AV143" s="56" t="n">
        <f aca="false">AV138-AV140-AV141-AV142</f>
        <v>207.434</v>
      </c>
      <c r="AW143" s="56" t="n">
        <f aca="false">AW138-AW140-AW141-AW142</f>
        <v>1162.696</v>
      </c>
      <c r="AX143" s="56" t="n">
        <f aca="false">AX138-AX140-AX141-AX142</f>
        <v>349.706</v>
      </c>
      <c r="AY143" s="56" t="n">
        <f aca="false">AY138-AY140-AY141-AY142</f>
        <v>352.872</v>
      </c>
      <c r="AZ143" s="56" t="n">
        <f aca="false">AZ138-AZ140-AZ141-AZ142</f>
        <v>326.468</v>
      </c>
      <c r="BA143" s="56" t="n">
        <f aca="false">BA138-BA140-BA141-BA142</f>
        <v>356.446</v>
      </c>
      <c r="BB143" s="56" t="n">
        <f aca="false">BB138-BB140-BB141-BB142</f>
        <v>1385.492</v>
      </c>
      <c r="BC143" s="56" t="n">
        <f aca="false">BC138-BC140-BC141-BC142</f>
        <v>394.101</v>
      </c>
      <c r="BD143" s="56" t="n">
        <f aca="false">BD138-BD140-BD141-BD142</f>
        <v>381.228</v>
      </c>
      <c r="BE143" s="56" t="n">
        <f aca="false">BE138-BE140-BE141-BE142</f>
        <v>407.605</v>
      </c>
      <c r="BF143" s="56" t="n">
        <f aca="false">BF138-BF140-BF141-BF142</f>
        <v>404.436</v>
      </c>
      <c r="BG143" s="56" t="n">
        <f aca="false">BG138-BG140-BG141-BG142</f>
        <v>1587.37</v>
      </c>
      <c r="BH143" s="56" t="n">
        <f aca="false">BH138-BH140-BH141-BH142</f>
        <v>440.12</v>
      </c>
      <c r="BI143" s="56" t="n">
        <f aca="false">BI138-BI140-BI141-BI142</f>
        <v>444.934</v>
      </c>
      <c r="BJ143" s="56" t="n">
        <f aca="false">BJ138-BJ140-BJ141-BJ142</f>
        <v>446.812</v>
      </c>
      <c r="BK143" s="56" t="n">
        <f aca="false">BK138-BK140-BK141-BK142</f>
        <v>470.798</v>
      </c>
      <c r="BL143" s="56" t="n">
        <f aca="false">BL138-BL140-BL141-BL142</f>
        <v>1802.664</v>
      </c>
      <c r="BM143" s="56" t="n">
        <f aca="false">BM138-BM140-BM141-BM142</f>
        <v>500.556</v>
      </c>
      <c r="BN143" s="56" t="n">
        <f aca="false">BN138-BN140-BN141-BN142</f>
        <v>499.683</v>
      </c>
      <c r="BO143" s="56" t="n">
        <f aca="false">BO138-BO140-BO141-BO142</f>
        <v>520.8</v>
      </c>
      <c r="BP143" s="56" t="n">
        <f aca="false">BP138-BP140-BP141-BP142</f>
        <v>547.594</v>
      </c>
      <c r="BQ143" s="56" t="n">
        <f aca="false">BQ138-BQ140-BQ141-BQ142</f>
        <v>2068.633</v>
      </c>
      <c r="BR143" s="56" t="n">
        <f aca="false">BR138-BR140-BR141-BR142</f>
        <v>561.031</v>
      </c>
      <c r="BS143" s="56" t="n">
        <f aca="false">BS138-BS140-BS141-BS142</f>
        <v>591.39</v>
      </c>
      <c r="BT143" s="56" t="n">
        <f aca="false">BT138-BT140-BT141-BT142</f>
        <v>609.853</v>
      </c>
      <c r="BU143" s="56" t="n">
        <f aca="false">BU138-BU140-BU141-BU142</f>
        <v>597.452</v>
      </c>
      <c r="BV143" s="56" t="n">
        <f aca="false">BV138-BV140-BV141-BV142</f>
        <v>2359.726</v>
      </c>
      <c r="BW143" s="56" t="n">
        <f aca="false">BW138-BW140-BW141-BW142</f>
        <v>617.859</v>
      </c>
      <c r="BX143" s="56" t="n">
        <f aca="false">BX138-BX140-BX141-BX142</f>
        <v>655.714</v>
      </c>
      <c r="BY143" s="56" t="n">
        <f aca="false">BY138-BY140-BY141-BY142</f>
        <v>659.904</v>
      </c>
      <c r="BZ143" s="56" t="n">
        <f aca="false">BZ138-BZ140-BZ141-BZ142</f>
        <v>673.035</v>
      </c>
      <c r="CA143" s="56" t="n">
        <f aca="false">CA138-CA140-CA141-CA142</f>
        <v>2606.512</v>
      </c>
      <c r="CB143" s="56" t="n">
        <f aca="false">CB138-CB140-CB141-CB142</f>
        <v>711.887</v>
      </c>
      <c r="CC143" s="56" t="n">
        <f aca="false">CC138-CC140-CC141-CC142</f>
        <v>694.097820906974</v>
      </c>
      <c r="CD143" s="56" t="n">
        <f aca="false">CD138-CD140-CD141-CD142</f>
        <v>619.739891529031</v>
      </c>
      <c r="CE143" s="56" t="n">
        <f aca="false">CE138-CE140-CE141-CE142</f>
        <v>734.887741079879</v>
      </c>
      <c r="CF143" s="56" t="n">
        <f aca="false">CF138-CF140-CF141-CF142</f>
        <v>2760.61245351588</v>
      </c>
      <c r="CG143" s="56" t="n">
        <f aca="false">CG138-CG140-CG141-CG142</f>
        <v>3275.41475592976</v>
      </c>
      <c r="CH143" s="56" t="n">
        <f aca="false">CH138-CH140-CH141-CH142</f>
        <v>3781.32705741825</v>
      </c>
      <c r="CI143" s="56" t="n">
        <f aca="false">CI138-CI140-CI141-CI142</f>
        <v>4347.40885849476</v>
      </c>
      <c r="CJ143" s="56" t="n">
        <f aca="false">CJ138-CJ140-CJ141-CJ142</f>
        <v>4815.15636015633</v>
      </c>
      <c r="CK143" s="23"/>
      <c r="CM143" s="24" t="n">
        <f aca="false">IFERROR((CJ143/CA143)^(1/5)-1,"n/m")</f>
        <v>0.130602999008649</v>
      </c>
      <c r="CN143" s="24" t="n">
        <f aca="false">IFERROR((CA143/BB143)^(1/5)-1,"n/m")</f>
        <v>0.134726353441395</v>
      </c>
      <c r="CO143" s="24" t="n">
        <f aca="false">IFERROR((CA143/AC143)^(1/10)-1,"n/m")</f>
        <v>0.127974534485211</v>
      </c>
      <c r="CP143" s="24" t="n">
        <f aca="false">IFERROR((CA143/C143)^(1/20)-1,"n/m")</f>
        <v>0.0812099958477428</v>
      </c>
    </row>
    <row r="144" customFormat="false" ht="15" hidden="false" customHeight="true" outlineLevel="0" collapsed="false">
      <c r="B144" s="29" t="s">
        <v>396</v>
      </c>
      <c r="C144" s="37" t="n">
        <f aca="false">IF(AND(ISNUMBER(C143),ISNUMBER(C132)),IFERROR(C143/C132,""),"")</f>
        <v>0.160664212800064</v>
      </c>
      <c r="D144" s="37" t="n">
        <f aca="false">IF(AND(ISNUMBER(D143),ISNUMBER(D132)),IFERROR(D143/D132,""),"")</f>
        <v>0.15576276673231</v>
      </c>
      <c r="E144" s="37" t="n">
        <f aca="false">IF(AND(ISNUMBER(E143),ISNUMBER(E132)),IFERROR(E143/E132,""),"")</f>
        <v>0.146640341298662</v>
      </c>
      <c r="F144" s="37" t="n">
        <f aca="false">IF(AND(ISNUMBER(F143),ISNUMBER(F132)),IFERROR(F143/F132,""),"")</f>
        <v>0.108370632251433</v>
      </c>
      <c r="G144" s="37" t="n">
        <f aca="false">IF(AND(ISNUMBER(G143),ISNUMBER(G132)),IFERROR(G143/G132,""),"")</f>
        <v>0.110169622920166</v>
      </c>
      <c r="H144" s="37" t="n">
        <f aca="false">IF(AND(ISNUMBER(H143),ISNUMBER(H132)),IFERROR(H143/H132,""),"")</f>
        <v>0.115563943161634</v>
      </c>
      <c r="I144" s="37" t="n">
        <f aca="false">IF(AND(ISNUMBER(I143),ISNUMBER(I132)),IFERROR(I143/I132,""),"")</f>
        <v>0.13155216967333</v>
      </c>
      <c r="J144" s="37" t="n">
        <f aca="false">IF(AND(ISNUMBER(J143),ISNUMBER(J132)),IFERROR(J143/J132,""),"")</f>
        <v>0.132493757876965</v>
      </c>
      <c r="K144" s="37" t="n">
        <f aca="false">IF(AND(ISNUMBER(K143),ISNUMBER(K132)),IFERROR(K143/K132,""),"")</f>
        <v>0.131106031199959</v>
      </c>
      <c r="L144" s="37" t="n">
        <f aca="false">IF(AND(ISNUMBER(L143),ISNUMBER(L132)),IFERROR(L143/L132,""),"")</f>
        <v>0.123664790633593</v>
      </c>
      <c r="M144" s="37" t="n">
        <f aca="false">IF(AND(ISNUMBER(M143),ISNUMBER(M132)),IFERROR(M143/M132,""),"")</f>
        <v>0.136279255964559</v>
      </c>
      <c r="N144" s="37" t="n">
        <f aca="false">IF(AND(ISNUMBER(N143),ISNUMBER(N132)),IFERROR(N143/N132,""),"")</f>
        <v>0.130942846598529</v>
      </c>
      <c r="O144" s="37" t="n">
        <f aca="false">IF(AND(ISNUMBER(O143),ISNUMBER(O132)),IFERROR(O143/O132,""),"")</f>
        <v>0.125024211335279</v>
      </c>
      <c r="P144" s="37" t="n">
        <f aca="false">IF(AND(ISNUMBER(P143),ISNUMBER(P132)),IFERROR(P143/P132,""),"")</f>
        <v>0.133745660120673</v>
      </c>
      <c r="Q144" s="37" t="n">
        <f aca="false">IF(AND(ISNUMBER(Q143),ISNUMBER(Q132)),IFERROR(Q143/Q132,""),"")</f>
        <v>0.13285886057526</v>
      </c>
      <c r="R144" s="37" t="n">
        <f aca="false">IF(AND(ISNUMBER(R143),ISNUMBER(R132)),IFERROR(R143/R132,""),"")</f>
        <v>0.106961767772893</v>
      </c>
      <c r="S144" s="37" t="n">
        <f aca="false">IF(AND(ISNUMBER(S143),ISNUMBER(S132)),IFERROR(S143/S132,""),"")</f>
        <v>0.124567974248497</v>
      </c>
      <c r="T144" s="37" t="n">
        <f aca="false">IF(AND(ISNUMBER(T143),ISNUMBER(T132)),IFERROR(T143/T132,""),"")</f>
        <v>0.148345351549846</v>
      </c>
      <c r="U144" s="37" t="n">
        <f aca="false">IF(AND(ISNUMBER(U143),ISNUMBER(U132)),IFERROR(U143/U132,""),"")</f>
        <v>0.161276826431685</v>
      </c>
      <c r="V144" s="37" t="n">
        <f aca="false">IF(AND(ISNUMBER(V143),ISNUMBER(V132)),IFERROR(V143/V132,""),"")</f>
        <v>0.156574351556166</v>
      </c>
      <c r="W144" s="37" t="n">
        <f aca="false">IF(AND(ISNUMBER(W143),ISNUMBER(W132)),IFERROR(W143/W132,""),"")</f>
        <v>0.155541435501841</v>
      </c>
      <c r="X144" s="37" t="n">
        <f aca="false">IF(AND(ISNUMBER(X143),ISNUMBER(X132)),IFERROR(X143/X132,""),"")</f>
        <v>0.155556116461308</v>
      </c>
      <c r="Y144" s="37" t="n">
        <f aca="false">IF(AND(ISNUMBER(Y143),ISNUMBER(Y132)),IFERROR(Y143/Y132,""),"")</f>
        <v>0.154732294038653</v>
      </c>
      <c r="Z144" s="37" t="n">
        <f aca="false">IF(AND(ISNUMBER(Z143),ISNUMBER(Z132)),IFERROR(Z143/Z132,""),"")</f>
        <v>0.164344423663746</v>
      </c>
      <c r="AA144" s="37" t="n">
        <f aca="false">IF(AND(ISNUMBER(AA143),ISNUMBER(AA132)),IFERROR(AA143/AA132,""),"")</f>
        <v>0.158666801525883</v>
      </c>
      <c r="AB144" s="37" t="n">
        <f aca="false">IF(AND(ISNUMBER(AB143),ISNUMBER(AB132)),IFERROR(AB143/AB132,""),"")</f>
        <v>0.159618689559975</v>
      </c>
      <c r="AC144" s="37" t="n">
        <f aca="false">IF(AND(ISNUMBER(AC143),ISNUMBER(AC132)),IFERROR(AC143/AC132,""),"")</f>
        <v>0.159362897409375</v>
      </c>
      <c r="AD144" s="37" t="n">
        <f aca="false">IF(AND(ISNUMBER(AD143),ISNUMBER(AD132)),IFERROR(AD143/AD132,""),"")</f>
        <v>0.159922882554303</v>
      </c>
      <c r="AE144" s="37" t="n">
        <f aca="false">IF(AND(ISNUMBER(AE143),ISNUMBER(AE132)),IFERROR(AE143/AE132,""),"")</f>
        <v>0.156414837272529</v>
      </c>
      <c r="AF144" s="37" t="n">
        <f aca="false">IF(AND(ISNUMBER(AF143),ISNUMBER(AF132)),IFERROR(AF143/AF132,""),"")</f>
        <v>0.151970713468916</v>
      </c>
      <c r="AG144" s="37" t="n">
        <f aca="false">IF(AND(ISNUMBER(AG143),ISNUMBER(AG132)),IFERROR(AG143/AG132,""),"")</f>
        <v>0.115865847386797</v>
      </c>
      <c r="AH144" s="37" t="n">
        <f aca="false">IF(AND(ISNUMBER(AH143),ISNUMBER(AH132)),IFERROR(AH143/AH132,""),"")</f>
        <v>0.145338272800688</v>
      </c>
      <c r="AI144" s="37" t="n">
        <f aca="false">IF(AND(ISNUMBER(AI143),ISNUMBER(AI132)),IFERROR(AI143/AI132,""),"")</f>
        <v>0.154575573238151</v>
      </c>
      <c r="AJ144" s="37" t="n">
        <f aca="false">IF(AND(ISNUMBER(AJ143),ISNUMBER(AJ132)),IFERROR(AJ143/AJ132,""),"")</f>
        <v>0.146417453239802</v>
      </c>
      <c r="AK144" s="37" t="n">
        <f aca="false">IF(AND(ISNUMBER(AK143),ISNUMBER(AK132)),IFERROR(AK143/AK132,""),"")</f>
        <v>0.125869496544668</v>
      </c>
      <c r="AL144" s="37" t="n">
        <f aca="false">IF(AND(ISNUMBER(AL143),ISNUMBER(AL132)),IFERROR(AL143/AL132,""),"")</f>
        <v>0.159024886945584</v>
      </c>
      <c r="AM144" s="37" t="n">
        <f aca="false">IF(AND(ISNUMBER(AM143),ISNUMBER(AM132)),IFERROR(AM143/AM132,""),"")</f>
        <v>0.146655545660152</v>
      </c>
      <c r="AN144" s="37" t="n">
        <f aca="false">IF(AND(ISNUMBER(AN143),ISNUMBER(AN132)),IFERROR(AN143/AN132,""),"")</f>
        <v>0.156202535373018</v>
      </c>
      <c r="AO144" s="37" t="n">
        <f aca="false">IF(AND(ISNUMBER(AO143),ISNUMBER(AO132)),IFERROR(AO143/AO132,""),"")</f>
        <v>0.160417350494801</v>
      </c>
      <c r="AP144" s="37" t="n">
        <f aca="false">IF(AND(ISNUMBER(AP143),ISNUMBER(AP132)),IFERROR(AP143/AP132,""),"")</f>
        <v>0.165398584106566</v>
      </c>
      <c r="AQ144" s="37" t="n">
        <f aca="false">IF(AND(ISNUMBER(AQ143),ISNUMBER(AQ132)),IFERROR(AQ143/AQ132,""),"")</f>
        <v>0.175283348107017</v>
      </c>
      <c r="AR144" s="37" t="n">
        <f aca="false">IF(AND(ISNUMBER(AR143),ISNUMBER(AR132)),IFERROR(AR143/AR132,""),"")</f>
        <v>0.164463750360366</v>
      </c>
      <c r="AS144" s="37" t="n">
        <f aca="false">IF(AND(ISNUMBER(AS143),ISNUMBER(AS132)),IFERROR(AS143/AS132,""),"")</f>
        <v>0.169035065779048</v>
      </c>
      <c r="AT144" s="37" t="n">
        <f aca="false">IF(AND(ISNUMBER(AT143),ISNUMBER(AT132)),IFERROR(AT143/AT132,""),"")</f>
        <v>0.181404301778604</v>
      </c>
      <c r="AU144" s="37" t="n">
        <f aca="false">IF(AND(ISNUMBER(AU143),ISNUMBER(AU132)),IFERROR(AU143/AU132,""),"")</f>
        <v>0.173778669294087</v>
      </c>
      <c r="AV144" s="37" t="n">
        <f aca="false">IF(AND(ISNUMBER(AV143),ISNUMBER(AV132)),IFERROR(AV143/AV132,""),"")</f>
        <v>0.128078568323718</v>
      </c>
      <c r="AW144" s="37" t="n">
        <f aca="false">IF(AND(ISNUMBER(AW143),ISNUMBER(AW132)),IFERROR(AW143/AW132,""),"")</f>
        <v>0.16410392484531</v>
      </c>
      <c r="AX144" s="37" t="n">
        <f aca="false">IF(AND(ISNUMBER(AX143),ISNUMBER(AX132)),IFERROR(AX143/AX132,""),"")</f>
        <v>0.200223866710562</v>
      </c>
      <c r="AY144" s="37" t="n">
        <f aca="false">IF(AND(ISNUMBER(AY143),ISNUMBER(AY132)),IFERROR(AY143/AY132,""),"")</f>
        <v>0.200832305093543</v>
      </c>
      <c r="AZ144" s="37" t="n">
        <f aca="false">IF(AND(ISNUMBER(AZ143),ISNUMBER(AZ132)),IFERROR(AZ143/AZ132,""),"")</f>
        <v>0.183712837411989</v>
      </c>
      <c r="BA144" s="37" t="n">
        <f aca="false">IF(AND(ISNUMBER(BA143),ISNUMBER(BA132)),IFERROR(BA143/BA132,""),"")</f>
        <v>0.194178554754936</v>
      </c>
      <c r="BB144" s="37" t="n">
        <f aca="false">IF(AND(ISNUMBER(BB143),ISNUMBER(BB132)),IFERROR(BB143/BB132,""),"")</f>
        <v>0.194691653293688</v>
      </c>
      <c r="BC144" s="37" t="n">
        <f aca="false">IF(AND(ISNUMBER(BC143),ISNUMBER(BC132)),IFERROR(BC143/BC132,""),"")</f>
        <v>0.207755080523999</v>
      </c>
      <c r="BD144" s="37" t="n">
        <f aca="false">IF(AND(ISNUMBER(BD143),ISNUMBER(BD132)),IFERROR(BD143/BD132,""),"")</f>
        <v>0.198320640946875</v>
      </c>
      <c r="BE144" s="37" t="n">
        <f aca="false">IF(AND(ISNUMBER(BE143),ISNUMBER(BE132)),IFERROR(BE143/BE132,""),"")</f>
        <v>0.207904242806326</v>
      </c>
      <c r="BF144" s="37" t="n">
        <f aca="false">IF(AND(ISNUMBER(BF143),ISNUMBER(BF132)),IFERROR(BF143/BF132,""),"")</f>
        <v>0.194938414776983</v>
      </c>
      <c r="BG144" s="37" t="n">
        <f aca="false">IF(AND(ISNUMBER(BG143),ISNUMBER(BG132)),IFERROR(BG143/BG132,""),"")</f>
        <v>0.202097942073413</v>
      </c>
      <c r="BH144" s="37" t="n">
        <f aca="false">IF(AND(ISNUMBER(BH143),ISNUMBER(BH132)),IFERROR(BH143/BH132,""),"")</f>
        <v>0.203152247866791</v>
      </c>
      <c r="BI144" s="37" t="n">
        <f aca="false">IF(AND(ISNUMBER(BI143),ISNUMBER(BI132)),IFERROR(BI143/BI132,""),"")</f>
        <v>0.204580712855736</v>
      </c>
      <c r="BJ144" s="37" t="n">
        <f aca="false">IF(AND(ISNUMBER(BJ143),ISNUMBER(BJ132)),IFERROR(BJ143/BJ132,""),"")</f>
        <v>0.204025048561954</v>
      </c>
      <c r="BK144" s="37" t="n">
        <f aca="false">IF(AND(ISNUMBER(BK143),ISNUMBER(BK132)),IFERROR(BK143/BK132,""),"")</f>
        <v>0.206086223024937</v>
      </c>
      <c r="BL144" s="37" t="n">
        <f aca="false">IF(AND(ISNUMBER(BL143),ISNUMBER(BL132)),IFERROR(BL143/BL132,""),"")</f>
        <v>0.204481764438247</v>
      </c>
      <c r="BM144" s="37" t="n">
        <f aca="false">IF(AND(ISNUMBER(BM143),ISNUMBER(BM132)),IFERROR(BM143/BM132,""),"")</f>
        <v>0.213700033727101</v>
      </c>
      <c r="BN144" s="37" t="n">
        <f aca="false">IF(AND(ISNUMBER(BN143),ISNUMBER(BN132)),IFERROR(BN143/BN132,""),"")</f>
        <v>0.210200165995212</v>
      </c>
      <c r="BO144" s="37" t="n">
        <f aca="false">IF(AND(ISNUMBER(BO143),ISNUMBER(BO132)),IFERROR(BO143/BO132,""),"")</f>
        <v>0.216443289821638</v>
      </c>
      <c r="BP144" s="37" t="n">
        <f aca="false">IF(AND(ISNUMBER(BP143),ISNUMBER(BP132)),IFERROR(BP143/BP132,""),"")</f>
        <v>0.221614085356353</v>
      </c>
      <c r="BQ144" s="37" t="n">
        <f aca="false">IF(AND(ISNUMBER(BQ143),ISNUMBER(BQ132)),IFERROR(BQ143/BQ132,""),"")</f>
        <v>0.215558611031077</v>
      </c>
      <c r="BR144" s="37" t="n">
        <f aca="false">IF(AND(ISNUMBER(BR143),ISNUMBER(BR132)),IFERROR(BR143/BR132,""),"")</f>
        <v>0.224270033382809</v>
      </c>
      <c r="BS144" s="37" t="n">
        <f aca="false">IF(AND(ISNUMBER(BS143),ISNUMBER(BS132)),IFERROR(BS143/BS132,""),"")</f>
        <v>0.230850934681041</v>
      </c>
      <c r="BT144" s="37" t="n">
        <f aca="false">IF(AND(ISNUMBER(BT143),ISNUMBER(BT132)),IFERROR(BT143/BT132,""),"")</f>
        <v>0.233735468018622</v>
      </c>
      <c r="BU144" s="37" t="n">
        <f aca="false">IF(AND(ISNUMBER(BU143),ISNUMBER(BU132)),IFERROR(BU143/BU132,""),"")</f>
        <v>0.223961746134803</v>
      </c>
      <c r="BV144" s="37" t="n">
        <f aca="false">IF(AND(ISNUMBER(BV143),ISNUMBER(BV132)),IFERROR(BV143/BV132,""),"")</f>
        <v>0.228209351461062</v>
      </c>
      <c r="BW144" s="37" t="n">
        <f aca="false">IF(AND(ISNUMBER(BW143),ISNUMBER(BW132)),IFERROR(BW143/BW132,""),"")</f>
        <v>0.227310988984306</v>
      </c>
      <c r="BX144" s="37" t="n">
        <f aca="false">IF(AND(ISNUMBER(BX143),ISNUMBER(BX132)),IFERROR(BX143/BX132,""),"")</f>
        <v>0.234184240526402</v>
      </c>
      <c r="BY144" s="37" t="n">
        <f aca="false">IF(AND(ISNUMBER(BY143),ISNUMBER(BY132)),IFERROR(BY143/BY132,""),"")</f>
        <v>0.232242479528015</v>
      </c>
      <c r="BZ144" s="37" t="n">
        <f aca="false">IF(AND(ISNUMBER(BZ143),ISNUMBER(BZ132)),IFERROR(BZ143/BZ132,""),"")</f>
        <v>0.231665394810621</v>
      </c>
      <c r="CA144" s="37" t="n">
        <f aca="false">IF(AND(ISNUMBER(CA143),ISNUMBER(CA132)),IFERROR(CA143/CA132,""),"")</f>
        <v>0.231386356088691</v>
      </c>
      <c r="CB144" s="37" t="n">
        <f aca="false">IF(AND(ISNUMBER(CB143),ISNUMBER(CB132)),IFERROR(CB143/CB132,""),"")</f>
        <v>0.236194919609646</v>
      </c>
      <c r="CC144" s="28" t="n">
        <f aca="false">IF(AND(ISNUMBER(CC143),ISNUMBER(CC132)),IFERROR(CC143/CC132,""),"")</f>
        <v>0.230438115835709</v>
      </c>
      <c r="CD144" s="28" t="n">
        <f aca="false">IF(AND(ISNUMBER(CD143),ISNUMBER(CD132)),IFERROR(CD143/CD132,""),"")</f>
        <v>0.178135554626291</v>
      </c>
      <c r="CE144" s="28" t="n">
        <f aca="false">IF(AND(ISNUMBER(CE143),ISNUMBER(CE132)),IFERROR(CE143/CE132,""),"")</f>
        <v>0.194719180061714</v>
      </c>
      <c r="CF144" s="28" t="n">
        <f aca="false">IF(AND(ISNUMBER(CF143),ISNUMBER(CF132)),IFERROR(CF143/CF132,""),"")</f>
        <v>0.207890193390069</v>
      </c>
      <c r="CG144" s="28" t="n">
        <f aca="false">IF(AND(ISNUMBER(CG143),ISNUMBER(CG132)),IFERROR(CG143/CG132,""),"")</f>
        <v>0.206118981113469</v>
      </c>
      <c r="CH144" s="28" t="n">
        <f aca="false">IF(AND(ISNUMBER(CH143),ISNUMBER(CH132)),IFERROR(CH143/CH132,""),"")</f>
        <v>0.22094750904132</v>
      </c>
      <c r="CI144" s="28" t="n">
        <f aca="false">IF(AND(ISNUMBER(CI143),ISNUMBER(CI132)),IFERROR(CI143/CI132,""),"")</f>
        <v>0.235876638286476</v>
      </c>
      <c r="CJ144" s="28" t="n">
        <f aca="false">IF(AND(ISNUMBER(CJ143),ISNUMBER(CJ132)),IFERROR(CJ143/CJ132,""),"")</f>
        <v>0.243597709799012</v>
      </c>
      <c r="CK144" s="23"/>
    </row>
    <row r="145" customFormat="false" ht="15" hidden="false" customHeight="true" outlineLevel="0" collapsed="false">
      <c r="B145" s="29" t="s">
        <v>397</v>
      </c>
      <c r="C145" s="34" t="n">
        <v>0</v>
      </c>
      <c r="D145" s="34" t="n">
        <v>0</v>
      </c>
      <c r="E145" s="34" t="n">
        <v>0</v>
      </c>
      <c r="F145" s="34" t="n">
        <v>0</v>
      </c>
      <c r="G145" s="34" t="n">
        <v>0</v>
      </c>
      <c r="H145" s="34" t="n">
        <v>0</v>
      </c>
      <c r="I145" s="34" t="n">
        <v>0</v>
      </c>
      <c r="J145" s="34" t="n">
        <v>0</v>
      </c>
      <c r="K145" s="34" t="n">
        <v>0</v>
      </c>
      <c r="L145" s="34" t="n">
        <v>0</v>
      </c>
      <c r="M145" s="34" t="n">
        <v>0</v>
      </c>
      <c r="N145" s="34" t="n">
        <v>0</v>
      </c>
      <c r="O145" s="34" t="n">
        <v>0</v>
      </c>
      <c r="P145" s="34" t="n">
        <v>0</v>
      </c>
      <c r="Q145" s="34" t="n">
        <v>0</v>
      </c>
      <c r="R145" s="34" t="n">
        <v>106.441</v>
      </c>
      <c r="S145" s="34" t="n">
        <v>106.441</v>
      </c>
      <c r="T145" s="34" t="n">
        <v>28.358</v>
      </c>
      <c r="U145" s="34" t="n">
        <v>0</v>
      </c>
      <c r="V145" s="34" t="n">
        <v>0</v>
      </c>
      <c r="W145" s="34" t="n">
        <v>-1.667</v>
      </c>
      <c r="X145" s="34" t="n">
        <v>26.691</v>
      </c>
      <c r="Y145" s="34" t="n">
        <v>0</v>
      </c>
      <c r="Z145" s="34" t="n">
        <v>0</v>
      </c>
      <c r="AA145" s="34" t="n">
        <v>0</v>
      </c>
      <c r="AB145" s="34" t="n">
        <v>0</v>
      </c>
      <c r="AC145" s="34" t="n">
        <v>0</v>
      </c>
      <c r="AD145" s="34" t="n">
        <v>0</v>
      </c>
      <c r="AE145" s="34" t="n">
        <v>0</v>
      </c>
      <c r="AF145" s="34" t="n">
        <v>0</v>
      </c>
      <c r="AG145" s="34" t="n">
        <v>0</v>
      </c>
      <c r="AH145" s="34" t="n">
        <v>0</v>
      </c>
      <c r="AI145" s="34" t="n">
        <v>0</v>
      </c>
      <c r="AJ145" s="34" t="n">
        <v>0</v>
      </c>
      <c r="AK145" s="34" t="n">
        <v>0</v>
      </c>
      <c r="AL145" s="34" t="n">
        <v>0</v>
      </c>
      <c r="AM145" s="34" t="n">
        <v>0</v>
      </c>
      <c r="AN145" s="34" t="n">
        <v>0</v>
      </c>
      <c r="AO145" s="34" t="n">
        <v>69.373</v>
      </c>
      <c r="AP145" s="34" t="n">
        <v>0</v>
      </c>
      <c r="AQ145" s="34" t="n">
        <v>0</v>
      </c>
      <c r="AR145" s="34" t="n">
        <v>69.373</v>
      </c>
      <c r="AS145" s="34" t="n">
        <v>0</v>
      </c>
      <c r="AT145" s="34" t="n">
        <v>0</v>
      </c>
      <c r="AU145" s="34" t="n">
        <v>0</v>
      </c>
      <c r="AV145" s="34" t="n">
        <v>0</v>
      </c>
      <c r="AW145" s="34" t="n">
        <v>0</v>
      </c>
      <c r="AX145" s="34" t="n">
        <v>0</v>
      </c>
      <c r="AY145" s="34" t="n">
        <v>0</v>
      </c>
      <c r="AZ145" s="34" t="n">
        <v>0</v>
      </c>
      <c r="BA145" s="34" t="n">
        <v>0</v>
      </c>
      <c r="BB145" s="34" t="n">
        <v>0</v>
      </c>
      <c r="BC145" s="34" t="n">
        <v>0</v>
      </c>
      <c r="BD145" s="34" t="n">
        <v>0</v>
      </c>
      <c r="BE145" s="34" t="n">
        <v>0</v>
      </c>
      <c r="BF145" s="34" t="n">
        <v>0</v>
      </c>
      <c r="BG145" s="34" t="n">
        <v>0</v>
      </c>
      <c r="BH145" s="34" t="n">
        <v>0</v>
      </c>
      <c r="BI145" s="34" t="n">
        <v>0</v>
      </c>
      <c r="BJ145" s="34" t="n">
        <v>0</v>
      </c>
      <c r="BK145" s="34" t="n">
        <v>0</v>
      </c>
      <c r="BL145" s="34" t="n">
        <v>0</v>
      </c>
      <c r="BM145" s="34" t="n">
        <v>0</v>
      </c>
      <c r="BN145" s="34" t="n">
        <v>0</v>
      </c>
      <c r="BO145" s="34" t="n">
        <v>0</v>
      </c>
      <c r="BP145" s="34" t="n">
        <v>0</v>
      </c>
      <c r="BQ145" s="34" t="n">
        <v>0</v>
      </c>
      <c r="BR145" s="34" t="n">
        <v>0</v>
      </c>
      <c r="BS145" s="34" t="n">
        <v>0</v>
      </c>
      <c r="BT145" s="34" t="n">
        <v>0</v>
      </c>
      <c r="BU145" s="34" t="n">
        <v>0</v>
      </c>
      <c r="BV145" s="34" t="n">
        <v>0</v>
      </c>
      <c r="BW145" s="34" t="n">
        <v>0</v>
      </c>
      <c r="BX145" s="34" t="n">
        <v>0</v>
      </c>
      <c r="BY145" s="34" t="n">
        <v>0</v>
      </c>
      <c r="BZ145" s="34" t="n">
        <v>0</v>
      </c>
      <c r="CA145" s="34" t="n">
        <v>0</v>
      </c>
      <c r="CB145" s="34" t="n">
        <v>0</v>
      </c>
      <c r="CC145" s="35" t="n">
        <f aca="false">0</f>
        <v>0</v>
      </c>
      <c r="CD145" s="35" t="n">
        <f aca="false">0</f>
        <v>0</v>
      </c>
      <c r="CE145" s="35" t="n">
        <f aca="false">0</f>
        <v>0</v>
      </c>
      <c r="CF145" s="35" t="n">
        <f aca="false">0</f>
        <v>0</v>
      </c>
      <c r="CG145" s="35" t="n">
        <f aca="false">0</f>
        <v>0</v>
      </c>
      <c r="CH145" s="35" t="n">
        <f aca="false">0</f>
        <v>0</v>
      </c>
      <c r="CI145" s="35" t="n">
        <f aca="false">0</f>
        <v>0</v>
      </c>
      <c r="CJ145" s="35" t="n">
        <f aca="false">0</f>
        <v>0</v>
      </c>
      <c r="CK145" s="23" t="s">
        <v>398</v>
      </c>
    </row>
    <row r="146" customFormat="false" ht="15" hidden="false" customHeight="true" outlineLevel="0" collapsed="false">
      <c r="B146" s="29" t="s">
        <v>399</v>
      </c>
      <c r="C146" s="34" t="n">
        <v>6.759</v>
      </c>
      <c r="D146" s="34" t="n">
        <v>6.48</v>
      </c>
      <c r="E146" s="34" t="n">
        <v>6.072</v>
      </c>
      <c r="F146" s="34" t="n">
        <v>2.764</v>
      </c>
      <c r="G146" s="34" t="n">
        <v>1.695</v>
      </c>
      <c r="H146" s="34" t="n">
        <v>2.03</v>
      </c>
      <c r="I146" s="34" t="n">
        <v>1.942</v>
      </c>
      <c r="J146" s="34" t="n">
        <v>0.077</v>
      </c>
      <c r="K146" s="34" t="n">
        <v>0.149</v>
      </c>
      <c r="L146" s="34" t="n">
        <v>0.132</v>
      </c>
      <c r="M146" s="34" t="n">
        <v>0.051</v>
      </c>
      <c r="N146" s="34" t="n">
        <v>0.409</v>
      </c>
      <c r="O146" s="34" t="n">
        <v>0.068</v>
      </c>
      <c r="P146" s="34" t="n">
        <v>0.084</v>
      </c>
      <c r="Q146" s="34" t="n">
        <v>0.044</v>
      </c>
      <c r="R146" s="34" t="n">
        <v>0.033</v>
      </c>
      <c r="S146" s="34" t="n">
        <v>0.229</v>
      </c>
      <c r="T146" s="34" t="n">
        <v>0.053</v>
      </c>
      <c r="U146" s="34" t="n">
        <v>0.019</v>
      </c>
      <c r="V146" s="34" t="n">
        <v>0.096</v>
      </c>
      <c r="W146" s="34" t="n">
        <v>0.171</v>
      </c>
      <c r="X146" s="34" t="n">
        <v>0.339</v>
      </c>
      <c r="Y146" s="34" t="n">
        <v>0.119</v>
      </c>
      <c r="Z146" s="34" t="n">
        <v>0.111</v>
      </c>
      <c r="AA146" s="34" t="n">
        <v>0.335</v>
      </c>
      <c r="AB146" s="34" t="n">
        <v>0.331</v>
      </c>
      <c r="AC146" s="34" t="n">
        <v>0.896</v>
      </c>
      <c r="AD146" s="34" t="n">
        <v>0.065</v>
      </c>
      <c r="AE146" s="34" t="n">
        <v>0.031</v>
      </c>
      <c r="AF146" s="34" t="n">
        <v>0.011</v>
      </c>
      <c r="AG146" s="34" t="n">
        <v>0.13</v>
      </c>
      <c r="AH146" s="34" t="n">
        <v>0.237</v>
      </c>
      <c r="AI146" s="34" t="n">
        <v>0.297</v>
      </c>
      <c r="AJ146" s="34" t="n">
        <v>0.291</v>
      </c>
      <c r="AK146" s="34" t="n">
        <v>0.384</v>
      </c>
      <c r="AL146" s="34" t="n">
        <v>0.37</v>
      </c>
      <c r="AM146" s="34" t="n">
        <v>1.342</v>
      </c>
      <c r="AN146" s="34" t="n">
        <v>0.496</v>
      </c>
      <c r="AO146" s="34" t="n">
        <v>0.391</v>
      </c>
      <c r="AP146" s="34" t="n">
        <v>0.07</v>
      </c>
      <c r="AQ146" s="34" t="n">
        <v>0.271</v>
      </c>
      <c r="AR146" s="34" t="n">
        <v>1.228</v>
      </c>
      <c r="AS146" s="34" t="n">
        <v>0.162</v>
      </c>
      <c r="AT146" s="34" t="n">
        <v>0.283</v>
      </c>
      <c r="AU146" s="34" t="n">
        <v>0.347</v>
      </c>
      <c r="AV146" s="34" t="n">
        <v>0.196</v>
      </c>
      <c r="AW146" s="34" t="n">
        <v>0.988</v>
      </c>
      <c r="AX146" s="34" t="n">
        <v>0.064</v>
      </c>
      <c r="AY146" s="34" t="n">
        <v>0.218</v>
      </c>
      <c r="AZ146" s="34" t="n">
        <v>0.087</v>
      </c>
      <c r="BA146" s="34" t="n">
        <v>0.098</v>
      </c>
      <c r="BB146" s="34" t="n">
        <v>0.467</v>
      </c>
      <c r="BC146" s="34" t="n">
        <v>0.056</v>
      </c>
      <c r="BD146" s="34" t="n">
        <v>0.056</v>
      </c>
      <c r="BE146" s="34" t="n">
        <v>0.056</v>
      </c>
      <c r="BF146" s="34" t="n">
        <v>0.074</v>
      </c>
      <c r="BG146" s="34" t="n">
        <v>0.242</v>
      </c>
      <c r="BH146" s="34" t="n">
        <v>0.155</v>
      </c>
      <c r="BI146" s="34" t="n">
        <v>0.344</v>
      </c>
      <c r="BJ146" s="34" t="n">
        <v>0.373</v>
      </c>
      <c r="BK146" s="34" t="n">
        <v>0.844</v>
      </c>
      <c r="BL146" s="34" t="n">
        <v>1.716</v>
      </c>
      <c r="BM146" s="34" t="n">
        <v>0.422</v>
      </c>
      <c r="BN146" s="34" t="n">
        <v>0.769</v>
      </c>
      <c r="BO146" s="34" t="n">
        <v>0.93</v>
      </c>
      <c r="BP146" s="34" t="n">
        <v>3.621</v>
      </c>
      <c r="BQ146" s="34" t="n">
        <v>5.742</v>
      </c>
      <c r="BR146" s="34" t="n">
        <v>1.25</v>
      </c>
      <c r="BS146" s="34" t="n">
        <v>0.962</v>
      </c>
      <c r="BT146" s="34" t="n">
        <v>1.349</v>
      </c>
      <c r="BU146" s="34" t="n">
        <v>2.023</v>
      </c>
      <c r="BV146" s="34" t="n">
        <v>5.584</v>
      </c>
      <c r="BW146" s="34" t="n">
        <v>2.209</v>
      </c>
      <c r="BX146" s="34" t="n">
        <v>0.866</v>
      </c>
      <c r="BY146" s="34" t="n">
        <v>0.805</v>
      </c>
      <c r="BZ146" s="34" t="n">
        <v>1.227</v>
      </c>
      <c r="CA146" s="34" t="n">
        <v>5.107</v>
      </c>
      <c r="CB146" s="34" t="n">
        <v>2.649</v>
      </c>
      <c r="CC146" s="35" t="n">
        <f aca="false">$CB$146</f>
        <v>2.649</v>
      </c>
      <c r="CD146" s="35" t="n">
        <f aca="false">$CB$146</f>
        <v>2.649</v>
      </c>
      <c r="CE146" s="35" t="n">
        <f aca="false">$CB$146</f>
        <v>2.649</v>
      </c>
      <c r="CF146" s="35" t="n">
        <f aca="false">SUM(CB146,CC146,CD146,CE146)</f>
        <v>10.596</v>
      </c>
      <c r="CG146" s="35" t="n">
        <f aca="false">CG372</f>
        <v>33.6847855655953</v>
      </c>
      <c r="CH146" s="35" t="n">
        <f aca="false">CH372</f>
        <v>8.75</v>
      </c>
      <c r="CI146" s="35" t="n">
        <f aca="false">CI372</f>
        <v>8.75</v>
      </c>
      <c r="CJ146" s="35" t="n">
        <f aca="false">CJ372</f>
        <v>8.75</v>
      </c>
      <c r="CK146" s="23" t="s">
        <v>400</v>
      </c>
    </row>
    <row r="147" customFormat="false" ht="15" hidden="false" customHeight="true" outlineLevel="0" collapsed="false">
      <c r="B147" s="29" t="s">
        <v>401</v>
      </c>
      <c r="C147" s="34" t="n">
        <v>31.782</v>
      </c>
      <c r="D147" s="34" t="n">
        <v>50.324</v>
      </c>
      <c r="E147" s="34" t="n">
        <v>52.823</v>
      </c>
      <c r="F147" s="34" t="n">
        <v>50.236</v>
      </c>
      <c r="G147" s="34" t="n">
        <v>48.612</v>
      </c>
      <c r="H147" s="34" t="n">
        <v>49.704</v>
      </c>
      <c r="I147" s="34" t="n">
        <v>70.625</v>
      </c>
      <c r="J147" s="34" t="n">
        <v>16.598</v>
      </c>
      <c r="K147" s="34" t="n">
        <v>16.294</v>
      </c>
      <c r="L147" s="34" t="n">
        <v>16.302</v>
      </c>
      <c r="M147" s="34" t="n">
        <v>16.518</v>
      </c>
      <c r="N147" s="34" t="n">
        <v>65.712</v>
      </c>
      <c r="O147" s="34" t="n">
        <v>16.523</v>
      </c>
      <c r="P147" s="34" t="n">
        <v>16.485</v>
      </c>
      <c r="Q147" s="34" t="n">
        <v>16.418</v>
      </c>
      <c r="R147" s="34" t="n">
        <v>16.396</v>
      </c>
      <c r="S147" s="34" t="n">
        <v>65.822</v>
      </c>
      <c r="T147" s="34" t="n">
        <v>16.583</v>
      </c>
      <c r="U147" s="34" t="n">
        <v>15.929</v>
      </c>
      <c r="V147" s="34" t="n">
        <v>16.254</v>
      </c>
      <c r="W147" s="34" t="n">
        <v>16.395</v>
      </c>
      <c r="X147" s="34" t="n">
        <v>65.161</v>
      </c>
      <c r="Y147" s="34" t="n">
        <v>16.412</v>
      </c>
      <c r="Z147" s="34" t="n">
        <v>16.171</v>
      </c>
      <c r="AA147" s="34" t="n">
        <v>16.163</v>
      </c>
      <c r="AB147" s="34" t="n">
        <v>15.776</v>
      </c>
      <c r="AC147" s="34" t="n">
        <v>64.522</v>
      </c>
      <c r="AD147" s="34" t="n">
        <v>14.172</v>
      </c>
      <c r="AE147" s="34" t="n">
        <v>13.267</v>
      </c>
      <c r="AF147" s="34" t="n">
        <v>13.696</v>
      </c>
      <c r="AG147" s="34" t="n">
        <v>45.389</v>
      </c>
      <c r="AH147" s="34" t="n">
        <v>86.524</v>
      </c>
      <c r="AI147" s="34" t="n">
        <v>30.317</v>
      </c>
      <c r="AJ147" s="34" t="n">
        <v>29.129</v>
      </c>
      <c r="AK147" s="34" t="n">
        <v>25.901</v>
      </c>
      <c r="AL147" s="34" t="n">
        <v>24.828</v>
      </c>
      <c r="AM147" s="34" t="n">
        <v>110.175</v>
      </c>
      <c r="AN147" s="34" t="n">
        <v>24.304</v>
      </c>
      <c r="AO147" s="34" t="n">
        <v>24.88</v>
      </c>
      <c r="AP147" s="34" t="n">
        <v>26.77</v>
      </c>
      <c r="AQ147" s="34" t="n">
        <v>25.782</v>
      </c>
      <c r="AR147" s="34" t="n">
        <v>101.736</v>
      </c>
      <c r="AS147" s="34" t="n">
        <v>27.321</v>
      </c>
      <c r="AT147" s="34" t="n">
        <v>26.177</v>
      </c>
      <c r="AU147" s="34" t="n">
        <v>25.943</v>
      </c>
      <c r="AV147" s="34" t="n">
        <v>25.952</v>
      </c>
      <c r="AW147" s="34" t="n">
        <v>105.393</v>
      </c>
      <c r="AX147" s="34" t="n">
        <v>24.55</v>
      </c>
      <c r="AY147" s="34" t="n">
        <v>24.557</v>
      </c>
      <c r="AZ147" s="34" t="n">
        <v>24.552</v>
      </c>
      <c r="BA147" s="34" t="n">
        <v>24.551</v>
      </c>
      <c r="BB147" s="34" t="n">
        <v>98.21</v>
      </c>
      <c r="BC147" s="34" t="n">
        <v>21.854</v>
      </c>
      <c r="BD147" s="34" t="n">
        <v>21.902</v>
      </c>
      <c r="BE147" s="34" t="n">
        <v>22.03</v>
      </c>
      <c r="BF147" s="34" t="n">
        <v>23.058</v>
      </c>
      <c r="BG147" s="34" t="n">
        <v>88.844</v>
      </c>
      <c r="BH147" s="34" t="n">
        <v>27.72</v>
      </c>
      <c r="BI147" s="34" t="n">
        <v>28.92</v>
      </c>
      <c r="BJ147" s="34" t="n">
        <v>28.819</v>
      </c>
      <c r="BK147" s="34" t="n">
        <v>25.773</v>
      </c>
      <c r="BL147" s="34" t="n">
        <v>111.232</v>
      </c>
      <c r="BM147" s="34" t="n">
        <v>24.544</v>
      </c>
      <c r="BN147" s="34" t="n">
        <v>26.59</v>
      </c>
      <c r="BO147" s="34" t="n">
        <v>25.53</v>
      </c>
      <c r="BP147" s="34" t="n">
        <v>24.076</v>
      </c>
      <c r="BQ147" s="34" t="n">
        <v>100.74</v>
      </c>
      <c r="BR147" s="34" t="n">
        <v>25.619</v>
      </c>
      <c r="BS147" s="34" t="n">
        <v>26.665</v>
      </c>
      <c r="BT147" s="34" t="n">
        <v>24.764</v>
      </c>
      <c r="BU147" s="34" t="n">
        <v>24.06</v>
      </c>
      <c r="BV147" s="34" t="n">
        <v>101.108</v>
      </c>
      <c r="BW147" s="34" t="n">
        <v>24.161</v>
      </c>
      <c r="BX147" s="34" t="n">
        <v>28.076</v>
      </c>
      <c r="BY147" s="34" t="n">
        <v>28.212</v>
      </c>
      <c r="BZ147" s="34" t="n">
        <v>25.836</v>
      </c>
      <c r="CA147" s="34" t="n">
        <v>106.285</v>
      </c>
      <c r="CB147" s="34" t="n">
        <v>24.706</v>
      </c>
      <c r="CC147" s="35" t="n">
        <f aca="false">($CU$16+SUM(CB146,CC146,CD146,CE146)-CB147)/3+$CU$23*$CU$24*CC64/365</f>
        <v>29.63</v>
      </c>
      <c r="CD147" s="35" t="n">
        <f aca="false">($CU$16+SUM(CB146,CC146,CD146,CE146)-CB147)/3+$CU$23*$CU$24*CD64/365</f>
        <v>52.643698630137</v>
      </c>
      <c r="CE147" s="35" t="n">
        <f aca="false">($CU$16+SUM(CB146,CC146,CD146,CE146)-CB147)/3+$CU$23*$CU$24*CE64/365</f>
        <v>64.9176712328767</v>
      </c>
      <c r="CF147" s="35" t="n">
        <f aca="false">SUM(CB147,CC147,CD147,CE147)</f>
        <v>171.897369863014</v>
      </c>
      <c r="CG147" s="35" t="n">
        <f aca="false">CG371</f>
        <v>250.947504</v>
      </c>
      <c r="CH147" s="35" t="n">
        <f aca="false">CH371</f>
        <v>265.197772241182</v>
      </c>
      <c r="CI147" s="35" t="n">
        <f aca="false">CI371</f>
        <v>293.974534833832</v>
      </c>
      <c r="CJ147" s="35" t="n">
        <f aca="false">CJ371</f>
        <v>324.531686607237</v>
      </c>
      <c r="CK147" s="23" t="s">
        <v>402</v>
      </c>
    </row>
    <row r="148" customFormat="false" ht="15" hidden="false" customHeight="true" outlineLevel="0" collapsed="false">
      <c r="B148" s="20" t="s">
        <v>403</v>
      </c>
      <c r="C148" s="39" t="n">
        <f aca="false">C143+C145+C146-C147</f>
        <v>521.815</v>
      </c>
      <c r="D148" s="39" t="n">
        <f aca="false">D143+D145+D146-D147</f>
        <v>533.553</v>
      </c>
      <c r="E148" s="39" t="n">
        <f aca="false">E143+E145+E146-E147</f>
        <v>530.704</v>
      </c>
      <c r="F148" s="39" t="n">
        <f aca="false">F143+F145+F146-F147</f>
        <v>361.593</v>
      </c>
      <c r="G148" s="39" t="n">
        <f aca="false">G143+G145+G146-G147</f>
        <v>343.892</v>
      </c>
      <c r="H148" s="39" t="n">
        <f aca="false">H143+H145+H146-H147</f>
        <v>392.669</v>
      </c>
      <c r="I148" s="39" t="n">
        <f aca="false">I143+I145+I146-I147</f>
        <v>470.944</v>
      </c>
      <c r="J148" s="39" t="n">
        <f aca="false">J143+J145+J146-J147</f>
        <v>122.773</v>
      </c>
      <c r="K148" s="39" t="n">
        <f aca="false">K143+K145+K146-K147</f>
        <v>122.878</v>
      </c>
      <c r="L148" s="39" t="n">
        <f aca="false">L143+L145+L146-L147</f>
        <v>116.853</v>
      </c>
      <c r="M148" s="39" t="n">
        <f aca="false">M143+M145+M146-M147</f>
        <v>137.404</v>
      </c>
      <c r="N148" s="39" t="n">
        <f aca="false">N143+N145+N146-N147</f>
        <v>499.908</v>
      </c>
      <c r="O148" s="39" t="n">
        <f aca="false">O143+O145+O146-O147</f>
        <v>123.615</v>
      </c>
      <c r="P148" s="39" t="n">
        <f aca="false">P143+P145+P146-P147</f>
        <v>136.571</v>
      </c>
      <c r="Q148" s="39" t="n">
        <f aca="false">Q143+Q145+Q146-Q147</f>
        <v>133.788</v>
      </c>
      <c r="R148" s="39" t="n">
        <f aca="false">R143+R145+R146-R147</f>
        <v>213.884</v>
      </c>
      <c r="S148" s="39" t="n">
        <f aca="false">S143+S145+S146-S147</f>
        <v>607.858</v>
      </c>
      <c r="T148" s="39" t="n">
        <f aca="false">T143+T145+T146-T147</f>
        <v>175.316</v>
      </c>
      <c r="U148" s="39" t="n">
        <f aca="false">U143+U145+U146-U147</f>
        <v>165.265</v>
      </c>
      <c r="V148" s="39" t="n">
        <f aca="false">V143+V145+V146-V147</f>
        <v>157.459</v>
      </c>
      <c r="W148" s="39" t="n">
        <f aca="false">W143+W145+W146-W147</f>
        <v>159.828</v>
      </c>
      <c r="X148" s="39" t="n">
        <f aca="false">X143+X145+X146-X147</f>
        <v>658.276000000001</v>
      </c>
      <c r="Y148" s="39" t="n">
        <f aca="false">Y143+Y145+Y146-Y147</f>
        <v>169.214</v>
      </c>
      <c r="Z148" s="39" t="n">
        <f aca="false">Z143+Z145+Z146-Z147</f>
        <v>184.289</v>
      </c>
      <c r="AA148" s="39" t="n">
        <f aca="false">AA143+AA145+AA146-AA147</f>
        <v>177.124</v>
      </c>
      <c r="AB148" s="39" t="n">
        <f aca="false">AB143+AB145+AB146-AB147</f>
        <v>187.495</v>
      </c>
      <c r="AC148" s="39" t="n">
        <f aca="false">AC143+AC145+AC146-AC147</f>
        <v>718.121999999999</v>
      </c>
      <c r="AD148" s="39" t="n">
        <f aca="false">AD143+AD145+AD146-AD147</f>
        <v>192.854</v>
      </c>
      <c r="AE148" s="39" t="n">
        <f aca="false">AE143+AE145+AE146-AE147</f>
        <v>189.622</v>
      </c>
      <c r="AF148" s="39" t="n">
        <f aca="false">AF143+AF145+AF146-AF147</f>
        <v>181.01</v>
      </c>
      <c r="AG148" s="39" t="n">
        <f aca="false">AG143+AG145+AG146-AG147</f>
        <v>132.049</v>
      </c>
      <c r="AH148" s="39" t="n">
        <f aca="false">AH143+AH145+AH146-AH147</f>
        <v>687.404</v>
      </c>
      <c r="AI148" s="39" t="n">
        <f aca="false">AI143+AI145+AI146-AI147</f>
        <v>219.079</v>
      </c>
      <c r="AJ148" s="39" t="n">
        <f aca="false">AJ143+AJ145+AJ146-AJ147</f>
        <v>206.373</v>
      </c>
      <c r="AK148" s="39" t="n">
        <f aca="false">AK143+AK145+AK146-AK147</f>
        <v>174.507</v>
      </c>
      <c r="AL148" s="39" t="n">
        <f aca="false">AL143+AL145+AL146-AL147</f>
        <v>241.042</v>
      </c>
      <c r="AM148" s="39" t="n">
        <f aca="false">AM143+AM145+AM146-AM147</f>
        <v>841.001</v>
      </c>
      <c r="AN148" s="39" t="n">
        <f aca="false">AN143+AN145+AN146-AN147</f>
        <v>241.42</v>
      </c>
      <c r="AO148" s="39" t="n">
        <f aca="false">AO143+AO145+AO146-AO147</f>
        <v>320.524</v>
      </c>
      <c r="AP148" s="39" t="n">
        <f aca="false">AP143+AP145+AP146-AP147</f>
        <v>251.555</v>
      </c>
      <c r="AQ148" s="39" t="n">
        <f aca="false">AQ143+AQ145+AQ146-AQ147</f>
        <v>288.9</v>
      </c>
      <c r="AR148" s="39" t="n">
        <f aca="false">AR143+AR145+AR146-AR147</f>
        <v>1102.399</v>
      </c>
      <c r="AS148" s="39" t="n">
        <f aca="false">AS143+AS145+AS146-AS147</f>
        <v>278.987</v>
      </c>
      <c r="AT148" s="39" t="n">
        <f aca="false">AT143+AT145+AT146-AT147</f>
        <v>308.57</v>
      </c>
      <c r="AU148" s="39" t="n">
        <f aca="false">AU143+AU145+AU146-AU147</f>
        <v>289.056</v>
      </c>
      <c r="AV148" s="39" t="n">
        <f aca="false">AV143+AV145+AV146-AV147</f>
        <v>181.678</v>
      </c>
      <c r="AW148" s="39" t="n">
        <f aca="false">AW143+AW145+AW146-AW147</f>
        <v>1058.291</v>
      </c>
      <c r="AX148" s="39" t="n">
        <f aca="false">AX143+AX145+AX146-AX147</f>
        <v>325.22</v>
      </c>
      <c r="AY148" s="39" t="n">
        <f aca="false">AY143+AY145+AY146-AY147</f>
        <v>328.533</v>
      </c>
      <c r="AZ148" s="39" t="n">
        <f aca="false">AZ143+AZ145+AZ146-AZ147</f>
        <v>302.003</v>
      </c>
      <c r="BA148" s="39" t="n">
        <f aca="false">BA143+BA145+BA146-BA147</f>
        <v>331.993</v>
      </c>
      <c r="BB148" s="39" t="n">
        <f aca="false">BB143+BB145+BB146-BB147</f>
        <v>1287.749</v>
      </c>
      <c r="BC148" s="39" t="n">
        <f aca="false">BC143+BC145+BC146-BC147</f>
        <v>372.303</v>
      </c>
      <c r="BD148" s="39" t="n">
        <f aca="false">BD143+BD145+BD146-BD147</f>
        <v>359.382</v>
      </c>
      <c r="BE148" s="39" t="n">
        <f aca="false">BE143+BE145+BE146-BE147</f>
        <v>385.631</v>
      </c>
      <c r="BF148" s="39" t="n">
        <f aca="false">BF143+BF145+BF146-BF147</f>
        <v>381.452</v>
      </c>
      <c r="BG148" s="39" t="n">
        <f aca="false">BG143+BG145+BG146-BG147</f>
        <v>1498.768</v>
      </c>
      <c r="BH148" s="39" t="n">
        <f aca="false">BH143+BH145+BH146-BH147</f>
        <v>412.555</v>
      </c>
      <c r="BI148" s="39" t="n">
        <f aca="false">BI143+BI145+BI146-BI147</f>
        <v>416.358</v>
      </c>
      <c r="BJ148" s="39" t="n">
        <f aca="false">BJ143+BJ145+BJ146-BJ147</f>
        <v>418.366</v>
      </c>
      <c r="BK148" s="39" t="n">
        <f aca="false">BK143+BK145+BK146-BK147</f>
        <v>445.869</v>
      </c>
      <c r="BL148" s="39" t="n">
        <f aca="false">BL143+BL145+BL146-BL147</f>
        <v>1693.148</v>
      </c>
      <c r="BM148" s="39" t="n">
        <f aca="false">BM143+BM145+BM146-BM147</f>
        <v>476.434</v>
      </c>
      <c r="BN148" s="39" t="n">
        <f aca="false">BN143+BN145+BN146-BN147</f>
        <v>473.862</v>
      </c>
      <c r="BO148" s="39" t="n">
        <f aca="false">BO143+BO145+BO146-BO147</f>
        <v>496.2</v>
      </c>
      <c r="BP148" s="39" t="n">
        <f aca="false">BP143+BP145+BP146-BP147</f>
        <v>527.139</v>
      </c>
      <c r="BQ148" s="39" t="n">
        <f aca="false">BQ143+BQ145+BQ146-BQ147</f>
        <v>1973.635</v>
      </c>
      <c r="BR148" s="39" t="n">
        <f aca="false">BR143+BR145+BR146-BR147</f>
        <v>536.662</v>
      </c>
      <c r="BS148" s="39" t="n">
        <f aca="false">BS143+BS145+BS146-BS147</f>
        <v>565.687</v>
      </c>
      <c r="BT148" s="39" t="n">
        <f aca="false">BT143+BT145+BT146-BT147</f>
        <v>586.438</v>
      </c>
      <c r="BU148" s="39" t="n">
        <f aca="false">BU143+BU145+BU146-BU147</f>
        <v>575.415</v>
      </c>
      <c r="BV148" s="39" t="n">
        <f aca="false">BV143+BV145+BV146-BV147</f>
        <v>2264.202</v>
      </c>
      <c r="BW148" s="39" t="n">
        <f aca="false">BW143+BW145+BW146-BW147</f>
        <v>595.907</v>
      </c>
      <c r="BX148" s="39" t="n">
        <f aca="false">BX143+BX145+BX146-BX147</f>
        <v>628.504</v>
      </c>
      <c r="BY148" s="39" t="n">
        <f aca="false">BY143+BY145+BY146-BY147</f>
        <v>632.497</v>
      </c>
      <c r="BZ148" s="39" t="n">
        <f aca="false">BZ143+BZ145+BZ146-BZ147</f>
        <v>648.426</v>
      </c>
      <c r="CA148" s="39" t="n">
        <f aca="false">CA143+CA145+CA146-CA147</f>
        <v>2505.334</v>
      </c>
      <c r="CB148" s="39" t="n">
        <f aca="false">CB143+CB145+CB146-CB147</f>
        <v>689.83</v>
      </c>
      <c r="CC148" s="22" t="n">
        <f aca="false">CC143+CC145+CC146-CC147</f>
        <v>667.116820906974</v>
      </c>
      <c r="CD148" s="22" t="n">
        <f aca="false">CD143+CD145+CD146-CD147</f>
        <v>569.745192898894</v>
      </c>
      <c r="CE148" s="22" t="n">
        <f aca="false">CE143+CE145+CE146-CE147</f>
        <v>672.619069847002</v>
      </c>
      <c r="CF148" s="22" t="n">
        <f aca="false">CF143+CF145+CF146-CF147</f>
        <v>2599.31108365287</v>
      </c>
      <c r="CG148" s="22" t="n">
        <f aca="false">CG143+CG145+CG146-CG147</f>
        <v>3058.15203749535</v>
      </c>
      <c r="CH148" s="22" t="n">
        <f aca="false">CH143+CH145+CH146-CH147</f>
        <v>3524.87928517707</v>
      </c>
      <c r="CI148" s="22" t="n">
        <f aca="false">CI143+CI145+CI146-CI147</f>
        <v>4062.18432366092</v>
      </c>
      <c r="CJ148" s="22" t="n">
        <f aca="false">CJ143+CJ145+CJ146-CJ147</f>
        <v>4499.37467354909</v>
      </c>
      <c r="CK148" s="23"/>
      <c r="CM148" s="24" t="n">
        <f aca="false">IFERROR((CJ148/CA148)^(1/5)-1,"n/m")</f>
        <v>0.124235527254432</v>
      </c>
      <c r="CN148" s="24" t="n">
        <f aca="false">IFERROR((CA148/BB148)^(1/5)-1,"n/m")</f>
        <v>0.14237024384946</v>
      </c>
      <c r="CO148" s="24" t="n">
        <f aca="false">IFERROR((CA148/AC148)^(1/10)-1,"n/m")</f>
        <v>0.133096087737853</v>
      </c>
      <c r="CP148" s="24" t="n">
        <f aca="false">IFERROR((CA148/C148)^(1/20)-1,"n/m")</f>
        <v>0.0816019302736069</v>
      </c>
    </row>
    <row r="149" customFormat="false" ht="15" hidden="false" customHeight="true" outlineLevel="0" collapsed="false">
      <c r="B149" s="29" t="s">
        <v>404</v>
      </c>
      <c r="C149" s="34" t="n">
        <v>194.637</v>
      </c>
      <c r="D149" s="34" t="n">
        <v>199.015</v>
      </c>
      <c r="E149" s="34" t="n">
        <v>195.299</v>
      </c>
      <c r="F149" s="34" t="n">
        <v>135.236</v>
      </c>
      <c r="G149" s="34" t="n">
        <v>128.272</v>
      </c>
      <c r="H149" s="34" t="n">
        <v>145.68</v>
      </c>
      <c r="I149" s="34" t="n">
        <v>173.307</v>
      </c>
      <c r="J149" s="34" t="n">
        <v>46.04</v>
      </c>
      <c r="K149" s="34" t="n">
        <v>44.851</v>
      </c>
      <c r="L149" s="34" t="n">
        <v>42.148</v>
      </c>
      <c r="M149" s="34" t="n">
        <v>51.427</v>
      </c>
      <c r="N149" s="34" t="n">
        <v>184.466</v>
      </c>
      <c r="O149" s="34" t="n">
        <v>45.861</v>
      </c>
      <c r="P149" s="34" t="n">
        <v>51.709</v>
      </c>
      <c r="Q149" s="34" t="n">
        <v>49.186</v>
      </c>
      <c r="R149" s="34" t="n">
        <v>86.66</v>
      </c>
      <c r="S149" s="34" t="n">
        <v>233.416</v>
      </c>
      <c r="T149" s="34" t="n">
        <v>65.525</v>
      </c>
      <c r="U149" s="34" t="n">
        <v>61.819</v>
      </c>
      <c r="V149" s="34" t="n">
        <v>57.052</v>
      </c>
      <c r="W149" s="34" t="n">
        <v>60.112</v>
      </c>
      <c r="X149" s="34" t="n">
        <v>244.66</v>
      </c>
      <c r="Y149" s="34" t="n">
        <v>63.016</v>
      </c>
      <c r="Z149" s="34" t="n">
        <v>68.836</v>
      </c>
      <c r="AA149" s="34" t="n">
        <v>59.845</v>
      </c>
      <c r="AB149" s="34" t="n">
        <v>69.484</v>
      </c>
      <c r="AC149" s="34" t="n">
        <v>261.181</v>
      </c>
      <c r="AD149" s="34" t="n">
        <v>54.763</v>
      </c>
      <c r="AE149" s="34" t="n">
        <v>66.168</v>
      </c>
      <c r="AF149" s="34" t="n">
        <v>62.363</v>
      </c>
      <c r="AG149" s="34" t="n">
        <v>49.875</v>
      </c>
      <c r="AH149" s="34" t="n">
        <v>230.118</v>
      </c>
      <c r="AI149" s="34" t="n">
        <v>57.971</v>
      </c>
      <c r="AJ149" s="34" t="n">
        <v>68.636</v>
      </c>
      <c r="AK149" s="34" t="n">
        <v>-121.282</v>
      </c>
      <c r="AL149" s="34" t="n">
        <v>51.744</v>
      </c>
      <c r="AM149" s="34" t="n">
        <v>57.069</v>
      </c>
      <c r="AN149" s="34" t="n">
        <v>28.873</v>
      </c>
      <c r="AO149" s="34" t="n">
        <v>77.53</v>
      </c>
      <c r="AP149" s="34" t="n">
        <v>50.632</v>
      </c>
      <c r="AQ149" s="34" t="n">
        <v>62.729</v>
      </c>
      <c r="AR149" s="34" t="n">
        <v>219.764</v>
      </c>
      <c r="AS149" s="34" t="n">
        <v>28.175</v>
      </c>
      <c r="AT149" s="34" t="n">
        <v>62.127</v>
      </c>
      <c r="AU149" s="34" t="n">
        <v>54.536</v>
      </c>
      <c r="AV149" s="34" t="n">
        <v>37.093</v>
      </c>
      <c r="AW149" s="34" t="n">
        <v>181.931</v>
      </c>
      <c r="AX149" s="34" t="n">
        <v>25.215</v>
      </c>
      <c r="AY149" s="34" t="n">
        <v>43.676</v>
      </c>
      <c r="AZ149" s="34" t="n">
        <v>43.619</v>
      </c>
      <c r="BA149" s="34" t="n">
        <v>64.271</v>
      </c>
      <c r="BB149" s="34" t="n">
        <v>176.781</v>
      </c>
      <c r="BC149" s="34" t="n">
        <v>41.124</v>
      </c>
      <c r="BD149" s="34" t="n">
        <v>64.713</v>
      </c>
      <c r="BE149" s="34" t="n">
        <v>70.183</v>
      </c>
      <c r="BF149" s="34" t="n">
        <v>86.991</v>
      </c>
      <c r="BG149" s="34" t="n">
        <v>263.011</v>
      </c>
      <c r="BH149" s="34" t="n">
        <v>60.866</v>
      </c>
      <c r="BI149" s="34" t="n">
        <v>92.065</v>
      </c>
      <c r="BJ149" s="34" t="n">
        <v>92.539</v>
      </c>
      <c r="BK149" s="34" t="n">
        <v>99.668</v>
      </c>
      <c r="BL149" s="34" t="n">
        <v>345.138</v>
      </c>
      <c r="BM149" s="34" t="n">
        <v>91.349</v>
      </c>
      <c r="BN149" s="34" t="n">
        <v>99.249</v>
      </c>
      <c r="BO149" s="34" t="n">
        <v>98.621</v>
      </c>
      <c r="BP149" s="34" t="n">
        <v>112.824</v>
      </c>
      <c r="BQ149" s="34" t="n">
        <v>402.043</v>
      </c>
      <c r="BR149" s="34" t="n">
        <v>84.629</v>
      </c>
      <c r="BS149" s="34" t="n">
        <v>117.192</v>
      </c>
      <c r="BT149" s="34" t="n">
        <v>122.941</v>
      </c>
      <c r="BU149" s="34" t="n">
        <v>127.159</v>
      </c>
      <c r="BV149" s="34" t="n">
        <v>451.921</v>
      </c>
      <c r="BW149" s="34" t="n">
        <v>104.767</v>
      </c>
      <c r="BX149" s="34" t="n">
        <v>133.161</v>
      </c>
      <c r="BY149" s="34" t="n">
        <v>130.001</v>
      </c>
      <c r="BZ149" s="34" t="n">
        <v>137.437</v>
      </c>
      <c r="CA149" s="34" t="n">
        <v>505.366</v>
      </c>
      <c r="CB149" s="34" t="n">
        <v>138.119</v>
      </c>
      <c r="CC149" s="35" t="n">
        <f aca="false">CC148*CC150</f>
        <v>136.091831465023</v>
      </c>
      <c r="CD149" s="35" t="n">
        <f aca="false">CD148*CD150</f>
        <v>116.228019351374</v>
      </c>
      <c r="CE149" s="35" t="n">
        <f aca="false">CE148*CE150</f>
        <v>137.214290248788</v>
      </c>
      <c r="CF149" s="35" t="n">
        <f aca="false">SUM(CB149,CC149,CD149,CE149)</f>
        <v>527.653141065186</v>
      </c>
      <c r="CG149" s="35" t="n">
        <f aca="false">CG148*CG150</f>
        <v>642.211927874024</v>
      </c>
      <c r="CH149" s="35" t="n">
        <f aca="false">CH148*CH150</f>
        <v>740.224649887184</v>
      </c>
      <c r="CI149" s="35" t="n">
        <f aca="false">CI148*CI150</f>
        <v>853.058707968794</v>
      </c>
      <c r="CJ149" s="35" t="n">
        <f aca="false">CJ148*CJ150</f>
        <v>944.86868144531</v>
      </c>
      <c r="CK149" s="23" t="s">
        <v>405</v>
      </c>
    </row>
    <row r="150" customFormat="false" ht="15" hidden="false" customHeight="true" outlineLevel="0" collapsed="false">
      <c r="B150" s="29" t="s">
        <v>406</v>
      </c>
      <c r="C150" s="37" t="n">
        <f aca="false">IF(AND(ISNUMBER(C149),ISNUMBER(C148)),IFERROR(C149/C148,""),"")</f>
        <v>0.37300000958194</v>
      </c>
      <c r="D150" s="37" t="n">
        <f aca="false">IF(AND(ISNUMBER(D149),ISNUMBER(D148)),IFERROR(D149/D148,""),"")</f>
        <v>0.372999495832654</v>
      </c>
      <c r="E150" s="37" t="n">
        <f aca="false">IF(AND(ISNUMBER(E149),ISNUMBER(E148)),IFERROR(E149/E148,""),"")</f>
        <v>0.367999864331153</v>
      </c>
      <c r="F150" s="37" t="n">
        <f aca="false">IF(AND(ISNUMBER(F149),ISNUMBER(F148)),IFERROR(F149/F148,""),"")</f>
        <v>0.374000602887777</v>
      </c>
      <c r="G150" s="37" t="n">
        <f aca="false">IF(AND(ISNUMBER(G149),ISNUMBER(G148)),IFERROR(G149/G148,""),"")</f>
        <v>0.373000825840671</v>
      </c>
      <c r="H150" s="37" t="n">
        <f aca="false">IF(AND(ISNUMBER(H149),ISNUMBER(H148)),IFERROR(H149/H148,""),"")</f>
        <v>0.37099949321184</v>
      </c>
      <c r="I150" s="37" t="n">
        <f aca="false">IF(AND(ISNUMBER(I149),ISNUMBER(I148)),IFERROR(I149/I148,""),"")</f>
        <v>0.367999167629272</v>
      </c>
      <c r="J150" s="37" t="n">
        <f aca="false">IF(AND(ISNUMBER(J149),ISNUMBER(J148)),IFERROR(J149/J148,""),"")</f>
        <v>0.375001018139168</v>
      </c>
      <c r="K150" s="37" t="n">
        <f aca="false">IF(AND(ISNUMBER(K149),ISNUMBER(K148)),IFERROR(K149/K148,""),"")</f>
        <v>0.365004313221244</v>
      </c>
      <c r="L150" s="37" t="n">
        <f aca="false">IF(AND(ISNUMBER(L149),ISNUMBER(L148)),IFERROR(L149/L148,""),"")</f>
        <v>0.360692493988173</v>
      </c>
      <c r="M150" s="37" t="n">
        <f aca="false">IF(AND(ISNUMBER(M149),ISNUMBER(M148)),IFERROR(M149/M148,""),"")</f>
        <v>0.374275858053623</v>
      </c>
      <c r="N150" s="37" t="n">
        <f aca="false">IF(AND(ISNUMBER(N149),ISNUMBER(N148)),IFERROR(N149/N148,""),"")</f>
        <v>0.368999895980861</v>
      </c>
      <c r="O150" s="37" t="n">
        <f aca="false">IF(AND(ISNUMBER(O149),ISNUMBER(O148)),IFERROR(O149/O148,""),"")</f>
        <v>0.370998665210533</v>
      </c>
      <c r="P150" s="37" t="n">
        <f aca="false">IF(AND(ISNUMBER(P149),ISNUMBER(P148)),IFERROR(P149/P148,""),"")</f>
        <v>0.378623573086527</v>
      </c>
      <c r="Q150" s="37" t="n">
        <f aca="false">IF(AND(ISNUMBER(Q149),ISNUMBER(Q148)),IFERROR(Q149/Q148,""),"")</f>
        <v>0.367641343020301</v>
      </c>
      <c r="R150" s="37" t="n">
        <f aca="false">IF(AND(ISNUMBER(R149),ISNUMBER(R148)),IFERROR(R149/R148,""),"")</f>
        <v>0.405172897458435</v>
      </c>
      <c r="S150" s="37" t="n">
        <f aca="false">IF(AND(ISNUMBER(S149),ISNUMBER(S148)),IFERROR(S149/S148,""),"")</f>
        <v>0.383997578381793</v>
      </c>
      <c r="T150" s="37" t="n">
        <f aca="false">IF(AND(ISNUMBER(T149),ISNUMBER(T148)),IFERROR(T149/T148,""),"")</f>
        <v>0.373753679070935</v>
      </c>
      <c r="U150" s="37" t="n">
        <f aca="false">IF(AND(ISNUMBER(U149),ISNUMBER(U148)),IFERROR(U149/U148,""),"")</f>
        <v>0.374059843282002</v>
      </c>
      <c r="V150" s="37" t="n">
        <f aca="false">IF(AND(ISNUMBER(V149),ISNUMBER(V148)),IFERROR(V149/V148,""),"")</f>
        <v>0.362329241262805</v>
      </c>
      <c r="W150" s="37" t="n">
        <f aca="false">IF(AND(ISNUMBER(W149),ISNUMBER(W148)),IFERROR(W149/W148,""),"")</f>
        <v>0.376104312135546</v>
      </c>
      <c r="X150" s="37" t="n">
        <f aca="false">IF(AND(ISNUMBER(X149),ISNUMBER(X148)),IFERROR(X149/X148,""),"")</f>
        <v>0.371667811070128</v>
      </c>
      <c r="Y150" s="37" t="n">
        <f aca="false">IF(AND(ISNUMBER(Y149),ISNUMBER(Y148)),IFERROR(Y149/Y148,""),"")</f>
        <v>0.372404174595482</v>
      </c>
      <c r="Z150" s="37" t="n">
        <f aca="false">IF(AND(ISNUMBER(Z149),ISNUMBER(Z148)),IFERROR(Z149/Z148,""),"")</f>
        <v>0.373522022475568</v>
      </c>
      <c r="AA150" s="37" t="n">
        <f aca="false">IF(AND(ISNUMBER(AA149),ISNUMBER(AA148)),IFERROR(AA149/AA148,""),"")</f>
        <v>0.337870644294393</v>
      </c>
      <c r="AB150" s="37" t="n">
        <f aca="false">IF(AND(ISNUMBER(AB149),ISNUMBER(AB148)),IFERROR(AB149/AB148,""),"")</f>
        <v>0.370591215765754</v>
      </c>
      <c r="AC150" s="37" t="n">
        <f aca="false">IF(AND(ISNUMBER(AC149),ISNUMBER(AC148)),IFERROR(AC149/AC148,""),"")</f>
        <v>0.363700039826102</v>
      </c>
      <c r="AD150" s="37" t="n">
        <f aca="false">IF(AND(ISNUMBER(AD149),ISNUMBER(AD148)),IFERROR(AD149/AD148,""),"")</f>
        <v>0.283960923807647</v>
      </c>
      <c r="AE150" s="37" t="n">
        <f aca="false">IF(AND(ISNUMBER(AE149),ISNUMBER(AE148)),IFERROR(AE149/AE148,""),"")</f>
        <v>0.348946852158505</v>
      </c>
      <c r="AF150" s="37" t="n">
        <f aca="false">IF(AND(ISNUMBER(AF149),ISNUMBER(AF148)),IFERROR(AF149/AF148,""),"")</f>
        <v>0.344527926633888</v>
      </c>
      <c r="AG150" s="37" t="n">
        <f aca="false">IF(AND(ISNUMBER(AG149),ISNUMBER(AG148)),IFERROR(AG149/AG148,""),"")</f>
        <v>0.377700702012132</v>
      </c>
      <c r="AH150" s="37" t="n">
        <f aca="false">IF(AND(ISNUMBER(AH149),ISNUMBER(AH148)),IFERROR(AH149/AH148,""),"")</f>
        <v>0.334763836113843</v>
      </c>
      <c r="AI150" s="37" t="n">
        <f aca="false">IF(AND(ISNUMBER(AI149),ISNUMBER(AI148)),IFERROR(AI149/AI148,""),"")</f>
        <v>0.264612308801848</v>
      </c>
      <c r="AJ150" s="37" t="n">
        <f aca="false">IF(AND(ISNUMBER(AJ149),ISNUMBER(AJ148)),IFERROR(AJ149/AJ148,""),"")</f>
        <v>0.33258226609101</v>
      </c>
      <c r="AK150" s="37" t="n">
        <f aca="false">IF(AND(ISNUMBER(AK149),ISNUMBER(AK148)),IFERROR(AK149/AK148,""),"")</f>
        <v>-0.69499790839336</v>
      </c>
      <c r="AL150" s="37" t="n">
        <f aca="false">IF(AND(ISNUMBER(AL149),ISNUMBER(AL148)),IFERROR(AL149/AL148,""),"")</f>
        <v>0.214667983173057</v>
      </c>
      <c r="AM150" s="37" t="n">
        <f aca="false">IF(AND(ISNUMBER(AM149),ISNUMBER(AM148)),IFERROR(AM149/AM148,""),"")</f>
        <v>0.0678584210958132</v>
      </c>
      <c r="AN150" s="37" t="n">
        <f aca="false">IF(AND(ISNUMBER(AN149),ISNUMBER(AN148)),IFERROR(AN149/AN148,""),"")</f>
        <v>0.119596553723801</v>
      </c>
      <c r="AO150" s="37" t="n">
        <f aca="false">IF(AND(ISNUMBER(AO149),ISNUMBER(AO148)),IFERROR(AO149/AO148,""),"")</f>
        <v>0.241885163045513</v>
      </c>
      <c r="AP150" s="37" t="n">
        <f aca="false">IF(AND(ISNUMBER(AP149),ISNUMBER(AP148)),IFERROR(AP149/AP148,""),"")</f>
        <v>0.201276062888832</v>
      </c>
      <c r="AQ150" s="37" t="n">
        <f aca="false">IF(AND(ISNUMBER(AQ149),ISNUMBER(AQ148)),IFERROR(AQ149/AQ148,""),"")</f>
        <v>0.217130494980962</v>
      </c>
      <c r="AR150" s="37" t="n">
        <f aca="false">IF(AND(ISNUMBER(AR149),ISNUMBER(AR148)),IFERROR(AR149/AR148,""),"")</f>
        <v>0.199350688815937</v>
      </c>
      <c r="AS150" s="37" t="n">
        <f aca="false">IF(AND(ISNUMBER(AS149),ISNUMBER(AS148)),IFERROR(AS149/AS148,""),"")</f>
        <v>0.100990368726858</v>
      </c>
      <c r="AT150" s="37" t="n">
        <f aca="false">IF(AND(ISNUMBER(AT149),ISNUMBER(AT148)),IFERROR(AT149/AT148,""),"")</f>
        <v>0.201338432122371</v>
      </c>
      <c r="AU150" s="37" t="n">
        <f aca="false">IF(AND(ISNUMBER(AU149),ISNUMBER(AU148)),IFERROR(AU149/AU148,""),"")</f>
        <v>0.188669323591277</v>
      </c>
      <c r="AV150" s="37" t="n">
        <f aca="false">IF(AND(ISNUMBER(AV149),ISNUMBER(AV148)),IFERROR(AV149/AV148,""),"")</f>
        <v>0.204168914232874</v>
      </c>
      <c r="AW150" s="37" t="n">
        <f aca="false">IF(AND(ISNUMBER(AW149),ISNUMBER(AW148)),IFERROR(AW149/AW148,""),"")</f>
        <v>0.171910183493954</v>
      </c>
      <c r="AX150" s="37" t="n">
        <f aca="false">IF(AND(ISNUMBER(AX149),ISNUMBER(AX148)),IFERROR(AX149/AX148,""),"")</f>
        <v>0.0775321320951971</v>
      </c>
      <c r="AY150" s="37" t="n">
        <f aca="false">IF(AND(ISNUMBER(AY149),ISNUMBER(AY148)),IFERROR(AY149/AY148,""),"")</f>
        <v>0.132942505014717</v>
      </c>
      <c r="AZ150" s="37" t="n">
        <f aca="false">IF(AND(ISNUMBER(AZ149),ISNUMBER(AZ148)),IFERROR(AZ149/AZ148,""),"")</f>
        <v>0.144432340076092</v>
      </c>
      <c r="BA150" s="37" t="n">
        <f aca="false">IF(AND(ISNUMBER(BA149),ISNUMBER(BA148)),IFERROR(BA149/BA148,""),"")</f>
        <v>0.193591431144633</v>
      </c>
      <c r="BB150" s="37" t="n">
        <f aca="false">IF(AND(ISNUMBER(BB149),ISNUMBER(BB148)),IFERROR(BB149/BB148,""),"")</f>
        <v>0.137279081560149</v>
      </c>
      <c r="BC150" s="37" t="n">
        <f aca="false">IF(AND(ISNUMBER(BC149),ISNUMBER(BC148)),IFERROR(BC149/BC148,""),"")</f>
        <v>0.110458416934594</v>
      </c>
      <c r="BD150" s="37" t="n">
        <f aca="false">IF(AND(ISNUMBER(BD149),ISNUMBER(BD148)),IFERROR(BD149/BD148,""),"")</f>
        <v>0.180067449120991</v>
      </c>
      <c r="BE150" s="37" t="n">
        <f aca="false">IF(AND(ISNUMBER(BE149),ISNUMBER(BE148)),IFERROR(BE149/BE148,""),"")</f>
        <v>0.181995223413056</v>
      </c>
      <c r="BF150" s="37" t="n">
        <f aca="false">IF(AND(ISNUMBER(BF149),ISNUMBER(BF148)),IFERROR(BF149/BF148,""),"")</f>
        <v>0.228052284428971</v>
      </c>
      <c r="BG150" s="37" t="n">
        <f aca="false">IF(AND(ISNUMBER(BG149),ISNUMBER(BG148)),IFERROR(BG149/BG148,""),"")</f>
        <v>0.175484798180906</v>
      </c>
      <c r="BH150" s="37" t="n">
        <f aca="false">IF(AND(ISNUMBER(BH149),ISNUMBER(BH148)),IFERROR(BH149/BH148,""),"")</f>
        <v>0.147534268158185</v>
      </c>
      <c r="BI150" s="37" t="n">
        <f aca="false">IF(AND(ISNUMBER(BI149),ISNUMBER(BI148)),IFERROR(BI149/BI148,""),"")</f>
        <v>0.221119805551953</v>
      </c>
      <c r="BJ150" s="37" t="n">
        <f aca="false">IF(AND(ISNUMBER(BJ149),ISNUMBER(BJ148)),IFERROR(BJ149/BJ148,""),"")</f>
        <v>0.221191492616513</v>
      </c>
      <c r="BK150" s="37" t="n">
        <f aca="false">IF(AND(ISNUMBER(BK149),ISNUMBER(BK148)),IFERROR(BK149/BK148,""),"")</f>
        <v>0.223536509602596</v>
      </c>
      <c r="BL150" s="37" t="n">
        <f aca="false">IF(AND(ISNUMBER(BL149),ISNUMBER(BL148)),IFERROR(BL149/BL148,""),"")</f>
        <v>0.203843964024409</v>
      </c>
      <c r="BM150" s="37" t="n">
        <f aca="false">IF(AND(ISNUMBER(BM149),ISNUMBER(BM148)),IFERROR(BM149/BM148,""),"")</f>
        <v>0.191734846799347</v>
      </c>
      <c r="BN150" s="37" t="n">
        <f aca="false">IF(AND(ISNUMBER(BN149),ISNUMBER(BN148)),IFERROR(BN149/BN148,""),"")</f>
        <v>0.209447054205655</v>
      </c>
      <c r="BO150" s="37" t="n">
        <f aca="false">IF(AND(ISNUMBER(BO149),ISNUMBER(BO148)),IFERROR(BO149/BO148,""),"")</f>
        <v>0.198752519145506</v>
      </c>
      <c r="BP150" s="37" t="n">
        <f aca="false">IF(AND(ISNUMBER(BP149),ISNUMBER(BP148)),IFERROR(BP149/BP148,""),"")</f>
        <v>0.214030834371959</v>
      </c>
      <c r="BQ150" s="37" t="n">
        <f aca="false">IF(AND(ISNUMBER(BQ149),ISNUMBER(BQ148)),IFERROR(BQ149/BQ148,""),"")</f>
        <v>0.203706865757853</v>
      </c>
      <c r="BR150" s="37" t="n">
        <f aca="false">IF(AND(ISNUMBER(BR149),ISNUMBER(BR148)),IFERROR(BR149/BR148,""),"")</f>
        <v>0.157695160082137</v>
      </c>
      <c r="BS150" s="37" t="n">
        <f aca="false">IF(AND(ISNUMBER(BS149),ISNUMBER(BS148)),IFERROR(BS149/BS148,""),"")</f>
        <v>0.207167567930675</v>
      </c>
      <c r="BT150" s="37" t="n">
        <f aca="false">IF(AND(ISNUMBER(BT149),ISNUMBER(BT148)),IFERROR(BT149/BT148,""),"")</f>
        <v>0.209640234773326</v>
      </c>
      <c r="BU150" s="37" t="n">
        <f aca="false">IF(AND(ISNUMBER(BU149),ISNUMBER(BU148)),IFERROR(BU149/BU148,""),"")</f>
        <v>0.220986592285568</v>
      </c>
      <c r="BV150" s="37" t="n">
        <f aca="false">IF(AND(ISNUMBER(BV149),ISNUMBER(BV148)),IFERROR(BV149/BV148,""),"")</f>
        <v>0.199593940823301</v>
      </c>
      <c r="BW150" s="37" t="n">
        <f aca="false">IF(AND(ISNUMBER(BW149),ISNUMBER(BW148)),IFERROR(BW149/BW148,""),"")</f>
        <v>0.175810990641157</v>
      </c>
      <c r="BX150" s="37" t="n">
        <f aca="false">IF(AND(ISNUMBER(BX149),ISNUMBER(BX148)),IFERROR(BX149/BX148,""),"")</f>
        <v>0.211869773302954</v>
      </c>
      <c r="BY150" s="37" t="n">
        <f aca="false">IF(AND(ISNUMBER(BY149),ISNUMBER(BY148)),IFERROR(BY149/BY148,""),"")</f>
        <v>0.205536152740645</v>
      </c>
      <c r="BZ150" s="37" t="n">
        <f aca="false">IF(AND(ISNUMBER(BZ149),ISNUMBER(BZ148)),IFERROR(BZ149/BZ148,""),"")</f>
        <v>0.211954795150102</v>
      </c>
      <c r="CA150" s="37" t="n">
        <f aca="false">IF(AND(ISNUMBER(CA149),ISNUMBER(CA148)),IFERROR(CA149/CA148,""),"")</f>
        <v>0.201716018702496</v>
      </c>
      <c r="CB150" s="37" t="n">
        <f aca="false">IF(AND(ISNUMBER(CB149),ISNUMBER(CB148)),IFERROR(CB149/CB148,""),"")</f>
        <v>0.200221793775278</v>
      </c>
      <c r="CC150" s="28" t="n">
        <f aca="false">$CU$17</f>
        <v>0.204</v>
      </c>
      <c r="CD150" s="28" t="n">
        <f aca="false">$CU$17</f>
        <v>0.204</v>
      </c>
      <c r="CE150" s="28" t="n">
        <f aca="false">$CU$17</f>
        <v>0.204</v>
      </c>
      <c r="CF150" s="28" t="n">
        <f aca="false">IF(AND(ISNUMBER(CF149),ISNUMBER(CF148)),IFERROR(CF149/CF148,""),"")</f>
        <v>0.202997303548471</v>
      </c>
      <c r="CG150" s="28" t="n">
        <f aca="false">$CU$19</f>
        <v>0.21</v>
      </c>
      <c r="CH150" s="28" t="n">
        <f aca="false">$CU$19</f>
        <v>0.21</v>
      </c>
      <c r="CI150" s="28" t="n">
        <f aca="false">$CU$19</f>
        <v>0.21</v>
      </c>
      <c r="CJ150" s="28" t="n">
        <f aca="false">$CU$19</f>
        <v>0.21</v>
      </c>
      <c r="CK150" s="23" t="s">
        <v>407</v>
      </c>
    </row>
    <row r="151" customFormat="false" ht="15" hidden="false" customHeight="true" outlineLevel="1" collapsed="false">
      <c r="B151" s="29" t="s">
        <v>408</v>
      </c>
      <c r="C151" s="34" t="n">
        <v>0</v>
      </c>
      <c r="D151" s="34" t="n">
        <v>0</v>
      </c>
      <c r="E151" s="34" t="n">
        <v>0</v>
      </c>
      <c r="F151" s="34" t="n">
        <v>0</v>
      </c>
      <c r="G151" s="34" t="n">
        <v>0</v>
      </c>
      <c r="H151" s="34" t="n">
        <v>0</v>
      </c>
      <c r="I151" s="34" t="n">
        <v>0</v>
      </c>
      <c r="J151" s="34" t="n">
        <v>0</v>
      </c>
      <c r="K151" s="34" t="n">
        <v>0</v>
      </c>
      <c r="L151" s="34" t="n">
        <v>0</v>
      </c>
      <c r="M151" s="34" t="n">
        <v>0</v>
      </c>
      <c r="N151" s="34" t="n">
        <v>0</v>
      </c>
      <c r="O151" s="34" t="n">
        <v>0</v>
      </c>
      <c r="P151" s="34" t="n">
        <v>0</v>
      </c>
      <c r="Q151" s="34" t="n">
        <v>0</v>
      </c>
      <c r="R151" s="34" t="n">
        <v>0</v>
      </c>
      <c r="S151" s="34" t="n">
        <v>0</v>
      </c>
      <c r="T151" s="34" t="n">
        <v>0</v>
      </c>
      <c r="U151" s="34" t="n">
        <v>0</v>
      </c>
      <c r="V151" s="34" t="n">
        <v>-6.771</v>
      </c>
      <c r="W151" s="34" t="n">
        <v>1.488</v>
      </c>
      <c r="X151" s="34" t="n">
        <v>-5.539</v>
      </c>
      <c r="Y151" s="34" t="n">
        <v>0</v>
      </c>
      <c r="Z151" s="34" t="n">
        <v>0</v>
      </c>
      <c r="AA151" s="34" t="n">
        <v>0</v>
      </c>
      <c r="AB151" s="34" t="n">
        <v>0</v>
      </c>
      <c r="AC151" s="34" t="n">
        <v>0</v>
      </c>
      <c r="AD151" s="34" t="n">
        <v>0</v>
      </c>
      <c r="AE151" s="34" t="n">
        <v>0</v>
      </c>
      <c r="AF151" s="34" t="n">
        <v>0</v>
      </c>
      <c r="AG151" s="34" t="n">
        <v>0</v>
      </c>
      <c r="AH151" s="34" t="n">
        <v>0</v>
      </c>
      <c r="AI151" s="34" t="n">
        <v>0</v>
      </c>
      <c r="AJ151" s="34" t="n">
        <v>0</v>
      </c>
      <c r="AK151" s="34" t="n">
        <v>0</v>
      </c>
      <c r="AL151" s="34" t="n">
        <v>0</v>
      </c>
      <c r="AM151" s="34" t="n">
        <v>0</v>
      </c>
      <c r="AN151" s="34" t="n">
        <v>0</v>
      </c>
      <c r="AO151" s="34" t="n">
        <v>0</v>
      </c>
      <c r="AP151" s="34" t="n">
        <v>0</v>
      </c>
      <c r="AQ151" s="34" t="n">
        <v>0</v>
      </c>
      <c r="AR151" s="34" t="n">
        <v>0</v>
      </c>
      <c r="AS151" s="34" t="n">
        <v>0</v>
      </c>
      <c r="AT151" s="34" t="n">
        <v>0</v>
      </c>
      <c r="AU151" s="34" t="n">
        <v>0</v>
      </c>
      <c r="AV151" s="34" t="n">
        <v>0</v>
      </c>
      <c r="AW151" s="34" t="n">
        <v>0</v>
      </c>
      <c r="AX151" s="34" t="n">
        <v>0</v>
      </c>
      <c r="AY151" s="34" t="n">
        <v>0</v>
      </c>
      <c r="AZ151" s="34" t="n">
        <v>0</v>
      </c>
      <c r="BA151" s="34" t="n">
        <v>0</v>
      </c>
      <c r="BB151" s="34" t="n">
        <v>0</v>
      </c>
      <c r="BC151" s="34" t="n">
        <v>0</v>
      </c>
      <c r="BD151" s="34" t="n">
        <v>0</v>
      </c>
      <c r="BE151" s="34" t="n">
        <v>0</v>
      </c>
      <c r="BF151" s="34" t="n">
        <v>0</v>
      </c>
      <c r="BG151" s="34" t="n">
        <v>0</v>
      </c>
      <c r="BH151" s="34" t="n">
        <v>0</v>
      </c>
      <c r="BI151" s="34" t="n">
        <v>0</v>
      </c>
      <c r="BJ151" s="34" t="n">
        <v>0</v>
      </c>
      <c r="BK151" s="34" t="n">
        <v>0</v>
      </c>
      <c r="BL151" s="34" t="n">
        <v>0</v>
      </c>
      <c r="BM151" s="34" t="n">
        <v>0</v>
      </c>
      <c r="BN151" s="34" t="n">
        <v>0</v>
      </c>
      <c r="BO151" s="34" t="n">
        <v>0</v>
      </c>
      <c r="BP151" s="34" t="n">
        <v>0</v>
      </c>
      <c r="BQ151" s="34" t="n">
        <v>0</v>
      </c>
      <c r="BR151" s="34" t="n">
        <v>0</v>
      </c>
      <c r="BS151" s="34" t="n">
        <v>0</v>
      </c>
      <c r="BT151" s="34" t="n">
        <v>0</v>
      </c>
      <c r="BU151" s="34" t="n">
        <v>0</v>
      </c>
      <c r="BV151" s="34" t="n">
        <v>0</v>
      </c>
      <c r="BW151" s="34" t="n">
        <v>0</v>
      </c>
      <c r="BX151" s="34" t="n">
        <v>0</v>
      </c>
      <c r="BY151" s="34" t="n">
        <v>0</v>
      </c>
      <c r="BZ151" s="34" t="n">
        <v>0</v>
      </c>
      <c r="CA151" s="34" t="n">
        <v>0</v>
      </c>
      <c r="CB151" s="34" t="n">
        <v>0</v>
      </c>
      <c r="CC151" s="35" t="n">
        <f aca="false">0</f>
        <v>0</v>
      </c>
      <c r="CD151" s="35" t="n">
        <f aca="false">0</f>
        <v>0</v>
      </c>
      <c r="CE151" s="35" t="n">
        <f aca="false">0</f>
        <v>0</v>
      </c>
      <c r="CF151" s="35" t="n">
        <f aca="false">0</f>
        <v>0</v>
      </c>
      <c r="CG151" s="35" t="n">
        <f aca="false">0</f>
        <v>0</v>
      </c>
      <c r="CH151" s="35" t="n">
        <f aca="false">0</f>
        <v>0</v>
      </c>
      <c r="CI151" s="35" t="n">
        <f aca="false">0</f>
        <v>0</v>
      </c>
      <c r="CJ151" s="35" t="n">
        <f aca="false">0</f>
        <v>0</v>
      </c>
      <c r="CK151" s="23"/>
    </row>
    <row r="152" customFormat="false" ht="15" hidden="false" customHeight="true" outlineLevel="0" collapsed="false">
      <c r="B152" s="20" t="s">
        <v>409</v>
      </c>
      <c r="C152" s="39" t="n">
        <f aca="false">C148-C149+C151</f>
        <v>327.178</v>
      </c>
      <c r="D152" s="39" t="n">
        <f aca="false">D148-D149+D151</f>
        <v>334.538</v>
      </c>
      <c r="E152" s="39" t="n">
        <f aca="false">E148-E149+E151</f>
        <v>335.405</v>
      </c>
      <c r="F152" s="39" t="n">
        <f aca="false">F148-F149+F151</f>
        <v>226.357</v>
      </c>
      <c r="G152" s="39" t="n">
        <f aca="false">G148-G149+G151</f>
        <v>215.62</v>
      </c>
      <c r="H152" s="39" t="n">
        <f aca="false">H148-H149+H151</f>
        <v>246.989</v>
      </c>
      <c r="I152" s="39" t="n">
        <f aca="false">I148-I149+I151</f>
        <v>297.637</v>
      </c>
      <c r="J152" s="39" t="n">
        <f aca="false">J148-J149+J151</f>
        <v>76.733</v>
      </c>
      <c r="K152" s="39" t="n">
        <f aca="false">K148-K149+K151</f>
        <v>78.027</v>
      </c>
      <c r="L152" s="39" t="n">
        <f aca="false">L148-L149+L151</f>
        <v>74.705</v>
      </c>
      <c r="M152" s="39" t="n">
        <f aca="false">M148-M149+M151</f>
        <v>85.977</v>
      </c>
      <c r="N152" s="39" t="n">
        <f aca="false">N148-N149+N151</f>
        <v>315.442</v>
      </c>
      <c r="O152" s="39" t="n">
        <f aca="false">O148-O149+O151</f>
        <v>77.754</v>
      </c>
      <c r="P152" s="39" t="n">
        <f aca="false">P148-P149+P151</f>
        <v>84.862</v>
      </c>
      <c r="Q152" s="39" t="n">
        <f aca="false">Q148-Q149+Q151</f>
        <v>84.6020000000001</v>
      </c>
      <c r="R152" s="39" t="n">
        <f aca="false">R148-R149+R151</f>
        <v>127.224</v>
      </c>
      <c r="S152" s="39" t="n">
        <f aca="false">S148-S149+S151</f>
        <v>374.442</v>
      </c>
      <c r="T152" s="39" t="n">
        <f aca="false">T148-T149+T151</f>
        <v>109.791</v>
      </c>
      <c r="U152" s="39" t="n">
        <f aca="false">U148-U149+U151</f>
        <v>103.446</v>
      </c>
      <c r="V152" s="39" t="n">
        <f aca="false">V148-V149+V151</f>
        <v>93.636</v>
      </c>
      <c r="W152" s="39" t="n">
        <f aca="false">W148-W149+W151</f>
        <v>101.204</v>
      </c>
      <c r="X152" s="39" t="n">
        <f aca="false">X148-X149+X151</f>
        <v>408.077000000001</v>
      </c>
      <c r="Y152" s="39" t="n">
        <f aca="false">Y148-Y149+Y151</f>
        <v>106.198</v>
      </c>
      <c r="Z152" s="39" t="n">
        <f aca="false">Z148-Z149+Z151</f>
        <v>115.453</v>
      </c>
      <c r="AA152" s="39" t="n">
        <f aca="false">AA148-AA149+AA151</f>
        <v>117.279</v>
      </c>
      <c r="AB152" s="39" t="n">
        <f aca="false">AB148-AB149+AB151</f>
        <v>118.011</v>
      </c>
      <c r="AC152" s="39" t="n">
        <f aca="false">AC148-AC149+AC151</f>
        <v>456.940999999999</v>
      </c>
      <c r="AD152" s="39" t="n">
        <f aca="false">AD148-AD149+AD151</f>
        <v>138.091</v>
      </c>
      <c r="AE152" s="39" t="n">
        <f aca="false">AE148-AE149+AE151</f>
        <v>123.454</v>
      </c>
      <c r="AF152" s="39" t="n">
        <f aca="false">AF148-AF149+AF151</f>
        <v>118.647</v>
      </c>
      <c r="AG152" s="39" t="n">
        <f aca="false">AG148-AG149+AG151</f>
        <v>82.174</v>
      </c>
      <c r="AH152" s="39" t="n">
        <f aca="false">AH148-AH149+AH151</f>
        <v>457.286</v>
      </c>
      <c r="AI152" s="39" t="n">
        <f aca="false">AI148-AI149+AI151</f>
        <v>161.108</v>
      </c>
      <c r="AJ152" s="39" t="n">
        <f aca="false">AJ148-AJ149+AJ151</f>
        <v>137.737</v>
      </c>
      <c r="AK152" s="39" t="n">
        <f aca="false">AK148-AK149+AK151</f>
        <v>295.789</v>
      </c>
      <c r="AL152" s="39" t="n">
        <f aca="false">AL148-AL149+AL151</f>
        <v>189.298</v>
      </c>
      <c r="AM152" s="39" t="n">
        <f aca="false">AM148-AM149+AM151</f>
        <v>783.932</v>
      </c>
      <c r="AN152" s="39" t="n">
        <f aca="false">AN148-AN149+AN151</f>
        <v>212.547</v>
      </c>
      <c r="AO152" s="39" t="n">
        <f aca="false">AO148-AO149+AO151</f>
        <v>242.994</v>
      </c>
      <c r="AP152" s="39" t="n">
        <f aca="false">AP148-AP149+AP151</f>
        <v>200.923</v>
      </c>
      <c r="AQ152" s="39" t="n">
        <f aca="false">AQ148-AQ149+AQ151</f>
        <v>226.171</v>
      </c>
      <c r="AR152" s="39" t="n">
        <f aca="false">AR148-AR149+AR151</f>
        <v>882.635</v>
      </c>
      <c r="AS152" s="39" t="n">
        <f aca="false">AS148-AS149+AS151</f>
        <v>250.812</v>
      </c>
      <c r="AT152" s="39" t="n">
        <f aca="false">AT148-AT149+AT151</f>
        <v>246.443</v>
      </c>
      <c r="AU152" s="39" t="n">
        <f aca="false">AU148-AU149+AU151</f>
        <v>234.52</v>
      </c>
      <c r="AV152" s="39" t="n">
        <f aca="false">AV148-AV149+AV151</f>
        <v>144.585</v>
      </c>
      <c r="AW152" s="39" t="n">
        <f aca="false">AW148-AW149+AW151</f>
        <v>876.36</v>
      </c>
      <c r="AX152" s="39" t="n">
        <f aca="false">AX148-AX149+AX151</f>
        <v>300.005</v>
      </c>
      <c r="AY152" s="39" t="n">
        <f aca="false">AY148-AY149+AY151</f>
        <v>284.857</v>
      </c>
      <c r="AZ152" s="39" t="n">
        <f aca="false">AZ148-AZ149+AZ151</f>
        <v>258.384</v>
      </c>
      <c r="BA152" s="39" t="n">
        <f aca="false">BA148-BA149+BA151</f>
        <v>267.722</v>
      </c>
      <c r="BB152" s="39" t="n">
        <f aca="false">BB148-BB149+BB151</f>
        <v>1110.968</v>
      </c>
      <c r="BC152" s="39" t="n">
        <f aca="false">BC148-BC149+BC151</f>
        <v>331.179</v>
      </c>
      <c r="BD152" s="39" t="n">
        <f aca="false">BD148-BD149+BD151</f>
        <v>294.669</v>
      </c>
      <c r="BE152" s="39" t="n">
        <f aca="false">BE148-BE149+BE151</f>
        <v>315.448</v>
      </c>
      <c r="BF152" s="39" t="n">
        <f aca="false">BF148-BF149+BF151</f>
        <v>294.461</v>
      </c>
      <c r="BG152" s="39" t="n">
        <f aca="false">BG148-BG149+BG151</f>
        <v>1235.757</v>
      </c>
      <c r="BH152" s="39" t="n">
        <f aca="false">BH148-BH149+BH151</f>
        <v>351.689</v>
      </c>
      <c r="BI152" s="39" t="n">
        <f aca="false">BI148-BI149+BI151</f>
        <v>324.293</v>
      </c>
      <c r="BJ152" s="39" t="n">
        <f aca="false">BJ148-BJ149+BJ151</f>
        <v>325.827</v>
      </c>
      <c r="BK152" s="39" t="n">
        <f aca="false">BK148-BK149+BK151</f>
        <v>346.201</v>
      </c>
      <c r="BL152" s="39" t="n">
        <f aca="false">BL148-BL149+BL151</f>
        <v>1348.01</v>
      </c>
      <c r="BM152" s="39" t="n">
        <f aca="false">BM148-BM149+BM151</f>
        <v>385.085</v>
      </c>
      <c r="BN152" s="39" t="n">
        <f aca="false">BN148-BN149+BN151</f>
        <v>374.613</v>
      </c>
      <c r="BO152" s="39" t="n">
        <f aca="false">BO148-BO149+BO151</f>
        <v>397.579</v>
      </c>
      <c r="BP152" s="39" t="n">
        <f aca="false">BP148-BP149+BP151</f>
        <v>414.315</v>
      </c>
      <c r="BQ152" s="39" t="n">
        <f aca="false">BQ148-BQ149+BQ151</f>
        <v>1571.592</v>
      </c>
      <c r="BR152" s="39" t="n">
        <f aca="false">BR148-BR149+BR151</f>
        <v>452.033</v>
      </c>
      <c r="BS152" s="39" t="n">
        <f aca="false">BS148-BS149+BS151</f>
        <v>448.495</v>
      </c>
      <c r="BT152" s="39" t="n">
        <f aca="false">BT148-BT149+BT151</f>
        <v>463.497</v>
      </c>
      <c r="BU152" s="39" t="n">
        <f aca="false">BU148-BU149+BU151</f>
        <v>448.256</v>
      </c>
      <c r="BV152" s="39" t="n">
        <f aca="false">BV148-BV149+BV151</f>
        <v>1812.281</v>
      </c>
      <c r="BW152" s="39" t="n">
        <f aca="false">BW148-BW149+BW151</f>
        <v>491.14</v>
      </c>
      <c r="BX152" s="39" t="n">
        <f aca="false">BX148-BX149+BX151</f>
        <v>495.343</v>
      </c>
      <c r="BY152" s="39" t="n">
        <f aca="false">BY148-BY149+BY151</f>
        <v>502.496</v>
      </c>
      <c r="BZ152" s="39" t="n">
        <f aca="false">BZ148-BZ149+BZ151</f>
        <v>510.989</v>
      </c>
      <c r="CA152" s="39" t="n">
        <f aca="false">CA148-CA149+CA151</f>
        <v>1999.968</v>
      </c>
      <c r="CB152" s="39" t="n">
        <f aca="false">CB148-CB149+CB151</f>
        <v>551.711</v>
      </c>
      <c r="CC152" s="22" t="n">
        <f aca="false">CC148-CC149+CC151</f>
        <v>531.024989441951</v>
      </c>
      <c r="CD152" s="22" t="n">
        <f aca="false">CD148-CD149+CD151</f>
        <v>453.51717354752</v>
      </c>
      <c r="CE152" s="22" t="n">
        <f aca="false">CE148-CE149+CE151</f>
        <v>535.404779598214</v>
      </c>
      <c r="CF152" s="22" t="n">
        <f aca="false">CF148-CF149+CF151</f>
        <v>2071.65794258768</v>
      </c>
      <c r="CG152" s="22" t="n">
        <f aca="false">CG148-CG149+CG151</f>
        <v>2415.94010962133</v>
      </c>
      <c r="CH152" s="22" t="n">
        <f aca="false">CH148-CH149+CH151</f>
        <v>2784.65463528988</v>
      </c>
      <c r="CI152" s="22" t="n">
        <f aca="false">CI148-CI149+CI151</f>
        <v>3209.12561569213</v>
      </c>
      <c r="CJ152" s="22" t="n">
        <f aca="false">CJ148-CJ149+CJ151</f>
        <v>3554.50599210378</v>
      </c>
      <c r="CK152" s="23"/>
      <c r="CM152" s="24" t="n">
        <f aca="false">IFERROR((CJ152/CA152)^(1/5)-1,"n/m")</f>
        <v>0.121892489777427</v>
      </c>
      <c r="CN152" s="24" t="n">
        <f aca="false">IFERROR((CA152/BB152)^(1/5)-1,"n/m")</f>
        <v>0.12477148953793</v>
      </c>
      <c r="CO152" s="24" t="n">
        <f aca="false">IFERROR((CA152/AC152)^(1/10)-1,"n/m")</f>
        <v>0.159087685853474</v>
      </c>
      <c r="CP152" s="24" t="n">
        <f aca="false">IFERROR((CA152/C152)^(1/20)-1,"n/m")</f>
        <v>0.0947424221734272</v>
      </c>
    </row>
    <row r="153" customFormat="false" ht="15" hidden="false" customHeight="true" outlineLevel="0" collapsed="false">
      <c r="B153" s="29" t="s">
        <v>410</v>
      </c>
      <c r="C153" s="34" t="n">
        <v>0</v>
      </c>
      <c r="D153" s="34" t="n">
        <v>0</v>
      </c>
      <c r="E153" s="34" t="n">
        <v>0</v>
      </c>
      <c r="F153" s="34" t="n">
        <v>0</v>
      </c>
      <c r="G153" s="34" t="n">
        <v>0</v>
      </c>
      <c r="H153" s="34" t="n">
        <v>0</v>
      </c>
      <c r="I153" s="34" t="n">
        <v>0</v>
      </c>
      <c r="J153" s="34" t="n">
        <v>0</v>
      </c>
      <c r="K153" s="34" t="n">
        <v>0</v>
      </c>
      <c r="L153" s="34" t="n">
        <v>0</v>
      </c>
      <c r="M153" s="34" t="n">
        <v>0</v>
      </c>
      <c r="N153" s="34" t="n">
        <v>0</v>
      </c>
      <c r="O153" s="34" t="n">
        <v>0</v>
      </c>
      <c r="P153" s="34" t="n">
        <v>0</v>
      </c>
      <c r="Q153" s="34" t="n">
        <v>0</v>
      </c>
      <c r="R153" s="34" t="n">
        <v>0</v>
      </c>
      <c r="S153" s="34" t="n">
        <v>0</v>
      </c>
      <c r="T153" s="34" t="n">
        <v>0.317</v>
      </c>
      <c r="U153" s="34" t="n">
        <v>16.966</v>
      </c>
      <c r="V153" s="34" t="n">
        <v>1.247</v>
      </c>
      <c r="W153" s="34" t="n">
        <v>4.011</v>
      </c>
      <c r="X153" s="34" t="n">
        <v>22.541</v>
      </c>
      <c r="Y153" s="34" t="n">
        <v>-6.017</v>
      </c>
      <c r="Z153" s="34" t="n">
        <v>229.647</v>
      </c>
      <c r="AA153" s="34" t="n">
        <v>0.062</v>
      </c>
      <c r="AB153" s="34" t="n">
        <v>12.887</v>
      </c>
      <c r="AC153" s="34" t="n">
        <v>236.579</v>
      </c>
      <c r="AD153" s="34" t="n">
        <v>0</v>
      </c>
      <c r="AE153" s="34" t="n">
        <v>16.923</v>
      </c>
      <c r="AF153" s="34" t="n">
        <v>-0.642</v>
      </c>
      <c r="AG153" s="34" t="n">
        <v>2.063</v>
      </c>
      <c r="AH153" s="34" t="n">
        <v>23.422</v>
      </c>
      <c r="AI153" s="34" t="n">
        <v>56.103</v>
      </c>
      <c r="AJ153" s="34" t="n">
        <v>-0.628</v>
      </c>
      <c r="AK153" s="34" t="n">
        <v>6.306</v>
      </c>
      <c r="AL153" s="34" t="n">
        <v>-3.127</v>
      </c>
      <c r="AM153" s="34" t="n">
        <v>58.654</v>
      </c>
      <c r="AN153" s="34" t="n">
        <v>-0.032</v>
      </c>
      <c r="AO153" s="34" t="n">
        <v>0.019</v>
      </c>
      <c r="AP153" s="34" t="n">
        <v>2.411</v>
      </c>
      <c r="AQ153" s="34" t="n">
        <v>-0.052</v>
      </c>
      <c r="AR153" s="34" t="n">
        <v>2.346</v>
      </c>
      <c r="AS153" s="34" t="n">
        <v>0</v>
      </c>
      <c r="AT153" s="34" t="n">
        <v>-0.323</v>
      </c>
      <c r="AU153" s="34" t="n">
        <v>0</v>
      </c>
      <c r="AV153" s="34" t="n">
        <v>0</v>
      </c>
      <c r="AW153" s="34" t="n">
        <v>-0.323</v>
      </c>
      <c r="AX153" s="34" t="n">
        <v>0</v>
      </c>
      <c r="AY153" s="34" t="n">
        <v>0</v>
      </c>
      <c r="AZ153" s="34" t="n">
        <v>0</v>
      </c>
      <c r="BA153" s="34" t="n">
        <v>0</v>
      </c>
      <c r="BB153" s="34" t="n">
        <v>0</v>
      </c>
      <c r="BC153" s="34" t="n">
        <v>0</v>
      </c>
      <c r="BD153" s="34" t="n">
        <v>0</v>
      </c>
      <c r="BE153" s="34" t="n">
        <v>0</v>
      </c>
      <c r="BF153" s="34" t="n">
        <v>0</v>
      </c>
      <c r="BG153" s="34" t="n">
        <v>0</v>
      </c>
      <c r="BH153" s="34" t="n">
        <v>0</v>
      </c>
      <c r="BI153" s="34" t="n">
        <v>0</v>
      </c>
      <c r="BJ153" s="34" t="n">
        <v>0</v>
      </c>
      <c r="BK153" s="34" t="n">
        <v>0</v>
      </c>
      <c r="BL153" s="34" t="n">
        <v>0</v>
      </c>
      <c r="BM153" s="34" t="n">
        <v>0</v>
      </c>
      <c r="BN153" s="34" t="n">
        <v>0</v>
      </c>
      <c r="BO153" s="34" t="n">
        <v>0</v>
      </c>
      <c r="BP153" s="34" t="n">
        <v>0</v>
      </c>
      <c r="BQ153" s="34" t="n">
        <v>0</v>
      </c>
      <c r="BR153" s="34" t="n">
        <v>0</v>
      </c>
      <c r="BS153" s="34" t="n">
        <v>0</v>
      </c>
      <c r="BT153" s="34" t="n">
        <v>0</v>
      </c>
      <c r="BU153" s="34" t="n">
        <v>0</v>
      </c>
      <c r="BV153" s="34" t="n">
        <v>0</v>
      </c>
      <c r="BW153" s="34" t="n">
        <v>0</v>
      </c>
      <c r="BX153" s="34" t="n">
        <v>0</v>
      </c>
      <c r="BY153" s="34" t="n">
        <v>0</v>
      </c>
      <c r="BZ153" s="34" t="n">
        <v>0</v>
      </c>
      <c r="CA153" s="34" t="n">
        <v>0</v>
      </c>
      <c r="CB153" s="34" t="n">
        <v>0</v>
      </c>
      <c r="CC153" s="35" t="n">
        <f aca="false">0</f>
        <v>0</v>
      </c>
      <c r="CD153" s="35" t="n">
        <f aca="false">0</f>
        <v>0</v>
      </c>
      <c r="CE153" s="35" t="n">
        <f aca="false">0</f>
        <v>0</v>
      </c>
      <c r="CF153" s="35" t="n">
        <f aca="false">0</f>
        <v>0</v>
      </c>
      <c r="CG153" s="35" t="n">
        <f aca="false">0</f>
        <v>0</v>
      </c>
      <c r="CH153" s="35" t="n">
        <f aca="false">0</f>
        <v>0</v>
      </c>
      <c r="CI153" s="35" t="n">
        <f aca="false">0</f>
        <v>0</v>
      </c>
      <c r="CJ153" s="35" t="n">
        <f aca="false">0</f>
        <v>0</v>
      </c>
      <c r="CK153" s="23"/>
    </row>
    <row r="154" customFormat="false" ht="15" hidden="false" customHeight="true" outlineLevel="0" collapsed="false">
      <c r="B154" s="55" t="s">
        <v>411</v>
      </c>
      <c r="C154" s="56" t="n">
        <f aca="false">C152+C153</f>
        <v>327.178</v>
      </c>
      <c r="D154" s="56" t="n">
        <f aca="false">D152+D153</f>
        <v>334.538</v>
      </c>
      <c r="E154" s="56" t="n">
        <f aca="false">E152+E153</f>
        <v>335.405</v>
      </c>
      <c r="F154" s="56" t="n">
        <f aca="false">F152+F153</f>
        <v>226.357</v>
      </c>
      <c r="G154" s="56" t="n">
        <f aca="false">G152+G153</f>
        <v>215.62</v>
      </c>
      <c r="H154" s="56" t="n">
        <f aca="false">H152+H153</f>
        <v>246.989</v>
      </c>
      <c r="I154" s="56" t="n">
        <f aca="false">I152+I153</f>
        <v>297.637</v>
      </c>
      <c r="J154" s="56" t="n">
        <f aca="false">J152+J153</f>
        <v>76.733</v>
      </c>
      <c r="K154" s="56" t="n">
        <f aca="false">K152+K153</f>
        <v>78.027</v>
      </c>
      <c r="L154" s="56" t="n">
        <f aca="false">L152+L153</f>
        <v>74.705</v>
      </c>
      <c r="M154" s="56" t="n">
        <f aca="false">M152+M153</f>
        <v>85.977</v>
      </c>
      <c r="N154" s="56" t="n">
        <f aca="false">N152+N153</f>
        <v>315.442</v>
      </c>
      <c r="O154" s="56" t="n">
        <f aca="false">O152+O153</f>
        <v>77.754</v>
      </c>
      <c r="P154" s="56" t="n">
        <f aca="false">P152+P153</f>
        <v>84.862</v>
      </c>
      <c r="Q154" s="56" t="n">
        <f aca="false">Q152+Q153</f>
        <v>84.6020000000001</v>
      </c>
      <c r="R154" s="56" t="n">
        <f aca="false">R152+R153</f>
        <v>127.224</v>
      </c>
      <c r="S154" s="56" t="n">
        <f aca="false">S152+S153</f>
        <v>374.442</v>
      </c>
      <c r="T154" s="56" t="n">
        <f aca="false">T152+T153</f>
        <v>110.108</v>
      </c>
      <c r="U154" s="56" t="n">
        <f aca="false">U152+U153</f>
        <v>120.412</v>
      </c>
      <c r="V154" s="56" t="n">
        <f aca="false">V152+V153</f>
        <v>94.883</v>
      </c>
      <c r="W154" s="56" t="n">
        <f aca="false">W152+W153</f>
        <v>105.215</v>
      </c>
      <c r="X154" s="56" t="n">
        <f aca="false">X152+X153</f>
        <v>430.618000000001</v>
      </c>
      <c r="Y154" s="56" t="n">
        <f aca="false">Y152+Y153</f>
        <v>100.181</v>
      </c>
      <c r="Z154" s="56" t="n">
        <f aca="false">Z152+Z153</f>
        <v>345.1</v>
      </c>
      <c r="AA154" s="56" t="n">
        <f aca="false">AA152+AA153</f>
        <v>117.341</v>
      </c>
      <c r="AB154" s="56" t="n">
        <f aca="false">AB152+AB153</f>
        <v>130.898</v>
      </c>
      <c r="AC154" s="56" t="n">
        <f aca="false">AC152+AC153</f>
        <v>693.519999999999</v>
      </c>
      <c r="AD154" s="56" t="n">
        <f aca="false">AD152+AD153</f>
        <v>138.091</v>
      </c>
      <c r="AE154" s="56" t="n">
        <f aca="false">AE152+AE153</f>
        <v>140.377</v>
      </c>
      <c r="AF154" s="56" t="n">
        <f aca="false">AF152+AF153</f>
        <v>118.005</v>
      </c>
      <c r="AG154" s="56" t="n">
        <f aca="false">AG152+AG153</f>
        <v>84.237</v>
      </c>
      <c r="AH154" s="56" t="n">
        <f aca="false">AH152+AH153</f>
        <v>480.708</v>
      </c>
      <c r="AI154" s="56" t="n">
        <f aca="false">AI152+AI153</f>
        <v>217.211</v>
      </c>
      <c r="AJ154" s="56" t="n">
        <f aca="false">AJ152+AJ153</f>
        <v>137.109</v>
      </c>
      <c r="AK154" s="56" t="n">
        <f aca="false">AK152+AK153</f>
        <v>302.095</v>
      </c>
      <c r="AL154" s="56" t="n">
        <f aca="false">AL152+AL153</f>
        <v>186.171</v>
      </c>
      <c r="AM154" s="56" t="n">
        <f aca="false">AM152+AM153</f>
        <v>842.586</v>
      </c>
      <c r="AN154" s="56" t="n">
        <f aca="false">AN152+AN153</f>
        <v>212.515</v>
      </c>
      <c r="AO154" s="56" t="n">
        <f aca="false">AO152+AO153</f>
        <v>243.013</v>
      </c>
      <c r="AP154" s="56" t="n">
        <f aca="false">AP152+AP153</f>
        <v>203.334</v>
      </c>
      <c r="AQ154" s="56" t="n">
        <f aca="false">AQ152+AQ153</f>
        <v>226.119</v>
      </c>
      <c r="AR154" s="56" t="n">
        <f aca="false">AR152+AR153</f>
        <v>884.981</v>
      </c>
      <c r="AS154" s="56" t="n">
        <f aca="false">AS152+AS153</f>
        <v>250.812</v>
      </c>
      <c r="AT154" s="56" t="n">
        <f aca="false">AT152+AT153</f>
        <v>246.12</v>
      </c>
      <c r="AU154" s="56" t="n">
        <f aca="false">AU152+AU153</f>
        <v>234.52</v>
      </c>
      <c r="AV154" s="56" t="n">
        <f aca="false">AV152+AV153</f>
        <v>144.585</v>
      </c>
      <c r="AW154" s="56" t="n">
        <f aca="false">AW152+AW153</f>
        <v>876.037</v>
      </c>
      <c r="AX154" s="56" t="n">
        <f aca="false">AX152+AX153</f>
        <v>300.005</v>
      </c>
      <c r="AY154" s="56" t="n">
        <f aca="false">AY152+AY153</f>
        <v>284.857</v>
      </c>
      <c r="AZ154" s="56" t="n">
        <f aca="false">AZ152+AZ153</f>
        <v>258.384</v>
      </c>
      <c r="BA154" s="56" t="n">
        <f aca="false">BA152+BA153</f>
        <v>267.722</v>
      </c>
      <c r="BB154" s="56" t="n">
        <f aca="false">BB152+BB153</f>
        <v>1110.968</v>
      </c>
      <c r="BC154" s="56" t="n">
        <f aca="false">BC152+BC153</f>
        <v>331.179</v>
      </c>
      <c r="BD154" s="56" t="n">
        <f aca="false">BD152+BD153</f>
        <v>294.669</v>
      </c>
      <c r="BE154" s="56" t="n">
        <f aca="false">BE152+BE153</f>
        <v>315.448</v>
      </c>
      <c r="BF154" s="56" t="n">
        <f aca="false">BF152+BF153</f>
        <v>294.461</v>
      </c>
      <c r="BG154" s="56" t="n">
        <f aca="false">BG152+BG153</f>
        <v>1235.757</v>
      </c>
      <c r="BH154" s="56" t="n">
        <f aca="false">BH152+BH153</f>
        <v>351.689</v>
      </c>
      <c r="BI154" s="56" t="n">
        <f aca="false">BI152+BI153</f>
        <v>324.293</v>
      </c>
      <c r="BJ154" s="56" t="n">
        <f aca="false">BJ152+BJ153</f>
        <v>325.827</v>
      </c>
      <c r="BK154" s="56" t="n">
        <f aca="false">BK152+BK153</f>
        <v>346.201</v>
      </c>
      <c r="BL154" s="56" t="n">
        <f aca="false">BL152+BL153</f>
        <v>1348.01</v>
      </c>
      <c r="BM154" s="56" t="n">
        <f aca="false">BM152+BM153</f>
        <v>385.085</v>
      </c>
      <c r="BN154" s="56" t="n">
        <f aca="false">BN152+BN153</f>
        <v>374.613</v>
      </c>
      <c r="BO154" s="56" t="n">
        <f aca="false">BO152+BO153</f>
        <v>397.579</v>
      </c>
      <c r="BP154" s="56" t="n">
        <f aca="false">BP152+BP153</f>
        <v>414.315</v>
      </c>
      <c r="BQ154" s="56" t="n">
        <f aca="false">BQ152+BQ153</f>
        <v>1571.592</v>
      </c>
      <c r="BR154" s="56" t="n">
        <f aca="false">BR152+BR153</f>
        <v>452.033</v>
      </c>
      <c r="BS154" s="56" t="n">
        <f aca="false">BS152+BS153</f>
        <v>448.495</v>
      </c>
      <c r="BT154" s="56" t="n">
        <f aca="false">BT152+BT153</f>
        <v>463.497</v>
      </c>
      <c r="BU154" s="56" t="n">
        <f aca="false">BU152+BU153</f>
        <v>448.256</v>
      </c>
      <c r="BV154" s="56" t="n">
        <f aca="false">BV152+BV153</f>
        <v>1812.281</v>
      </c>
      <c r="BW154" s="56" t="n">
        <f aca="false">BW152+BW153</f>
        <v>491.14</v>
      </c>
      <c r="BX154" s="56" t="n">
        <f aca="false">BX152+BX153</f>
        <v>495.343</v>
      </c>
      <c r="BY154" s="56" t="n">
        <f aca="false">BY152+BY153</f>
        <v>502.496</v>
      </c>
      <c r="BZ154" s="56" t="n">
        <f aca="false">BZ152+BZ153</f>
        <v>510.989</v>
      </c>
      <c r="CA154" s="56" t="n">
        <f aca="false">CA152+CA153</f>
        <v>1999.968</v>
      </c>
      <c r="CB154" s="56" t="n">
        <f aca="false">CB152+CB153</f>
        <v>551.711</v>
      </c>
      <c r="CC154" s="56" t="n">
        <f aca="false">CC152+CC153</f>
        <v>531.024989441951</v>
      </c>
      <c r="CD154" s="56" t="n">
        <f aca="false">CD152+CD153</f>
        <v>453.51717354752</v>
      </c>
      <c r="CE154" s="56" t="n">
        <f aca="false">CE152+CE153</f>
        <v>535.404779598214</v>
      </c>
      <c r="CF154" s="56" t="n">
        <f aca="false">CF152+CF153</f>
        <v>2071.65794258768</v>
      </c>
      <c r="CG154" s="56" t="n">
        <f aca="false">CG152+CG153</f>
        <v>2415.94010962133</v>
      </c>
      <c r="CH154" s="56" t="n">
        <f aca="false">CH152+CH153</f>
        <v>2784.65463528988</v>
      </c>
      <c r="CI154" s="56" t="n">
        <f aca="false">CI152+CI153</f>
        <v>3209.12561569213</v>
      </c>
      <c r="CJ154" s="56" t="n">
        <f aca="false">CJ152+CJ153</f>
        <v>3554.50599210378</v>
      </c>
      <c r="CK154" s="23"/>
      <c r="CM154" s="24" t="n">
        <f aca="false">IFERROR((CJ154/CA154)^(1/5)-1,"n/m")</f>
        <v>0.121892489777427</v>
      </c>
      <c r="CN154" s="24" t="n">
        <f aca="false">IFERROR((CA154/BB154)^(1/5)-1,"n/m")</f>
        <v>0.12477148953793</v>
      </c>
      <c r="CO154" s="24" t="n">
        <f aca="false">IFERROR((CA154/AC154)^(1/10)-1,"n/m")</f>
        <v>0.111722526414042</v>
      </c>
      <c r="CP154" s="24" t="n">
        <f aca="false">IFERROR((CA154/C154)^(1/20)-1,"n/m")</f>
        <v>0.0947424221734272</v>
      </c>
    </row>
    <row r="155" customFormat="false" ht="15" hidden="false" customHeight="true" outlineLevel="0" collapsed="false">
      <c r="B155" s="57" t="s">
        <v>412</v>
      </c>
      <c r="C155" s="45" t="n">
        <f aca="false">ROUND(C154-C156,1)</f>
        <v>0</v>
      </c>
      <c r="D155" s="45" t="n">
        <f aca="false">ROUND(D154-D156,1)</f>
        <v>0</v>
      </c>
      <c r="E155" s="45" t="n">
        <f aca="false">ROUND(E154-E156,1)</f>
        <v>0</v>
      </c>
      <c r="F155" s="45" t="n">
        <f aca="false">ROUND(F154-F156,1)</f>
        <v>0</v>
      </c>
      <c r="G155" s="45" t="n">
        <f aca="false">ROUND(G154-G156,1)</f>
        <v>0</v>
      </c>
      <c r="H155" s="45" t="n">
        <f aca="false">ROUND(H154-H156,1)</f>
        <v>0</v>
      </c>
      <c r="I155" s="45" t="n">
        <f aca="false">ROUND(I154-I156,1)</f>
        <v>0</v>
      </c>
      <c r="J155" s="45" t="n">
        <f aca="false">ROUND(J154-J156,1)</f>
        <v>0</v>
      </c>
      <c r="K155" s="45" t="n">
        <f aca="false">ROUND(K154-K156,1)</f>
        <v>0</v>
      </c>
      <c r="L155" s="45" t="n">
        <f aca="false">ROUND(L154-L156,1)</f>
        <v>0</v>
      </c>
      <c r="M155" s="45" t="n">
        <f aca="false">ROUND(M154-M156,1)</f>
        <v>0</v>
      </c>
      <c r="N155" s="45" t="n">
        <f aca="false">ROUND(N154-N156,1)</f>
        <v>0</v>
      </c>
      <c r="O155" s="45" t="n">
        <f aca="false">ROUND(O154-O156,1)</f>
        <v>0</v>
      </c>
      <c r="P155" s="45" t="n">
        <f aca="false">ROUND(P154-P156,1)</f>
        <v>0</v>
      </c>
      <c r="Q155" s="45" t="n">
        <f aca="false">ROUND(Q154-Q156,1)</f>
        <v>0</v>
      </c>
      <c r="R155" s="45" t="n">
        <f aca="false">ROUND(R154-R156,1)</f>
        <v>0</v>
      </c>
      <c r="S155" s="45" t="n">
        <f aca="false">ROUND(S154-S156,1)</f>
        <v>0</v>
      </c>
      <c r="T155" s="45" t="n">
        <f aca="false">ROUND(T154-T156,1)</f>
        <v>0</v>
      </c>
      <c r="U155" s="45" t="n">
        <f aca="false">ROUND(U154-U156,1)</f>
        <v>0</v>
      </c>
      <c r="V155" s="45" t="n">
        <f aca="false">ROUND(V154-V156,1)</f>
        <v>0</v>
      </c>
      <c r="W155" s="45" t="n">
        <f aca="false">ROUND(W154-W156,1)</f>
        <v>0</v>
      </c>
      <c r="X155" s="45" t="n">
        <f aca="false">ROUND(X154-X156,1)</f>
        <v>0</v>
      </c>
      <c r="Y155" s="45" t="n">
        <f aca="false">ROUND(Y154-Y156,1)</f>
        <v>0</v>
      </c>
      <c r="Z155" s="45" t="n">
        <f aca="false">ROUND(Z154-Z156,1)</f>
        <v>0</v>
      </c>
      <c r="AA155" s="45" t="n">
        <f aca="false">ROUND(AA154-AA156,1)</f>
        <v>0</v>
      </c>
      <c r="AB155" s="45" t="n">
        <f aca="false">ROUND(AB154-AB156,1)</f>
        <v>0</v>
      </c>
      <c r="AC155" s="45" t="n">
        <f aca="false">ROUND(AC154-AC156,1)</f>
        <v>0</v>
      </c>
      <c r="AD155" s="45" t="n">
        <f aca="false">ROUND(AD154-AD156,1)</f>
        <v>0</v>
      </c>
      <c r="AE155" s="45" t="n">
        <f aca="false">ROUND(AE154-AE156,1)</f>
        <v>0</v>
      </c>
      <c r="AF155" s="45" t="n">
        <f aca="false">ROUND(AF154-AF156,1)</f>
        <v>0</v>
      </c>
      <c r="AG155" s="45" t="n">
        <f aca="false">ROUND(AG154-AG156,1)</f>
        <v>0</v>
      </c>
      <c r="AH155" s="45" t="n">
        <f aca="false">ROUND(AH154-AH156,1)</f>
        <v>0</v>
      </c>
      <c r="AI155" s="45" t="n">
        <f aca="false">ROUND(AI154-AI156,1)</f>
        <v>0</v>
      </c>
      <c r="AJ155" s="45" t="n">
        <f aca="false">ROUND(AJ154-AJ156,1)</f>
        <v>0</v>
      </c>
      <c r="AK155" s="45" t="n">
        <f aca="false">ROUND(AK154-AK156,1)</f>
        <v>0</v>
      </c>
      <c r="AL155" s="45" t="n">
        <f aca="false">ROUND(AL154-AL156,1)</f>
        <v>0</v>
      </c>
      <c r="AM155" s="45" t="n">
        <f aca="false">ROUND(AM154-AM156,1)</f>
        <v>0</v>
      </c>
      <c r="AN155" s="45" t="n">
        <f aca="false">ROUND(AN154-AN156,1)</f>
        <v>0</v>
      </c>
      <c r="AO155" s="45" t="n">
        <f aca="false">ROUND(AO154-AO156,1)</f>
        <v>0</v>
      </c>
      <c r="AP155" s="45" t="n">
        <f aca="false">ROUND(AP154-AP156,1)</f>
        <v>0</v>
      </c>
      <c r="AQ155" s="45" t="n">
        <f aca="false">ROUND(AQ154-AQ156,1)</f>
        <v>0</v>
      </c>
      <c r="AR155" s="45" t="n">
        <f aca="false">ROUND(AR154-AR156,1)</f>
        <v>0</v>
      </c>
      <c r="AS155" s="45" t="n">
        <f aca="false">ROUND(AS154-AS156,1)</f>
        <v>0</v>
      </c>
      <c r="AT155" s="45" t="n">
        <f aca="false">ROUND(AT154-AT156,1)</f>
        <v>0</v>
      </c>
      <c r="AU155" s="45" t="n">
        <f aca="false">ROUND(AU154-AU156,1)</f>
        <v>0</v>
      </c>
      <c r="AV155" s="45" t="n">
        <f aca="false">ROUND(AV154-AV156,1)</f>
        <v>0</v>
      </c>
      <c r="AW155" s="45" t="n">
        <f aca="false">ROUND(AW154-AW156,1)</f>
        <v>0</v>
      </c>
      <c r="AX155" s="45" t="n">
        <f aca="false">ROUND(AX154-AX156,1)</f>
        <v>0</v>
      </c>
      <c r="AY155" s="45" t="n">
        <f aca="false">ROUND(AY154-AY156,1)</f>
        <v>0</v>
      </c>
      <c r="AZ155" s="45" t="n">
        <f aca="false">ROUND(AZ154-AZ156,1)</f>
        <v>0</v>
      </c>
      <c r="BA155" s="45" t="n">
        <f aca="false">ROUND(BA154-BA156,1)</f>
        <v>0</v>
      </c>
      <c r="BB155" s="45" t="n">
        <f aca="false">ROUND(BB154-BB156,1)</f>
        <v>0</v>
      </c>
      <c r="BC155" s="45" t="n">
        <f aca="false">ROUND(BC154-BC156,1)</f>
        <v>0</v>
      </c>
      <c r="BD155" s="45" t="n">
        <f aca="false">ROUND(BD154-BD156,1)</f>
        <v>0</v>
      </c>
      <c r="BE155" s="45" t="n">
        <f aca="false">ROUND(BE154-BE156,1)</f>
        <v>0</v>
      </c>
      <c r="BF155" s="45" t="n">
        <f aca="false">ROUND(BF154-BF156,1)</f>
        <v>0</v>
      </c>
      <c r="BG155" s="45" t="n">
        <f aca="false">ROUND(BG154-BG156,1)</f>
        <v>0</v>
      </c>
      <c r="BH155" s="45" t="n">
        <f aca="false">ROUND(BH154-BH156,1)</f>
        <v>0</v>
      </c>
      <c r="BI155" s="45" t="n">
        <f aca="false">ROUND(BI154-BI156,1)</f>
        <v>0</v>
      </c>
      <c r="BJ155" s="45" t="n">
        <f aca="false">ROUND(BJ154-BJ156,1)</f>
        <v>0</v>
      </c>
      <c r="BK155" s="45" t="n">
        <f aca="false">ROUND(BK154-BK156,1)</f>
        <v>0</v>
      </c>
      <c r="BL155" s="45" t="n">
        <f aca="false">ROUND(BL154-BL156,1)</f>
        <v>0</v>
      </c>
      <c r="BM155" s="45" t="n">
        <f aca="false">ROUND(BM154-BM156,1)</f>
        <v>0</v>
      </c>
      <c r="BN155" s="45" t="n">
        <f aca="false">ROUND(BN154-BN156,1)</f>
        <v>0</v>
      </c>
      <c r="BO155" s="45" t="n">
        <f aca="false">ROUND(BO154-BO156,1)</f>
        <v>0</v>
      </c>
      <c r="BP155" s="45" t="n">
        <f aca="false">ROUND(BP154-BP156,1)</f>
        <v>0</v>
      </c>
      <c r="BQ155" s="45" t="n">
        <f aca="false">ROUND(BQ154-BQ156,1)</f>
        <v>0</v>
      </c>
      <c r="BR155" s="45" t="n">
        <f aca="false">ROUND(BR154-BR156,1)</f>
        <v>0</v>
      </c>
      <c r="BS155" s="45" t="n">
        <f aca="false">ROUND(BS154-BS156,1)</f>
        <v>0</v>
      </c>
      <c r="BT155" s="45" t="n">
        <f aca="false">ROUND(BT154-BT156,1)</f>
        <v>0</v>
      </c>
      <c r="BU155" s="45" t="n">
        <f aca="false">ROUND(BU154-BU156,1)</f>
        <v>0</v>
      </c>
      <c r="BV155" s="45" t="n">
        <f aca="false">ROUND(BV154-BV156,1)</f>
        <v>0</v>
      </c>
      <c r="BW155" s="45" t="n">
        <f aca="false">ROUND(BW154-BW156,1)</f>
        <v>0</v>
      </c>
      <c r="BX155" s="45" t="n">
        <f aca="false">ROUND(BX154-BX156,1)</f>
        <v>0</v>
      </c>
      <c r="BY155" s="45" t="n">
        <f aca="false">ROUND(BY154-BY156,1)</f>
        <v>0</v>
      </c>
      <c r="BZ155" s="45" t="n">
        <f aca="false">ROUND(BZ154-BZ156,1)</f>
        <v>0</v>
      </c>
      <c r="CA155" s="45" t="n">
        <f aca="false">ROUND(CA154-CA156,1)</f>
        <v>0</v>
      </c>
      <c r="CB155" s="45" t="n">
        <f aca="false">ROUND(CB154-CB156,1)</f>
        <v>0</v>
      </c>
      <c r="CC155" s="58"/>
      <c r="CD155" s="58"/>
      <c r="CE155" s="58"/>
      <c r="CF155" s="58"/>
      <c r="CG155" s="58"/>
      <c r="CH155" s="58"/>
      <c r="CI155" s="58"/>
      <c r="CJ155" s="58"/>
      <c r="CK155" s="23"/>
    </row>
    <row r="156" customFormat="false" ht="15" hidden="false" customHeight="true" outlineLevel="1" collapsed="false">
      <c r="B156" s="42" t="s">
        <v>413</v>
      </c>
      <c r="C156" s="34" t="n">
        <v>327.178</v>
      </c>
      <c r="D156" s="34" t="n">
        <v>334.538</v>
      </c>
      <c r="E156" s="34" t="n">
        <v>335.405</v>
      </c>
      <c r="F156" s="34" t="n">
        <v>226.357</v>
      </c>
      <c r="G156" s="34" t="n">
        <v>215.62</v>
      </c>
      <c r="H156" s="34" t="n">
        <v>246.989</v>
      </c>
      <c r="I156" s="34" t="n">
        <v>297.637</v>
      </c>
      <c r="J156" s="34" t="n">
        <v>76.733</v>
      </c>
      <c r="K156" s="34" t="n">
        <v>78.027</v>
      </c>
      <c r="L156" s="34" t="n">
        <v>74.705</v>
      </c>
      <c r="M156" s="34" t="n">
        <v>85.977</v>
      </c>
      <c r="N156" s="34" t="n">
        <v>315.442</v>
      </c>
      <c r="O156" s="34" t="n">
        <v>77.754</v>
      </c>
      <c r="P156" s="34" t="n">
        <v>84.862</v>
      </c>
      <c r="Q156" s="34" t="n">
        <v>84.602</v>
      </c>
      <c r="R156" s="34" t="n">
        <v>127.224</v>
      </c>
      <c r="S156" s="34" t="n">
        <v>374.442</v>
      </c>
      <c r="T156" s="34" t="n">
        <v>110.108</v>
      </c>
      <c r="U156" s="34" t="n">
        <v>120.412</v>
      </c>
      <c r="V156" s="34" t="n">
        <v>94.883</v>
      </c>
      <c r="W156" s="34" t="n">
        <v>105.215</v>
      </c>
      <c r="X156" s="34" t="n">
        <v>430.618</v>
      </c>
      <c r="Y156" s="34" t="n">
        <v>100.181</v>
      </c>
      <c r="Z156" s="34" t="n">
        <v>345.1</v>
      </c>
      <c r="AA156" s="34" t="n">
        <v>117.341</v>
      </c>
      <c r="AB156" s="34" t="n">
        <v>130.898</v>
      </c>
      <c r="AC156" s="34" t="n">
        <v>693.52</v>
      </c>
      <c r="AD156" s="34" t="n">
        <v>138.091</v>
      </c>
      <c r="AE156" s="34" t="n">
        <v>140.377</v>
      </c>
      <c r="AF156" s="34" t="n">
        <v>118.005</v>
      </c>
      <c r="AG156" s="34" t="n">
        <v>84.237</v>
      </c>
      <c r="AH156" s="34" t="n">
        <v>480.708</v>
      </c>
      <c r="AI156" s="34" t="n">
        <v>217.211</v>
      </c>
      <c r="AJ156" s="34" t="n">
        <v>137.109</v>
      </c>
      <c r="AK156" s="34" t="n">
        <v>302.095</v>
      </c>
      <c r="AL156" s="34" t="n">
        <v>186.171</v>
      </c>
      <c r="AM156" s="34" t="n">
        <v>842.586</v>
      </c>
      <c r="AN156" s="34" t="n">
        <v>212.515</v>
      </c>
      <c r="AO156" s="34" t="n">
        <v>243.013</v>
      </c>
      <c r="AP156" s="34" t="n">
        <v>203.334</v>
      </c>
      <c r="AQ156" s="34" t="n">
        <v>226.119</v>
      </c>
      <c r="AR156" s="34" t="n">
        <v>884.981</v>
      </c>
      <c r="AS156" s="34" t="n">
        <v>250.812</v>
      </c>
      <c r="AT156" s="34" t="n">
        <v>246.12</v>
      </c>
      <c r="AU156" s="34" t="n">
        <v>234.52</v>
      </c>
      <c r="AV156" s="34" t="n">
        <v>144.585</v>
      </c>
      <c r="AW156" s="34" t="n">
        <v>876.037</v>
      </c>
      <c r="AX156" s="34" t="n">
        <v>300.005</v>
      </c>
      <c r="AY156" s="34" t="n">
        <v>284.857</v>
      </c>
      <c r="AZ156" s="34" t="n">
        <v>258.384</v>
      </c>
      <c r="BA156" s="34" t="n">
        <v>267.722</v>
      </c>
      <c r="BB156" s="34" t="n">
        <v>1110.968</v>
      </c>
      <c r="BC156" s="34" t="n">
        <v>331.179</v>
      </c>
      <c r="BD156" s="34" t="n">
        <v>294.669</v>
      </c>
      <c r="BE156" s="34" t="n">
        <v>315.448</v>
      </c>
      <c r="BF156" s="34" t="n">
        <v>294.461</v>
      </c>
      <c r="BG156" s="34" t="n">
        <v>1235.757</v>
      </c>
      <c r="BH156" s="34" t="n">
        <v>351.689</v>
      </c>
      <c r="BI156" s="34" t="n">
        <v>324.293</v>
      </c>
      <c r="BJ156" s="34" t="n">
        <v>325.827</v>
      </c>
      <c r="BK156" s="34" t="n">
        <v>346.201</v>
      </c>
      <c r="BL156" s="34" t="n">
        <v>1348.01</v>
      </c>
      <c r="BM156" s="34" t="n">
        <v>385.085</v>
      </c>
      <c r="BN156" s="34" t="n">
        <v>374.613</v>
      </c>
      <c r="BO156" s="34" t="n">
        <v>397.579</v>
      </c>
      <c r="BP156" s="34" t="n">
        <v>414.315</v>
      </c>
      <c r="BQ156" s="34" t="n">
        <v>1571.592</v>
      </c>
      <c r="BR156" s="34" t="n">
        <v>452.033</v>
      </c>
      <c r="BS156" s="34" t="n">
        <v>448.495</v>
      </c>
      <c r="BT156" s="34" t="n">
        <v>463.497</v>
      </c>
      <c r="BU156" s="34" t="n">
        <v>448.256</v>
      </c>
      <c r="BV156" s="34" t="n">
        <v>1812.281</v>
      </c>
      <c r="BW156" s="34" t="n">
        <v>491.14</v>
      </c>
      <c r="BX156" s="34" t="n">
        <v>495.343</v>
      </c>
      <c r="BY156" s="34" t="n">
        <v>502.496</v>
      </c>
      <c r="BZ156" s="34" t="n">
        <v>510.989</v>
      </c>
      <c r="CA156" s="34" t="n">
        <v>1999.968</v>
      </c>
      <c r="CB156" s="34" t="n">
        <v>551.711</v>
      </c>
      <c r="CC156" s="43"/>
      <c r="CD156" s="43"/>
      <c r="CE156" s="43"/>
      <c r="CF156" s="43"/>
      <c r="CG156" s="43"/>
      <c r="CH156" s="43"/>
      <c r="CI156" s="43"/>
      <c r="CJ156" s="43"/>
      <c r="CK156" s="23"/>
    </row>
    <row r="157" customFormat="false" ht="15" hidden="false" customHeight="true" outlineLevel="0" collapsed="false">
      <c r="B157" s="42" t="s">
        <v>414</v>
      </c>
      <c r="C157" s="34" t="n">
        <v>160.653</v>
      </c>
      <c r="D157" s="34" t="n">
        <v>175.926</v>
      </c>
      <c r="E157" s="34" t="n">
        <v>191.903</v>
      </c>
      <c r="F157" s="34" t="n">
        <v>200.106</v>
      </c>
      <c r="G157" s="34" t="n">
        <v>193.141</v>
      </c>
      <c r="H157" s="34" t="n">
        <v>193.467</v>
      </c>
      <c r="I157" s="34" t="n">
        <v>194.165</v>
      </c>
      <c r="J157" s="34" t="n">
        <v>46.442</v>
      </c>
      <c r="K157" s="34" t="n">
        <v>46.852</v>
      </c>
      <c r="L157" s="34" t="n">
        <v>47.832</v>
      </c>
      <c r="M157" s="34" t="n">
        <v>48.251</v>
      </c>
      <c r="N157" s="34" t="n">
        <v>189.377</v>
      </c>
      <c r="O157" s="34" t="n">
        <v>48.394</v>
      </c>
      <c r="P157" s="34" t="n">
        <v>48.527</v>
      </c>
      <c r="Q157" s="34" t="n">
        <v>48.364</v>
      </c>
      <c r="R157" s="34" t="n">
        <v>45.577</v>
      </c>
      <c r="S157" s="34" t="n">
        <v>190.862</v>
      </c>
      <c r="T157" s="34" t="n">
        <v>39.654</v>
      </c>
      <c r="U157" s="34" t="n">
        <v>38.499</v>
      </c>
      <c r="V157" s="34" t="n">
        <v>37.887</v>
      </c>
      <c r="W157" s="34" t="n">
        <v>39.042</v>
      </c>
      <c r="X157" s="34" t="n">
        <v>155.082</v>
      </c>
      <c r="Y157" s="34" t="n">
        <v>39.768</v>
      </c>
      <c r="Z157" s="34" t="n">
        <v>41.126</v>
      </c>
      <c r="AA157" s="34" t="n">
        <v>41.777</v>
      </c>
      <c r="AB157" s="34" t="n">
        <v>42.608</v>
      </c>
      <c r="AC157" s="34" t="n">
        <v>165.279</v>
      </c>
      <c r="AD157" s="34" t="n">
        <v>43.168</v>
      </c>
      <c r="AE157" s="34" t="n">
        <v>43.882</v>
      </c>
      <c r="AF157" s="34" t="n">
        <v>44.664</v>
      </c>
      <c r="AG157" s="34" t="n">
        <v>64.881</v>
      </c>
      <c r="AH157" s="34" t="n">
        <v>196.595</v>
      </c>
      <c r="AI157" s="34" t="n">
        <v>68.509</v>
      </c>
      <c r="AJ157" s="34" t="n">
        <v>70.33</v>
      </c>
      <c r="AK157" s="34" t="n">
        <v>66.063</v>
      </c>
      <c r="AL157" s="34" t="n">
        <v>74.514</v>
      </c>
      <c r="AM157" s="34" t="n">
        <v>279.416</v>
      </c>
      <c r="AN157" s="34" t="n">
        <v>86.295</v>
      </c>
      <c r="AO157" s="34" t="n">
        <v>88.376</v>
      </c>
      <c r="AP157" s="34" t="n">
        <v>91.658</v>
      </c>
      <c r="AQ157" s="34" t="n">
        <v>93.764</v>
      </c>
      <c r="AR157" s="34" t="n">
        <v>360.093</v>
      </c>
      <c r="AS157" s="34" t="n">
        <v>91.994</v>
      </c>
      <c r="AT157" s="34" t="n">
        <v>94.336</v>
      </c>
      <c r="AU157" s="34" t="n">
        <v>96.163</v>
      </c>
      <c r="AV157" s="34" t="n">
        <v>96.56</v>
      </c>
      <c r="AW157" s="34" t="n">
        <v>379.053</v>
      </c>
      <c r="AX157" s="34" t="n">
        <v>96.179</v>
      </c>
      <c r="AY157" s="34" t="n">
        <v>96.475</v>
      </c>
      <c r="AZ157" s="34" t="n">
        <v>97.167</v>
      </c>
      <c r="BA157" s="34" t="n">
        <v>98.13</v>
      </c>
      <c r="BB157" s="34" t="n">
        <v>387.951</v>
      </c>
      <c r="BC157" s="34" t="n">
        <v>97.949</v>
      </c>
      <c r="BD157" s="34" t="n">
        <v>98.69</v>
      </c>
      <c r="BE157" s="34" t="n">
        <v>100.684</v>
      </c>
      <c r="BF157" s="34" t="n">
        <v>102.378</v>
      </c>
      <c r="BG157" s="34" t="n">
        <v>399.701</v>
      </c>
      <c r="BH157" s="34" t="n">
        <v>100.046</v>
      </c>
      <c r="BI157" s="34" t="n">
        <v>101.208</v>
      </c>
      <c r="BJ157" s="34" t="n">
        <v>102.828</v>
      </c>
      <c r="BK157" s="34" t="n">
        <v>105.08</v>
      </c>
      <c r="BL157" s="34" t="n">
        <v>409.162</v>
      </c>
      <c r="BM157" s="34" t="n">
        <v>106.812</v>
      </c>
      <c r="BN157" s="34" t="n">
        <v>109.226</v>
      </c>
      <c r="BO157" s="34" t="n">
        <v>111.414</v>
      </c>
      <c r="BP157" s="34" t="n">
        <v>114.932</v>
      </c>
      <c r="BQ157" s="34" t="n">
        <v>442.384</v>
      </c>
      <c r="BR157" s="34" t="n">
        <v>115.204</v>
      </c>
      <c r="BS157" s="34" t="n">
        <v>130.043</v>
      </c>
      <c r="BT157" s="34" t="n">
        <v>127.047</v>
      </c>
      <c r="BU157" s="34" t="n">
        <v>121.889</v>
      </c>
      <c r="BV157" s="34" t="n">
        <v>494.183</v>
      </c>
      <c r="BW157" s="34" t="n">
        <v>125.937</v>
      </c>
      <c r="BX157" s="34" t="n">
        <v>127.501</v>
      </c>
      <c r="BY157" s="34" t="n">
        <v>128.67</v>
      </c>
      <c r="BZ157" s="34" t="n">
        <v>130.738</v>
      </c>
      <c r="CA157" s="34" t="n">
        <v>512.846</v>
      </c>
      <c r="CB157" s="34" t="n">
        <v>127.326</v>
      </c>
      <c r="CC157" s="35" t="n">
        <f aca="false">CC127+CC77</f>
        <v>127.245651864496</v>
      </c>
      <c r="CD157" s="35" t="n">
        <f aca="false">CD127+CD77</f>
        <v>166.463611211981</v>
      </c>
      <c r="CE157" s="35" t="n">
        <f aca="false">CE127+CE77</f>
        <v>189.323615541752</v>
      </c>
      <c r="CF157" s="35" t="n">
        <f aca="false">SUM(CB157,CC157,CD157,CE157)</f>
        <v>610.358878618228</v>
      </c>
      <c r="CG157" s="35" t="n">
        <f aca="false">CG127+CG77+CG97</f>
        <v>802.881746135705</v>
      </c>
      <c r="CH157" s="35" t="n">
        <f aca="false">CH127+CH77+CH97</f>
        <v>861.056335183205</v>
      </c>
      <c r="CI157" s="35" t="n">
        <f aca="false">CI127+CI77+CI97</f>
        <v>908.212787856121</v>
      </c>
      <c r="CJ157" s="35" t="n">
        <f aca="false">CJ127+CJ77+CJ97</f>
        <v>972.219011356796</v>
      </c>
      <c r="CK157" s="23" t="s">
        <v>415</v>
      </c>
    </row>
    <row r="158" customFormat="false" ht="15" hidden="false" customHeight="true" outlineLevel="0" collapsed="false">
      <c r="B158" s="42" t="s">
        <v>416</v>
      </c>
      <c r="D158" s="34" t="n">
        <v>4.5</v>
      </c>
      <c r="E158" s="34" t="n">
        <v>7.456</v>
      </c>
      <c r="F158" s="34" t="n">
        <v>11.953</v>
      </c>
      <c r="G158" s="34" t="n">
        <v>15.349</v>
      </c>
      <c r="H158" s="34" t="n">
        <v>15.203</v>
      </c>
      <c r="I158" s="34" t="n">
        <v>20.312</v>
      </c>
      <c r="J158" s="34" t="n">
        <v>5.448</v>
      </c>
      <c r="K158" s="34" t="n">
        <v>5.636</v>
      </c>
      <c r="L158" s="34" t="n">
        <v>5.576</v>
      </c>
      <c r="M158" s="34" t="n">
        <v>6.65</v>
      </c>
      <c r="N158" s="34" t="n">
        <v>23.31</v>
      </c>
      <c r="O158" s="34" t="n">
        <v>6.984</v>
      </c>
      <c r="P158" s="34" t="n">
        <v>7.64</v>
      </c>
      <c r="Q158" s="34" t="n">
        <v>7.624</v>
      </c>
      <c r="R158" s="34" t="n">
        <v>7.627</v>
      </c>
      <c r="S158" s="34" t="n">
        <v>29.875</v>
      </c>
      <c r="T158" s="34" t="n">
        <v>12.28</v>
      </c>
      <c r="U158" s="34" t="n">
        <v>12.505</v>
      </c>
      <c r="V158" s="34" t="n">
        <v>11.231</v>
      </c>
      <c r="W158" s="34" t="n">
        <v>10.986</v>
      </c>
      <c r="X158" s="34" t="n">
        <v>47.002</v>
      </c>
      <c r="Y158" s="34" t="n">
        <v>23.917</v>
      </c>
      <c r="Z158" s="34" t="n">
        <v>16.324</v>
      </c>
      <c r="AA158" s="34" t="n">
        <v>16.928</v>
      </c>
      <c r="AB158" s="34" t="n">
        <v>22.124</v>
      </c>
      <c r="AC158" s="34" t="n">
        <v>79.293</v>
      </c>
      <c r="AD158" s="34" t="n">
        <v>20.779</v>
      </c>
      <c r="AE158" s="34" t="n">
        <v>18.803</v>
      </c>
      <c r="AF158" s="34" t="n">
        <v>23.996</v>
      </c>
      <c r="AG158" s="34" t="n">
        <v>25.29</v>
      </c>
      <c r="AH158" s="34" t="n">
        <v>88.868</v>
      </c>
      <c r="AI158" s="34" t="n">
        <v>28.63</v>
      </c>
      <c r="AJ158" s="34" t="n">
        <v>26.574</v>
      </c>
      <c r="AK158" s="34" t="n">
        <v>30.84</v>
      </c>
      <c r="AL158" s="34" t="n">
        <v>26.791</v>
      </c>
      <c r="AM158" s="34" t="n">
        <v>112.835</v>
      </c>
      <c r="AN158" s="34" t="n">
        <v>46.172</v>
      </c>
      <c r="AO158" s="34" t="n">
        <v>28.612</v>
      </c>
      <c r="AP158" s="34" t="n">
        <v>30.769</v>
      </c>
      <c r="AQ158" s="34" t="n">
        <v>33.657</v>
      </c>
      <c r="AR158" s="34" t="n">
        <v>139.21</v>
      </c>
      <c r="AS158" s="34" t="n">
        <v>40.395</v>
      </c>
      <c r="AT158" s="34" t="n">
        <v>29.003</v>
      </c>
      <c r="AU158" s="34" t="n">
        <v>27.03</v>
      </c>
      <c r="AV158" s="34" t="n">
        <v>19.007</v>
      </c>
      <c r="AW158" s="34" t="n">
        <v>115.435</v>
      </c>
      <c r="AX158" s="34" t="n">
        <v>29.055</v>
      </c>
      <c r="AY158" s="34" t="n">
        <v>28.547</v>
      </c>
      <c r="AZ158" s="34" t="n">
        <v>25.819</v>
      </c>
      <c r="BA158" s="34" t="n">
        <v>28.614</v>
      </c>
      <c r="BB158" s="34" t="n">
        <v>112.035</v>
      </c>
      <c r="BC158" s="34" t="n">
        <v>36.496</v>
      </c>
      <c r="BD158" s="34" t="n">
        <v>24.397</v>
      </c>
      <c r="BE158" s="34" t="n">
        <v>22.794</v>
      </c>
      <c r="BF158" s="34" t="n">
        <v>25.621</v>
      </c>
      <c r="BG158" s="34" t="n">
        <v>109.308</v>
      </c>
      <c r="BH158" s="34" t="n">
        <v>26.282</v>
      </c>
      <c r="BI158" s="34" t="n">
        <v>25.255</v>
      </c>
      <c r="BJ158" s="34" t="n">
        <v>23.797</v>
      </c>
      <c r="BK158" s="34" t="n">
        <v>28.287</v>
      </c>
      <c r="BL158" s="34" t="n">
        <v>103.621</v>
      </c>
      <c r="BM158" s="34" t="n">
        <v>30.242</v>
      </c>
      <c r="BN158" s="34" t="n">
        <v>22.94</v>
      </c>
      <c r="BO158" s="34" t="n">
        <v>31.308</v>
      </c>
      <c r="BP158" s="34" t="n">
        <v>32.496</v>
      </c>
      <c r="BQ158" s="34" t="n">
        <v>116.986</v>
      </c>
      <c r="BR158" s="34" t="n">
        <v>33.367</v>
      </c>
      <c r="BS158" s="34" t="n">
        <v>32.417</v>
      </c>
      <c r="BT158" s="34" t="n">
        <v>31.802</v>
      </c>
      <c r="BU158" s="34" t="n">
        <v>30.743</v>
      </c>
      <c r="BV158" s="34" t="n">
        <v>128.329</v>
      </c>
      <c r="BW158" s="34" t="n">
        <v>30.348</v>
      </c>
      <c r="BX158" s="34" t="n">
        <v>32.353</v>
      </c>
      <c r="BY158" s="34" t="n">
        <v>34.249</v>
      </c>
      <c r="BZ158" s="34" t="n">
        <v>31.126</v>
      </c>
      <c r="CA158" s="34" t="n">
        <v>128.076</v>
      </c>
      <c r="CB158" s="34" t="n">
        <v>31.047</v>
      </c>
      <c r="CC158" s="35" t="n">
        <f aca="false">CC132*CC129</f>
        <v>31.0274080190771</v>
      </c>
      <c r="CD158" s="35" t="n">
        <f aca="false">CD132*CD129</f>
        <v>35.837522032382</v>
      </c>
      <c r="CE158" s="35" t="n">
        <f aca="false">CE132*CE129</f>
        <v>38.8768798280507</v>
      </c>
      <c r="CF158" s="35" t="n">
        <f aca="false">SUM(CB158,CC158,CD158,CE158)</f>
        <v>136.78880987951</v>
      </c>
      <c r="CG158" s="35" t="n">
        <f aca="false">CG132*CG129</f>
        <v>163.691996495743</v>
      </c>
      <c r="CH158" s="35" t="n">
        <f aca="false">CH132*CH129</f>
        <v>176.292673550442</v>
      </c>
      <c r="CI158" s="35" t="n">
        <f aca="false">CI132*CI129</f>
        <v>189.856157896366</v>
      </c>
      <c r="CJ158" s="35" t="n">
        <f aca="false">CJ132*CJ129</f>
        <v>203.618073835942</v>
      </c>
      <c r="CK158" s="23"/>
    </row>
    <row r="159" customFormat="false" ht="15" hidden="false" customHeight="true" outlineLevel="0" collapsed="false">
      <c r="B159" s="67" t="s">
        <v>417</v>
      </c>
    </row>
    <row r="160" customFormat="false" ht="15" hidden="false" customHeight="true" outlineLevel="0" collapsed="false">
      <c r="B160" s="29" t="s">
        <v>418</v>
      </c>
      <c r="C160" s="34" t="n">
        <v>671.804</v>
      </c>
      <c r="D160" s="34" t="n">
        <v>639.076</v>
      </c>
      <c r="E160" s="34" t="n">
        <v>622.712</v>
      </c>
      <c r="F160" s="34" t="n">
        <v>611.768</v>
      </c>
      <c r="G160" s="34" t="n">
        <v>611.436</v>
      </c>
      <c r="H160" s="34" t="n">
        <v>586.344</v>
      </c>
      <c r="I160" s="34" t="n">
        <v>519.564</v>
      </c>
      <c r="J160" s="34" t="n">
        <v>504.44</v>
      </c>
      <c r="K160" s="34" t="n">
        <v>496.74</v>
      </c>
      <c r="L160" s="34" t="n">
        <v>492.88</v>
      </c>
      <c r="M160" s="34" t="n">
        <v>489.568</v>
      </c>
      <c r="N160" s="34" t="n">
        <v>495.824</v>
      </c>
      <c r="O160" s="34" t="n">
        <v>488.52</v>
      </c>
      <c r="P160" s="34" t="n">
        <v>479.628</v>
      </c>
      <c r="Q160" s="34" t="n">
        <v>479.652</v>
      </c>
      <c r="R160" s="34" t="n">
        <v>478.164</v>
      </c>
      <c r="S160" s="34" t="n">
        <v>481.508</v>
      </c>
      <c r="T160" s="34" t="n">
        <v>466.636</v>
      </c>
      <c r="U160" s="34" t="n">
        <v>468.46</v>
      </c>
      <c r="V160" s="34" t="n">
        <v>464.712</v>
      </c>
      <c r="W160" s="34" t="n">
        <v>454.664</v>
      </c>
      <c r="X160" s="34" t="n">
        <v>463.6</v>
      </c>
      <c r="Y160" s="34" t="n">
        <v>442.388</v>
      </c>
      <c r="Z160" s="34" t="n">
        <v>433.204</v>
      </c>
      <c r="AA160" s="34" t="n">
        <v>431.372</v>
      </c>
      <c r="AB160" s="34" t="n">
        <v>424.544</v>
      </c>
      <c r="AC160" s="34" t="n">
        <v>432.884</v>
      </c>
      <c r="AD160" s="34" t="n">
        <v>417.932</v>
      </c>
      <c r="AE160" s="34" t="n">
        <v>419.828</v>
      </c>
      <c r="AF160" s="34" t="n">
        <v>420.372</v>
      </c>
      <c r="AG160" s="34" t="n">
        <v>421.3</v>
      </c>
      <c r="AH160" s="34" t="n">
        <v>419.856</v>
      </c>
      <c r="AI160" s="34" t="n">
        <v>422.96</v>
      </c>
      <c r="AJ160" s="34" t="n">
        <v>425.36</v>
      </c>
      <c r="AK160" s="34" t="n">
        <v>426.232</v>
      </c>
      <c r="AL160" s="34" t="n">
        <v>427.516</v>
      </c>
      <c r="AM160" s="34" t="n">
        <v>426.372</v>
      </c>
      <c r="AN160" s="34" t="n">
        <v>427.34</v>
      </c>
      <c r="AO160" s="34" t="n">
        <v>425.9</v>
      </c>
      <c r="AP160" s="34" t="n">
        <v>420.32</v>
      </c>
      <c r="AQ160" s="34" t="n">
        <v>420.072</v>
      </c>
      <c r="AR160" s="34" t="n">
        <v>424.32</v>
      </c>
      <c r="AS160" s="34" t="n">
        <v>414.172</v>
      </c>
      <c r="AT160" s="34" t="n">
        <v>415.836</v>
      </c>
      <c r="AU160" s="34" t="n">
        <v>416.98</v>
      </c>
      <c r="AV160" s="34" t="n">
        <v>415.032</v>
      </c>
      <c r="AW160" s="34" t="n">
        <v>415.264</v>
      </c>
      <c r="AX160" s="34" t="n">
        <v>416.44</v>
      </c>
      <c r="AY160" s="34" t="n">
        <v>419.996</v>
      </c>
      <c r="AZ160" s="34" t="n">
        <v>421.056</v>
      </c>
      <c r="BA160" s="34" t="n">
        <v>420.572</v>
      </c>
      <c r="BB160" s="34" t="n">
        <v>419.496</v>
      </c>
      <c r="BC160" s="34" t="n">
        <v>413.18</v>
      </c>
      <c r="BD160" s="34" t="n">
        <v>414.584</v>
      </c>
      <c r="BE160" s="34" t="n">
        <v>413.552</v>
      </c>
      <c r="BF160" s="34" t="n">
        <v>409.5</v>
      </c>
      <c r="BG160" s="34" t="n">
        <v>412.688</v>
      </c>
      <c r="BH160" s="34" t="n">
        <v>405.712</v>
      </c>
      <c r="BI160" s="34" t="n">
        <v>406.548</v>
      </c>
      <c r="BJ160" s="34" t="n">
        <v>406.856</v>
      </c>
      <c r="BK160" s="34" t="n">
        <v>407.152</v>
      </c>
      <c r="BL160" s="34" t="n">
        <v>406.58</v>
      </c>
      <c r="BM160" s="34" t="n">
        <v>407.58</v>
      </c>
      <c r="BN160" s="34" t="n">
        <v>406.668</v>
      </c>
      <c r="BO160" s="34" t="n">
        <v>405.908</v>
      </c>
      <c r="BP160" s="34" t="n">
        <v>406.18</v>
      </c>
      <c r="BQ160" s="34" t="n">
        <v>406.612</v>
      </c>
      <c r="BR160" s="34" t="n">
        <v>403.382</v>
      </c>
      <c r="BS160" s="34" t="n">
        <v>403.581</v>
      </c>
      <c r="BT160" s="34" t="n">
        <v>403.769</v>
      </c>
      <c r="BU160" s="34" t="n">
        <v>403.412</v>
      </c>
      <c r="BV160" s="34" t="n">
        <v>403.53</v>
      </c>
      <c r="BW160" s="34" t="n">
        <v>403.292</v>
      </c>
      <c r="BX160" s="34" t="n">
        <v>401.484</v>
      </c>
      <c r="BY160" s="34" t="n">
        <v>400.04</v>
      </c>
      <c r="BZ160" s="34" t="n">
        <v>400.216</v>
      </c>
      <c r="CA160" s="34" t="n">
        <v>401.267</v>
      </c>
      <c r="CB160" s="34" t="n">
        <v>400.137</v>
      </c>
      <c r="CC160" s="35" t="n">
        <f aca="false">CC161-($CB$161-$CB$160)</f>
        <v>399.137</v>
      </c>
      <c r="CD160" s="35" t="n">
        <f aca="false">CD161-($CB$161-$CB$160)</f>
        <v>407.517666666667</v>
      </c>
      <c r="CE160" s="35" t="n">
        <f aca="false">CE161-($CB$161-$CB$160)</f>
        <v>411.208</v>
      </c>
      <c r="CF160" s="35" t="n">
        <f aca="false">AVERAGE(CB160,CC160,CD160,CE160)</f>
        <v>404.499916666667</v>
      </c>
      <c r="CG160" s="35" t="n">
        <f aca="false">CG161-CG379</f>
        <v>408.241059667471</v>
      </c>
      <c r="CH160" s="35" t="n">
        <f aca="false">CH161-CH379</f>
        <v>400.106110295178</v>
      </c>
      <c r="CI160" s="35" t="n">
        <f aca="false">CI161-CI379</f>
        <v>392.461965898603</v>
      </c>
      <c r="CJ160" s="35" t="n">
        <f aca="false">CJ161-CJ379</f>
        <v>384.669122004539</v>
      </c>
      <c r="CK160" s="23" t="s">
        <v>419</v>
      </c>
    </row>
    <row r="161" customFormat="false" ht="15" hidden="false" customHeight="true" outlineLevel="0" collapsed="false">
      <c r="B161" s="29" t="s">
        <v>420</v>
      </c>
      <c r="C161" s="34" t="n">
        <v>674.18</v>
      </c>
      <c r="D161" s="34" t="n">
        <v>640.748</v>
      </c>
      <c r="E161" s="34" t="n">
        <v>623.72</v>
      </c>
      <c r="F161" s="34" t="n">
        <v>613.464</v>
      </c>
      <c r="G161" s="34" t="n">
        <v>611.436</v>
      </c>
      <c r="H161" s="34" t="n">
        <v>586.344</v>
      </c>
      <c r="I161" s="34" t="n">
        <v>520.132</v>
      </c>
      <c r="J161" s="34" t="n">
        <v>505.832</v>
      </c>
      <c r="K161" s="34" t="n">
        <v>498.436</v>
      </c>
      <c r="L161" s="34" t="n">
        <v>495.428</v>
      </c>
      <c r="M161" s="34" t="n">
        <v>492.412</v>
      </c>
      <c r="N161" s="34" t="n">
        <v>498.124</v>
      </c>
      <c r="O161" s="34" t="n">
        <v>491.568</v>
      </c>
      <c r="P161" s="34" t="n">
        <v>484.2</v>
      </c>
      <c r="Q161" s="34" t="n">
        <v>485.12</v>
      </c>
      <c r="R161" s="34" t="n">
        <v>483.544</v>
      </c>
      <c r="S161" s="34" t="n">
        <v>486.56</v>
      </c>
      <c r="T161" s="34" t="n">
        <v>472.12</v>
      </c>
      <c r="U161" s="34" t="n">
        <v>474.62</v>
      </c>
      <c r="V161" s="34" t="n">
        <v>471.468</v>
      </c>
      <c r="W161" s="34" t="n">
        <v>461.532</v>
      </c>
      <c r="X161" s="34" t="n">
        <v>470.172</v>
      </c>
      <c r="Y161" s="34" t="n">
        <v>448.916</v>
      </c>
      <c r="Z161" s="34" t="n">
        <v>440.452</v>
      </c>
      <c r="AA161" s="34" t="n">
        <v>437.852</v>
      </c>
      <c r="AB161" s="34" t="n">
        <v>431.188</v>
      </c>
      <c r="AC161" s="34" t="n">
        <v>439.824</v>
      </c>
      <c r="AD161" s="34" t="n">
        <v>428.456</v>
      </c>
      <c r="AE161" s="34" t="n">
        <v>430.588</v>
      </c>
      <c r="AF161" s="34" t="n">
        <v>431.568</v>
      </c>
      <c r="AG161" s="34" t="n">
        <v>436.092</v>
      </c>
      <c r="AH161" s="34" t="n">
        <v>431.132</v>
      </c>
      <c r="AI161" s="34" t="n">
        <v>434.148</v>
      </c>
      <c r="AJ161" s="34" t="n">
        <v>439.272</v>
      </c>
      <c r="AK161" s="34" t="n">
        <v>440.7</v>
      </c>
      <c r="AL161" s="34" t="n">
        <v>442.296</v>
      </c>
      <c r="AM161" s="34" t="n">
        <v>439.24</v>
      </c>
      <c r="AN161" s="34" t="n">
        <v>442.592</v>
      </c>
      <c r="AO161" s="34" t="n">
        <v>439.496</v>
      </c>
      <c r="AP161" s="34" t="n">
        <v>432.648</v>
      </c>
      <c r="AQ161" s="34" t="n">
        <v>433.356</v>
      </c>
      <c r="AR161" s="34" t="n">
        <v>437.98</v>
      </c>
      <c r="AS161" s="34" t="n">
        <v>428.332</v>
      </c>
      <c r="AT161" s="34" t="n">
        <v>429.34</v>
      </c>
      <c r="AU161" s="34" t="n">
        <v>430.352</v>
      </c>
      <c r="AV161" s="34" t="n">
        <v>424.924</v>
      </c>
      <c r="AW161" s="34" t="n">
        <v>428.048</v>
      </c>
      <c r="AX161" s="34" t="n">
        <v>428.516</v>
      </c>
      <c r="AY161" s="34" t="n">
        <v>431.924</v>
      </c>
      <c r="AZ161" s="34" t="n">
        <v>431.984</v>
      </c>
      <c r="BA161" s="34" t="n">
        <v>430.904</v>
      </c>
      <c r="BB161" s="34" t="n">
        <v>430.828</v>
      </c>
      <c r="BC161" s="34" t="n">
        <v>423.776</v>
      </c>
      <c r="BD161" s="34" t="n">
        <v>424.488</v>
      </c>
      <c r="BE161" s="34" t="n">
        <v>422.564</v>
      </c>
      <c r="BF161" s="34" t="n">
        <v>417.708</v>
      </c>
      <c r="BG161" s="34" t="n">
        <v>422.092</v>
      </c>
      <c r="BH161" s="34" t="n">
        <v>413.348</v>
      </c>
      <c r="BI161" s="34" t="n">
        <v>413.424</v>
      </c>
      <c r="BJ161" s="34" t="n">
        <v>413.672</v>
      </c>
      <c r="BK161" s="34" t="n">
        <v>413.672</v>
      </c>
      <c r="BL161" s="34" t="n">
        <v>413.508</v>
      </c>
      <c r="BM161" s="34" t="n">
        <v>414.288</v>
      </c>
      <c r="BN161" s="34" t="n">
        <v>413.064</v>
      </c>
      <c r="BO161" s="34" t="n">
        <v>412.748</v>
      </c>
      <c r="BP161" s="34" t="n">
        <v>413.328</v>
      </c>
      <c r="BQ161" s="34" t="n">
        <v>413.468</v>
      </c>
      <c r="BR161" s="34" t="n">
        <v>410.496</v>
      </c>
      <c r="BS161" s="34" t="n">
        <v>410.667</v>
      </c>
      <c r="BT161" s="34" t="n">
        <v>410.307</v>
      </c>
      <c r="BU161" s="34" t="n">
        <v>409.685</v>
      </c>
      <c r="BV161" s="34" t="n">
        <v>410.286</v>
      </c>
      <c r="BW161" s="34" t="n">
        <v>409.294</v>
      </c>
      <c r="BX161" s="34" t="n">
        <v>406.433</v>
      </c>
      <c r="BY161" s="34" t="n">
        <v>404.717</v>
      </c>
      <c r="BZ161" s="34" t="n">
        <v>404.307</v>
      </c>
      <c r="CA161" s="34" t="n">
        <v>406.197</v>
      </c>
      <c r="CB161" s="34" t="n">
        <v>404.29</v>
      </c>
      <c r="CC161" s="35" t="n">
        <f aca="false">$CB$161-$CU$52*(COLUMN()-COLUMN($CB$161))+$CU$22*CC64/IF(COLUMN()=COLUMN($CC$161),91,IF(COLUMN()=COLUMN($CD$161),90,92))</f>
        <v>403.29</v>
      </c>
      <c r="CD161" s="35" t="n">
        <f aca="false">$CB$161-$CU$52*(COLUMN()-COLUMN($CB$161))+$CU$22*CD64/IF(COLUMN()=COLUMN($CC$161),91,IF(COLUMN()=COLUMN($CD$161),90,92))</f>
        <v>411.670666666667</v>
      </c>
      <c r="CE161" s="35" t="n">
        <f aca="false">$CB$161-$CU$52*(COLUMN()-COLUMN($CB$161))+$CU$22*CE64/IF(COLUMN()=COLUMN($CC$161),91,IF(COLUMN()=COLUMN($CD$161),90,92))</f>
        <v>415.361</v>
      </c>
      <c r="CF161" s="35" t="n">
        <f aca="false">AVERAGE(CB161,CC161,CD161,CE161)</f>
        <v>408.652916666667</v>
      </c>
      <c r="CG161" s="35" t="n">
        <f aca="false">AVERAGE(CG273,CG274)+CG379</f>
        <v>412.241059667471</v>
      </c>
      <c r="CH161" s="35" t="n">
        <f aca="false">AVERAGE(CH273,CH274)+CH379</f>
        <v>404.106110295178</v>
      </c>
      <c r="CI161" s="35" t="n">
        <f aca="false">AVERAGE(CI273,CI274)+CI379</f>
        <v>396.461965898603</v>
      </c>
      <c r="CJ161" s="35" t="n">
        <f aca="false">AVERAGE(CJ273,CJ274)+CJ379</f>
        <v>388.669122004539</v>
      </c>
      <c r="CK161" s="23" t="s">
        <v>421</v>
      </c>
    </row>
    <row r="162" customFormat="false" ht="15" hidden="false" customHeight="true" outlineLevel="0" collapsed="false">
      <c r="B162" s="29" t="s">
        <v>422</v>
      </c>
      <c r="C162" s="68" t="n">
        <f aca="false">IFERROR(C154/C160,"")</f>
        <v>0.487014069579818</v>
      </c>
      <c r="D162" s="68" t="n">
        <f aca="false">IFERROR(D154/D160,"")</f>
        <v>0.523471386814714</v>
      </c>
      <c r="E162" s="68" t="n">
        <f aca="false">IFERROR(E154/E160,"")</f>
        <v>0.538619779288018</v>
      </c>
      <c r="F162" s="68" t="n">
        <f aca="false">IFERROR(F154/F160,"")</f>
        <v>0.370004642282696</v>
      </c>
      <c r="G162" s="68" t="n">
        <f aca="false">IFERROR(G154/G160,"")</f>
        <v>0.352645248235302</v>
      </c>
      <c r="H162" s="68" t="n">
        <f aca="false">IFERROR(H154/H160,"")</f>
        <v>0.421235656884013</v>
      </c>
      <c r="I162" s="68" t="n">
        <f aca="false">IFERROR(I154/I160,"")</f>
        <v>0.572859166531939</v>
      </c>
      <c r="J162" s="68" t="n">
        <f aca="false">IFERROR(J154/J160,"")</f>
        <v>0.152115216874157</v>
      </c>
      <c r="K162" s="68" t="n">
        <f aca="false">IFERROR(K154/K160,"")</f>
        <v>0.157078149534968</v>
      </c>
      <c r="L162" s="68" t="n">
        <f aca="false">IFERROR(L154/L160,"")</f>
        <v>0.151568333062815</v>
      </c>
      <c r="M162" s="68" t="n">
        <f aca="false">IFERROR(M154/M160,"")</f>
        <v>0.175618095953984</v>
      </c>
      <c r="N162" s="68" t="n">
        <f aca="false">IFERROR(N154/N160,"")</f>
        <v>0.636197521701248</v>
      </c>
      <c r="O162" s="68" t="n">
        <f aca="false">IFERROR(O154/O160,"")</f>
        <v>0.159162367968558</v>
      </c>
      <c r="P162" s="68" t="n">
        <f aca="false">IFERROR(P154/P160,"")</f>
        <v>0.176932956374524</v>
      </c>
      <c r="Q162" s="68" t="n">
        <f aca="false">IFERROR(Q154/Q160,"")</f>
        <v>0.176382043648312</v>
      </c>
      <c r="R162" s="68" t="n">
        <f aca="false">IFERROR(R154/R160,"")</f>
        <v>0.266067708986875</v>
      </c>
      <c r="S162" s="68" t="n">
        <f aca="false">IFERROR(S154/S160,"")</f>
        <v>0.777644400508403</v>
      </c>
      <c r="T162" s="68" t="n">
        <f aca="false">IFERROR(T154/T160,"")</f>
        <v>0.235961220308763</v>
      </c>
      <c r="U162" s="68" t="n">
        <f aca="false">IFERROR(U154/U160,"")</f>
        <v>0.257037954147632</v>
      </c>
      <c r="V162" s="68" t="n">
        <f aca="false">IFERROR(V154/V160,"")</f>
        <v>0.204175919709412</v>
      </c>
      <c r="W162" s="68" t="n">
        <f aca="false">IFERROR(W154/W160,"")</f>
        <v>0.231412647581511</v>
      </c>
      <c r="X162" s="68" t="n">
        <f aca="false">IFERROR(X154/X160,"")</f>
        <v>0.928856773080243</v>
      </c>
      <c r="Y162" s="68" t="n">
        <f aca="false">IFERROR(Y154/Y160,"")</f>
        <v>0.22645505755129</v>
      </c>
      <c r="Z162" s="68" t="n">
        <f aca="false">IFERROR(Z154/Z160,"")</f>
        <v>0.796622376524686</v>
      </c>
      <c r="AA162" s="68" t="n">
        <f aca="false">IFERROR(AA154/AA160,"")</f>
        <v>0.272018118932152</v>
      </c>
      <c r="AB162" s="68" t="n">
        <f aca="false">IFERROR(AB154/AB160,"")</f>
        <v>0.308326109896736</v>
      </c>
      <c r="AC162" s="68" t="n">
        <f aca="false">IFERROR(AC154/AC160,"")</f>
        <v>1.6020920154129</v>
      </c>
      <c r="AD162" s="68" t="n">
        <f aca="false">IFERROR(AD154/AD160,"")</f>
        <v>0.330414995740934</v>
      </c>
      <c r="AE162" s="68" t="n">
        <f aca="false">IFERROR(AE154/AE160,"")</f>
        <v>0.334367883990587</v>
      </c>
      <c r="AF162" s="68" t="n">
        <f aca="false">IFERROR(AF154/AF160,"")</f>
        <v>0.280715651851218</v>
      </c>
      <c r="AG162" s="68" t="n">
        <f aca="false">IFERROR(AG154/AG160,"")</f>
        <v>0.199945407073344</v>
      </c>
      <c r="AH162" s="68" t="n">
        <f aca="false">IFERROR(AH154/AH160,"")</f>
        <v>1.14493540642506</v>
      </c>
      <c r="AI162" s="68" t="n">
        <f aca="false">IFERROR(AI154/AI160,"")</f>
        <v>0.513549744656705</v>
      </c>
      <c r="AJ162" s="68" t="n">
        <f aca="false">IFERROR(AJ154/AJ160,"")</f>
        <v>0.322336373895054</v>
      </c>
      <c r="AK162" s="68" t="n">
        <f aca="false">IFERROR(AK154/AK160,"")</f>
        <v>0.7087572026502</v>
      </c>
      <c r="AL162" s="68" t="n">
        <f aca="false">IFERROR(AL154/AL160,"")</f>
        <v>0.435471420952666</v>
      </c>
      <c r="AM162" s="68" t="n">
        <f aca="false">IFERROR(AM154/AM160,"")</f>
        <v>1.9761757338662</v>
      </c>
      <c r="AN162" s="68" t="n">
        <f aca="false">IFERROR(AN154/AN160,"")</f>
        <v>0.497297234052511</v>
      </c>
      <c r="AO162" s="68" t="n">
        <f aca="false">IFERROR(AO154/AO160,"")</f>
        <v>0.570586992251703</v>
      </c>
      <c r="AP162" s="68" t="n">
        <f aca="false">IFERROR(AP154/AP160,"")</f>
        <v>0.483759992386753</v>
      </c>
      <c r="AQ162" s="68" t="n">
        <f aca="false">IFERROR(AQ154/AQ160,"")</f>
        <v>0.53828629377821</v>
      </c>
      <c r="AR162" s="68" t="n">
        <f aca="false">IFERROR(AR154/AR160,"")</f>
        <v>2.08564526772247</v>
      </c>
      <c r="AS162" s="68" t="n">
        <f aca="false">IFERROR(AS154/AS160,"")</f>
        <v>0.605574495620177</v>
      </c>
      <c r="AT162" s="68" t="n">
        <f aca="false">IFERROR(AT154/AT160,"")</f>
        <v>0.591867947941015</v>
      </c>
      <c r="AU162" s="68" t="n">
        <f aca="false">IFERROR(AU154/AU160,"")</f>
        <v>0.562425056357619</v>
      </c>
      <c r="AV162" s="68" t="n">
        <f aca="false">IFERROR(AV154/AV160,"")</f>
        <v>0.348370728040248</v>
      </c>
      <c r="AW162" s="68" t="n">
        <f aca="false">IFERROR(AW154/AW160,"")</f>
        <v>2.1095905255452</v>
      </c>
      <c r="AX162" s="68" t="n">
        <f aca="false">IFERROR(AX154/AX160,"")</f>
        <v>0.720403899721449</v>
      </c>
      <c r="AY162" s="68" t="n">
        <f aca="false">IFERROR(AY154/AY160,"")</f>
        <v>0.678237411784874</v>
      </c>
      <c r="AZ162" s="68" t="n">
        <f aca="false">IFERROR(AZ154/AZ160,"")</f>
        <v>0.613657090743274</v>
      </c>
      <c r="BA162" s="68" t="n">
        <f aca="false">IFERROR(BA154/BA160,"")</f>
        <v>0.636566390534796</v>
      </c>
      <c r="BB162" s="68" t="n">
        <f aca="false">IFERROR(BB154/BB160,"")</f>
        <v>2.64833991265709</v>
      </c>
      <c r="BC162" s="68" t="n">
        <f aca="false">IFERROR(BC154/BC160,"")</f>
        <v>0.801536860448231</v>
      </c>
      <c r="BD162" s="68" t="n">
        <f aca="false">IFERROR(BD154/BD160,"")</f>
        <v>0.710758254057079</v>
      </c>
      <c r="BE162" s="68" t="n">
        <f aca="false">IFERROR(BE154/BE160,"")</f>
        <v>0.762777111463613</v>
      </c>
      <c r="BF162" s="68" t="n">
        <f aca="false">IFERROR(BF154/BF160,"")</f>
        <v>0.719074481074482</v>
      </c>
      <c r="BG162" s="68" t="n">
        <f aca="false">IFERROR(BG154/BG160,"")</f>
        <v>2.99440982049393</v>
      </c>
      <c r="BH162" s="68" t="n">
        <f aca="false">IFERROR(BH154/BH160,"")</f>
        <v>0.866843968135032</v>
      </c>
      <c r="BI162" s="68" t="n">
        <f aca="false">IFERROR(BI154/BI160,"")</f>
        <v>0.797674567332763</v>
      </c>
      <c r="BJ162" s="68" t="n">
        <f aca="false">IFERROR(BJ154/BJ160,"")</f>
        <v>0.800841083823269</v>
      </c>
      <c r="BK162" s="68" t="n">
        <f aca="false">IFERROR(BK154/BK160,"")</f>
        <v>0.850299151176956</v>
      </c>
      <c r="BL162" s="68" t="n">
        <f aca="false">IFERROR(BL154/BL160,"")</f>
        <v>3.31548526735206</v>
      </c>
      <c r="BM162" s="68" t="n">
        <f aca="false">IFERROR(BM154/BM160,"")</f>
        <v>0.944808381176702</v>
      </c>
      <c r="BN162" s="68" t="n">
        <f aca="false">IFERROR(BN154/BN160,"")</f>
        <v>0.921176487945942</v>
      </c>
      <c r="BO162" s="68" t="n">
        <f aca="false">IFERROR(BO154/BO160,"")</f>
        <v>0.979480571952264</v>
      </c>
      <c r="BP162" s="68" t="n">
        <f aca="false">IFERROR(BP154/BP160,"")</f>
        <v>1.02002806637451</v>
      </c>
      <c r="BQ162" s="68" t="n">
        <f aca="false">IFERROR(BQ154/BQ160,"")</f>
        <v>3.86509006128693</v>
      </c>
      <c r="BR162" s="68" t="n">
        <f aca="false">IFERROR(BR154/BR160,"")</f>
        <v>1.12060776137755</v>
      </c>
      <c r="BS162" s="68" t="n">
        <f aca="false">IFERROR(BS154/BS160,"")</f>
        <v>1.1112886880205</v>
      </c>
      <c r="BT162" s="68" t="n">
        <f aca="false">IFERROR(BT154/BT160,"")</f>
        <v>1.14792616570366</v>
      </c>
      <c r="BU162" s="68" t="n">
        <f aca="false">IFERROR(BU154/BU160,"")</f>
        <v>1.11116178993188</v>
      </c>
      <c r="BV162" s="68" t="n">
        <f aca="false">IFERROR(BV154/BV160,"")</f>
        <v>4.49106881768394</v>
      </c>
      <c r="BW162" s="68" t="n">
        <f aca="false">IFERROR(BW154/BW160,"")</f>
        <v>1.21782728147347</v>
      </c>
      <c r="BX162" s="68" t="n">
        <f aca="false">IFERROR(BX154/BX160,"")</f>
        <v>1.23378017554871</v>
      </c>
      <c r="BY162" s="68" t="n">
        <f aca="false">IFERROR(BY154/BY160,"")</f>
        <v>1.25611438856114</v>
      </c>
      <c r="BZ162" s="68" t="n">
        <f aca="false">IFERROR(BZ154/BZ160,"")</f>
        <v>1.27678303715993</v>
      </c>
      <c r="CA162" s="68" t="n">
        <f aca="false">IFERROR(CA154/CA160,"")</f>
        <v>4.98413275948434</v>
      </c>
      <c r="CB162" s="68" t="n">
        <f aca="false">IFERROR(CB154/CB160,"")</f>
        <v>1.37880525919872</v>
      </c>
      <c r="CC162" s="60" t="n">
        <f aca="false">IFERROR(CC154/CC160,"")</f>
        <v>1.33043288254898</v>
      </c>
      <c r="CD162" s="60" t="n">
        <f aca="false">IFERROR(CD154/CD160,"")</f>
        <v>1.11287733181511</v>
      </c>
      <c r="CE162" s="60" t="n">
        <f aca="false">IFERROR(CE154/CE160,"")</f>
        <v>1.30202909378761</v>
      </c>
      <c r="CF162" s="60" t="n">
        <f aca="false">IFERROR(CF154/CF160,"")</f>
        <v>5.12152872529479</v>
      </c>
      <c r="CG162" s="60" t="n">
        <f aca="false">IFERROR(CG154/CG160,"")</f>
        <v>5.91792533457856</v>
      </c>
      <c r="CH162" s="60" t="n">
        <f aca="false">IFERROR(CH154/CH160,"")</f>
        <v>6.95979032471037</v>
      </c>
      <c r="CI162" s="60" t="n">
        <f aca="false">IFERROR(CI154/CI160,"")</f>
        <v>8.17690857850222</v>
      </c>
      <c r="CJ162" s="60" t="n">
        <f aca="false">IFERROR(CJ154/CJ160,"")</f>
        <v>9.24042453311821</v>
      </c>
      <c r="CK162" s="23"/>
    </row>
    <row r="163" customFormat="false" ht="15" hidden="false" customHeight="true" outlineLevel="0" collapsed="false">
      <c r="B163" s="55" t="s">
        <v>423</v>
      </c>
      <c r="C163" s="69" t="n">
        <f aca="false">IFERROR(C154/C161,"")</f>
        <v>0.485297694977603</v>
      </c>
      <c r="D163" s="69" t="n">
        <f aca="false">IFERROR(D154/D161,"")</f>
        <v>0.522105414297041</v>
      </c>
      <c r="E163" s="69" t="n">
        <f aca="false">IFERROR(E154/E161,"")</f>
        <v>0.537749310588084</v>
      </c>
      <c r="F163" s="69" t="n">
        <f aca="false">IFERROR(F154/F161,"")</f>
        <v>0.368981716938565</v>
      </c>
      <c r="G163" s="69" t="n">
        <f aca="false">IFERROR(G154/G161,"")</f>
        <v>0.352645248235302</v>
      </c>
      <c r="H163" s="69" t="n">
        <f aca="false">IFERROR(H154/H161,"")</f>
        <v>0.421235656884013</v>
      </c>
      <c r="I163" s="69" t="n">
        <f aca="false">IFERROR(I154/I161,"")</f>
        <v>0.572233586858721</v>
      </c>
      <c r="J163" s="69" t="n">
        <f aca="false">IFERROR(J154/J161,"")</f>
        <v>0.151696610732417</v>
      </c>
      <c r="K163" s="69" t="n">
        <f aca="false">IFERROR(K154/K161,"")</f>
        <v>0.156543668595366</v>
      </c>
      <c r="L163" s="69" t="n">
        <f aca="false">IFERROR(L154/L161,"")</f>
        <v>0.150788812905205</v>
      </c>
      <c r="M163" s="69" t="n">
        <f aca="false">IFERROR(M154/M161,"")</f>
        <v>0.174603787072614</v>
      </c>
      <c r="N163" s="69" t="n">
        <f aca="false">IFERROR(N154/N161,"")</f>
        <v>0.633259991488062</v>
      </c>
      <c r="O163" s="69" t="n">
        <f aca="false">IFERROR(O154/O161,"")</f>
        <v>0.158175471145396</v>
      </c>
      <c r="P163" s="69" t="n">
        <f aca="false">IFERROR(P154/P161,"")</f>
        <v>0.175262288310615</v>
      </c>
      <c r="Q163" s="69" t="n">
        <f aca="false">IFERROR(Q154/Q161,"")</f>
        <v>0.174393964379947</v>
      </c>
      <c r="R163" s="69" t="n">
        <f aca="false">IFERROR(R154/R161,"")</f>
        <v>0.263107390433963</v>
      </c>
      <c r="S163" s="69" t="n">
        <f aca="false">IFERROR(S154/S161,"")</f>
        <v>0.769570042749096</v>
      </c>
      <c r="T163" s="69" t="n">
        <f aca="false">IFERROR(T154/T161,"")</f>
        <v>0.233220367703126</v>
      </c>
      <c r="U163" s="69" t="n">
        <f aca="false">IFERROR(U154/U161,"")</f>
        <v>0.253701908895537</v>
      </c>
      <c r="V163" s="69" t="n">
        <f aca="false">IFERROR(V154/V161,"")</f>
        <v>0.201250137867257</v>
      </c>
      <c r="W163" s="69" t="n">
        <f aca="false">IFERROR(W154/W161,"")</f>
        <v>0.227969024899682</v>
      </c>
      <c r="X163" s="69" t="n">
        <f aca="false">IFERROR(X154/X161,"")</f>
        <v>0.915873339969204</v>
      </c>
      <c r="Y163" s="69" t="n">
        <f aca="false">IFERROR(Y154/Y161,"")</f>
        <v>0.223162016947492</v>
      </c>
      <c r="Z163" s="69" t="n">
        <f aca="false">IFERROR(Z154/Z161,"")</f>
        <v>0.783513299973663</v>
      </c>
      <c r="AA163" s="69" t="n">
        <f aca="false">IFERROR(AA154/AA161,"")</f>
        <v>0.267992380987183</v>
      </c>
      <c r="AB163" s="69" t="n">
        <f aca="false">IFERROR(AB154/AB161,"")</f>
        <v>0.303575238643005</v>
      </c>
      <c r="AC163" s="69" t="n">
        <f aca="false">IFERROR(AC154/AC161,"")</f>
        <v>1.5768125431991</v>
      </c>
      <c r="AD163" s="69" t="n">
        <f aca="false">IFERROR(AD154/AD161,"")</f>
        <v>0.322299139234834</v>
      </c>
      <c r="AE163" s="69" t="n">
        <f aca="false">IFERROR(AE154/AE161,"")</f>
        <v>0.326012336618763</v>
      </c>
      <c r="AF163" s="69" t="n">
        <f aca="false">IFERROR(AF154/AF161,"")</f>
        <v>0.2734331553776</v>
      </c>
      <c r="AG163" s="69" t="n">
        <f aca="false">IFERROR(AG154/AG161,"")</f>
        <v>0.193163369197325</v>
      </c>
      <c r="AH163" s="69" t="n">
        <f aca="false">IFERROR(AH154/AH161,"")</f>
        <v>1.11499030459349</v>
      </c>
      <c r="AI163" s="69" t="n">
        <f aca="false">IFERROR(AI154/AI161,"")</f>
        <v>0.50031556059224</v>
      </c>
      <c r="AJ163" s="69" t="n">
        <f aca="false">IFERROR(AJ154/AJ161,"")</f>
        <v>0.312127793257936</v>
      </c>
      <c r="AK163" s="69" t="n">
        <f aca="false">IFERROR(AK154/AK161,"")</f>
        <v>0.68548899478103</v>
      </c>
      <c r="AL163" s="69" t="n">
        <f aca="false">IFERROR(AL154/AL161,"")</f>
        <v>0.420919474740897</v>
      </c>
      <c r="AM163" s="69" t="n">
        <f aca="false">IFERROR(AM154/AM161,"")</f>
        <v>1.91828157726983</v>
      </c>
      <c r="AN163" s="69" t="n">
        <f aca="false">IFERROR(AN154/AN161,"")</f>
        <v>0.480160057118068</v>
      </c>
      <c r="AO163" s="69" t="n">
        <f aca="false">IFERROR(AO154/AO161,"")</f>
        <v>0.552935635364145</v>
      </c>
      <c r="AP163" s="69" t="n">
        <f aca="false">IFERROR(AP154/AP161,"")</f>
        <v>0.469975592167304</v>
      </c>
      <c r="AQ163" s="69" t="n">
        <f aca="false">IFERROR(AQ154/AQ161,"")</f>
        <v>0.521785783512863</v>
      </c>
      <c r="AR163" s="69" t="n">
        <f aca="false">IFERROR(AR154/AR161,"")</f>
        <v>2.02059683090552</v>
      </c>
      <c r="AS163" s="69" t="n">
        <f aca="false">IFERROR(AS154/AS161,"")</f>
        <v>0.585555130132701</v>
      </c>
      <c r="AT163" s="69" t="n">
        <f aca="false">IFERROR(AT154/AT161,"")</f>
        <v>0.573251968137141</v>
      </c>
      <c r="AU163" s="69" t="n">
        <f aca="false">IFERROR(AU154/AU161,"")</f>
        <v>0.544949250845819</v>
      </c>
      <c r="AV163" s="69" t="n">
        <f aca="false">IFERROR(AV154/AV161,"")</f>
        <v>0.340260846645518</v>
      </c>
      <c r="AW163" s="69" t="n">
        <f aca="false">IFERROR(AW154/AW161,"")</f>
        <v>2.04658589690876</v>
      </c>
      <c r="AX163" s="69" t="n">
        <f aca="false">IFERROR(AX154/AX161,"")</f>
        <v>0.700102213219576</v>
      </c>
      <c r="AY163" s="69" t="n">
        <f aca="false">IFERROR(AY154/AY161,"")</f>
        <v>0.659507228123466</v>
      </c>
      <c r="AZ163" s="69" t="n">
        <f aca="false">IFERROR(AZ154/AZ161,"")</f>
        <v>0.59813326419497</v>
      </c>
      <c r="BA163" s="69" t="n">
        <f aca="false">IFERROR(BA154/BA161,"")</f>
        <v>0.621303120880753</v>
      </c>
      <c r="BB163" s="69" t="n">
        <f aca="false">IFERROR(BB154/BB161,"")</f>
        <v>2.57868105137085</v>
      </c>
      <c r="BC163" s="69" t="n">
        <f aca="false">IFERROR(BC154/BC161,"")</f>
        <v>0.781495412670845</v>
      </c>
      <c r="BD163" s="69" t="n">
        <f aca="false">IFERROR(BD154/BD161,"")</f>
        <v>0.694175100356194</v>
      </c>
      <c r="BE163" s="69" t="n">
        <f aca="false">IFERROR(BE154/BE161,"")</f>
        <v>0.746509404492574</v>
      </c>
      <c r="BF163" s="69" t="n">
        <f aca="false">IFERROR(BF154/BF161,"")</f>
        <v>0.704944602449559</v>
      </c>
      <c r="BG163" s="69" t="n">
        <f aca="false">IFERROR(BG154/BG161,"")</f>
        <v>2.92769585777508</v>
      </c>
      <c r="BH163" s="69" t="n">
        <f aca="false">IFERROR(BH154/BH161,"")</f>
        <v>0.850830293118632</v>
      </c>
      <c r="BI163" s="69" t="n">
        <f aca="false">IFERROR(BI154/BI161,"")</f>
        <v>0.784407775068695</v>
      </c>
      <c r="BJ163" s="69" t="n">
        <f aca="false">IFERROR(BJ154/BJ161,"")</f>
        <v>0.787645767661335</v>
      </c>
      <c r="BK163" s="69" t="n">
        <f aca="false">IFERROR(BK154/BK161,"")</f>
        <v>0.836897348624031</v>
      </c>
      <c r="BL163" s="69" t="n">
        <f aca="false">IFERROR(BL154/BL161,"")</f>
        <v>3.25993692987802</v>
      </c>
      <c r="BM163" s="69" t="n">
        <f aca="false">IFERROR(BM154/BM161,"")</f>
        <v>0.929510388908199</v>
      </c>
      <c r="BN163" s="69" t="n">
        <f aca="false">IFERROR(BN154/BN161,"")</f>
        <v>0.906912730230667</v>
      </c>
      <c r="BO163" s="69" t="n">
        <f aca="false">IFERROR(BO154/BO161,"")</f>
        <v>0.963248761956447</v>
      </c>
      <c r="BP163" s="69" t="n">
        <f aca="false">IFERROR(BP154/BP161,"")</f>
        <v>1.00238793403786</v>
      </c>
      <c r="BQ163" s="69" t="n">
        <f aca="false">IFERROR(BQ154/BQ161,"")</f>
        <v>3.80100031925083</v>
      </c>
      <c r="BR163" s="69" t="n">
        <f aca="false">IFERROR(BR154/BR161,"")</f>
        <v>1.10118734409105</v>
      </c>
      <c r="BS163" s="69" t="n">
        <f aca="false">IFERROR(BS154/BS161,"")</f>
        <v>1.09211356159614</v>
      </c>
      <c r="BT163" s="69" t="n">
        <f aca="false">IFERROR(BT154/BT161,"")</f>
        <v>1.12963463942853</v>
      </c>
      <c r="BU163" s="69" t="n">
        <f aca="false">IFERROR(BU154/BU161,"")</f>
        <v>1.09414794293176</v>
      </c>
      <c r="BV163" s="69" t="n">
        <f aca="false">IFERROR(BV154/BV161,"")</f>
        <v>4.41711635298304</v>
      </c>
      <c r="BW163" s="69" t="n">
        <f aca="false">IFERROR(BW154/BW161,"")</f>
        <v>1.1999687266366</v>
      </c>
      <c r="BX163" s="69" t="n">
        <f aca="false">IFERROR(BX154/BX161,"")</f>
        <v>1.21875684307131</v>
      </c>
      <c r="BY163" s="69" t="n">
        <f aca="false">IFERROR(BY154/BY161,"")</f>
        <v>1.24159845027513</v>
      </c>
      <c r="BZ163" s="69" t="n">
        <f aca="false">IFERROR(BZ154/BZ161,"")</f>
        <v>1.26386384603779</v>
      </c>
      <c r="CA163" s="69" t="n">
        <f aca="false">IFERROR(CA154/CA161,"")</f>
        <v>4.92364049956056</v>
      </c>
      <c r="CB163" s="69" t="n">
        <f aca="false">IFERROR(CB154/CB161,"")</f>
        <v>1.36464171757897</v>
      </c>
      <c r="CC163" s="69" t="n">
        <f aca="false">IFERROR(CC154/CC161,"")</f>
        <v>1.31673235002591</v>
      </c>
      <c r="CD163" s="69" t="n">
        <f aca="false">IFERROR(CD154/CD161,"")</f>
        <v>1.10165044602203</v>
      </c>
      <c r="CE163" s="69" t="n">
        <f aca="false">IFERROR(CE154/CE161,"")</f>
        <v>1.28901071501228</v>
      </c>
      <c r="CF163" s="69" t="n">
        <f aca="false">IFERROR(CF154/CF161,"")</f>
        <v>5.0694803783268</v>
      </c>
      <c r="CG163" s="69" t="n">
        <f aca="false">IFERROR(CG154/CG161,"")</f>
        <v>5.86050334619776</v>
      </c>
      <c r="CH163" s="69" t="n">
        <f aca="false">IFERROR(CH154/CH161,"")</f>
        <v>6.89089960371012</v>
      </c>
      <c r="CI163" s="69" t="n">
        <f aca="false">IFERROR(CI154/CI161,"")</f>
        <v>8.09440978384515</v>
      </c>
      <c r="CJ163" s="69" t="n">
        <f aca="false">IFERROR(CJ154/CJ161,"")</f>
        <v>9.14532642513925</v>
      </c>
      <c r="CK163" s="23" t="s">
        <v>424</v>
      </c>
      <c r="CM163" s="24" t="n">
        <f aca="false">IFERROR((CJ163/CA163)^(1/5)-1,"n/m")</f>
        <v>0.131833581261926</v>
      </c>
      <c r="CN163" s="24" t="n">
        <f aca="false">IFERROR((CA163/BB163)^(1/5)-1,"n/m")</f>
        <v>0.13809297145161</v>
      </c>
      <c r="CO163" s="24" t="n">
        <f aca="false">IFERROR((CA163/AC163)^(1/10)-1,"n/m")</f>
        <v>0.12060002271003</v>
      </c>
      <c r="CP163" s="24" t="n">
        <f aca="false">IFERROR((CA163/C163)^(1/20)-1,"n/m")</f>
        <v>0.122829735392479</v>
      </c>
    </row>
    <row r="164" customFormat="false" ht="15" hidden="false" customHeight="true" outlineLevel="0" collapsed="false">
      <c r="B164" s="29" t="s">
        <v>425</v>
      </c>
      <c r="C164" s="68" t="n">
        <f aca="false">IFERROR(C152/C161,"")</f>
        <v>0.485297694977603</v>
      </c>
      <c r="D164" s="68" t="n">
        <f aca="false">IFERROR(D152/D161,"")</f>
        <v>0.522105414297041</v>
      </c>
      <c r="E164" s="68" t="n">
        <f aca="false">IFERROR(E152/E161,"")</f>
        <v>0.537749310588084</v>
      </c>
      <c r="F164" s="68" t="n">
        <f aca="false">IFERROR(F152/F161,"")</f>
        <v>0.368981716938565</v>
      </c>
      <c r="G164" s="68" t="n">
        <f aca="false">IFERROR(G152/G161,"")</f>
        <v>0.352645248235302</v>
      </c>
      <c r="H164" s="68" t="n">
        <f aca="false">IFERROR(H152/H161,"")</f>
        <v>0.421235656884013</v>
      </c>
      <c r="I164" s="68" t="n">
        <f aca="false">IFERROR(I152/I161,"")</f>
        <v>0.572233586858721</v>
      </c>
      <c r="J164" s="68" t="n">
        <f aca="false">IFERROR(J152/J161,"")</f>
        <v>0.151696610732417</v>
      </c>
      <c r="K164" s="68" t="n">
        <f aca="false">IFERROR(K152/K161,"")</f>
        <v>0.156543668595366</v>
      </c>
      <c r="L164" s="68" t="n">
        <f aca="false">IFERROR(L152/L161,"")</f>
        <v>0.150788812905205</v>
      </c>
      <c r="M164" s="68" t="n">
        <f aca="false">IFERROR(M152/M161,"")</f>
        <v>0.174603787072614</v>
      </c>
      <c r="N164" s="68" t="n">
        <f aca="false">IFERROR(N152/N161,"")</f>
        <v>0.633259991488062</v>
      </c>
      <c r="O164" s="68" t="n">
        <f aca="false">IFERROR(O152/O161,"")</f>
        <v>0.158175471145396</v>
      </c>
      <c r="P164" s="68" t="n">
        <f aca="false">IFERROR(P152/P161,"")</f>
        <v>0.175262288310615</v>
      </c>
      <c r="Q164" s="68" t="n">
        <f aca="false">IFERROR(Q152/Q161,"")</f>
        <v>0.174393964379947</v>
      </c>
      <c r="R164" s="68" t="n">
        <f aca="false">IFERROR(R152/R161,"")</f>
        <v>0.263107390433963</v>
      </c>
      <c r="S164" s="68" t="n">
        <f aca="false">IFERROR(S152/S161,"")</f>
        <v>0.769570042749096</v>
      </c>
      <c r="T164" s="68" t="n">
        <f aca="false">IFERROR(T152/T161,"")</f>
        <v>0.232548928238583</v>
      </c>
      <c r="U164" s="68" t="n">
        <f aca="false">IFERROR(U152/U161,"")</f>
        <v>0.217955416965151</v>
      </c>
      <c r="V164" s="68" t="n">
        <f aca="false">IFERROR(V152/V161,"")</f>
        <v>0.198605207564458</v>
      </c>
      <c r="W164" s="68" t="n">
        <f aca="false">IFERROR(W152/W161,"")</f>
        <v>0.219278403230979</v>
      </c>
      <c r="X164" s="68" t="n">
        <f aca="false">IFERROR(X152/X161,"")</f>
        <v>0.867931310243912</v>
      </c>
      <c r="Y164" s="68" t="n">
        <f aca="false">IFERROR(Y152/Y161,"")</f>
        <v>0.236565415356103</v>
      </c>
      <c r="Z164" s="68" t="n">
        <f aca="false">IFERROR(Z152/Z161,"")</f>
        <v>0.262123909075223</v>
      </c>
      <c r="AA164" s="68" t="n">
        <f aca="false">IFERROR(AA152/AA161,"")</f>
        <v>0.267850780629071</v>
      </c>
      <c r="AB164" s="68" t="n">
        <f aca="false">IFERROR(AB152/AB161,"")</f>
        <v>0.27368804326651</v>
      </c>
      <c r="AC164" s="68" t="n">
        <f aca="false">IFERROR(AC152/AC161,"")</f>
        <v>1.03891783986322</v>
      </c>
      <c r="AD164" s="68" t="n">
        <f aca="false">IFERROR(AD152/AD161,"")</f>
        <v>0.322299139234834</v>
      </c>
      <c r="AE164" s="68" t="n">
        <f aca="false">IFERROR(AE152/AE161,"")</f>
        <v>0.286710265961894</v>
      </c>
      <c r="AF164" s="68" t="n">
        <f aca="false">IFERROR(AF152/AF161,"")</f>
        <v>0.274920754087421</v>
      </c>
      <c r="AG164" s="68" t="n">
        <f aca="false">IFERROR(AG152/AG161,"")</f>
        <v>0.188432716032397</v>
      </c>
      <c r="AH164" s="68" t="n">
        <f aca="false">IFERROR(AH152/AH161,"")</f>
        <v>1.06066355547721</v>
      </c>
      <c r="AI164" s="68" t="n">
        <f aca="false">IFERROR(AI152/AI161,"")</f>
        <v>0.371090043026802</v>
      </c>
      <c r="AJ164" s="68" t="n">
        <f aca="false">IFERROR(AJ152/AJ161,"")</f>
        <v>0.313557431386476</v>
      </c>
      <c r="AK164" s="68" t="n">
        <f aca="false">IFERROR(AK152/AK161,"")</f>
        <v>0.67117994100295</v>
      </c>
      <c r="AL164" s="68" t="n">
        <f aca="false">IFERROR(AL152/AL161,"")</f>
        <v>0.42798940076329</v>
      </c>
      <c r="AM164" s="68" t="n">
        <f aca="false">IFERROR(AM152/AM161,"")</f>
        <v>1.7847463801111</v>
      </c>
      <c r="AN164" s="68" t="n">
        <f aca="false">IFERROR(AN152/AN161,"")</f>
        <v>0.480232358470103</v>
      </c>
      <c r="AO164" s="68" t="n">
        <f aca="false">IFERROR(AO152/AO161,"")</f>
        <v>0.552892404026431</v>
      </c>
      <c r="AP164" s="68" t="n">
        <f aca="false">IFERROR(AP152/AP161,"")</f>
        <v>0.46440293263808</v>
      </c>
      <c r="AQ164" s="68" t="n">
        <f aca="false">IFERROR(AQ152/AQ161,"")</f>
        <v>0.521905777236268</v>
      </c>
      <c r="AR164" s="68" t="n">
        <f aca="false">IFERROR(AR152/AR161,"")</f>
        <v>2.01524042193707</v>
      </c>
      <c r="AS164" s="68" t="n">
        <f aca="false">IFERROR(AS152/AS161,"")</f>
        <v>0.585555130132701</v>
      </c>
      <c r="AT164" s="68" t="n">
        <f aca="false">IFERROR(AT152/AT161,"")</f>
        <v>0.574004285647739</v>
      </c>
      <c r="AU164" s="68" t="n">
        <f aca="false">IFERROR(AU152/AU161,"")</f>
        <v>0.544949250845819</v>
      </c>
      <c r="AV164" s="68" t="n">
        <f aca="false">IFERROR(AV152/AV161,"")</f>
        <v>0.340260846645518</v>
      </c>
      <c r="AW164" s="68" t="n">
        <f aca="false">IFERROR(AW152/AW161,"")</f>
        <v>2.04734048517923</v>
      </c>
      <c r="AX164" s="68" t="n">
        <f aca="false">IFERROR(AX152/AX161,"")</f>
        <v>0.700102213219576</v>
      </c>
      <c r="AY164" s="68" t="n">
        <f aca="false">IFERROR(AY152/AY161,"")</f>
        <v>0.659507228123466</v>
      </c>
      <c r="AZ164" s="68" t="n">
        <f aca="false">IFERROR(AZ152/AZ161,"")</f>
        <v>0.59813326419497</v>
      </c>
      <c r="BA164" s="68" t="n">
        <f aca="false">IFERROR(BA152/BA161,"")</f>
        <v>0.621303120880753</v>
      </c>
      <c r="BB164" s="68" t="n">
        <f aca="false">IFERROR(BB152/BB161,"")</f>
        <v>2.57868105137085</v>
      </c>
      <c r="BC164" s="68" t="n">
        <f aca="false">IFERROR(BC152/BC161,"")</f>
        <v>0.781495412670845</v>
      </c>
      <c r="BD164" s="68" t="n">
        <f aca="false">IFERROR(BD152/BD161,"")</f>
        <v>0.694175100356194</v>
      </c>
      <c r="BE164" s="68" t="n">
        <f aca="false">IFERROR(BE152/BE161,"")</f>
        <v>0.746509404492574</v>
      </c>
      <c r="BF164" s="68" t="n">
        <f aca="false">IFERROR(BF152/BF161,"")</f>
        <v>0.704944602449559</v>
      </c>
      <c r="BG164" s="68" t="n">
        <f aca="false">IFERROR(BG152/BG161,"")</f>
        <v>2.92769585777508</v>
      </c>
      <c r="BH164" s="68" t="n">
        <f aca="false">IFERROR(BH152/BH161,"")</f>
        <v>0.850830293118632</v>
      </c>
      <c r="BI164" s="68" t="n">
        <f aca="false">IFERROR(BI152/BI161,"")</f>
        <v>0.784407775068695</v>
      </c>
      <c r="BJ164" s="68" t="n">
        <f aca="false">IFERROR(BJ152/BJ161,"")</f>
        <v>0.787645767661335</v>
      </c>
      <c r="BK164" s="68" t="n">
        <f aca="false">IFERROR(BK152/BK161,"")</f>
        <v>0.836897348624031</v>
      </c>
      <c r="BL164" s="68" t="n">
        <f aca="false">IFERROR(BL152/BL161,"")</f>
        <v>3.25993692987802</v>
      </c>
      <c r="BM164" s="68" t="n">
        <f aca="false">IFERROR(BM152/BM161,"")</f>
        <v>0.929510388908199</v>
      </c>
      <c r="BN164" s="68" t="n">
        <f aca="false">IFERROR(BN152/BN161,"")</f>
        <v>0.906912730230667</v>
      </c>
      <c r="BO164" s="68" t="n">
        <f aca="false">IFERROR(BO152/BO161,"")</f>
        <v>0.963248761956447</v>
      </c>
      <c r="BP164" s="68" t="n">
        <f aca="false">IFERROR(BP152/BP161,"")</f>
        <v>1.00238793403786</v>
      </c>
      <c r="BQ164" s="68" t="n">
        <f aca="false">IFERROR(BQ152/BQ161,"")</f>
        <v>3.80100031925083</v>
      </c>
      <c r="BR164" s="68" t="n">
        <f aca="false">IFERROR(BR152/BR161,"")</f>
        <v>1.10118734409105</v>
      </c>
      <c r="BS164" s="68" t="n">
        <f aca="false">IFERROR(BS152/BS161,"")</f>
        <v>1.09211356159614</v>
      </c>
      <c r="BT164" s="68" t="n">
        <f aca="false">IFERROR(BT152/BT161,"")</f>
        <v>1.12963463942853</v>
      </c>
      <c r="BU164" s="68" t="n">
        <f aca="false">IFERROR(BU152/BU161,"")</f>
        <v>1.09414794293176</v>
      </c>
      <c r="BV164" s="68" t="n">
        <f aca="false">IFERROR(BV152/BV161,"")</f>
        <v>4.41711635298304</v>
      </c>
      <c r="BW164" s="68" t="n">
        <f aca="false">IFERROR(BW152/BW161,"")</f>
        <v>1.1999687266366</v>
      </c>
      <c r="BX164" s="68" t="n">
        <f aca="false">IFERROR(BX152/BX161,"")</f>
        <v>1.21875684307131</v>
      </c>
      <c r="BY164" s="68" t="n">
        <f aca="false">IFERROR(BY152/BY161,"")</f>
        <v>1.24159845027513</v>
      </c>
      <c r="BZ164" s="68" t="n">
        <f aca="false">IFERROR(BZ152/BZ161,"")</f>
        <v>1.26386384603779</v>
      </c>
      <c r="CA164" s="68" t="n">
        <f aca="false">IFERROR(CA152/CA161,"")</f>
        <v>4.92364049956056</v>
      </c>
      <c r="CB164" s="68" t="n">
        <f aca="false">IFERROR(CB152/CB161,"")</f>
        <v>1.36464171757897</v>
      </c>
      <c r="CC164" s="60" t="n">
        <f aca="false">IFERROR(CC152/CC161,"")</f>
        <v>1.31673235002591</v>
      </c>
      <c r="CD164" s="60" t="n">
        <f aca="false">IFERROR(CD152/CD161,"")</f>
        <v>1.10165044602203</v>
      </c>
      <c r="CE164" s="60" t="n">
        <f aca="false">IFERROR(CE152/CE161,"")</f>
        <v>1.28901071501228</v>
      </c>
      <c r="CF164" s="60" t="n">
        <f aca="false">IFERROR(CF152/CF161,"")</f>
        <v>5.0694803783268</v>
      </c>
      <c r="CG164" s="60" t="n">
        <f aca="false">IFERROR(CG152/CG161,"")</f>
        <v>5.86050334619776</v>
      </c>
      <c r="CH164" s="60" t="n">
        <f aca="false">IFERROR(CH152/CH161,"")</f>
        <v>6.89089960371012</v>
      </c>
      <c r="CI164" s="60" t="n">
        <f aca="false">IFERROR(CI152/CI161,"")</f>
        <v>8.09440978384515</v>
      </c>
      <c r="CJ164" s="60" t="n">
        <f aca="false">IFERROR(CJ152/CJ161,"")</f>
        <v>9.14532642513925</v>
      </c>
      <c r="CK164" s="23"/>
      <c r="CM164" s="24" t="n">
        <f aca="false">IFERROR((CJ164/CA164)^(1/5)-1,"n/m")</f>
        <v>0.131833581261926</v>
      </c>
      <c r="CN164" s="24" t="n">
        <f aca="false">IFERROR((CA164/BB164)^(1/5)-1,"n/m")</f>
        <v>0.13809297145161</v>
      </c>
      <c r="CO164" s="24" t="n">
        <f aca="false">IFERROR((CA164/AC164)^(1/10)-1,"n/m")</f>
        <v>0.168343409645525</v>
      </c>
      <c r="CP164" s="24" t="n">
        <f aca="false">IFERROR((CA164/C164)^(1/20)-1,"n/m")</f>
        <v>0.122829735392479</v>
      </c>
    </row>
    <row r="165" customFormat="false" ht="15" hidden="false" customHeight="true" outlineLevel="0" collapsed="false">
      <c r="B165" s="26" t="s">
        <v>426</v>
      </c>
      <c r="D165" s="27" t="n">
        <f aca="false">IF(AND(ISNUMBER(D164),ISNUMBER(C164)),IFERROR(D164/C164-1,""),"")</f>
        <v>0.0758456504128595</v>
      </c>
      <c r="E165" s="27" t="n">
        <f aca="false">IF(AND(ISNUMBER(E164),ISNUMBER(D164)),IFERROR(E164/D164-1,""),"")</f>
        <v>0.0299630991417827</v>
      </c>
      <c r="F165" s="27" t="n">
        <f aca="false">IF(AND(ISNUMBER(F164),ISNUMBER(E164)),IFERROR(F164/E164-1,""),"")</f>
        <v>-0.313840650887965</v>
      </c>
      <c r="G165" s="27" t="n">
        <f aca="false">IF(AND(ISNUMBER(G164),ISNUMBER(F164)),IFERROR(G164/F164-1,""),"")</f>
        <v>-0.0442744666017786</v>
      </c>
      <c r="H165" s="27" t="n">
        <f aca="false">IF(AND(ISNUMBER(H164),ISNUMBER(G164)),IFERROR(H164/G164-1,""),"")</f>
        <v>0.194502574448258</v>
      </c>
      <c r="I165" s="27" t="n">
        <f aca="false">IF(AND(ISNUMBER(I164),ISNUMBER(H164)),IFERROR(I164/H164-1,""),"")</f>
        <v>0.358464264615388</v>
      </c>
      <c r="N165" s="27" t="n">
        <f aca="false">IF(AND(ISNUMBER(N164),ISNUMBER(I164)),IFERROR(N164/I164-1,""),"")</f>
        <v>0.106645967714594</v>
      </c>
      <c r="O165" s="27" t="n">
        <f aca="false">IF(AND(ISNUMBER(O164),ISNUMBER(J164)),IFERROR(O164/J164-1,""),"")</f>
        <v>0.0427093287166926</v>
      </c>
      <c r="P165" s="27" t="n">
        <f aca="false">IF(AND(ISNUMBER(P164),ISNUMBER(K164)),IFERROR(P164/K164-1,""),"")</f>
        <v>0.119574428548963</v>
      </c>
      <c r="Q165" s="27" t="n">
        <f aca="false">IF(AND(ISNUMBER(Q164),ISNUMBER(L164)),IFERROR(Q164/L164-1,""),"")</f>
        <v>0.156544447959689</v>
      </c>
      <c r="R165" s="27" t="n">
        <f aca="false">IF(AND(ISNUMBER(R164),ISNUMBER(M164)),IFERROR(R164/M164-1,""),"")</f>
        <v>0.506882495764779</v>
      </c>
      <c r="S165" s="27" t="n">
        <f aca="false">IF(AND(ISNUMBER(S164),ISNUMBER(N164)),IFERROR(S164/N164-1,""),"")</f>
        <v>0.215251323458357</v>
      </c>
      <c r="T165" s="27" t="n">
        <f aca="false">IF(AND(ISNUMBER(T164),ISNUMBER(O164)),IFERROR(T164/O164-1,""),"")</f>
        <v>0.470195894184015</v>
      </c>
      <c r="U165" s="27" t="n">
        <f aca="false">IF(AND(ISNUMBER(U164),ISNUMBER(P164)),IFERROR(U164/P164-1,""),"")</f>
        <v>0.243595636380547</v>
      </c>
      <c r="V165" s="27" t="n">
        <f aca="false">IF(AND(ISNUMBER(V164),ISNUMBER(Q164)),IFERROR(V164/Q164-1,""),"")</f>
        <v>0.138830740333206</v>
      </c>
      <c r="W165" s="27" t="n">
        <f aca="false">IF(AND(ISNUMBER(W164),ISNUMBER(R164)),IFERROR(W164/R164-1,""),"")</f>
        <v>-0.166582121204173</v>
      </c>
      <c r="X165" s="27" t="n">
        <f aca="false">IF(AND(ISNUMBER(X164),ISNUMBER(S164)),IFERROR(X164/S164-1,""),"")</f>
        <v>0.12781327498592</v>
      </c>
      <c r="Y165" s="27" t="n">
        <f aca="false">IF(AND(ISNUMBER(Y164),ISNUMBER(T164)),IFERROR(Y164/T164-1,""),"")</f>
        <v>0.0172715787079372</v>
      </c>
      <c r="Z165" s="27" t="n">
        <f aca="false">IF(AND(ISNUMBER(Z164),ISNUMBER(U164)),IFERROR(Z164/U164-1,""),"")</f>
        <v>0.20264920562692</v>
      </c>
      <c r="AA165" s="27" t="n">
        <f aca="false">IF(AND(ISNUMBER(AA164),ISNUMBER(V164)),IFERROR(AA164/V164-1,""),"")</f>
        <v>0.348659402811172</v>
      </c>
      <c r="AB165" s="27" t="n">
        <f aca="false">IF(AND(ISNUMBER(AB164),ISNUMBER(W164)),IFERROR(AB164/W164-1,""),"")</f>
        <v>0.248130409715809</v>
      </c>
      <c r="AC165" s="27" t="n">
        <f aca="false">IF(AND(ISNUMBER(AC164),ISNUMBER(X164)),IFERROR(AC164/X164-1,""),"")</f>
        <v>0.197004679519227</v>
      </c>
      <c r="AD165" s="27" t="n">
        <f aca="false">IF(AND(ISNUMBER(AD164),ISNUMBER(Y164)),IFERROR(AD164/Y164-1,""),"")</f>
        <v>0.362410218542201</v>
      </c>
      <c r="AE165" s="27" t="n">
        <f aca="false">IF(AND(ISNUMBER(AE164),ISNUMBER(Z164)),IFERROR(AE164/Z164-1,""),"")</f>
        <v>0.0937966970407713</v>
      </c>
      <c r="AF165" s="27" t="n">
        <f aca="false">IF(AND(ISNUMBER(AF164),ISNUMBER(AA164)),IFERROR(AF164/AA164-1,""),"")</f>
        <v>0.0263951945248961</v>
      </c>
      <c r="AG165" s="27" t="n">
        <f aca="false">IF(AND(ISNUMBER(AG164),ISNUMBER(AB164)),IFERROR(AG164/AB164-1,""),"")</f>
        <v>-0.311505487110717</v>
      </c>
      <c r="AH165" s="27" t="n">
        <f aca="false">IF(AND(ISNUMBER(AH164),ISNUMBER(AC164)),IFERROR(AH164/AC164-1,""),"")</f>
        <v>0.0209311215763282</v>
      </c>
      <c r="AI165" s="27" t="n">
        <f aca="false">IF(AND(ISNUMBER(AI164),ISNUMBER(AD164)),IFERROR(AI164/AD164-1,""),"")</f>
        <v>0.151383909705131</v>
      </c>
      <c r="AJ165" s="27" t="n">
        <f aca="false">IF(AND(ISNUMBER(AJ164),ISNUMBER(AE164)),IFERROR(AJ164/AE164-1,""),"")</f>
        <v>0.0936386610870432</v>
      </c>
      <c r="AK165" s="27" t="n">
        <f aca="false">IF(AND(ISNUMBER(AK164),ISNUMBER(AF164)),IFERROR(AK164/AF164-1,""),"")</f>
        <v>1.44135784957699</v>
      </c>
      <c r="AL165" s="27" t="n">
        <f aca="false">IF(AND(ISNUMBER(AL164),ISNUMBER(AG164)),IFERROR(AL164/AG164-1,""),"")</f>
        <v>1.27131153111282</v>
      </c>
      <c r="AM165" s="27" t="n">
        <f aca="false">IF(AND(ISNUMBER(AM164),ISNUMBER(AH164)),IFERROR(AM164/AH164-1,""),"")</f>
        <v>0.682669656079693</v>
      </c>
      <c r="AN165" s="27" t="n">
        <f aca="false">IF(AND(ISNUMBER(AN164),ISNUMBER(AI164)),IFERROR(AN164/AI164-1,""),"")</f>
        <v>0.29411275644337</v>
      </c>
      <c r="AO165" s="27" t="n">
        <f aca="false">IF(AND(ISNUMBER(AO164),ISNUMBER(AJ164)),IFERROR(AO164/AJ164-1,""),"")</f>
        <v>0.763289109690919</v>
      </c>
      <c r="AP165" s="27" t="n">
        <f aca="false">IF(AND(ISNUMBER(AP164),ISNUMBER(AK164)),IFERROR(AP164/AK164-1,""),"")</f>
        <v>-0.308079839298954</v>
      </c>
      <c r="AQ165" s="27" t="n">
        <f aca="false">IF(AND(ISNUMBER(AQ164),ISNUMBER(AL164)),IFERROR(AQ164/AL164-1,""),"")</f>
        <v>0.219436220395844</v>
      </c>
      <c r="AR165" s="27" t="n">
        <f aca="false">IF(AND(ISNUMBER(AR164),ISNUMBER(AM164)),IFERROR(AR164/AM164-1,""),"")</f>
        <v>0.129146664419415</v>
      </c>
      <c r="AS165" s="27" t="n">
        <f aca="false">IF(AND(ISNUMBER(AS164),ISNUMBER(AN164)),IFERROR(AS164/AN164-1,""),"")</f>
        <v>0.219316274309646</v>
      </c>
      <c r="AT165" s="27" t="n">
        <f aca="false">IF(AND(ISNUMBER(AT164),ISNUMBER(AO164)),IFERROR(AT164/AO164-1,""),"")</f>
        <v>0.0381844305828061</v>
      </c>
      <c r="AU165" s="27" t="n">
        <f aca="false">IF(AND(ISNUMBER(AU164),ISNUMBER(AP164)),IFERROR(AU164/AP164-1,""),"")</f>
        <v>0.173440589081101</v>
      </c>
      <c r="AV165" s="27" t="n">
        <f aca="false">IF(AND(ISNUMBER(AV164),ISNUMBER(AQ164)),IFERROR(AV164/AQ164-1,""),"")</f>
        <v>-0.34804161692297</v>
      </c>
      <c r="AW165" s="27" t="n">
        <f aca="false">IF(AND(ISNUMBER(AW164),ISNUMBER(AR164)),IFERROR(AW164/AR164-1,""),"")</f>
        <v>0.0159286519329058</v>
      </c>
      <c r="AX165" s="27" t="n">
        <f aca="false">IF(AND(ISNUMBER(AX164),ISNUMBER(AS164)),IFERROR(AX164/AS164-1,""),"")</f>
        <v>0.195621346637193</v>
      </c>
      <c r="AY165" s="27" t="n">
        <f aca="false">IF(AND(ISNUMBER(AY164),ISNUMBER(AT164)),IFERROR(AY164/AT164-1,""),"")</f>
        <v>0.148958717928807</v>
      </c>
      <c r="AZ165" s="27" t="n">
        <f aca="false">IF(AND(ISNUMBER(AZ164),ISNUMBER(AU164)),IFERROR(AZ164/AU164-1,""),"")</f>
        <v>0.0975944333653165</v>
      </c>
      <c r="BA165" s="27" t="n">
        <f aca="false">IF(AND(ISNUMBER(BA164),ISNUMBER(AV164)),IFERROR(BA164/AV164-1,""),"")</f>
        <v>0.82596125004069</v>
      </c>
      <c r="BB165" s="27" t="n">
        <f aca="false">IF(AND(ISNUMBER(BB164),ISNUMBER(AW164)),IFERROR(BB164/AW164-1,""),"")</f>
        <v>0.259527211051611</v>
      </c>
      <c r="BC165" s="27" t="n">
        <f aca="false">IF(AND(ISNUMBER(BC164),ISNUMBER(AX164)),IFERROR(BC164/AX164-1,""),"")</f>
        <v>0.116259023203146</v>
      </c>
      <c r="BD165" s="27" t="n">
        <f aca="false">IF(AND(ISNUMBER(BD164),ISNUMBER(AY164)),IFERROR(BD164/AY164-1,""),"")</f>
        <v>0.0525663264243057</v>
      </c>
      <c r="BE165" s="27" t="n">
        <f aca="false">IF(AND(ISNUMBER(BE164),ISNUMBER(AZ164)),IFERROR(BE164/AZ164-1,""),"")</f>
        <v>0.24806535462846</v>
      </c>
      <c r="BF165" s="27" t="n">
        <f aca="false">IF(AND(ISNUMBER(BF164),ISNUMBER(BA164)),IFERROR(BF164/BA164-1,""),"")</f>
        <v>0.134622664457626</v>
      </c>
      <c r="BG165" s="27" t="n">
        <f aca="false">IF(AND(ISNUMBER(BG164),ISNUMBER(BB164)),IFERROR(BG164/BB164-1,""),"")</f>
        <v>0.135346248508978</v>
      </c>
      <c r="BH165" s="27" t="n">
        <f aca="false">IF(AND(ISNUMBER(BH164),ISNUMBER(BC164)),IFERROR(BH164/BC164-1,""),"")</f>
        <v>0.0887207772734415</v>
      </c>
      <c r="BI165" s="27" t="n">
        <f aca="false">IF(AND(ISNUMBER(BI164),ISNUMBER(BD164)),IFERROR(BI164/BD164-1,""),"")</f>
        <v>0.129985467162682</v>
      </c>
      <c r="BJ165" s="27" t="n">
        <f aca="false">IF(AND(ISNUMBER(BJ164),ISNUMBER(BE164)),IFERROR(BJ164/BE164-1,""),"")</f>
        <v>0.0551049496780593</v>
      </c>
      <c r="BK165" s="27" t="n">
        <f aca="false">IF(AND(ISNUMBER(BK164),ISNUMBER(BF164)),IFERROR(BK164/BF164-1,""),"")</f>
        <v>0.187181724231889</v>
      </c>
      <c r="BL165" s="27" t="n">
        <f aca="false">IF(AND(ISNUMBER(BL164),ISNUMBER(BG164)),IFERROR(BL164/BG164-1,""),"")</f>
        <v>0.11348209931732</v>
      </c>
      <c r="BM165" s="27" t="n">
        <f aca="false">IF(AND(ISNUMBER(BM164),ISNUMBER(BH164)),IFERROR(BM164/BH164-1,""),"")</f>
        <v>0.0924744880687942</v>
      </c>
      <c r="BN165" s="27" t="n">
        <f aca="false">IF(AND(ISNUMBER(BN164),ISNUMBER(BI164)),IFERROR(BN164/BI164-1,""),"")</f>
        <v>0.156175090374702</v>
      </c>
      <c r="BO165" s="27" t="n">
        <f aca="false">IF(AND(ISNUMBER(BO164),ISNUMBER(BJ164)),IFERROR(BO164/BJ164-1,""),"")</f>
        <v>0.222946661437044</v>
      </c>
      <c r="BP165" s="27" t="n">
        <f aca="false">IF(AND(ISNUMBER(BP164),ISNUMBER(BK164)),IFERROR(BP164/BK164-1,""),"")</f>
        <v>0.197742991641586</v>
      </c>
      <c r="BQ165" s="27" t="n">
        <f aca="false">IF(AND(ISNUMBER(BQ164),ISNUMBER(BL164)),IFERROR(BQ164/BL164-1,""),"")</f>
        <v>0.165973575873154</v>
      </c>
      <c r="BR165" s="27" t="n">
        <f aca="false">IF(AND(ISNUMBER(BR164),ISNUMBER(BM164)),IFERROR(BR164/BM164-1,""),"")</f>
        <v>0.184696112309733</v>
      </c>
      <c r="BS165" s="27" t="n">
        <f aca="false">IF(AND(ISNUMBER(BS164),ISNUMBER(BN164)),IFERROR(BS164/BN164-1,""),"")</f>
        <v>0.204210201480316</v>
      </c>
      <c r="BT165" s="27" t="n">
        <f aca="false">IF(AND(ISNUMBER(BT164),ISNUMBER(BO164)),IFERROR(BT164/BO164-1,""),"")</f>
        <v>0.172734068335715</v>
      </c>
      <c r="BU165" s="27" t="n">
        <f aca="false">IF(AND(ISNUMBER(BU164),ISNUMBER(BP164)),IFERROR(BU164/BP164-1,""),"")</f>
        <v>0.0915414140354578</v>
      </c>
      <c r="BV165" s="27" t="n">
        <f aca="false">IF(AND(ISNUMBER(BV164),ISNUMBER(BQ164)),IFERROR(BV164/BQ164-1,""),"")</f>
        <v>0.162093128646106</v>
      </c>
      <c r="BW165" s="27" t="n">
        <f aca="false">IF(AND(ISNUMBER(BW164),ISNUMBER(BR164)),IFERROR(BW164/BR164-1,""),"")</f>
        <v>0.0897044295646936</v>
      </c>
      <c r="BX165" s="27" t="n">
        <f aca="false">IF(AND(ISNUMBER(BX164),ISNUMBER(BS164)),IFERROR(BX164/BS164-1,""),"")</f>
        <v>0.115961641653896</v>
      </c>
      <c r="BY165" s="27" t="n">
        <f aca="false">IF(AND(ISNUMBER(BY164),ISNUMBER(BT164)),IFERROR(BY164/BT164-1,""),"")</f>
        <v>0.0991150651180868</v>
      </c>
      <c r="BZ165" s="27" t="n">
        <f aca="false">IF(AND(ISNUMBER(BZ164),ISNUMBER(BU164)),IFERROR(BZ164/BU164-1,""),"")</f>
        <v>0.155112390607133</v>
      </c>
      <c r="CA165" s="27" t="n">
        <f aca="false">IF(AND(ISNUMBER(CA164),ISNUMBER(BV164)),IFERROR(CA164/BV164-1,""),"")</f>
        <v>0.114673036909124</v>
      </c>
      <c r="CB165" s="27" t="n">
        <f aca="false">IF(AND(ISNUMBER(CB164),ISNUMBER(BW164)),IFERROR(CB164/BW164-1,""),"")</f>
        <v>0.137231068849544</v>
      </c>
      <c r="CC165" s="28" t="n">
        <f aca="false">IFERROR(CC164/BX164-1,"")</f>
        <v>0.0803897081781357</v>
      </c>
      <c r="CD165" s="28" t="n">
        <f aca="false">IFERROR(CD164/BY164-1,"")</f>
        <v>-0.112715994629414</v>
      </c>
      <c r="CE165" s="28" t="n">
        <f aca="false">IFERROR(CE164/BZ164-1,"")</f>
        <v>0.0198968180420094</v>
      </c>
      <c r="CF165" s="28" t="n">
        <f aca="false">IFERROR(CF164/CA164-1,"")</f>
        <v>0.029620334542958</v>
      </c>
      <c r="CG165" s="28" t="n">
        <f aca="false">IFERROR(CG164/CF164-1,"")</f>
        <v>0.156036301324445</v>
      </c>
      <c r="CH165" s="28" t="n">
        <f aca="false">IFERROR(CH164/CG164-1,"")</f>
        <v>0.175820436683288</v>
      </c>
      <c r="CI165" s="28" t="n">
        <f aca="false">IFERROR(CI164/CH164-1,"")</f>
        <v>0.174652113562508</v>
      </c>
      <c r="CJ165" s="28" t="n">
        <f aca="false">IFERROR(CJ164/CI164-1,"")</f>
        <v>0.129832399070223</v>
      </c>
      <c r="CK165" s="23"/>
    </row>
    <row r="166" customFormat="false" ht="15" hidden="false" customHeight="true" outlineLevel="1" collapsed="false">
      <c r="B166" s="42" t="s">
        <v>427</v>
      </c>
      <c r="C166" s="70" t="n">
        <v>0.485</v>
      </c>
      <c r="D166" s="70" t="n">
        <v>0.5225</v>
      </c>
      <c r="E166" s="70" t="n">
        <v>0.5375</v>
      </c>
      <c r="F166" s="70" t="n">
        <v>0.37</v>
      </c>
      <c r="G166" s="70" t="n">
        <v>0.35</v>
      </c>
      <c r="H166" s="70" t="n">
        <v>0.42</v>
      </c>
      <c r="I166" s="70" t="n">
        <v>0.5675</v>
      </c>
      <c r="J166" s="70" t="n">
        <v>0.15</v>
      </c>
      <c r="K166" s="70" t="n">
        <v>0.1575</v>
      </c>
      <c r="L166" s="70" t="n">
        <v>0.15</v>
      </c>
      <c r="M166" s="70" t="n">
        <v>0.1725</v>
      </c>
      <c r="N166" s="70" t="n">
        <v>0.63</v>
      </c>
      <c r="O166" s="70" t="n">
        <v>0.1575</v>
      </c>
      <c r="P166" s="70" t="n">
        <v>0.175</v>
      </c>
      <c r="Q166" s="70" t="n">
        <v>0.1725</v>
      </c>
      <c r="R166" s="70" t="n">
        <v>0.2575</v>
      </c>
      <c r="S166" s="70" t="n">
        <v>0.7625</v>
      </c>
      <c r="T166" s="70" t="n">
        <v>0.2325</v>
      </c>
      <c r="U166" s="70" t="n">
        <v>0.25</v>
      </c>
      <c r="V166" s="70" t="n">
        <v>0.2</v>
      </c>
      <c r="W166" s="70" t="n">
        <v>0.225</v>
      </c>
      <c r="X166" s="70" t="n">
        <v>0.9075</v>
      </c>
      <c r="Y166" s="70" t="n">
        <v>0.22</v>
      </c>
      <c r="Z166" s="70" t="n">
        <v>0.765</v>
      </c>
      <c r="AA166" s="70" t="n">
        <v>0.2625</v>
      </c>
      <c r="AB166" s="70" t="n">
        <v>0.3</v>
      </c>
      <c r="AC166" s="70" t="n">
        <v>1.5525</v>
      </c>
      <c r="AD166" s="70" t="n">
        <v>0.315</v>
      </c>
      <c r="AE166" s="70" t="n">
        <v>0.3225</v>
      </c>
      <c r="AF166" s="70" t="n">
        <v>0.2675</v>
      </c>
      <c r="AG166" s="70" t="n">
        <v>0.19</v>
      </c>
      <c r="AH166" s="70" t="n">
        <v>1.095</v>
      </c>
      <c r="AI166" s="70" t="n">
        <v>0.49</v>
      </c>
      <c r="AJ166" s="70" t="n">
        <v>0.3075</v>
      </c>
      <c r="AK166" s="70" t="n">
        <v>0.6775</v>
      </c>
      <c r="AL166" s="70" t="n">
        <v>0.415</v>
      </c>
      <c r="AM166" s="70" t="n">
        <v>1.89</v>
      </c>
      <c r="AN166" s="70" t="n">
        <v>0.4725</v>
      </c>
      <c r="AO166" s="70" t="n">
        <v>0.545</v>
      </c>
      <c r="AP166" s="70" t="n">
        <v>0.4625</v>
      </c>
      <c r="AQ166" s="70" t="n">
        <v>0.515</v>
      </c>
      <c r="AR166" s="70" t="n">
        <v>1.9975</v>
      </c>
      <c r="AS166" s="70" t="n">
        <v>0.58</v>
      </c>
      <c r="AT166" s="70" t="n">
        <v>0.5675</v>
      </c>
      <c r="AU166" s="70" t="n">
        <v>0.54</v>
      </c>
      <c r="AV166" s="70" t="n">
        <v>0.3375</v>
      </c>
      <c r="AW166" s="70" t="n">
        <v>2.0275</v>
      </c>
      <c r="AX166" s="70" t="n">
        <v>0.695</v>
      </c>
      <c r="AY166" s="70" t="n">
        <v>0.655</v>
      </c>
      <c r="AZ166" s="70" t="n">
        <v>0.5925</v>
      </c>
      <c r="BA166" s="70" t="n">
        <v>0.6175</v>
      </c>
      <c r="BB166" s="70" t="n">
        <v>2.56</v>
      </c>
      <c r="BC166" s="70" t="n">
        <v>0.7775</v>
      </c>
      <c r="BD166" s="70" t="n">
        <v>0.69</v>
      </c>
      <c r="BE166" s="70" t="n">
        <v>0.7425</v>
      </c>
      <c r="BF166" s="70" t="n">
        <v>0.7025</v>
      </c>
      <c r="BG166" s="70" t="n">
        <v>2.9125</v>
      </c>
      <c r="BH166" s="70" t="n">
        <v>0.8475</v>
      </c>
      <c r="BI166" s="70" t="n">
        <v>0.78</v>
      </c>
      <c r="BJ166" s="70" t="n">
        <v>0.785</v>
      </c>
      <c r="BK166" s="70" t="n">
        <v>0.8325</v>
      </c>
      <c r="BL166" s="70" t="n">
        <v>3.2475</v>
      </c>
      <c r="BM166" s="70" t="n">
        <v>0.925</v>
      </c>
      <c r="BN166" s="70" t="n">
        <v>0.9025</v>
      </c>
      <c r="BO166" s="70" t="n">
        <v>0.96</v>
      </c>
      <c r="BP166" s="70" t="n">
        <v>0.9975</v>
      </c>
      <c r="BQ166" s="70" t="n">
        <v>3.7875</v>
      </c>
      <c r="BR166" s="70" t="n">
        <v>1.1</v>
      </c>
      <c r="BS166" s="70" t="n">
        <v>1.09</v>
      </c>
      <c r="BT166" s="70" t="n">
        <v>1.13</v>
      </c>
      <c r="BU166" s="70" t="n">
        <v>1.09</v>
      </c>
      <c r="BV166" s="70" t="n">
        <v>4.4</v>
      </c>
      <c r="BW166" s="70" t="n">
        <v>1.2</v>
      </c>
      <c r="BX166" s="70" t="n">
        <v>1.21</v>
      </c>
      <c r="BY166" s="70" t="n">
        <v>1.24</v>
      </c>
      <c r="BZ166" s="70" t="n">
        <v>1.26</v>
      </c>
      <c r="CA166" s="70" t="n">
        <v>4.91</v>
      </c>
      <c r="CB166" s="70" t="n">
        <v>1.36</v>
      </c>
      <c r="CC166" s="59"/>
      <c r="CD166" s="59"/>
      <c r="CE166" s="59"/>
      <c r="CF166" s="59"/>
      <c r="CG166" s="59"/>
      <c r="CH166" s="59"/>
      <c r="CI166" s="59"/>
      <c r="CJ166" s="59"/>
      <c r="CK166" s="23"/>
    </row>
    <row r="167" customFormat="false" ht="15" hidden="false" customHeight="true" outlineLevel="1" collapsed="false">
      <c r="B167" s="42" t="s">
        <v>428</v>
      </c>
      <c r="C167" s="70" t="n">
        <v>0.485</v>
      </c>
      <c r="D167" s="70" t="n">
        <v>0.5225</v>
      </c>
      <c r="E167" s="70" t="n">
        <v>0.5375</v>
      </c>
      <c r="F167" s="70" t="n">
        <v>0.37</v>
      </c>
      <c r="G167" s="70" t="n">
        <v>0.35</v>
      </c>
      <c r="H167" s="70" t="n">
        <v>0.42</v>
      </c>
      <c r="I167" s="70" t="n">
        <v>0.5675</v>
      </c>
      <c r="J167" s="70" t="n">
        <v>0.15</v>
      </c>
      <c r="K167" s="70" t="n">
        <v>0.1575</v>
      </c>
      <c r="L167" s="70" t="n">
        <v>0.15</v>
      </c>
      <c r="M167" s="70" t="n">
        <v>0.1725</v>
      </c>
      <c r="N167" s="70" t="n">
        <v>0.63</v>
      </c>
      <c r="O167" s="70" t="n">
        <v>0.1575</v>
      </c>
      <c r="P167" s="70" t="n">
        <v>0.175</v>
      </c>
      <c r="Q167" s="70" t="n">
        <v>0.1725</v>
      </c>
      <c r="R167" s="70" t="n">
        <v>0.2575</v>
      </c>
      <c r="S167" s="70" t="n">
        <v>0.7625</v>
      </c>
      <c r="T167" s="70" t="n">
        <v>0.2325</v>
      </c>
      <c r="U167" s="70" t="n">
        <v>0.215</v>
      </c>
      <c r="V167" s="70" t="n">
        <v>0.1975</v>
      </c>
      <c r="W167" s="70" t="n">
        <v>0.215</v>
      </c>
      <c r="X167" s="70" t="n">
        <v>0.86</v>
      </c>
      <c r="Y167" s="70" t="n">
        <v>0.2325</v>
      </c>
      <c r="Z167" s="70" t="n">
        <v>0.2575</v>
      </c>
      <c r="AA167" s="70" t="n">
        <v>0.2625</v>
      </c>
      <c r="AB167" s="70" t="n">
        <v>0.27</v>
      </c>
      <c r="AC167" s="70" t="n">
        <v>1.0225</v>
      </c>
      <c r="AD167" s="70" t="n">
        <v>0.315</v>
      </c>
      <c r="AE167" s="70" t="n">
        <v>0.2825</v>
      </c>
      <c r="AF167" s="70" t="n">
        <v>0.27</v>
      </c>
      <c r="AG167" s="70" t="n">
        <v>0.1875</v>
      </c>
      <c r="AH167" s="70" t="n">
        <v>1.0425</v>
      </c>
      <c r="AI167" s="70" t="n">
        <v>0.3625</v>
      </c>
      <c r="AJ167" s="70" t="n">
        <v>0.31</v>
      </c>
      <c r="AK167" s="70" t="n">
        <v>0.665</v>
      </c>
      <c r="AL167" s="70" t="n">
        <v>0.42</v>
      </c>
      <c r="AM167" s="70" t="n">
        <v>1.7575</v>
      </c>
      <c r="AN167" s="70" t="n">
        <v>0.4725</v>
      </c>
      <c r="AO167" s="70" t="n">
        <v>0.545</v>
      </c>
      <c r="AP167" s="70" t="n">
        <v>0.4575</v>
      </c>
      <c r="AQ167" s="70" t="n">
        <v>0.515</v>
      </c>
      <c r="AR167" s="70" t="n">
        <v>1.9925</v>
      </c>
      <c r="AS167" s="70" t="n">
        <v>0.58</v>
      </c>
      <c r="AT167" s="70" t="n">
        <v>0.5675</v>
      </c>
      <c r="AU167" s="70" t="n">
        <v>0.54</v>
      </c>
      <c r="AV167" s="70" t="n">
        <v>0.3375</v>
      </c>
      <c r="AW167" s="70" t="n">
        <v>2.0275</v>
      </c>
      <c r="AX167" s="70" t="n">
        <v>0.695</v>
      </c>
      <c r="AY167" s="70" t="n">
        <v>0.655</v>
      </c>
      <c r="AZ167" s="70" t="n">
        <v>0.5925</v>
      </c>
      <c r="BA167" s="70" t="n">
        <v>0.6175</v>
      </c>
      <c r="BB167" s="70" t="n">
        <v>2.56</v>
      </c>
      <c r="BC167" s="70" t="n">
        <v>0.7775</v>
      </c>
      <c r="BD167" s="70" t="n">
        <v>0.69</v>
      </c>
      <c r="BE167" s="70" t="n">
        <v>0.7425</v>
      </c>
      <c r="BF167" s="70" t="n">
        <v>0.7025</v>
      </c>
      <c r="BG167" s="70" t="n">
        <v>2.9125</v>
      </c>
      <c r="BH167" s="70" t="n">
        <v>0.8475</v>
      </c>
      <c r="BI167" s="70" t="n">
        <v>0.78</v>
      </c>
      <c r="BJ167" s="70" t="n">
        <v>0.785</v>
      </c>
      <c r="BK167" s="70" t="n">
        <v>0.8325</v>
      </c>
      <c r="BL167" s="70" t="n">
        <v>3.2475</v>
      </c>
      <c r="BM167" s="70" t="n">
        <v>0.925</v>
      </c>
      <c r="BN167" s="70" t="n">
        <v>0.9025</v>
      </c>
      <c r="BO167" s="70" t="n">
        <v>0.96</v>
      </c>
      <c r="BP167" s="70" t="n">
        <v>0.9975</v>
      </c>
      <c r="BQ167" s="70" t="n">
        <v>3.7875</v>
      </c>
      <c r="BR167" s="70" t="n">
        <v>1.1</v>
      </c>
      <c r="BS167" s="70" t="n">
        <v>1.09</v>
      </c>
      <c r="BT167" s="70" t="n">
        <v>1.13</v>
      </c>
      <c r="BU167" s="70" t="n">
        <v>1.09</v>
      </c>
      <c r="BV167" s="70" t="n">
        <v>4.4</v>
      </c>
      <c r="BW167" s="70" t="n">
        <v>1.2</v>
      </c>
      <c r="BX167" s="70" t="n">
        <v>1.21</v>
      </c>
      <c r="BY167" s="70" t="n">
        <v>1.24</v>
      </c>
      <c r="BZ167" s="70" t="n">
        <v>1.26</v>
      </c>
      <c r="CA167" s="70" t="n">
        <v>4.91</v>
      </c>
      <c r="CB167" s="70" t="n">
        <v>1.36</v>
      </c>
      <c r="CC167" s="59"/>
      <c r="CD167" s="59"/>
      <c r="CE167" s="59"/>
      <c r="CF167" s="59"/>
      <c r="CG167" s="59"/>
      <c r="CH167" s="59"/>
      <c r="CI167" s="59"/>
      <c r="CJ167" s="59"/>
      <c r="CK167" s="23"/>
    </row>
    <row r="168" customFormat="false" ht="15" hidden="false" customHeight="true" outlineLevel="0" collapsed="false">
      <c r="B168" s="29" t="s">
        <v>429</v>
      </c>
      <c r="C168" s="70" t="n">
        <v>0.0875</v>
      </c>
      <c r="D168" s="70" t="n">
        <v>0.0975</v>
      </c>
      <c r="E168" s="70" t="n">
        <v>0.115</v>
      </c>
      <c r="F168" s="70" t="n">
        <v>0.1175</v>
      </c>
      <c r="G168" s="70" t="n">
        <v>0.12</v>
      </c>
      <c r="H168" s="70" t="n">
        <v>0.1225</v>
      </c>
      <c r="I168" s="70" t="n">
        <v>0.135</v>
      </c>
      <c r="J168" s="70" t="n">
        <v>0</v>
      </c>
      <c r="K168" s="70" t="n">
        <v>0.16</v>
      </c>
      <c r="L168" s="70" t="n">
        <v>0</v>
      </c>
      <c r="M168" s="70" t="n">
        <v>0</v>
      </c>
      <c r="N168" s="70" t="n">
        <v>0.16</v>
      </c>
      <c r="O168" s="70" t="n">
        <v>0</v>
      </c>
      <c r="P168" s="70" t="n">
        <v>0.1925</v>
      </c>
      <c r="Q168" s="70" t="n">
        <v>0</v>
      </c>
      <c r="R168" s="70" t="n">
        <v>0</v>
      </c>
      <c r="S168" s="70" t="n">
        <v>0.1925</v>
      </c>
      <c r="T168" s="70" t="n">
        <v>0</v>
      </c>
      <c r="U168" s="70" t="n">
        <v>0.425</v>
      </c>
      <c r="V168" s="70" t="n">
        <v>0</v>
      </c>
      <c r="W168" s="70" t="n">
        <v>0</v>
      </c>
      <c r="X168" s="70" t="n">
        <v>0.425</v>
      </c>
      <c r="Y168" s="70" t="n">
        <v>0</v>
      </c>
      <c r="Z168" s="70" t="n">
        <v>0.2625</v>
      </c>
      <c r="AA168" s="70" t="n">
        <v>0</v>
      </c>
      <c r="AB168" s="70" t="n">
        <v>0</v>
      </c>
      <c r="AC168" s="70" t="n">
        <v>0.2625</v>
      </c>
      <c r="AD168" s="70" t="n">
        <v>0</v>
      </c>
      <c r="AE168" s="70" t="n">
        <v>0.3325</v>
      </c>
      <c r="AF168" s="70" t="n">
        <v>0</v>
      </c>
      <c r="AG168" s="70" t="n">
        <v>0</v>
      </c>
      <c r="AH168" s="70" t="n">
        <v>0.3325</v>
      </c>
      <c r="AI168" s="70" t="n">
        <v>0</v>
      </c>
      <c r="AJ168" s="70" t="n">
        <v>0.405</v>
      </c>
      <c r="AK168" s="70" t="n">
        <v>0</v>
      </c>
      <c r="AL168" s="70" t="n">
        <v>0</v>
      </c>
      <c r="AM168" s="70" t="n">
        <v>0.405</v>
      </c>
      <c r="AN168" s="70" t="n">
        <v>0</v>
      </c>
      <c r="AO168" s="70" t="n">
        <v>0.5125</v>
      </c>
      <c r="AP168" s="70" t="n">
        <v>0</v>
      </c>
      <c r="AQ168" s="70" t="n">
        <v>0</v>
      </c>
      <c r="AR168" s="70" t="n">
        <v>0.5125</v>
      </c>
      <c r="AS168" s="70" t="n">
        <v>0</v>
      </c>
      <c r="AT168" s="70" t="n">
        <v>0.6375</v>
      </c>
      <c r="AU168" s="70" t="n">
        <v>0</v>
      </c>
      <c r="AV168" s="70" t="n">
        <v>0</v>
      </c>
      <c r="AW168" s="70" t="n">
        <v>0.6375</v>
      </c>
      <c r="AX168" s="70" t="n">
        <v>0</v>
      </c>
      <c r="AY168" s="70" t="n">
        <v>0.8775</v>
      </c>
      <c r="AZ168" s="70" t="n">
        <v>0.1875</v>
      </c>
      <c r="BA168" s="70" t="n">
        <v>0.1875</v>
      </c>
      <c r="BB168" s="70" t="n">
        <v>1.2525</v>
      </c>
      <c r="BC168" s="70" t="n">
        <v>0.2375</v>
      </c>
      <c r="BD168" s="70" t="n">
        <v>0.2375</v>
      </c>
      <c r="BE168" s="70" t="n">
        <v>0.2375</v>
      </c>
      <c r="BF168" s="70" t="n">
        <v>0.2375</v>
      </c>
      <c r="BG168" s="70" t="n">
        <v>0.95</v>
      </c>
      <c r="BH168" s="70" t="n">
        <v>0.2875</v>
      </c>
      <c r="BI168" s="70" t="n">
        <v>0.2875</v>
      </c>
      <c r="BJ168" s="70" t="n">
        <v>0.2875</v>
      </c>
      <c r="BK168" s="70" t="n">
        <v>0.2875</v>
      </c>
      <c r="BL168" s="70" t="n">
        <v>1.15</v>
      </c>
      <c r="BM168" s="70" t="n">
        <v>0.3375</v>
      </c>
      <c r="BN168" s="70" t="n">
        <v>0.3375</v>
      </c>
      <c r="BO168" s="70" t="n">
        <v>0.3375</v>
      </c>
      <c r="BP168" s="70" t="n">
        <v>0.3375</v>
      </c>
      <c r="BQ168" s="70" t="n">
        <v>1.35</v>
      </c>
      <c r="BR168" s="70" t="n">
        <v>0.39</v>
      </c>
      <c r="BS168" s="70" t="n">
        <v>0.39</v>
      </c>
      <c r="BT168" s="70" t="n">
        <v>0.39</v>
      </c>
      <c r="BU168" s="70" t="n">
        <v>0.39</v>
      </c>
      <c r="BV168" s="70" t="n">
        <v>1.56</v>
      </c>
      <c r="BW168" s="70" t="n">
        <v>0.45</v>
      </c>
      <c r="BX168" s="70" t="n">
        <v>0.45</v>
      </c>
      <c r="BY168" s="70" t="n">
        <v>0.45</v>
      </c>
      <c r="BZ168" s="70" t="n">
        <v>0.45</v>
      </c>
      <c r="CA168" s="70" t="n">
        <v>1.8</v>
      </c>
      <c r="CB168" s="70" t="n">
        <v>0.52</v>
      </c>
      <c r="CC168" s="60" t="n">
        <f aca="false">$CB$168</f>
        <v>0.52</v>
      </c>
      <c r="CD168" s="60" t="n">
        <f aca="false">$CB$168</f>
        <v>0.52</v>
      </c>
      <c r="CE168" s="60" t="n">
        <f aca="false">$CB$168</f>
        <v>0.52</v>
      </c>
      <c r="CF168" s="60" t="n">
        <f aca="false">SUM(CB168,CC168,CD168,CE168)</f>
        <v>2.08</v>
      </c>
      <c r="CG168" s="60" t="n">
        <f aca="false">CF168*(1+$CU$47)</f>
        <v>2.3296</v>
      </c>
      <c r="CH168" s="60" t="n">
        <f aca="false">CG168*(1+$CU$47)</f>
        <v>2.609152</v>
      </c>
      <c r="CI168" s="60" t="n">
        <f aca="false">CH168*(1+$CU$47)</f>
        <v>2.92225024</v>
      </c>
      <c r="CJ168" s="60" t="n">
        <f aca="false">CI168*(1+$CU$47)</f>
        <v>3.2729202688</v>
      </c>
      <c r="CK168" s="23" t="s">
        <v>430</v>
      </c>
    </row>
    <row r="169" customFormat="false" ht="15" hidden="false" customHeight="true" outlineLevel="0" collapsed="false">
      <c r="B169" s="26" t="s">
        <v>431</v>
      </c>
      <c r="D169" s="27" t="n">
        <f aca="false">IF(AND(ISNUMBER(D168),ISNUMBER(C168)),IFERROR(D168/C168-1,""),"")</f>
        <v>0.114285714285714</v>
      </c>
      <c r="E169" s="27" t="n">
        <f aca="false">IF(AND(ISNUMBER(E168),ISNUMBER(D168)),IFERROR(E168/D168-1,""),"")</f>
        <v>0.17948717948718</v>
      </c>
      <c r="F169" s="27" t="n">
        <f aca="false">IF(AND(ISNUMBER(F168),ISNUMBER(E168)),IFERROR(F168/E168-1,""),"")</f>
        <v>0.0217391304347825</v>
      </c>
      <c r="G169" s="27" t="n">
        <f aca="false">IF(AND(ISNUMBER(G168),ISNUMBER(F168)),IFERROR(G168/F168-1,""),"")</f>
        <v>0.0212765957446808</v>
      </c>
      <c r="H169" s="27" t="n">
        <f aca="false">IF(AND(ISNUMBER(H168),ISNUMBER(G168)),IFERROR(H168/G168-1,""),"")</f>
        <v>0.0208333333333333</v>
      </c>
      <c r="I169" s="27" t="n">
        <f aca="false">IF(AND(ISNUMBER(I168),ISNUMBER(H168)),IFERROR(I168/H168-1,""),"")</f>
        <v>0.102040816326531</v>
      </c>
      <c r="N169" s="27" t="n">
        <f aca="false">IF(AND(ISNUMBER(N168),ISNUMBER(I168)),IFERROR(N168/I168-1,""),"")</f>
        <v>0.185185185185185</v>
      </c>
      <c r="O169" s="27" t="str">
        <f aca="false">IF(AND(ISNUMBER(O168),ISNUMBER(J168)),IFERROR(O168/J168-1,""),"")</f>
        <v/>
      </c>
      <c r="P169" s="27" t="n">
        <f aca="false">IF(AND(ISNUMBER(P168),ISNUMBER(K168)),IFERROR(P168/K168-1,""),"")</f>
        <v>0.203125</v>
      </c>
      <c r="Q169" s="27" t="str">
        <f aca="false">IF(AND(ISNUMBER(Q168),ISNUMBER(L168)),IFERROR(Q168/L168-1,""),"")</f>
        <v/>
      </c>
      <c r="R169" s="27" t="str">
        <f aca="false">IF(AND(ISNUMBER(R168),ISNUMBER(M168)),IFERROR(R168/M168-1,""),"")</f>
        <v/>
      </c>
      <c r="S169" s="27" t="n">
        <f aca="false">IF(AND(ISNUMBER(S168),ISNUMBER(N168)),IFERROR(S168/N168-1,""),"")</f>
        <v>0.203125</v>
      </c>
      <c r="T169" s="27" t="str">
        <f aca="false">IF(AND(ISNUMBER(T168),ISNUMBER(O168)),IFERROR(T168/O168-1,""),"")</f>
        <v/>
      </c>
      <c r="U169" s="27" t="n">
        <f aca="false">IF(AND(ISNUMBER(U168),ISNUMBER(P168)),IFERROR(U168/P168-1,""),"")</f>
        <v>1.20779220779221</v>
      </c>
      <c r="V169" s="27" t="str">
        <f aca="false">IF(AND(ISNUMBER(V168),ISNUMBER(Q168)),IFERROR(V168/Q168-1,""),"")</f>
        <v/>
      </c>
      <c r="W169" s="27" t="str">
        <f aca="false">IF(AND(ISNUMBER(W168),ISNUMBER(R168)),IFERROR(W168/R168-1,""),"")</f>
        <v/>
      </c>
      <c r="X169" s="27" t="n">
        <f aca="false">IF(AND(ISNUMBER(X168),ISNUMBER(S168)),IFERROR(X168/S168-1,""),"")</f>
        <v>1.20779220779221</v>
      </c>
      <c r="Y169" s="27" t="str">
        <f aca="false">IF(AND(ISNUMBER(Y168),ISNUMBER(T168)),IFERROR(Y168/T168-1,""),"")</f>
        <v/>
      </c>
      <c r="Z169" s="27" t="n">
        <f aca="false">IF(AND(ISNUMBER(Z168),ISNUMBER(U168)),IFERROR(Z168/U168-1,""),"")</f>
        <v>-0.382352941176471</v>
      </c>
      <c r="AA169" s="27" t="str">
        <f aca="false">IF(AND(ISNUMBER(AA168),ISNUMBER(V168)),IFERROR(AA168/V168-1,""),"")</f>
        <v/>
      </c>
      <c r="AB169" s="27" t="str">
        <f aca="false">IF(AND(ISNUMBER(AB168),ISNUMBER(W168)),IFERROR(AB168/W168-1,""),"")</f>
        <v/>
      </c>
      <c r="AC169" s="27" t="n">
        <f aca="false">IF(AND(ISNUMBER(AC168),ISNUMBER(X168)),IFERROR(AC168/X168-1,""),"")</f>
        <v>-0.382352941176471</v>
      </c>
      <c r="AD169" s="27" t="str">
        <f aca="false">IF(AND(ISNUMBER(AD168),ISNUMBER(Y168)),IFERROR(AD168/Y168-1,""),"")</f>
        <v/>
      </c>
      <c r="AE169" s="27" t="n">
        <f aca="false">IF(AND(ISNUMBER(AE168),ISNUMBER(Z168)),IFERROR(AE168/Z168-1,""),"")</f>
        <v>0.266666666666667</v>
      </c>
      <c r="AF169" s="27" t="str">
        <f aca="false">IF(AND(ISNUMBER(AF168),ISNUMBER(AA168)),IFERROR(AF168/AA168-1,""),"")</f>
        <v/>
      </c>
      <c r="AG169" s="27" t="str">
        <f aca="false">IF(AND(ISNUMBER(AG168),ISNUMBER(AB168)),IFERROR(AG168/AB168-1,""),"")</f>
        <v/>
      </c>
      <c r="AH169" s="27" t="n">
        <f aca="false">IF(AND(ISNUMBER(AH168),ISNUMBER(AC168)),IFERROR(AH168/AC168-1,""),"")</f>
        <v>0.266666666666667</v>
      </c>
      <c r="AI169" s="27" t="str">
        <f aca="false">IF(AND(ISNUMBER(AI168),ISNUMBER(AD168)),IFERROR(AI168/AD168-1,""),"")</f>
        <v/>
      </c>
      <c r="AJ169" s="27" t="n">
        <f aca="false">IF(AND(ISNUMBER(AJ168),ISNUMBER(AE168)),IFERROR(AJ168/AE168-1,""),"")</f>
        <v>0.218045112781955</v>
      </c>
      <c r="AK169" s="27" t="str">
        <f aca="false">IF(AND(ISNUMBER(AK168),ISNUMBER(AF168)),IFERROR(AK168/AF168-1,""),"")</f>
        <v/>
      </c>
      <c r="AL169" s="27" t="str">
        <f aca="false">IF(AND(ISNUMBER(AL168),ISNUMBER(AG168)),IFERROR(AL168/AG168-1,""),"")</f>
        <v/>
      </c>
      <c r="AM169" s="27" t="n">
        <f aca="false">IF(AND(ISNUMBER(AM168),ISNUMBER(AH168)),IFERROR(AM168/AH168-1,""),"")</f>
        <v>0.218045112781955</v>
      </c>
      <c r="AN169" s="27" t="str">
        <f aca="false">IF(AND(ISNUMBER(AN168),ISNUMBER(AI168)),IFERROR(AN168/AI168-1,""),"")</f>
        <v/>
      </c>
      <c r="AO169" s="27" t="n">
        <f aca="false">IF(AND(ISNUMBER(AO168),ISNUMBER(AJ168)),IFERROR(AO168/AJ168-1,""),"")</f>
        <v>0.265432098765432</v>
      </c>
      <c r="AP169" s="27" t="str">
        <f aca="false">IF(AND(ISNUMBER(AP168),ISNUMBER(AK168)),IFERROR(AP168/AK168-1,""),"")</f>
        <v/>
      </c>
      <c r="AQ169" s="27" t="str">
        <f aca="false">IF(AND(ISNUMBER(AQ168),ISNUMBER(AL168)),IFERROR(AQ168/AL168-1,""),"")</f>
        <v/>
      </c>
      <c r="AR169" s="27" t="n">
        <f aca="false">IF(AND(ISNUMBER(AR168),ISNUMBER(AM168)),IFERROR(AR168/AM168-1,""),"")</f>
        <v>0.265432098765432</v>
      </c>
      <c r="AS169" s="27" t="str">
        <f aca="false">IF(AND(ISNUMBER(AS168),ISNUMBER(AN168)),IFERROR(AS168/AN168-1,""),"")</f>
        <v/>
      </c>
      <c r="AT169" s="27" t="n">
        <f aca="false">IF(AND(ISNUMBER(AT168),ISNUMBER(AO168)),IFERROR(AT168/AO168-1,""),"")</f>
        <v>0.24390243902439</v>
      </c>
      <c r="AU169" s="27" t="str">
        <f aca="false">IF(AND(ISNUMBER(AU168),ISNUMBER(AP168)),IFERROR(AU168/AP168-1,""),"")</f>
        <v/>
      </c>
      <c r="AV169" s="27" t="str">
        <f aca="false">IF(AND(ISNUMBER(AV168),ISNUMBER(AQ168)),IFERROR(AV168/AQ168-1,""),"")</f>
        <v/>
      </c>
      <c r="AW169" s="27" t="n">
        <f aca="false">IF(AND(ISNUMBER(AW168),ISNUMBER(AR168)),IFERROR(AW168/AR168-1,""),"")</f>
        <v>0.24390243902439</v>
      </c>
      <c r="AX169" s="27" t="str">
        <f aca="false">IF(AND(ISNUMBER(AX168),ISNUMBER(AS168)),IFERROR(AX168/AS168-1,""),"")</f>
        <v/>
      </c>
      <c r="AY169" s="27" t="n">
        <f aca="false">IF(AND(ISNUMBER(AY168),ISNUMBER(AT168)),IFERROR(AY168/AT168-1,""),"")</f>
        <v>0.376470588235294</v>
      </c>
      <c r="AZ169" s="27" t="str">
        <f aca="false">IF(AND(ISNUMBER(AZ168),ISNUMBER(AU168)),IFERROR(AZ168/AU168-1,""),"")</f>
        <v/>
      </c>
      <c r="BA169" s="27" t="str">
        <f aca="false">IF(AND(ISNUMBER(BA168),ISNUMBER(AV168)),IFERROR(BA168/AV168-1,""),"")</f>
        <v/>
      </c>
      <c r="BB169" s="27" t="n">
        <f aca="false">IF(AND(ISNUMBER(BB168),ISNUMBER(AW168)),IFERROR(BB168/AW168-1,""),"")</f>
        <v>0.964705882352941</v>
      </c>
      <c r="BC169" s="27" t="str">
        <f aca="false">IF(AND(ISNUMBER(BC168),ISNUMBER(AX168)),IFERROR(BC168/AX168-1,""),"")</f>
        <v/>
      </c>
      <c r="BD169" s="27" t="n">
        <f aca="false">IF(AND(ISNUMBER(BD168),ISNUMBER(AY168)),IFERROR(BD168/AY168-1,""),"")</f>
        <v>-0.729344729344729</v>
      </c>
      <c r="BE169" s="27" t="n">
        <f aca="false">IF(AND(ISNUMBER(BE168),ISNUMBER(AZ168)),IFERROR(BE168/AZ168-1,""),"")</f>
        <v>0.266666666666667</v>
      </c>
      <c r="BF169" s="27" t="n">
        <f aca="false">IF(AND(ISNUMBER(BF168),ISNUMBER(BA168)),IFERROR(BF168/BA168-1,""),"")</f>
        <v>0.266666666666667</v>
      </c>
      <c r="BG169" s="27" t="n">
        <f aca="false">IF(AND(ISNUMBER(BG168),ISNUMBER(BB168)),IFERROR(BG168/BB168-1,""),"")</f>
        <v>-0.241516966067864</v>
      </c>
      <c r="BH169" s="27" t="n">
        <f aca="false">IF(AND(ISNUMBER(BH168),ISNUMBER(BC168)),IFERROR(BH168/BC168-1,""),"")</f>
        <v>0.210526315789474</v>
      </c>
      <c r="BI169" s="27" t="n">
        <f aca="false">IF(AND(ISNUMBER(BI168),ISNUMBER(BD168)),IFERROR(BI168/BD168-1,""),"")</f>
        <v>0.210526315789474</v>
      </c>
      <c r="BJ169" s="27" t="n">
        <f aca="false">IF(AND(ISNUMBER(BJ168),ISNUMBER(BE168)),IFERROR(BJ168/BE168-1,""),"")</f>
        <v>0.210526315789474</v>
      </c>
      <c r="BK169" s="27" t="n">
        <f aca="false">IF(AND(ISNUMBER(BK168),ISNUMBER(BF168)),IFERROR(BK168/BF168-1,""),"")</f>
        <v>0.210526315789474</v>
      </c>
      <c r="BL169" s="27" t="n">
        <f aca="false">IF(AND(ISNUMBER(BL168),ISNUMBER(BG168)),IFERROR(BL168/BG168-1,""),"")</f>
        <v>0.210526315789474</v>
      </c>
      <c r="BM169" s="27" t="n">
        <f aca="false">IF(AND(ISNUMBER(BM168),ISNUMBER(BH168)),IFERROR(BM168/BH168-1,""),"")</f>
        <v>0.173913043478261</v>
      </c>
      <c r="BN169" s="27" t="n">
        <f aca="false">IF(AND(ISNUMBER(BN168),ISNUMBER(BI168)),IFERROR(BN168/BI168-1,""),"")</f>
        <v>0.173913043478261</v>
      </c>
      <c r="BO169" s="27" t="n">
        <f aca="false">IF(AND(ISNUMBER(BO168),ISNUMBER(BJ168)),IFERROR(BO168/BJ168-1,""),"")</f>
        <v>0.173913043478261</v>
      </c>
      <c r="BP169" s="27" t="n">
        <f aca="false">IF(AND(ISNUMBER(BP168),ISNUMBER(BK168)),IFERROR(BP168/BK168-1,""),"")</f>
        <v>0.173913043478261</v>
      </c>
      <c r="BQ169" s="27" t="n">
        <f aca="false">IF(AND(ISNUMBER(BQ168),ISNUMBER(BL168)),IFERROR(BQ168/BL168-1,""),"")</f>
        <v>0.173913043478261</v>
      </c>
      <c r="BR169" s="27" t="n">
        <f aca="false">IF(AND(ISNUMBER(BR168),ISNUMBER(BM168)),IFERROR(BR168/BM168-1,""),"")</f>
        <v>0.155555555555555</v>
      </c>
      <c r="BS169" s="27" t="n">
        <f aca="false">IF(AND(ISNUMBER(BS168),ISNUMBER(BN168)),IFERROR(BS168/BN168-1,""),"")</f>
        <v>0.155555555555555</v>
      </c>
      <c r="BT169" s="27" t="n">
        <f aca="false">IF(AND(ISNUMBER(BT168),ISNUMBER(BO168)),IFERROR(BT168/BO168-1,""),"")</f>
        <v>0.155555555555555</v>
      </c>
      <c r="BU169" s="27" t="n">
        <f aca="false">IF(AND(ISNUMBER(BU168),ISNUMBER(BP168)),IFERROR(BU168/BP168-1,""),"")</f>
        <v>0.155555555555555</v>
      </c>
      <c r="BV169" s="27" t="n">
        <f aca="false">IF(AND(ISNUMBER(BV168),ISNUMBER(BQ168)),IFERROR(BV168/BQ168-1,""),"")</f>
        <v>0.155555555555555</v>
      </c>
      <c r="BW169" s="27" t="n">
        <f aca="false">IF(AND(ISNUMBER(BW168),ISNUMBER(BR168)),IFERROR(BW168/BR168-1,""),"")</f>
        <v>0.153846153846154</v>
      </c>
      <c r="BX169" s="27" t="n">
        <f aca="false">IF(AND(ISNUMBER(BX168),ISNUMBER(BS168)),IFERROR(BX168/BS168-1,""),"")</f>
        <v>0.153846153846154</v>
      </c>
      <c r="BY169" s="27" t="n">
        <f aca="false">IF(AND(ISNUMBER(BY168),ISNUMBER(BT168)),IFERROR(BY168/BT168-1,""),"")</f>
        <v>0.153846153846154</v>
      </c>
      <c r="BZ169" s="27" t="n">
        <f aca="false">IF(AND(ISNUMBER(BZ168),ISNUMBER(BU168)),IFERROR(BZ168/BU168-1,""),"")</f>
        <v>0.153846153846154</v>
      </c>
      <c r="CA169" s="27" t="n">
        <f aca="false">IF(AND(ISNUMBER(CA168),ISNUMBER(BV168)),IFERROR(CA168/BV168-1,""),"")</f>
        <v>0.153846153846154</v>
      </c>
      <c r="CB169" s="27" t="n">
        <f aca="false">IF(AND(ISNUMBER(CB168),ISNUMBER(BW168)),IFERROR(CB168/BW168-1,""),"")</f>
        <v>0.155555555555556</v>
      </c>
      <c r="CC169" s="33"/>
      <c r="CD169" s="33"/>
      <c r="CE169" s="33"/>
      <c r="CF169" s="28" t="n">
        <f aca="false">IFERROR(CF168/CA168-1,"")</f>
        <v>0.155555555555556</v>
      </c>
      <c r="CG169" s="28" t="n">
        <f aca="false">IFERROR(CG168/CF168-1,"")</f>
        <v>0.12</v>
      </c>
      <c r="CH169" s="28" t="n">
        <f aca="false">IFERROR(CH168/CG168-1,"")</f>
        <v>0.12</v>
      </c>
      <c r="CI169" s="28" t="n">
        <f aca="false">IFERROR(CI168/CH168-1,"")</f>
        <v>0.12</v>
      </c>
      <c r="CJ169" s="28" t="n">
        <f aca="false">IFERROR(CJ168/CI168-1,"")</f>
        <v>0.12</v>
      </c>
      <c r="CK169" s="23"/>
    </row>
    <row r="170" customFormat="false" ht="15" hidden="false" customHeight="true" outlineLevel="0" collapsed="false"/>
    <row r="171" customFormat="false" ht="15" hidden="false" customHeight="true" outlineLevel="0" collapsed="false">
      <c r="B171" s="12" t="s">
        <v>432</v>
      </c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2" t="s">
        <v>433</v>
      </c>
    </row>
    <row r="172" customFormat="false" ht="15" hidden="false" customHeight="true" outlineLevel="0" collapsed="false">
      <c r="B172" s="29" t="s">
        <v>434</v>
      </c>
      <c r="C172" s="45" t="n">
        <f aca="false">C152</f>
        <v>327.178</v>
      </c>
      <c r="D172" s="45" t="n">
        <f aca="false">D152</f>
        <v>334.538</v>
      </c>
      <c r="E172" s="45" t="n">
        <f aca="false">E152</f>
        <v>335.405</v>
      </c>
      <c r="F172" s="45" t="n">
        <f aca="false">F152</f>
        <v>226.357</v>
      </c>
      <c r="G172" s="45" t="n">
        <f aca="false">G152</f>
        <v>215.62</v>
      </c>
      <c r="H172" s="45" t="n">
        <f aca="false">H152</f>
        <v>246.989</v>
      </c>
      <c r="I172" s="45" t="n">
        <f aca="false">I152</f>
        <v>297.637</v>
      </c>
      <c r="J172" s="45" t="n">
        <f aca="false">J152</f>
        <v>76.733</v>
      </c>
      <c r="K172" s="45" t="n">
        <f aca="false">K152</f>
        <v>78.027</v>
      </c>
      <c r="L172" s="45" t="n">
        <f aca="false">L152</f>
        <v>74.705</v>
      </c>
      <c r="M172" s="45" t="n">
        <f aca="false">M152</f>
        <v>85.977</v>
      </c>
      <c r="N172" s="45" t="n">
        <f aca="false">N152</f>
        <v>315.442</v>
      </c>
      <c r="O172" s="45" t="n">
        <f aca="false">O152</f>
        <v>77.754</v>
      </c>
      <c r="P172" s="45" t="n">
        <f aca="false">P152</f>
        <v>84.862</v>
      </c>
      <c r="Q172" s="45" t="n">
        <f aca="false">Q152</f>
        <v>84.6020000000001</v>
      </c>
      <c r="R172" s="45" t="n">
        <f aca="false">R152</f>
        <v>127.224</v>
      </c>
      <c r="S172" s="45" t="n">
        <f aca="false">S152</f>
        <v>374.442</v>
      </c>
      <c r="T172" s="45" t="n">
        <f aca="false">T152</f>
        <v>109.791</v>
      </c>
      <c r="U172" s="45" t="n">
        <f aca="false">U152</f>
        <v>103.446</v>
      </c>
      <c r="V172" s="45" t="n">
        <f aca="false">V152</f>
        <v>93.636</v>
      </c>
      <c r="W172" s="45" t="n">
        <f aca="false">W152</f>
        <v>101.204</v>
      </c>
      <c r="X172" s="45" t="n">
        <f aca="false">X152</f>
        <v>408.077000000001</v>
      </c>
      <c r="Y172" s="45" t="n">
        <f aca="false">Y152</f>
        <v>106.198</v>
      </c>
      <c r="Z172" s="45" t="n">
        <f aca="false">Z152</f>
        <v>115.453</v>
      </c>
      <c r="AA172" s="45" t="n">
        <f aca="false">AA152</f>
        <v>117.279</v>
      </c>
      <c r="AB172" s="45" t="n">
        <f aca="false">AB152</f>
        <v>118.011</v>
      </c>
      <c r="AC172" s="45" t="n">
        <f aca="false">AC152</f>
        <v>456.940999999999</v>
      </c>
      <c r="AD172" s="45" t="n">
        <f aca="false">AD152</f>
        <v>138.091</v>
      </c>
      <c r="AE172" s="45" t="n">
        <f aca="false">AE152</f>
        <v>123.454</v>
      </c>
      <c r="AF172" s="45" t="n">
        <f aca="false">AF152</f>
        <v>118.647</v>
      </c>
      <c r="AG172" s="45" t="n">
        <f aca="false">AG152</f>
        <v>82.174</v>
      </c>
      <c r="AH172" s="45" t="n">
        <f aca="false">AH152</f>
        <v>457.286</v>
      </c>
      <c r="AI172" s="45" t="n">
        <f aca="false">AI152</f>
        <v>161.108</v>
      </c>
      <c r="AJ172" s="45" t="n">
        <f aca="false">AJ152</f>
        <v>137.737</v>
      </c>
      <c r="AK172" s="45" t="n">
        <f aca="false">AK152</f>
        <v>295.789</v>
      </c>
      <c r="AL172" s="45" t="n">
        <f aca="false">AL152</f>
        <v>189.298</v>
      </c>
      <c r="AM172" s="45" t="n">
        <f aca="false">AM152</f>
        <v>783.932</v>
      </c>
      <c r="AN172" s="45" t="n">
        <f aca="false">AN152</f>
        <v>212.547</v>
      </c>
      <c r="AO172" s="45" t="n">
        <f aca="false">AO152</f>
        <v>242.994</v>
      </c>
      <c r="AP172" s="45" t="n">
        <f aca="false">AP152</f>
        <v>200.923</v>
      </c>
      <c r="AQ172" s="45" t="n">
        <f aca="false">AQ152</f>
        <v>226.171</v>
      </c>
      <c r="AR172" s="45" t="n">
        <f aca="false">AR152</f>
        <v>882.635</v>
      </c>
      <c r="AS172" s="45" t="n">
        <f aca="false">AS152</f>
        <v>250.812</v>
      </c>
      <c r="AT172" s="45" t="n">
        <f aca="false">AT152</f>
        <v>246.443</v>
      </c>
      <c r="AU172" s="45" t="n">
        <f aca="false">AU152</f>
        <v>234.52</v>
      </c>
      <c r="AV172" s="45" t="n">
        <f aca="false">AV152</f>
        <v>144.585</v>
      </c>
      <c r="AW172" s="45" t="n">
        <f aca="false">AW152</f>
        <v>876.36</v>
      </c>
      <c r="AX172" s="45" t="n">
        <f aca="false">AX152</f>
        <v>300.005</v>
      </c>
      <c r="AY172" s="45" t="n">
        <f aca="false">AY152</f>
        <v>284.857</v>
      </c>
      <c r="AZ172" s="45" t="n">
        <f aca="false">AZ152</f>
        <v>258.384</v>
      </c>
      <c r="BA172" s="45" t="n">
        <f aca="false">BA152</f>
        <v>267.722</v>
      </c>
      <c r="BB172" s="45" t="n">
        <f aca="false">BB152</f>
        <v>1110.968</v>
      </c>
      <c r="BC172" s="45" t="n">
        <f aca="false">BC152</f>
        <v>331.179</v>
      </c>
      <c r="BD172" s="45" t="n">
        <f aca="false">BD152</f>
        <v>294.669</v>
      </c>
      <c r="BE172" s="45" t="n">
        <f aca="false">BE152</f>
        <v>315.448</v>
      </c>
      <c r="BF172" s="45" t="n">
        <f aca="false">BF152</f>
        <v>294.461</v>
      </c>
      <c r="BG172" s="45" t="n">
        <f aca="false">BG152</f>
        <v>1235.757</v>
      </c>
      <c r="BH172" s="45" t="n">
        <f aca="false">BH152</f>
        <v>351.689</v>
      </c>
      <c r="BI172" s="45" t="n">
        <f aca="false">BI152</f>
        <v>324.293</v>
      </c>
      <c r="BJ172" s="45" t="n">
        <f aca="false">BJ152</f>
        <v>325.827</v>
      </c>
      <c r="BK172" s="45" t="n">
        <f aca="false">BK152</f>
        <v>346.201</v>
      </c>
      <c r="BL172" s="45" t="n">
        <f aca="false">BL152</f>
        <v>1348.01</v>
      </c>
      <c r="BM172" s="45" t="n">
        <f aca="false">BM152</f>
        <v>385.085</v>
      </c>
      <c r="BN172" s="45" t="n">
        <f aca="false">BN152</f>
        <v>374.613</v>
      </c>
      <c r="BO172" s="45" t="n">
        <f aca="false">BO152</f>
        <v>397.579</v>
      </c>
      <c r="BP172" s="45" t="n">
        <f aca="false">BP152</f>
        <v>414.315</v>
      </c>
      <c r="BQ172" s="45" t="n">
        <f aca="false">BQ152</f>
        <v>1571.592</v>
      </c>
      <c r="BR172" s="45" t="n">
        <f aca="false">BR152</f>
        <v>452.033</v>
      </c>
      <c r="BS172" s="45" t="n">
        <f aca="false">BS152</f>
        <v>448.495</v>
      </c>
      <c r="BT172" s="45" t="n">
        <f aca="false">BT152</f>
        <v>463.497</v>
      </c>
      <c r="BU172" s="45" t="n">
        <f aca="false">BU152</f>
        <v>448.256</v>
      </c>
      <c r="BV172" s="45" t="n">
        <f aca="false">BV152</f>
        <v>1812.281</v>
      </c>
      <c r="BW172" s="45" t="n">
        <f aca="false">BW152</f>
        <v>491.14</v>
      </c>
      <c r="BX172" s="45" t="n">
        <f aca="false">BX152</f>
        <v>495.343</v>
      </c>
      <c r="BY172" s="45" t="n">
        <f aca="false">BY152</f>
        <v>502.496</v>
      </c>
      <c r="BZ172" s="45" t="n">
        <f aca="false">BZ152</f>
        <v>510.989</v>
      </c>
      <c r="CA172" s="45" t="n">
        <f aca="false">CA152</f>
        <v>1999.968</v>
      </c>
      <c r="CB172" s="45" t="n">
        <f aca="false">CB152</f>
        <v>551.711</v>
      </c>
      <c r="CC172" s="35" t="n">
        <f aca="false">CC152</f>
        <v>531.024989441951</v>
      </c>
      <c r="CD172" s="35" t="n">
        <f aca="false">CD152</f>
        <v>453.51717354752</v>
      </c>
      <c r="CE172" s="35" t="n">
        <f aca="false">CE152</f>
        <v>535.404779598214</v>
      </c>
      <c r="CF172" s="35" t="n">
        <f aca="false">CF152</f>
        <v>2071.65794258768</v>
      </c>
      <c r="CG172" s="35" t="n">
        <f aca="false">CG152</f>
        <v>2415.94010962133</v>
      </c>
      <c r="CH172" s="35" t="n">
        <f aca="false">CH152</f>
        <v>2784.65463528988</v>
      </c>
      <c r="CI172" s="35" t="n">
        <f aca="false">CI152</f>
        <v>3209.12561569213</v>
      </c>
      <c r="CJ172" s="35" t="n">
        <f aca="false">CJ152</f>
        <v>3554.50599210378</v>
      </c>
      <c r="CK172" s="23"/>
    </row>
    <row r="173" customFormat="false" ht="15" hidden="false" customHeight="true" outlineLevel="0" collapsed="false">
      <c r="B173" s="29" t="s">
        <v>435</v>
      </c>
      <c r="C173" s="45" t="n">
        <f aca="false">C149</f>
        <v>194.637</v>
      </c>
      <c r="D173" s="45" t="n">
        <f aca="false">D149</f>
        <v>199.015</v>
      </c>
      <c r="E173" s="45" t="n">
        <f aca="false">E149</f>
        <v>195.299</v>
      </c>
      <c r="F173" s="45" t="n">
        <f aca="false">F149</f>
        <v>135.236</v>
      </c>
      <c r="G173" s="45" t="n">
        <f aca="false">G149</f>
        <v>128.272</v>
      </c>
      <c r="H173" s="45" t="n">
        <f aca="false">H149</f>
        <v>145.68</v>
      </c>
      <c r="I173" s="45" t="n">
        <f aca="false">I149</f>
        <v>173.307</v>
      </c>
      <c r="J173" s="45" t="n">
        <f aca="false">J149</f>
        <v>46.04</v>
      </c>
      <c r="K173" s="45" t="n">
        <f aca="false">K149</f>
        <v>44.851</v>
      </c>
      <c r="L173" s="45" t="n">
        <f aca="false">L149</f>
        <v>42.148</v>
      </c>
      <c r="M173" s="45" t="n">
        <f aca="false">M149</f>
        <v>51.427</v>
      </c>
      <c r="N173" s="45" t="n">
        <f aca="false">N149</f>
        <v>184.466</v>
      </c>
      <c r="O173" s="45" t="n">
        <f aca="false">O149</f>
        <v>45.861</v>
      </c>
      <c r="P173" s="45" t="n">
        <f aca="false">P149</f>
        <v>51.709</v>
      </c>
      <c r="Q173" s="45" t="n">
        <f aca="false">Q149</f>
        <v>49.186</v>
      </c>
      <c r="R173" s="45" t="n">
        <f aca="false">R149</f>
        <v>86.66</v>
      </c>
      <c r="S173" s="45" t="n">
        <f aca="false">S149</f>
        <v>233.416</v>
      </c>
      <c r="T173" s="45" t="n">
        <f aca="false">T149</f>
        <v>65.525</v>
      </c>
      <c r="U173" s="45" t="n">
        <f aca="false">U149</f>
        <v>61.819</v>
      </c>
      <c r="V173" s="45" t="n">
        <f aca="false">V149</f>
        <v>57.052</v>
      </c>
      <c r="W173" s="45" t="n">
        <f aca="false">W149</f>
        <v>60.112</v>
      </c>
      <c r="X173" s="45" t="n">
        <f aca="false">X149</f>
        <v>244.66</v>
      </c>
      <c r="Y173" s="45" t="n">
        <f aca="false">Y149</f>
        <v>63.016</v>
      </c>
      <c r="Z173" s="45" t="n">
        <f aca="false">Z149</f>
        <v>68.836</v>
      </c>
      <c r="AA173" s="45" t="n">
        <f aca="false">AA149</f>
        <v>59.845</v>
      </c>
      <c r="AB173" s="45" t="n">
        <f aca="false">AB149</f>
        <v>69.484</v>
      </c>
      <c r="AC173" s="45" t="n">
        <f aca="false">AC149</f>
        <v>261.181</v>
      </c>
      <c r="AD173" s="45" t="n">
        <f aca="false">AD149</f>
        <v>54.763</v>
      </c>
      <c r="AE173" s="45" t="n">
        <f aca="false">AE149</f>
        <v>66.168</v>
      </c>
      <c r="AF173" s="45" t="n">
        <f aca="false">AF149</f>
        <v>62.363</v>
      </c>
      <c r="AG173" s="45" t="n">
        <f aca="false">AG149</f>
        <v>49.875</v>
      </c>
      <c r="AH173" s="45" t="n">
        <f aca="false">AH149</f>
        <v>230.118</v>
      </c>
      <c r="AI173" s="45" t="n">
        <f aca="false">AI149</f>
        <v>57.971</v>
      </c>
      <c r="AJ173" s="45" t="n">
        <f aca="false">AJ149</f>
        <v>68.636</v>
      </c>
      <c r="AK173" s="45" t="n">
        <f aca="false">AK149</f>
        <v>-121.282</v>
      </c>
      <c r="AL173" s="45" t="n">
        <f aca="false">AL149</f>
        <v>51.744</v>
      </c>
      <c r="AM173" s="45" t="n">
        <f aca="false">AM149</f>
        <v>57.069</v>
      </c>
      <c r="AN173" s="45" t="n">
        <f aca="false">AN149</f>
        <v>28.873</v>
      </c>
      <c r="AO173" s="45" t="n">
        <f aca="false">AO149</f>
        <v>77.53</v>
      </c>
      <c r="AP173" s="45" t="n">
        <f aca="false">AP149</f>
        <v>50.632</v>
      </c>
      <c r="AQ173" s="45" t="n">
        <f aca="false">AQ149</f>
        <v>62.729</v>
      </c>
      <c r="AR173" s="45" t="n">
        <f aca="false">AR149</f>
        <v>219.764</v>
      </c>
      <c r="AS173" s="45" t="n">
        <f aca="false">AS149</f>
        <v>28.175</v>
      </c>
      <c r="AT173" s="45" t="n">
        <f aca="false">AT149</f>
        <v>62.127</v>
      </c>
      <c r="AU173" s="45" t="n">
        <f aca="false">AU149</f>
        <v>54.536</v>
      </c>
      <c r="AV173" s="45" t="n">
        <f aca="false">AV149</f>
        <v>37.093</v>
      </c>
      <c r="AW173" s="45" t="n">
        <f aca="false">AW149</f>
        <v>181.931</v>
      </c>
      <c r="AX173" s="45" t="n">
        <f aca="false">AX149</f>
        <v>25.215</v>
      </c>
      <c r="AY173" s="45" t="n">
        <f aca="false">AY149</f>
        <v>43.676</v>
      </c>
      <c r="AZ173" s="45" t="n">
        <f aca="false">AZ149</f>
        <v>43.619</v>
      </c>
      <c r="BA173" s="45" t="n">
        <f aca="false">BA149</f>
        <v>64.271</v>
      </c>
      <c r="BB173" s="45" t="n">
        <f aca="false">BB149</f>
        <v>176.781</v>
      </c>
      <c r="BC173" s="45" t="n">
        <f aca="false">BC149</f>
        <v>41.124</v>
      </c>
      <c r="BD173" s="45" t="n">
        <f aca="false">BD149</f>
        <v>64.713</v>
      </c>
      <c r="BE173" s="45" t="n">
        <f aca="false">BE149</f>
        <v>70.183</v>
      </c>
      <c r="BF173" s="45" t="n">
        <f aca="false">BF149</f>
        <v>86.991</v>
      </c>
      <c r="BG173" s="45" t="n">
        <f aca="false">BG149</f>
        <v>263.011</v>
      </c>
      <c r="BH173" s="45" t="n">
        <f aca="false">BH149</f>
        <v>60.866</v>
      </c>
      <c r="BI173" s="45" t="n">
        <f aca="false">BI149</f>
        <v>92.065</v>
      </c>
      <c r="BJ173" s="45" t="n">
        <f aca="false">BJ149</f>
        <v>92.539</v>
      </c>
      <c r="BK173" s="45" t="n">
        <f aca="false">BK149</f>
        <v>99.668</v>
      </c>
      <c r="BL173" s="45" t="n">
        <f aca="false">BL149</f>
        <v>345.138</v>
      </c>
      <c r="BM173" s="45" t="n">
        <f aca="false">BM149</f>
        <v>91.349</v>
      </c>
      <c r="BN173" s="45" t="n">
        <f aca="false">BN149</f>
        <v>99.249</v>
      </c>
      <c r="BO173" s="45" t="n">
        <f aca="false">BO149</f>
        <v>98.621</v>
      </c>
      <c r="BP173" s="45" t="n">
        <f aca="false">BP149</f>
        <v>112.824</v>
      </c>
      <c r="BQ173" s="45" t="n">
        <f aca="false">BQ149</f>
        <v>402.043</v>
      </c>
      <c r="BR173" s="45" t="n">
        <f aca="false">BR149</f>
        <v>84.629</v>
      </c>
      <c r="BS173" s="45" t="n">
        <f aca="false">BS149</f>
        <v>117.192</v>
      </c>
      <c r="BT173" s="45" t="n">
        <f aca="false">BT149</f>
        <v>122.941</v>
      </c>
      <c r="BU173" s="45" t="n">
        <f aca="false">BU149</f>
        <v>127.159</v>
      </c>
      <c r="BV173" s="45" t="n">
        <f aca="false">BV149</f>
        <v>451.921</v>
      </c>
      <c r="BW173" s="45" t="n">
        <f aca="false">BW149</f>
        <v>104.767</v>
      </c>
      <c r="BX173" s="45" t="n">
        <f aca="false">BX149</f>
        <v>133.161</v>
      </c>
      <c r="BY173" s="45" t="n">
        <f aca="false">BY149</f>
        <v>130.001</v>
      </c>
      <c r="BZ173" s="45" t="n">
        <f aca="false">BZ149</f>
        <v>137.437</v>
      </c>
      <c r="CA173" s="45" t="n">
        <f aca="false">CA149</f>
        <v>505.366</v>
      </c>
      <c r="CB173" s="45" t="n">
        <f aca="false">CB149</f>
        <v>138.119</v>
      </c>
      <c r="CC173" s="35" t="n">
        <f aca="false">CC149</f>
        <v>136.091831465023</v>
      </c>
      <c r="CD173" s="35" t="n">
        <f aca="false">CD149</f>
        <v>116.228019351374</v>
      </c>
      <c r="CE173" s="35" t="n">
        <f aca="false">CE149</f>
        <v>137.214290248788</v>
      </c>
      <c r="CF173" s="35" t="n">
        <f aca="false">CF149</f>
        <v>527.653141065186</v>
      </c>
      <c r="CG173" s="35" t="n">
        <f aca="false">CG149</f>
        <v>642.211927874024</v>
      </c>
      <c r="CH173" s="35" t="n">
        <f aca="false">CH149</f>
        <v>740.224649887184</v>
      </c>
      <c r="CI173" s="35" t="n">
        <f aca="false">CI149</f>
        <v>853.058707968794</v>
      </c>
      <c r="CJ173" s="35" t="n">
        <f aca="false">CJ149</f>
        <v>944.86868144531</v>
      </c>
      <c r="CK173" s="23"/>
    </row>
    <row r="174" customFormat="false" ht="15" hidden="false" customHeight="true" outlineLevel="0" collapsed="false">
      <c r="B174" s="29" t="s">
        <v>436</v>
      </c>
      <c r="C174" s="45" t="n">
        <f aca="false">C147</f>
        <v>31.782</v>
      </c>
      <c r="D174" s="45" t="n">
        <f aca="false">D147</f>
        <v>50.324</v>
      </c>
      <c r="E174" s="45" t="n">
        <f aca="false">E147</f>
        <v>52.823</v>
      </c>
      <c r="F174" s="45" t="n">
        <f aca="false">F147</f>
        <v>50.236</v>
      </c>
      <c r="G174" s="45" t="n">
        <f aca="false">G147</f>
        <v>48.612</v>
      </c>
      <c r="H174" s="45" t="n">
        <f aca="false">H147</f>
        <v>49.704</v>
      </c>
      <c r="I174" s="45" t="n">
        <f aca="false">I147</f>
        <v>70.625</v>
      </c>
      <c r="J174" s="45" t="n">
        <f aca="false">J147</f>
        <v>16.598</v>
      </c>
      <c r="K174" s="45" t="n">
        <f aca="false">K147</f>
        <v>16.294</v>
      </c>
      <c r="L174" s="45" t="n">
        <f aca="false">L147</f>
        <v>16.302</v>
      </c>
      <c r="M174" s="45" t="n">
        <f aca="false">M147</f>
        <v>16.518</v>
      </c>
      <c r="N174" s="45" t="n">
        <f aca="false">N147</f>
        <v>65.712</v>
      </c>
      <c r="O174" s="45" t="n">
        <f aca="false">O147</f>
        <v>16.523</v>
      </c>
      <c r="P174" s="45" t="n">
        <f aca="false">P147</f>
        <v>16.485</v>
      </c>
      <c r="Q174" s="45" t="n">
        <f aca="false">Q147</f>
        <v>16.418</v>
      </c>
      <c r="R174" s="45" t="n">
        <f aca="false">R147</f>
        <v>16.396</v>
      </c>
      <c r="S174" s="45" t="n">
        <f aca="false">S147</f>
        <v>65.822</v>
      </c>
      <c r="T174" s="45" t="n">
        <f aca="false">T147</f>
        <v>16.583</v>
      </c>
      <c r="U174" s="45" t="n">
        <f aca="false">U147</f>
        <v>15.929</v>
      </c>
      <c r="V174" s="45" t="n">
        <f aca="false">V147</f>
        <v>16.254</v>
      </c>
      <c r="W174" s="45" t="n">
        <f aca="false">W147</f>
        <v>16.395</v>
      </c>
      <c r="X174" s="45" t="n">
        <f aca="false">X147</f>
        <v>65.161</v>
      </c>
      <c r="Y174" s="45" t="n">
        <f aca="false">Y147</f>
        <v>16.412</v>
      </c>
      <c r="Z174" s="45" t="n">
        <f aca="false">Z147</f>
        <v>16.171</v>
      </c>
      <c r="AA174" s="45" t="n">
        <f aca="false">AA147</f>
        <v>16.163</v>
      </c>
      <c r="AB174" s="45" t="n">
        <f aca="false">AB147</f>
        <v>15.776</v>
      </c>
      <c r="AC174" s="45" t="n">
        <f aca="false">AC147</f>
        <v>64.522</v>
      </c>
      <c r="AD174" s="45" t="n">
        <f aca="false">AD147</f>
        <v>14.172</v>
      </c>
      <c r="AE174" s="45" t="n">
        <f aca="false">AE147</f>
        <v>13.267</v>
      </c>
      <c r="AF174" s="45" t="n">
        <f aca="false">AF147</f>
        <v>13.696</v>
      </c>
      <c r="AG174" s="45" t="n">
        <f aca="false">AG147</f>
        <v>45.389</v>
      </c>
      <c r="AH174" s="45" t="n">
        <f aca="false">AH147</f>
        <v>86.524</v>
      </c>
      <c r="AI174" s="45" t="n">
        <f aca="false">AI147</f>
        <v>30.317</v>
      </c>
      <c r="AJ174" s="45" t="n">
        <f aca="false">AJ147</f>
        <v>29.129</v>
      </c>
      <c r="AK174" s="45" t="n">
        <f aca="false">AK147</f>
        <v>25.901</v>
      </c>
      <c r="AL174" s="45" t="n">
        <f aca="false">AL147</f>
        <v>24.828</v>
      </c>
      <c r="AM174" s="45" t="n">
        <f aca="false">AM147</f>
        <v>110.175</v>
      </c>
      <c r="AN174" s="45" t="n">
        <f aca="false">AN147</f>
        <v>24.304</v>
      </c>
      <c r="AO174" s="45" t="n">
        <f aca="false">AO147</f>
        <v>24.88</v>
      </c>
      <c r="AP174" s="45" t="n">
        <f aca="false">AP147</f>
        <v>26.77</v>
      </c>
      <c r="AQ174" s="45" t="n">
        <f aca="false">AQ147</f>
        <v>25.782</v>
      </c>
      <c r="AR174" s="45" t="n">
        <f aca="false">AR147</f>
        <v>101.736</v>
      </c>
      <c r="AS174" s="45" t="n">
        <f aca="false">AS147</f>
        <v>27.321</v>
      </c>
      <c r="AT174" s="45" t="n">
        <f aca="false">AT147</f>
        <v>26.177</v>
      </c>
      <c r="AU174" s="45" t="n">
        <f aca="false">AU147</f>
        <v>25.943</v>
      </c>
      <c r="AV174" s="45" t="n">
        <f aca="false">AV147</f>
        <v>25.952</v>
      </c>
      <c r="AW174" s="45" t="n">
        <f aca="false">AW147</f>
        <v>105.393</v>
      </c>
      <c r="AX174" s="45" t="n">
        <f aca="false">AX147</f>
        <v>24.55</v>
      </c>
      <c r="AY174" s="45" t="n">
        <f aca="false">AY147</f>
        <v>24.557</v>
      </c>
      <c r="AZ174" s="45" t="n">
        <f aca="false">AZ147</f>
        <v>24.552</v>
      </c>
      <c r="BA174" s="45" t="n">
        <f aca="false">BA147</f>
        <v>24.551</v>
      </c>
      <c r="BB174" s="45" t="n">
        <f aca="false">BB147</f>
        <v>98.21</v>
      </c>
      <c r="BC174" s="45" t="n">
        <f aca="false">BC147</f>
        <v>21.854</v>
      </c>
      <c r="BD174" s="45" t="n">
        <f aca="false">BD147</f>
        <v>21.902</v>
      </c>
      <c r="BE174" s="45" t="n">
        <f aca="false">BE147</f>
        <v>22.03</v>
      </c>
      <c r="BF174" s="45" t="n">
        <f aca="false">BF147</f>
        <v>23.058</v>
      </c>
      <c r="BG174" s="45" t="n">
        <f aca="false">BG147</f>
        <v>88.844</v>
      </c>
      <c r="BH174" s="45" t="n">
        <f aca="false">BH147</f>
        <v>27.72</v>
      </c>
      <c r="BI174" s="45" t="n">
        <f aca="false">BI147</f>
        <v>28.92</v>
      </c>
      <c r="BJ174" s="45" t="n">
        <f aca="false">BJ147</f>
        <v>28.819</v>
      </c>
      <c r="BK174" s="45" t="n">
        <f aca="false">BK147</f>
        <v>25.773</v>
      </c>
      <c r="BL174" s="45" t="n">
        <f aca="false">BL147</f>
        <v>111.232</v>
      </c>
      <c r="BM174" s="45" t="n">
        <f aca="false">BM147</f>
        <v>24.544</v>
      </c>
      <c r="BN174" s="45" t="n">
        <f aca="false">BN147</f>
        <v>26.59</v>
      </c>
      <c r="BO174" s="45" t="n">
        <f aca="false">BO147</f>
        <v>25.53</v>
      </c>
      <c r="BP174" s="45" t="n">
        <f aca="false">BP147</f>
        <v>24.076</v>
      </c>
      <c r="BQ174" s="45" t="n">
        <f aca="false">BQ147</f>
        <v>100.74</v>
      </c>
      <c r="BR174" s="45" t="n">
        <f aca="false">BR147</f>
        <v>25.619</v>
      </c>
      <c r="BS174" s="45" t="n">
        <f aca="false">BS147</f>
        <v>26.665</v>
      </c>
      <c r="BT174" s="45" t="n">
        <f aca="false">BT147</f>
        <v>24.764</v>
      </c>
      <c r="BU174" s="45" t="n">
        <f aca="false">BU147</f>
        <v>24.06</v>
      </c>
      <c r="BV174" s="45" t="n">
        <f aca="false">BV147</f>
        <v>101.108</v>
      </c>
      <c r="BW174" s="45" t="n">
        <f aca="false">BW147</f>
        <v>24.161</v>
      </c>
      <c r="BX174" s="45" t="n">
        <f aca="false">BX147</f>
        <v>28.076</v>
      </c>
      <c r="BY174" s="45" t="n">
        <f aca="false">BY147</f>
        <v>28.212</v>
      </c>
      <c r="BZ174" s="45" t="n">
        <f aca="false">BZ147</f>
        <v>25.836</v>
      </c>
      <c r="CA174" s="45" t="n">
        <f aca="false">CA147</f>
        <v>106.285</v>
      </c>
      <c r="CB174" s="45" t="n">
        <f aca="false">CB147</f>
        <v>24.706</v>
      </c>
      <c r="CC174" s="35" t="n">
        <f aca="false">CC147</f>
        <v>29.63</v>
      </c>
      <c r="CD174" s="35" t="n">
        <f aca="false">CD147</f>
        <v>52.643698630137</v>
      </c>
      <c r="CE174" s="35" t="n">
        <f aca="false">CE147</f>
        <v>64.9176712328767</v>
      </c>
      <c r="CF174" s="35" t="n">
        <f aca="false">CF147</f>
        <v>171.897369863014</v>
      </c>
      <c r="CG174" s="35" t="n">
        <f aca="false">CG147</f>
        <v>250.947504</v>
      </c>
      <c r="CH174" s="35" t="n">
        <f aca="false">CH147</f>
        <v>265.197772241182</v>
      </c>
      <c r="CI174" s="35" t="n">
        <f aca="false">CI147</f>
        <v>293.974534833832</v>
      </c>
      <c r="CJ174" s="35" t="n">
        <f aca="false">CJ147</f>
        <v>324.531686607237</v>
      </c>
      <c r="CK174" s="23"/>
    </row>
    <row r="175" customFormat="false" ht="15" hidden="false" customHeight="true" outlineLevel="0" collapsed="false">
      <c r="B175" s="29" t="s">
        <v>437</v>
      </c>
      <c r="C175" s="45" t="n">
        <f aca="false">-C146</f>
        <v>-6.759</v>
      </c>
      <c r="D175" s="45" t="n">
        <f aca="false">-D146</f>
        <v>-6.48</v>
      </c>
      <c r="E175" s="45" t="n">
        <f aca="false">-E146</f>
        <v>-6.072</v>
      </c>
      <c r="F175" s="45" t="n">
        <f aca="false">-F146</f>
        <v>-2.764</v>
      </c>
      <c r="G175" s="45" t="n">
        <f aca="false">-G146</f>
        <v>-1.695</v>
      </c>
      <c r="H175" s="45" t="n">
        <f aca="false">-H146</f>
        <v>-2.03</v>
      </c>
      <c r="I175" s="45" t="n">
        <f aca="false">-I146</f>
        <v>-1.942</v>
      </c>
      <c r="J175" s="45" t="n">
        <f aca="false">-J146</f>
        <v>-0.077</v>
      </c>
      <c r="K175" s="45" t="n">
        <f aca="false">-K146</f>
        <v>-0.149</v>
      </c>
      <c r="L175" s="45" t="n">
        <f aca="false">-L146</f>
        <v>-0.132</v>
      </c>
      <c r="M175" s="45" t="n">
        <f aca="false">-M146</f>
        <v>-0.051</v>
      </c>
      <c r="N175" s="45" t="n">
        <f aca="false">-N146</f>
        <v>-0.409</v>
      </c>
      <c r="O175" s="45" t="n">
        <f aca="false">-O146</f>
        <v>-0.068</v>
      </c>
      <c r="P175" s="45" t="n">
        <f aca="false">-P146</f>
        <v>-0.084</v>
      </c>
      <c r="Q175" s="45" t="n">
        <f aca="false">-Q146</f>
        <v>-0.044</v>
      </c>
      <c r="R175" s="45" t="n">
        <f aca="false">-R146</f>
        <v>-0.033</v>
      </c>
      <c r="S175" s="45" t="n">
        <f aca="false">-S146</f>
        <v>-0.229</v>
      </c>
      <c r="T175" s="45" t="n">
        <f aca="false">-T146</f>
        <v>-0.053</v>
      </c>
      <c r="U175" s="45" t="n">
        <f aca="false">-U146</f>
        <v>-0.019</v>
      </c>
      <c r="V175" s="45" t="n">
        <f aca="false">-V146</f>
        <v>-0.096</v>
      </c>
      <c r="W175" s="45" t="n">
        <f aca="false">-W146</f>
        <v>-0.171</v>
      </c>
      <c r="X175" s="45" t="n">
        <f aca="false">-X146</f>
        <v>-0.339</v>
      </c>
      <c r="Y175" s="45" t="n">
        <f aca="false">-Y146</f>
        <v>-0.119</v>
      </c>
      <c r="Z175" s="45" t="n">
        <f aca="false">-Z146</f>
        <v>-0.111</v>
      </c>
      <c r="AA175" s="45" t="n">
        <f aca="false">-AA146</f>
        <v>-0.335</v>
      </c>
      <c r="AB175" s="45" t="n">
        <f aca="false">-AB146</f>
        <v>-0.331</v>
      </c>
      <c r="AC175" s="45" t="n">
        <f aca="false">-AC146</f>
        <v>-0.896</v>
      </c>
      <c r="AD175" s="45" t="n">
        <f aca="false">-AD146</f>
        <v>-0.065</v>
      </c>
      <c r="AE175" s="45" t="n">
        <f aca="false">-AE146</f>
        <v>-0.031</v>
      </c>
      <c r="AF175" s="45" t="n">
        <f aca="false">-AF146</f>
        <v>-0.011</v>
      </c>
      <c r="AG175" s="45" t="n">
        <f aca="false">-AG146</f>
        <v>-0.13</v>
      </c>
      <c r="AH175" s="45" t="n">
        <f aca="false">-AH146</f>
        <v>-0.237</v>
      </c>
      <c r="AI175" s="45" t="n">
        <f aca="false">-AI146</f>
        <v>-0.297</v>
      </c>
      <c r="AJ175" s="45" t="n">
        <f aca="false">-AJ146</f>
        <v>-0.291</v>
      </c>
      <c r="AK175" s="45" t="n">
        <f aca="false">-AK146</f>
        <v>-0.384</v>
      </c>
      <c r="AL175" s="45" t="n">
        <f aca="false">-AL146</f>
        <v>-0.37</v>
      </c>
      <c r="AM175" s="45" t="n">
        <f aca="false">-AM146</f>
        <v>-1.342</v>
      </c>
      <c r="AN175" s="45" t="n">
        <f aca="false">-AN146</f>
        <v>-0.496</v>
      </c>
      <c r="AO175" s="45" t="n">
        <f aca="false">-AO146</f>
        <v>-0.391</v>
      </c>
      <c r="AP175" s="45" t="n">
        <f aca="false">-AP146</f>
        <v>-0.07</v>
      </c>
      <c r="AQ175" s="45" t="n">
        <f aca="false">-AQ146</f>
        <v>-0.271</v>
      </c>
      <c r="AR175" s="45" t="n">
        <f aca="false">-AR146</f>
        <v>-1.228</v>
      </c>
      <c r="AS175" s="45" t="n">
        <f aca="false">-AS146</f>
        <v>-0.162</v>
      </c>
      <c r="AT175" s="45" t="n">
        <f aca="false">-AT146</f>
        <v>-0.283</v>
      </c>
      <c r="AU175" s="45" t="n">
        <f aca="false">-AU146</f>
        <v>-0.347</v>
      </c>
      <c r="AV175" s="45" t="n">
        <f aca="false">-AV146</f>
        <v>-0.196</v>
      </c>
      <c r="AW175" s="45" t="n">
        <f aca="false">-AW146</f>
        <v>-0.988</v>
      </c>
      <c r="AX175" s="45" t="n">
        <f aca="false">-AX146</f>
        <v>-0.064</v>
      </c>
      <c r="AY175" s="45" t="n">
        <f aca="false">-AY146</f>
        <v>-0.218</v>
      </c>
      <c r="AZ175" s="45" t="n">
        <f aca="false">-AZ146</f>
        <v>-0.087</v>
      </c>
      <c r="BA175" s="45" t="n">
        <f aca="false">-BA146</f>
        <v>-0.098</v>
      </c>
      <c r="BB175" s="45" t="n">
        <f aca="false">-BB146</f>
        <v>-0.467</v>
      </c>
      <c r="BC175" s="45" t="n">
        <f aca="false">-BC146</f>
        <v>-0.056</v>
      </c>
      <c r="BD175" s="45" t="n">
        <f aca="false">-BD146</f>
        <v>-0.056</v>
      </c>
      <c r="BE175" s="45" t="n">
        <f aca="false">-BE146</f>
        <v>-0.056</v>
      </c>
      <c r="BF175" s="45" t="n">
        <f aca="false">-BF146</f>
        <v>-0.074</v>
      </c>
      <c r="BG175" s="45" t="n">
        <f aca="false">-BG146</f>
        <v>-0.242</v>
      </c>
      <c r="BH175" s="45" t="n">
        <f aca="false">-BH146</f>
        <v>-0.155</v>
      </c>
      <c r="BI175" s="45" t="n">
        <f aca="false">-BI146</f>
        <v>-0.344</v>
      </c>
      <c r="BJ175" s="45" t="n">
        <f aca="false">-BJ146</f>
        <v>-0.373</v>
      </c>
      <c r="BK175" s="45" t="n">
        <f aca="false">-BK146</f>
        <v>-0.844</v>
      </c>
      <c r="BL175" s="45" t="n">
        <f aca="false">-BL146</f>
        <v>-1.716</v>
      </c>
      <c r="BM175" s="45" t="n">
        <f aca="false">-BM146</f>
        <v>-0.422</v>
      </c>
      <c r="BN175" s="45" t="n">
        <f aca="false">-BN146</f>
        <v>-0.769</v>
      </c>
      <c r="BO175" s="45" t="n">
        <f aca="false">-BO146</f>
        <v>-0.93</v>
      </c>
      <c r="BP175" s="45" t="n">
        <f aca="false">-BP146</f>
        <v>-3.621</v>
      </c>
      <c r="BQ175" s="45" t="n">
        <f aca="false">-BQ146</f>
        <v>-5.742</v>
      </c>
      <c r="BR175" s="45" t="n">
        <f aca="false">-BR146</f>
        <v>-1.25</v>
      </c>
      <c r="BS175" s="45" t="n">
        <f aca="false">-BS146</f>
        <v>-0.962</v>
      </c>
      <c r="BT175" s="45" t="n">
        <f aca="false">-BT146</f>
        <v>-1.349</v>
      </c>
      <c r="BU175" s="45" t="n">
        <f aca="false">-BU146</f>
        <v>-2.023</v>
      </c>
      <c r="BV175" s="45" t="n">
        <f aca="false">-BV146</f>
        <v>-5.584</v>
      </c>
      <c r="BW175" s="45" t="n">
        <f aca="false">-BW146</f>
        <v>-2.209</v>
      </c>
      <c r="BX175" s="45" t="n">
        <f aca="false">-BX146</f>
        <v>-0.866</v>
      </c>
      <c r="BY175" s="45" t="n">
        <f aca="false">-BY146</f>
        <v>-0.805</v>
      </c>
      <c r="BZ175" s="45" t="n">
        <f aca="false">-BZ146</f>
        <v>-1.227</v>
      </c>
      <c r="CA175" s="45" t="n">
        <f aca="false">-CA146</f>
        <v>-5.107</v>
      </c>
      <c r="CB175" s="45" t="n">
        <f aca="false">-CB146</f>
        <v>-2.649</v>
      </c>
      <c r="CC175" s="35" t="n">
        <f aca="false">-CC146</f>
        <v>-2.649</v>
      </c>
      <c r="CD175" s="35" t="n">
        <f aca="false">-CD146</f>
        <v>-2.649</v>
      </c>
      <c r="CE175" s="35" t="n">
        <f aca="false">-CE146</f>
        <v>-2.649</v>
      </c>
      <c r="CF175" s="35" t="n">
        <f aca="false">-CF146</f>
        <v>-10.596</v>
      </c>
      <c r="CG175" s="35" t="n">
        <f aca="false">-CG146</f>
        <v>-33.6847855655953</v>
      </c>
      <c r="CH175" s="35" t="n">
        <f aca="false">-CH146</f>
        <v>-8.75</v>
      </c>
      <c r="CI175" s="35" t="n">
        <f aca="false">-CI146</f>
        <v>-8.75</v>
      </c>
      <c r="CJ175" s="35" t="n">
        <f aca="false">-CJ146</f>
        <v>-8.75</v>
      </c>
      <c r="CK175" s="23"/>
    </row>
    <row r="176" customFormat="false" ht="15" hidden="false" customHeight="true" outlineLevel="0" collapsed="false">
      <c r="B176" s="29" t="s">
        <v>438</v>
      </c>
      <c r="C176" s="45" t="n">
        <f aca="false">C157</f>
        <v>160.653</v>
      </c>
      <c r="D176" s="45" t="n">
        <f aca="false">D157</f>
        <v>175.926</v>
      </c>
      <c r="E176" s="45" t="n">
        <f aca="false">E157</f>
        <v>191.903</v>
      </c>
      <c r="F176" s="45" t="n">
        <f aca="false">F157</f>
        <v>200.106</v>
      </c>
      <c r="G176" s="45" t="n">
        <f aca="false">G157</f>
        <v>193.141</v>
      </c>
      <c r="H176" s="45" t="n">
        <f aca="false">H157</f>
        <v>193.467</v>
      </c>
      <c r="I176" s="45" t="n">
        <f aca="false">I157</f>
        <v>194.165</v>
      </c>
      <c r="J176" s="45" t="n">
        <f aca="false">J157</f>
        <v>46.442</v>
      </c>
      <c r="K176" s="45" t="n">
        <f aca="false">K157</f>
        <v>46.852</v>
      </c>
      <c r="L176" s="45" t="n">
        <f aca="false">L157</f>
        <v>47.832</v>
      </c>
      <c r="M176" s="45" t="n">
        <f aca="false">M157</f>
        <v>48.251</v>
      </c>
      <c r="N176" s="45" t="n">
        <f aca="false">N157</f>
        <v>189.377</v>
      </c>
      <c r="O176" s="45" t="n">
        <f aca="false">O157</f>
        <v>48.394</v>
      </c>
      <c r="P176" s="45" t="n">
        <f aca="false">P157</f>
        <v>48.527</v>
      </c>
      <c r="Q176" s="45" t="n">
        <f aca="false">Q157</f>
        <v>48.364</v>
      </c>
      <c r="R176" s="45" t="n">
        <f aca="false">R157</f>
        <v>45.577</v>
      </c>
      <c r="S176" s="45" t="n">
        <f aca="false">S157</f>
        <v>190.862</v>
      </c>
      <c r="T176" s="45" t="n">
        <f aca="false">T157</f>
        <v>39.654</v>
      </c>
      <c r="U176" s="45" t="n">
        <f aca="false">U157</f>
        <v>38.499</v>
      </c>
      <c r="V176" s="45" t="n">
        <f aca="false">V157</f>
        <v>37.887</v>
      </c>
      <c r="W176" s="45" t="n">
        <f aca="false">W157</f>
        <v>39.042</v>
      </c>
      <c r="X176" s="45" t="n">
        <f aca="false">X157</f>
        <v>155.082</v>
      </c>
      <c r="Y176" s="45" t="n">
        <f aca="false">Y157</f>
        <v>39.768</v>
      </c>
      <c r="Z176" s="45" t="n">
        <f aca="false">Z157</f>
        <v>41.126</v>
      </c>
      <c r="AA176" s="45" t="n">
        <f aca="false">AA157</f>
        <v>41.777</v>
      </c>
      <c r="AB176" s="45" t="n">
        <f aca="false">AB157</f>
        <v>42.608</v>
      </c>
      <c r="AC176" s="45" t="n">
        <f aca="false">AC157</f>
        <v>165.279</v>
      </c>
      <c r="AD176" s="45" t="n">
        <f aca="false">AD157</f>
        <v>43.168</v>
      </c>
      <c r="AE176" s="45" t="n">
        <f aca="false">AE157</f>
        <v>43.882</v>
      </c>
      <c r="AF176" s="45" t="n">
        <f aca="false">AF157</f>
        <v>44.664</v>
      </c>
      <c r="AG176" s="45" t="n">
        <f aca="false">AG157</f>
        <v>64.881</v>
      </c>
      <c r="AH176" s="45" t="n">
        <f aca="false">AH157</f>
        <v>196.595</v>
      </c>
      <c r="AI176" s="45" t="n">
        <f aca="false">AI157</f>
        <v>68.509</v>
      </c>
      <c r="AJ176" s="45" t="n">
        <f aca="false">AJ157</f>
        <v>70.33</v>
      </c>
      <c r="AK176" s="45" t="n">
        <f aca="false">AK157</f>
        <v>66.063</v>
      </c>
      <c r="AL176" s="45" t="n">
        <f aca="false">AL157</f>
        <v>74.514</v>
      </c>
      <c r="AM176" s="45" t="n">
        <f aca="false">AM157</f>
        <v>279.416</v>
      </c>
      <c r="AN176" s="45" t="n">
        <f aca="false">AN157</f>
        <v>86.295</v>
      </c>
      <c r="AO176" s="45" t="n">
        <f aca="false">AO157</f>
        <v>88.376</v>
      </c>
      <c r="AP176" s="45" t="n">
        <f aca="false">AP157</f>
        <v>91.658</v>
      </c>
      <c r="AQ176" s="45" t="n">
        <f aca="false">AQ157</f>
        <v>93.764</v>
      </c>
      <c r="AR176" s="45" t="n">
        <f aca="false">AR157</f>
        <v>360.093</v>
      </c>
      <c r="AS176" s="45" t="n">
        <f aca="false">AS157</f>
        <v>91.994</v>
      </c>
      <c r="AT176" s="45" t="n">
        <f aca="false">AT157</f>
        <v>94.336</v>
      </c>
      <c r="AU176" s="45" t="n">
        <f aca="false">AU157</f>
        <v>96.163</v>
      </c>
      <c r="AV176" s="45" t="n">
        <f aca="false">AV157</f>
        <v>96.56</v>
      </c>
      <c r="AW176" s="45" t="n">
        <f aca="false">AW157</f>
        <v>379.053</v>
      </c>
      <c r="AX176" s="45" t="n">
        <f aca="false">AX157</f>
        <v>96.179</v>
      </c>
      <c r="AY176" s="45" t="n">
        <f aca="false">AY157</f>
        <v>96.475</v>
      </c>
      <c r="AZ176" s="45" t="n">
        <f aca="false">AZ157</f>
        <v>97.167</v>
      </c>
      <c r="BA176" s="45" t="n">
        <f aca="false">BA157</f>
        <v>98.13</v>
      </c>
      <c r="BB176" s="45" t="n">
        <f aca="false">BB157</f>
        <v>387.951</v>
      </c>
      <c r="BC176" s="45" t="n">
        <f aca="false">BC157</f>
        <v>97.949</v>
      </c>
      <c r="BD176" s="45" t="n">
        <f aca="false">BD157</f>
        <v>98.69</v>
      </c>
      <c r="BE176" s="45" t="n">
        <f aca="false">BE157</f>
        <v>100.684</v>
      </c>
      <c r="BF176" s="45" t="n">
        <f aca="false">BF157</f>
        <v>102.378</v>
      </c>
      <c r="BG176" s="45" t="n">
        <f aca="false">BG157</f>
        <v>399.701</v>
      </c>
      <c r="BH176" s="45" t="n">
        <f aca="false">BH157</f>
        <v>100.046</v>
      </c>
      <c r="BI176" s="45" t="n">
        <f aca="false">BI157</f>
        <v>101.208</v>
      </c>
      <c r="BJ176" s="45" t="n">
        <f aca="false">BJ157</f>
        <v>102.828</v>
      </c>
      <c r="BK176" s="45" t="n">
        <f aca="false">BK157</f>
        <v>105.08</v>
      </c>
      <c r="BL176" s="45" t="n">
        <f aca="false">BL157</f>
        <v>409.162</v>
      </c>
      <c r="BM176" s="45" t="n">
        <f aca="false">BM157</f>
        <v>106.812</v>
      </c>
      <c r="BN176" s="45" t="n">
        <f aca="false">BN157</f>
        <v>109.226</v>
      </c>
      <c r="BO176" s="45" t="n">
        <f aca="false">BO157</f>
        <v>111.414</v>
      </c>
      <c r="BP176" s="45" t="n">
        <f aca="false">BP157</f>
        <v>114.932</v>
      </c>
      <c r="BQ176" s="45" t="n">
        <f aca="false">BQ157</f>
        <v>442.384</v>
      </c>
      <c r="BR176" s="45" t="n">
        <f aca="false">BR157</f>
        <v>115.204</v>
      </c>
      <c r="BS176" s="45" t="n">
        <f aca="false">BS157</f>
        <v>130.043</v>
      </c>
      <c r="BT176" s="45" t="n">
        <f aca="false">BT157</f>
        <v>127.047</v>
      </c>
      <c r="BU176" s="45" t="n">
        <f aca="false">BU157</f>
        <v>121.889</v>
      </c>
      <c r="BV176" s="45" t="n">
        <f aca="false">BV157</f>
        <v>494.183</v>
      </c>
      <c r="BW176" s="45" t="n">
        <f aca="false">BW157</f>
        <v>125.937</v>
      </c>
      <c r="BX176" s="45" t="n">
        <f aca="false">BX157</f>
        <v>127.501</v>
      </c>
      <c r="BY176" s="45" t="n">
        <f aca="false">BY157</f>
        <v>128.67</v>
      </c>
      <c r="BZ176" s="45" t="n">
        <f aca="false">BZ157</f>
        <v>130.738</v>
      </c>
      <c r="CA176" s="45" t="n">
        <f aca="false">CA157</f>
        <v>512.846</v>
      </c>
      <c r="CB176" s="45" t="n">
        <f aca="false">CB157</f>
        <v>127.326</v>
      </c>
      <c r="CC176" s="35" t="n">
        <f aca="false">CC157</f>
        <v>127.245651864496</v>
      </c>
      <c r="CD176" s="35" t="n">
        <f aca="false">CD157</f>
        <v>166.463611211981</v>
      </c>
      <c r="CE176" s="35" t="n">
        <f aca="false">CE157</f>
        <v>189.323615541752</v>
      </c>
      <c r="CF176" s="35" t="n">
        <f aca="false">CF157</f>
        <v>610.358878618228</v>
      </c>
      <c r="CG176" s="35" t="n">
        <f aca="false">CG157</f>
        <v>802.881746135705</v>
      </c>
      <c r="CH176" s="35" t="n">
        <f aca="false">CH157</f>
        <v>861.056335183205</v>
      </c>
      <c r="CI176" s="35" t="n">
        <f aca="false">CI157</f>
        <v>908.212787856121</v>
      </c>
      <c r="CJ176" s="35" t="n">
        <f aca="false">CJ157</f>
        <v>972.219011356796</v>
      </c>
      <c r="CK176" s="23"/>
    </row>
    <row r="177" customFormat="false" ht="15" hidden="false" customHeight="true" outlineLevel="0" collapsed="false">
      <c r="B177" s="55" t="s">
        <v>439</v>
      </c>
      <c r="C177" s="56" t="n">
        <f aca="false">SUM(C172,C173,C174,C175,C176)</f>
        <v>707.491</v>
      </c>
      <c r="D177" s="56" t="n">
        <f aca="false">SUM(D172,D173,D174,D175,D176)</f>
        <v>753.323</v>
      </c>
      <c r="E177" s="56" t="n">
        <f aca="false">SUM(E172,E173,E174,E175,E176)</f>
        <v>769.358</v>
      </c>
      <c r="F177" s="56" t="n">
        <f aca="false">SUM(F172,F173,F174,F175,F176)</f>
        <v>609.171</v>
      </c>
      <c r="G177" s="56" t="n">
        <f aca="false">SUM(G172,G173,G174,G175,G176)</f>
        <v>583.95</v>
      </c>
      <c r="H177" s="56" t="n">
        <f aca="false">SUM(H172,H173,H174,H175,H176)</f>
        <v>633.81</v>
      </c>
      <c r="I177" s="56" t="n">
        <f aca="false">SUM(I172,I173,I174,I175,I176)</f>
        <v>733.792</v>
      </c>
      <c r="J177" s="56" t="n">
        <f aca="false">SUM(J172,J173,J174,J175,J176)</f>
        <v>185.736</v>
      </c>
      <c r="K177" s="56" t="n">
        <f aca="false">SUM(K172,K173,K174,K175,K176)</f>
        <v>185.875</v>
      </c>
      <c r="L177" s="56" t="n">
        <f aca="false">SUM(L172,L173,L174,L175,L176)</f>
        <v>180.855</v>
      </c>
      <c r="M177" s="56" t="n">
        <f aca="false">SUM(M172,M173,M174,M175,M176)</f>
        <v>202.122</v>
      </c>
      <c r="N177" s="56" t="n">
        <f aca="false">SUM(N172,N173,N174,N175,N176)</f>
        <v>754.588</v>
      </c>
      <c r="O177" s="56" t="n">
        <f aca="false">SUM(O172,O173,O174,O175,O176)</f>
        <v>188.464</v>
      </c>
      <c r="P177" s="56" t="n">
        <f aca="false">SUM(P172,P173,P174,P175,P176)</f>
        <v>201.499</v>
      </c>
      <c r="Q177" s="56" t="n">
        <f aca="false">SUM(Q172,Q173,Q174,Q175,Q176)</f>
        <v>198.526</v>
      </c>
      <c r="R177" s="56" t="n">
        <f aca="false">SUM(R172,R173,R174,R175,R176)</f>
        <v>275.824</v>
      </c>
      <c r="S177" s="56" t="n">
        <f aca="false">SUM(S172,S173,S174,S175,S176)</f>
        <v>864.313</v>
      </c>
      <c r="T177" s="56" t="n">
        <f aca="false">SUM(T172,T173,T174,T175,T176)</f>
        <v>231.5</v>
      </c>
      <c r="U177" s="56" t="n">
        <f aca="false">SUM(U172,U173,U174,U175,U176)</f>
        <v>219.674</v>
      </c>
      <c r="V177" s="56" t="n">
        <f aca="false">SUM(V172,V173,V174,V175,V176)</f>
        <v>204.733</v>
      </c>
      <c r="W177" s="56" t="n">
        <f aca="false">SUM(W172,W173,W174,W175,W176)</f>
        <v>216.582</v>
      </c>
      <c r="X177" s="56" t="n">
        <f aca="false">SUM(X172,X173,X174,X175,X176)</f>
        <v>872.641000000001</v>
      </c>
      <c r="Y177" s="56" t="n">
        <f aca="false">SUM(Y172,Y173,Y174,Y175,Y176)</f>
        <v>225.275</v>
      </c>
      <c r="Z177" s="56" t="n">
        <f aca="false">SUM(Z172,Z173,Z174,Z175,Z176)</f>
        <v>241.475</v>
      </c>
      <c r="AA177" s="56" t="n">
        <f aca="false">SUM(AA172,AA173,AA174,AA175,AA176)</f>
        <v>234.729</v>
      </c>
      <c r="AB177" s="56" t="n">
        <f aca="false">SUM(AB172,AB173,AB174,AB175,AB176)</f>
        <v>245.548</v>
      </c>
      <c r="AC177" s="56" t="n">
        <f aca="false">SUM(AC172,AC173,AC174,AC175,AC176)</f>
        <v>947.026999999999</v>
      </c>
      <c r="AD177" s="56" t="n">
        <f aca="false">SUM(AD172,AD173,AD174,AD175,AD176)</f>
        <v>250.129</v>
      </c>
      <c r="AE177" s="56" t="n">
        <f aca="false">SUM(AE172,AE173,AE174,AE175,AE176)</f>
        <v>246.74</v>
      </c>
      <c r="AF177" s="56" t="n">
        <f aca="false">SUM(AF172,AF173,AF174,AF175,AF176)</f>
        <v>239.359</v>
      </c>
      <c r="AG177" s="56" t="n">
        <f aca="false">SUM(AG172,AG173,AG174,AG175,AG176)</f>
        <v>242.189</v>
      </c>
      <c r="AH177" s="56" t="n">
        <f aca="false">SUM(AH172,AH173,AH174,AH175,AH176)</f>
        <v>970.286</v>
      </c>
      <c r="AI177" s="56" t="n">
        <f aca="false">SUM(AI172,AI173,AI174,AI175,AI176)</f>
        <v>317.608</v>
      </c>
      <c r="AJ177" s="56" t="n">
        <f aca="false">SUM(AJ172,AJ173,AJ174,AJ175,AJ176)</f>
        <v>305.541</v>
      </c>
      <c r="AK177" s="56" t="n">
        <f aca="false">SUM(AK172,AK173,AK174,AK175,AK176)</f>
        <v>266.087</v>
      </c>
      <c r="AL177" s="56" t="n">
        <f aca="false">SUM(AL172,AL173,AL174,AL175,AL176)</f>
        <v>340.014</v>
      </c>
      <c r="AM177" s="56" t="n">
        <f aca="false">SUM(AM172,AM173,AM174,AM175,AM176)</f>
        <v>1229.25</v>
      </c>
      <c r="AN177" s="56" t="n">
        <f aca="false">SUM(AN172,AN173,AN174,AN175,AN176)</f>
        <v>351.523</v>
      </c>
      <c r="AO177" s="56" t="n">
        <f aca="false">SUM(AO172,AO173,AO174,AO175,AO176)</f>
        <v>433.389</v>
      </c>
      <c r="AP177" s="56" t="n">
        <f aca="false">SUM(AP172,AP173,AP174,AP175,AP176)</f>
        <v>369.913</v>
      </c>
      <c r="AQ177" s="56" t="n">
        <f aca="false">SUM(AQ172,AQ173,AQ174,AQ175,AQ176)</f>
        <v>408.175</v>
      </c>
      <c r="AR177" s="56" t="n">
        <f aca="false">SUM(AR172,AR173,AR174,AR175,AR176)</f>
        <v>1563</v>
      </c>
      <c r="AS177" s="56" t="n">
        <f aca="false">SUM(AS172,AS173,AS174,AS175,AS176)</f>
        <v>398.14</v>
      </c>
      <c r="AT177" s="56" t="n">
        <f aca="false">SUM(AT172,AT173,AT174,AT175,AT176)</f>
        <v>428.8</v>
      </c>
      <c r="AU177" s="56" t="n">
        <f aca="false">SUM(AU172,AU173,AU174,AU175,AU176)</f>
        <v>410.815</v>
      </c>
      <c r="AV177" s="56" t="n">
        <f aca="false">SUM(AV172,AV173,AV174,AV175,AV176)</f>
        <v>303.994</v>
      </c>
      <c r="AW177" s="56" t="n">
        <f aca="false">SUM(AW172,AW173,AW174,AW175,AW176)</f>
        <v>1541.749</v>
      </c>
      <c r="AX177" s="56" t="n">
        <f aca="false">SUM(AX172,AX173,AX174,AX175,AX176)</f>
        <v>445.885</v>
      </c>
      <c r="AY177" s="56" t="n">
        <f aca="false">SUM(AY172,AY173,AY174,AY175,AY176)</f>
        <v>449.347</v>
      </c>
      <c r="AZ177" s="56" t="n">
        <f aca="false">SUM(AZ172,AZ173,AZ174,AZ175,AZ176)</f>
        <v>423.635</v>
      </c>
      <c r="BA177" s="56" t="n">
        <f aca="false">SUM(BA172,BA173,BA174,BA175,BA176)</f>
        <v>454.576</v>
      </c>
      <c r="BB177" s="56" t="n">
        <f aca="false">SUM(BB172,BB173,BB174,BB175,BB176)</f>
        <v>1773.443</v>
      </c>
      <c r="BC177" s="56" t="n">
        <f aca="false">SUM(BC172,BC173,BC174,BC175,BC176)</f>
        <v>492.05</v>
      </c>
      <c r="BD177" s="56" t="n">
        <f aca="false">SUM(BD172,BD173,BD174,BD175,BD176)</f>
        <v>479.918</v>
      </c>
      <c r="BE177" s="56" t="n">
        <f aca="false">SUM(BE172,BE173,BE174,BE175,BE176)</f>
        <v>508.289</v>
      </c>
      <c r="BF177" s="56" t="n">
        <f aca="false">SUM(BF172,BF173,BF174,BF175,BF176)</f>
        <v>506.814</v>
      </c>
      <c r="BG177" s="56" t="n">
        <f aca="false">SUM(BG172,BG173,BG174,BG175,BG176)</f>
        <v>1987.071</v>
      </c>
      <c r="BH177" s="56" t="n">
        <f aca="false">SUM(BH172,BH173,BH174,BH175,BH176)</f>
        <v>540.166</v>
      </c>
      <c r="BI177" s="56" t="n">
        <f aca="false">SUM(BI172,BI173,BI174,BI175,BI176)</f>
        <v>546.142</v>
      </c>
      <c r="BJ177" s="56" t="n">
        <f aca="false">SUM(BJ172,BJ173,BJ174,BJ175,BJ176)</f>
        <v>549.64</v>
      </c>
      <c r="BK177" s="56" t="n">
        <f aca="false">SUM(BK172,BK173,BK174,BK175,BK176)</f>
        <v>575.878</v>
      </c>
      <c r="BL177" s="56" t="n">
        <f aca="false">SUM(BL172,BL173,BL174,BL175,BL176)</f>
        <v>2211.826</v>
      </c>
      <c r="BM177" s="56" t="n">
        <f aca="false">SUM(BM172,BM173,BM174,BM175,BM176)</f>
        <v>607.368</v>
      </c>
      <c r="BN177" s="56" t="n">
        <f aca="false">SUM(BN172,BN173,BN174,BN175,BN176)</f>
        <v>608.909</v>
      </c>
      <c r="BO177" s="56" t="n">
        <f aca="false">SUM(BO172,BO173,BO174,BO175,BO176)</f>
        <v>632.214</v>
      </c>
      <c r="BP177" s="56" t="n">
        <f aca="false">SUM(BP172,BP173,BP174,BP175,BP176)</f>
        <v>662.526</v>
      </c>
      <c r="BQ177" s="56" t="n">
        <f aca="false">SUM(BQ172,BQ173,BQ174,BQ175,BQ176)</f>
        <v>2511.017</v>
      </c>
      <c r="BR177" s="56" t="n">
        <f aca="false">SUM(BR172,BR173,BR174,BR175,BR176)</f>
        <v>676.235</v>
      </c>
      <c r="BS177" s="56" t="n">
        <f aca="false">SUM(BS172,BS173,BS174,BS175,BS176)</f>
        <v>721.433</v>
      </c>
      <c r="BT177" s="56" t="n">
        <f aca="false">SUM(BT172,BT173,BT174,BT175,BT176)</f>
        <v>736.9</v>
      </c>
      <c r="BU177" s="56" t="n">
        <f aca="false">SUM(BU172,BU173,BU174,BU175,BU176)</f>
        <v>719.341</v>
      </c>
      <c r="BV177" s="56" t="n">
        <f aca="false">SUM(BV172,BV173,BV174,BV175,BV176)</f>
        <v>2853.909</v>
      </c>
      <c r="BW177" s="56" t="n">
        <f aca="false">SUM(BW172,BW173,BW174,BW175,BW176)</f>
        <v>743.796</v>
      </c>
      <c r="BX177" s="56" t="n">
        <f aca="false">SUM(BX172,BX173,BX174,BX175,BX176)</f>
        <v>783.215</v>
      </c>
      <c r="BY177" s="56" t="n">
        <f aca="false">SUM(BY172,BY173,BY174,BY175,BY176)</f>
        <v>788.574</v>
      </c>
      <c r="BZ177" s="56" t="n">
        <f aca="false">SUM(BZ172,BZ173,BZ174,BZ175,BZ176)</f>
        <v>803.773</v>
      </c>
      <c r="CA177" s="56" t="n">
        <f aca="false">SUM(CA172,CA173,CA174,CA175,CA176)</f>
        <v>3119.358</v>
      </c>
      <c r="CB177" s="56" t="n">
        <f aca="false">SUM(CB172,CB173,CB174,CB175,CB176)</f>
        <v>839.213</v>
      </c>
      <c r="CC177" s="56" t="n">
        <f aca="false">SUM(CC172,CC173,CC174,CC175,CC176)</f>
        <v>821.34347277147</v>
      </c>
      <c r="CD177" s="56" t="n">
        <f aca="false">SUM(CD172,CD173,CD174,CD175,CD176)</f>
        <v>786.203502741012</v>
      </c>
      <c r="CE177" s="56" t="n">
        <f aca="false">SUM(CE172,CE173,CE174,CE175,CE176)</f>
        <v>924.211356621631</v>
      </c>
      <c r="CF177" s="56" t="n">
        <f aca="false">SUM(CF172,CF173,CF174,CF175,CF176)</f>
        <v>3370.97133213411</v>
      </c>
      <c r="CG177" s="56" t="n">
        <f aca="false">SUM(CG172,CG173,CG174,CG175,CG176)</f>
        <v>4078.29650206546</v>
      </c>
      <c r="CH177" s="56" t="n">
        <f aca="false">SUM(CH172,CH173,CH174,CH175,CH176)</f>
        <v>4642.38339260145</v>
      </c>
      <c r="CI177" s="56" t="n">
        <f aca="false">SUM(CI172,CI173,CI174,CI175,CI176)</f>
        <v>5255.62164635088</v>
      </c>
      <c r="CJ177" s="56" t="n">
        <f aca="false">SUM(CJ172,CJ173,CJ174,CJ175,CJ176)</f>
        <v>5787.37537151313</v>
      </c>
      <c r="CK177" s="23"/>
      <c r="CM177" s="24" t="n">
        <f aca="false">IFERROR((CJ177/CA177)^(1/5)-1,"n/m")</f>
        <v>0.13157484966766</v>
      </c>
      <c r="CN177" s="24" t="n">
        <f aca="false">IFERROR((CA177/BB177)^(1/5)-1,"n/m")</f>
        <v>0.119565732533762</v>
      </c>
      <c r="CO177" s="24" t="n">
        <f aca="false">IFERROR((CA177/AC177)^(1/10)-1,"n/m")</f>
        <v>0.12660139830832</v>
      </c>
      <c r="CP177" s="24" t="n">
        <f aca="false">IFERROR((CA177/C177)^(1/20)-1,"n/m")</f>
        <v>0.0770037489533753</v>
      </c>
    </row>
    <row r="178" customFormat="false" ht="15" hidden="false" customHeight="true" outlineLevel="0" collapsed="false">
      <c r="B178" s="29" t="s">
        <v>440</v>
      </c>
      <c r="C178" s="45" t="n">
        <f aca="false">C141</f>
        <v>0</v>
      </c>
      <c r="D178" s="45" t="n">
        <f aca="false">D141</f>
        <v>0</v>
      </c>
      <c r="E178" s="45" t="n">
        <f aca="false">E141</f>
        <v>0</v>
      </c>
      <c r="F178" s="45" t="n">
        <f aca="false">F141</f>
        <v>0</v>
      </c>
      <c r="G178" s="45" t="n">
        <f aca="false">G141</f>
        <v>0</v>
      </c>
      <c r="H178" s="45" t="n">
        <f aca="false">H141</f>
        <v>0</v>
      </c>
      <c r="I178" s="45" t="n">
        <f aca="false">I141</f>
        <v>0</v>
      </c>
      <c r="J178" s="45" t="n">
        <f aca="false">J141</f>
        <v>0</v>
      </c>
      <c r="K178" s="45" t="n">
        <f aca="false">K141</f>
        <v>0</v>
      </c>
      <c r="L178" s="45" t="n">
        <f aca="false">L141</f>
        <v>0</v>
      </c>
      <c r="M178" s="45" t="n">
        <f aca="false">M141</f>
        <v>0</v>
      </c>
      <c r="N178" s="45" t="n">
        <f aca="false">N141</f>
        <v>0</v>
      </c>
      <c r="O178" s="45" t="n">
        <f aca="false">O141</f>
        <v>0</v>
      </c>
      <c r="P178" s="45" t="n">
        <f aca="false">P141</f>
        <v>0</v>
      </c>
      <c r="Q178" s="45" t="n">
        <f aca="false">Q141</f>
        <v>0</v>
      </c>
      <c r="R178" s="45" t="n">
        <f aca="false">R141</f>
        <v>0</v>
      </c>
      <c r="S178" s="45" t="n">
        <f aca="false">S141</f>
        <v>0</v>
      </c>
      <c r="T178" s="45" t="n">
        <f aca="false">T141</f>
        <v>0</v>
      </c>
      <c r="U178" s="45" t="n">
        <f aca="false">U141</f>
        <v>0</v>
      </c>
      <c r="V178" s="45" t="n">
        <f aca="false">V141</f>
        <v>0</v>
      </c>
      <c r="W178" s="45" t="n">
        <f aca="false">W141</f>
        <v>0</v>
      </c>
      <c r="X178" s="45" t="n">
        <f aca="false">X141</f>
        <v>0</v>
      </c>
      <c r="Y178" s="45" t="n">
        <f aca="false">Y141</f>
        <v>0</v>
      </c>
      <c r="Z178" s="45" t="n">
        <f aca="false">Z141</f>
        <v>0</v>
      </c>
      <c r="AA178" s="45" t="n">
        <f aca="false">AA141</f>
        <v>0</v>
      </c>
      <c r="AB178" s="45" t="n">
        <f aca="false">AB141</f>
        <v>0</v>
      </c>
      <c r="AC178" s="45" t="n">
        <f aca="false">AC141</f>
        <v>0</v>
      </c>
      <c r="AD178" s="45" t="n">
        <f aca="false">AD141</f>
        <v>2.787</v>
      </c>
      <c r="AE178" s="45" t="n">
        <f aca="false">AE141</f>
        <v>3.347</v>
      </c>
      <c r="AF178" s="45" t="n">
        <f aca="false">AF141</f>
        <v>9.344</v>
      </c>
      <c r="AG178" s="45" t="n">
        <f aca="false">AG141</f>
        <v>63.746</v>
      </c>
      <c r="AH178" s="45" t="n">
        <f aca="false">AH141</f>
        <v>79.224</v>
      </c>
      <c r="AI178" s="45" t="n">
        <f aca="false">AI141</f>
        <v>3.971</v>
      </c>
      <c r="AJ178" s="45" t="n">
        <f aca="false">AJ141</f>
        <v>13.074</v>
      </c>
      <c r="AK178" s="45" t="n">
        <f aca="false">AK141</f>
        <v>9.821</v>
      </c>
      <c r="AL178" s="45" t="n">
        <f aca="false">AL141</f>
        <v>15.031</v>
      </c>
      <c r="AM178" s="45" t="n">
        <f aca="false">AM141</f>
        <v>41.897</v>
      </c>
      <c r="AN178" s="45" t="n">
        <f aca="false">AN141</f>
        <v>4.85</v>
      </c>
      <c r="AO178" s="45" t="n">
        <f aca="false">AO141</f>
        <v>7.847</v>
      </c>
      <c r="AP178" s="45" t="n">
        <f aca="false">AP141</f>
        <v>0.799</v>
      </c>
      <c r="AQ178" s="45" t="n">
        <f aca="false">AQ141</f>
        <v>0.914</v>
      </c>
      <c r="AR178" s="45" t="n">
        <f aca="false">AR141</f>
        <v>14.41</v>
      </c>
      <c r="AS178" s="45" t="n">
        <f aca="false">AS141</f>
        <v>0</v>
      </c>
      <c r="AT178" s="45" t="n">
        <f aca="false">AT141</f>
        <v>0</v>
      </c>
      <c r="AU178" s="45" t="n">
        <f aca="false">AU141</f>
        <v>0</v>
      </c>
      <c r="AV178" s="45" t="n">
        <f aca="false">AV141</f>
        <v>0</v>
      </c>
      <c r="AW178" s="45" t="n">
        <f aca="false">AW141</f>
        <v>0</v>
      </c>
      <c r="AX178" s="45" t="n">
        <f aca="false">AX141</f>
        <v>0</v>
      </c>
      <c r="AY178" s="45" t="n">
        <f aca="false">AY141</f>
        <v>0</v>
      </c>
      <c r="AZ178" s="45" t="n">
        <f aca="false">AZ141</f>
        <v>0</v>
      </c>
      <c r="BA178" s="45" t="n">
        <f aca="false">BA141</f>
        <v>0</v>
      </c>
      <c r="BB178" s="45" t="n">
        <f aca="false">BB141</f>
        <v>0</v>
      </c>
      <c r="BC178" s="45" t="n">
        <f aca="false">BC141</f>
        <v>0</v>
      </c>
      <c r="BD178" s="45" t="n">
        <f aca="false">BD141</f>
        <v>0</v>
      </c>
      <c r="BE178" s="45" t="n">
        <f aca="false">BE141</f>
        <v>0</v>
      </c>
      <c r="BF178" s="45" t="n">
        <f aca="false">BF141</f>
        <v>0</v>
      </c>
      <c r="BG178" s="45" t="n">
        <f aca="false">BG141</f>
        <v>0</v>
      </c>
      <c r="BH178" s="45" t="n">
        <f aca="false">BH141</f>
        <v>0</v>
      </c>
      <c r="BI178" s="45" t="n">
        <f aca="false">BI141</f>
        <v>0</v>
      </c>
      <c r="BJ178" s="45" t="n">
        <f aca="false">BJ141</f>
        <v>0</v>
      </c>
      <c r="BK178" s="45" t="n">
        <f aca="false">BK141</f>
        <v>0</v>
      </c>
      <c r="BL178" s="45" t="n">
        <f aca="false">BL141</f>
        <v>0</v>
      </c>
      <c r="BM178" s="45" t="n">
        <f aca="false">BM141</f>
        <v>0</v>
      </c>
      <c r="BN178" s="45" t="n">
        <f aca="false">BN141</f>
        <v>0</v>
      </c>
      <c r="BO178" s="45" t="n">
        <f aca="false">BO141</f>
        <v>0</v>
      </c>
      <c r="BP178" s="45" t="n">
        <f aca="false">BP141</f>
        <v>0</v>
      </c>
      <c r="BQ178" s="45" t="n">
        <f aca="false">BQ141</f>
        <v>0</v>
      </c>
      <c r="BR178" s="45" t="n">
        <f aca="false">BR141</f>
        <v>0</v>
      </c>
      <c r="BS178" s="45" t="n">
        <f aca="false">BS141</f>
        <v>0</v>
      </c>
      <c r="BT178" s="45" t="n">
        <f aca="false">BT141</f>
        <v>0</v>
      </c>
      <c r="BU178" s="45" t="n">
        <f aca="false">BU141</f>
        <v>0</v>
      </c>
      <c r="BV178" s="45" t="n">
        <f aca="false">BV141</f>
        <v>0</v>
      </c>
      <c r="BW178" s="45" t="n">
        <f aca="false">BW141</f>
        <v>0</v>
      </c>
      <c r="BX178" s="45" t="n">
        <f aca="false">BX141</f>
        <v>0</v>
      </c>
      <c r="BY178" s="45" t="n">
        <f aca="false">BY141</f>
        <v>0</v>
      </c>
      <c r="BZ178" s="45" t="n">
        <f aca="false">BZ141</f>
        <v>14.024</v>
      </c>
      <c r="CA178" s="45" t="n">
        <f aca="false">CA141</f>
        <v>15.136</v>
      </c>
      <c r="CB178" s="45" t="n">
        <f aca="false">CB141</f>
        <v>14.412</v>
      </c>
      <c r="CC178" s="35" t="n">
        <f aca="false">CC141</f>
        <v>15</v>
      </c>
      <c r="CD178" s="35" t="n">
        <f aca="false">CD141</f>
        <v>108.7</v>
      </c>
      <c r="CE178" s="35" t="n">
        <f aca="false">CE141</f>
        <v>31.5</v>
      </c>
      <c r="CF178" s="35" t="n">
        <f aca="false">CF141</f>
        <v>169.612</v>
      </c>
      <c r="CG178" s="35" t="n">
        <f aca="false">CG141</f>
        <v>157.5</v>
      </c>
      <c r="CH178" s="35" t="n">
        <f aca="false">CH141</f>
        <v>105</v>
      </c>
      <c r="CI178" s="35" t="n">
        <f aca="false">CI141</f>
        <v>35</v>
      </c>
      <c r="CJ178" s="35" t="n">
        <f aca="false">CJ141</f>
        <v>0</v>
      </c>
      <c r="CK178" s="23"/>
    </row>
    <row r="179" customFormat="false" ht="15" hidden="false" customHeight="true" outlineLevel="0" collapsed="false">
      <c r="B179" s="29" t="s">
        <v>441</v>
      </c>
      <c r="C179" s="45" t="n">
        <f aca="false">C142</f>
        <v>0</v>
      </c>
      <c r="D179" s="45" t="n">
        <f aca="false">D142</f>
        <v>0</v>
      </c>
      <c r="E179" s="45" t="n">
        <f aca="false">E142</f>
        <v>0</v>
      </c>
      <c r="F179" s="45" t="n">
        <f aca="false">F142</f>
        <v>59.097</v>
      </c>
      <c r="G179" s="45" t="n">
        <f aca="false">G142</f>
        <v>20.649</v>
      </c>
      <c r="H179" s="45" t="n">
        <f aca="false">H142</f>
        <v>0</v>
      </c>
      <c r="I179" s="45" t="n">
        <f aca="false">I142</f>
        <v>0</v>
      </c>
      <c r="J179" s="45" t="n">
        <f aca="false">J142</f>
        <v>0</v>
      </c>
      <c r="K179" s="45" t="n">
        <f aca="false">K142</f>
        <v>0</v>
      </c>
      <c r="L179" s="45" t="n">
        <f aca="false">L142</f>
        <v>0</v>
      </c>
      <c r="M179" s="45" t="n">
        <f aca="false">M142</f>
        <v>0</v>
      </c>
      <c r="N179" s="45" t="n">
        <f aca="false">N142</f>
        <v>0</v>
      </c>
      <c r="O179" s="45" t="n">
        <f aca="false">O142</f>
        <v>0</v>
      </c>
      <c r="P179" s="45" t="n">
        <f aca="false">P142</f>
        <v>0</v>
      </c>
      <c r="Q179" s="45" t="n">
        <f aca="false">Q142</f>
        <v>0</v>
      </c>
      <c r="R179" s="45" t="n">
        <f aca="false">R142</f>
        <v>42.466</v>
      </c>
      <c r="S179" s="45" t="n">
        <f aca="false">S142</f>
        <v>44.624</v>
      </c>
      <c r="T179" s="45" t="n">
        <f aca="false">T142</f>
        <v>0</v>
      </c>
      <c r="U179" s="45" t="n">
        <f aca="false">U142</f>
        <v>0</v>
      </c>
      <c r="V179" s="45" t="n">
        <f aca="false">V142</f>
        <v>0</v>
      </c>
      <c r="W179" s="45" t="n">
        <f aca="false">W142</f>
        <v>0</v>
      </c>
      <c r="X179" s="45" t="n">
        <f aca="false">X142</f>
        <v>0</v>
      </c>
      <c r="Y179" s="45" t="n">
        <f aca="false">Y142</f>
        <v>0</v>
      </c>
      <c r="Z179" s="45" t="n">
        <f aca="false">Z142</f>
        <v>0</v>
      </c>
      <c r="AA179" s="45" t="n">
        <f aca="false">AA142</f>
        <v>0</v>
      </c>
      <c r="AB179" s="45" t="n">
        <f aca="false">AB142</f>
        <v>0</v>
      </c>
      <c r="AC179" s="45" t="n">
        <f aca="false">AC142</f>
        <v>0</v>
      </c>
      <c r="AD179" s="45" t="n">
        <f aca="false">AD142</f>
        <v>0</v>
      </c>
      <c r="AE179" s="45" t="n">
        <f aca="false">AE142</f>
        <v>0</v>
      </c>
      <c r="AF179" s="45" t="n">
        <f aca="false">AF142</f>
        <v>0</v>
      </c>
      <c r="AG179" s="45" t="n">
        <f aca="false">AG142</f>
        <v>0</v>
      </c>
      <c r="AH179" s="45" t="n">
        <f aca="false">AH142</f>
        <v>0</v>
      </c>
      <c r="AI179" s="45" t="n">
        <f aca="false">AI142</f>
        <v>0</v>
      </c>
      <c r="AJ179" s="45" t="n">
        <f aca="false">AJ142</f>
        <v>0</v>
      </c>
      <c r="AK179" s="45" t="n">
        <f aca="false">AK142</f>
        <v>0</v>
      </c>
      <c r="AL179" s="45" t="n">
        <f aca="false">AL142</f>
        <v>0</v>
      </c>
      <c r="AM179" s="45" t="n">
        <f aca="false">AM142</f>
        <v>0</v>
      </c>
      <c r="AN179" s="45" t="n">
        <f aca="false">AN142</f>
        <v>0</v>
      </c>
      <c r="AO179" s="45" t="n">
        <f aca="false">AO142</f>
        <v>0</v>
      </c>
      <c r="AP179" s="45" t="n">
        <f aca="false">AP142</f>
        <v>0</v>
      </c>
      <c r="AQ179" s="45" t="n">
        <f aca="false">AQ142</f>
        <v>0</v>
      </c>
      <c r="AR179" s="45" t="n">
        <f aca="false">AR142</f>
        <v>0</v>
      </c>
      <c r="AS179" s="45" t="n">
        <f aca="false">AS142</f>
        <v>0</v>
      </c>
      <c r="AT179" s="45" t="n">
        <f aca="false">AT142</f>
        <v>0</v>
      </c>
      <c r="AU179" s="45" t="n">
        <f aca="false">AU142</f>
        <v>0</v>
      </c>
      <c r="AV179" s="45" t="n">
        <f aca="false">AV142</f>
        <v>0</v>
      </c>
      <c r="AW179" s="45" t="n">
        <f aca="false">AW142</f>
        <v>0</v>
      </c>
      <c r="AX179" s="45" t="n">
        <f aca="false">AX142</f>
        <v>0</v>
      </c>
      <c r="AY179" s="45" t="n">
        <f aca="false">AY142</f>
        <v>0</v>
      </c>
      <c r="AZ179" s="45" t="n">
        <f aca="false">AZ142</f>
        <v>0</v>
      </c>
      <c r="BA179" s="45" t="n">
        <f aca="false">BA142</f>
        <v>0</v>
      </c>
      <c r="BB179" s="45" t="n">
        <f aca="false">BB142</f>
        <v>0</v>
      </c>
      <c r="BC179" s="45" t="n">
        <f aca="false">BC142</f>
        <v>0</v>
      </c>
      <c r="BD179" s="45" t="n">
        <f aca="false">BD142</f>
        <v>0</v>
      </c>
      <c r="BE179" s="45" t="n">
        <f aca="false">BE142</f>
        <v>0</v>
      </c>
      <c r="BF179" s="45" t="n">
        <f aca="false">BF142</f>
        <v>0</v>
      </c>
      <c r="BG179" s="45" t="n">
        <f aca="false">BG142</f>
        <v>0</v>
      </c>
      <c r="BH179" s="45" t="n">
        <f aca="false">BH142</f>
        <v>0</v>
      </c>
      <c r="BI179" s="45" t="n">
        <f aca="false">BI142</f>
        <v>0</v>
      </c>
      <c r="BJ179" s="45" t="n">
        <f aca="false">BJ142</f>
        <v>0</v>
      </c>
      <c r="BK179" s="45" t="n">
        <f aca="false">BK142</f>
        <v>0</v>
      </c>
      <c r="BL179" s="45" t="n">
        <f aca="false">BL142</f>
        <v>0</v>
      </c>
      <c r="BM179" s="45" t="n">
        <f aca="false">BM142</f>
        <v>0</v>
      </c>
      <c r="BN179" s="45" t="n">
        <f aca="false">BN142</f>
        <v>0</v>
      </c>
      <c r="BO179" s="45" t="n">
        <f aca="false">BO142</f>
        <v>0</v>
      </c>
      <c r="BP179" s="45" t="n">
        <f aca="false">BP142</f>
        <v>0</v>
      </c>
      <c r="BQ179" s="45" t="n">
        <f aca="false">BQ142</f>
        <v>0</v>
      </c>
      <c r="BR179" s="45" t="n">
        <f aca="false">BR142</f>
        <v>0</v>
      </c>
      <c r="BS179" s="45" t="n">
        <f aca="false">BS142</f>
        <v>0</v>
      </c>
      <c r="BT179" s="45" t="n">
        <f aca="false">BT142</f>
        <v>0</v>
      </c>
      <c r="BU179" s="45" t="n">
        <f aca="false">BU142</f>
        <v>0</v>
      </c>
      <c r="BV179" s="45" t="n">
        <f aca="false">BV142</f>
        <v>0</v>
      </c>
      <c r="BW179" s="45" t="n">
        <f aca="false">BW142</f>
        <v>0</v>
      </c>
      <c r="BX179" s="45" t="n">
        <f aca="false">BX142</f>
        <v>0</v>
      </c>
      <c r="BY179" s="45" t="n">
        <f aca="false">BY142</f>
        <v>0</v>
      </c>
      <c r="BZ179" s="45" t="n">
        <f aca="false">BZ142</f>
        <v>0</v>
      </c>
      <c r="CA179" s="45" t="n">
        <f aca="false">CA142</f>
        <v>0</v>
      </c>
      <c r="CB179" s="45" t="n">
        <f aca="false">CB142</f>
        <v>0</v>
      </c>
      <c r="CC179" s="35" t="n">
        <f aca="false">CC142</f>
        <v>0</v>
      </c>
      <c r="CD179" s="35" t="n">
        <f aca="false">CD142</f>
        <v>0</v>
      </c>
      <c r="CE179" s="35" t="n">
        <f aca="false">CE142</f>
        <v>0</v>
      </c>
      <c r="CF179" s="35" t="n">
        <f aca="false">CF142</f>
        <v>0</v>
      </c>
      <c r="CG179" s="35" t="n">
        <f aca="false">CG142</f>
        <v>0</v>
      </c>
      <c r="CH179" s="35" t="n">
        <f aca="false">CH142</f>
        <v>0</v>
      </c>
      <c r="CI179" s="35" t="n">
        <f aca="false">CI142</f>
        <v>0</v>
      </c>
      <c r="CJ179" s="35" t="n">
        <f aca="false">CJ142</f>
        <v>0</v>
      </c>
      <c r="CK179" s="23"/>
    </row>
    <row r="180" customFormat="false" ht="15" hidden="false" customHeight="true" outlineLevel="0" collapsed="false">
      <c r="B180" s="29" t="s">
        <v>442</v>
      </c>
      <c r="C180" s="34" t="n">
        <v>0</v>
      </c>
      <c r="D180" s="34" t="n">
        <v>0</v>
      </c>
      <c r="E180" s="34" t="n">
        <v>0</v>
      </c>
      <c r="F180" s="34" t="n">
        <v>27.486</v>
      </c>
      <c r="G180" s="34" t="n">
        <v>0</v>
      </c>
      <c r="H180" s="34" t="n">
        <v>0</v>
      </c>
      <c r="I180" s="34" t="n">
        <v>0</v>
      </c>
      <c r="J180" s="34" t="n">
        <v>0</v>
      </c>
      <c r="K180" s="34" t="n">
        <v>0</v>
      </c>
      <c r="L180" s="34" t="n">
        <v>0</v>
      </c>
      <c r="M180" s="34" t="n">
        <v>0</v>
      </c>
      <c r="N180" s="34" t="n">
        <v>0</v>
      </c>
      <c r="O180" s="34" t="n">
        <v>0</v>
      </c>
      <c r="P180" s="34" t="n">
        <v>0</v>
      </c>
      <c r="Q180" s="34" t="n">
        <v>0</v>
      </c>
      <c r="R180" s="34" t="n">
        <v>0</v>
      </c>
      <c r="S180" s="34" t="n">
        <v>0</v>
      </c>
      <c r="T180" s="34" t="n">
        <v>0</v>
      </c>
      <c r="U180" s="34" t="n">
        <v>0</v>
      </c>
      <c r="V180" s="34" t="n">
        <v>0</v>
      </c>
      <c r="W180" s="34" t="n">
        <v>0</v>
      </c>
      <c r="X180" s="34" t="n">
        <v>0</v>
      </c>
      <c r="Y180" s="34" t="n">
        <v>0</v>
      </c>
      <c r="Z180" s="34" t="n">
        <v>0</v>
      </c>
      <c r="AA180" s="34" t="n">
        <v>0</v>
      </c>
      <c r="AB180" s="34" t="n">
        <v>0</v>
      </c>
      <c r="AC180" s="34" t="n">
        <v>0</v>
      </c>
      <c r="AD180" s="34" t="n">
        <v>0</v>
      </c>
      <c r="AE180" s="34" t="n">
        <v>0</v>
      </c>
      <c r="AF180" s="34" t="n">
        <v>0</v>
      </c>
      <c r="AG180" s="34" t="n">
        <v>0</v>
      </c>
      <c r="AH180" s="34" t="n">
        <v>0</v>
      </c>
      <c r="AI180" s="34" t="n">
        <v>0</v>
      </c>
      <c r="AJ180" s="34" t="n">
        <v>0</v>
      </c>
      <c r="AK180" s="34" t="n">
        <v>0</v>
      </c>
      <c r="AL180" s="34" t="n">
        <v>0</v>
      </c>
      <c r="AM180" s="34" t="n">
        <v>0</v>
      </c>
      <c r="AN180" s="34" t="n">
        <v>0</v>
      </c>
      <c r="AO180" s="34" t="n">
        <v>0</v>
      </c>
      <c r="AP180" s="34" t="n">
        <v>0</v>
      </c>
      <c r="AQ180" s="34" t="n">
        <v>0</v>
      </c>
      <c r="AR180" s="34" t="n">
        <v>0</v>
      </c>
      <c r="AS180" s="34" t="n">
        <v>0</v>
      </c>
      <c r="AT180" s="34" t="n">
        <v>0</v>
      </c>
      <c r="AU180" s="34" t="n">
        <v>0</v>
      </c>
      <c r="AV180" s="34" t="n">
        <v>0</v>
      </c>
      <c r="AW180" s="34" t="n">
        <v>0</v>
      </c>
      <c r="AX180" s="34" t="n">
        <v>0</v>
      </c>
      <c r="AY180" s="34" t="n">
        <v>0</v>
      </c>
      <c r="AZ180" s="34" t="n">
        <v>0</v>
      </c>
      <c r="BA180" s="34" t="n">
        <v>0</v>
      </c>
      <c r="BB180" s="34" t="n">
        <v>0</v>
      </c>
      <c r="BC180" s="34" t="n">
        <v>0</v>
      </c>
      <c r="BD180" s="34" t="n">
        <v>0</v>
      </c>
      <c r="BE180" s="34" t="n">
        <v>0</v>
      </c>
      <c r="BF180" s="34" t="n">
        <v>0</v>
      </c>
      <c r="BG180" s="34" t="n">
        <v>0</v>
      </c>
      <c r="BH180" s="34" t="n">
        <v>0</v>
      </c>
      <c r="BI180" s="34" t="n">
        <v>0</v>
      </c>
      <c r="BJ180" s="34" t="n">
        <v>0</v>
      </c>
      <c r="BK180" s="34" t="n">
        <v>0</v>
      </c>
      <c r="BL180" s="34" t="n">
        <v>0</v>
      </c>
      <c r="BM180" s="34" t="n">
        <v>0</v>
      </c>
      <c r="BN180" s="34" t="n">
        <v>0</v>
      </c>
      <c r="BO180" s="34" t="n">
        <v>0</v>
      </c>
      <c r="BP180" s="34" t="n">
        <v>0</v>
      </c>
      <c r="BQ180" s="34" t="n">
        <v>0</v>
      </c>
      <c r="BR180" s="34" t="n">
        <v>0</v>
      </c>
      <c r="BS180" s="34" t="n">
        <v>0</v>
      </c>
      <c r="BT180" s="34" t="n">
        <v>0</v>
      </c>
      <c r="BU180" s="34" t="n">
        <v>0</v>
      </c>
      <c r="BV180" s="34" t="n">
        <v>0</v>
      </c>
      <c r="BW180" s="34" t="n">
        <v>0</v>
      </c>
      <c r="BX180" s="34" t="n">
        <v>0</v>
      </c>
      <c r="BY180" s="34" t="n">
        <v>0</v>
      </c>
      <c r="BZ180" s="34" t="n">
        <v>0</v>
      </c>
      <c r="CA180" s="34" t="n">
        <v>0</v>
      </c>
      <c r="CB180" s="34" t="n">
        <v>0</v>
      </c>
      <c r="CC180" s="35" t="n">
        <f aca="false">0</f>
        <v>0</v>
      </c>
      <c r="CD180" s="35" t="n">
        <f aca="false">0</f>
        <v>0</v>
      </c>
      <c r="CE180" s="35" t="n">
        <f aca="false">0</f>
        <v>0</v>
      </c>
      <c r="CF180" s="35" t="n">
        <f aca="false">0</f>
        <v>0</v>
      </c>
      <c r="CG180" s="35" t="n">
        <f aca="false">0</f>
        <v>0</v>
      </c>
      <c r="CH180" s="35" t="n">
        <f aca="false">0</f>
        <v>0</v>
      </c>
      <c r="CI180" s="35" t="n">
        <f aca="false">0</f>
        <v>0</v>
      </c>
      <c r="CJ180" s="35" t="n">
        <f aca="false">0</f>
        <v>0</v>
      </c>
      <c r="CK180" s="23"/>
    </row>
    <row r="181" customFormat="false" ht="15" hidden="false" customHeight="true" outlineLevel="0" collapsed="false">
      <c r="B181" s="29" t="s">
        <v>443</v>
      </c>
      <c r="C181" s="34" t="n">
        <v>0</v>
      </c>
      <c r="D181" s="34" t="n">
        <v>0</v>
      </c>
      <c r="E181" s="34" t="n">
        <v>0</v>
      </c>
      <c r="F181" s="34" t="n">
        <v>0</v>
      </c>
      <c r="G181" s="34" t="n">
        <v>0</v>
      </c>
      <c r="H181" s="34" t="n">
        <v>0</v>
      </c>
      <c r="I181" s="34" t="n">
        <v>0</v>
      </c>
      <c r="J181" s="34" t="n">
        <v>0</v>
      </c>
      <c r="K181" s="34" t="n">
        <v>0</v>
      </c>
      <c r="L181" s="34" t="n">
        <v>0</v>
      </c>
      <c r="M181" s="34" t="n">
        <v>0</v>
      </c>
      <c r="N181" s="34" t="n">
        <v>0</v>
      </c>
      <c r="O181" s="34" t="n">
        <v>0</v>
      </c>
      <c r="P181" s="34" t="n">
        <v>0</v>
      </c>
      <c r="Q181" s="34" t="n">
        <v>0</v>
      </c>
      <c r="R181" s="34" t="n">
        <v>0</v>
      </c>
      <c r="S181" s="34" t="n">
        <v>0</v>
      </c>
      <c r="T181" s="34" t="n">
        <v>0</v>
      </c>
      <c r="U181" s="34" t="n">
        <v>0</v>
      </c>
      <c r="V181" s="34" t="n">
        <v>0</v>
      </c>
      <c r="W181" s="34" t="n">
        <v>0</v>
      </c>
      <c r="X181" s="34" t="n">
        <v>0</v>
      </c>
      <c r="Y181" s="34" t="n">
        <v>0</v>
      </c>
      <c r="Z181" s="34" t="n">
        <v>0</v>
      </c>
      <c r="AA181" s="34" t="n">
        <v>0</v>
      </c>
      <c r="AB181" s="34" t="n">
        <v>0</v>
      </c>
      <c r="AC181" s="34" t="n">
        <v>0</v>
      </c>
      <c r="AD181" s="34" t="n">
        <v>0</v>
      </c>
      <c r="AE181" s="34" t="n">
        <v>0</v>
      </c>
      <c r="AF181" s="34" t="n">
        <v>0</v>
      </c>
      <c r="AG181" s="34" t="n">
        <v>0</v>
      </c>
      <c r="AH181" s="34" t="n">
        <v>0</v>
      </c>
      <c r="AI181" s="34" t="n">
        <v>0</v>
      </c>
      <c r="AJ181" s="34" t="n">
        <v>0</v>
      </c>
      <c r="AK181" s="34" t="n">
        <v>40</v>
      </c>
      <c r="AL181" s="34" t="n">
        <v>0</v>
      </c>
      <c r="AM181" s="34" t="n">
        <v>40</v>
      </c>
      <c r="AN181" s="34" t="n">
        <v>0</v>
      </c>
      <c r="AO181" s="34" t="n">
        <v>0</v>
      </c>
      <c r="AP181" s="34" t="n">
        <v>0</v>
      </c>
      <c r="AQ181" s="34" t="n">
        <v>0</v>
      </c>
      <c r="AR181" s="34" t="n">
        <v>0</v>
      </c>
      <c r="AS181" s="34" t="n">
        <v>0</v>
      </c>
      <c r="AT181" s="34" t="n">
        <v>0</v>
      </c>
      <c r="AU181" s="34" t="n">
        <v>0</v>
      </c>
      <c r="AV181" s="34" t="n">
        <v>0</v>
      </c>
      <c r="AW181" s="34" t="n">
        <v>0</v>
      </c>
      <c r="AX181" s="34" t="n">
        <v>0</v>
      </c>
      <c r="AY181" s="34" t="n">
        <v>-17.963</v>
      </c>
      <c r="AZ181" s="34" t="n">
        <v>-3.898</v>
      </c>
      <c r="BA181" s="34" t="n">
        <v>-0.169</v>
      </c>
      <c r="BB181" s="34" t="n">
        <v>-22.03</v>
      </c>
      <c r="BC181" s="34" t="n">
        <v>-12.129</v>
      </c>
      <c r="BD181" s="34" t="n">
        <v>0</v>
      </c>
      <c r="BE181" s="34" t="n">
        <v>-30.151</v>
      </c>
      <c r="BF181" s="34" t="n">
        <v>0</v>
      </c>
      <c r="BG181" s="34" t="n">
        <v>-42.28</v>
      </c>
      <c r="BH181" s="34" t="n">
        <v>0</v>
      </c>
      <c r="BI181" s="34" t="n">
        <v>0</v>
      </c>
      <c r="BJ181" s="34" t="n">
        <v>0</v>
      </c>
      <c r="BK181" s="34" t="n">
        <v>0</v>
      </c>
      <c r="BL181" s="34" t="n">
        <v>0</v>
      </c>
      <c r="BM181" s="34" t="n">
        <v>0</v>
      </c>
      <c r="BN181" s="34" t="n">
        <v>0</v>
      </c>
      <c r="BO181" s="34" t="n">
        <v>0</v>
      </c>
      <c r="BP181" s="34" t="n">
        <v>0</v>
      </c>
      <c r="BQ181" s="34" t="n">
        <v>0</v>
      </c>
      <c r="BR181" s="34" t="n">
        <v>0</v>
      </c>
      <c r="BS181" s="34" t="n">
        <v>0</v>
      </c>
      <c r="BT181" s="34" t="n">
        <v>0</v>
      </c>
      <c r="BU181" s="34" t="n">
        <v>0</v>
      </c>
      <c r="BV181" s="34" t="n">
        <v>0</v>
      </c>
      <c r="BW181" s="34" t="n">
        <v>0</v>
      </c>
      <c r="BX181" s="34" t="n">
        <v>0</v>
      </c>
      <c r="BY181" s="34" t="n">
        <v>0</v>
      </c>
      <c r="BZ181" s="34" t="n">
        <v>0</v>
      </c>
      <c r="CA181" s="34" t="n">
        <v>0</v>
      </c>
      <c r="CB181" s="34" t="n">
        <v>0</v>
      </c>
      <c r="CC181" s="35" t="n">
        <f aca="false">0</f>
        <v>0</v>
      </c>
      <c r="CD181" s="35" t="n">
        <f aca="false">0</f>
        <v>0</v>
      </c>
      <c r="CE181" s="35" t="n">
        <f aca="false">0</f>
        <v>0</v>
      </c>
      <c r="CF181" s="35" t="n">
        <f aca="false">0</f>
        <v>0</v>
      </c>
      <c r="CG181" s="35" t="n">
        <f aca="false">0</f>
        <v>0</v>
      </c>
      <c r="CH181" s="35" t="n">
        <f aca="false">0</f>
        <v>0</v>
      </c>
      <c r="CI181" s="35" t="n">
        <f aca="false">0</f>
        <v>0</v>
      </c>
      <c r="CJ181" s="35" t="n">
        <f aca="false">0</f>
        <v>0</v>
      </c>
      <c r="CK181" s="23"/>
    </row>
    <row r="182" customFormat="false" ht="15" hidden="false" customHeight="true" outlineLevel="0" collapsed="false">
      <c r="B182" s="29" t="s">
        <v>444</v>
      </c>
      <c r="C182" s="45" t="n">
        <f aca="false">-C145</f>
        <v>-0</v>
      </c>
      <c r="D182" s="45" t="n">
        <f aca="false">-D145</f>
        <v>-0</v>
      </c>
      <c r="E182" s="45" t="n">
        <f aca="false">-E145</f>
        <v>-0</v>
      </c>
      <c r="F182" s="45" t="n">
        <f aca="false">-F145</f>
        <v>-0</v>
      </c>
      <c r="G182" s="45" t="n">
        <f aca="false">-G145</f>
        <v>-0</v>
      </c>
      <c r="H182" s="45" t="n">
        <f aca="false">-H145</f>
        <v>-0</v>
      </c>
      <c r="I182" s="45" t="n">
        <f aca="false">-I145</f>
        <v>-0</v>
      </c>
      <c r="J182" s="45" t="n">
        <f aca="false">-J145</f>
        <v>-0</v>
      </c>
      <c r="K182" s="45" t="n">
        <f aca="false">-K145</f>
        <v>-0</v>
      </c>
      <c r="L182" s="45" t="n">
        <f aca="false">-L145</f>
        <v>-0</v>
      </c>
      <c r="M182" s="45" t="n">
        <f aca="false">-M145</f>
        <v>-0</v>
      </c>
      <c r="N182" s="45" t="n">
        <f aca="false">-N145</f>
        <v>-0</v>
      </c>
      <c r="O182" s="45" t="n">
        <f aca="false">-O145</f>
        <v>-0</v>
      </c>
      <c r="P182" s="45" t="n">
        <f aca="false">-P145</f>
        <v>-0</v>
      </c>
      <c r="Q182" s="45" t="n">
        <f aca="false">-Q145</f>
        <v>-0</v>
      </c>
      <c r="R182" s="45" t="n">
        <f aca="false">-R145</f>
        <v>-106.441</v>
      </c>
      <c r="S182" s="45" t="n">
        <f aca="false">-S145</f>
        <v>-106.441</v>
      </c>
      <c r="T182" s="45" t="n">
        <f aca="false">-T145</f>
        <v>-28.358</v>
      </c>
      <c r="U182" s="45" t="n">
        <f aca="false">-U145</f>
        <v>-0</v>
      </c>
      <c r="V182" s="45" t="n">
        <f aca="false">-V145</f>
        <v>-0</v>
      </c>
      <c r="W182" s="45" t="n">
        <f aca="false">-W145</f>
        <v>1.667</v>
      </c>
      <c r="X182" s="45" t="n">
        <f aca="false">-X145</f>
        <v>-26.691</v>
      </c>
      <c r="Y182" s="45" t="n">
        <f aca="false">-Y145</f>
        <v>-0</v>
      </c>
      <c r="Z182" s="45" t="n">
        <f aca="false">-Z145</f>
        <v>-0</v>
      </c>
      <c r="AA182" s="45" t="n">
        <f aca="false">-AA145</f>
        <v>-0</v>
      </c>
      <c r="AB182" s="45" t="n">
        <f aca="false">-AB145</f>
        <v>-0</v>
      </c>
      <c r="AC182" s="45" t="n">
        <f aca="false">-AC145</f>
        <v>-0</v>
      </c>
      <c r="AD182" s="45" t="n">
        <f aca="false">-AD145</f>
        <v>-0</v>
      </c>
      <c r="AE182" s="45" t="n">
        <f aca="false">-AE145</f>
        <v>-0</v>
      </c>
      <c r="AF182" s="45" t="n">
        <f aca="false">-AF145</f>
        <v>-0</v>
      </c>
      <c r="AG182" s="45" t="n">
        <f aca="false">-AG145</f>
        <v>-0</v>
      </c>
      <c r="AH182" s="45" t="n">
        <f aca="false">-AH145</f>
        <v>-0</v>
      </c>
      <c r="AI182" s="45" t="n">
        <f aca="false">-AI145</f>
        <v>-0</v>
      </c>
      <c r="AJ182" s="45" t="n">
        <f aca="false">-AJ145</f>
        <v>-0</v>
      </c>
      <c r="AK182" s="45" t="n">
        <f aca="false">-AK145</f>
        <v>-0</v>
      </c>
      <c r="AL182" s="45" t="n">
        <f aca="false">-AL145</f>
        <v>-0</v>
      </c>
      <c r="AM182" s="45" t="n">
        <f aca="false">-AM145</f>
        <v>-0</v>
      </c>
      <c r="AN182" s="45" t="n">
        <f aca="false">-AN145</f>
        <v>-0</v>
      </c>
      <c r="AO182" s="45" t="n">
        <f aca="false">-AO145</f>
        <v>-69.373</v>
      </c>
      <c r="AP182" s="45" t="n">
        <f aca="false">-AP145</f>
        <v>-0</v>
      </c>
      <c r="AQ182" s="45" t="n">
        <f aca="false">-AQ145</f>
        <v>-0</v>
      </c>
      <c r="AR182" s="45" t="n">
        <f aca="false">-AR145</f>
        <v>-69.373</v>
      </c>
      <c r="AS182" s="45" t="n">
        <f aca="false">-AS145</f>
        <v>-0</v>
      </c>
      <c r="AT182" s="45" t="n">
        <f aca="false">-AT145</f>
        <v>-0</v>
      </c>
      <c r="AU182" s="45" t="n">
        <f aca="false">-AU145</f>
        <v>-0</v>
      </c>
      <c r="AV182" s="45" t="n">
        <f aca="false">-AV145</f>
        <v>-0</v>
      </c>
      <c r="AW182" s="45" t="n">
        <f aca="false">-AW145</f>
        <v>-0</v>
      </c>
      <c r="AX182" s="45" t="n">
        <f aca="false">-AX145</f>
        <v>-0</v>
      </c>
      <c r="AY182" s="45" t="n">
        <f aca="false">-AY145</f>
        <v>-0</v>
      </c>
      <c r="AZ182" s="45" t="n">
        <f aca="false">-AZ145</f>
        <v>-0</v>
      </c>
      <c r="BA182" s="45" t="n">
        <f aca="false">-BA145</f>
        <v>-0</v>
      </c>
      <c r="BB182" s="45" t="n">
        <f aca="false">-BB145</f>
        <v>-0</v>
      </c>
      <c r="BC182" s="45" t="n">
        <f aca="false">-BC145</f>
        <v>-0</v>
      </c>
      <c r="BD182" s="45" t="n">
        <f aca="false">-BD145</f>
        <v>-0</v>
      </c>
      <c r="BE182" s="45" t="n">
        <f aca="false">-BE145</f>
        <v>-0</v>
      </c>
      <c r="BF182" s="45" t="n">
        <f aca="false">-BF145</f>
        <v>-0</v>
      </c>
      <c r="BG182" s="45" t="n">
        <f aca="false">-BG145</f>
        <v>-0</v>
      </c>
      <c r="BH182" s="45" t="n">
        <f aca="false">-BH145</f>
        <v>-0</v>
      </c>
      <c r="BI182" s="45" t="n">
        <f aca="false">-BI145</f>
        <v>-0</v>
      </c>
      <c r="BJ182" s="45" t="n">
        <f aca="false">-BJ145</f>
        <v>-0</v>
      </c>
      <c r="BK182" s="45" t="n">
        <f aca="false">-BK145</f>
        <v>-0</v>
      </c>
      <c r="BL182" s="45" t="n">
        <f aca="false">-BL145</f>
        <v>-0</v>
      </c>
      <c r="BM182" s="45" t="n">
        <f aca="false">-BM145</f>
        <v>-0</v>
      </c>
      <c r="BN182" s="45" t="n">
        <f aca="false">-BN145</f>
        <v>-0</v>
      </c>
      <c r="BO182" s="45" t="n">
        <f aca="false">-BO145</f>
        <v>-0</v>
      </c>
      <c r="BP182" s="45" t="n">
        <f aca="false">-BP145</f>
        <v>-0</v>
      </c>
      <c r="BQ182" s="45" t="n">
        <f aca="false">-BQ145</f>
        <v>-0</v>
      </c>
      <c r="BR182" s="45" t="n">
        <f aca="false">-BR145</f>
        <v>-0</v>
      </c>
      <c r="BS182" s="45" t="n">
        <f aca="false">-BS145</f>
        <v>-0</v>
      </c>
      <c r="BT182" s="45" t="n">
        <f aca="false">-BT145</f>
        <v>-0</v>
      </c>
      <c r="BU182" s="45" t="n">
        <f aca="false">-BU145</f>
        <v>-0</v>
      </c>
      <c r="BV182" s="45" t="n">
        <f aca="false">-BV145</f>
        <v>-0</v>
      </c>
      <c r="BW182" s="45" t="n">
        <f aca="false">-BW145</f>
        <v>-0</v>
      </c>
      <c r="BX182" s="45" t="n">
        <f aca="false">-BX145</f>
        <v>-0</v>
      </c>
      <c r="BY182" s="45" t="n">
        <f aca="false">-BY145</f>
        <v>-0</v>
      </c>
      <c r="BZ182" s="45" t="n">
        <f aca="false">-BZ145</f>
        <v>-0</v>
      </c>
      <c r="CA182" s="45" t="n">
        <f aca="false">-CA145</f>
        <v>-0</v>
      </c>
      <c r="CB182" s="45" t="n">
        <f aca="false">-CB145</f>
        <v>-0</v>
      </c>
      <c r="CC182" s="35" t="n">
        <f aca="false">-CC145</f>
        <v>-0</v>
      </c>
      <c r="CD182" s="35" t="n">
        <f aca="false">-CD145</f>
        <v>-0</v>
      </c>
      <c r="CE182" s="35" t="n">
        <f aca="false">-CE145</f>
        <v>-0</v>
      </c>
      <c r="CF182" s="35" t="n">
        <f aca="false">-CF145</f>
        <v>-0</v>
      </c>
      <c r="CG182" s="35" t="n">
        <f aca="false">-CG145</f>
        <v>-0</v>
      </c>
      <c r="CH182" s="35" t="n">
        <f aca="false">-CH145</f>
        <v>-0</v>
      </c>
      <c r="CI182" s="35" t="n">
        <f aca="false">-CI145</f>
        <v>-0</v>
      </c>
      <c r="CJ182" s="35" t="n">
        <f aca="false">-CJ145</f>
        <v>-0</v>
      </c>
      <c r="CK182" s="23"/>
    </row>
    <row r="183" customFormat="false" ht="15" hidden="false" customHeight="true" outlineLevel="0" collapsed="false">
      <c r="B183" s="29" t="s">
        <v>445</v>
      </c>
      <c r="C183" s="45" t="n">
        <f aca="false">-C151</f>
        <v>-0</v>
      </c>
      <c r="D183" s="45" t="n">
        <f aca="false">-D151</f>
        <v>-0</v>
      </c>
      <c r="E183" s="45" t="n">
        <f aca="false">-E151</f>
        <v>-0</v>
      </c>
      <c r="F183" s="45" t="n">
        <f aca="false">-F151</f>
        <v>-0</v>
      </c>
      <c r="G183" s="45" t="n">
        <f aca="false">-G151</f>
        <v>-0</v>
      </c>
      <c r="H183" s="45" t="n">
        <f aca="false">-H151</f>
        <v>-0</v>
      </c>
      <c r="I183" s="45" t="n">
        <f aca="false">-I151</f>
        <v>-0</v>
      </c>
      <c r="J183" s="45" t="n">
        <f aca="false">-J151</f>
        <v>-0</v>
      </c>
      <c r="K183" s="45" t="n">
        <f aca="false">-K151</f>
        <v>-0</v>
      </c>
      <c r="L183" s="45" t="n">
        <f aca="false">-L151</f>
        <v>-0</v>
      </c>
      <c r="M183" s="45" t="n">
        <f aca="false">-M151</f>
        <v>-0</v>
      </c>
      <c r="N183" s="45" t="n">
        <f aca="false">-N151</f>
        <v>-0</v>
      </c>
      <c r="O183" s="45" t="n">
        <f aca="false">-O151</f>
        <v>-0</v>
      </c>
      <c r="P183" s="45" t="n">
        <f aca="false">-P151</f>
        <v>-0</v>
      </c>
      <c r="Q183" s="45" t="n">
        <f aca="false">-Q151</f>
        <v>-0</v>
      </c>
      <c r="R183" s="45" t="n">
        <f aca="false">-R151</f>
        <v>-0</v>
      </c>
      <c r="S183" s="45" t="n">
        <f aca="false">-S151</f>
        <v>-0</v>
      </c>
      <c r="T183" s="45" t="n">
        <f aca="false">-T151</f>
        <v>-0</v>
      </c>
      <c r="U183" s="45" t="n">
        <f aca="false">-U151</f>
        <v>-0</v>
      </c>
      <c r="V183" s="45" t="n">
        <f aca="false">-V151</f>
        <v>6.771</v>
      </c>
      <c r="W183" s="45" t="n">
        <f aca="false">-W151</f>
        <v>-1.488</v>
      </c>
      <c r="X183" s="45" t="n">
        <f aca="false">-X151</f>
        <v>5.539</v>
      </c>
      <c r="Y183" s="45" t="n">
        <f aca="false">-Y151</f>
        <v>-0</v>
      </c>
      <c r="Z183" s="45" t="n">
        <f aca="false">-Z151</f>
        <v>-0</v>
      </c>
      <c r="AA183" s="45" t="n">
        <f aca="false">-AA151</f>
        <v>-0</v>
      </c>
      <c r="AB183" s="45" t="n">
        <f aca="false">-AB151</f>
        <v>-0</v>
      </c>
      <c r="AC183" s="45" t="n">
        <f aca="false">-AC151</f>
        <v>-0</v>
      </c>
      <c r="AD183" s="45" t="n">
        <f aca="false">-AD151</f>
        <v>-0</v>
      </c>
      <c r="AE183" s="45" t="n">
        <f aca="false">-AE151</f>
        <v>-0</v>
      </c>
      <c r="AF183" s="45" t="n">
        <f aca="false">-AF151</f>
        <v>-0</v>
      </c>
      <c r="AG183" s="45" t="n">
        <f aca="false">-AG151</f>
        <v>-0</v>
      </c>
      <c r="AH183" s="45" t="n">
        <f aca="false">-AH151</f>
        <v>-0</v>
      </c>
      <c r="AI183" s="45" t="n">
        <f aca="false">-AI151</f>
        <v>-0</v>
      </c>
      <c r="AJ183" s="45" t="n">
        <f aca="false">-AJ151</f>
        <v>-0</v>
      </c>
      <c r="AK183" s="45" t="n">
        <f aca="false">-AK151</f>
        <v>-0</v>
      </c>
      <c r="AL183" s="45" t="n">
        <f aca="false">-AL151</f>
        <v>-0</v>
      </c>
      <c r="AM183" s="45" t="n">
        <f aca="false">-AM151</f>
        <v>-0</v>
      </c>
      <c r="AN183" s="45" t="n">
        <f aca="false">-AN151</f>
        <v>-0</v>
      </c>
      <c r="AO183" s="45" t="n">
        <f aca="false">-AO151</f>
        <v>-0</v>
      </c>
      <c r="AP183" s="45" t="n">
        <f aca="false">-AP151</f>
        <v>-0</v>
      </c>
      <c r="AQ183" s="45" t="n">
        <f aca="false">-AQ151</f>
        <v>-0</v>
      </c>
      <c r="AR183" s="45" t="n">
        <f aca="false">-AR151</f>
        <v>-0</v>
      </c>
      <c r="AS183" s="45" t="n">
        <f aca="false">-AS151</f>
        <v>-0</v>
      </c>
      <c r="AT183" s="45" t="n">
        <f aca="false">-AT151</f>
        <v>-0</v>
      </c>
      <c r="AU183" s="45" t="n">
        <f aca="false">-AU151</f>
        <v>-0</v>
      </c>
      <c r="AV183" s="45" t="n">
        <f aca="false">-AV151</f>
        <v>-0</v>
      </c>
      <c r="AW183" s="45" t="n">
        <f aca="false">-AW151</f>
        <v>-0</v>
      </c>
      <c r="AX183" s="45" t="n">
        <f aca="false">-AX151</f>
        <v>-0</v>
      </c>
      <c r="AY183" s="45" t="n">
        <f aca="false">-AY151</f>
        <v>-0</v>
      </c>
      <c r="AZ183" s="45" t="n">
        <f aca="false">-AZ151</f>
        <v>-0</v>
      </c>
      <c r="BA183" s="45" t="n">
        <f aca="false">-BA151</f>
        <v>-0</v>
      </c>
      <c r="BB183" s="45" t="n">
        <f aca="false">-BB151</f>
        <v>-0</v>
      </c>
      <c r="BC183" s="45" t="n">
        <f aca="false">-BC151</f>
        <v>-0</v>
      </c>
      <c r="BD183" s="45" t="n">
        <f aca="false">-BD151</f>
        <v>-0</v>
      </c>
      <c r="BE183" s="45" t="n">
        <f aca="false">-BE151</f>
        <v>-0</v>
      </c>
      <c r="BF183" s="45" t="n">
        <f aca="false">-BF151</f>
        <v>-0</v>
      </c>
      <c r="BG183" s="45" t="n">
        <f aca="false">-BG151</f>
        <v>-0</v>
      </c>
      <c r="BH183" s="45" t="n">
        <f aca="false">-BH151</f>
        <v>-0</v>
      </c>
      <c r="BI183" s="45" t="n">
        <f aca="false">-BI151</f>
        <v>-0</v>
      </c>
      <c r="BJ183" s="45" t="n">
        <f aca="false">-BJ151</f>
        <v>-0</v>
      </c>
      <c r="BK183" s="45" t="n">
        <f aca="false">-BK151</f>
        <v>-0</v>
      </c>
      <c r="BL183" s="45" t="n">
        <f aca="false">-BL151</f>
        <v>-0</v>
      </c>
      <c r="BM183" s="45" t="n">
        <f aca="false">-BM151</f>
        <v>-0</v>
      </c>
      <c r="BN183" s="45" t="n">
        <f aca="false">-BN151</f>
        <v>-0</v>
      </c>
      <c r="BO183" s="45" t="n">
        <f aca="false">-BO151</f>
        <v>-0</v>
      </c>
      <c r="BP183" s="45" t="n">
        <f aca="false">-BP151</f>
        <v>-0</v>
      </c>
      <c r="BQ183" s="45" t="n">
        <f aca="false">-BQ151</f>
        <v>-0</v>
      </c>
      <c r="BR183" s="45" t="n">
        <f aca="false">-BR151</f>
        <v>-0</v>
      </c>
      <c r="BS183" s="45" t="n">
        <f aca="false">-BS151</f>
        <v>-0</v>
      </c>
      <c r="BT183" s="45" t="n">
        <f aca="false">-BT151</f>
        <v>-0</v>
      </c>
      <c r="BU183" s="45" t="n">
        <f aca="false">-BU151</f>
        <v>-0</v>
      </c>
      <c r="BV183" s="45" t="n">
        <f aca="false">-BV151</f>
        <v>-0</v>
      </c>
      <c r="BW183" s="45" t="n">
        <f aca="false">-BW151</f>
        <v>-0</v>
      </c>
      <c r="BX183" s="45" t="n">
        <f aca="false">-BX151</f>
        <v>-0</v>
      </c>
      <c r="BY183" s="45" t="n">
        <f aca="false">-BY151</f>
        <v>-0</v>
      </c>
      <c r="BZ183" s="45" t="n">
        <f aca="false">-BZ151</f>
        <v>-0</v>
      </c>
      <c r="CA183" s="45" t="n">
        <f aca="false">-CA151</f>
        <v>-0</v>
      </c>
      <c r="CB183" s="45" t="n">
        <f aca="false">-CB151</f>
        <v>-0</v>
      </c>
      <c r="CC183" s="35" t="n">
        <f aca="false">-CC151</f>
        <v>-0</v>
      </c>
      <c r="CD183" s="35" t="n">
        <f aca="false">-CD151</f>
        <v>-0</v>
      </c>
      <c r="CE183" s="35" t="n">
        <f aca="false">-CE151</f>
        <v>-0</v>
      </c>
      <c r="CF183" s="35" t="n">
        <f aca="false">-CF151</f>
        <v>-0</v>
      </c>
      <c r="CG183" s="35" t="n">
        <f aca="false">-CG151</f>
        <v>-0</v>
      </c>
      <c r="CH183" s="35" t="n">
        <f aca="false">-CH151</f>
        <v>-0</v>
      </c>
      <c r="CI183" s="35" t="n">
        <f aca="false">-CI151</f>
        <v>-0</v>
      </c>
      <c r="CJ183" s="35" t="n">
        <f aca="false">-CJ151</f>
        <v>-0</v>
      </c>
      <c r="CK183" s="23"/>
    </row>
    <row r="184" customFormat="false" ht="15" hidden="false" customHeight="true" outlineLevel="0" collapsed="false">
      <c r="B184" s="29" t="s">
        <v>446</v>
      </c>
      <c r="C184" s="45" t="n">
        <f aca="false">SUM(C178,C179,C180,C181,C182,C183)</f>
        <v>0</v>
      </c>
      <c r="D184" s="45" t="n">
        <f aca="false">SUM(D178,D179,D180,D181,D182,D183)</f>
        <v>0</v>
      </c>
      <c r="E184" s="45" t="n">
        <f aca="false">SUM(E178,E179,E180,E181,E182,E183)</f>
        <v>0</v>
      </c>
      <c r="F184" s="45" t="n">
        <f aca="false">SUM(F178,F179,F180,F181,F182,F183)</f>
        <v>86.583</v>
      </c>
      <c r="G184" s="45" t="n">
        <f aca="false">SUM(G178,G179,G180,G181,G182,G183)</f>
        <v>20.649</v>
      </c>
      <c r="H184" s="45" t="n">
        <f aca="false">SUM(H178,H179,H180,H181,H182,H183)</f>
        <v>0</v>
      </c>
      <c r="I184" s="45" t="n">
        <f aca="false">SUM(I178,I179,I180,I181,I182,I183)</f>
        <v>0</v>
      </c>
      <c r="J184" s="45" t="n">
        <f aca="false">SUM(J178,J179,J180,J181,J182,J183)</f>
        <v>0</v>
      </c>
      <c r="K184" s="45" t="n">
        <f aca="false">SUM(K178,K179,K180,K181,K182,K183)</f>
        <v>0</v>
      </c>
      <c r="L184" s="45" t="n">
        <f aca="false">SUM(L178,L179,L180,L181,L182,L183)</f>
        <v>0</v>
      </c>
      <c r="M184" s="45" t="n">
        <f aca="false">SUM(M178,M179,M180,M181,M182,M183)</f>
        <v>0</v>
      </c>
      <c r="N184" s="45" t="n">
        <f aca="false">SUM(N178,N179,N180,N181,N182,N183)</f>
        <v>0</v>
      </c>
      <c r="O184" s="45" t="n">
        <f aca="false">SUM(O178,O179,O180,O181,O182,O183)</f>
        <v>0</v>
      </c>
      <c r="P184" s="45" t="n">
        <f aca="false">SUM(P178,P179,P180,P181,P182,P183)</f>
        <v>0</v>
      </c>
      <c r="Q184" s="45" t="n">
        <f aca="false">SUM(Q178,Q179,Q180,Q181,Q182,Q183)</f>
        <v>0</v>
      </c>
      <c r="R184" s="45" t="n">
        <f aca="false">SUM(R178,R179,R180,R181,R182,R183)</f>
        <v>-63.975</v>
      </c>
      <c r="S184" s="45" t="n">
        <f aca="false">SUM(S178,S179,S180,S181,S182,S183)</f>
        <v>-61.817</v>
      </c>
      <c r="T184" s="45" t="n">
        <f aca="false">SUM(T178,T179,T180,T181,T182,T183)</f>
        <v>-28.358</v>
      </c>
      <c r="U184" s="45" t="n">
        <f aca="false">SUM(U178,U179,U180,U181,U182,U183)</f>
        <v>0</v>
      </c>
      <c r="V184" s="45" t="n">
        <f aca="false">SUM(V178,V179,V180,V181,V182,V183)</f>
        <v>6.771</v>
      </c>
      <c r="W184" s="45" t="n">
        <f aca="false">SUM(W178,W179,W180,W181,W182,W183)</f>
        <v>0.179</v>
      </c>
      <c r="X184" s="45" t="n">
        <f aca="false">SUM(X178,X179,X180,X181,X182,X183)</f>
        <v>-21.152</v>
      </c>
      <c r="Y184" s="45" t="n">
        <f aca="false">SUM(Y178,Y179,Y180,Y181,Y182,Y183)</f>
        <v>0</v>
      </c>
      <c r="Z184" s="45" t="n">
        <f aca="false">SUM(Z178,Z179,Z180,Z181,Z182,Z183)</f>
        <v>0</v>
      </c>
      <c r="AA184" s="45" t="n">
        <f aca="false">SUM(AA178,AA179,AA180,AA181,AA182,AA183)</f>
        <v>0</v>
      </c>
      <c r="AB184" s="45" t="n">
        <f aca="false">SUM(AB178,AB179,AB180,AB181,AB182,AB183)</f>
        <v>0</v>
      </c>
      <c r="AC184" s="45" t="n">
        <f aca="false">SUM(AC178,AC179,AC180,AC181,AC182,AC183)</f>
        <v>0</v>
      </c>
      <c r="AD184" s="45" t="n">
        <f aca="false">SUM(AD178,AD179,AD180,AD181,AD182,AD183)</f>
        <v>2.787</v>
      </c>
      <c r="AE184" s="45" t="n">
        <f aca="false">SUM(AE178,AE179,AE180,AE181,AE182,AE183)</f>
        <v>3.347</v>
      </c>
      <c r="AF184" s="45" t="n">
        <f aca="false">SUM(AF178,AF179,AF180,AF181,AF182,AF183)</f>
        <v>9.344</v>
      </c>
      <c r="AG184" s="45" t="n">
        <f aca="false">SUM(AG178,AG179,AG180,AG181,AG182,AG183)</f>
        <v>63.746</v>
      </c>
      <c r="AH184" s="45" t="n">
        <f aca="false">SUM(AH178,AH179,AH180,AH181,AH182,AH183)</f>
        <v>79.224</v>
      </c>
      <c r="AI184" s="45" t="n">
        <f aca="false">SUM(AI178,AI179,AI180,AI181,AI182,AI183)</f>
        <v>3.971</v>
      </c>
      <c r="AJ184" s="45" t="n">
        <f aca="false">SUM(AJ178,AJ179,AJ180,AJ181,AJ182,AJ183)</f>
        <v>13.074</v>
      </c>
      <c r="AK184" s="45" t="n">
        <f aca="false">SUM(AK178,AK179,AK180,AK181,AK182,AK183)</f>
        <v>49.821</v>
      </c>
      <c r="AL184" s="45" t="n">
        <f aca="false">SUM(AL178,AL179,AL180,AL181,AL182,AL183)</f>
        <v>15.031</v>
      </c>
      <c r="AM184" s="45" t="n">
        <f aca="false">SUM(AM178,AM179,AM180,AM181,AM182,AM183)</f>
        <v>81.897</v>
      </c>
      <c r="AN184" s="45" t="n">
        <f aca="false">SUM(AN178,AN179,AN180,AN181,AN182,AN183)</f>
        <v>4.85</v>
      </c>
      <c r="AO184" s="45" t="n">
        <f aca="false">SUM(AO178,AO179,AO180,AO181,AO182,AO183)</f>
        <v>-61.526</v>
      </c>
      <c r="AP184" s="45" t="n">
        <f aca="false">SUM(AP178,AP179,AP180,AP181,AP182,AP183)</f>
        <v>0.799</v>
      </c>
      <c r="AQ184" s="45" t="n">
        <f aca="false">SUM(AQ178,AQ179,AQ180,AQ181,AQ182,AQ183)</f>
        <v>0.914</v>
      </c>
      <c r="AR184" s="45" t="n">
        <f aca="false">SUM(AR178,AR179,AR180,AR181,AR182,AR183)</f>
        <v>-54.963</v>
      </c>
      <c r="AS184" s="45" t="n">
        <f aca="false">SUM(AS178,AS179,AS180,AS181,AS182,AS183)</f>
        <v>0</v>
      </c>
      <c r="AT184" s="45" t="n">
        <f aca="false">SUM(AT178,AT179,AT180,AT181,AT182,AT183)</f>
        <v>0</v>
      </c>
      <c r="AU184" s="45" t="n">
        <f aca="false">SUM(AU178,AU179,AU180,AU181,AU182,AU183)</f>
        <v>0</v>
      </c>
      <c r="AV184" s="45" t="n">
        <f aca="false">SUM(AV178,AV179,AV180,AV181,AV182,AV183)</f>
        <v>0</v>
      </c>
      <c r="AW184" s="45" t="n">
        <f aca="false">SUM(AW178,AW179,AW180,AW181,AW182,AW183)</f>
        <v>0</v>
      </c>
      <c r="AX184" s="45" t="n">
        <f aca="false">SUM(AX178,AX179,AX180,AX181,AX182,AX183)</f>
        <v>0</v>
      </c>
      <c r="AY184" s="45" t="n">
        <f aca="false">SUM(AY178,AY179,AY180,AY181,AY182,AY183)</f>
        <v>-17.963</v>
      </c>
      <c r="AZ184" s="45" t="n">
        <f aca="false">SUM(AZ178,AZ179,AZ180,AZ181,AZ182,AZ183)</f>
        <v>-3.898</v>
      </c>
      <c r="BA184" s="45" t="n">
        <f aca="false">SUM(BA178,BA179,BA180,BA181,BA182,BA183)</f>
        <v>-0.169</v>
      </c>
      <c r="BB184" s="45" t="n">
        <f aca="false">SUM(BB178,BB179,BB180,BB181,BB182,BB183)</f>
        <v>-22.03</v>
      </c>
      <c r="BC184" s="45" t="n">
        <f aca="false">SUM(BC178,BC179,BC180,BC181,BC182,BC183)</f>
        <v>-12.129</v>
      </c>
      <c r="BD184" s="45" t="n">
        <f aca="false">SUM(BD178,BD179,BD180,BD181,BD182,BD183)</f>
        <v>0</v>
      </c>
      <c r="BE184" s="45" t="n">
        <f aca="false">SUM(BE178,BE179,BE180,BE181,BE182,BE183)</f>
        <v>-30.151</v>
      </c>
      <c r="BF184" s="45" t="n">
        <f aca="false">SUM(BF178,BF179,BF180,BF181,BF182,BF183)</f>
        <v>0</v>
      </c>
      <c r="BG184" s="45" t="n">
        <f aca="false">SUM(BG178,BG179,BG180,BG181,BG182,BG183)</f>
        <v>-42.28</v>
      </c>
      <c r="BH184" s="45" t="n">
        <f aca="false">SUM(BH178,BH179,BH180,BH181,BH182,BH183)</f>
        <v>0</v>
      </c>
      <c r="BI184" s="45" t="n">
        <f aca="false">SUM(BI178,BI179,BI180,BI181,BI182,BI183)</f>
        <v>0</v>
      </c>
      <c r="BJ184" s="45" t="n">
        <f aca="false">SUM(BJ178,BJ179,BJ180,BJ181,BJ182,BJ183)</f>
        <v>0</v>
      </c>
      <c r="BK184" s="45" t="n">
        <f aca="false">SUM(BK178,BK179,BK180,BK181,BK182,BK183)</f>
        <v>0</v>
      </c>
      <c r="BL184" s="45" t="n">
        <f aca="false">SUM(BL178,BL179,BL180,BL181,BL182,BL183)</f>
        <v>0</v>
      </c>
      <c r="BM184" s="45" t="n">
        <f aca="false">SUM(BM178,BM179,BM180,BM181,BM182,BM183)</f>
        <v>0</v>
      </c>
      <c r="BN184" s="45" t="n">
        <f aca="false">SUM(BN178,BN179,BN180,BN181,BN182,BN183)</f>
        <v>0</v>
      </c>
      <c r="BO184" s="45" t="n">
        <f aca="false">SUM(BO178,BO179,BO180,BO181,BO182,BO183)</f>
        <v>0</v>
      </c>
      <c r="BP184" s="45" t="n">
        <f aca="false">SUM(BP178,BP179,BP180,BP181,BP182,BP183)</f>
        <v>0</v>
      </c>
      <c r="BQ184" s="45" t="n">
        <f aca="false">SUM(BQ178,BQ179,BQ180,BQ181,BQ182,BQ183)</f>
        <v>0</v>
      </c>
      <c r="BR184" s="45" t="n">
        <f aca="false">SUM(BR178,BR179,BR180,BR181,BR182,BR183)</f>
        <v>0</v>
      </c>
      <c r="BS184" s="45" t="n">
        <f aca="false">SUM(BS178,BS179,BS180,BS181,BS182,BS183)</f>
        <v>0</v>
      </c>
      <c r="BT184" s="45" t="n">
        <f aca="false">SUM(BT178,BT179,BT180,BT181,BT182,BT183)</f>
        <v>0</v>
      </c>
      <c r="BU184" s="45" t="n">
        <f aca="false">SUM(BU178,BU179,BU180,BU181,BU182,BU183)</f>
        <v>0</v>
      </c>
      <c r="BV184" s="45" t="n">
        <f aca="false">SUM(BV178,BV179,BV180,BV181,BV182,BV183)</f>
        <v>0</v>
      </c>
      <c r="BW184" s="45" t="n">
        <f aca="false">SUM(BW178,BW179,BW180,BW181,BW182,BW183)</f>
        <v>0</v>
      </c>
      <c r="BX184" s="45" t="n">
        <f aca="false">SUM(BX178,BX179,BX180,BX181,BX182,BX183)</f>
        <v>0</v>
      </c>
      <c r="BY184" s="45" t="n">
        <f aca="false">SUM(BY178,BY179,BY180,BY181,BY182,BY183)</f>
        <v>0</v>
      </c>
      <c r="BZ184" s="45" t="n">
        <f aca="false">SUM(BZ178,BZ179,BZ180,BZ181,BZ182,BZ183)</f>
        <v>14.024</v>
      </c>
      <c r="CA184" s="45" t="n">
        <f aca="false">SUM(CA178,CA179,CA180,CA181,CA182,CA183)</f>
        <v>15.136</v>
      </c>
      <c r="CB184" s="45" t="n">
        <f aca="false">SUM(CB178,CB179,CB180,CB181,CB182,CB183)</f>
        <v>14.412</v>
      </c>
      <c r="CC184" s="35" t="n">
        <f aca="false">SUM(CC178,CC179,CC180,CC181,CC182,CC183)</f>
        <v>15</v>
      </c>
      <c r="CD184" s="35" t="n">
        <f aca="false">SUM(CD178,CD179,CD180,CD181,CD182,CD183)</f>
        <v>108.7</v>
      </c>
      <c r="CE184" s="35" t="n">
        <f aca="false">SUM(CE178,CE179,CE180,CE181,CE182,CE183)</f>
        <v>31.5</v>
      </c>
      <c r="CF184" s="35" t="n">
        <f aca="false">SUM(CF178,CF179,CF180,CF181,CF182,CF183)</f>
        <v>169.612</v>
      </c>
      <c r="CG184" s="35" t="n">
        <f aca="false">SUM(CG178,CG179,CG180,CG181,CG182,CG183)</f>
        <v>157.5</v>
      </c>
      <c r="CH184" s="35" t="n">
        <f aca="false">SUM(CH178,CH179,CH180,CH181,CH182,CH183)</f>
        <v>105</v>
      </c>
      <c r="CI184" s="35" t="n">
        <f aca="false">SUM(CI178,CI179,CI180,CI181,CI182,CI183)</f>
        <v>35</v>
      </c>
      <c r="CJ184" s="35" t="n">
        <f aca="false">SUM(CJ178,CJ179,CJ180,CJ181,CJ182,CJ183)</f>
        <v>0</v>
      </c>
      <c r="CK184" s="23"/>
    </row>
    <row r="185" customFormat="false" ht="15" hidden="false" customHeight="true" outlineLevel="0" collapsed="false">
      <c r="B185" s="55" t="s">
        <v>447</v>
      </c>
      <c r="C185" s="56" t="n">
        <f aca="false">C177+C184</f>
        <v>707.491</v>
      </c>
      <c r="D185" s="56" t="n">
        <f aca="false">D177+D184</f>
        <v>753.323</v>
      </c>
      <c r="E185" s="56" t="n">
        <f aca="false">E177+E184</f>
        <v>769.358</v>
      </c>
      <c r="F185" s="56" t="n">
        <f aca="false">F177+F184</f>
        <v>695.754</v>
      </c>
      <c r="G185" s="56" t="n">
        <f aca="false">G177+G184</f>
        <v>604.599</v>
      </c>
      <c r="H185" s="56" t="n">
        <f aca="false">H177+H184</f>
        <v>633.81</v>
      </c>
      <c r="I185" s="56" t="n">
        <f aca="false">I177+I184</f>
        <v>733.792</v>
      </c>
      <c r="J185" s="56" t="n">
        <f aca="false">J177+J184</f>
        <v>185.736</v>
      </c>
      <c r="K185" s="56" t="n">
        <f aca="false">K177+K184</f>
        <v>185.875</v>
      </c>
      <c r="L185" s="56" t="n">
        <f aca="false">L177+L184</f>
        <v>180.855</v>
      </c>
      <c r="M185" s="56" t="n">
        <f aca="false">M177+M184</f>
        <v>202.122</v>
      </c>
      <c r="N185" s="56" t="n">
        <f aca="false">N177+N184</f>
        <v>754.588</v>
      </c>
      <c r="O185" s="56" t="n">
        <f aca="false">O177+O184</f>
        <v>188.464</v>
      </c>
      <c r="P185" s="56" t="n">
        <f aca="false">P177+P184</f>
        <v>201.499</v>
      </c>
      <c r="Q185" s="56" t="n">
        <f aca="false">Q177+Q184</f>
        <v>198.526</v>
      </c>
      <c r="R185" s="56" t="n">
        <f aca="false">R177+R184</f>
        <v>211.849</v>
      </c>
      <c r="S185" s="56" t="n">
        <f aca="false">S177+S184</f>
        <v>802.496</v>
      </c>
      <c r="T185" s="56" t="n">
        <f aca="false">T177+T184</f>
        <v>203.142</v>
      </c>
      <c r="U185" s="56" t="n">
        <f aca="false">U177+U184</f>
        <v>219.674</v>
      </c>
      <c r="V185" s="56" t="n">
        <f aca="false">V177+V184</f>
        <v>211.504</v>
      </c>
      <c r="W185" s="56" t="n">
        <f aca="false">W177+W184</f>
        <v>216.761</v>
      </c>
      <c r="X185" s="56" t="n">
        <f aca="false">X177+X184</f>
        <v>851.489000000001</v>
      </c>
      <c r="Y185" s="56" t="n">
        <f aca="false">Y177+Y184</f>
        <v>225.275</v>
      </c>
      <c r="Z185" s="56" t="n">
        <f aca="false">Z177+Z184</f>
        <v>241.475</v>
      </c>
      <c r="AA185" s="56" t="n">
        <f aca="false">AA177+AA184</f>
        <v>234.729</v>
      </c>
      <c r="AB185" s="56" t="n">
        <f aca="false">AB177+AB184</f>
        <v>245.548</v>
      </c>
      <c r="AC185" s="56" t="n">
        <f aca="false">AC177+AC184</f>
        <v>947.026999999999</v>
      </c>
      <c r="AD185" s="56" t="n">
        <f aca="false">AD177+AD184</f>
        <v>252.916</v>
      </c>
      <c r="AE185" s="56" t="n">
        <f aca="false">AE177+AE184</f>
        <v>250.087</v>
      </c>
      <c r="AF185" s="56" t="n">
        <f aca="false">AF177+AF184</f>
        <v>248.703</v>
      </c>
      <c r="AG185" s="56" t="n">
        <f aca="false">AG177+AG184</f>
        <v>305.935</v>
      </c>
      <c r="AH185" s="56" t="n">
        <f aca="false">AH177+AH184</f>
        <v>1049.51</v>
      </c>
      <c r="AI185" s="56" t="n">
        <f aca="false">AI177+AI184</f>
        <v>321.579</v>
      </c>
      <c r="AJ185" s="56" t="n">
        <f aca="false">AJ177+AJ184</f>
        <v>318.615</v>
      </c>
      <c r="AK185" s="56" t="n">
        <f aca="false">AK177+AK184</f>
        <v>315.908</v>
      </c>
      <c r="AL185" s="56" t="n">
        <f aca="false">AL177+AL184</f>
        <v>355.045</v>
      </c>
      <c r="AM185" s="56" t="n">
        <f aca="false">AM177+AM184</f>
        <v>1311.147</v>
      </c>
      <c r="AN185" s="56" t="n">
        <f aca="false">AN177+AN184</f>
        <v>356.373</v>
      </c>
      <c r="AO185" s="56" t="n">
        <f aca="false">AO177+AO184</f>
        <v>371.863</v>
      </c>
      <c r="AP185" s="56" t="n">
        <f aca="false">AP177+AP184</f>
        <v>370.712</v>
      </c>
      <c r="AQ185" s="56" t="n">
        <f aca="false">AQ177+AQ184</f>
        <v>409.089</v>
      </c>
      <c r="AR185" s="56" t="n">
        <f aca="false">AR177+AR184</f>
        <v>1508.037</v>
      </c>
      <c r="AS185" s="56" t="n">
        <f aca="false">AS177+AS184</f>
        <v>398.14</v>
      </c>
      <c r="AT185" s="56" t="n">
        <f aca="false">AT177+AT184</f>
        <v>428.8</v>
      </c>
      <c r="AU185" s="56" t="n">
        <f aca="false">AU177+AU184</f>
        <v>410.815</v>
      </c>
      <c r="AV185" s="56" t="n">
        <f aca="false">AV177+AV184</f>
        <v>303.994</v>
      </c>
      <c r="AW185" s="56" t="n">
        <f aca="false">AW177+AW184</f>
        <v>1541.749</v>
      </c>
      <c r="AX185" s="56" t="n">
        <f aca="false">AX177+AX184</f>
        <v>445.885</v>
      </c>
      <c r="AY185" s="56" t="n">
        <f aca="false">AY177+AY184</f>
        <v>431.384</v>
      </c>
      <c r="AZ185" s="56" t="n">
        <f aca="false">AZ177+AZ184</f>
        <v>419.737</v>
      </c>
      <c r="BA185" s="56" t="n">
        <f aca="false">BA177+BA184</f>
        <v>454.407</v>
      </c>
      <c r="BB185" s="56" t="n">
        <f aca="false">BB177+BB184</f>
        <v>1751.413</v>
      </c>
      <c r="BC185" s="56" t="n">
        <f aca="false">BC177+BC184</f>
        <v>479.921</v>
      </c>
      <c r="BD185" s="56" t="n">
        <f aca="false">BD177+BD184</f>
        <v>479.918</v>
      </c>
      <c r="BE185" s="56" t="n">
        <f aca="false">BE177+BE184</f>
        <v>478.138</v>
      </c>
      <c r="BF185" s="56" t="n">
        <f aca="false">BF177+BF184</f>
        <v>506.814</v>
      </c>
      <c r="BG185" s="56" t="n">
        <f aca="false">BG177+BG184</f>
        <v>1944.791</v>
      </c>
      <c r="BH185" s="56" t="n">
        <f aca="false">BH177+BH184</f>
        <v>540.166</v>
      </c>
      <c r="BI185" s="56" t="n">
        <f aca="false">BI177+BI184</f>
        <v>546.142</v>
      </c>
      <c r="BJ185" s="56" t="n">
        <f aca="false">BJ177+BJ184</f>
        <v>549.64</v>
      </c>
      <c r="BK185" s="56" t="n">
        <f aca="false">BK177+BK184</f>
        <v>575.878</v>
      </c>
      <c r="BL185" s="56" t="n">
        <f aca="false">BL177+BL184</f>
        <v>2211.826</v>
      </c>
      <c r="BM185" s="56" t="n">
        <f aca="false">BM177+BM184</f>
        <v>607.368</v>
      </c>
      <c r="BN185" s="56" t="n">
        <f aca="false">BN177+BN184</f>
        <v>608.909</v>
      </c>
      <c r="BO185" s="56" t="n">
        <f aca="false">BO177+BO184</f>
        <v>632.214</v>
      </c>
      <c r="BP185" s="56" t="n">
        <f aca="false">BP177+BP184</f>
        <v>662.526</v>
      </c>
      <c r="BQ185" s="56" t="n">
        <f aca="false">BQ177+BQ184</f>
        <v>2511.017</v>
      </c>
      <c r="BR185" s="56" t="n">
        <f aca="false">BR177+BR184</f>
        <v>676.235</v>
      </c>
      <c r="BS185" s="56" t="n">
        <f aca="false">BS177+BS184</f>
        <v>721.433</v>
      </c>
      <c r="BT185" s="56" t="n">
        <f aca="false">BT177+BT184</f>
        <v>736.9</v>
      </c>
      <c r="BU185" s="56" t="n">
        <f aca="false">BU177+BU184</f>
        <v>719.341</v>
      </c>
      <c r="BV185" s="56" t="n">
        <f aca="false">BV177+BV184</f>
        <v>2853.909</v>
      </c>
      <c r="BW185" s="56" t="n">
        <f aca="false">BW177+BW184</f>
        <v>743.796</v>
      </c>
      <c r="BX185" s="56" t="n">
        <f aca="false">BX177+BX184</f>
        <v>783.215</v>
      </c>
      <c r="BY185" s="56" t="n">
        <f aca="false">BY177+BY184</f>
        <v>788.574</v>
      </c>
      <c r="BZ185" s="56" t="n">
        <f aca="false">BZ177+BZ184</f>
        <v>817.797</v>
      </c>
      <c r="CA185" s="56" t="n">
        <f aca="false">CA177+CA184</f>
        <v>3134.494</v>
      </c>
      <c r="CB185" s="56" t="n">
        <f aca="false">CB177+CB184</f>
        <v>853.625</v>
      </c>
      <c r="CC185" s="56" t="n">
        <f aca="false">CC177+CC184</f>
        <v>836.34347277147</v>
      </c>
      <c r="CD185" s="56" t="n">
        <f aca="false">CD177+CD184</f>
        <v>894.903502741012</v>
      </c>
      <c r="CE185" s="56" t="n">
        <f aca="false">CE177+CE184</f>
        <v>955.711356621631</v>
      </c>
      <c r="CF185" s="56" t="n">
        <f aca="false">CF177+CF184</f>
        <v>3540.58333213411</v>
      </c>
      <c r="CG185" s="56" t="n">
        <f aca="false">CG177+CG184</f>
        <v>4235.79650206546</v>
      </c>
      <c r="CH185" s="56" t="n">
        <f aca="false">CH177+CH184</f>
        <v>4747.38339260145</v>
      </c>
      <c r="CI185" s="56" t="n">
        <f aca="false">CI177+CI184</f>
        <v>5290.62164635088</v>
      </c>
      <c r="CJ185" s="56" t="n">
        <f aca="false">CJ177+CJ184</f>
        <v>5787.37537151313</v>
      </c>
      <c r="CK185" s="23" t="s">
        <v>448</v>
      </c>
      <c r="CM185" s="24" t="n">
        <f aca="false">IFERROR((CJ185/CA185)^(1/5)-1,"n/m")</f>
        <v>0.130479891720314</v>
      </c>
      <c r="CN185" s="24" t="n">
        <f aca="false">IFERROR((CA185/BB185)^(1/5)-1,"n/m")</f>
        <v>0.123455241465256</v>
      </c>
      <c r="CO185" s="24" t="n">
        <f aca="false">IFERROR((CA185/AC185)^(1/10)-1,"n/m")</f>
        <v>0.12714686692005</v>
      </c>
      <c r="CP185" s="24" t="n">
        <f aca="false">IFERROR((CA185/C185)^(1/20)-1,"n/m")</f>
        <v>0.0772644448164153</v>
      </c>
    </row>
    <row r="186" customFormat="false" ht="15" hidden="false" customHeight="true" outlineLevel="0" collapsed="false">
      <c r="B186" s="29" t="s">
        <v>449</v>
      </c>
      <c r="C186" s="37" t="n">
        <f aca="false">IF(AND(ISNUMBER(C185),ISNUMBER(C132)),IFERROR(C185/C132,""),"")</f>
        <v>0.207865006781039</v>
      </c>
      <c r="D186" s="37" t="n">
        <f aca="false">IF(AND(ISNUMBER(D185),ISNUMBER(D132)),IFERROR(D185/D132,""),"")</f>
        <v>0.203221829561089</v>
      </c>
      <c r="E186" s="37" t="n">
        <f aca="false">IF(AND(ISNUMBER(E185),ISNUMBER(E132)),IFERROR(E185/E132,""),"")</f>
        <v>0.195372660555118</v>
      </c>
      <c r="F186" s="37" t="n">
        <f aca="false">IF(AND(ISNUMBER(F185),ISNUMBER(F132)),IFERROR(F185/F132,""),"")</f>
        <v>0.184321075798378</v>
      </c>
      <c r="G186" s="37" t="n">
        <f aca="false">IF(AND(ISNUMBER(G185),ISNUMBER(G132)),IFERROR(G185/G132,""),"")</f>
        <v>0.170437333449101</v>
      </c>
      <c r="H186" s="37" t="n">
        <f aca="false">IF(AND(ISNUMBER(H185),ISNUMBER(H132)),IFERROR(H185/H132,""),"")</f>
        <v>0.166337565977602</v>
      </c>
      <c r="I186" s="37" t="n">
        <f aca="false">IF(AND(ISNUMBER(I185),ISNUMBER(I132)),IFERROR(I185/I132,""),"")</f>
        <v>0.178886396879571</v>
      </c>
      <c r="J186" s="37" t="n">
        <f aca="false">IF(AND(ISNUMBER(J185),ISNUMBER(J132)),IFERROR(J185/J132,""),"")</f>
        <v>0.176668489762918</v>
      </c>
      <c r="K186" s="37" t="n">
        <f aca="false">IF(AND(ISNUMBER(K185),ISNUMBER(K132)),IFERROR(K185/K132,""),"")</f>
        <v>0.175289941587309</v>
      </c>
      <c r="L186" s="37" t="n">
        <f aca="false">IF(AND(ISNUMBER(L185),ISNUMBER(L132)),IFERROR(L185/L132,""),"")</f>
        <v>0.168131794577167</v>
      </c>
      <c r="M186" s="37" t="n">
        <f aca="false">IF(AND(ISNUMBER(M185),ISNUMBER(M132)),IFERROR(M185/M132,""),"")</f>
        <v>0.179013821799225</v>
      </c>
      <c r="N186" s="37" t="n">
        <f aca="false">IF(AND(ISNUMBER(N185),ISNUMBER(N132)),IFERROR(N185/N132,""),"")</f>
        <v>0.174815954978036</v>
      </c>
      <c r="O186" s="37" t="n">
        <f aca="false">IF(AND(ISNUMBER(O185),ISNUMBER(O132)),IFERROR(O185/O132,""),"")</f>
        <v>0.168219911223616</v>
      </c>
      <c r="P186" s="37" t="n">
        <f aca="false">IF(AND(ISNUMBER(P185),ISNUMBER(P132)),IFERROR(P185/P132,""),"")</f>
        <v>0.176173526976541</v>
      </c>
      <c r="Q186" s="37" t="n">
        <f aca="false">IF(AND(ISNUMBER(Q185),ISNUMBER(Q132)),IFERROR(Q185/Q132,""),"")</f>
        <v>0.175649885820408</v>
      </c>
      <c r="R186" s="37" t="n">
        <f aca="false">IF(AND(ISNUMBER(R185),ISNUMBER(R132)),IFERROR(R185/R132,""),"")</f>
        <v>0.183026214730462</v>
      </c>
      <c r="S186" s="37" t="n">
        <f aca="false">IF(AND(ISNUMBER(S185),ISNUMBER(S132)),IFERROR(S185/S132,""),"")</f>
        <v>0.17630253622074</v>
      </c>
      <c r="T186" s="37" t="n">
        <f aca="false">IF(AND(ISNUMBER(T185),ISNUMBER(T132)),IFERROR(T185/T132,""),"")</f>
        <v>0.184326503502024</v>
      </c>
      <c r="U186" s="37" t="n">
        <f aca="false">IF(AND(ISNUMBER(U185),ISNUMBER(U132)),IFERROR(U185/U132,""),"")</f>
        <v>0.195547540055493</v>
      </c>
      <c r="V186" s="37" t="n">
        <f aca="false">IF(AND(ISNUMBER(V185),ISNUMBER(V132)),IFERROR(V185/V132,""),"")</f>
        <v>0.190742275534857</v>
      </c>
      <c r="W186" s="37" t="n">
        <f aca="false">IF(AND(ISNUMBER(W185),ISNUMBER(W132)),IFERROR(W185/W132,""),"")</f>
        <v>0.189711382017762</v>
      </c>
      <c r="X186" s="37" t="n">
        <f aca="false">IF(AND(ISNUMBER(X185),ISNUMBER(X132)),IFERROR(X185/X132,""),"")</f>
        <v>0.190196712625696</v>
      </c>
      <c r="Y186" s="37" t="n">
        <f aca="false">IF(AND(ISNUMBER(Y185),ISNUMBER(Y132)),IFERROR(Y185/Y132,""),"")</f>
        <v>0.187902976920318</v>
      </c>
      <c r="Z186" s="37" t="n">
        <f aca="false">IF(AND(ISNUMBER(Z185),ISNUMBER(Z132)),IFERROR(Z185/Z132,""),"")</f>
        <v>0.198079699445483</v>
      </c>
      <c r="AA186" s="37" t="n">
        <f aca="false">IF(AND(ISNUMBER(AA185),ISNUMBER(AA132)),IFERROR(AA185/AA132,""),"")</f>
        <v>0.193020542183387</v>
      </c>
      <c r="AB186" s="37" t="n">
        <f aca="false">IF(AND(ISNUMBER(AB185),ISNUMBER(AB132)),IFERROR(AB185/AB132,""),"")</f>
        <v>0.193131220972074</v>
      </c>
      <c r="AC186" s="37" t="n">
        <f aca="false">IF(AND(ISNUMBER(AC185),ISNUMBER(AC132)),IFERROR(AC185/AC132,""),"")</f>
        <v>0.193055775831737</v>
      </c>
      <c r="AD186" s="37" t="n">
        <f aca="false">IF(AND(ISNUMBER(AD185),ISNUMBER(AD132)),IFERROR(AD185/AD132,""),"")</f>
        <v>0.195433225410121</v>
      </c>
      <c r="AE186" s="37" t="n">
        <f aca="false">IF(AND(ISNUMBER(AE185),ISNUMBER(AE132)),IFERROR(AE185/AE132,""),"")</f>
        <v>0.192831031603264</v>
      </c>
      <c r="AF186" s="37" t="n">
        <f aca="false">IF(AND(ISNUMBER(AF185),ISNUMBER(AF132)),IFERROR(AF185/AF132,""),"")</f>
        <v>0.194127082625953</v>
      </c>
      <c r="AG186" s="37" t="n">
        <f aca="false">IF(AND(ISNUMBER(AG185),ISNUMBER(AG132)),IFERROR(AG185/AG132,""),"")</f>
        <v>0.199920015003721</v>
      </c>
      <c r="AH186" s="37" t="n">
        <f aca="false">IF(AND(ISNUMBER(AH185),ISNUMBER(AH132)),IFERROR(AH185/AH132,""),"")</f>
        <v>0.197151021127363</v>
      </c>
      <c r="AI186" s="37" t="n">
        <f aca="false">IF(AND(ISNUMBER(AI185),ISNUMBER(AI132)),IFERROR(AI185/AI132,""),"")</f>
        <v>0.199552219263631</v>
      </c>
      <c r="AJ186" s="37" t="n">
        <f aca="false">IF(AND(ISNUMBER(AJ185),ISNUMBER(AJ132)),IFERROR(AJ185/AJ132,""),"")</f>
        <v>0.198335948845927</v>
      </c>
      <c r="AK186" s="37" t="n">
        <f aca="false">IF(AND(ISNUMBER(AK185),ISNUMBER(AK132)),IFERROR(AK185/AK132,""),"")</f>
        <v>0.198792049526221</v>
      </c>
      <c r="AL186" s="37" t="n">
        <f aca="false">IF(AND(ISNUMBER(AL185),ISNUMBER(AL132)),IFERROR(AL185/AL132,""),"")</f>
        <v>0.21265909975742</v>
      </c>
      <c r="AM186" s="37" t="n">
        <f aca="false">IF(AND(ISNUMBER(AM185),ISNUMBER(AM132)),IFERROR(AM185/AM132,""),"")</f>
        <v>0.202442720228662</v>
      </c>
      <c r="AN186" s="37" t="n">
        <f aca="false">IF(AND(ISNUMBER(AN185),ISNUMBER(AN132)),IFERROR(AN185/AN132,""),"")</f>
        <v>0.209881181996201</v>
      </c>
      <c r="AO186" s="37" t="n">
        <f aca="false">IF(AND(ISNUMBER(AO185),ISNUMBER(AO132)),IFERROR(AO185/AO132,""),"")</f>
        <v>0.216417345838949</v>
      </c>
      <c r="AP186" s="37" t="n">
        <f aca="false">IF(AND(ISNUMBER(AP185),ISNUMBER(AP132)),IFERROR(AP185/AP132,""),"")</f>
        <v>0.220356291571808</v>
      </c>
      <c r="AQ186" s="37" t="n">
        <f aca="false">IF(AND(ISNUMBER(AQ185),ISNUMBER(AQ132)),IFERROR(AQ185/AQ132,""),"")</f>
        <v>0.228066096904216</v>
      </c>
      <c r="AR186" s="37" t="n">
        <f aca="false">IF(AND(ISNUMBER(AR185),ISNUMBER(AR132)),IFERROR(AR185/AR132,""),"")</f>
        <v>0.218800160120645</v>
      </c>
      <c r="AS186" s="37" t="n">
        <f aca="false">IF(AND(ISNUMBER(AS185),ISNUMBER(AS132)),IFERROR(AS185/AS132,""),"")</f>
        <v>0.219828516751061</v>
      </c>
      <c r="AT186" s="37" t="n">
        <f aca="false">IF(AND(ISNUMBER(AT185),ISNUMBER(AT132)),IFERROR(AT185/AT132,""),"")</f>
        <v>0.232569617664877</v>
      </c>
      <c r="AU186" s="37" t="n">
        <f aca="false">IF(AND(ISNUMBER(AU185),ISNUMBER(AU132)),IFERROR(AU185/AU132,""),"")</f>
        <v>0.226888384710888</v>
      </c>
      <c r="AV186" s="37" t="n">
        <f aca="false">IF(AND(ISNUMBER(AV185),ISNUMBER(AV132)),IFERROR(AV185/AV132,""),"")</f>
        <v>0.187698816486209</v>
      </c>
      <c r="AW186" s="37" t="n">
        <f aca="false">IF(AND(ISNUMBER(AW185),ISNUMBER(AW132)),IFERROR(AW185/AW132,""),"")</f>
        <v>0.217603794995709</v>
      </c>
      <c r="AX186" s="37" t="n">
        <f aca="false">IF(AND(ISNUMBER(AX185),ISNUMBER(AX132)),IFERROR(AX185/AX132,""),"")</f>
        <v>0.255291069664916</v>
      </c>
      <c r="AY186" s="37" t="n">
        <f aca="false">IF(AND(ISNUMBER(AY185),ISNUMBER(AY132)),IFERROR(AY185/AY132,""),"")</f>
        <v>0.245516343321298</v>
      </c>
      <c r="AZ186" s="37" t="n">
        <f aca="false">IF(AND(ISNUMBER(AZ185),ISNUMBER(AZ132)),IFERROR(AZ185/AZ132,""),"")</f>
        <v>0.236197958871302</v>
      </c>
      <c r="BA186" s="37" t="n">
        <f aca="false">IF(AND(ISNUMBER(BA185),ISNUMBER(BA132)),IFERROR(BA185/BA132,""),"")</f>
        <v>0.247544072680086</v>
      </c>
      <c r="BB186" s="37" t="n">
        <f aca="false">IF(AND(ISNUMBER(BB185),ISNUMBER(BB132)),IFERROR(BB185/BB132,""),"")</f>
        <v>0.24611148427422</v>
      </c>
      <c r="BC186" s="37" t="n">
        <f aca="false">IF(AND(ISNUMBER(BC185),ISNUMBER(BC132)),IFERROR(BC185/BC132,""),"")</f>
        <v>0.252996125359129</v>
      </c>
      <c r="BD186" s="37" t="n">
        <f aca="false">IF(AND(ISNUMBER(BD185),ISNUMBER(BD132)),IFERROR(BD185/BD132,""),"")</f>
        <v>0.249660689566198</v>
      </c>
      <c r="BE186" s="37" t="n">
        <f aca="false">IF(AND(ISNUMBER(BE185),ISNUMBER(BE132)),IFERROR(BE185/BE132,""),"")</f>
        <v>0.243880518754508</v>
      </c>
      <c r="BF186" s="37" t="n">
        <f aca="false">IF(AND(ISNUMBER(BF185),ISNUMBER(BF132)),IFERROR(BF185/BF132,""),"")</f>
        <v>0.244284677295745</v>
      </c>
      <c r="BG186" s="37" t="n">
        <f aca="false">IF(AND(ISNUMBER(BG185),ISNUMBER(BG132)),IFERROR(BG185/BG132,""),"")</f>
        <v>0.247603431375732</v>
      </c>
      <c r="BH186" s="37" t="n">
        <f aca="false">IF(AND(ISNUMBER(BH185),ISNUMBER(BH132)),IFERROR(BH185/BH132,""),"")</f>
        <v>0.249331857496167</v>
      </c>
      <c r="BI186" s="37" t="n">
        <f aca="false">IF(AND(ISNUMBER(BI185),ISNUMBER(BI132)),IFERROR(BI185/BI132,""),"")</f>
        <v>0.251116164825474</v>
      </c>
      <c r="BJ186" s="37" t="n">
        <f aca="false">IF(AND(ISNUMBER(BJ185),ISNUMBER(BJ132)),IFERROR(BJ185/BJ132,""),"")</f>
        <v>0.250978773380286</v>
      </c>
      <c r="BK186" s="37" t="n">
        <f aca="false">IF(AND(ISNUMBER(BK185),ISNUMBER(BK132)),IFERROR(BK185/BK132,""),"")</f>
        <v>0.25208374280085</v>
      </c>
      <c r="BL186" s="37" t="n">
        <f aca="false">IF(AND(ISNUMBER(BL185),ISNUMBER(BL132)),IFERROR(BL185/BL132,""),"")</f>
        <v>0.250894278196264</v>
      </c>
      <c r="BM186" s="37" t="n">
        <f aca="false">IF(AND(ISNUMBER(BM185),ISNUMBER(BM132)),IFERROR(BM185/BM132,""),"")</f>
        <v>0.259300781700273</v>
      </c>
      <c r="BN186" s="37" t="n">
        <f aca="false">IF(AND(ISNUMBER(BN185),ISNUMBER(BN132)),IFERROR(BN185/BN132,""),"")</f>
        <v>0.256147943548167</v>
      </c>
      <c r="BO186" s="37" t="n">
        <f aca="false">IF(AND(ISNUMBER(BO185),ISNUMBER(BO132)),IFERROR(BO185/BO132,""),"")</f>
        <v>0.262746693608481</v>
      </c>
      <c r="BP186" s="37" t="n">
        <f aca="false">IF(AND(ISNUMBER(BP185),ISNUMBER(BP132)),IFERROR(BP185/BP132,""),"")</f>
        <v>0.268127652083118</v>
      </c>
      <c r="BQ186" s="37" t="n">
        <f aca="false">IF(AND(ISNUMBER(BQ185),ISNUMBER(BQ132)),IFERROR(BQ185/BQ132,""),"")</f>
        <v>0.261656532016758</v>
      </c>
      <c r="BR186" s="37" t="n">
        <f aca="false">IF(AND(ISNUMBER(BR185),ISNUMBER(BR132)),IFERROR(BR185/BR132,""),"")</f>
        <v>0.270322399340898</v>
      </c>
      <c r="BS186" s="37" t="n">
        <f aca="false">IF(AND(ISNUMBER(BS185),ISNUMBER(BS132)),IFERROR(BS185/BS132,""),"")</f>
        <v>0.28161362613461</v>
      </c>
      <c r="BT186" s="37" t="n">
        <f aca="false">IF(AND(ISNUMBER(BT185),ISNUMBER(BT132)),IFERROR(BT185/BT132,""),"")</f>
        <v>0.282428169383315</v>
      </c>
      <c r="BU186" s="37" t="n">
        <f aca="false">IF(AND(ISNUMBER(BU185),ISNUMBER(BU132)),IFERROR(BU185/BU132,""),"")</f>
        <v>0.269653238128512</v>
      </c>
      <c r="BV186" s="37" t="n">
        <f aca="false">IF(AND(ISNUMBER(BV185),ISNUMBER(BV132)),IFERROR(BV185/BV132,""),"")</f>
        <v>0.276001841747258</v>
      </c>
      <c r="BW186" s="37" t="n">
        <f aca="false">IF(AND(ISNUMBER(BW185),ISNUMBER(BW132)),IFERROR(BW185/BW132,""),"")</f>
        <v>0.273643346398727</v>
      </c>
      <c r="BX186" s="37" t="n">
        <f aca="false">IF(AND(ISNUMBER(BX185),ISNUMBER(BX132)),IFERROR(BX185/BX132,""),"")</f>
        <v>0.279720442058406</v>
      </c>
      <c r="BY186" s="37" t="n">
        <f aca="false">IF(AND(ISNUMBER(BY185),ISNUMBER(BY132)),IFERROR(BY185/BY132,""),"")</f>
        <v>0.277525793223446</v>
      </c>
      <c r="BZ186" s="37" t="n">
        <f aca="false">IF(AND(ISNUMBER(BZ185),ISNUMBER(BZ132)),IFERROR(BZ185/BZ132,""),"")</f>
        <v>0.281493926586197</v>
      </c>
      <c r="CA186" s="37" t="n">
        <f aca="false">IF(AND(ISNUMBER(CA185),ISNUMBER(CA132)),IFERROR(CA185/CA132,""),"")</f>
        <v>0.278256591506913</v>
      </c>
      <c r="CB186" s="37" t="n">
        <f aca="false">IF(AND(ISNUMBER(CB185),ISNUMBER(CB132)),IFERROR(CB185/CB132,""),"")</f>
        <v>0.283221758863112</v>
      </c>
      <c r="CC186" s="28" t="n">
        <f aca="false">IF(AND(ISNUMBER(CC185),ISNUMBER(CC132)),IFERROR(CC185/CC132,""),"")</f>
        <v>0.277663188461127</v>
      </c>
      <c r="CD186" s="28" t="n">
        <f aca="false">IF(AND(ISNUMBER(CD185),ISNUMBER(CD132)),IFERROR(CD185/CD132,""),"")</f>
        <v>0.257227482007769</v>
      </c>
      <c r="CE186" s="28" t="n">
        <f aca="false">IF(AND(ISNUMBER(CE185),ISNUMBER(CE132)),IFERROR(CE185/CE132,""),"")</f>
        <v>0.25322960410739</v>
      </c>
      <c r="CF186" s="28" t="n">
        <f aca="false">IF(AND(ISNUMBER(CF185),ISNUMBER(CF132)),IFERROR(CF185/CF132,""),"")</f>
        <v>0.266626542488276</v>
      </c>
      <c r="CG186" s="28" t="n">
        <f aca="false">IF(AND(ISNUMBER(CG185),ISNUMBER(CG132)),IFERROR(CG185/CG132,""),"")</f>
        <v>0.266554963040673</v>
      </c>
      <c r="CH186" s="28" t="n">
        <f aca="false">IF(AND(ISNUMBER(CH185),ISNUMBER(CH132)),IFERROR(CH185/CH132,""),"")</f>
        <v>0.277395348017208</v>
      </c>
      <c r="CI186" s="28" t="n">
        <f aca="false">IF(AND(ISNUMBER(CI185),ISNUMBER(CI132)),IFERROR(CI185/CI132,""),"")</f>
        <v>0.287052377406019</v>
      </c>
      <c r="CJ186" s="28" t="n">
        <f aca="false">IF(AND(ISNUMBER(CJ185),ISNUMBER(CJ132)),IFERROR(CJ185/CJ132,""),"")</f>
        <v>0.29278205748692</v>
      </c>
      <c r="CK186" s="23"/>
    </row>
    <row r="187" customFormat="false" ht="15" hidden="false" customHeight="true" outlineLevel="0" collapsed="false">
      <c r="B187" s="42" t="s">
        <v>450</v>
      </c>
      <c r="I187" s="34" t="n">
        <v>735.734</v>
      </c>
      <c r="J187" s="34" t="n">
        <v>185.813</v>
      </c>
      <c r="K187" s="34" t="n">
        <v>186.024</v>
      </c>
      <c r="L187" s="34" t="n">
        <v>180.987</v>
      </c>
      <c r="M187" s="34" t="n">
        <v>202.173</v>
      </c>
      <c r="N187" s="34" t="n">
        <v>754.997</v>
      </c>
      <c r="O187" s="34" t="n">
        <v>188.532</v>
      </c>
      <c r="P187" s="34" t="n">
        <v>201.583</v>
      </c>
      <c r="Q187" s="34" t="n">
        <v>198.57</v>
      </c>
      <c r="S187" s="34" t="n">
        <v>864.542</v>
      </c>
      <c r="CC187" s="43"/>
      <c r="CD187" s="43"/>
      <c r="CE187" s="43"/>
      <c r="CF187" s="43"/>
      <c r="CG187" s="43"/>
      <c r="CH187" s="43"/>
      <c r="CI187" s="43"/>
      <c r="CJ187" s="43"/>
      <c r="CK187" s="23"/>
    </row>
    <row r="188" customFormat="false" ht="15" hidden="false" customHeight="true" outlineLevel="0" collapsed="false">
      <c r="B188" s="57" t="s">
        <v>451</v>
      </c>
      <c r="C188" s="45" t="str">
        <f aca="false">IF(ISNUMBER(C187),ROUND(C177-C175-C187,1),"n/p")</f>
        <v>n/p</v>
      </c>
      <c r="D188" s="45" t="str">
        <f aca="false">IF(ISNUMBER(D187),ROUND(D177-D175-D187,1),"n/p")</f>
        <v>n/p</v>
      </c>
      <c r="E188" s="45" t="str">
        <f aca="false">IF(ISNUMBER(E187),ROUND(E177-E175-E187,1),"n/p")</f>
        <v>n/p</v>
      </c>
      <c r="F188" s="45" t="str">
        <f aca="false">IF(ISNUMBER(F187),ROUND(F177-F175-F187,1),"n/p")</f>
        <v>n/p</v>
      </c>
      <c r="G188" s="45" t="str">
        <f aca="false">IF(ISNUMBER(G187),ROUND(G177-G175-G187,1),"n/p")</f>
        <v>n/p</v>
      </c>
      <c r="H188" s="45" t="str">
        <f aca="false">IF(ISNUMBER(H187),ROUND(H177-H175-H187,1),"n/p")</f>
        <v>n/p</v>
      </c>
      <c r="I188" s="45" t="n">
        <f aca="false">IF(ISNUMBER(I187),ROUND(I177-I175-I187,1),"n/p")</f>
        <v>0</v>
      </c>
      <c r="J188" s="45" t="n">
        <f aca="false">IF(ISNUMBER(J187),ROUND(J177-J175-J187,1),"n/p")</f>
        <v>0</v>
      </c>
      <c r="K188" s="45" t="n">
        <f aca="false">IF(ISNUMBER(K187),ROUND(K177-K175-K187,1),"n/p")</f>
        <v>0</v>
      </c>
      <c r="L188" s="45" t="n">
        <f aca="false">IF(ISNUMBER(L187),ROUND(L177-L175-L187,1),"n/p")</f>
        <v>0</v>
      </c>
      <c r="M188" s="45" t="n">
        <f aca="false">IF(ISNUMBER(M187),ROUND(M177-M175-M187,1),"n/p")</f>
        <v>0</v>
      </c>
      <c r="N188" s="45" t="n">
        <f aca="false">IF(ISNUMBER(N187),ROUND(N177-N175-N187,1),"n/p")</f>
        <v>0</v>
      </c>
      <c r="O188" s="45" t="n">
        <f aca="false">IF(ISNUMBER(O187),ROUND(O177-O175-O187,1),"n/p")</f>
        <v>0</v>
      </c>
      <c r="P188" s="45" t="n">
        <f aca="false">IF(ISNUMBER(P187),ROUND(P177-P175-P187,1),"n/p")</f>
        <v>0</v>
      </c>
      <c r="Q188" s="45" t="n">
        <f aca="false">IF(ISNUMBER(Q187),ROUND(Q177-Q175-Q187,1),"n/p")</f>
        <v>0</v>
      </c>
      <c r="R188" s="45" t="str">
        <f aca="false">IF(ISNUMBER(R187),ROUND(R177-R175-R187,1),"n/p")</f>
        <v>n/p</v>
      </c>
      <c r="S188" s="45" t="n">
        <f aca="false">IF(ISNUMBER(S187),ROUND(S177-S175-S187,1),"n/p")</f>
        <v>0</v>
      </c>
      <c r="T188" s="45" t="str">
        <f aca="false">IF(ISNUMBER(T187),ROUND(T177-T175-T187,1),"n/p")</f>
        <v>n/p</v>
      </c>
      <c r="U188" s="45" t="str">
        <f aca="false">IF(ISNUMBER(U187),ROUND(U177-U175-U187,1),"n/p")</f>
        <v>n/p</v>
      </c>
      <c r="V188" s="45" t="str">
        <f aca="false">IF(ISNUMBER(V187),ROUND(V177-V175-V187,1),"n/p")</f>
        <v>n/p</v>
      </c>
      <c r="W188" s="45" t="str">
        <f aca="false">IF(ISNUMBER(W187),ROUND(W177-W175-W187,1),"n/p")</f>
        <v>n/p</v>
      </c>
      <c r="X188" s="45" t="str">
        <f aca="false">IF(ISNUMBER(X187),ROUND(X177-X175-X187,1),"n/p")</f>
        <v>n/p</v>
      </c>
      <c r="Y188" s="45" t="str">
        <f aca="false">IF(ISNUMBER(Y187),ROUND(Y177-Y175-Y187,1),"n/p")</f>
        <v>n/p</v>
      </c>
      <c r="Z188" s="45" t="str">
        <f aca="false">IF(ISNUMBER(Z187),ROUND(Z177-Z175-Z187,1),"n/p")</f>
        <v>n/p</v>
      </c>
      <c r="AA188" s="45" t="str">
        <f aca="false">IF(ISNUMBER(AA187),ROUND(AA177-AA175-AA187,1),"n/p")</f>
        <v>n/p</v>
      </c>
      <c r="AB188" s="45" t="str">
        <f aca="false">IF(ISNUMBER(AB187),ROUND(AB177-AB175-AB187,1),"n/p")</f>
        <v>n/p</v>
      </c>
      <c r="AC188" s="45" t="str">
        <f aca="false">IF(ISNUMBER(AC187),ROUND(AC177-AC175-AC187,1),"n/p")</f>
        <v>n/p</v>
      </c>
      <c r="AD188" s="45" t="str">
        <f aca="false">IF(ISNUMBER(AD187),ROUND(AD177-AD175-AD187,1),"n/p")</f>
        <v>n/p</v>
      </c>
      <c r="AE188" s="45" t="str">
        <f aca="false">IF(ISNUMBER(AE187),ROUND(AE177-AE175-AE187,1),"n/p")</f>
        <v>n/p</v>
      </c>
      <c r="AF188" s="45" t="str">
        <f aca="false">IF(ISNUMBER(AF187),ROUND(AF177-AF175-AF187,1),"n/p")</f>
        <v>n/p</v>
      </c>
      <c r="AG188" s="45" t="str">
        <f aca="false">IF(ISNUMBER(AG187),ROUND(AG177-AG175-AG187,1),"n/p")</f>
        <v>n/p</v>
      </c>
      <c r="AH188" s="45" t="str">
        <f aca="false">IF(ISNUMBER(AH187),ROUND(AH177-AH175-AH187,1),"n/p")</f>
        <v>n/p</v>
      </c>
      <c r="AI188" s="45" t="str">
        <f aca="false">IF(ISNUMBER(AI187),ROUND(AI177-AI175-AI187,1),"n/p")</f>
        <v>n/p</v>
      </c>
      <c r="AJ188" s="45" t="str">
        <f aca="false">IF(ISNUMBER(AJ187),ROUND(AJ177-AJ175-AJ187,1),"n/p")</f>
        <v>n/p</v>
      </c>
      <c r="AK188" s="45" t="str">
        <f aca="false">IF(ISNUMBER(AK187),ROUND(AK177-AK175-AK187,1),"n/p")</f>
        <v>n/p</v>
      </c>
      <c r="AL188" s="45" t="str">
        <f aca="false">IF(ISNUMBER(AL187),ROUND(AL177-AL175-AL187,1),"n/p")</f>
        <v>n/p</v>
      </c>
      <c r="AM188" s="45" t="str">
        <f aca="false">IF(ISNUMBER(AM187),ROUND(AM177-AM175-AM187,1),"n/p")</f>
        <v>n/p</v>
      </c>
      <c r="AN188" s="45" t="str">
        <f aca="false">IF(ISNUMBER(AN187),ROUND(AN177-AN175-AN187,1),"n/p")</f>
        <v>n/p</v>
      </c>
      <c r="AO188" s="45" t="str">
        <f aca="false">IF(ISNUMBER(AO187),ROUND(AO177-AO175-AO187,1),"n/p")</f>
        <v>n/p</v>
      </c>
      <c r="AP188" s="45" t="str">
        <f aca="false">IF(ISNUMBER(AP187),ROUND(AP177-AP175-AP187,1),"n/p")</f>
        <v>n/p</v>
      </c>
      <c r="AQ188" s="45" t="str">
        <f aca="false">IF(ISNUMBER(AQ187),ROUND(AQ177-AQ175-AQ187,1),"n/p")</f>
        <v>n/p</v>
      </c>
      <c r="AR188" s="45" t="str">
        <f aca="false">IF(ISNUMBER(AR187),ROUND(AR177-AR175-AR187,1),"n/p")</f>
        <v>n/p</v>
      </c>
      <c r="AS188" s="45" t="str">
        <f aca="false">IF(ISNUMBER(AS187),ROUND(AS177-AS175-AS187,1),"n/p")</f>
        <v>n/p</v>
      </c>
      <c r="AT188" s="45" t="str">
        <f aca="false">IF(ISNUMBER(AT187),ROUND(AT177-AT175-AT187,1),"n/p")</f>
        <v>n/p</v>
      </c>
      <c r="AU188" s="45" t="str">
        <f aca="false">IF(ISNUMBER(AU187),ROUND(AU177-AU175-AU187,1),"n/p")</f>
        <v>n/p</v>
      </c>
      <c r="AV188" s="45" t="str">
        <f aca="false">IF(ISNUMBER(AV187),ROUND(AV177-AV175-AV187,1),"n/p")</f>
        <v>n/p</v>
      </c>
      <c r="AW188" s="45" t="str">
        <f aca="false">IF(ISNUMBER(AW187),ROUND(AW177-AW175-AW187,1),"n/p")</f>
        <v>n/p</v>
      </c>
      <c r="AX188" s="45" t="str">
        <f aca="false">IF(ISNUMBER(AX187),ROUND(AX177-AX175-AX187,1),"n/p")</f>
        <v>n/p</v>
      </c>
      <c r="AY188" s="45" t="str">
        <f aca="false">IF(ISNUMBER(AY187),ROUND(AY177-AY175-AY187,1),"n/p")</f>
        <v>n/p</v>
      </c>
      <c r="AZ188" s="45" t="str">
        <f aca="false">IF(ISNUMBER(AZ187),ROUND(AZ177-AZ175-AZ187,1),"n/p")</f>
        <v>n/p</v>
      </c>
      <c r="BA188" s="45" t="str">
        <f aca="false">IF(ISNUMBER(BA187),ROUND(BA177-BA175-BA187,1),"n/p")</f>
        <v>n/p</v>
      </c>
      <c r="BB188" s="45" t="str">
        <f aca="false">IF(ISNUMBER(BB187),ROUND(BB177-BB175-BB187,1),"n/p")</f>
        <v>n/p</v>
      </c>
      <c r="BC188" s="45" t="str">
        <f aca="false">IF(ISNUMBER(BC187),ROUND(BC177-BC175-BC187,1),"n/p")</f>
        <v>n/p</v>
      </c>
      <c r="BD188" s="45" t="str">
        <f aca="false">IF(ISNUMBER(BD187),ROUND(BD177-BD175-BD187,1),"n/p")</f>
        <v>n/p</v>
      </c>
      <c r="BE188" s="45" t="str">
        <f aca="false">IF(ISNUMBER(BE187),ROUND(BE177-BE175-BE187,1),"n/p")</f>
        <v>n/p</v>
      </c>
      <c r="BF188" s="45" t="str">
        <f aca="false">IF(ISNUMBER(BF187),ROUND(BF177-BF175-BF187,1),"n/p")</f>
        <v>n/p</v>
      </c>
      <c r="BG188" s="45" t="str">
        <f aca="false">IF(ISNUMBER(BG187),ROUND(BG177-BG175-BG187,1),"n/p")</f>
        <v>n/p</v>
      </c>
      <c r="BH188" s="45" t="str">
        <f aca="false">IF(ISNUMBER(BH187),ROUND(BH177-BH175-BH187,1),"n/p")</f>
        <v>n/p</v>
      </c>
      <c r="BI188" s="45" t="str">
        <f aca="false">IF(ISNUMBER(BI187),ROUND(BI177-BI175-BI187,1),"n/p")</f>
        <v>n/p</v>
      </c>
      <c r="BJ188" s="45" t="str">
        <f aca="false">IF(ISNUMBER(BJ187),ROUND(BJ177-BJ175-BJ187,1),"n/p")</f>
        <v>n/p</v>
      </c>
      <c r="BK188" s="45" t="str">
        <f aca="false">IF(ISNUMBER(BK187),ROUND(BK177-BK175-BK187,1),"n/p")</f>
        <v>n/p</v>
      </c>
      <c r="BL188" s="45" t="str">
        <f aca="false">IF(ISNUMBER(BL187),ROUND(BL177-BL175-BL187,1),"n/p")</f>
        <v>n/p</v>
      </c>
      <c r="BM188" s="45" t="str">
        <f aca="false">IF(ISNUMBER(BM187),ROUND(BM177-BM175-BM187,1),"n/p")</f>
        <v>n/p</v>
      </c>
      <c r="BN188" s="45" t="str">
        <f aca="false">IF(ISNUMBER(BN187),ROUND(BN177-BN175-BN187,1),"n/p")</f>
        <v>n/p</v>
      </c>
      <c r="BO188" s="45" t="str">
        <f aca="false">IF(ISNUMBER(BO187),ROUND(BO177-BO175-BO187,1),"n/p")</f>
        <v>n/p</v>
      </c>
      <c r="BP188" s="45" t="str">
        <f aca="false">IF(ISNUMBER(BP187),ROUND(BP177-BP175-BP187,1),"n/p")</f>
        <v>n/p</v>
      </c>
      <c r="BQ188" s="45" t="str">
        <f aca="false">IF(ISNUMBER(BQ187),ROUND(BQ177-BQ175-BQ187,1),"n/p")</f>
        <v>n/p</v>
      </c>
      <c r="BR188" s="45" t="str">
        <f aca="false">IF(ISNUMBER(BR187),ROUND(BR177-BR175-BR187,1),"n/p")</f>
        <v>n/p</v>
      </c>
      <c r="BS188" s="45" t="str">
        <f aca="false">IF(ISNUMBER(BS187),ROUND(BS177-BS175-BS187,1),"n/p")</f>
        <v>n/p</v>
      </c>
      <c r="BT188" s="45" t="str">
        <f aca="false">IF(ISNUMBER(BT187),ROUND(BT177-BT175-BT187,1),"n/p")</f>
        <v>n/p</v>
      </c>
      <c r="BU188" s="45" t="str">
        <f aca="false">IF(ISNUMBER(BU187),ROUND(BU177-BU175-BU187,1),"n/p")</f>
        <v>n/p</v>
      </c>
      <c r="BV188" s="45" t="str">
        <f aca="false">IF(ISNUMBER(BV187),ROUND(BV177-BV175-BV187,1),"n/p")</f>
        <v>n/p</v>
      </c>
      <c r="BW188" s="45" t="str">
        <f aca="false">IF(ISNUMBER(BW187),ROUND(BW177-BW175-BW187,1),"n/p")</f>
        <v>n/p</v>
      </c>
      <c r="BX188" s="45" t="str">
        <f aca="false">IF(ISNUMBER(BX187),ROUND(BX177-BX175-BX187,1),"n/p")</f>
        <v>n/p</v>
      </c>
      <c r="BY188" s="45" t="str">
        <f aca="false">IF(ISNUMBER(BY187),ROUND(BY177-BY175-BY187,1),"n/p")</f>
        <v>n/p</v>
      </c>
      <c r="BZ188" s="45" t="str">
        <f aca="false">IF(ISNUMBER(BZ187),ROUND(BZ177-BZ175-BZ187,1),"n/p")</f>
        <v>n/p</v>
      </c>
      <c r="CA188" s="45" t="str">
        <f aca="false">IF(ISNUMBER(CA187),ROUND(CA177-CA175-CA187,1),"n/p")</f>
        <v>n/p</v>
      </c>
      <c r="CB188" s="45" t="str">
        <f aca="false">IF(ISNUMBER(CB187),ROUND(CB177-CB175-CB187,1),"n/p")</f>
        <v>n/p</v>
      </c>
      <c r="CC188" s="58"/>
      <c r="CD188" s="58"/>
      <c r="CE188" s="58"/>
      <c r="CF188" s="58"/>
      <c r="CG188" s="58"/>
      <c r="CH188" s="58"/>
      <c r="CI188" s="58"/>
      <c r="CJ188" s="58"/>
      <c r="CK188" s="23"/>
    </row>
    <row r="189" customFormat="false" ht="15" hidden="false" customHeight="true" outlineLevel="0" collapsed="false">
      <c r="B189" s="71" t="s">
        <v>452</v>
      </c>
      <c r="F189" s="72" t="s">
        <v>453</v>
      </c>
      <c r="G189" s="72" t="s">
        <v>453</v>
      </c>
      <c r="H189" s="72" t="s">
        <v>453</v>
      </c>
      <c r="I189" s="72" t="s">
        <v>454</v>
      </c>
      <c r="J189" s="72" t="s">
        <v>454</v>
      </c>
      <c r="K189" s="72" t="s">
        <v>454</v>
      </c>
      <c r="L189" s="72" t="s">
        <v>454</v>
      </c>
      <c r="M189" s="72" t="s">
        <v>454</v>
      </c>
      <c r="N189" s="72" t="s">
        <v>454</v>
      </c>
      <c r="O189" s="72" t="s">
        <v>454</v>
      </c>
      <c r="P189" s="72" t="s">
        <v>454</v>
      </c>
      <c r="Q189" s="72" t="s">
        <v>454</v>
      </c>
      <c r="R189" s="72" t="s">
        <v>453</v>
      </c>
      <c r="S189" s="72" t="s">
        <v>454</v>
      </c>
      <c r="T189" s="72" t="s">
        <v>453</v>
      </c>
      <c r="V189" s="72" t="s">
        <v>453</v>
      </c>
      <c r="W189" s="72" t="s">
        <v>453</v>
      </c>
      <c r="X189" s="72" t="s">
        <v>453</v>
      </c>
      <c r="AD189" s="72" t="s">
        <v>453</v>
      </c>
      <c r="AE189" s="72" t="s">
        <v>453</v>
      </c>
      <c r="AF189" s="72" t="s">
        <v>453</v>
      </c>
      <c r="AG189" s="72" t="s">
        <v>453</v>
      </c>
      <c r="AH189" s="72" t="s">
        <v>453</v>
      </c>
      <c r="AI189" s="72" t="s">
        <v>453</v>
      </c>
      <c r="AJ189" s="72" t="s">
        <v>453</v>
      </c>
      <c r="AK189" s="72" t="s">
        <v>453</v>
      </c>
      <c r="AL189" s="72" t="s">
        <v>453</v>
      </c>
      <c r="AM189" s="72" t="s">
        <v>453</v>
      </c>
      <c r="AN189" s="72" t="s">
        <v>453</v>
      </c>
      <c r="AO189" s="72" t="s">
        <v>453</v>
      </c>
      <c r="AP189" s="72" t="s">
        <v>453</v>
      </c>
      <c r="AQ189" s="72" t="s">
        <v>453</v>
      </c>
      <c r="AR189" s="72" t="s">
        <v>453</v>
      </c>
      <c r="AS189" s="72" t="s">
        <v>453</v>
      </c>
      <c r="AT189" s="72" t="s">
        <v>453</v>
      </c>
      <c r="AU189" s="72" t="s">
        <v>453</v>
      </c>
      <c r="AV189" s="72" t="s">
        <v>453</v>
      </c>
      <c r="AW189" s="72" t="s">
        <v>453</v>
      </c>
      <c r="AY189" s="72" t="s">
        <v>453</v>
      </c>
      <c r="BC189" s="72" t="s">
        <v>453</v>
      </c>
      <c r="BD189" s="72" t="s">
        <v>453</v>
      </c>
      <c r="BE189" s="72" t="s">
        <v>453</v>
      </c>
      <c r="BG189" s="72" t="s">
        <v>453</v>
      </c>
      <c r="BZ189" s="72" t="s">
        <v>453</v>
      </c>
      <c r="CA189" s="72" t="s">
        <v>453</v>
      </c>
      <c r="CB189" s="72" t="s">
        <v>453</v>
      </c>
      <c r="CC189" s="72"/>
      <c r="CD189" s="72"/>
      <c r="CE189" s="72"/>
      <c r="CF189" s="72"/>
      <c r="CG189" s="72"/>
      <c r="CH189" s="72"/>
      <c r="CI189" s="72"/>
      <c r="CJ189" s="72"/>
      <c r="CK189" s="23" t="s">
        <v>455</v>
      </c>
    </row>
    <row r="190" customFormat="false" ht="15" hidden="false" customHeight="true" outlineLevel="0" collapsed="false">
      <c r="B190" s="67" t="s">
        <v>456</v>
      </c>
    </row>
    <row r="191" customFormat="false" ht="15" hidden="false" customHeight="true" outlineLevel="0" collapsed="false">
      <c r="B191" s="29" t="s">
        <v>457</v>
      </c>
      <c r="C191" s="45" t="n">
        <f aca="false">-C176</f>
        <v>-160.653</v>
      </c>
      <c r="D191" s="45" t="n">
        <f aca="false">-D176</f>
        <v>-175.926</v>
      </c>
      <c r="E191" s="45" t="n">
        <f aca="false">-E176</f>
        <v>-191.903</v>
      </c>
      <c r="F191" s="45" t="n">
        <f aca="false">-F176</f>
        <v>-200.106</v>
      </c>
      <c r="G191" s="45" t="n">
        <f aca="false">-G176</f>
        <v>-193.141</v>
      </c>
      <c r="H191" s="45" t="n">
        <f aca="false">-H176</f>
        <v>-193.467</v>
      </c>
      <c r="I191" s="45" t="n">
        <f aca="false">-I176</f>
        <v>-194.165</v>
      </c>
      <c r="J191" s="45" t="n">
        <f aca="false">-J176</f>
        <v>-46.442</v>
      </c>
      <c r="K191" s="45" t="n">
        <f aca="false">-K176</f>
        <v>-46.852</v>
      </c>
      <c r="L191" s="45" t="n">
        <f aca="false">-L176</f>
        <v>-47.832</v>
      </c>
      <c r="M191" s="45" t="n">
        <f aca="false">-M176</f>
        <v>-48.251</v>
      </c>
      <c r="N191" s="45" t="n">
        <f aca="false">-N176</f>
        <v>-189.377</v>
      </c>
      <c r="O191" s="45" t="n">
        <f aca="false">-O176</f>
        <v>-48.394</v>
      </c>
      <c r="P191" s="45" t="n">
        <f aca="false">-P176</f>
        <v>-48.527</v>
      </c>
      <c r="Q191" s="45" t="n">
        <f aca="false">-Q176</f>
        <v>-48.364</v>
      </c>
      <c r="R191" s="45" t="n">
        <f aca="false">-R176</f>
        <v>-45.577</v>
      </c>
      <c r="S191" s="45" t="n">
        <f aca="false">-S176</f>
        <v>-190.862</v>
      </c>
      <c r="T191" s="45" t="n">
        <f aca="false">-T176</f>
        <v>-39.654</v>
      </c>
      <c r="U191" s="45" t="n">
        <f aca="false">-U176</f>
        <v>-38.499</v>
      </c>
      <c r="V191" s="45" t="n">
        <f aca="false">-V176</f>
        <v>-37.887</v>
      </c>
      <c r="W191" s="45" t="n">
        <f aca="false">-W176</f>
        <v>-39.042</v>
      </c>
      <c r="X191" s="45" t="n">
        <f aca="false">-X176</f>
        <v>-155.082</v>
      </c>
      <c r="Y191" s="45" t="n">
        <f aca="false">-Y176</f>
        <v>-39.768</v>
      </c>
      <c r="Z191" s="45" t="n">
        <f aca="false">-Z176</f>
        <v>-41.126</v>
      </c>
      <c r="AA191" s="45" t="n">
        <f aca="false">-AA176</f>
        <v>-41.777</v>
      </c>
      <c r="AB191" s="45" t="n">
        <f aca="false">-AB176</f>
        <v>-42.608</v>
      </c>
      <c r="AC191" s="45" t="n">
        <f aca="false">-AC176</f>
        <v>-165.279</v>
      </c>
      <c r="AD191" s="45" t="n">
        <f aca="false">-AD176</f>
        <v>-43.168</v>
      </c>
      <c r="AE191" s="45" t="n">
        <f aca="false">-AE176</f>
        <v>-43.882</v>
      </c>
      <c r="AF191" s="45" t="n">
        <f aca="false">-AF176</f>
        <v>-44.664</v>
      </c>
      <c r="AG191" s="45" t="n">
        <f aca="false">-AG176</f>
        <v>-64.881</v>
      </c>
      <c r="AH191" s="45" t="n">
        <f aca="false">-AH176</f>
        <v>-196.595</v>
      </c>
      <c r="AI191" s="45" t="n">
        <f aca="false">-AI176</f>
        <v>-68.509</v>
      </c>
      <c r="AJ191" s="45" t="n">
        <f aca="false">-AJ176</f>
        <v>-70.33</v>
      </c>
      <c r="AK191" s="45" t="n">
        <f aca="false">-AK176</f>
        <v>-66.063</v>
      </c>
      <c r="AL191" s="45" t="n">
        <f aca="false">-AL176</f>
        <v>-74.514</v>
      </c>
      <c r="AM191" s="45" t="n">
        <f aca="false">-AM176</f>
        <v>-279.416</v>
      </c>
      <c r="AN191" s="45" t="n">
        <f aca="false">-AN176</f>
        <v>-86.295</v>
      </c>
      <c r="AO191" s="45" t="n">
        <f aca="false">-AO176</f>
        <v>-88.376</v>
      </c>
      <c r="AP191" s="45" t="n">
        <f aca="false">-AP176</f>
        <v>-91.658</v>
      </c>
      <c r="AQ191" s="45" t="n">
        <f aca="false">-AQ176</f>
        <v>-93.764</v>
      </c>
      <c r="AR191" s="45" t="n">
        <f aca="false">-AR176</f>
        <v>-360.093</v>
      </c>
      <c r="AS191" s="45" t="n">
        <f aca="false">-AS176</f>
        <v>-91.994</v>
      </c>
      <c r="AT191" s="45" t="n">
        <f aca="false">-AT176</f>
        <v>-94.336</v>
      </c>
      <c r="AU191" s="45" t="n">
        <f aca="false">-AU176</f>
        <v>-96.163</v>
      </c>
      <c r="AV191" s="45" t="n">
        <f aca="false">-AV176</f>
        <v>-96.56</v>
      </c>
      <c r="AW191" s="45" t="n">
        <f aca="false">-AW176</f>
        <v>-379.053</v>
      </c>
      <c r="AX191" s="45" t="n">
        <f aca="false">-AX176</f>
        <v>-96.179</v>
      </c>
      <c r="AY191" s="45" t="n">
        <f aca="false">-AY176</f>
        <v>-96.475</v>
      </c>
      <c r="AZ191" s="45" t="n">
        <f aca="false">-AZ176</f>
        <v>-97.167</v>
      </c>
      <c r="BA191" s="45" t="n">
        <f aca="false">-BA176</f>
        <v>-98.13</v>
      </c>
      <c r="BB191" s="45" t="n">
        <f aca="false">-BB176</f>
        <v>-387.951</v>
      </c>
      <c r="BC191" s="45" t="n">
        <f aca="false">-BC176</f>
        <v>-97.949</v>
      </c>
      <c r="BD191" s="45" t="n">
        <f aca="false">-BD176</f>
        <v>-98.69</v>
      </c>
      <c r="BE191" s="45" t="n">
        <f aca="false">-BE176</f>
        <v>-100.684</v>
      </c>
      <c r="BF191" s="45" t="n">
        <f aca="false">-BF176</f>
        <v>-102.378</v>
      </c>
      <c r="BG191" s="45" t="n">
        <f aca="false">-BG176</f>
        <v>-399.701</v>
      </c>
      <c r="BH191" s="45" t="n">
        <f aca="false">-BH176</f>
        <v>-100.046</v>
      </c>
      <c r="BI191" s="45" t="n">
        <f aca="false">-BI176</f>
        <v>-101.208</v>
      </c>
      <c r="BJ191" s="45" t="n">
        <f aca="false">-BJ176</f>
        <v>-102.828</v>
      </c>
      <c r="BK191" s="45" t="n">
        <f aca="false">-BK176</f>
        <v>-105.08</v>
      </c>
      <c r="BL191" s="45" t="n">
        <f aca="false">-BL176</f>
        <v>-409.162</v>
      </c>
      <c r="BM191" s="45" t="n">
        <f aca="false">-BM176</f>
        <v>-106.812</v>
      </c>
      <c r="BN191" s="45" t="n">
        <f aca="false">-BN176</f>
        <v>-109.226</v>
      </c>
      <c r="BO191" s="45" t="n">
        <f aca="false">-BO176</f>
        <v>-111.414</v>
      </c>
      <c r="BP191" s="45" t="n">
        <f aca="false">-BP176</f>
        <v>-114.932</v>
      </c>
      <c r="BQ191" s="45" t="n">
        <f aca="false">-BQ176</f>
        <v>-442.384</v>
      </c>
      <c r="BR191" s="45" t="n">
        <f aca="false">-BR176</f>
        <v>-115.204</v>
      </c>
      <c r="BS191" s="45" t="n">
        <f aca="false">-BS176</f>
        <v>-130.043</v>
      </c>
      <c r="BT191" s="45" t="n">
        <f aca="false">-BT176</f>
        <v>-127.047</v>
      </c>
      <c r="BU191" s="45" t="n">
        <f aca="false">-BU176</f>
        <v>-121.889</v>
      </c>
      <c r="BV191" s="45" t="n">
        <f aca="false">-BV176</f>
        <v>-494.183</v>
      </c>
      <c r="BW191" s="45" t="n">
        <f aca="false">-BW176</f>
        <v>-125.937</v>
      </c>
      <c r="BX191" s="45" t="n">
        <f aca="false">-BX176</f>
        <v>-127.501</v>
      </c>
      <c r="BY191" s="45" t="n">
        <f aca="false">-BY176</f>
        <v>-128.67</v>
      </c>
      <c r="BZ191" s="45" t="n">
        <f aca="false">-BZ176</f>
        <v>-130.738</v>
      </c>
      <c r="CA191" s="45" t="n">
        <f aca="false">-CA176</f>
        <v>-512.846</v>
      </c>
      <c r="CB191" s="45" t="n">
        <f aca="false">-CB176</f>
        <v>-127.326</v>
      </c>
      <c r="CC191" s="35" t="n">
        <f aca="false">-CC176</f>
        <v>-127.245651864496</v>
      </c>
      <c r="CD191" s="35" t="n">
        <f aca="false">-CD176</f>
        <v>-166.463611211981</v>
      </c>
      <c r="CE191" s="35" t="n">
        <f aca="false">-CE176</f>
        <v>-189.323615541752</v>
      </c>
      <c r="CF191" s="35" t="n">
        <f aca="false">-CF176</f>
        <v>-610.358878618228</v>
      </c>
      <c r="CG191" s="35" t="n">
        <f aca="false">-CG176</f>
        <v>-802.881746135705</v>
      </c>
      <c r="CH191" s="35" t="n">
        <f aca="false">-CH176</f>
        <v>-861.056335183205</v>
      </c>
      <c r="CI191" s="35" t="n">
        <f aca="false">-CI176</f>
        <v>-908.212787856121</v>
      </c>
      <c r="CJ191" s="35" t="n">
        <f aca="false">-CJ176</f>
        <v>-972.219011356796</v>
      </c>
      <c r="CK191" s="23"/>
    </row>
    <row r="192" customFormat="false" ht="15" hidden="false" customHeight="true" outlineLevel="0" collapsed="false">
      <c r="B192" s="55" t="s">
        <v>458</v>
      </c>
      <c r="C192" s="56" t="n">
        <f aca="false">C185+C191</f>
        <v>546.838</v>
      </c>
      <c r="D192" s="56" t="n">
        <f aca="false">D185+D191</f>
        <v>577.397</v>
      </c>
      <c r="E192" s="56" t="n">
        <f aca="false">E185+E191</f>
        <v>577.455</v>
      </c>
      <c r="F192" s="56" t="n">
        <f aca="false">F185+F191</f>
        <v>495.648</v>
      </c>
      <c r="G192" s="56" t="n">
        <f aca="false">G185+G191</f>
        <v>411.458</v>
      </c>
      <c r="H192" s="56" t="n">
        <f aca="false">H185+H191</f>
        <v>440.343</v>
      </c>
      <c r="I192" s="56" t="n">
        <f aca="false">I185+I191</f>
        <v>539.627</v>
      </c>
      <c r="J192" s="56" t="n">
        <f aca="false">J185+J191</f>
        <v>139.294</v>
      </c>
      <c r="K192" s="56" t="n">
        <f aca="false">K185+K191</f>
        <v>139.023</v>
      </c>
      <c r="L192" s="56" t="n">
        <f aca="false">L185+L191</f>
        <v>133.023</v>
      </c>
      <c r="M192" s="56" t="n">
        <f aca="false">M185+M191</f>
        <v>153.871</v>
      </c>
      <c r="N192" s="56" t="n">
        <f aca="false">N185+N191</f>
        <v>565.211</v>
      </c>
      <c r="O192" s="56" t="n">
        <f aca="false">O185+O191</f>
        <v>140.07</v>
      </c>
      <c r="P192" s="56" t="n">
        <f aca="false">P185+P191</f>
        <v>152.972</v>
      </c>
      <c r="Q192" s="56" t="n">
        <f aca="false">Q185+Q191</f>
        <v>150.162</v>
      </c>
      <c r="R192" s="56" t="n">
        <f aca="false">R185+R191</f>
        <v>166.272</v>
      </c>
      <c r="S192" s="56" t="n">
        <f aca="false">S185+S191</f>
        <v>611.634</v>
      </c>
      <c r="T192" s="56" t="n">
        <f aca="false">T185+T191</f>
        <v>163.488</v>
      </c>
      <c r="U192" s="56" t="n">
        <f aca="false">U185+U191</f>
        <v>181.175</v>
      </c>
      <c r="V192" s="56" t="n">
        <f aca="false">V185+V191</f>
        <v>173.617</v>
      </c>
      <c r="W192" s="56" t="n">
        <f aca="false">W185+W191</f>
        <v>177.719</v>
      </c>
      <c r="X192" s="56" t="n">
        <f aca="false">X185+X191</f>
        <v>696.407000000001</v>
      </c>
      <c r="Y192" s="56" t="n">
        <f aca="false">Y185+Y191</f>
        <v>185.507</v>
      </c>
      <c r="Z192" s="56" t="n">
        <f aca="false">Z185+Z191</f>
        <v>200.349</v>
      </c>
      <c r="AA192" s="56" t="n">
        <f aca="false">AA185+AA191</f>
        <v>192.952</v>
      </c>
      <c r="AB192" s="56" t="n">
        <f aca="false">AB185+AB191</f>
        <v>202.94</v>
      </c>
      <c r="AC192" s="56" t="n">
        <f aca="false">AC185+AC191</f>
        <v>781.747999999999</v>
      </c>
      <c r="AD192" s="56" t="n">
        <f aca="false">AD185+AD191</f>
        <v>209.748</v>
      </c>
      <c r="AE192" s="56" t="n">
        <f aca="false">AE185+AE191</f>
        <v>206.205</v>
      </c>
      <c r="AF192" s="56" t="n">
        <f aca="false">AF185+AF191</f>
        <v>204.039</v>
      </c>
      <c r="AG192" s="56" t="n">
        <f aca="false">AG185+AG191</f>
        <v>241.054</v>
      </c>
      <c r="AH192" s="56" t="n">
        <f aca="false">AH185+AH191</f>
        <v>852.915</v>
      </c>
      <c r="AI192" s="56" t="n">
        <f aca="false">AI185+AI191</f>
        <v>253.07</v>
      </c>
      <c r="AJ192" s="56" t="n">
        <f aca="false">AJ185+AJ191</f>
        <v>248.285</v>
      </c>
      <c r="AK192" s="56" t="n">
        <f aca="false">AK185+AK191</f>
        <v>249.845</v>
      </c>
      <c r="AL192" s="56" t="n">
        <f aca="false">AL185+AL191</f>
        <v>280.531</v>
      </c>
      <c r="AM192" s="56" t="n">
        <f aca="false">AM185+AM191</f>
        <v>1031.731</v>
      </c>
      <c r="AN192" s="56" t="n">
        <f aca="false">AN185+AN191</f>
        <v>270.078</v>
      </c>
      <c r="AO192" s="56" t="n">
        <f aca="false">AO185+AO191</f>
        <v>283.487</v>
      </c>
      <c r="AP192" s="56" t="n">
        <f aca="false">AP185+AP191</f>
        <v>279.054</v>
      </c>
      <c r="AQ192" s="56" t="n">
        <f aca="false">AQ185+AQ191</f>
        <v>315.325</v>
      </c>
      <c r="AR192" s="56" t="n">
        <f aca="false">AR185+AR191</f>
        <v>1147.944</v>
      </c>
      <c r="AS192" s="56" t="n">
        <f aca="false">AS185+AS191</f>
        <v>306.146</v>
      </c>
      <c r="AT192" s="56" t="n">
        <f aca="false">AT185+AT191</f>
        <v>334.464</v>
      </c>
      <c r="AU192" s="56" t="n">
        <f aca="false">AU185+AU191</f>
        <v>314.652</v>
      </c>
      <c r="AV192" s="56" t="n">
        <f aca="false">AV185+AV191</f>
        <v>207.434</v>
      </c>
      <c r="AW192" s="56" t="n">
        <f aca="false">AW185+AW191</f>
        <v>1162.696</v>
      </c>
      <c r="AX192" s="56" t="n">
        <f aca="false">AX185+AX191</f>
        <v>349.706</v>
      </c>
      <c r="AY192" s="56" t="n">
        <f aca="false">AY185+AY191</f>
        <v>334.909</v>
      </c>
      <c r="AZ192" s="56" t="n">
        <f aca="false">AZ185+AZ191</f>
        <v>322.57</v>
      </c>
      <c r="BA192" s="56" t="n">
        <f aca="false">BA185+BA191</f>
        <v>356.277</v>
      </c>
      <c r="BB192" s="56" t="n">
        <f aca="false">BB185+BB191</f>
        <v>1363.462</v>
      </c>
      <c r="BC192" s="56" t="n">
        <f aca="false">BC185+BC191</f>
        <v>381.972</v>
      </c>
      <c r="BD192" s="56" t="n">
        <f aca="false">BD185+BD191</f>
        <v>381.228</v>
      </c>
      <c r="BE192" s="56" t="n">
        <f aca="false">BE185+BE191</f>
        <v>377.454</v>
      </c>
      <c r="BF192" s="56" t="n">
        <f aca="false">BF185+BF191</f>
        <v>404.436</v>
      </c>
      <c r="BG192" s="56" t="n">
        <f aca="false">BG185+BG191</f>
        <v>1545.09</v>
      </c>
      <c r="BH192" s="56" t="n">
        <f aca="false">BH185+BH191</f>
        <v>440.12</v>
      </c>
      <c r="BI192" s="56" t="n">
        <f aca="false">BI185+BI191</f>
        <v>444.934</v>
      </c>
      <c r="BJ192" s="56" t="n">
        <f aca="false">BJ185+BJ191</f>
        <v>446.812</v>
      </c>
      <c r="BK192" s="56" t="n">
        <f aca="false">BK185+BK191</f>
        <v>470.798</v>
      </c>
      <c r="BL192" s="56" t="n">
        <f aca="false">BL185+BL191</f>
        <v>1802.664</v>
      </c>
      <c r="BM192" s="56" t="n">
        <f aca="false">BM185+BM191</f>
        <v>500.556</v>
      </c>
      <c r="BN192" s="56" t="n">
        <f aca="false">BN185+BN191</f>
        <v>499.683</v>
      </c>
      <c r="BO192" s="56" t="n">
        <f aca="false">BO185+BO191</f>
        <v>520.8</v>
      </c>
      <c r="BP192" s="56" t="n">
        <f aca="false">BP185+BP191</f>
        <v>547.594</v>
      </c>
      <c r="BQ192" s="56" t="n">
        <f aca="false">BQ185+BQ191</f>
        <v>2068.633</v>
      </c>
      <c r="BR192" s="56" t="n">
        <f aca="false">BR185+BR191</f>
        <v>561.031</v>
      </c>
      <c r="BS192" s="56" t="n">
        <f aca="false">BS185+BS191</f>
        <v>591.39</v>
      </c>
      <c r="BT192" s="56" t="n">
        <f aca="false">BT185+BT191</f>
        <v>609.853</v>
      </c>
      <c r="BU192" s="56" t="n">
        <f aca="false">BU185+BU191</f>
        <v>597.452</v>
      </c>
      <c r="BV192" s="56" t="n">
        <f aca="false">BV185+BV191</f>
        <v>2359.726</v>
      </c>
      <c r="BW192" s="56" t="n">
        <f aca="false">BW185+BW191</f>
        <v>617.859</v>
      </c>
      <c r="BX192" s="56" t="n">
        <f aca="false">BX185+BX191</f>
        <v>655.714</v>
      </c>
      <c r="BY192" s="56" t="n">
        <f aca="false">BY185+BY191</f>
        <v>659.904</v>
      </c>
      <c r="BZ192" s="56" t="n">
        <f aca="false">BZ185+BZ191</f>
        <v>687.059</v>
      </c>
      <c r="CA192" s="56" t="n">
        <f aca="false">CA185+CA191</f>
        <v>2621.648</v>
      </c>
      <c r="CB192" s="56" t="n">
        <f aca="false">CB185+CB191</f>
        <v>726.299</v>
      </c>
      <c r="CC192" s="56" t="n">
        <f aca="false">CC185+CC191</f>
        <v>709.097820906974</v>
      </c>
      <c r="CD192" s="56" t="n">
        <f aca="false">CD185+CD191</f>
        <v>728.439891529031</v>
      </c>
      <c r="CE192" s="56" t="n">
        <f aca="false">CE185+CE191</f>
        <v>766.387741079879</v>
      </c>
      <c r="CF192" s="56" t="n">
        <f aca="false">CF185+CF191</f>
        <v>2930.22445351588</v>
      </c>
      <c r="CG192" s="56" t="n">
        <f aca="false">CG185+CG191</f>
        <v>3432.91475592976</v>
      </c>
      <c r="CH192" s="56" t="n">
        <f aca="false">CH185+CH191</f>
        <v>3886.32705741825</v>
      </c>
      <c r="CI192" s="56" t="n">
        <f aca="false">CI185+CI191</f>
        <v>4382.40885849476</v>
      </c>
      <c r="CJ192" s="56" t="n">
        <f aca="false">CJ185+CJ191</f>
        <v>4815.15636015633</v>
      </c>
      <c r="CK192" s="23"/>
      <c r="CM192" s="24" t="n">
        <f aca="false">IFERROR((CJ192/CA192)^(1/5)-1,"n/m")</f>
        <v>0.129294473642562</v>
      </c>
      <c r="CN192" s="24" t="n">
        <f aca="false">IFERROR((CA192/BB192)^(1/5)-1,"n/m")</f>
        <v>0.139688768267376</v>
      </c>
      <c r="CO192" s="24" t="n">
        <f aca="false">IFERROR((CA192/AC192)^(1/10)-1,"n/m")</f>
        <v>0.128627843260427</v>
      </c>
      <c r="CP192" s="24" t="n">
        <f aca="false">IFERROR((CA192/C192)^(1/20)-1,"n/m")</f>
        <v>0.0815230621922634</v>
      </c>
    </row>
    <row r="193" customFormat="false" ht="15" hidden="false" customHeight="true" outlineLevel="0" collapsed="false">
      <c r="B193" s="29" t="s">
        <v>459</v>
      </c>
      <c r="C193" s="37" t="n">
        <f aca="false">IF(AND(ISNUMBER(C192),ISNUMBER(C132)),IFERROR(C192/C132,""),"")</f>
        <v>0.160664212800064</v>
      </c>
      <c r="D193" s="37" t="n">
        <f aca="false">IF(AND(ISNUMBER(D192),ISNUMBER(D132)),IFERROR(D192/D132,""),"")</f>
        <v>0.15576276673231</v>
      </c>
      <c r="E193" s="37" t="n">
        <f aca="false">IF(AND(ISNUMBER(E192),ISNUMBER(E132)),IFERROR(E192/E132,""),"")</f>
        <v>0.146640341298662</v>
      </c>
      <c r="F193" s="37" t="n">
        <f aca="false">IF(AND(ISNUMBER(F192),ISNUMBER(F132)),IFERROR(F192/F132,""),"")</f>
        <v>0.13130844030694</v>
      </c>
      <c r="G193" s="37" t="n">
        <f aca="false">IF(AND(ISNUMBER(G192),ISNUMBER(G132)),IFERROR(G192/G132,""),"")</f>
        <v>0.115990605916153</v>
      </c>
      <c r="H193" s="37" t="n">
        <f aca="false">IF(AND(ISNUMBER(H192),ISNUMBER(H132)),IFERROR(H192/H132,""),"")</f>
        <v>0.115563943161634</v>
      </c>
      <c r="I193" s="37" t="n">
        <f aca="false">IF(AND(ISNUMBER(I192),ISNUMBER(I132)),IFERROR(I192/I132,""),"")</f>
        <v>0.13155216967333</v>
      </c>
      <c r="J193" s="37" t="n">
        <f aca="false">IF(AND(ISNUMBER(J192),ISNUMBER(J132)),IFERROR(J192/J132,""),"")</f>
        <v>0.132493757876965</v>
      </c>
      <c r="K193" s="37" t="n">
        <f aca="false">IF(AND(ISNUMBER(K192),ISNUMBER(K132)),IFERROR(K192/K132,""),"")</f>
        <v>0.131106031199959</v>
      </c>
      <c r="L193" s="37" t="n">
        <f aca="false">IF(AND(ISNUMBER(L192),ISNUMBER(L132)),IFERROR(L192/L132,""),"")</f>
        <v>0.123664790633594</v>
      </c>
      <c r="M193" s="37" t="n">
        <f aca="false">IF(AND(ISNUMBER(M192),ISNUMBER(M132)),IFERROR(M192/M132,""),"")</f>
        <v>0.136279255964559</v>
      </c>
      <c r="N193" s="37" t="n">
        <f aca="false">IF(AND(ISNUMBER(N192),ISNUMBER(N132)),IFERROR(N192/N132,""),"")</f>
        <v>0.130942846598529</v>
      </c>
      <c r="O193" s="37" t="n">
        <f aca="false">IF(AND(ISNUMBER(O192),ISNUMBER(O132)),IFERROR(O192/O132,""),"")</f>
        <v>0.125024211335279</v>
      </c>
      <c r="P193" s="37" t="n">
        <f aca="false">IF(AND(ISNUMBER(P192),ISNUMBER(P132)),IFERROR(P192/P132,""),"")</f>
        <v>0.133745660120673</v>
      </c>
      <c r="Q193" s="37" t="n">
        <f aca="false">IF(AND(ISNUMBER(Q192),ISNUMBER(Q132)),IFERROR(Q192/Q132,""),"")</f>
        <v>0.13285886057526</v>
      </c>
      <c r="R193" s="37" t="n">
        <f aca="false">IF(AND(ISNUMBER(R192),ISNUMBER(R132)),IFERROR(R192/R132,""),"")</f>
        <v>0.14365012237803</v>
      </c>
      <c r="S193" s="37" t="n">
        <f aca="false">IF(AND(ISNUMBER(S192),ISNUMBER(S132)),IFERROR(S192/S132,""),"")</f>
        <v>0.134371542585678</v>
      </c>
      <c r="T193" s="37" t="n">
        <f aca="false">IF(AND(ISNUMBER(T192),ISNUMBER(T132)),IFERROR(T192/T132,""),"")</f>
        <v>0.148345351549846</v>
      </c>
      <c r="U193" s="37" t="n">
        <f aca="false">IF(AND(ISNUMBER(U192),ISNUMBER(U132)),IFERROR(U192/U132,""),"")</f>
        <v>0.161276826431685</v>
      </c>
      <c r="V193" s="37" t="n">
        <f aca="false">IF(AND(ISNUMBER(V192),ISNUMBER(V132)),IFERROR(V192/V132,""),"")</f>
        <v>0.156574351556166</v>
      </c>
      <c r="W193" s="37" t="n">
        <f aca="false">IF(AND(ISNUMBER(W192),ISNUMBER(W132)),IFERROR(W192/W132,""),"")</f>
        <v>0.155541435501841</v>
      </c>
      <c r="X193" s="37" t="n">
        <f aca="false">IF(AND(ISNUMBER(X192),ISNUMBER(X132)),IFERROR(X192/X132,""),"")</f>
        <v>0.155556116461308</v>
      </c>
      <c r="Y193" s="37" t="n">
        <f aca="false">IF(AND(ISNUMBER(Y192),ISNUMBER(Y132)),IFERROR(Y192/Y132,""),"")</f>
        <v>0.154732294038653</v>
      </c>
      <c r="Z193" s="37" t="n">
        <f aca="false">IF(AND(ISNUMBER(Z192),ISNUMBER(Z132)),IFERROR(Z192/Z132,""),"")</f>
        <v>0.164344423663746</v>
      </c>
      <c r="AA193" s="37" t="n">
        <f aca="false">IF(AND(ISNUMBER(AA192),ISNUMBER(AA132)),IFERROR(AA192/AA132,""),"")</f>
        <v>0.158666801525883</v>
      </c>
      <c r="AB193" s="37" t="n">
        <f aca="false">IF(AND(ISNUMBER(AB192),ISNUMBER(AB132)),IFERROR(AB192/AB132,""),"")</f>
        <v>0.159618689559975</v>
      </c>
      <c r="AC193" s="37" t="n">
        <f aca="false">IF(AND(ISNUMBER(AC192),ISNUMBER(AC132)),IFERROR(AC192/AC132,""),"")</f>
        <v>0.159362897409375</v>
      </c>
      <c r="AD193" s="37" t="n">
        <f aca="false">IF(AND(ISNUMBER(AD192),ISNUMBER(AD132)),IFERROR(AD192/AD132,""),"")</f>
        <v>0.162076452906586</v>
      </c>
      <c r="AE193" s="37" t="n">
        <f aca="false">IF(AND(ISNUMBER(AE192),ISNUMBER(AE132)),IFERROR(AE192/AE132,""),"")</f>
        <v>0.158995561031765</v>
      </c>
      <c r="AF193" s="37" t="n">
        <f aca="false">IF(AND(ISNUMBER(AF192),ISNUMBER(AF132)),IFERROR(AF192/AF132,""),"")</f>
        <v>0.159264246156728</v>
      </c>
      <c r="AG193" s="37" t="n">
        <f aca="false">IF(AND(ISNUMBER(AG192),ISNUMBER(AG132)),IFERROR(AG192/AG132,""),"")</f>
        <v>0.157522085726403</v>
      </c>
      <c r="AH193" s="37" t="n">
        <f aca="false">IF(AND(ISNUMBER(AH192),ISNUMBER(AH132)),IFERROR(AH192/AH132,""),"")</f>
        <v>0.160220544048979</v>
      </c>
      <c r="AI193" s="37" t="n">
        <f aca="false">IF(AND(ISNUMBER(AI192),ISNUMBER(AI132)),IFERROR(AI192/AI132,""),"")</f>
        <v>0.157039732473349</v>
      </c>
      <c r="AJ193" s="37" t="n">
        <f aca="false">IF(AND(ISNUMBER(AJ192),ISNUMBER(AJ132)),IFERROR(AJ192/AJ132,""),"")</f>
        <v>0.154555940741054</v>
      </c>
      <c r="AK193" s="37" t="n">
        <f aca="false">IF(AND(ISNUMBER(AK192),ISNUMBER(AK132)),IFERROR(AK192/AK132,""),"")</f>
        <v>0.157220455366368</v>
      </c>
      <c r="AL193" s="37" t="n">
        <f aca="false">IF(AND(ISNUMBER(AL192),ISNUMBER(AL132)),IFERROR(AL192/AL132,""),"")</f>
        <v>0.168027911712737</v>
      </c>
      <c r="AM193" s="37" t="n">
        <f aca="false">IF(AND(ISNUMBER(AM192),ISNUMBER(AM132)),IFERROR(AM192/AM132,""),"")</f>
        <v>0.159300543862921</v>
      </c>
      <c r="AN193" s="37" t="n">
        <f aca="false">IF(AND(ISNUMBER(AN192),ISNUMBER(AN132)),IFERROR(AN192/AN132,""),"")</f>
        <v>0.15905887895876</v>
      </c>
      <c r="AO193" s="37" t="n">
        <f aca="false">IF(AND(ISNUMBER(AO192),ISNUMBER(AO132)),IFERROR(AO192/AO132,""),"")</f>
        <v>0.164984158466549</v>
      </c>
      <c r="AP193" s="37" t="n">
        <f aca="false">IF(AND(ISNUMBER(AP192),ISNUMBER(AP132)),IFERROR(AP192/AP132,""),"")</f>
        <v>0.165873520652904</v>
      </c>
      <c r="AQ193" s="37" t="n">
        <f aca="false">IF(AND(ISNUMBER(AQ192),ISNUMBER(AQ132)),IFERROR(AQ192/AQ132,""),"")</f>
        <v>0.175792900826769</v>
      </c>
      <c r="AR193" s="37" t="n">
        <f aca="false">IF(AND(ISNUMBER(AR192),ISNUMBER(AR132)),IFERROR(AR192/AR132,""),"")</f>
        <v>0.166554488390891</v>
      </c>
      <c r="AS193" s="37" t="n">
        <f aca="false">IF(AND(ISNUMBER(AS192),ISNUMBER(AS132)),IFERROR(AS192/AS132,""),"")</f>
        <v>0.169035065779048</v>
      </c>
      <c r="AT193" s="37" t="n">
        <f aca="false">IF(AND(ISNUMBER(AT192),ISNUMBER(AT132)),IFERROR(AT192/AT132,""),"")</f>
        <v>0.181404301778604</v>
      </c>
      <c r="AU193" s="37" t="n">
        <f aca="false">IF(AND(ISNUMBER(AU192),ISNUMBER(AU132)),IFERROR(AU192/AU132,""),"")</f>
        <v>0.173778669294087</v>
      </c>
      <c r="AV193" s="37" t="n">
        <f aca="false">IF(AND(ISNUMBER(AV192),ISNUMBER(AV132)),IFERROR(AV192/AV132,""),"")</f>
        <v>0.128078568323718</v>
      </c>
      <c r="AW193" s="37" t="n">
        <f aca="false">IF(AND(ISNUMBER(AW192),ISNUMBER(AW132)),IFERROR(AW192/AW132,""),"")</f>
        <v>0.16410392484531</v>
      </c>
      <c r="AX193" s="37" t="n">
        <f aca="false">IF(AND(ISNUMBER(AX192),ISNUMBER(AX132)),IFERROR(AX192/AX132,""),"")</f>
        <v>0.200223866710562</v>
      </c>
      <c r="AY193" s="37" t="n">
        <f aca="false">IF(AND(ISNUMBER(AY192),ISNUMBER(AY132)),IFERROR(AY192/AY132,""),"")</f>
        <v>0.190608907667861</v>
      </c>
      <c r="AZ193" s="37" t="n">
        <f aca="false">IF(AND(ISNUMBER(AZ192),ISNUMBER(AZ132)),IFERROR(AZ192/AZ132,""),"")</f>
        <v>0.181519321844669</v>
      </c>
      <c r="BA193" s="37" t="n">
        <f aca="false">IF(AND(ISNUMBER(BA192),ISNUMBER(BA132)),IFERROR(BA192/BA132,""),"")</f>
        <v>0.194086489825736</v>
      </c>
      <c r="BB193" s="37" t="n">
        <f aca="false">IF(AND(ISNUMBER(BB192),ISNUMBER(BB132)),IFERROR(BB192/BB132,""),"")</f>
        <v>0.191595960845041</v>
      </c>
      <c r="BC193" s="37" t="n">
        <f aca="false">IF(AND(ISNUMBER(BC192),ISNUMBER(BC132)),IFERROR(BC192/BC132,""),"")</f>
        <v>0.201361132344026</v>
      </c>
      <c r="BD193" s="37" t="n">
        <f aca="false">IF(AND(ISNUMBER(BD192),ISNUMBER(BD132)),IFERROR(BD192/BD132,""),"")</f>
        <v>0.198320640946875</v>
      </c>
      <c r="BE193" s="37" t="n">
        <f aca="false">IF(AND(ISNUMBER(BE192),ISNUMBER(BE132)),IFERROR(BE192/BE132,""),"")</f>
        <v>0.192525332280563</v>
      </c>
      <c r="BF193" s="37" t="n">
        <f aca="false">IF(AND(ISNUMBER(BF192),ISNUMBER(BF132)),IFERROR(BF192/BF132,""),"")</f>
        <v>0.194938414776983</v>
      </c>
      <c r="BG193" s="37" t="n">
        <f aca="false">IF(AND(ISNUMBER(BG192),ISNUMBER(BG132)),IFERROR(BG192/BG132,""),"")</f>
        <v>0.196715012453436</v>
      </c>
      <c r="BH193" s="37" t="n">
        <f aca="false">IF(AND(ISNUMBER(BH192),ISNUMBER(BH132)),IFERROR(BH192/BH132,""),"")</f>
        <v>0.203152247866791</v>
      </c>
      <c r="BI193" s="37" t="n">
        <f aca="false">IF(AND(ISNUMBER(BI192),ISNUMBER(BI132)),IFERROR(BI192/BI132,""),"")</f>
        <v>0.204580712855736</v>
      </c>
      <c r="BJ193" s="37" t="n">
        <f aca="false">IF(AND(ISNUMBER(BJ192),ISNUMBER(BJ132)),IFERROR(BJ192/BJ132,""),"")</f>
        <v>0.204025048561954</v>
      </c>
      <c r="BK193" s="37" t="n">
        <f aca="false">IF(AND(ISNUMBER(BK192),ISNUMBER(BK132)),IFERROR(BK192/BK132,""),"")</f>
        <v>0.206086223024937</v>
      </c>
      <c r="BL193" s="37" t="n">
        <f aca="false">IF(AND(ISNUMBER(BL192),ISNUMBER(BL132)),IFERROR(BL192/BL132,""),"")</f>
        <v>0.204481764438247</v>
      </c>
      <c r="BM193" s="37" t="n">
        <f aca="false">IF(AND(ISNUMBER(BM192),ISNUMBER(BM132)),IFERROR(BM192/BM132,""),"")</f>
        <v>0.213700033727101</v>
      </c>
      <c r="BN193" s="37" t="n">
        <f aca="false">IF(AND(ISNUMBER(BN192),ISNUMBER(BN132)),IFERROR(BN192/BN132,""),"")</f>
        <v>0.210200165995212</v>
      </c>
      <c r="BO193" s="37" t="n">
        <f aca="false">IF(AND(ISNUMBER(BO192),ISNUMBER(BO132)),IFERROR(BO192/BO132,""),"")</f>
        <v>0.216443289821638</v>
      </c>
      <c r="BP193" s="37" t="n">
        <f aca="false">IF(AND(ISNUMBER(BP192),ISNUMBER(BP132)),IFERROR(BP192/BP132,""),"")</f>
        <v>0.221614085356353</v>
      </c>
      <c r="BQ193" s="37" t="n">
        <f aca="false">IF(AND(ISNUMBER(BQ192),ISNUMBER(BQ132)),IFERROR(BQ192/BQ132,""),"")</f>
        <v>0.215558611031077</v>
      </c>
      <c r="BR193" s="37" t="n">
        <f aca="false">IF(AND(ISNUMBER(BR192),ISNUMBER(BR132)),IFERROR(BR192/BR132,""),"")</f>
        <v>0.224270033382809</v>
      </c>
      <c r="BS193" s="37" t="n">
        <f aca="false">IF(AND(ISNUMBER(BS192),ISNUMBER(BS132)),IFERROR(BS192/BS132,""),"")</f>
        <v>0.230850934681041</v>
      </c>
      <c r="BT193" s="37" t="n">
        <f aca="false">IF(AND(ISNUMBER(BT192),ISNUMBER(BT132)),IFERROR(BT192/BT132,""),"")</f>
        <v>0.233735468018622</v>
      </c>
      <c r="BU193" s="37" t="n">
        <f aca="false">IF(AND(ISNUMBER(BU192),ISNUMBER(BU132)),IFERROR(BU192/BU132,""),"")</f>
        <v>0.223961746134803</v>
      </c>
      <c r="BV193" s="37" t="n">
        <f aca="false">IF(AND(ISNUMBER(BV192),ISNUMBER(BV132)),IFERROR(BV192/BV132,""),"")</f>
        <v>0.228209351461062</v>
      </c>
      <c r="BW193" s="37" t="n">
        <f aca="false">IF(AND(ISNUMBER(BW192),ISNUMBER(BW132)),IFERROR(BW192/BW132,""),"")</f>
        <v>0.227310988984306</v>
      </c>
      <c r="BX193" s="37" t="n">
        <f aca="false">IF(AND(ISNUMBER(BX192),ISNUMBER(BX132)),IFERROR(BX192/BX132,""),"")</f>
        <v>0.234184240526402</v>
      </c>
      <c r="BY193" s="37" t="n">
        <f aca="false">IF(AND(ISNUMBER(BY192),ISNUMBER(BY132)),IFERROR(BY192/BY132,""),"")</f>
        <v>0.232242479528015</v>
      </c>
      <c r="BZ193" s="37" t="n">
        <f aca="false">IF(AND(ISNUMBER(BZ192),ISNUMBER(BZ132)),IFERROR(BZ192/BZ132,""),"")</f>
        <v>0.236492596214447</v>
      </c>
      <c r="CA193" s="37" t="n">
        <f aca="false">IF(AND(ISNUMBER(CA192),ISNUMBER(CA132)),IFERROR(CA192/CA132,""),"")</f>
        <v>0.232730015310578</v>
      </c>
      <c r="CB193" s="37" t="n">
        <f aca="false">IF(AND(ISNUMBER(CB192),ISNUMBER(CB132)),IFERROR(CB192/CB132,""),"")</f>
        <v>0.240976635220992</v>
      </c>
      <c r="CC193" s="28" t="n">
        <f aca="false">IF(AND(ISNUMBER(CC192),ISNUMBER(CC132)),IFERROR(CC192/CC132,""),"")</f>
        <v>0.235418064819008</v>
      </c>
      <c r="CD193" s="28" t="n">
        <f aca="false">IF(AND(ISNUMBER(CD192),ISNUMBER(CD132)),IFERROR(CD192/CD132,""),"")</f>
        <v>0.209379847679792</v>
      </c>
      <c r="CE193" s="28" t="n">
        <f aca="false">IF(AND(ISNUMBER(CE192),ISNUMBER(CE132)),IFERROR(CE192/CE132,""),"")</f>
        <v>0.203065562548556</v>
      </c>
      <c r="CF193" s="28" t="n">
        <f aca="false">IF(AND(ISNUMBER(CF192),ISNUMBER(CF132)),IFERROR(CF192/CF132,""),"")</f>
        <v>0.220662964677241</v>
      </c>
      <c r="CG193" s="28" t="n">
        <f aca="false">IF(AND(ISNUMBER(CG192),ISNUMBER(CG132)),IFERROR(CG192/CG132,""),"")</f>
        <v>0.216030318133185</v>
      </c>
      <c r="CH193" s="28" t="n">
        <f aca="false">IF(AND(ISNUMBER(CH192),ISNUMBER(CH132)),IFERROR(CH192/CH132,""),"")</f>
        <v>0.227082785915566</v>
      </c>
      <c r="CI193" s="28" t="n">
        <f aca="false">IF(AND(ISNUMBER(CI192),ISNUMBER(CI132)),IFERROR(CI192/CI132,""),"")</f>
        <v>0.237775627456518</v>
      </c>
      <c r="CJ193" s="28" t="n">
        <f aca="false">IF(AND(ISNUMBER(CJ192),ISNUMBER(CJ132)),IFERROR(CJ192/CJ132,""),"")</f>
        <v>0.243597709799012</v>
      </c>
      <c r="CK193" s="23"/>
    </row>
    <row r="194" customFormat="false" ht="15" hidden="false" customHeight="true" outlineLevel="0" collapsed="false">
      <c r="B194" s="42" t="s">
        <v>460</v>
      </c>
      <c r="C194" s="45" t="n">
        <f aca="false">C185</f>
        <v>707.491</v>
      </c>
      <c r="D194" s="45" t="n">
        <f aca="false">D185</f>
        <v>753.323</v>
      </c>
      <c r="E194" s="45" t="n">
        <f aca="false">E185</f>
        <v>769.358</v>
      </c>
      <c r="F194" s="45" t="n">
        <f aca="false">F185</f>
        <v>695.754</v>
      </c>
      <c r="G194" s="45" t="n">
        <f aca="false">G185</f>
        <v>604.599</v>
      </c>
      <c r="H194" s="45" t="n">
        <f aca="false">H185</f>
        <v>633.81</v>
      </c>
      <c r="I194" s="45" t="n">
        <f aca="false">I185</f>
        <v>733.792</v>
      </c>
      <c r="N194" s="45" t="n">
        <f aca="false">N185</f>
        <v>754.588</v>
      </c>
      <c r="S194" s="45" t="n">
        <f aca="false">S185</f>
        <v>802.496</v>
      </c>
      <c r="X194" s="45" t="n">
        <f aca="false">X185</f>
        <v>851.489000000001</v>
      </c>
      <c r="AC194" s="45" t="n">
        <f aca="false">AC185</f>
        <v>947.026999999999</v>
      </c>
      <c r="AH194" s="45" t="n">
        <f aca="false">AH185</f>
        <v>1049.51</v>
      </c>
      <c r="AM194" s="45" t="n">
        <f aca="false">AM185</f>
        <v>1311.147</v>
      </c>
      <c r="AR194" s="45" t="n">
        <f aca="false">AR185</f>
        <v>1508.037</v>
      </c>
      <c r="AW194" s="45" t="n">
        <f aca="false">AW185</f>
        <v>1541.749</v>
      </c>
      <c r="BB194" s="45" t="n">
        <f aca="false">BB185</f>
        <v>1751.413</v>
      </c>
      <c r="BG194" s="45" t="n">
        <f aca="false">BG185</f>
        <v>1944.791</v>
      </c>
      <c r="BL194" s="45" t="n">
        <f aca="false">BL185</f>
        <v>2211.826</v>
      </c>
      <c r="BQ194" s="45" t="n">
        <f aca="false">BQ185</f>
        <v>2511.017</v>
      </c>
      <c r="BV194" s="45" t="n">
        <f aca="false">BV185</f>
        <v>2853.909</v>
      </c>
      <c r="CA194" s="45" t="n">
        <f aca="false">CA185</f>
        <v>3134.494</v>
      </c>
      <c r="CC194" s="43"/>
      <c r="CD194" s="43"/>
      <c r="CE194" s="43"/>
      <c r="CF194" s="35" t="n">
        <f aca="false">CF185+CF65*(CF68-CF72+CF76)*(365-CF64)/365*CF63</f>
        <v>3717.37879128326</v>
      </c>
      <c r="CG194" s="35" t="n">
        <f aca="false">CG185</f>
        <v>4235.79650206546</v>
      </c>
      <c r="CH194" s="35" t="n">
        <f aca="false">CH185</f>
        <v>4747.38339260145</v>
      </c>
      <c r="CI194" s="35" t="n">
        <f aca="false">CI185</f>
        <v>5290.62164635088</v>
      </c>
      <c r="CJ194" s="35" t="n">
        <f aca="false">CJ185</f>
        <v>5787.37537151313</v>
      </c>
      <c r="CK194" s="23" t="s">
        <v>461</v>
      </c>
    </row>
    <row r="195" customFormat="false" ht="15" hidden="false" customHeight="true" outlineLevel="0" collapsed="false"/>
    <row r="196" customFormat="false" ht="15" hidden="false" customHeight="true" outlineLevel="0" collapsed="false">
      <c r="B196" s="12" t="s">
        <v>462</v>
      </c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2" t="s">
        <v>463</v>
      </c>
    </row>
    <row r="197" customFormat="false" ht="15" hidden="false" customHeight="true" outlineLevel="0" collapsed="false">
      <c r="B197" s="29" t="s">
        <v>434</v>
      </c>
      <c r="C197" s="45" t="n">
        <f aca="false">C152</f>
        <v>327.178</v>
      </c>
      <c r="D197" s="45" t="n">
        <f aca="false">D152</f>
        <v>334.538</v>
      </c>
      <c r="E197" s="45" t="n">
        <f aca="false">E152</f>
        <v>335.405</v>
      </c>
      <c r="F197" s="45" t="n">
        <f aca="false">F152</f>
        <v>226.357</v>
      </c>
      <c r="G197" s="45" t="n">
        <f aca="false">G152</f>
        <v>215.62</v>
      </c>
      <c r="H197" s="45" t="n">
        <f aca="false">H152</f>
        <v>246.989</v>
      </c>
      <c r="I197" s="45" t="n">
        <f aca="false">I152</f>
        <v>297.637</v>
      </c>
      <c r="J197" s="45" t="n">
        <f aca="false">J152</f>
        <v>76.733</v>
      </c>
      <c r="K197" s="45" t="n">
        <f aca="false">K152</f>
        <v>78.027</v>
      </c>
      <c r="L197" s="45" t="n">
        <f aca="false">L152</f>
        <v>74.705</v>
      </c>
      <c r="M197" s="45" t="n">
        <f aca="false">M152</f>
        <v>85.977</v>
      </c>
      <c r="N197" s="45" t="n">
        <f aca="false">N152</f>
        <v>315.442</v>
      </c>
      <c r="O197" s="45" t="n">
        <f aca="false">O152</f>
        <v>77.754</v>
      </c>
      <c r="P197" s="45" t="n">
        <f aca="false">P152</f>
        <v>84.862</v>
      </c>
      <c r="Q197" s="45" t="n">
        <f aca="false">Q152</f>
        <v>84.6020000000001</v>
      </c>
      <c r="R197" s="45" t="n">
        <f aca="false">R152</f>
        <v>127.224</v>
      </c>
      <c r="S197" s="45" t="n">
        <f aca="false">S152</f>
        <v>374.442</v>
      </c>
      <c r="T197" s="45" t="n">
        <f aca="false">T152</f>
        <v>109.791</v>
      </c>
      <c r="U197" s="45" t="n">
        <f aca="false">U152</f>
        <v>103.446</v>
      </c>
      <c r="V197" s="45" t="n">
        <f aca="false">V152</f>
        <v>93.636</v>
      </c>
      <c r="W197" s="45" t="n">
        <f aca="false">W152</f>
        <v>101.204</v>
      </c>
      <c r="X197" s="45" t="n">
        <f aca="false">X152</f>
        <v>408.077000000001</v>
      </c>
      <c r="Y197" s="45" t="n">
        <f aca="false">Y152</f>
        <v>106.198</v>
      </c>
      <c r="Z197" s="45" t="n">
        <f aca="false">Z152</f>
        <v>115.453</v>
      </c>
      <c r="AA197" s="45" t="n">
        <f aca="false">AA152</f>
        <v>117.279</v>
      </c>
      <c r="AB197" s="45" t="n">
        <f aca="false">AB152</f>
        <v>118.011</v>
      </c>
      <c r="AC197" s="45" t="n">
        <f aca="false">AC152</f>
        <v>456.940999999999</v>
      </c>
      <c r="AD197" s="45" t="n">
        <f aca="false">AD152</f>
        <v>138.091</v>
      </c>
      <c r="AE197" s="45" t="n">
        <f aca="false">AE152</f>
        <v>123.454</v>
      </c>
      <c r="AF197" s="45" t="n">
        <f aca="false">AF152</f>
        <v>118.647</v>
      </c>
      <c r="AG197" s="45" t="n">
        <f aca="false">AG152</f>
        <v>82.174</v>
      </c>
      <c r="AH197" s="45" t="n">
        <f aca="false">AH152</f>
        <v>457.286</v>
      </c>
      <c r="AI197" s="45" t="n">
        <f aca="false">AI152</f>
        <v>161.108</v>
      </c>
      <c r="AJ197" s="45" t="n">
        <f aca="false">AJ152</f>
        <v>137.737</v>
      </c>
      <c r="AK197" s="45" t="n">
        <f aca="false">AK152</f>
        <v>295.789</v>
      </c>
      <c r="AL197" s="45" t="n">
        <f aca="false">AL152</f>
        <v>189.298</v>
      </c>
      <c r="AM197" s="45" t="n">
        <f aca="false">AM152</f>
        <v>783.932</v>
      </c>
      <c r="AN197" s="45" t="n">
        <f aca="false">AN152</f>
        <v>212.547</v>
      </c>
      <c r="AO197" s="45" t="n">
        <f aca="false">AO152</f>
        <v>242.994</v>
      </c>
      <c r="AP197" s="45" t="n">
        <f aca="false">AP152</f>
        <v>200.923</v>
      </c>
      <c r="AQ197" s="45" t="n">
        <f aca="false">AQ152</f>
        <v>226.171</v>
      </c>
      <c r="AR197" s="45" t="n">
        <f aca="false">AR152</f>
        <v>882.635</v>
      </c>
      <c r="AS197" s="45" t="n">
        <f aca="false">AS152</f>
        <v>250.812</v>
      </c>
      <c r="AT197" s="45" t="n">
        <f aca="false">AT152</f>
        <v>246.443</v>
      </c>
      <c r="AU197" s="45" t="n">
        <f aca="false">AU152</f>
        <v>234.52</v>
      </c>
      <c r="AV197" s="45" t="n">
        <f aca="false">AV152</f>
        <v>144.585</v>
      </c>
      <c r="AW197" s="45" t="n">
        <f aca="false">AW152</f>
        <v>876.36</v>
      </c>
      <c r="AX197" s="45" t="n">
        <f aca="false">AX152</f>
        <v>300.005</v>
      </c>
      <c r="AY197" s="45" t="n">
        <f aca="false">AY152</f>
        <v>284.857</v>
      </c>
      <c r="AZ197" s="45" t="n">
        <f aca="false">AZ152</f>
        <v>258.384</v>
      </c>
      <c r="BA197" s="45" t="n">
        <f aca="false">BA152</f>
        <v>267.722</v>
      </c>
      <c r="BB197" s="45" t="n">
        <f aca="false">BB152</f>
        <v>1110.968</v>
      </c>
      <c r="BC197" s="45" t="n">
        <f aca="false">BC152</f>
        <v>331.179</v>
      </c>
      <c r="BD197" s="45" t="n">
        <f aca="false">BD152</f>
        <v>294.669</v>
      </c>
      <c r="BE197" s="45" t="n">
        <f aca="false">BE152</f>
        <v>315.448</v>
      </c>
      <c r="BF197" s="45" t="n">
        <f aca="false">BF152</f>
        <v>294.461</v>
      </c>
      <c r="BG197" s="45" t="n">
        <f aca="false">BG152</f>
        <v>1235.757</v>
      </c>
      <c r="BH197" s="45" t="n">
        <f aca="false">BH152</f>
        <v>351.689</v>
      </c>
      <c r="BI197" s="45" t="n">
        <f aca="false">BI152</f>
        <v>324.293</v>
      </c>
      <c r="BJ197" s="45" t="n">
        <f aca="false">BJ152</f>
        <v>325.827</v>
      </c>
      <c r="BK197" s="45" t="n">
        <f aca="false">BK152</f>
        <v>346.201</v>
      </c>
      <c r="BL197" s="45" t="n">
        <f aca="false">BL152</f>
        <v>1348.01</v>
      </c>
      <c r="BM197" s="45" t="n">
        <f aca="false">BM152</f>
        <v>385.085</v>
      </c>
      <c r="BN197" s="45" t="n">
        <f aca="false">BN152</f>
        <v>374.613</v>
      </c>
      <c r="BO197" s="45" t="n">
        <f aca="false">BO152</f>
        <v>397.579</v>
      </c>
      <c r="BP197" s="45" t="n">
        <f aca="false">BP152</f>
        <v>414.315</v>
      </c>
      <c r="BQ197" s="45" t="n">
        <f aca="false">BQ152</f>
        <v>1571.592</v>
      </c>
      <c r="BR197" s="45" t="n">
        <f aca="false">BR152</f>
        <v>452.033</v>
      </c>
      <c r="BS197" s="45" t="n">
        <f aca="false">BS152</f>
        <v>448.495</v>
      </c>
      <c r="BT197" s="45" t="n">
        <f aca="false">BT152</f>
        <v>463.497</v>
      </c>
      <c r="BU197" s="45" t="n">
        <f aca="false">BU152</f>
        <v>448.256</v>
      </c>
      <c r="BV197" s="45" t="n">
        <f aca="false">BV152</f>
        <v>1812.281</v>
      </c>
      <c r="BW197" s="45" t="n">
        <f aca="false">BW152</f>
        <v>491.14</v>
      </c>
      <c r="BX197" s="45" t="n">
        <f aca="false">BX152</f>
        <v>495.343</v>
      </c>
      <c r="BY197" s="45" t="n">
        <f aca="false">BY152</f>
        <v>502.496</v>
      </c>
      <c r="BZ197" s="45" t="n">
        <f aca="false">BZ152</f>
        <v>510.989</v>
      </c>
      <c r="CA197" s="45" t="n">
        <f aca="false">CA152</f>
        <v>1999.968</v>
      </c>
      <c r="CB197" s="45" t="n">
        <f aca="false">CB152</f>
        <v>551.711</v>
      </c>
      <c r="CC197" s="35" t="n">
        <f aca="false">CC152</f>
        <v>531.024989441951</v>
      </c>
      <c r="CD197" s="35" t="n">
        <f aca="false">CD152</f>
        <v>453.51717354752</v>
      </c>
      <c r="CE197" s="35" t="n">
        <f aca="false">CE152</f>
        <v>535.404779598214</v>
      </c>
      <c r="CF197" s="35" t="n">
        <f aca="false">CF152</f>
        <v>2071.65794258768</v>
      </c>
      <c r="CG197" s="35" t="n">
        <f aca="false">CG152</f>
        <v>2415.94010962133</v>
      </c>
      <c r="CH197" s="35" t="n">
        <f aca="false">CH152</f>
        <v>2784.65463528988</v>
      </c>
      <c r="CI197" s="35" t="n">
        <f aca="false">CI152</f>
        <v>3209.12561569213</v>
      </c>
      <c r="CJ197" s="35" t="n">
        <f aca="false">CJ152</f>
        <v>3554.50599210378</v>
      </c>
      <c r="CK197" s="23"/>
    </row>
    <row r="198" customFormat="false" ht="15" hidden="false" customHeight="true" outlineLevel="0" collapsed="false">
      <c r="B198" s="29" t="s">
        <v>464</v>
      </c>
      <c r="C198" s="45" t="n">
        <f aca="false">SUM(C178,C179,C180,C181,C182)</f>
        <v>0</v>
      </c>
      <c r="D198" s="45" t="n">
        <f aca="false">SUM(D178,D179,D180,D181,D182)</f>
        <v>0</v>
      </c>
      <c r="E198" s="45" t="n">
        <f aca="false">SUM(E178,E179,E180,E181,E182)</f>
        <v>0</v>
      </c>
      <c r="F198" s="45" t="n">
        <f aca="false">SUM(F178,F179,F180,F181,F182)</f>
        <v>86.583</v>
      </c>
      <c r="G198" s="45" t="n">
        <f aca="false">SUM(G178,G179,G180,G181,G182)</f>
        <v>20.649</v>
      </c>
      <c r="H198" s="45" t="n">
        <f aca="false">SUM(H178,H179,H180,H181,H182)</f>
        <v>0</v>
      </c>
      <c r="I198" s="45" t="n">
        <f aca="false">SUM(I178,I179,I180,I181,I182)</f>
        <v>0</v>
      </c>
      <c r="J198" s="45" t="n">
        <f aca="false">SUM(J178,J179,J180,J181,J182)</f>
        <v>0</v>
      </c>
      <c r="K198" s="45" t="n">
        <f aca="false">SUM(K178,K179,K180,K181,K182)</f>
        <v>0</v>
      </c>
      <c r="L198" s="45" t="n">
        <f aca="false">SUM(L178,L179,L180,L181,L182)</f>
        <v>0</v>
      </c>
      <c r="M198" s="45" t="n">
        <f aca="false">SUM(M178,M179,M180,M181,M182)</f>
        <v>0</v>
      </c>
      <c r="N198" s="45" t="n">
        <f aca="false">SUM(N178,N179,N180,N181,N182)</f>
        <v>0</v>
      </c>
      <c r="O198" s="45" t="n">
        <f aca="false">SUM(O178,O179,O180,O181,O182)</f>
        <v>0</v>
      </c>
      <c r="P198" s="45" t="n">
        <f aca="false">SUM(P178,P179,P180,P181,P182)</f>
        <v>0</v>
      </c>
      <c r="Q198" s="45" t="n">
        <f aca="false">SUM(Q178,Q179,Q180,Q181,Q182)</f>
        <v>0</v>
      </c>
      <c r="R198" s="45" t="n">
        <f aca="false">SUM(R178,R179,R180,R181,R182)</f>
        <v>-63.975</v>
      </c>
      <c r="S198" s="45" t="n">
        <f aca="false">SUM(S178,S179,S180,S181,S182)</f>
        <v>-61.817</v>
      </c>
      <c r="T198" s="45" t="n">
        <f aca="false">SUM(T178,T179,T180,T181,T182)</f>
        <v>-28.358</v>
      </c>
      <c r="U198" s="45" t="n">
        <f aca="false">SUM(U178,U179,U180,U181,U182)</f>
        <v>0</v>
      </c>
      <c r="V198" s="45" t="n">
        <f aca="false">SUM(V178,V179,V180,V181,V182)</f>
        <v>0</v>
      </c>
      <c r="W198" s="45" t="n">
        <f aca="false">SUM(W178,W179,W180,W181,W182)</f>
        <v>1.667</v>
      </c>
      <c r="X198" s="45" t="n">
        <f aca="false">SUM(X178,X179,X180,X181,X182)</f>
        <v>-26.691</v>
      </c>
      <c r="Y198" s="45" t="n">
        <f aca="false">SUM(Y178,Y179,Y180,Y181,Y182)</f>
        <v>0</v>
      </c>
      <c r="Z198" s="45" t="n">
        <f aca="false">SUM(Z178,Z179,Z180,Z181,Z182)</f>
        <v>0</v>
      </c>
      <c r="AA198" s="45" t="n">
        <f aca="false">SUM(AA178,AA179,AA180,AA181,AA182)</f>
        <v>0</v>
      </c>
      <c r="AB198" s="45" t="n">
        <f aca="false">SUM(AB178,AB179,AB180,AB181,AB182)</f>
        <v>0</v>
      </c>
      <c r="AC198" s="45" t="n">
        <f aca="false">SUM(AC178,AC179,AC180,AC181,AC182)</f>
        <v>0</v>
      </c>
      <c r="AD198" s="45" t="n">
        <f aca="false">SUM(AD178,AD179,AD180,AD181,AD182)</f>
        <v>2.787</v>
      </c>
      <c r="AE198" s="45" t="n">
        <f aca="false">SUM(AE178,AE179,AE180,AE181,AE182)</f>
        <v>3.347</v>
      </c>
      <c r="AF198" s="45" t="n">
        <f aca="false">SUM(AF178,AF179,AF180,AF181,AF182)</f>
        <v>9.344</v>
      </c>
      <c r="AG198" s="45" t="n">
        <f aca="false">SUM(AG178,AG179,AG180,AG181,AG182)</f>
        <v>63.746</v>
      </c>
      <c r="AH198" s="45" t="n">
        <f aca="false">SUM(AH178,AH179,AH180,AH181,AH182)</f>
        <v>79.224</v>
      </c>
      <c r="AI198" s="45" t="n">
        <f aca="false">SUM(AI178,AI179,AI180,AI181,AI182)</f>
        <v>3.971</v>
      </c>
      <c r="AJ198" s="45" t="n">
        <f aca="false">SUM(AJ178,AJ179,AJ180,AJ181,AJ182)</f>
        <v>13.074</v>
      </c>
      <c r="AK198" s="45" t="n">
        <f aca="false">SUM(AK178,AK179,AK180,AK181,AK182)</f>
        <v>49.821</v>
      </c>
      <c r="AL198" s="45" t="n">
        <f aca="false">SUM(AL178,AL179,AL180,AL181,AL182)</f>
        <v>15.031</v>
      </c>
      <c r="AM198" s="45" t="n">
        <f aca="false">SUM(AM178,AM179,AM180,AM181,AM182)</f>
        <v>81.897</v>
      </c>
      <c r="AN198" s="45" t="n">
        <f aca="false">SUM(AN178,AN179,AN180,AN181,AN182)</f>
        <v>4.85</v>
      </c>
      <c r="AO198" s="45" t="n">
        <f aca="false">SUM(AO178,AO179,AO180,AO181,AO182)</f>
        <v>-61.526</v>
      </c>
      <c r="AP198" s="45" t="n">
        <f aca="false">SUM(AP178,AP179,AP180,AP181,AP182)</f>
        <v>0.799</v>
      </c>
      <c r="AQ198" s="45" t="n">
        <f aca="false">SUM(AQ178,AQ179,AQ180,AQ181,AQ182)</f>
        <v>0.914</v>
      </c>
      <c r="AR198" s="45" t="n">
        <f aca="false">SUM(AR178,AR179,AR180,AR181,AR182)</f>
        <v>-54.963</v>
      </c>
      <c r="AS198" s="45" t="n">
        <f aca="false">SUM(AS178,AS179,AS180,AS181,AS182)</f>
        <v>0</v>
      </c>
      <c r="AT198" s="45" t="n">
        <f aca="false">SUM(AT178,AT179,AT180,AT181,AT182)</f>
        <v>0</v>
      </c>
      <c r="AU198" s="45" t="n">
        <f aca="false">SUM(AU178,AU179,AU180,AU181,AU182)</f>
        <v>0</v>
      </c>
      <c r="AV198" s="45" t="n">
        <f aca="false">SUM(AV178,AV179,AV180,AV181,AV182)</f>
        <v>0</v>
      </c>
      <c r="AW198" s="45" t="n">
        <f aca="false">SUM(AW178,AW179,AW180,AW181,AW182)</f>
        <v>0</v>
      </c>
      <c r="AX198" s="45" t="n">
        <f aca="false">SUM(AX178,AX179,AX180,AX181,AX182)</f>
        <v>0</v>
      </c>
      <c r="AY198" s="45" t="n">
        <f aca="false">SUM(AY178,AY179,AY180,AY181,AY182)</f>
        <v>-17.963</v>
      </c>
      <c r="AZ198" s="45" t="n">
        <f aca="false">SUM(AZ178,AZ179,AZ180,AZ181,AZ182)</f>
        <v>-3.898</v>
      </c>
      <c r="BA198" s="45" t="n">
        <f aca="false">SUM(BA178,BA179,BA180,BA181,BA182)</f>
        <v>-0.169</v>
      </c>
      <c r="BB198" s="45" t="n">
        <f aca="false">SUM(BB178,BB179,BB180,BB181,BB182)</f>
        <v>-22.03</v>
      </c>
      <c r="BC198" s="45" t="n">
        <f aca="false">SUM(BC178,BC179,BC180,BC181,BC182)</f>
        <v>-12.129</v>
      </c>
      <c r="BD198" s="45" t="n">
        <f aca="false">SUM(BD178,BD179,BD180,BD181,BD182)</f>
        <v>0</v>
      </c>
      <c r="BE198" s="45" t="n">
        <f aca="false">SUM(BE178,BE179,BE180,BE181,BE182)</f>
        <v>-30.151</v>
      </c>
      <c r="BF198" s="45" t="n">
        <f aca="false">SUM(BF178,BF179,BF180,BF181,BF182)</f>
        <v>0</v>
      </c>
      <c r="BG198" s="45" t="n">
        <f aca="false">SUM(BG178,BG179,BG180,BG181,BG182)</f>
        <v>-42.28</v>
      </c>
      <c r="BH198" s="45" t="n">
        <f aca="false">SUM(BH178,BH179,BH180,BH181,BH182)</f>
        <v>0</v>
      </c>
      <c r="BI198" s="45" t="n">
        <f aca="false">SUM(BI178,BI179,BI180,BI181,BI182)</f>
        <v>0</v>
      </c>
      <c r="BJ198" s="45" t="n">
        <f aca="false">SUM(BJ178,BJ179,BJ180,BJ181,BJ182)</f>
        <v>0</v>
      </c>
      <c r="BK198" s="45" t="n">
        <f aca="false">SUM(BK178,BK179,BK180,BK181,BK182)</f>
        <v>0</v>
      </c>
      <c r="BL198" s="45" t="n">
        <f aca="false">SUM(BL178,BL179,BL180,BL181,BL182)</f>
        <v>0</v>
      </c>
      <c r="BM198" s="45" t="n">
        <f aca="false">SUM(BM178,BM179,BM180,BM181,BM182)</f>
        <v>0</v>
      </c>
      <c r="BN198" s="45" t="n">
        <f aca="false">SUM(BN178,BN179,BN180,BN181,BN182)</f>
        <v>0</v>
      </c>
      <c r="BO198" s="45" t="n">
        <f aca="false">SUM(BO178,BO179,BO180,BO181,BO182)</f>
        <v>0</v>
      </c>
      <c r="BP198" s="45" t="n">
        <f aca="false">SUM(BP178,BP179,BP180,BP181,BP182)</f>
        <v>0</v>
      </c>
      <c r="BQ198" s="45" t="n">
        <f aca="false">SUM(BQ178,BQ179,BQ180,BQ181,BQ182)</f>
        <v>0</v>
      </c>
      <c r="BR198" s="45" t="n">
        <f aca="false">SUM(BR178,BR179,BR180,BR181,BR182)</f>
        <v>0</v>
      </c>
      <c r="BS198" s="45" t="n">
        <f aca="false">SUM(BS178,BS179,BS180,BS181,BS182)</f>
        <v>0</v>
      </c>
      <c r="BT198" s="45" t="n">
        <f aca="false">SUM(BT178,BT179,BT180,BT181,BT182)</f>
        <v>0</v>
      </c>
      <c r="BU198" s="45" t="n">
        <f aca="false">SUM(BU178,BU179,BU180,BU181,BU182)</f>
        <v>0</v>
      </c>
      <c r="BV198" s="45" t="n">
        <f aca="false">SUM(BV178,BV179,BV180,BV181,BV182)</f>
        <v>0</v>
      </c>
      <c r="BW198" s="45" t="n">
        <f aca="false">SUM(BW178,BW179,BW180,BW181,BW182)</f>
        <v>0</v>
      </c>
      <c r="BX198" s="45" t="n">
        <f aca="false">SUM(BX178,BX179,BX180,BX181,BX182)</f>
        <v>0</v>
      </c>
      <c r="BY198" s="45" t="n">
        <f aca="false">SUM(BY178,BY179,BY180,BY181,BY182)</f>
        <v>0</v>
      </c>
      <c r="BZ198" s="45" t="n">
        <f aca="false">SUM(BZ178,BZ179,BZ180,BZ181,BZ182)</f>
        <v>14.024</v>
      </c>
      <c r="CA198" s="45" t="n">
        <f aca="false">SUM(CA178,CA179,CA180,CA181,CA182)</f>
        <v>15.136</v>
      </c>
      <c r="CB198" s="45" t="n">
        <f aca="false">SUM(CB178,CB179,CB180,CB181,CB182)</f>
        <v>14.412</v>
      </c>
      <c r="CC198" s="35" t="n">
        <f aca="false">SUM(CC178,CC179,CC180,CC181,CC182)</f>
        <v>15</v>
      </c>
      <c r="CD198" s="35" t="n">
        <f aca="false">SUM(CD178,CD179,CD180,CD181,CD182)</f>
        <v>108.7</v>
      </c>
      <c r="CE198" s="35" t="n">
        <f aca="false">SUM(CE178,CE179,CE180,CE181,CE182)</f>
        <v>31.5</v>
      </c>
      <c r="CF198" s="35" t="n">
        <f aca="false">SUM(CF178,CF179,CF180,CF181,CF182)</f>
        <v>169.612</v>
      </c>
      <c r="CG198" s="35" t="n">
        <f aca="false">SUM(CG178,CG179,CG180,CG181,CG182)</f>
        <v>157.5</v>
      </c>
      <c r="CH198" s="35" t="n">
        <f aca="false">SUM(CH178,CH179,CH180,CH181,CH182)</f>
        <v>105</v>
      </c>
      <c r="CI198" s="35" t="n">
        <f aca="false">SUM(CI178,CI179,CI180,CI181,CI182)</f>
        <v>35</v>
      </c>
      <c r="CJ198" s="35" t="n">
        <f aca="false">SUM(CJ178,CJ179,CJ180,CJ181,CJ182)</f>
        <v>0</v>
      </c>
      <c r="CK198" s="23"/>
    </row>
    <row r="199" customFormat="false" ht="15" hidden="false" customHeight="true" outlineLevel="0" collapsed="false">
      <c r="B199" s="29" t="s">
        <v>465</v>
      </c>
      <c r="C199" s="37" t="n">
        <f aca="false">IFERROR(MIN(MAX(C150,0.15),0.4),0.25)</f>
        <v>0.37300000958194</v>
      </c>
      <c r="D199" s="37" t="n">
        <f aca="false">IFERROR(MIN(MAX(D150,0.15),0.4),0.25)</f>
        <v>0.372999495832654</v>
      </c>
      <c r="E199" s="37" t="n">
        <f aca="false">IFERROR(MIN(MAX(E150,0.15),0.4),0.25)</f>
        <v>0.367999864331153</v>
      </c>
      <c r="F199" s="37" t="n">
        <f aca="false">IFERROR(MIN(MAX(F150,0.15),0.4),0.25)</f>
        <v>0.374000602887777</v>
      </c>
      <c r="G199" s="37" t="n">
        <f aca="false">IFERROR(MIN(MAX(G150,0.15),0.4),0.25)</f>
        <v>0.373000825840671</v>
      </c>
      <c r="H199" s="37" t="n">
        <f aca="false">IFERROR(MIN(MAX(H150,0.15),0.4),0.25)</f>
        <v>0.37099949321184</v>
      </c>
      <c r="I199" s="37" t="n">
        <f aca="false">IFERROR(MIN(MAX(I150,0.15),0.4),0.25)</f>
        <v>0.367999167629272</v>
      </c>
      <c r="J199" s="37" t="n">
        <f aca="false">IFERROR(MIN(MAX(J150,0.15),0.4),0.25)</f>
        <v>0.375001018139168</v>
      </c>
      <c r="K199" s="37" t="n">
        <f aca="false">IFERROR(MIN(MAX(K150,0.15),0.4),0.25)</f>
        <v>0.365004313221244</v>
      </c>
      <c r="L199" s="37" t="n">
        <f aca="false">IFERROR(MIN(MAX(L150,0.15),0.4),0.25)</f>
        <v>0.360692493988173</v>
      </c>
      <c r="M199" s="37" t="n">
        <f aca="false">IFERROR(MIN(MAX(M150,0.15),0.4),0.25)</f>
        <v>0.374275858053623</v>
      </c>
      <c r="N199" s="37" t="n">
        <f aca="false">IFERROR(MIN(MAX(N150,0.15),0.4),0.25)</f>
        <v>0.368999895980861</v>
      </c>
      <c r="O199" s="37" t="n">
        <f aca="false">IFERROR(MIN(MAX(O150,0.15),0.4),0.25)</f>
        <v>0.370998665210533</v>
      </c>
      <c r="P199" s="37" t="n">
        <f aca="false">IFERROR(MIN(MAX(P150,0.15),0.4),0.25)</f>
        <v>0.378623573086527</v>
      </c>
      <c r="Q199" s="37" t="n">
        <f aca="false">IFERROR(MIN(MAX(Q150,0.15),0.4),0.25)</f>
        <v>0.367641343020301</v>
      </c>
      <c r="R199" s="37" t="n">
        <f aca="false">IFERROR(MIN(MAX(R150,0.15),0.4),0.25)</f>
        <v>0.4</v>
      </c>
      <c r="S199" s="37" t="n">
        <f aca="false">IFERROR(MIN(MAX(S150,0.15),0.4),0.25)</f>
        <v>0.383997578381793</v>
      </c>
      <c r="T199" s="37" t="n">
        <f aca="false">IFERROR(MIN(MAX(T150,0.15),0.4),0.25)</f>
        <v>0.373753679070935</v>
      </c>
      <c r="U199" s="37" t="n">
        <f aca="false">IFERROR(MIN(MAX(U150,0.15),0.4),0.25)</f>
        <v>0.374059843282002</v>
      </c>
      <c r="V199" s="37" t="n">
        <f aca="false">IFERROR(MIN(MAX(V150,0.15),0.4),0.25)</f>
        <v>0.362329241262805</v>
      </c>
      <c r="W199" s="37" t="n">
        <f aca="false">IFERROR(MIN(MAX(W150,0.15),0.4),0.25)</f>
        <v>0.376104312135546</v>
      </c>
      <c r="X199" s="37" t="n">
        <f aca="false">IFERROR(MIN(MAX(X150,0.15),0.4),0.25)</f>
        <v>0.371667811070128</v>
      </c>
      <c r="Y199" s="37" t="n">
        <f aca="false">IFERROR(MIN(MAX(Y150,0.15),0.4),0.25)</f>
        <v>0.372404174595482</v>
      </c>
      <c r="Z199" s="37" t="n">
        <f aca="false">IFERROR(MIN(MAX(Z150,0.15),0.4),0.25)</f>
        <v>0.373522022475568</v>
      </c>
      <c r="AA199" s="37" t="n">
        <f aca="false">IFERROR(MIN(MAX(AA150,0.15),0.4),0.25)</f>
        <v>0.337870644294393</v>
      </c>
      <c r="AB199" s="37" t="n">
        <f aca="false">IFERROR(MIN(MAX(AB150,0.15),0.4),0.25)</f>
        <v>0.370591215765754</v>
      </c>
      <c r="AC199" s="37" t="n">
        <f aca="false">IFERROR(MIN(MAX(AC150,0.15),0.4),0.25)</f>
        <v>0.363700039826102</v>
      </c>
      <c r="AD199" s="37" t="n">
        <f aca="false">IFERROR(MIN(MAX(AD150,0.15),0.4),0.25)</f>
        <v>0.283960923807647</v>
      </c>
      <c r="AE199" s="37" t="n">
        <f aca="false">IFERROR(MIN(MAX(AE150,0.15),0.4),0.25)</f>
        <v>0.348946852158505</v>
      </c>
      <c r="AF199" s="37" t="n">
        <f aca="false">IFERROR(MIN(MAX(AF150,0.15),0.4),0.25)</f>
        <v>0.344527926633888</v>
      </c>
      <c r="AG199" s="37" t="n">
        <f aca="false">IFERROR(MIN(MAX(AG150,0.15),0.4),0.25)</f>
        <v>0.377700702012132</v>
      </c>
      <c r="AH199" s="37" t="n">
        <f aca="false">IFERROR(MIN(MAX(AH150,0.15),0.4),0.25)</f>
        <v>0.334763836113843</v>
      </c>
      <c r="AI199" s="37" t="n">
        <f aca="false">IFERROR(MIN(MAX(AI150,0.15),0.4),0.25)</f>
        <v>0.264612308801848</v>
      </c>
      <c r="AJ199" s="37" t="n">
        <f aca="false">IFERROR(MIN(MAX(AJ150,0.15),0.4),0.25)</f>
        <v>0.33258226609101</v>
      </c>
      <c r="AK199" s="37" t="n">
        <f aca="false">IFERROR(MIN(MAX(AK150,0.15),0.4),0.25)</f>
        <v>0.15</v>
      </c>
      <c r="AL199" s="37" t="n">
        <f aca="false">IFERROR(MIN(MAX(AL150,0.15),0.4),0.25)</f>
        <v>0.214667983173057</v>
      </c>
      <c r="AM199" s="37" t="n">
        <f aca="false">IFERROR(MIN(MAX(AM150,0.15),0.4),0.25)</f>
        <v>0.15</v>
      </c>
      <c r="AN199" s="37" t="n">
        <f aca="false">IFERROR(MIN(MAX(AN150,0.15),0.4),0.25)</f>
        <v>0.15</v>
      </c>
      <c r="AO199" s="37" t="n">
        <f aca="false">IFERROR(MIN(MAX(AO150,0.15),0.4),0.25)</f>
        <v>0.241885163045513</v>
      </c>
      <c r="AP199" s="37" t="n">
        <f aca="false">IFERROR(MIN(MAX(AP150,0.15),0.4),0.25)</f>
        <v>0.201276062888832</v>
      </c>
      <c r="AQ199" s="37" t="n">
        <f aca="false">IFERROR(MIN(MAX(AQ150,0.15),0.4),0.25)</f>
        <v>0.217130494980962</v>
      </c>
      <c r="AR199" s="37" t="n">
        <f aca="false">IFERROR(MIN(MAX(AR150,0.15),0.4),0.25)</f>
        <v>0.199350688815937</v>
      </c>
      <c r="AS199" s="37" t="n">
        <f aca="false">IFERROR(MIN(MAX(AS150,0.15),0.4),0.25)</f>
        <v>0.15</v>
      </c>
      <c r="AT199" s="37" t="n">
        <f aca="false">IFERROR(MIN(MAX(AT150,0.15),0.4),0.25)</f>
        <v>0.201338432122371</v>
      </c>
      <c r="AU199" s="37" t="n">
        <f aca="false">IFERROR(MIN(MAX(AU150,0.15),0.4),0.25)</f>
        <v>0.188669323591277</v>
      </c>
      <c r="AV199" s="37" t="n">
        <f aca="false">IFERROR(MIN(MAX(AV150,0.15),0.4),0.25)</f>
        <v>0.204168914232874</v>
      </c>
      <c r="AW199" s="37" t="n">
        <f aca="false">IFERROR(MIN(MAX(AW150,0.15),0.4),0.25)</f>
        <v>0.171910183493954</v>
      </c>
      <c r="AX199" s="37" t="n">
        <f aca="false">IFERROR(MIN(MAX(AX150,0.15),0.4),0.25)</f>
        <v>0.15</v>
      </c>
      <c r="AY199" s="37" t="n">
        <f aca="false">IFERROR(MIN(MAX(AY150,0.15),0.4),0.25)</f>
        <v>0.15</v>
      </c>
      <c r="AZ199" s="37" t="n">
        <f aca="false">IFERROR(MIN(MAX(AZ150,0.15),0.4),0.25)</f>
        <v>0.15</v>
      </c>
      <c r="BA199" s="37" t="n">
        <f aca="false">IFERROR(MIN(MAX(BA150,0.15),0.4),0.25)</f>
        <v>0.193591431144633</v>
      </c>
      <c r="BB199" s="37" t="n">
        <f aca="false">IFERROR(MIN(MAX(BB150,0.15),0.4),0.25)</f>
        <v>0.15</v>
      </c>
      <c r="BC199" s="37" t="n">
        <f aca="false">IFERROR(MIN(MAX(BC150,0.15),0.4),0.25)</f>
        <v>0.15</v>
      </c>
      <c r="BD199" s="37" t="n">
        <f aca="false">IFERROR(MIN(MAX(BD150,0.15),0.4),0.25)</f>
        <v>0.180067449120991</v>
      </c>
      <c r="BE199" s="37" t="n">
        <f aca="false">IFERROR(MIN(MAX(BE150,0.15),0.4),0.25)</f>
        <v>0.181995223413056</v>
      </c>
      <c r="BF199" s="37" t="n">
        <f aca="false">IFERROR(MIN(MAX(BF150,0.15),0.4),0.25)</f>
        <v>0.228052284428971</v>
      </c>
      <c r="BG199" s="37" t="n">
        <f aca="false">IFERROR(MIN(MAX(BG150,0.15),0.4),0.25)</f>
        <v>0.175484798180906</v>
      </c>
      <c r="BH199" s="37" t="n">
        <f aca="false">IFERROR(MIN(MAX(BH150,0.15),0.4),0.25)</f>
        <v>0.15</v>
      </c>
      <c r="BI199" s="37" t="n">
        <f aca="false">IFERROR(MIN(MAX(BI150,0.15),0.4),0.25)</f>
        <v>0.221119805551953</v>
      </c>
      <c r="BJ199" s="37" t="n">
        <f aca="false">IFERROR(MIN(MAX(BJ150,0.15),0.4),0.25)</f>
        <v>0.221191492616513</v>
      </c>
      <c r="BK199" s="37" t="n">
        <f aca="false">IFERROR(MIN(MAX(BK150,0.15),0.4),0.25)</f>
        <v>0.223536509602596</v>
      </c>
      <c r="BL199" s="37" t="n">
        <f aca="false">IFERROR(MIN(MAX(BL150,0.15),0.4),0.25)</f>
        <v>0.203843964024409</v>
      </c>
      <c r="BM199" s="37" t="n">
        <f aca="false">IFERROR(MIN(MAX(BM150,0.15),0.4),0.25)</f>
        <v>0.191734846799347</v>
      </c>
      <c r="BN199" s="37" t="n">
        <f aca="false">IFERROR(MIN(MAX(BN150,0.15),0.4),0.25)</f>
        <v>0.209447054205655</v>
      </c>
      <c r="BO199" s="37" t="n">
        <f aca="false">IFERROR(MIN(MAX(BO150,0.15),0.4),0.25)</f>
        <v>0.198752519145506</v>
      </c>
      <c r="BP199" s="37" t="n">
        <f aca="false">IFERROR(MIN(MAX(BP150,0.15),0.4),0.25)</f>
        <v>0.214030834371959</v>
      </c>
      <c r="BQ199" s="37" t="n">
        <f aca="false">IFERROR(MIN(MAX(BQ150,0.15),0.4),0.25)</f>
        <v>0.203706865757853</v>
      </c>
      <c r="BR199" s="37" t="n">
        <f aca="false">IFERROR(MIN(MAX(BR150,0.15),0.4),0.25)</f>
        <v>0.157695160082137</v>
      </c>
      <c r="BS199" s="37" t="n">
        <f aca="false">IFERROR(MIN(MAX(BS150,0.15),0.4),0.25)</f>
        <v>0.207167567930675</v>
      </c>
      <c r="BT199" s="37" t="n">
        <f aca="false">IFERROR(MIN(MAX(BT150,0.15),0.4),0.25)</f>
        <v>0.209640234773326</v>
      </c>
      <c r="BU199" s="37" t="n">
        <f aca="false">IFERROR(MIN(MAX(BU150,0.15),0.4),0.25)</f>
        <v>0.220986592285568</v>
      </c>
      <c r="BV199" s="37" t="n">
        <f aca="false">IFERROR(MIN(MAX(BV150,0.15),0.4),0.25)</f>
        <v>0.199593940823301</v>
      </c>
      <c r="BW199" s="37" t="n">
        <f aca="false">IFERROR(MIN(MAX(BW150,0.15),0.4),0.25)</f>
        <v>0.175810990641157</v>
      </c>
      <c r="BX199" s="37" t="n">
        <f aca="false">IFERROR(MIN(MAX(BX150,0.15),0.4),0.25)</f>
        <v>0.211869773302954</v>
      </c>
      <c r="BY199" s="37" t="n">
        <f aca="false">IFERROR(MIN(MAX(BY150,0.15),0.4),0.25)</f>
        <v>0.205536152740645</v>
      </c>
      <c r="BZ199" s="37" t="n">
        <f aca="false">IFERROR(MIN(MAX(BZ150,0.15),0.4),0.25)</f>
        <v>0.211954795150102</v>
      </c>
      <c r="CA199" s="37" t="n">
        <f aca="false">IFERROR(MIN(MAX(CA150,0.15),0.4),0.25)</f>
        <v>0.201716018702496</v>
      </c>
      <c r="CB199" s="37" t="n">
        <f aca="false">IFERROR(MIN(MAX(CB150,0.15),0.4),0.25)</f>
        <v>0.200221793775278</v>
      </c>
      <c r="CC199" s="28" t="n">
        <f aca="false">$CU$48</f>
        <v>0.25</v>
      </c>
      <c r="CD199" s="28" t="n">
        <f aca="false">$CU$48</f>
        <v>0.25</v>
      </c>
      <c r="CE199" s="28" t="n">
        <f aca="false">$CU$48</f>
        <v>0.25</v>
      </c>
      <c r="CF199" s="28" t="n">
        <f aca="false">$CU$48</f>
        <v>0.25</v>
      </c>
      <c r="CG199" s="28" t="n">
        <f aca="false">$CU$48</f>
        <v>0.25</v>
      </c>
      <c r="CH199" s="28" t="n">
        <f aca="false">$CU$48</f>
        <v>0.25</v>
      </c>
      <c r="CI199" s="28" t="n">
        <f aca="false">$CU$48</f>
        <v>0.25</v>
      </c>
      <c r="CJ199" s="28" t="n">
        <f aca="false">$CU$48</f>
        <v>0.25</v>
      </c>
      <c r="CK199" s="23" t="s">
        <v>466</v>
      </c>
    </row>
    <row r="200" customFormat="false" ht="15" hidden="false" customHeight="true" outlineLevel="0" collapsed="false">
      <c r="B200" s="29" t="s">
        <v>467</v>
      </c>
      <c r="C200" s="45" t="n">
        <f aca="false">-C198*C199</f>
        <v>-0</v>
      </c>
      <c r="D200" s="45" t="n">
        <f aca="false">-D198*D199</f>
        <v>-0</v>
      </c>
      <c r="E200" s="45" t="n">
        <f aca="false">-E198*E199</f>
        <v>-0</v>
      </c>
      <c r="F200" s="45" t="n">
        <f aca="false">-F198*F199</f>
        <v>-32.3820941998324</v>
      </c>
      <c r="G200" s="45" t="n">
        <f aca="false">-G198*G199</f>
        <v>-7.70209405278401</v>
      </c>
      <c r="H200" s="45" t="n">
        <f aca="false">-H198*H199</f>
        <v>-0</v>
      </c>
      <c r="I200" s="45" t="n">
        <f aca="false">-I198*I199</f>
        <v>-0</v>
      </c>
      <c r="J200" s="45" t="n">
        <f aca="false">-J198*J199</f>
        <v>-0</v>
      </c>
      <c r="K200" s="45" t="n">
        <f aca="false">-K198*K199</f>
        <v>-0</v>
      </c>
      <c r="L200" s="45" t="n">
        <f aca="false">-L198*L199</f>
        <v>-0</v>
      </c>
      <c r="M200" s="45" t="n">
        <f aca="false">-M198*M199</f>
        <v>-0</v>
      </c>
      <c r="N200" s="45" t="n">
        <f aca="false">-N198*N199</f>
        <v>-0</v>
      </c>
      <c r="O200" s="45" t="n">
        <f aca="false">-O198*O199</f>
        <v>-0</v>
      </c>
      <c r="P200" s="45" t="n">
        <f aca="false">-P198*P199</f>
        <v>-0</v>
      </c>
      <c r="Q200" s="45" t="n">
        <f aca="false">-Q198*Q199</f>
        <v>-0</v>
      </c>
      <c r="R200" s="45" t="n">
        <f aca="false">-R198*R199</f>
        <v>25.59</v>
      </c>
      <c r="S200" s="45" t="n">
        <f aca="false">-S198*S199</f>
        <v>23.7375783028273</v>
      </c>
      <c r="T200" s="45" t="n">
        <f aca="false">-T198*T199</f>
        <v>10.5989068310936</v>
      </c>
      <c r="U200" s="45" t="n">
        <f aca="false">-U198*U199</f>
        <v>-0</v>
      </c>
      <c r="V200" s="45" t="n">
        <f aca="false">-V198*V199</f>
        <v>-0</v>
      </c>
      <c r="W200" s="45" t="n">
        <f aca="false">-W198*W199</f>
        <v>-0.626965888329954</v>
      </c>
      <c r="X200" s="45" t="n">
        <f aca="false">-X198*X199</f>
        <v>9.9201855452728</v>
      </c>
      <c r="Y200" s="45" t="n">
        <f aca="false">-Y198*Y199</f>
        <v>-0</v>
      </c>
      <c r="Z200" s="45" t="n">
        <f aca="false">-Z198*Z199</f>
        <v>-0</v>
      </c>
      <c r="AA200" s="45" t="n">
        <f aca="false">-AA198*AA199</f>
        <v>-0</v>
      </c>
      <c r="AB200" s="45" t="n">
        <f aca="false">-AB198*AB199</f>
        <v>-0</v>
      </c>
      <c r="AC200" s="45" t="n">
        <f aca="false">-AC198*AC199</f>
        <v>-0</v>
      </c>
      <c r="AD200" s="45" t="n">
        <f aca="false">-AD198*AD199</f>
        <v>-0.791399094651912</v>
      </c>
      <c r="AE200" s="45" t="n">
        <f aca="false">-AE198*AE199</f>
        <v>-1.16792511417452</v>
      </c>
      <c r="AF200" s="45" t="n">
        <f aca="false">-AF198*AF199</f>
        <v>-3.21926894646705</v>
      </c>
      <c r="AG200" s="45" t="n">
        <f aca="false">-AG198*AG199</f>
        <v>-24.0769089504654</v>
      </c>
      <c r="AH200" s="45" t="n">
        <f aca="false">-AH198*AH199</f>
        <v>-26.5213301522831</v>
      </c>
      <c r="AI200" s="45" t="n">
        <f aca="false">-AI198*AI199</f>
        <v>-1.05077547825214</v>
      </c>
      <c r="AJ200" s="45" t="n">
        <f aca="false">-AJ198*AJ199</f>
        <v>-4.34818054687386</v>
      </c>
      <c r="AK200" s="45" t="n">
        <f aca="false">-AK198*AK199</f>
        <v>-7.47315</v>
      </c>
      <c r="AL200" s="45" t="n">
        <f aca="false">-AL198*AL199</f>
        <v>-3.22667445507422</v>
      </c>
      <c r="AM200" s="45" t="n">
        <f aca="false">-AM198*AM199</f>
        <v>-12.28455</v>
      </c>
      <c r="AN200" s="45" t="n">
        <f aca="false">-AN198*AN199</f>
        <v>-0.7275</v>
      </c>
      <c r="AO200" s="45" t="n">
        <f aca="false">-AO198*AO199</f>
        <v>14.8822265415382</v>
      </c>
      <c r="AP200" s="45" t="n">
        <f aca="false">-AP198*AP199</f>
        <v>-0.160819574248176</v>
      </c>
      <c r="AQ200" s="45" t="n">
        <f aca="false">-AQ198*AQ199</f>
        <v>-0.198457272412599</v>
      </c>
      <c r="AR200" s="45" t="n">
        <f aca="false">-AR198*AR199</f>
        <v>10.9569119093903</v>
      </c>
      <c r="AS200" s="45" t="n">
        <f aca="false">-AS198*AS199</f>
        <v>-0</v>
      </c>
      <c r="AT200" s="45" t="n">
        <f aca="false">-AT198*AT199</f>
        <v>-0</v>
      </c>
      <c r="AU200" s="45" t="n">
        <f aca="false">-AU198*AU199</f>
        <v>-0</v>
      </c>
      <c r="AV200" s="45" t="n">
        <f aca="false">-AV198*AV199</f>
        <v>-0</v>
      </c>
      <c r="AW200" s="45" t="n">
        <f aca="false">-AW198*AW199</f>
        <v>-0</v>
      </c>
      <c r="AX200" s="45" t="n">
        <f aca="false">-AX198*AX199</f>
        <v>-0</v>
      </c>
      <c r="AY200" s="45" t="n">
        <f aca="false">-AY198*AY199</f>
        <v>2.69445</v>
      </c>
      <c r="AZ200" s="45" t="n">
        <f aca="false">-AZ198*AZ199</f>
        <v>0.5847</v>
      </c>
      <c r="BA200" s="45" t="n">
        <f aca="false">-BA198*BA199</f>
        <v>0.0327169518634429</v>
      </c>
      <c r="BB200" s="45" t="n">
        <f aca="false">-BB198*BB199</f>
        <v>3.3045</v>
      </c>
      <c r="BC200" s="45" t="n">
        <f aca="false">-BC198*BC199</f>
        <v>1.81935</v>
      </c>
      <c r="BD200" s="45" t="n">
        <f aca="false">-BD198*BD199</f>
        <v>-0</v>
      </c>
      <c r="BE200" s="45" t="n">
        <f aca="false">-BE198*BE199</f>
        <v>5.48733798112704</v>
      </c>
      <c r="BF200" s="45" t="n">
        <f aca="false">-BF198*BF199</f>
        <v>-0</v>
      </c>
      <c r="BG200" s="45" t="n">
        <f aca="false">-BG198*BG199</f>
        <v>7.4194972670887</v>
      </c>
      <c r="BH200" s="45" t="n">
        <f aca="false">-BH198*BH199</f>
        <v>-0</v>
      </c>
      <c r="BI200" s="45" t="n">
        <f aca="false">-BI198*BI199</f>
        <v>-0</v>
      </c>
      <c r="BJ200" s="45" t="n">
        <f aca="false">-BJ198*BJ199</f>
        <v>-0</v>
      </c>
      <c r="BK200" s="45" t="n">
        <f aca="false">-BK198*BK199</f>
        <v>-0</v>
      </c>
      <c r="BL200" s="45" t="n">
        <f aca="false">-BL198*BL199</f>
        <v>-0</v>
      </c>
      <c r="BM200" s="45" t="n">
        <f aca="false">-BM198*BM199</f>
        <v>-0</v>
      </c>
      <c r="BN200" s="45" t="n">
        <f aca="false">-BN198*BN199</f>
        <v>-0</v>
      </c>
      <c r="BO200" s="45" t="n">
        <f aca="false">-BO198*BO199</f>
        <v>-0</v>
      </c>
      <c r="BP200" s="45" t="n">
        <f aca="false">-BP198*BP199</f>
        <v>-0</v>
      </c>
      <c r="BQ200" s="45" t="n">
        <f aca="false">-BQ198*BQ199</f>
        <v>-0</v>
      </c>
      <c r="BR200" s="45" t="n">
        <f aca="false">-BR198*BR199</f>
        <v>-0</v>
      </c>
      <c r="BS200" s="45" t="n">
        <f aca="false">-BS198*BS199</f>
        <v>-0</v>
      </c>
      <c r="BT200" s="45" t="n">
        <f aca="false">-BT198*BT199</f>
        <v>-0</v>
      </c>
      <c r="BU200" s="45" t="n">
        <f aca="false">-BU198*BU199</f>
        <v>-0</v>
      </c>
      <c r="BV200" s="45" t="n">
        <f aca="false">-BV198*BV199</f>
        <v>-0</v>
      </c>
      <c r="BW200" s="45" t="n">
        <f aca="false">-BW198*BW199</f>
        <v>-0</v>
      </c>
      <c r="BX200" s="45" t="n">
        <f aca="false">-BX198*BX199</f>
        <v>-0</v>
      </c>
      <c r="BY200" s="45" t="n">
        <f aca="false">-BY198*BY199</f>
        <v>-0</v>
      </c>
      <c r="BZ200" s="45" t="n">
        <f aca="false">-BZ198*BZ199</f>
        <v>-2.97245404718503</v>
      </c>
      <c r="CA200" s="45" t="n">
        <f aca="false">-CA198*CA199</f>
        <v>-3.05317365908098</v>
      </c>
      <c r="CB200" s="45" t="n">
        <f aca="false">-CB198*CB199</f>
        <v>-2.88559649188931</v>
      </c>
      <c r="CC200" s="35" t="n">
        <f aca="false">-CC198*CC199</f>
        <v>-3.75</v>
      </c>
      <c r="CD200" s="35" t="n">
        <f aca="false">-CD198*CD199</f>
        <v>-27.175</v>
      </c>
      <c r="CE200" s="35" t="n">
        <f aca="false">-CE198*CE199</f>
        <v>-7.875</v>
      </c>
      <c r="CF200" s="35" t="n">
        <f aca="false">-CF198*CF199</f>
        <v>-42.403</v>
      </c>
      <c r="CG200" s="35" t="n">
        <f aca="false">-CG198*CG199</f>
        <v>-39.375</v>
      </c>
      <c r="CH200" s="35" t="n">
        <f aca="false">-CH198*CH199</f>
        <v>-26.25</v>
      </c>
      <c r="CI200" s="35" t="n">
        <f aca="false">-CI198*CI199</f>
        <v>-8.75</v>
      </c>
      <c r="CJ200" s="35" t="n">
        <f aca="false">-CJ198*CJ199</f>
        <v>-0</v>
      </c>
      <c r="CK200" s="23"/>
    </row>
    <row r="201" customFormat="false" ht="15" hidden="false" customHeight="true" outlineLevel="0" collapsed="false">
      <c r="B201" s="29" t="s">
        <v>445</v>
      </c>
      <c r="C201" s="45" t="n">
        <f aca="false">C183</f>
        <v>-0</v>
      </c>
      <c r="D201" s="45" t="n">
        <f aca="false">D183</f>
        <v>-0</v>
      </c>
      <c r="E201" s="45" t="n">
        <f aca="false">E183</f>
        <v>-0</v>
      </c>
      <c r="F201" s="45" t="n">
        <f aca="false">F183</f>
        <v>-0</v>
      </c>
      <c r="G201" s="45" t="n">
        <f aca="false">G183</f>
        <v>-0</v>
      </c>
      <c r="H201" s="45" t="n">
        <f aca="false">H183</f>
        <v>-0</v>
      </c>
      <c r="I201" s="45" t="n">
        <f aca="false">I183</f>
        <v>-0</v>
      </c>
      <c r="J201" s="45" t="n">
        <f aca="false">J183</f>
        <v>-0</v>
      </c>
      <c r="K201" s="45" t="n">
        <f aca="false">K183</f>
        <v>-0</v>
      </c>
      <c r="L201" s="45" t="n">
        <f aca="false">L183</f>
        <v>-0</v>
      </c>
      <c r="M201" s="45" t="n">
        <f aca="false">M183</f>
        <v>-0</v>
      </c>
      <c r="N201" s="45" t="n">
        <f aca="false">N183</f>
        <v>-0</v>
      </c>
      <c r="O201" s="45" t="n">
        <f aca="false">O183</f>
        <v>-0</v>
      </c>
      <c r="P201" s="45" t="n">
        <f aca="false">P183</f>
        <v>-0</v>
      </c>
      <c r="Q201" s="45" t="n">
        <f aca="false">Q183</f>
        <v>-0</v>
      </c>
      <c r="R201" s="45" t="n">
        <f aca="false">R183</f>
        <v>-0</v>
      </c>
      <c r="S201" s="45" t="n">
        <f aca="false">S183</f>
        <v>-0</v>
      </c>
      <c r="T201" s="45" t="n">
        <f aca="false">T183</f>
        <v>-0</v>
      </c>
      <c r="U201" s="45" t="n">
        <f aca="false">U183</f>
        <v>-0</v>
      </c>
      <c r="V201" s="45" t="n">
        <f aca="false">V183</f>
        <v>6.771</v>
      </c>
      <c r="W201" s="45" t="n">
        <f aca="false">W183</f>
        <v>-1.488</v>
      </c>
      <c r="X201" s="45" t="n">
        <f aca="false">X183</f>
        <v>5.539</v>
      </c>
      <c r="Y201" s="45" t="n">
        <f aca="false">Y183</f>
        <v>-0</v>
      </c>
      <c r="Z201" s="45" t="n">
        <f aca="false">Z183</f>
        <v>-0</v>
      </c>
      <c r="AA201" s="45" t="n">
        <f aca="false">AA183</f>
        <v>-0</v>
      </c>
      <c r="AB201" s="45" t="n">
        <f aca="false">AB183</f>
        <v>-0</v>
      </c>
      <c r="AC201" s="45" t="n">
        <f aca="false">AC183</f>
        <v>-0</v>
      </c>
      <c r="AD201" s="45" t="n">
        <f aca="false">AD183</f>
        <v>-0</v>
      </c>
      <c r="AE201" s="45" t="n">
        <f aca="false">AE183</f>
        <v>-0</v>
      </c>
      <c r="AF201" s="45" t="n">
        <f aca="false">AF183</f>
        <v>-0</v>
      </c>
      <c r="AG201" s="45" t="n">
        <f aca="false">AG183</f>
        <v>-0</v>
      </c>
      <c r="AH201" s="45" t="n">
        <f aca="false">AH183</f>
        <v>-0</v>
      </c>
      <c r="AI201" s="45" t="n">
        <f aca="false">AI183</f>
        <v>-0</v>
      </c>
      <c r="AJ201" s="45" t="n">
        <f aca="false">AJ183</f>
        <v>-0</v>
      </c>
      <c r="AK201" s="45" t="n">
        <f aca="false">AK183</f>
        <v>-0</v>
      </c>
      <c r="AL201" s="45" t="n">
        <f aca="false">AL183</f>
        <v>-0</v>
      </c>
      <c r="AM201" s="45" t="n">
        <f aca="false">AM183</f>
        <v>-0</v>
      </c>
      <c r="AN201" s="45" t="n">
        <f aca="false">AN183</f>
        <v>-0</v>
      </c>
      <c r="AO201" s="45" t="n">
        <f aca="false">AO183</f>
        <v>-0</v>
      </c>
      <c r="AP201" s="45" t="n">
        <f aca="false">AP183</f>
        <v>-0</v>
      </c>
      <c r="AQ201" s="45" t="n">
        <f aca="false">AQ183</f>
        <v>-0</v>
      </c>
      <c r="AR201" s="45" t="n">
        <f aca="false">AR183</f>
        <v>-0</v>
      </c>
      <c r="AS201" s="45" t="n">
        <f aca="false">AS183</f>
        <v>-0</v>
      </c>
      <c r="AT201" s="45" t="n">
        <f aca="false">AT183</f>
        <v>-0</v>
      </c>
      <c r="AU201" s="45" t="n">
        <f aca="false">AU183</f>
        <v>-0</v>
      </c>
      <c r="AV201" s="45" t="n">
        <f aca="false">AV183</f>
        <v>-0</v>
      </c>
      <c r="AW201" s="45" t="n">
        <f aca="false">AW183</f>
        <v>-0</v>
      </c>
      <c r="AX201" s="45" t="n">
        <f aca="false">AX183</f>
        <v>-0</v>
      </c>
      <c r="AY201" s="45" t="n">
        <f aca="false">AY183</f>
        <v>-0</v>
      </c>
      <c r="AZ201" s="45" t="n">
        <f aca="false">AZ183</f>
        <v>-0</v>
      </c>
      <c r="BA201" s="45" t="n">
        <f aca="false">BA183</f>
        <v>-0</v>
      </c>
      <c r="BB201" s="45" t="n">
        <f aca="false">BB183</f>
        <v>-0</v>
      </c>
      <c r="BC201" s="45" t="n">
        <f aca="false">BC183</f>
        <v>-0</v>
      </c>
      <c r="BD201" s="45" t="n">
        <f aca="false">BD183</f>
        <v>-0</v>
      </c>
      <c r="BE201" s="45" t="n">
        <f aca="false">BE183</f>
        <v>-0</v>
      </c>
      <c r="BF201" s="45" t="n">
        <f aca="false">BF183</f>
        <v>-0</v>
      </c>
      <c r="BG201" s="45" t="n">
        <f aca="false">BG183</f>
        <v>-0</v>
      </c>
      <c r="BH201" s="45" t="n">
        <f aca="false">BH183</f>
        <v>-0</v>
      </c>
      <c r="BI201" s="45" t="n">
        <f aca="false">BI183</f>
        <v>-0</v>
      </c>
      <c r="BJ201" s="45" t="n">
        <f aca="false">BJ183</f>
        <v>-0</v>
      </c>
      <c r="BK201" s="45" t="n">
        <f aca="false">BK183</f>
        <v>-0</v>
      </c>
      <c r="BL201" s="45" t="n">
        <f aca="false">BL183</f>
        <v>-0</v>
      </c>
      <c r="BM201" s="45" t="n">
        <f aca="false">BM183</f>
        <v>-0</v>
      </c>
      <c r="BN201" s="45" t="n">
        <f aca="false">BN183</f>
        <v>-0</v>
      </c>
      <c r="BO201" s="45" t="n">
        <f aca="false">BO183</f>
        <v>-0</v>
      </c>
      <c r="BP201" s="45" t="n">
        <f aca="false">BP183</f>
        <v>-0</v>
      </c>
      <c r="BQ201" s="45" t="n">
        <f aca="false">BQ183</f>
        <v>-0</v>
      </c>
      <c r="BR201" s="45" t="n">
        <f aca="false">BR183</f>
        <v>-0</v>
      </c>
      <c r="BS201" s="45" t="n">
        <f aca="false">BS183</f>
        <v>-0</v>
      </c>
      <c r="BT201" s="45" t="n">
        <f aca="false">BT183</f>
        <v>-0</v>
      </c>
      <c r="BU201" s="45" t="n">
        <f aca="false">BU183</f>
        <v>-0</v>
      </c>
      <c r="BV201" s="45" t="n">
        <f aca="false">BV183</f>
        <v>-0</v>
      </c>
      <c r="BW201" s="45" t="n">
        <f aca="false">BW183</f>
        <v>-0</v>
      </c>
      <c r="BX201" s="45" t="n">
        <f aca="false">BX183</f>
        <v>-0</v>
      </c>
      <c r="BY201" s="45" t="n">
        <f aca="false">BY183</f>
        <v>-0</v>
      </c>
      <c r="BZ201" s="45" t="n">
        <f aca="false">BZ183</f>
        <v>-0</v>
      </c>
      <c r="CA201" s="45" t="n">
        <f aca="false">CA183</f>
        <v>-0</v>
      </c>
      <c r="CB201" s="45" t="n">
        <f aca="false">CB183</f>
        <v>-0</v>
      </c>
      <c r="CC201" s="35" t="n">
        <f aca="false">CC183</f>
        <v>-0</v>
      </c>
      <c r="CD201" s="35" t="n">
        <f aca="false">CD183</f>
        <v>-0</v>
      </c>
      <c r="CE201" s="35" t="n">
        <f aca="false">CE183</f>
        <v>-0</v>
      </c>
      <c r="CF201" s="35" t="n">
        <f aca="false">CF183</f>
        <v>-0</v>
      </c>
      <c r="CG201" s="35" t="n">
        <f aca="false">CG183</f>
        <v>-0</v>
      </c>
      <c r="CH201" s="35" t="n">
        <f aca="false">CH183</f>
        <v>-0</v>
      </c>
      <c r="CI201" s="35" t="n">
        <f aca="false">CI183</f>
        <v>-0</v>
      </c>
      <c r="CJ201" s="35" t="n">
        <f aca="false">CJ183</f>
        <v>-0</v>
      </c>
      <c r="CK201" s="23"/>
    </row>
    <row r="202" customFormat="false" ht="15" hidden="false" customHeight="true" outlineLevel="0" collapsed="false">
      <c r="B202" s="29" t="s">
        <v>468</v>
      </c>
      <c r="C202" s="34" t="n">
        <v>0</v>
      </c>
      <c r="D202" s="34" t="n">
        <v>0</v>
      </c>
      <c r="E202" s="34" t="n">
        <v>0</v>
      </c>
      <c r="F202" s="34" t="n">
        <v>0</v>
      </c>
      <c r="G202" s="34" t="n">
        <v>0</v>
      </c>
      <c r="H202" s="34" t="n">
        <v>0</v>
      </c>
      <c r="I202" s="34" t="n">
        <v>0</v>
      </c>
      <c r="J202" s="34" t="n">
        <v>0</v>
      </c>
      <c r="K202" s="34" t="n">
        <v>0</v>
      </c>
      <c r="L202" s="34" t="n">
        <v>0</v>
      </c>
      <c r="M202" s="34" t="n">
        <v>0</v>
      </c>
      <c r="N202" s="34" t="n">
        <v>0</v>
      </c>
      <c r="O202" s="34" t="n">
        <v>0</v>
      </c>
      <c r="P202" s="34" t="n">
        <v>0</v>
      </c>
      <c r="Q202" s="34" t="n">
        <v>0</v>
      </c>
      <c r="R202" s="34" t="n">
        <v>0</v>
      </c>
      <c r="S202" s="34" t="n">
        <v>0</v>
      </c>
      <c r="T202" s="34" t="n">
        <v>0</v>
      </c>
      <c r="U202" s="34" t="n">
        <v>0</v>
      </c>
      <c r="V202" s="34" t="n">
        <v>0</v>
      </c>
      <c r="W202" s="34" t="n">
        <v>0</v>
      </c>
      <c r="X202" s="34" t="n">
        <v>0</v>
      </c>
      <c r="Y202" s="34" t="n">
        <v>0</v>
      </c>
      <c r="Z202" s="34" t="n">
        <v>0</v>
      </c>
      <c r="AA202" s="34" t="n">
        <v>0</v>
      </c>
      <c r="AB202" s="34" t="n">
        <v>0</v>
      </c>
      <c r="AC202" s="34" t="n">
        <v>0</v>
      </c>
      <c r="AD202" s="34" t="n">
        <v>0</v>
      </c>
      <c r="AE202" s="34" t="n">
        <v>0</v>
      </c>
      <c r="AF202" s="34" t="n">
        <v>0</v>
      </c>
      <c r="AG202" s="34" t="n">
        <v>0</v>
      </c>
      <c r="AH202" s="34" t="n">
        <v>0</v>
      </c>
      <c r="AI202" s="34" t="n">
        <v>0</v>
      </c>
      <c r="AJ202" s="34" t="n">
        <v>0</v>
      </c>
      <c r="AK202" s="34" t="n">
        <v>-175.17825</v>
      </c>
      <c r="AL202" s="34" t="n">
        <v>0</v>
      </c>
      <c r="AM202" s="34" t="n">
        <v>-175.17825</v>
      </c>
      <c r="AN202" s="34" t="n">
        <v>0</v>
      </c>
      <c r="AO202" s="34" t="n">
        <v>0</v>
      </c>
      <c r="AP202" s="34" t="n">
        <v>0</v>
      </c>
      <c r="AQ202" s="34" t="n">
        <v>0</v>
      </c>
      <c r="AR202" s="34" t="n">
        <v>0</v>
      </c>
      <c r="AS202" s="34" t="n">
        <v>0</v>
      </c>
      <c r="AT202" s="34" t="n">
        <v>0</v>
      </c>
      <c r="AU202" s="34" t="n">
        <v>0</v>
      </c>
      <c r="AV202" s="34" t="n">
        <v>0</v>
      </c>
      <c r="AW202" s="34" t="n">
        <v>0</v>
      </c>
      <c r="AX202" s="34" t="n">
        <v>0</v>
      </c>
      <c r="AY202" s="34" t="n">
        <v>0</v>
      </c>
      <c r="AZ202" s="34" t="n">
        <v>0</v>
      </c>
      <c r="BA202" s="34" t="n">
        <v>0</v>
      </c>
      <c r="BB202" s="34" t="n">
        <v>0</v>
      </c>
      <c r="BC202" s="34" t="n">
        <v>0</v>
      </c>
      <c r="BD202" s="34" t="n">
        <v>0</v>
      </c>
      <c r="BE202" s="34" t="n">
        <v>0</v>
      </c>
      <c r="BF202" s="34" t="n">
        <v>0</v>
      </c>
      <c r="BG202" s="34" t="n">
        <v>0</v>
      </c>
      <c r="BH202" s="34" t="n">
        <v>0</v>
      </c>
      <c r="BI202" s="34" t="n">
        <v>0</v>
      </c>
      <c r="BJ202" s="34" t="n">
        <v>0</v>
      </c>
      <c r="BK202" s="34" t="n">
        <v>0</v>
      </c>
      <c r="BL202" s="34" t="n">
        <v>0</v>
      </c>
      <c r="BM202" s="34" t="n">
        <v>0</v>
      </c>
      <c r="BN202" s="34" t="n">
        <v>0</v>
      </c>
      <c r="BO202" s="34" t="n">
        <v>0</v>
      </c>
      <c r="BP202" s="34" t="n">
        <v>0</v>
      </c>
      <c r="BQ202" s="34" t="n">
        <v>0</v>
      </c>
      <c r="BR202" s="34" t="n">
        <v>0</v>
      </c>
      <c r="BS202" s="34" t="n">
        <v>0</v>
      </c>
      <c r="BT202" s="34" t="n">
        <v>0</v>
      </c>
      <c r="BU202" s="34" t="n">
        <v>0</v>
      </c>
      <c r="BV202" s="34" t="n">
        <v>0</v>
      </c>
      <c r="BW202" s="34" t="n">
        <v>0</v>
      </c>
      <c r="BX202" s="34" t="n">
        <v>0</v>
      </c>
      <c r="BY202" s="34" t="n">
        <v>0</v>
      </c>
      <c r="BZ202" s="34" t="n">
        <v>0</v>
      </c>
      <c r="CA202" s="34" t="n">
        <v>0</v>
      </c>
      <c r="CB202" s="34" t="n">
        <v>0</v>
      </c>
      <c r="CC202" s="35" t="n">
        <f aca="false">0</f>
        <v>0</v>
      </c>
      <c r="CD202" s="35" t="n">
        <f aca="false">0</f>
        <v>0</v>
      </c>
      <c r="CE202" s="35" t="n">
        <f aca="false">0</f>
        <v>0</v>
      </c>
      <c r="CF202" s="35" t="n">
        <f aca="false">0</f>
        <v>0</v>
      </c>
      <c r="CG202" s="35" t="n">
        <f aca="false">0</f>
        <v>0</v>
      </c>
      <c r="CH202" s="35" t="n">
        <f aca="false">0</f>
        <v>0</v>
      </c>
      <c r="CI202" s="35" t="n">
        <f aca="false">0</f>
        <v>0</v>
      </c>
      <c r="CJ202" s="35" t="n">
        <f aca="false">0</f>
        <v>0</v>
      </c>
      <c r="CK202" s="23"/>
    </row>
    <row r="203" customFormat="false" ht="15" hidden="false" customHeight="true" outlineLevel="0" collapsed="false">
      <c r="B203" s="29" t="s">
        <v>469</v>
      </c>
      <c r="C203" s="34" t="n">
        <v>0</v>
      </c>
      <c r="D203" s="34" t="n">
        <v>0</v>
      </c>
      <c r="E203" s="34" t="n">
        <v>0</v>
      </c>
      <c r="F203" s="34" t="n">
        <v>0.102</v>
      </c>
      <c r="G203" s="34" t="n">
        <v>-0.807</v>
      </c>
      <c r="H203" s="34" t="n">
        <v>-0.725</v>
      </c>
      <c r="I203" s="34" t="n">
        <v>0</v>
      </c>
      <c r="J203" s="34" t="n">
        <v>0</v>
      </c>
      <c r="K203" s="34" t="n">
        <v>0</v>
      </c>
      <c r="L203" s="34" t="n">
        <v>0</v>
      </c>
      <c r="M203" s="34" t="n">
        <v>0</v>
      </c>
      <c r="N203" s="34" t="n">
        <v>0</v>
      </c>
      <c r="O203" s="34" t="n">
        <v>0</v>
      </c>
      <c r="P203" s="34" t="n">
        <v>0</v>
      </c>
      <c r="Q203" s="34" t="n">
        <v>0</v>
      </c>
      <c r="R203" s="34" t="n">
        <v>3.034</v>
      </c>
      <c r="S203" s="34" t="n">
        <v>3.013</v>
      </c>
      <c r="T203" s="34" t="n">
        <v>0.031</v>
      </c>
      <c r="U203" s="34" t="n">
        <v>0</v>
      </c>
      <c r="V203" s="34" t="n">
        <v>-0.22</v>
      </c>
      <c r="W203" s="34" t="n">
        <v>-1.527</v>
      </c>
      <c r="X203" s="34" t="n">
        <v>-3.076</v>
      </c>
      <c r="Y203" s="34" t="n">
        <v>0</v>
      </c>
      <c r="Z203" s="34" t="n">
        <v>0</v>
      </c>
      <c r="AA203" s="34" t="n">
        <v>0</v>
      </c>
      <c r="AB203" s="34" t="n">
        <v>0</v>
      </c>
      <c r="AC203" s="34" t="n">
        <v>0</v>
      </c>
      <c r="AD203" s="34" t="n">
        <v>-5.123</v>
      </c>
      <c r="AE203" s="34" t="n">
        <v>-2.915</v>
      </c>
      <c r="AF203" s="34" t="n">
        <v>-5.012</v>
      </c>
      <c r="AG203" s="34" t="n">
        <v>14.436</v>
      </c>
      <c r="AH203" s="34" t="n">
        <v>4.136</v>
      </c>
      <c r="AI203" s="34" t="n">
        <v>-3.393</v>
      </c>
      <c r="AJ203" s="34" t="n">
        <v>-2.601</v>
      </c>
      <c r="AK203" s="34" t="n">
        <v>-12.019</v>
      </c>
      <c r="AL203" s="34" t="n">
        <v>-5.386</v>
      </c>
      <c r="AM203" s="34" t="n">
        <v>-26.095</v>
      </c>
      <c r="AN203" s="34" t="n">
        <v>-3.119</v>
      </c>
      <c r="AO203" s="34" t="n">
        <v>-2.972</v>
      </c>
      <c r="AP203" s="34" t="n">
        <v>-2.543</v>
      </c>
      <c r="AQ203" s="34" t="n">
        <v>-2.625</v>
      </c>
      <c r="AR203" s="34" t="n">
        <v>-6.467</v>
      </c>
      <c r="AS203" s="34" t="n">
        <v>-2.379</v>
      </c>
      <c r="AT203" s="34" t="n">
        <v>-2.793</v>
      </c>
      <c r="AU203" s="34" t="n">
        <v>-2.13</v>
      </c>
      <c r="AV203" s="34" t="n">
        <v>-1.173</v>
      </c>
      <c r="AW203" s="34" t="n">
        <v>-8.493</v>
      </c>
      <c r="AX203" s="34" t="n">
        <v>0</v>
      </c>
      <c r="AY203" s="34" t="n">
        <v>-13.673</v>
      </c>
      <c r="AZ203" s="34" t="n">
        <v>0</v>
      </c>
      <c r="BA203" s="34" t="n">
        <v>0</v>
      </c>
      <c r="BB203" s="34" t="n">
        <v>0</v>
      </c>
      <c r="BC203" s="34" t="n">
        <v>-0.918</v>
      </c>
      <c r="BD203" s="34" t="n">
        <v>-1.772</v>
      </c>
      <c r="BE203" s="34" t="n">
        <v>-6.61</v>
      </c>
      <c r="BF203" s="34" t="n">
        <v>0</v>
      </c>
      <c r="BG203" s="34" t="n">
        <v>-10.597</v>
      </c>
      <c r="BH203" s="34" t="n">
        <v>0</v>
      </c>
      <c r="BI203" s="34" t="n">
        <v>0</v>
      </c>
      <c r="BJ203" s="34" t="n">
        <v>0</v>
      </c>
      <c r="BK203" s="34" t="n">
        <v>0</v>
      </c>
      <c r="BL203" s="34" t="n">
        <v>0</v>
      </c>
      <c r="BM203" s="34" t="n">
        <v>0</v>
      </c>
      <c r="BN203" s="34" t="n">
        <v>0</v>
      </c>
      <c r="BO203" s="34" t="n">
        <v>0</v>
      </c>
      <c r="BP203" s="34" t="n">
        <v>0</v>
      </c>
      <c r="BQ203" s="34" t="n">
        <v>0</v>
      </c>
      <c r="BR203" s="34" t="n">
        <v>0</v>
      </c>
      <c r="BS203" s="34" t="n">
        <v>0</v>
      </c>
      <c r="BT203" s="34" t="n">
        <v>0</v>
      </c>
      <c r="BU203" s="34" t="n">
        <v>0</v>
      </c>
      <c r="BV203" s="34" t="n">
        <v>0</v>
      </c>
      <c r="BW203" s="34" t="n">
        <v>0</v>
      </c>
      <c r="BX203" s="34" t="n">
        <v>0</v>
      </c>
      <c r="BY203" s="34" t="n">
        <v>0</v>
      </c>
      <c r="BZ203" s="34" t="n">
        <v>-0.485</v>
      </c>
      <c r="CA203" s="34" t="n">
        <v>-5.438</v>
      </c>
      <c r="CB203" s="34" t="n">
        <v>-1.274</v>
      </c>
      <c r="CC203" s="35" t="n">
        <f aca="false">0</f>
        <v>0</v>
      </c>
      <c r="CD203" s="35" t="n">
        <f aca="false">0</f>
        <v>0</v>
      </c>
      <c r="CE203" s="35" t="n">
        <f aca="false">0</f>
        <v>0</v>
      </c>
      <c r="CF203" s="35" t="n">
        <f aca="false">0</f>
        <v>0</v>
      </c>
      <c r="CG203" s="35" t="n">
        <f aca="false">0</f>
        <v>0</v>
      </c>
      <c r="CH203" s="35" t="n">
        <f aca="false">0</f>
        <v>0</v>
      </c>
      <c r="CI203" s="35" t="n">
        <f aca="false">0</f>
        <v>0</v>
      </c>
      <c r="CJ203" s="35" t="n">
        <f aca="false">0</f>
        <v>0</v>
      </c>
      <c r="CK203" s="23" t="s">
        <v>470</v>
      </c>
    </row>
    <row r="204" customFormat="false" ht="15" hidden="false" customHeight="true" outlineLevel="0" collapsed="false">
      <c r="B204" s="55" t="s">
        <v>471</v>
      </c>
      <c r="C204" s="56" t="n">
        <f aca="false">SUM(C197,C198,C200,C201,C202,C203)</f>
        <v>327.178</v>
      </c>
      <c r="D204" s="56" t="n">
        <f aca="false">SUM(D197,D198,D200,D201,D202,D203)</f>
        <v>334.538</v>
      </c>
      <c r="E204" s="56" t="n">
        <f aca="false">SUM(E197,E198,E200,E201,E202,E203)</f>
        <v>335.405</v>
      </c>
      <c r="F204" s="56" t="n">
        <f aca="false">SUM(F197,F198,F200,F201,F202,F203)</f>
        <v>280.659905800168</v>
      </c>
      <c r="G204" s="56" t="n">
        <f aca="false">SUM(G197,G198,G200,G201,G202,G203)</f>
        <v>227.759905947216</v>
      </c>
      <c r="H204" s="56" t="n">
        <f aca="false">SUM(H197,H198,H200,H201,H202,H203)</f>
        <v>246.264</v>
      </c>
      <c r="I204" s="56" t="n">
        <f aca="false">SUM(I197,I198,I200,I201,I202,I203)</f>
        <v>297.637</v>
      </c>
      <c r="J204" s="56" t="n">
        <f aca="false">SUM(J197,J198,J200,J201,J202,J203)</f>
        <v>76.733</v>
      </c>
      <c r="K204" s="56" t="n">
        <f aca="false">SUM(K197,K198,K200,K201,K202,K203)</f>
        <v>78.027</v>
      </c>
      <c r="L204" s="56" t="n">
        <f aca="false">SUM(L197,L198,L200,L201,L202,L203)</f>
        <v>74.705</v>
      </c>
      <c r="M204" s="56" t="n">
        <f aca="false">SUM(M197,M198,M200,M201,M202,M203)</f>
        <v>85.977</v>
      </c>
      <c r="N204" s="56" t="n">
        <f aca="false">SUM(N197,N198,N200,N201,N202,N203)</f>
        <v>315.442</v>
      </c>
      <c r="O204" s="56" t="n">
        <f aca="false">SUM(O197,O198,O200,O201,O202,O203)</f>
        <v>77.754</v>
      </c>
      <c r="P204" s="56" t="n">
        <f aca="false">SUM(P197,P198,P200,P201,P202,P203)</f>
        <v>84.862</v>
      </c>
      <c r="Q204" s="56" t="n">
        <f aca="false">SUM(Q197,Q198,Q200,Q201,Q202,Q203)</f>
        <v>84.6020000000001</v>
      </c>
      <c r="R204" s="56" t="n">
        <f aca="false">SUM(R197,R198,R200,R201,R202,R203)</f>
        <v>91.8730000000001</v>
      </c>
      <c r="S204" s="56" t="n">
        <f aca="false">SUM(S197,S198,S200,S201,S202,S203)</f>
        <v>339.375578302827</v>
      </c>
      <c r="T204" s="56" t="n">
        <f aca="false">SUM(T197,T198,T200,T201,T202,T203)</f>
        <v>92.0629068310936</v>
      </c>
      <c r="U204" s="56" t="n">
        <f aca="false">SUM(U197,U198,U200,U201,U202,U203)</f>
        <v>103.446</v>
      </c>
      <c r="V204" s="56" t="n">
        <f aca="false">SUM(V197,V198,V200,V201,V202,V203)</f>
        <v>100.187</v>
      </c>
      <c r="W204" s="56" t="n">
        <f aca="false">SUM(W197,W198,W200,W201,W202,W203)</f>
        <v>99.2290341116702</v>
      </c>
      <c r="X204" s="56" t="n">
        <f aca="false">SUM(X197,X198,X200,X201,X202,X203)</f>
        <v>393.769185545273</v>
      </c>
      <c r="Y204" s="56" t="n">
        <f aca="false">SUM(Y197,Y198,Y200,Y201,Y202,Y203)</f>
        <v>106.198</v>
      </c>
      <c r="Z204" s="56" t="n">
        <f aca="false">SUM(Z197,Z198,Z200,Z201,Z202,Z203)</f>
        <v>115.453</v>
      </c>
      <c r="AA204" s="56" t="n">
        <f aca="false">SUM(AA197,AA198,AA200,AA201,AA202,AA203)</f>
        <v>117.279</v>
      </c>
      <c r="AB204" s="56" t="n">
        <f aca="false">SUM(AB197,AB198,AB200,AB201,AB202,AB203)</f>
        <v>118.011</v>
      </c>
      <c r="AC204" s="56" t="n">
        <f aca="false">SUM(AC197,AC198,AC200,AC201,AC202,AC203)</f>
        <v>456.940999999999</v>
      </c>
      <c r="AD204" s="56" t="n">
        <f aca="false">SUM(AD197,AD198,AD200,AD201,AD202,AD203)</f>
        <v>134.963600905348</v>
      </c>
      <c r="AE204" s="56" t="n">
        <f aca="false">SUM(AE197,AE198,AE200,AE201,AE202,AE203)</f>
        <v>122.718074885826</v>
      </c>
      <c r="AF204" s="56" t="n">
        <f aca="false">SUM(AF197,AF198,AF200,AF201,AF202,AF203)</f>
        <v>119.759731053533</v>
      </c>
      <c r="AG204" s="56" t="n">
        <f aca="false">SUM(AG197,AG198,AG200,AG201,AG202,AG203)</f>
        <v>136.279091049535</v>
      </c>
      <c r="AH204" s="56" t="n">
        <f aca="false">SUM(AH197,AH198,AH200,AH201,AH202,AH203)</f>
        <v>514.124669847717</v>
      </c>
      <c r="AI204" s="56" t="n">
        <f aca="false">SUM(AI197,AI198,AI200,AI201,AI202,AI203)</f>
        <v>160.635224521748</v>
      </c>
      <c r="AJ204" s="56" t="n">
        <f aca="false">SUM(AJ197,AJ198,AJ200,AJ201,AJ202,AJ203)</f>
        <v>143.861819453126</v>
      </c>
      <c r="AK204" s="56" t="n">
        <f aca="false">SUM(AK197,AK198,AK200,AK201,AK202,AK203)</f>
        <v>150.9396</v>
      </c>
      <c r="AL204" s="56" t="n">
        <f aca="false">SUM(AL197,AL198,AL200,AL201,AL202,AL203)</f>
        <v>195.716325544926</v>
      </c>
      <c r="AM204" s="56" t="n">
        <f aca="false">SUM(AM197,AM198,AM200,AM201,AM202,AM203)</f>
        <v>652.2712</v>
      </c>
      <c r="AN204" s="56" t="n">
        <f aca="false">SUM(AN197,AN198,AN200,AN201,AN202,AN203)</f>
        <v>213.5505</v>
      </c>
      <c r="AO204" s="56" t="n">
        <f aca="false">SUM(AO197,AO198,AO200,AO201,AO202,AO203)</f>
        <v>193.378226541538</v>
      </c>
      <c r="AP204" s="56" t="n">
        <f aca="false">SUM(AP197,AP198,AP200,AP201,AP202,AP203)</f>
        <v>199.018180425752</v>
      </c>
      <c r="AQ204" s="56" t="n">
        <f aca="false">SUM(AQ197,AQ198,AQ200,AQ201,AQ202,AQ203)</f>
        <v>224.261542727588</v>
      </c>
      <c r="AR204" s="56" t="n">
        <f aca="false">SUM(AR197,AR198,AR200,AR201,AR202,AR203)</f>
        <v>832.16191190939</v>
      </c>
      <c r="AS204" s="56" t="n">
        <f aca="false">SUM(AS197,AS198,AS200,AS201,AS202,AS203)</f>
        <v>248.433</v>
      </c>
      <c r="AT204" s="56" t="n">
        <f aca="false">SUM(AT197,AT198,AT200,AT201,AT202,AT203)</f>
        <v>243.65</v>
      </c>
      <c r="AU204" s="56" t="n">
        <f aca="false">SUM(AU197,AU198,AU200,AU201,AU202,AU203)</f>
        <v>232.39</v>
      </c>
      <c r="AV204" s="56" t="n">
        <f aca="false">SUM(AV197,AV198,AV200,AV201,AV202,AV203)</f>
        <v>143.412</v>
      </c>
      <c r="AW204" s="56" t="n">
        <f aca="false">SUM(AW197,AW198,AW200,AW201,AW202,AW203)</f>
        <v>867.867</v>
      </c>
      <c r="AX204" s="56" t="n">
        <f aca="false">SUM(AX197,AX198,AX200,AX201,AX202,AX203)</f>
        <v>300.005</v>
      </c>
      <c r="AY204" s="56" t="n">
        <f aca="false">SUM(AY197,AY198,AY200,AY201,AY202,AY203)</f>
        <v>255.91545</v>
      </c>
      <c r="AZ204" s="56" t="n">
        <f aca="false">SUM(AZ197,AZ198,AZ200,AZ201,AZ202,AZ203)</f>
        <v>255.0707</v>
      </c>
      <c r="BA204" s="56" t="n">
        <f aca="false">SUM(BA197,BA198,BA200,BA201,BA202,BA203)</f>
        <v>267.585716951864</v>
      </c>
      <c r="BB204" s="56" t="n">
        <f aca="false">SUM(BB197,BB198,BB200,BB201,BB202,BB203)</f>
        <v>1092.2425</v>
      </c>
      <c r="BC204" s="56" t="n">
        <f aca="false">SUM(BC197,BC198,BC200,BC201,BC202,BC203)</f>
        <v>319.95135</v>
      </c>
      <c r="BD204" s="56" t="n">
        <f aca="false">SUM(BD197,BD198,BD200,BD201,BD202,BD203)</f>
        <v>292.897</v>
      </c>
      <c r="BE204" s="56" t="n">
        <f aca="false">SUM(BE197,BE198,BE200,BE201,BE202,BE203)</f>
        <v>284.174337981127</v>
      </c>
      <c r="BF204" s="56" t="n">
        <f aca="false">SUM(BF197,BF198,BF200,BF201,BF202,BF203)</f>
        <v>294.461</v>
      </c>
      <c r="BG204" s="56" t="n">
        <f aca="false">SUM(BG197,BG198,BG200,BG201,BG202,BG203)</f>
        <v>1190.29949726709</v>
      </c>
      <c r="BH204" s="56" t="n">
        <f aca="false">SUM(BH197,BH198,BH200,BH201,BH202,BH203)</f>
        <v>351.689</v>
      </c>
      <c r="BI204" s="56" t="n">
        <f aca="false">SUM(BI197,BI198,BI200,BI201,BI202,BI203)</f>
        <v>324.293</v>
      </c>
      <c r="BJ204" s="56" t="n">
        <f aca="false">SUM(BJ197,BJ198,BJ200,BJ201,BJ202,BJ203)</f>
        <v>325.827</v>
      </c>
      <c r="BK204" s="56" t="n">
        <f aca="false">SUM(BK197,BK198,BK200,BK201,BK202,BK203)</f>
        <v>346.201</v>
      </c>
      <c r="BL204" s="56" t="n">
        <f aca="false">SUM(BL197,BL198,BL200,BL201,BL202,BL203)</f>
        <v>1348.01</v>
      </c>
      <c r="BM204" s="56" t="n">
        <f aca="false">SUM(BM197,BM198,BM200,BM201,BM202,BM203)</f>
        <v>385.085</v>
      </c>
      <c r="BN204" s="56" t="n">
        <f aca="false">SUM(BN197,BN198,BN200,BN201,BN202,BN203)</f>
        <v>374.613</v>
      </c>
      <c r="BO204" s="56" t="n">
        <f aca="false">SUM(BO197,BO198,BO200,BO201,BO202,BO203)</f>
        <v>397.579</v>
      </c>
      <c r="BP204" s="56" t="n">
        <f aca="false">SUM(BP197,BP198,BP200,BP201,BP202,BP203)</f>
        <v>414.315</v>
      </c>
      <c r="BQ204" s="56" t="n">
        <f aca="false">SUM(BQ197,BQ198,BQ200,BQ201,BQ202,BQ203)</f>
        <v>1571.592</v>
      </c>
      <c r="BR204" s="56" t="n">
        <f aca="false">SUM(BR197,BR198,BR200,BR201,BR202,BR203)</f>
        <v>452.033</v>
      </c>
      <c r="BS204" s="56" t="n">
        <f aca="false">SUM(BS197,BS198,BS200,BS201,BS202,BS203)</f>
        <v>448.495</v>
      </c>
      <c r="BT204" s="56" t="n">
        <f aca="false">SUM(BT197,BT198,BT200,BT201,BT202,BT203)</f>
        <v>463.497</v>
      </c>
      <c r="BU204" s="56" t="n">
        <f aca="false">SUM(BU197,BU198,BU200,BU201,BU202,BU203)</f>
        <v>448.256</v>
      </c>
      <c r="BV204" s="56" t="n">
        <f aca="false">SUM(BV197,BV198,BV200,BV201,BV202,BV203)</f>
        <v>1812.281</v>
      </c>
      <c r="BW204" s="56" t="n">
        <f aca="false">SUM(BW197,BW198,BW200,BW201,BW202,BW203)</f>
        <v>491.14</v>
      </c>
      <c r="BX204" s="56" t="n">
        <f aca="false">SUM(BX197,BX198,BX200,BX201,BX202,BX203)</f>
        <v>495.343</v>
      </c>
      <c r="BY204" s="56" t="n">
        <f aca="false">SUM(BY197,BY198,BY200,BY201,BY202,BY203)</f>
        <v>502.496</v>
      </c>
      <c r="BZ204" s="56" t="n">
        <f aca="false">SUM(BZ197,BZ198,BZ200,BZ201,BZ202,BZ203)</f>
        <v>521.555545952815</v>
      </c>
      <c r="CA204" s="56" t="n">
        <f aca="false">SUM(CA197,CA198,CA200,CA201,CA202,CA203)</f>
        <v>2006.61282634092</v>
      </c>
      <c r="CB204" s="56" t="n">
        <f aca="false">SUM(CB197,CB198,CB200,CB201,CB202,CB203)</f>
        <v>561.963403508111</v>
      </c>
      <c r="CC204" s="56" t="n">
        <f aca="false">SUM(CC197,CC198,CC200,CC201,CC202,CC203)</f>
        <v>542.274989441951</v>
      </c>
      <c r="CD204" s="56" t="n">
        <f aca="false">SUM(CD197,CD198,CD200,CD201,CD202,CD203)</f>
        <v>535.04217354752</v>
      </c>
      <c r="CE204" s="56" t="n">
        <f aca="false">SUM(CE197,CE198,CE200,CE201,CE202,CE203)</f>
        <v>559.029779598214</v>
      </c>
      <c r="CF204" s="56" t="n">
        <f aca="false">SUM(CF197,CF198,CF200,CF201,CF202,CF203)</f>
        <v>2198.86694258768</v>
      </c>
      <c r="CG204" s="56" t="n">
        <f aca="false">SUM(CG197,CG198,CG200,CG201,CG202,CG203)</f>
        <v>2534.06510962133</v>
      </c>
      <c r="CH204" s="56" t="n">
        <f aca="false">SUM(CH197,CH198,CH200,CH201,CH202,CH203)</f>
        <v>2863.40463528988</v>
      </c>
      <c r="CI204" s="56" t="n">
        <f aca="false">SUM(CI197,CI198,CI200,CI201,CI202,CI203)</f>
        <v>3235.37561569213</v>
      </c>
      <c r="CJ204" s="56" t="n">
        <f aca="false">SUM(CJ197,CJ198,CJ200,CJ201,CJ202,CJ203)</f>
        <v>3554.50599210378</v>
      </c>
      <c r="CK204" s="23"/>
      <c r="CM204" s="24" t="n">
        <f aca="false">IFERROR((CJ204/CA204)^(1/5)-1,"n/m")</f>
        <v>0.12114848228078</v>
      </c>
      <c r="CN204" s="24" t="n">
        <f aca="false">IFERROR((CA204/BB204)^(1/5)-1,"n/m")</f>
        <v>0.129350900631925</v>
      </c>
      <c r="CO204" s="24" t="n">
        <f aca="false">IFERROR((CA204/AC204)^(1/10)-1,"n/m")</f>
        <v>0.159472214271825</v>
      </c>
      <c r="CP204" s="24" t="n">
        <f aca="false">IFERROR((CA204/C204)^(1/20)-1,"n/m")</f>
        <v>0.0949239980238117</v>
      </c>
    </row>
    <row r="205" customFormat="false" ht="15" hidden="false" customHeight="true" outlineLevel="0" collapsed="false">
      <c r="B205" s="29" t="s">
        <v>420</v>
      </c>
      <c r="C205" s="45" t="n">
        <f aca="false">C161</f>
        <v>674.18</v>
      </c>
      <c r="D205" s="45" t="n">
        <f aca="false">D161</f>
        <v>640.748</v>
      </c>
      <c r="E205" s="45" t="n">
        <f aca="false">E161</f>
        <v>623.72</v>
      </c>
      <c r="F205" s="45" t="n">
        <f aca="false">F161</f>
        <v>613.464</v>
      </c>
      <c r="G205" s="45" t="n">
        <f aca="false">G161</f>
        <v>611.436</v>
      </c>
      <c r="H205" s="45" t="n">
        <f aca="false">H161</f>
        <v>586.344</v>
      </c>
      <c r="I205" s="45" t="n">
        <f aca="false">I161</f>
        <v>520.132</v>
      </c>
      <c r="J205" s="45" t="n">
        <f aca="false">J161</f>
        <v>505.832</v>
      </c>
      <c r="K205" s="45" t="n">
        <f aca="false">K161</f>
        <v>498.436</v>
      </c>
      <c r="L205" s="45" t="n">
        <f aca="false">L161</f>
        <v>495.428</v>
      </c>
      <c r="M205" s="45" t="n">
        <f aca="false">M161</f>
        <v>492.412</v>
      </c>
      <c r="N205" s="45" t="n">
        <f aca="false">N161</f>
        <v>498.124</v>
      </c>
      <c r="O205" s="45" t="n">
        <f aca="false">O161</f>
        <v>491.568</v>
      </c>
      <c r="P205" s="45" t="n">
        <f aca="false">P161</f>
        <v>484.2</v>
      </c>
      <c r="Q205" s="45" t="n">
        <f aca="false">Q161</f>
        <v>485.12</v>
      </c>
      <c r="R205" s="45" t="n">
        <f aca="false">R161</f>
        <v>483.544</v>
      </c>
      <c r="S205" s="45" t="n">
        <f aca="false">S161</f>
        <v>486.56</v>
      </c>
      <c r="T205" s="45" t="n">
        <f aca="false">T161</f>
        <v>472.12</v>
      </c>
      <c r="U205" s="45" t="n">
        <f aca="false">U161</f>
        <v>474.62</v>
      </c>
      <c r="V205" s="45" t="n">
        <f aca="false">V161</f>
        <v>471.468</v>
      </c>
      <c r="W205" s="45" t="n">
        <f aca="false">W161</f>
        <v>461.532</v>
      </c>
      <c r="X205" s="45" t="n">
        <f aca="false">X161</f>
        <v>470.172</v>
      </c>
      <c r="Y205" s="45" t="n">
        <f aca="false">Y161</f>
        <v>448.916</v>
      </c>
      <c r="Z205" s="45" t="n">
        <f aca="false">Z161</f>
        <v>440.452</v>
      </c>
      <c r="AA205" s="45" t="n">
        <f aca="false">AA161</f>
        <v>437.852</v>
      </c>
      <c r="AB205" s="45" t="n">
        <f aca="false">AB161</f>
        <v>431.188</v>
      </c>
      <c r="AC205" s="45" t="n">
        <f aca="false">AC161</f>
        <v>439.824</v>
      </c>
      <c r="AD205" s="45" t="n">
        <f aca="false">AD161</f>
        <v>428.456</v>
      </c>
      <c r="AE205" s="45" t="n">
        <f aca="false">AE161</f>
        <v>430.588</v>
      </c>
      <c r="AF205" s="45" t="n">
        <f aca="false">AF161</f>
        <v>431.568</v>
      </c>
      <c r="AG205" s="45" t="n">
        <f aca="false">AG161</f>
        <v>436.092</v>
      </c>
      <c r="AH205" s="45" t="n">
        <f aca="false">AH161</f>
        <v>431.132</v>
      </c>
      <c r="AI205" s="45" t="n">
        <f aca="false">AI161</f>
        <v>434.148</v>
      </c>
      <c r="AJ205" s="45" t="n">
        <f aca="false">AJ161</f>
        <v>439.272</v>
      </c>
      <c r="AK205" s="45" t="n">
        <f aca="false">AK161</f>
        <v>440.7</v>
      </c>
      <c r="AL205" s="45" t="n">
        <f aca="false">AL161</f>
        <v>442.296</v>
      </c>
      <c r="AM205" s="45" t="n">
        <f aca="false">AM161</f>
        <v>439.24</v>
      </c>
      <c r="AN205" s="45" t="n">
        <f aca="false">AN161</f>
        <v>442.592</v>
      </c>
      <c r="AO205" s="45" t="n">
        <f aca="false">AO161</f>
        <v>439.496</v>
      </c>
      <c r="AP205" s="45" t="n">
        <f aca="false">AP161</f>
        <v>432.648</v>
      </c>
      <c r="AQ205" s="45" t="n">
        <f aca="false">AQ161</f>
        <v>433.356</v>
      </c>
      <c r="AR205" s="45" t="n">
        <f aca="false">AR161</f>
        <v>437.98</v>
      </c>
      <c r="AS205" s="45" t="n">
        <f aca="false">AS161</f>
        <v>428.332</v>
      </c>
      <c r="AT205" s="45" t="n">
        <f aca="false">AT161</f>
        <v>429.34</v>
      </c>
      <c r="AU205" s="45" t="n">
        <f aca="false">AU161</f>
        <v>430.352</v>
      </c>
      <c r="AV205" s="45" t="n">
        <f aca="false">AV161</f>
        <v>424.924</v>
      </c>
      <c r="AW205" s="45" t="n">
        <f aca="false">AW161</f>
        <v>428.048</v>
      </c>
      <c r="AX205" s="45" t="n">
        <f aca="false">AX161</f>
        <v>428.516</v>
      </c>
      <c r="AY205" s="45" t="n">
        <f aca="false">AY161</f>
        <v>431.924</v>
      </c>
      <c r="AZ205" s="45" t="n">
        <f aca="false">AZ161</f>
        <v>431.984</v>
      </c>
      <c r="BA205" s="45" t="n">
        <f aca="false">BA161</f>
        <v>430.904</v>
      </c>
      <c r="BB205" s="45" t="n">
        <f aca="false">BB161</f>
        <v>430.828</v>
      </c>
      <c r="BC205" s="45" t="n">
        <f aca="false">BC161</f>
        <v>423.776</v>
      </c>
      <c r="BD205" s="45" t="n">
        <f aca="false">BD161</f>
        <v>424.488</v>
      </c>
      <c r="BE205" s="45" t="n">
        <f aca="false">BE161</f>
        <v>422.564</v>
      </c>
      <c r="BF205" s="45" t="n">
        <f aca="false">BF161</f>
        <v>417.708</v>
      </c>
      <c r="BG205" s="45" t="n">
        <f aca="false">BG161</f>
        <v>422.092</v>
      </c>
      <c r="BH205" s="45" t="n">
        <f aca="false">BH161</f>
        <v>413.348</v>
      </c>
      <c r="BI205" s="45" t="n">
        <f aca="false">BI161</f>
        <v>413.424</v>
      </c>
      <c r="BJ205" s="45" t="n">
        <f aca="false">BJ161</f>
        <v>413.672</v>
      </c>
      <c r="BK205" s="45" t="n">
        <f aca="false">BK161</f>
        <v>413.672</v>
      </c>
      <c r="BL205" s="45" t="n">
        <f aca="false">BL161</f>
        <v>413.508</v>
      </c>
      <c r="BM205" s="45" t="n">
        <f aca="false">BM161</f>
        <v>414.288</v>
      </c>
      <c r="BN205" s="45" t="n">
        <f aca="false">BN161</f>
        <v>413.064</v>
      </c>
      <c r="BO205" s="45" t="n">
        <f aca="false">BO161</f>
        <v>412.748</v>
      </c>
      <c r="BP205" s="45" t="n">
        <f aca="false">BP161</f>
        <v>413.328</v>
      </c>
      <c r="BQ205" s="45" t="n">
        <f aca="false">BQ161</f>
        <v>413.468</v>
      </c>
      <c r="BR205" s="45" t="n">
        <f aca="false">BR161</f>
        <v>410.496</v>
      </c>
      <c r="BS205" s="45" t="n">
        <f aca="false">BS161</f>
        <v>410.667</v>
      </c>
      <c r="BT205" s="45" t="n">
        <f aca="false">BT161</f>
        <v>410.307</v>
      </c>
      <c r="BU205" s="45" t="n">
        <f aca="false">BU161</f>
        <v>409.685</v>
      </c>
      <c r="BV205" s="45" t="n">
        <f aca="false">BV161</f>
        <v>410.286</v>
      </c>
      <c r="BW205" s="45" t="n">
        <f aca="false">BW161</f>
        <v>409.294</v>
      </c>
      <c r="BX205" s="45" t="n">
        <f aca="false">BX161</f>
        <v>406.433</v>
      </c>
      <c r="BY205" s="45" t="n">
        <f aca="false">BY161</f>
        <v>404.717</v>
      </c>
      <c r="BZ205" s="45" t="n">
        <f aca="false">BZ161</f>
        <v>404.307</v>
      </c>
      <c r="CA205" s="45" t="n">
        <f aca="false">CA161</f>
        <v>406.197</v>
      </c>
      <c r="CB205" s="45" t="n">
        <f aca="false">CB161</f>
        <v>404.29</v>
      </c>
      <c r="CC205" s="35" t="n">
        <f aca="false">CC161</f>
        <v>403.29</v>
      </c>
      <c r="CD205" s="35" t="n">
        <f aca="false">CD161</f>
        <v>411.670666666667</v>
      </c>
      <c r="CE205" s="35" t="n">
        <f aca="false">CE161</f>
        <v>415.361</v>
      </c>
      <c r="CF205" s="35" t="n">
        <f aca="false">CF161</f>
        <v>408.652916666667</v>
      </c>
      <c r="CG205" s="35" t="n">
        <f aca="false">CG161</f>
        <v>412.241059667471</v>
      </c>
      <c r="CH205" s="35" t="n">
        <f aca="false">CH161</f>
        <v>404.106110295178</v>
      </c>
      <c r="CI205" s="35" t="n">
        <f aca="false">CI161</f>
        <v>396.461965898603</v>
      </c>
      <c r="CJ205" s="35" t="n">
        <f aca="false">CJ161</f>
        <v>388.669122004539</v>
      </c>
      <c r="CK205" s="23"/>
    </row>
    <row r="206" customFormat="false" ht="15" hidden="false" customHeight="true" outlineLevel="0" collapsed="false">
      <c r="B206" s="55" t="s">
        <v>472</v>
      </c>
      <c r="C206" s="69" t="n">
        <f aca="false">IFERROR(C204/C205,"")</f>
        <v>0.485297694977603</v>
      </c>
      <c r="D206" s="69" t="n">
        <f aca="false">IFERROR(D204/D205,"")</f>
        <v>0.522105414297041</v>
      </c>
      <c r="E206" s="69" t="n">
        <f aca="false">IFERROR(E204/E205,"")</f>
        <v>0.537749310588084</v>
      </c>
      <c r="F206" s="69" t="n">
        <f aca="false">IFERROR(F204/F205,"")</f>
        <v>0.457500205065281</v>
      </c>
      <c r="G206" s="69" t="n">
        <f aca="false">IFERROR(G204/G205,"")</f>
        <v>0.372499993371696</v>
      </c>
      <c r="H206" s="69" t="n">
        <f aca="false">IFERROR(H204/H205,"")</f>
        <v>0.419999181367934</v>
      </c>
      <c r="I206" s="69" t="n">
        <f aca="false">IFERROR(I204/I205,"")</f>
        <v>0.572233586858721</v>
      </c>
      <c r="J206" s="69" t="n">
        <f aca="false">IFERROR(J204/J205,"")</f>
        <v>0.151696610732417</v>
      </c>
      <c r="K206" s="69" t="n">
        <f aca="false">IFERROR(K204/K205,"")</f>
        <v>0.156543668595366</v>
      </c>
      <c r="L206" s="69" t="n">
        <f aca="false">IFERROR(L204/L205,"")</f>
        <v>0.150788812905205</v>
      </c>
      <c r="M206" s="69" t="n">
        <f aca="false">IFERROR(M204/M205,"")</f>
        <v>0.174603787072614</v>
      </c>
      <c r="N206" s="69" t="n">
        <f aca="false">IFERROR(N204/N205,"")</f>
        <v>0.633259991488062</v>
      </c>
      <c r="O206" s="69" t="n">
        <f aca="false">IFERROR(O204/O205,"")</f>
        <v>0.158175471145396</v>
      </c>
      <c r="P206" s="69" t="n">
        <f aca="false">IFERROR(P204/P205,"")</f>
        <v>0.175262288310615</v>
      </c>
      <c r="Q206" s="69" t="n">
        <f aca="false">IFERROR(Q204/Q205,"")</f>
        <v>0.174393964379947</v>
      </c>
      <c r="R206" s="69" t="n">
        <f aca="false">IFERROR(R204/R205,"")</f>
        <v>0.189999255496915</v>
      </c>
      <c r="S206" s="69" t="n">
        <f aca="false">IFERROR(S204/S205,"")</f>
        <v>0.697499955406995</v>
      </c>
      <c r="T206" s="69" t="n">
        <f aca="false">IFERROR(T204/T205,"")</f>
        <v>0.194998955416194</v>
      </c>
      <c r="U206" s="69" t="n">
        <f aca="false">IFERROR(U204/U205,"")</f>
        <v>0.217955416965151</v>
      </c>
      <c r="V206" s="69" t="n">
        <f aca="false">IFERROR(V204/V205,"")</f>
        <v>0.212500106051736</v>
      </c>
      <c r="W206" s="69" t="n">
        <f aca="false">IFERROR(W204/W205,"")</f>
        <v>0.214999250564793</v>
      </c>
      <c r="X206" s="69" t="n">
        <f aca="false">IFERROR(X204/X205,"")</f>
        <v>0.837500288288697</v>
      </c>
      <c r="Y206" s="69" t="n">
        <f aca="false">IFERROR(Y204/Y205,"")</f>
        <v>0.236565415356103</v>
      </c>
      <c r="Z206" s="69" t="n">
        <f aca="false">IFERROR(Z204/Z205,"")</f>
        <v>0.262123909075223</v>
      </c>
      <c r="AA206" s="69" t="n">
        <f aca="false">IFERROR(AA204/AA205,"")</f>
        <v>0.267850780629071</v>
      </c>
      <c r="AB206" s="69" t="n">
        <f aca="false">IFERROR(AB204/AB205,"")</f>
        <v>0.27368804326651</v>
      </c>
      <c r="AC206" s="69" t="n">
        <f aca="false">IFERROR(AC204/AC205,"")</f>
        <v>1.03891783986322</v>
      </c>
      <c r="AD206" s="69" t="n">
        <f aca="false">IFERROR(AD204/AD205,"")</f>
        <v>0.31499990875457</v>
      </c>
      <c r="AE206" s="69" t="n">
        <f aca="false">IFERROR(AE204/AE205,"")</f>
        <v>0.285001149325633</v>
      </c>
      <c r="AF206" s="69" t="n">
        <f aca="false">IFERROR(AF204/AF205,"")</f>
        <v>0.277499098759716</v>
      </c>
      <c r="AG206" s="69" t="n">
        <f aca="false">IFERROR(AG204/AG205,"")</f>
        <v>0.312500782058682</v>
      </c>
      <c r="AH206" s="69" t="n">
        <f aca="false">IFERROR(AH204/AH205,"")</f>
        <v>1.19249944297273</v>
      </c>
      <c r="AI206" s="69" t="n">
        <f aca="false">IFERROR(AI204/AI205,"")</f>
        <v>0.370001069961736</v>
      </c>
      <c r="AJ206" s="69" t="n">
        <f aca="false">IFERROR(AJ204/AJ205,"")</f>
        <v>0.327500545113566</v>
      </c>
      <c r="AK206" s="69" t="n">
        <f aca="false">IFERROR(AK204/AK205,"")</f>
        <v>0.342499659632403</v>
      </c>
      <c r="AL206" s="69" t="n">
        <f aca="false">IFERROR(AL204/AL205,"")</f>
        <v>0.442500781252658</v>
      </c>
      <c r="AM206" s="69" t="n">
        <f aca="false">IFERROR(AM204/AM205,"")</f>
        <v>1.48499954466806</v>
      </c>
      <c r="AN206" s="69" t="n">
        <f aca="false">IFERROR(AN204/AN205,"")</f>
        <v>0.482499683681584</v>
      </c>
      <c r="AO206" s="69" t="n">
        <f aca="false">IFERROR(AO204/AO205,"")</f>
        <v>0.43999996937751</v>
      </c>
      <c r="AP206" s="69" t="n">
        <f aca="false">IFERROR(AP204/AP205,"")</f>
        <v>0.46000023211884</v>
      </c>
      <c r="AQ206" s="69" t="n">
        <f aca="false">IFERROR(AQ204/AQ205,"")</f>
        <v>0.517499567855499</v>
      </c>
      <c r="AR206" s="69" t="n">
        <f aca="false">IFERROR(AR204/AR205,"")</f>
        <v>1.8999997988707</v>
      </c>
      <c r="AS206" s="69" t="n">
        <f aca="false">IFERROR(AS204/AS205,"")</f>
        <v>0.580001027240552</v>
      </c>
      <c r="AT206" s="69" t="n">
        <f aca="false">IFERROR(AT204/AT205,"")</f>
        <v>0.567498951879629</v>
      </c>
      <c r="AU206" s="69" t="n">
        <f aca="false">IFERROR(AU204/AU205,"")</f>
        <v>0.539999814105662</v>
      </c>
      <c r="AV206" s="69" t="n">
        <f aca="false">IFERROR(AV204/AV205,"")</f>
        <v>0.337500353004302</v>
      </c>
      <c r="AW206" s="69" t="n">
        <f aca="false">IFERROR(AW204/AW205,"")</f>
        <v>2.02749925242029</v>
      </c>
      <c r="AX206" s="69" t="n">
        <f aca="false">IFERROR(AX204/AX205,"")</f>
        <v>0.700102213219576</v>
      </c>
      <c r="AY206" s="69" t="n">
        <f aca="false">IFERROR(AY204/AY205,"")</f>
        <v>0.592501111306619</v>
      </c>
      <c r="AZ206" s="69" t="n">
        <f aca="false">IFERROR(AZ204/AZ205,"")</f>
        <v>0.590463304196452</v>
      </c>
      <c r="BA206" s="69" t="n">
        <f aca="false">IFERROR(BA204/BA205,"")</f>
        <v>0.620986848467091</v>
      </c>
      <c r="BB206" s="69" t="n">
        <f aca="false">IFERROR(BB204/BB205,"")</f>
        <v>2.5352170703854</v>
      </c>
      <c r="BC206" s="69" t="n">
        <f aca="false">IFERROR(BC204/BC205,"")</f>
        <v>0.755001109076493</v>
      </c>
      <c r="BD206" s="69" t="n">
        <f aca="false">IFERROR(BD204/BD205,"")</f>
        <v>0.690000659618175</v>
      </c>
      <c r="BE206" s="69" t="n">
        <f aca="false">IFERROR(BE204/BE205,"")</f>
        <v>0.672500113547598</v>
      </c>
      <c r="BF206" s="69" t="n">
        <f aca="false">IFERROR(BF204/BF205,"")</f>
        <v>0.704944602449559</v>
      </c>
      <c r="BG206" s="69" t="n">
        <f aca="false">IFERROR(BG204/BG205,"")</f>
        <v>2.82000013567442</v>
      </c>
      <c r="BH206" s="69" t="n">
        <f aca="false">IFERROR(BH204/BH205,"")</f>
        <v>0.850830293118632</v>
      </c>
      <c r="BI206" s="69" t="n">
        <f aca="false">IFERROR(BI204/BI205,"")</f>
        <v>0.784407775068695</v>
      </c>
      <c r="BJ206" s="69" t="n">
        <f aca="false">IFERROR(BJ204/BJ205,"")</f>
        <v>0.787645767661335</v>
      </c>
      <c r="BK206" s="69" t="n">
        <f aca="false">IFERROR(BK204/BK205,"")</f>
        <v>0.836897348624031</v>
      </c>
      <c r="BL206" s="69" t="n">
        <f aca="false">IFERROR(BL204/BL205,"")</f>
        <v>3.25993692987802</v>
      </c>
      <c r="BM206" s="69" t="n">
        <f aca="false">IFERROR(BM204/BM205,"")</f>
        <v>0.929510388908199</v>
      </c>
      <c r="BN206" s="69" t="n">
        <f aca="false">IFERROR(BN204/BN205,"")</f>
        <v>0.906912730230667</v>
      </c>
      <c r="BO206" s="69" t="n">
        <f aca="false">IFERROR(BO204/BO205,"")</f>
        <v>0.963248761956447</v>
      </c>
      <c r="BP206" s="69" t="n">
        <f aca="false">IFERROR(BP204/BP205,"")</f>
        <v>1.00238793403786</v>
      </c>
      <c r="BQ206" s="69" t="n">
        <f aca="false">IFERROR(BQ204/BQ205,"")</f>
        <v>3.80100031925083</v>
      </c>
      <c r="BR206" s="69" t="n">
        <f aca="false">IFERROR(BR204/BR205,"")</f>
        <v>1.10118734409105</v>
      </c>
      <c r="BS206" s="69" t="n">
        <f aca="false">IFERROR(BS204/BS205,"")</f>
        <v>1.09211356159614</v>
      </c>
      <c r="BT206" s="69" t="n">
        <f aca="false">IFERROR(BT204/BT205,"")</f>
        <v>1.12963463942853</v>
      </c>
      <c r="BU206" s="69" t="n">
        <f aca="false">IFERROR(BU204/BU205,"")</f>
        <v>1.09414794293176</v>
      </c>
      <c r="BV206" s="69" t="n">
        <f aca="false">IFERROR(BV204/BV205,"")</f>
        <v>4.41711635298304</v>
      </c>
      <c r="BW206" s="69" t="n">
        <f aca="false">IFERROR(BW204/BW205,"")</f>
        <v>1.1999687266366</v>
      </c>
      <c r="BX206" s="69" t="n">
        <f aca="false">IFERROR(BX204/BX205,"")</f>
        <v>1.21875684307131</v>
      </c>
      <c r="BY206" s="69" t="n">
        <f aca="false">IFERROR(BY204/BY205,"")</f>
        <v>1.24159845027513</v>
      </c>
      <c r="BZ206" s="69" t="n">
        <f aca="false">IFERROR(BZ204/BZ205,"")</f>
        <v>1.28999880277318</v>
      </c>
      <c r="CA206" s="69" t="n">
        <f aca="false">IFERROR(CA204/CA205,"")</f>
        <v>4.93999912934098</v>
      </c>
      <c r="CB206" s="69" t="n">
        <f aca="false">IFERROR(CB204/CB205,"")</f>
        <v>1.39000075071882</v>
      </c>
      <c r="CC206" s="69" t="n">
        <f aca="false">IFERROR(CC204/CC205,"")</f>
        <v>1.34462790905292</v>
      </c>
      <c r="CD206" s="69" t="n">
        <f aca="false">IFERROR(CD204/CD205,"")</f>
        <v>1.299684959047</v>
      </c>
      <c r="CE206" s="69" t="n">
        <f aca="false">IFERROR(CE204/CE205,"")</f>
        <v>1.34588894864519</v>
      </c>
      <c r="CF206" s="69" t="n">
        <f aca="false">IFERROR(CF204/CF205,"")</f>
        <v>5.38076899223816</v>
      </c>
      <c r="CG206" s="69" t="n">
        <f aca="false">IFERROR(CG204/CG205,"")</f>
        <v>6.14704685570476</v>
      </c>
      <c r="CH206" s="69" t="n">
        <f aca="false">IFERROR(CH204/CH205,"")</f>
        <v>7.08577416262851</v>
      </c>
      <c r="CI206" s="69" t="n">
        <f aca="false">IFERROR(CI204/CI205,"")</f>
        <v>8.16062042258953</v>
      </c>
      <c r="CJ206" s="69" t="n">
        <f aca="false">IFERROR(CJ204/CJ205,"")</f>
        <v>9.14532642513925</v>
      </c>
      <c r="CK206" s="23"/>
      <c r="CM206" s="24" t="n">
        <f aca="false">IFERROR((CJ206/CA206)^(1/5)-1,"n/m")</f>
        <v>0.131082981113437</v>
      </c>
      <c r="CN206" s="24" t="n">
        <f aca="false">IFERROR((CA206/BB206)^(1/5)-1,"n/m")</f>
        <v>0.142726619821915</v>
      </c>
      <c r="CO206" s="24" t="n">
        <f aca="false">IFERROR((CA206/AC206)^(1/10)-1,"n/m")</f>
        <v>0.168731008658857</v>
      </c>
      <c r="CP206" s="24" t="n">
        <f aca="false">IFERROR((CA206/C206)^(1/20)-1,"n/m")</f>
        <v>0.123015969852669</v>
      </c>
    </row>
    <row r="207" customFormat="false" ht="15" hidden="false" customHeight="true" outlineLevel="0" collapsed="false">
      <c r="B207" s="42" t="s">
        <v>473</v>
      </c>
      <c r="F207" s="70" t="n">
        <v>0.4575</v>
      </c>
      <c r="G207" s="70" t="n">
        <v>0.3725</v>
      </c>
      <c r="H207" s="70" t="n">
        <v>0.42</v>
      </c>
      <c r="R207" s="70" t="n">
        <v>0.19</v>
      </c>
      <c r="S207" s="70" t="n">
        <v>0.6975</v>
      </c>
      <c r="T207" s="70" t="n">
        <v>0.195</v>
      </c>
      <c r="V207" s="70" t="n">
        <v>0.2125</v>
      </c>
      <c r="W207" s="70" t="n">
        <v>0.215</v>
      </c>
      <c r="X207" s="70" t="n">
        <v>0.8375</v>
      </c>
      <c r="AD207" s="70" t="n">
        <v>0.315</v>
      </c>
      <c r="AE207" s="70" t="n">
        <v>0.285</v>
      </c>
      <c r="AF207" s="70" t="n">
        <v>0.2775</v>
      </c>
      <c r="AG207" s="70" t="n">
        <v>0.3125</v>
      </c>
      <c r="AH207" s="70" t="n">
        <v>1.1925</v>
      </c>
      <c r="AI207" s="70" t="n">
        <v>0.37</v>
      </c>
      <c r="AJ207" s="70" t="n">
        <v>0.3275</v>
      </c>
      <c r="AK207" s="70" t="n">
        <v>0.3425</v>
      </c>
      <c r="AL207" s="70" t="n">
        <v>0.4425</v>
      </c>
      <c r="AM207" s="70" t="n">
        <v>1.485</v>
      </c>
      <c r="AN207" s="70" t="n">
        <v>0.4825</v>
      </c>
      <c r="AO207" s="70" t="n">
        <v>0.44</v>
      </c>
      <c r="AP207" s="70" t="n">
        <v>0.46</v>
      </c>
      <c r="AQ207" s="70" t="n">
        <v>0.5175</v>
      </c>
      <c r="AR207" s="70" t="n">
        <v>1.9</v>
      </c>
      <c r="AS207" s="70" t="n">
        <v>0.58</v>
      </c>
      <c r="AT207" s="70" t="n">
        <v>0.5675</v>
      </c>
      <c r="AU207" s="70" t="n">
        <v>0.54</v>
      </c>
      <c r="AV207" s="70" t="n">
        <v>0.3375</v>
      </c>
      <c r="AW207" s="70" t="n">
        <v>2.0275</v>
      </c>
      <c r="AY207" s="70" t="n">
        <v>0.5925</v>
      </c>
      <c r="BC207" s="70" t="n">
        <v>0.755</v>
      </c>
      <c r="BD207" s="70" t="n">
        <v>0.69</v>
      </c>
      <c r="BE207" s="70" t="n">
        <v>0.6725</v>
      </c>
      <c r="BG207" s="70" t="n">
        <v>2.82</v>
      </c>
      <c r="BZ207" s="70" t="n">
        <v>1.29</v>
      </c>
      <c r="CA207" s="70" t="n">
        <v>4.94</v>
      </c>
      <c r="CB207" s="70" t="n">
        <v>1.39</v>
      </c>
      <c r="CC207" s="59"/>
      <c r="CD207" s="59"/>
      <c r="CE207" s="59"/>
      <c r="CF207" s="59"/>
      <c r="CG207" s="59"/>
      <c r="CH207" s="59"/>
      <c r="CI207" s="59"/>
      <c r="CJ207" s="59"/>
      <c r="CK207" s="23"/>
    </row>
    <row r="208" customFormat="false" ht="15" hidden="false" customHeight="true" outlineLevel="0" collapsed="false">
      <c r="B208" s="57" t="s">
        <v>474</v>
      </c>
      <c r="C208" s="68" t="str">
        <f aca="false">IF(ISNUMBER(C207),ROUND(C206-C207,2),"n/p")</f>
        <v>n/p</v>
      </c>
      <c r="D208" s="68" t="str">
        <f aca="false">IF(ISNUMBER(D207),ROUND(D206-D207,2),"n/p")</f>
        <v>n/p</v>
      </c>
      <c r="E208" s="68" t="str">
        <f aca="false">IF(ISNUMBER(E207),ROUND(E206-E207,2),"n/p")</f>
        <v>n/p</v>
      </c>
      <c r="F208" s="68" t="n">
        <f aca="false">IF(ISNUMBER(F207),ROUND(F206-F207,2),"n/p")</f>
        <v>0</v>
      </c>
      <c r="G208" s="68" t="n">
        <f aca="false">IF(ISNUMBER(G207),ROUND(G206-G207,2),"n/p")</f>
        <v>-0</v>
      </c>
      <c r="H208" s="68" t="n">
        <f aca="false">IF(ISNUMBER(H207),ROUND(H206-H207,2),"n/p")</f>
        <v>-0</v>
      </c>
      <c r="I208" s="68" t="str">
        <f aca="false">IF(ISNUMBER(I207),ROUND(I206-I207,2),"n/p")</f>
        <v>n/p</v>
      </c>
      <c r="J208" s="68" t="str">
        <f aca="false">IF(ISNUMBER(J207),ROUND(J206-J207,2),"n/p")</f>
        <v>n/p</v>
      </c>
      <c r="K208" s="68" t="str">
        <f aca="false">IF(ISNUMBER(K207),ROUND(K206-K207,2),"n/p")</f>
        <v>n/p</v>
      </c>
      <c r="L208" s="68" t="str">
        <f aca="false">IF(ISNUMBER(L207),ROUND(L206-L207,2),"n/p")</f>
        <v>n/p</v>
      </c>
      <c r="M208" s="68" t="str">
        <f aca="false">IF(ISNUMBER(M207),ROUND(M206-M207,2),"n/p")</f>
        <v>n/p</v>
      </c>
      <c r="N208" s="68" t="str">
        <f aca="false">IF(ISNUMBER(N207),ROUND(N206-N207,2),"n/p")</f>
        <v>n/p</v>
      </c>
      <c r="O208" s="68" t="str">
        <f aca="false">IF(ISNUMBER(O207),ROUND(O206-O207,2),"n/p")</f>
        <v>n/p</v>
      </c>
      <c r="P208" s="68" t="str">
        <f aca="false">IF(ISNUMBER(P207),ROUND(P206-P207,2),"n/p")</f>
        <v>n/p</v>
      </c>
      <c r="Q208" s="68" t="str">
        <f aca="false">IF(ISNUMBER(Q207),ROUND(Q206-Q207,2),"n/p")</f>
        <v>n/p</v>
      </c>
      <c r="R208" s="68" t="n">
        <f aca="false">IF(ISNUMBER(R207),ROUND(R206-R207,2),"n/p")</f>
        <v>-0</v>
      </c>
      <c r="S208" s="68" t="n">
        <f aca="false">IF(ISNUMBER(S207),ROUND(S206-S207,2),"n/p")</f>
        <v>-0</v>
      </c>
      <c r="T208" s="68" t="n">
        <f aca="false">IF(ISNUMBER(T207),ROUND(T206-T207,2),"n/p")</f>
        <v>-0</v>
      </c>
      <c r="U208" s="68" t="str">
        <f aca="false">IF(ISNUMBER(U207),ROUND(U206-U207,2),"n/p")</f>
        <v>n/p</v>
      </c>
      <c r="V208" s="68" t="n">
        <f aca="false">IF(ISNUMBER(V207),ROUND(V206-V207,2),"n/p")</f>
        <v>0</v>
      </c>
      <c r="W208" s="68" t="n">
        <f aca="false">IF(ISNUMBER(W207),ROUND(W206-W207,2),"n/p")</f>
        <v>-0</v>
      </c>
      <c r="X208" s="68" t="n">
        <f aca="false">IF(ISNUMBER(X207),ROUND(X206-X207,2),"n/p")</f>
        <v>0</v>
      </c>
      <c r="Y208" s="68" t="str">
        <f aca="false">IF(ISNUMBER(Y207),ROUND(Y206-Y207,2),"n/p")</f>
        <v>n/p</v>
      </c>
      <c r="Z208" s="68" t="str">
        <f aca="false">IF(ISNUMBER(Z207),ROUND(Z206-Z207,2),"n/p")</f>
        <v>n/p</v>
      </c>
      <c r="AA208" s="68" t="str">
        <f aca="false">IF(ISNUMBER(AA207),ROUND(AA206-AA207,2),"n/p")</f>
        <v>n/p</v>
      </c>
      <c r="AB208" s="68" t="str">
        <f aca="false">IF(ISNUMBER(AB207),ROUND(AB206-AB207,2),"n/p")</f>
        <v>n/p</v>
      </c>
      <c r="AC208" s="68" t="str">
        <f aca="false">IF(ISNUMBER(AC207),ROUND(AC206-AC207,2),"n/p")</f>
        <v>n/p</v>
      </c>
      <c r="AD208" s="68" t="n">
        <f aca="false">IF(ISNUMBER(AD207),ROUND(AD206-AD207,2),"n/p")</f>
        <v>-0</v>
      </c>
      <c r="AE208" s="68" t="n">
        <f aca="false">IF(ISNUMBER(AE207),ROUND(AE206-AE207,2),"n/p")</f>
        <v>0</v>
      </c>
      <c r="AF208" s="68" t="n">
        <f aca="false">IF(ISNUMBER(AF207),ROUND(AF206-AF207,2),"n/p")</f>
        <v>-0</v>
      </c>
      <c r="AG208" s="68" t="n">
        <f aca="false">IF(ISNUMBER(AG207),ROUND(AG206-AG207,2),"n/p")</f>
        <v>0</v>
      </c>
      <c r="AH208" s="68" t="n">
        <f aca="false">IF(ISNUMBER(AH207),ROUND(AH206-AH207,2),"n/p")</f>
        <v>-0</v>
      </c>
      <c r="AI208" s="68" t="n">
        <f aca="false">IF(ISNUMBER(AI207),ROUND(AI206-AI207,2),"n/p")</f>
        <v>0</v>
      </c>
      <c r="AJ208" s="68" t="n">
        <f aca="false">IF(ISNUMBER(AJ207),ROUND(AJ206-AJ207,2),"n/p")</f>
        <v>0</v>
      </c>
      <c r="AK208" s="68" t="n">
        <f aca="false">IF(ISNUMBER(AK207),ROUND(AK206-AK207,2),"n/p")</f>
        <v>-0</v>
      </c>
      <c r="AL208" s="68" t="n">
        <f aca="false">IF(ISNUMBER(AL207),ROUND(AL206-AL207,2),"n/p")</f>
        <v>0</v>
      </c>
      <c r="AM208" s="68" t="n">
        <f aca="false">IF(ISNUMBER(AM207),ROUND(AM206-AM207,2),"n/p")</f>
        <v>-0</v>
      </c>
      <c r="AN208" s="68" t="n">
        <f aca="false">IF(ISNUMBER(AN207),ROUND(AN206-AN207,2),"n/p")</f>
        <v>-0</v>
      </c>
      <c r="AO208" s="68" t="n">
        <f aca="false">IF(ISNUMBER(AO207),ROUND(AO206-AO207,2),"n/p")</f>
        <v>-0</v>
      </c>
      <c r="AP208" s="68" t="n">
        <f aca="false">IF(ISNUMBER(AP207),ROUND(AP206-AP207,2),"n/p")</f>
        <v>0</v>
      </c>
      <c r="AQ208" s="68" t="n">
        <f aca="false">IF(ISNUMBER(AQ207),ROUND(AQ206-AQ207,2),"n/p")</f>
        <v>-0</v>
      </c>
      <c r="AR208" s="68" t="n">
        <f aca="false">IF(ISNUMBER(AR207),ROUND(AR206-AR207,2),"n/p")</f>
        <v>-0</v>
      </c>
      <c r="AS208" s="68" t="n">
        <f aca="false">IF(ISNUMBER(AS207),ROUND(AS206-AS207,2),"n/p")</f>
        <v>0</v>
      </c>
      <c r="AT208" s="68" t="n">
        <f aca="false">IF(ISNUMBER(AT207),ROUND(AT206-AT207,2),"n/p")</f>
        <v>-0</v>
      </c>
      <c r="AU208" s="68" t="n">
        <f aca="false">IF(ISNUMBER(AU207),ROUND(AU206-AU207,2),"n/p")</f>
        <v>-0</v>
      </c>
      <c r="AV208" s="68" t="n">
        <f aca="false">IF(ISNUMBER(AV207),ROUND(AV206-AV207,2),"n/p")</f>
        <v>0</v>
      </c>
      <c r="AW208" s="68" t="n">
        <f aca="false">IF(ISNUMBER(AW207),ROUND(AW206-AW207,2),"n/p")</f>
        <v>-0</v>
      </c>
      <c r="AX208" s="68" t="str">
        <f aca="false">IF(ISNUMBER(AX207),ROUND(AX206-AX207,2),"n/p")</f>
        <v>n/p</v>
      </c>
      <c r="AY208" s="68" t="n">
        <f aca="false">IF(ISNUMBER(AY207),ROUND(AY206-AY207,2),"n/p")</f>
        <v>0</v>
      </c>
      <c r="AZ208" s="68" t="str">
        <f aca="false">IF(ISNUMBER(AZ207),ROUND(AZ206-AZ207,2),"n/p")</f>
        <v>n/p</v>
      </c>
      <c r="BA208" s="68" t="str">
        <f aca="false">IF(ISNUMBER(BA207),ROUND(BA206-BA207,2),"n/p")</f>
        <v>n/p</v>
      </c>
      <c r="BB208" s="68" t="str">
        <f aca="false">IF(ISNUMBER(BB207),ROUND(BB206-BB207,2),"n/p")</f>
        <v>n/p</v>
      </c>
      <c r="BC208" s="68" t="n">
        <f aca="false">IF(ISNUMBER(BC207),ROUND(BC206-BC207,2),"n/p")</f>
        <v>0</v>
      </c>
      <c r="BD208" s="68" t="n">
        <f aca="false">IF(ISNUMBER(BD207),ROUND(BD206-BD207,2),"n/p")</f>
        <v>0</v>
      </c>
      <c r="BE208" s="68" t="n">
        <f aca="false">IF(ISNUMBER(BE207),ROUND(BE206-BE207,2),"n/p")</f>
        <v>0</v>
      </c>
      <c r="BF208" s="68" t="str">
        <f aca="false">IF(ISNUMBER(BF207),ROUND(BF206-BF207,2),"n/p")</f>
        <v>n/p</v>
      </c>
      <c r="BG208" s="68" t="n">
        <f aca="false">IF(ISNUMBER(BG207),ROUND(BG206-BG207,2),"n/p")</f>
        <v>0</v>
      </c>
      <c r="BH208" s="68" t="str">
        <f aca="false">IF(ISNUMBER(BH207),ROUND(BH206-BH207,2),"n/p")</f>
        <v>n/p</v>
      </c>
      <c r="BI208" s="68" t="str">
        <f aca="false">IF(ISNUMBER(BI207),ROUND(BI206-BI207,2),"n/p")</f>
        <v>n/p</v>
      </c>
      <c r="BJ208" s="68" t="str">
        <f aca="false">IF(ISNUMBER(BJ207),ROUND(BJ206-BJ207,2),"n/p")</f>
        <v>n/p</v>
      </c>
      <c r="BK208" s="68" t="str">
        <f aca="false">IF(ISNUMBER(BK207),ROUND(BK206-BK207,2),"n/p")</f>
        <v>n/p</v>
      </c>
      <c r="BL208" s="68" t="str">
        <f aca="false">IF(ISNUMBER(BL207),ROUND(BL206-BL207,2),"n/p")</f>
        <v>n/p</v>
      </c>
      <c r="BM208" s="68" t="str">
        <f aca="false">IF(ISNUMBER(BM207),ROUND(BM206-BM207,2),"n/p")</f>
        <v>n/p</v>
      </c>
      <c r="BN208" s="68" t="str">
        <f aca="false">IF(ISNUMBER(BN207),ROUND(BN206-BN207,2),"n/p")</f>
        <v>n/p</v>
      </c>
      <c r="BO208" s="68" t="str">
        <f aca="false">IF(ISNUMBER(BO207),ROUND(BO206-BO207,2),"n/p")</f>
        <v>n/p</v>
      </c>
      <c r="BP208" s="68" t="str">
        <f aca="false">IF(ISNUMBER(BP207),ROUND(BP206-BP207,2),"n/p")</f>
        <v>n/p</v>
      </c>
      <c r="BQ208" s="68" t="str">
        <f aca="false">IF(ISNUMBER(BQ207),ROUND(BQ206-BQ207,2),"n/p")</f>
        <v>n/p</v>
      </c>
      <c r="BR208" s="68" t="str">
        <f aca="false">IF(ISNUMBER(BR207),ROUND(BR206-BR207,2),"n/p")</f>
        <v>n/p</v>
      </c>
      <c r="BS208" s="68" t="str">
        <f aca="false">IF(ISNUMBER(BS207),ROUND(BS206-BS207,2),"n/p")</f>
        <v>n/p</v>
      </c>
      <c r="BT208" s="68" t="str">
        <f aca="false">IF(ISNUMBER(BT207),ROUND(BT206-BT207,2),"n/p")</f>
        <v>n/p</v>
      </c>
      <c r="BU208" s="68" t="str">
        <f aca="false">IF(ISNUMBER(BU207),ROUND(BU206-BU207,2),"n/p")</f>
        <v>n/p</v>
      </c>
      <c r="BV208" s="68" t="str">
        <f aca="false">IF(ISNUMBER(BV207),ROUND(BV206-BV207,2),"n/p")</f>
        <v>n/p</v>
      </c>
      <c r="BW208" s="68" t="str">
        <f aca="false">IF(ISNUMBER(BW207),ROUND(BW206-BW207,2),"n/p")</f>
        <v>n/p</v>
      </c>
      <c r="BX208" s="68" t="str">
        <f aca="false">IF(ISNUMBER(BX207),ROUND(BX206-BX207,2),"n/p")</f>
        <v>n/p</v>
      </c>
      <c r="BY208" s="68" t="str">
        <f aca="false">IF(ISNUMBER(BY207),ROUND(BY206-BY207,2),"n/p")</f>
        <v>n/p</v>
      </c>
      <c r="BZ208" s="68" t="n">
        <f aca="false">IF(ISNUMBER(BZ207),ROUND(BZ206-BZ207,2),"n/p")</f>
        <v>-0</v>
      </c>
      <c r="CA208" s="68" t="n">
        <f aca="false">IF(ISNUMBER(CA207),ROUND(CA206-CA207,2),"n/p")</f>
        <v>-0</v>
      </c>
      <c r="CB208" s="68" t="n">
        <f aca="false">IF(ISNUMBER(CB207),ROUND(CB206-CB207,2),"n/p")</f>
        <v>0</v>
      </c>
      <c r="CC208" s="73"/>
      <c r="CD208" s="73"/>
      <c r="CE208" s="73"/>
      <c r="CF208" s="73"/>
      <c r="CG208" s="73"/>
      <c r="CH208" s="73"/>
      <c r="CI208" s="73"/>
      <c r="CJ208" s="73"/>
      <c r="CK208" s="23"/>
    </row>
    <row r="209" customFormat="false" ht="15" hidden="false" customHeight="true" outlineLevel="0" collapsed="false">
      <c r="B209" s="71" t="s">
        <v>475</v>
      </c>
      <c r="F209" s="72" t="s">
        <v>476</v>
      </c>
      <c r="G209" s="72" t="s">
        <v>477</v>
      </c>
      <c r="H209" s="72" t="s">
        <v>478</v>
      </c>
      <c r="R209" s="72" t="s">
        <v>479</v>
      </c>
      <c r="S209" s="72" t="s">
        <v>479</v>
      </c>
      <c r="T209" s="72" t="s">
        <v>480</v>
      </c>
      <c r="V209" s="72" t="s">
        <v>481</v>
      </c>
      <c r="W209" s="72" t="s">
        <v>482</v>
      </c>
      <c r="X209" s="72" t="s">
        <v>482</v>
      </c>
      <c r="AD209" s="72" t="s">
        <v>483</v>
      </c>
      <c r="AE209" s="72" t="s">
        <v>483</v>
      </c>
      <c r="AF209" s="72" t="s">
        <v>484</v>
      </c>
      <c r="AG209" s="72" t="s">
        <v>485</v>
      </c>
      <c r="AH209" s="72" t="s">
        <v>485</v>
      </c>
      <c r="AI209" s="72" t="s">
        <v>486</v>
      </c>
      <c r="AJ209" s="72" t="s">
        <v>486</v>
      </c>
      <c r="AK209" s="72" t="s">
        <v>487</v>
      </c>
      <c r="AL209" s="72" t="s">
        <v>486</v>
      </c>
      <c r="AM209" s="72" t="s">
        <v>487</v>
      </c>
      <c r="AN209" s="72" t="s">
        <v>488</v>
      </c>
      <c r="AO209" s="72" t="s">
        <v>489</v>
      </c>
      <c r="AP209" s="72" t="s">
        <v>488</v>
      </c>
      <c r="AQ209" s="72" t="s">
        <v>488</v>
      </c>
      <c r="AR209" s="72" t="s">
        <v>490</v>
      </c>
      <c r="AS209" s="72" t="s">
        <v>491</v>
      </c>
      <c r="AT209" s="72" t="s">
        <v>492</v>
      </c>
      <c r="AU209" s="72" t="s">
        <v>492</v>
      </c>
      <c r="AV209" s="72" t="s">
        <v>492</v>
      </c>
      <c r="AW209" s="72" t="s">
        <v>492</v>
      </c>
      <c r="AY209" s="72" t="s">
        <v>493</v>
      </c>
      <c r="BC209" s="72" t="s">
        <v>494</v>
      </c>
      <c r="BD209" s="72" t="s">
        <v>495</v>
      </c>
      <c r="BE209" s="72" t="s">
        <v>496</v>
      </c>
      <c r="BG209" s="72" t="s">
        <v>497</v>
      </c>
      <c r="BZ209" s="72" t="s">
        <v>498</v>
      </c>
      <c r="CA209" s="72" t="s">
        <v>498</v>
      </c>
      <c r="CB209" s="72" t="s">
        <v>498</v>
      </c>
      <c r="CC209" s="72"/>
      <c r="CD209" s="72"/>
      <c r="CE209" s="72"/>
      <c r="CF209" s="72"/>
      <c r="CG209" s="72"/>
      <c r="CH209" s="72"/>
      <c r="CI209" s="72"/>
      <c r="CJ209" s="72"/>
      <c r="CK209" s="23"/>
    </row>
    <row r="210" customFormat="false" ht="15" hidden="false" customHeight="true" outlineLevel="0" collapsed="false">
      <c r="B210" s="42" t="s">
        <v>499</v>
      </c>
      <c r="CC210" s="59"/>
      <c r="CD210" s="59"/>
      <c r="CE210" s="59"/>
      <c r="CF210" s="60" t="n">
        <f aca="false">(CF121-$CU$16)*(1-$CU$17)/$CU$18</f>
        <v>5.495</v>
      </c>
      <c r="CG210" s="59"/>
      <c r="CH210" s="59"/>
      <c r="CI210" s="59"/>
      <c r="CJ210" s="59"/>
      <c r="CK210" s="23" t="s">
        <v>500</v>
      </c>
    </row>
    <row r="211" customFormat="false" ht="15" hidden="false" customHeight="true" outlineLevel="0" collapsed="false"/>
    <row r="212" customFormat="false" ht="15" hidden="false" customHeight="true" outlineLevel="0" collapsed="false">
      <c r="B212" s="12" t="s">
        <v>501</v>
      </c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2" t="s">
        <v>502</v>
      </c>
    </row>
    <row r="213" customFormat="false" ht="15" hidden="false" customHeight="true" outlineLevel="0" collapsed="false">
      <c r="B213" s="26" t="s">
        <v>117</v>
      </c>
      <c r="D213" s="27" t="n">
        <f aca="false">IF(AND(ISNUMBER(D132),ISNUMBER(C132)),IFERROR(D132/C132-1,""),"")</f>
        <v>0.0891089690704687</v>
      </c>
      <c r="E213" s="27" t="n">
        <f aca="false">IF(AND(ISNUMBER(E132),ISNUMBER(D132)),IFERROR(E132/D132-1,""),"")</f>
        <v>0.0623162211011896</v>
      </c>
      <c r="F213" s="27" t="n">
        <f aca="false">IF(AND(ISNUMBER(F132),ISNUMBER(E132)),IFERROR(F132/E132-1,""),"")</f>
        <v>-0.0414472180603875</v>
      </c>
      <c r="G213" s="27" t="n">
        <f aca="false">IF(AND(ISNUMBER(G132),ISNUMBER(F132)),IFERROR(G132/F132-1,""),"")</f>
        <v>-0.0602291317023804</v>
      </c>
      <c r="H213" s="27" t="n">
        <f aca="false">IF(AND(ISNUMBER(H132),ISNUMBER(G132)),IFERROR(H132/G132-1,""),"")</f>
        <v>0.0741527663411927</v>
      </c>
      <c r="I213" s="27" t="n">
        <f aca="false">IF(AND(ISNUMBER(I132),ISNUMBER(H132)),IFERROR(I132/H132-1,""),"")</f>
        <v>0.0765319190926688</v>
      </c>
      <c r="N213" s="27" t="n">
        <f aca="false">IF(AND(ISNUMBER(N132),ISNUMBER(I132)),IFERROR(N132/I132-1,""),"")</f>
        <v>0.052284495368113</v>
      </c>
      <c r="O213" s="27" t="n">
        <f aca="false">IF(AND(ISNUMBER(O132),ISNUMBER(J132)),IFERROR(O132/J132-1,""),"")</f>
        <v>0.0656485863077545</v>
      </c>
      <c r="P213" s="27" t="n">
        <f aca="false">IF(AND(ISNUMBER(P132),ISNUMBER(K132)),IFERROR(P132/K132-1,""),"")</f>
        <v>0.0786194838483345</v>
      </c>
      <c r="Q213" s="27" t="n">
        <f aca="false">IF(AND(ISNUMBER(Q132),ISNUMBER(L132)),IFERROR(Q132/L132-1,""),"")</f>
        <v>0.0507244760029526</v>
      </c>
      <c r="R213" s="27" t="n">
        <f aca="false">IF(AND(ISNUMBER(R132),ISNUMBER(M132)),IFERROR(R132/M132-1,""),"")</f>
        <v>0.0251468887223825</v>
      </c>
      <c r="S213" s="27" t="n">
        <f aca="false">IF(AND(ISNUMBER(S132),ISNUMBER(N132)),IFERROR(S132/N132-1,""),"")</f>
        <v>0.0545216219453346</v>
      </c>
      <c r="T213" s="27" t="n">
        <f aca="false">IF(AND(ISNUMBER(T132),ISNUMBER(O132)),IFERROR(T132/O132-1,""),"")</f>
        <v>-0.0163039354911845</v>
      </c>
      <c r="U213" s="27" t="n">
        <f aca="false">IF(AND(ISNUMBER(U132),ISNUMBER(P132)),IFERROR(U132/P132-1,""),"")</f>
        <v>-0.0178132866099586</v>
      </c>
      <c r="V213" s="27" t="n">
        <f aca="false">IF(AND(ISNUMBER(V132),ISNUMBER(Q132)),IFERROR(V132/Q132-1,""),"")</f>
        <v>-0.0189252342650259</v>
      </c>
      <c r="W213" s="27" t="n">
        <f aca="false">IF(AND(ISNUMBER(W132),ISNUMBER(R132)),IFERROR(W132/R132-1,""),"")</f>
        <v>-0.0128693479536129</v>
      </c>
      <c r="X213" s="27" t="n">
        <f aca="false">IF(AND(ISNUMBER(X132),ISNUMBER(S132)),IFERROR(X132/S132-1,""),"")</f>
        <v>-0.0164606974101741</v>
      </c>
      <c r="Y213" s="27" t="n">
        <f aca="false">IF(AND(ISNUMBER(Y132),ISNUMBER(T132)),IFERROR(Y132/T132-1,""),"")</f>
        <v>0.0878459490580059</v>
      </c>
      <c r="Z213" s="27" t="n">
        <f aca="false">IF(AND(ISNUMBER(Z132),ISNUMBER(U132)),IFERROR(Z132/U132-1,""),"")</f>
        <v>0.0851903053199321</v>
      </c>
      <c r="AA213" s="27" t="n">
        <f aca="false">IF(AND(ISNUMBER(AA132),ISNUMBER(V132)),IFERROR(AA132/V132-1,""),"")</f>
        <v>0.0967094648765792</v>
      </c>
      <c r="AB213" s="27" t="n">
        <f aca="false">IF(AND(ISNUMBER(AB132),ISNUMBER(W132)),IFERROR(AB132/W132-1,""),"")</f>
        <v>0.112746295017517</v>
      </c>
      <c r="AC213" s="27" t="n">
        <f aca="false">IF(AND(ISNUMBER(AC132),ISNUMBER(X132)),IFERROR(AC132/X132-1,""),"")</f>
        <v>0.0957299337083855</v>
      </c>
      <c r="AD213" s="27" t="n">
        <f aca="false">IF(AND(ISNUMBER(AD132),ISNUMBER(Y132)),IFERROR(AD132/Y132-1,""),"")</f>
        <v>0.0794401488043106</v>
      </c>
      <c r="AE213" s="27" t="n">
        <f aca="false">IF(AND(ISNUMBER(AE132),ISNUMBER(Z132)),IFERROR(AE132/Z132-1,""),"")</f>
        <v>0.0638538898185517</v>
      </c>
      <c r="AF213" s="27" t="n">
        <f aca="false">IF(AND(ISNUMBER(AF132),ISNUMBER(AA132)),IFERROR(AF132/AA132-1,""),"")</f>
        <v>0.0534930592730922</v>
      </c>
      <c r="AG213" s="27" t="n">
        <f aca="false">IF(AND(ISNUMBER(AG132),ISNUMBER(AB132)),IFERROR(AG132/AB132-1,""),"")</f>
        <v>0.203618831135634</v>
      </c>
      <c r="AH213" s="27" t="n">
        <f aca="false">IF(AND(ISNUMBER(AH132),ISNUMBER(AC132)),IFERROR(AH132/AC132-1,""),"")</f>
        <v>0.0851955107963418</v>
      </c>
      <c r="AI213" s="27" t="n">
        <f aca="false">IF(AND(ISNUMBER(AI132),ISNUMBER(AD132)),IFERROR(AI132/AD132-1,""),"")</f>
        <v>0.245240431795878</v>
      </c>
      <c r="AJ213" s="27" t="n">
        <f aca="false">IF(AND(ISNUMBER(AJ132),ISNUMBER(AE132)),IFERROR(AJ132/AE132-1,""),"")</f>
        <v>0.238655648793336</v>
      </c>
      <c r="AK213" s="27" t="n">
        <f aca="false">IF(AND(ISNUMBER(AK132),ISNUMBER(AF132)),IFERROR(AK132/AF132-1,""),"")</f>
        <v>0.240414164003013</v>
      </c>
      <c r="AL213" s="27" t="n">
        <f aca="false">IF(AND(ISNUMBER(AL132),ISNUMBER(AG132)),IFERROR(AL132/AG132-1,""),"")</f>
        <v>0.0910044978490963</v>
      </c>
      <c r="AM213" s="27" t="n">
        <f aca="false">IF(AND(ISNUMBER(AM132),ISNUMBER(AH132)),IFERROR(AM132/AH132-1,""),"")</f>
        <v>0.21663882408567</v>
      </c>
      <c r="AN213" s="27" t="n">
        <f aca="false">IF(AND(ISNUMBER(AN132),ISNUMBER(AI132)),IFERROR(AN132/AI132-1,""),"")</f>
        <v>0.053659223718479</v>
      </c>
      <c r="AO213" s="27" t="n">
        <f aca="false">IF(AND(ISNUMBER(AO132),ISNUMBER(AJ132)),IFERROR(AO132/AJ132-1,""),"")</f>
        <v>0.0696116446231141</v>
      </c>
      <c r="AP213" s="27" t="n">
        <f aca="false">IF(AND(ISNUMBER(AP132),ISNUMBER(AK132)),IFERROR(AP132/AK132-1,""),"")</f>
        <v>0.058643113436341</v>
      </c>
      <c r="AQ213" s="27" t="n">
        <f aca="false">IF(AND(ISNUMBER(AQ132),ISNUMBER(AL132)),IFERROR(AQ132/AL132-1,""),"")</f>
        <v>0.0743793237698782</v>
      </c>
      <c r="AR213" s="27" t="n">
        <f aca="false">IF(AND(ISNUMBER(AR132),ISNUMBER(AM132)),IFERROR(AR132/AM132-1,""),"")</f>
        <v>0.0641801170731948</v>
      </c>
      <c r="AS213" s="27" t="n">
        <f aca="false">IF(AND(ISNUMBER(AS132),ISNUMBER(AN132)),IFERROR(AS132/AN132-1,""),"")</f>
        <v>0.0666464465024514</v>
      </c>
      <c r="AT213" s="27" t="n">
        <f aca="false">IF(AND(ISNUMBER(AT132),ISNUMBER(AO132)),IFERROR(AT132/AO132-1,""),"")</f>
        <v>0.0730276068692428</v>
      </c>
      <c r="AU213" s="27" t="n">
        <f aca="false">IF(AND(ISNUMBER(AU132),ISNUMBER(AP132)),IFERROR(AU132/AP132-1,""),"")</f>
        <v>0.0762739771626257</v>
      </c>
      <c r="AV213" s="27" t="n">
        <f aca="false">IF(AND(ISNUMBER(AV132),ISNUMBER(AQ132)),IFERROR(AV132/AQ132-1,""),"")</f>
        <v>-0.0970859605403266</v>
      </c>
      <c r="AW213" s="27" t="n">
        <f aca="false">IF(AND(ISNUMBER(AW132),ISNUMBER(AR132)),IFERROR(AW132/AR132-1,""),"")</f>
        <v>0.0279756998495277</v>
      </c>
      <c r="AX213" s="27" t="n">
        <f aca="false">IF(AND(ISNUMBER(AX132),ISNUMBER(AS132)),IFERROR(AX132/AS132-1,""),"")</f>
        <v>-0.035648285415973</v>
      </c>
      <c r="AY213" s="27" t="n">
        <f aca="false">IF(AND(ISNUMBER(AY132),ISNUMBER(AT132)),IFERROR(AY132/AT132-1,""),"")</f>
        <v>-0.0470242966911439</v>
      </c>
      <c r="AZ213" s="27" t="n">
        <f aca="false">IF(AND(ISNUMBER(AZ132),ISNUMBER(AU132)),IFERROR(AZ132/AU132-1,""),"")</f>
        <v>-0.0185524740313964</v>
      </c>
      <c r="BA213" s="27" t="n">
        <f aca="false">IF(AND(ISNUMBER(BA132),ISNUMBER(AV132)),IFERROR(BA132/AV132-1,""),"")</f>
        <v>0.133415123883664</v>
      </c>
      <c r="BB213" s="27" t="n">
        <f aca="false">IF(AND(ISNUMBER(BB132),ISNUMBER(AW132)),IFERROR(BB132/AW132-1,""),"")</f>
        <v>0.0044064179576353</v>
      </c>
      <c r="BC213" s="27" t="n">
        <f aca="false">IF(AND(ISNUMBER(BC132),ISNUMBER(AX132)),IFERROR(BC132/AX132-1,""),"")</f>
        <v>0.086097075705309</v>
      </c>
      <c r="BD213" s="27" t="n">
        <f aca="false">IF(AND(ISNUMBER(BD132),ISNUMBER(AY132)),IFERROR(BD132/AY132-1,""),"")</f>
        <v>0.0940401172876324</v>
      </c>
      <c r="BE213" s="27" t="n">
        <f aca="false">IF(AND(ISNUMBER(BE132),ISNUMBER(AZ132)),IFERROR(BE132/AZ132-1,""),"")</f>
        <v>0.103252795635028</v>
      </c>
      <c r="BF213" s="27" t="n">
        <f aca="false">IF(AND(ISNUMBER(BF132),ISNUMBER(BA132)),IFERROR(BF132/BA132-1,""),"")</f>
        <v>0.130211950899431</v>
      </c>
      <c r="BG213" s="27" t="n">
        <f aca="false">IF(AND(ISNUMBER(BG132),ISNUMBER(BB132)),IFERROR(BG132/BB132-1,""),"")</f>
        <v>0.103721716500336</v>
      </c>
      <c r="BH213" s="27" t="n">
        <f aca="false">IF(AND(ISNUMBER(BH132),ISNUMBER(BC132)),IFERROR(BH132/BC132-1,""),"")</f>
        <v>0.142072273913387</v>
      </c>
      <c r="BI213" s="27" t="n">
        <f aca="false">IF(AND(ISNUMBER(BI132),ISNUMBER(BD132)),IFERROR(BI132/BD132-1,""),"")</f>
        <v>0.13139442152318</v>
      </c>
      <c r="BJ213" s="27" t="n">
        <f aca="false">IF(AND(ISNUMBER(BJ132),ISNUMBER(BE132)),IFERROR(BJ132/BE132-1,""),"")</f>
        <v>0.117030902678953</v>
      </c>
      <c r="BK213" s="27" t="n">
        <f aca="false">IF(AND(ISNUMBER(BK132),ISNUMBER(BF132)),IFERROR(BK132/BF132-1,""),"")</f>
        <v>0.10111650630505</v>
      </c>
      <c r="BL213" s="27" t="n">
        <f aca="false">IF(AND(ISNUMBER(BL132),ISNUMBER(BG132)),IFERROR(BL132/BG132-1,""),"")</f>
        <v>0.122390351773432</v>
      </c>
      <c r="BM213" s="27" t="n">
        <f aca="false">IF(AND(ISNUMBER(BM132),ISNUMBER(BH132)),IFERROR(BM132/BH132-1,""),"")</f>
        <v>0.0811815067386612</v>
      </c>
      <c r="BN213" s="27" t="n">
        <f aca="false">IF(AND(ISNUMBER(BN132),ISNUMBER(BI132)),IFERROR(BN132/BI132-1,""),"")</f>
        <v>0.09302630332647</v>
      </c>
      <c r="BO213" s="27" t="n">
        <f aca="false">IF(AND(ISNUMBER(BO132),ISNUMBER(BJ132)),IFERROR(BO132/BJ132-1,""),"")</f>
        <v>0.0987161561763408</v>
      </c>
      <c r="BP213" s="27" t="n">
        <f aca="false">IF(AND(ISNUMBER(BP132),ISNUMBER(BK132)),IFERROR(BP132/BK132-1,""),"")</f>
        <v>0.0816223974828307</v>
      </c>
      <c r="BQ213" s="27" t="n">
        <f aca="false">IF(AND(ISNUMBER(BQ132),ISNUMBER(BL132)),IFERROR(BQ132/BL132-1,""),"")</f>
        <v>0.0885737818220962</v>
      </c>
      <c r="BR213" s="27" t="n">
        <f aca="false">IF(AND(ISNUMBER(BR132),ISNUMBER(BM132)),IFERROR(BR132/BM132-1,""),"")</f>
        <v>0.067990846721</v>
      </c>
      <c r="BS213" s="27" t="n">
        <f aca="false">IF(AND(ISNUMBER(BS132),ISNUMBER(BN132)),IFERROR(BS132/BN132-1,""),"")</f>
        <v>0.0776576586430038</v>
      </c>
      <c r="BT213" s="27" t="n">
        <f aca="false">IF(AND(ISNUMBER(BT132),ISNUMBER(BO132)),IFERROR(BT132/BO132-1,""),"")</f>
        <v>0.0843605177183853</v>
      </c>
      <c r="BU213" s="27" t="n">
        <f aca="false">IF(AND(ISNUMBER(BU132),ISNUMBER(BP132)),IFERROR(BU132/BP132-1,""),"")</f>
        <v>0.0796123734537737</v>
      </c>
      <c r="BV213" s="27" t="n">
        <f aca="false">IF(AND(ISNUMBER(BV132),ISNUMBER(BQ132)),IFERROR(BV132/BQ132-1,""),"")</f>
        <v>0.0774821121822644</v>
      </c>
      <c r="BW213" s="27" t="n">
        <f aca="false">IF(AND(ISNUMBER(BW132),ISNUMBER(BR132)),IFERROR(BW132/BR132-1,""),"")</f>
        <v>0.0865590523135913</v>
      </c>
      <c r="BX213" s="27" t="n">
        <f aca="false">IF(AND(ISNUMBER(BX132),ISNUMBER(BS132)),IFERROR(BX132/BS132-1,""),"")</f>
        <v>0.0929856275882852</v>
      </c>
      <c r="BY213" s="27" t="n">
        <f aca="false">IF(AND(ISNUMBER(BY132),ISNUMBER(BT132)),IFERROR(BY132/BT132-1,""),"")</f>
        <v>0.0890267706950783</v>
      </c>
      <c r="BZ213" s="27" t="n">
        <f aca="false">IF(AND(ISNUMBER(BZ132),ISNUMBER(BU132)),IFERROR(BZ132/BU132-1,""),"")</f>
        <v>0.0890487214974067</v>
      </c>
      <c r="CA213" s="27" t="n">
        <f aca="false">IF(AND(ISNUMBER(CA132),ISNUMBER(BV132)),IFERROR(CA132/BV132-1,""),"")</f>
        <v>0.0894162297545855</v>
      </c>
      <c r="CB213" s="27" t="n">
        <f aca="false">IF(AND(ISNUMBER(CB132),ISNUMBER(BW132)),IFERROR(CB132/BW132-1,""),"")</f>
        <v>0.108846843519165</v>
      </c>
      <c r="CC213" s="28" t="n">
        <f aca="false">IFERROR(CC132/BX132-1,"")</f>
        <v>0.0757455912249758</v>
      </c>
      <c r="CD213" s="28" t="n">
        <f aca="false">IFERROR(CD132/BY132-1,"")</f>
        <v>0.224389905060756</v>
      </c>
      <c r="CE213" s="28" t="n">
        <f aca="false">IFERROR(CE132/BZ132-1,"")</f>
        <v>0.299079671258924</v>
      </c>
      <c r="CF213" s="28" t="n">
        <f aca="false">IFERROR(CF132/CA132-1,"")</f>
        <v>0.178825325902706</v>
      </c>
      <c r="CG213" s="28" t="n">
        <f aca="false">IFERROR(CG132/CF132-1,"")</f>
        <v>0.196676808870046</v>
      </c>
      <c r="CH213" s="28" t="n">
        <f aca="false">IFERROR(CH132/CG132-1,"")</f>
        <v>0.0769779666962904</v>
      </c>
      <c r="CI213" s="28" t="n">
        <f aca="false">IFERROR(CI132/CH132-1,"")</f>
        <v>0.0769373115329368</v>
      </c>
      <c r="CJ213" s="28" t="n">
        <f aca="false">IFERROR(CJ132/CI132-1,"")</f>
        <v>0.0724860130535647</v>
      </c>
      <c r="CK213" s="23"/>
    </row>
    <row r="214" customFormat="false" ht="15" hidden="false" customHeight="true" outlineLevel="0" collapsed="false">
      <c r="B214" s="26" t="s">
        <v>503</v>
      </c>
      <c r="G214" s="27" t="n">
        <f aca="false">G108</f>
        <v>-0.064</v>
      </c>
      <c r="H214" s="27" t="n">
        <f aca="false">H108</f>
        <v>0.051</v>
      </c>
      <c r="I214" s="27" t="n">
        <f aca="false">I108</f>
        <v>0.061</v>
      </c>
      <c r="J214" s="27" t="n">
        <f aca="false">J108</f>
        <v>0.032</v>
      </c>
      <c r="K214" s="27" t="n">
        <f aca="false">K108</f>
        <v>0.034</v>
      </c>
      <c r="L214" s="27" t="n">
        <f aca="false">L108</f>
        <v>0.069</v>
      </c>
      <c r="M214" s="27" t="n">
        <f aca="false">M108</f>
        <v>0.062</v>
      </c>
      <c r="N214" s="27" t="n">
        <f aca="false">N108</f>
        <v>0.049</v>
      </c>
      <c r="O214" s="27" t="n">
        <f aca="false">O108</f>
        <v>0.071</v>
      </c>
      <c r="P214" s="27" t="n">
        <f aca="false">P108</f>
        <v>0.071</v>
      </c>
      <c r="Q214" s="27" t="n">
        <f aca="false">Q108</f>
        <v>0.031</v>
      </c>
      <c r="R214" s="27" t="n">
        <f aca="false">R108</f>
        <v>0.061</v>
      </c>
      <c r="S214" s="27" t="n">
        <f aca="false">S108</f>
        <v>0.059</v>
      </c>
      <c r="T214" s="27" t="n">
        <f aca="false">T108</f>
        <v>0.072</v>
      </c>
      <c r="U214" s="27" t="n">
        <f aca="false">U108</f>
        <v>0.072</v>
      </c>
      <c r="V214" s="27" t="n">
        <f aca="false">V108</f>
        <v>0.075</v>
      </c>
      <c r="W214" s="27" t="n">
        <f aca="false">W108</f>
        <v>0.06</v>
      </c>
      <c r="X214" s="27" t="n">
        <f aca="false">X108</f>
        <v>0.071</v>
      </c>
      <c r="Y214" s="27" t="n">
        <f aca="false">Y108</f>
        <v>0.068</v>
      </c>
      <c r="Z214" s="27" t="n">
        <f aca="false">Z108</f>
        <v>0.065</v>
      </c>
      <c r="AA214" s="27" t="n">
        <f aca="false">AA108</f>
        <v>0.068</v>
      </c>
      <c r="AB214" s="27" t="n">
        <f aca="false">AB108</f>
        <v>0.067</v>
      </c>
      <c r="AC214" s="27" t="n">
        <f aca="false">AC108</f>
        <v>0.067</v>
      </c>
      <c r="AD214" s="27" t="n">
        <f aca="false">AD108</f>
        <v>0.057</v>
      </c>
      <c r="AE214" s="27" t="n">
        <f aca="false">AE108</f>
        <v>0.057</v>
      </c>
      <c r="AF214" s="27" t="n">
        <f aca="false">AF108</f>
        <v>0.065</v>
      </c>
      <c r="AG214" s="27" t="n">
        <f aca="false">AG108</f>
        <v>0.081</v>
      </c>
      <c r="AH214" s="27" t="n">
        <f aca="false">AH108</f>
        <v>0.067</v>
      </c>
      <c r="AI214" s="27" t="n">
        <f aca="false">AI108</f>
        <v>0.083</v>
      </c>
      <c r="AJ214" s="27" t="n">
        <f aca="false">AJ108</f>
        <v>0.077</v>
      </c>
      <c r="AK214" s="27" t="n">
        <f aca="false">AK108</f>
        <v>0.078</v>
      </c>
      <c r="AL214" s="27" t="n">
        <f aca="false">AL108</f>
        <v>0.051</v>
      </c>
      <c r="AM214" s="27" t="n">
        <f aca="false">AM108</f>
        <v>0.071</v>
      </c>
      <c r="AN214" s="27" t="n">
        <f aca="false">AN108</f>
        <v>0.052</v>
      </c>
      <c r="AO214" s="27" t="n">
        <f aca="false">AO108</f>
        <v>0.07</v>
      </c>
      <c r="AP214" s="27" t="n">
        <f aca="false">AP108</f>
        <v>0.06</v>
      </c>
      <c r="AQ214" s="27" t="n">
        <f aca="false">AQ108</f>
        <v>0.076</v>
      </c>
      <c r="AR214" s="27" t="n">
        <f aca="false">AR108</f>
        <v>0.065</v>
      </c>
      <c r="AS214" s="27" t="n">
        <f aca="false">AS108</f>
        <v>0.083</v>
      </c>
      <c r="AT214" s="27" t="n">
        <f aca="false">AT108</f>
        <v>0.073</v>
      </c>
      <c r="AU214" s="27" t="n">
        <f aca="false">AU108</f>
        <v>0.057</v>
      </c>
      <c r="AV214" s="27" t="n">
        <f aca="false">AV108</f>
        <v>-0.084</v>
      </c>
      <c r="AW214" s="27" t="n">
        <f aca="false">AW108</f>
        <v>0.031</v>
      </c>
      <c r="AX214" s="27" t="n">
        <f aca="false">AX108</f>
        <v>-0.05</v>
      </c>
      <c r="AY214" s="27" t="n">
        <f aca="false">AY108</f>
        <v>-0.044</v>
      </c>
      <c r="AZ214" s="27" t="n">
        <f aca="false">AZ108</f>
        <v>0.001</v>
      </c>
      <c r="BA214" s="27" t="n">
        <f aca="false">BA108</f>
        <v>0.115</v>
      </c>
      <c r="BB214" s="27" t="n">
        <f aca="false">BB108</f>
        <v>0.002</v>
      </c>
      <c r="BC214" s="27" t="n">
        <f aca="false">BC108</f>
        <v>0.086</v>
      </c>
      <c r="BD214" s="27" t="n">
        <f aca="false">BD108</f>
        <v>0.093</v>
      </c>
      <c r="BE214" s="27" t="n">
        <f aca="false">BE108</f>
        <v>0.1</v>
      </c>
      <c r="BF214" s="27" t="n">
        <f aca="false">BF108</f>
        <v>0.127</v>
      </c>
      <c r="BG214" s="27" t="n">
        <f aca="false">BG108</f>
        <v>0.102</v>
      </c>
      <c r="BH214" s="27" t="n">
        <f aca="false">BH108</f>
        <v>0.139</v>
      </c>
      <c r="BI214" s="27" t="n">
        <f aca="false">BI108</f>
        <v>0.128</v>
      </c>
      <c r="BJ214" s="27" t="n">
        <f aca="false">BJ108</f>
        <v>0.118</v>
      </c>
      <c r="BK214" s="27" t="n">
        <f aca="false">BK108</f>
        <v>0.103</v>
      </c>
      <c r="BL214" s="27" t="n">
        <f aca="false">BL108</f>
        <v>0.122</v>
      </c>
      <c r="BM214" s="27" t="n">
        <f aca="false">BM108</f>
        <v>0.081</v>
      </c>
      <c r="BN214" s="27" t="n">
        <f aca="false">BN108</f>
        <v>0.09</v>
      </c>
      <c r="BO214" s="27" t="n">
        <f aca="false">BO108</f>
        <v>0.077</v>
      </c>
      <c r="BP214" s="27" t="n">
        <f aca="false">BP108</f>
        <v>0.075</v>
      </c>
      <c r="BQ214" s="27" t="n">
        <f aca="false">BQ108</f>
        <v>0.08</v>
      </c>
      <c r="BR214" s="27" t="n">
        <f aca="false">BR108</f>
        <v>0.08</v>
      </c>
      <c r="BS214" s="27" t="n">
        <f aca="false">BS108</f>
        <v>0.071</v>
      </c>
      <c r="BT214" s="27" t="n">
        <f aca="false">BT108</f>
        <v>0.079</v>
      </c>
      <c r="BU214" s="27" t="n">
        <f aca="false">BU108</f>
        <v>0.09</v>
      </c>
      <c r="BV214" s="27" t="n">
        <f aca="false">BV108</f>
        <v>0.08</v>
      </c>
      <c r="BW214" s="27" t="n">
        <f aca="false">BW108</f>
        <v>0.078</v>
      </c>
      <c r="BX214" s="27" t="n">
        <f aca="false">BX108</f>
        <v>0.086</v>
      </c>
      <c r="BY214" s="27" t="n">
        <f aca="false">BY108</f>
        <v>0.082</v>
      </c>
      <c r="BZ214" s="27" t="n">
        <f aca="false">BZ108</f>
        <v>0.084</v>
      </c>
      <c r="CA214" s="27" t="n">
        <f aca="false">CA108</f>
        <v>0.083</v>
      </c>
      <c r="CB214" s="27" t="n">
        <f aca="false">CB108</f>
        <v>0.089</v>
      </c>
      <c r="CC214" s="28" t="n">
        <f aca="false">IFERROR(CC110/BX110-1-IF(COLUMN()=COLUMN($CB$110),CC109,0),"")</f>
        <v>0.0757455912249758</v>
      </c>
      <c r="CD214" s="28" t="n">
        <f aca="false">IFERROR(CD110/BY110-1-IF(COLUMN()=COLUMN($CB$110),CD109,0),"")</f>
        <v>0.0758573524533637</v>
      </c>
      <c r="CE214" s="28" t="n">
        <f aca="false">IFERROR(CE110/BZ110-1-IF(COLUMN()=COLUMN($CB$110),CE109,0),"")</f>
        <v>0.0763280677977758</v>
      </c>
      <c r="CF214" s="28" t="n">
        <f aca="false">IFERROR(CF110/CA110-1-CB109/4,"")</f>
        <v>0.0800648955626975</v>
      </c>
      <c r="CG214" s="28" t="n">
        <f aca="false">IFERROR(CG110/CF110-1,"")</f>
        <v>0.0787401860764241</v>
      </c>
      <c r="CH214" s="28" t="n">
        <f aca="false">IFERROR(CH110/CG110-1,"")</f>
        <v>0.0727668073530623</v>
      </c>
      <c r="CI214" s="28" t="n">
        <f aca="false">IFERROR(CI110/CH110-1,"")</f>
        <v>0.0715973986097975</v>
      </c>
      <c r="CJ214" s="28" t="n">
        <f aca="false">IFERROR(CJ110/CI110-1,"")</f>
        <v>0.0654452025438541</v>
      </c>
      <c r="CK214" s="23"/>
    </row>
    <row r="215" customFormat="false" ht="15" hidden="false" customHeight="true" outlineLevel="0" collapsed="false">
      <c r="B215" s="26" t="s">
        <v>504</v>
      </c>
      <c r="D215" s="27" t="n">
        <f aca="false">IF(AND(ISNUMBER(D11),ISNUMBER(C11)),IFERROR(D11/C11-1,""),"")</f>
        <v>0.064564991264322</v>
      </c>
      <c r="E215" s="27" t="n">
        <f aca="false">IF(AND(ISNUMBER(E11),ISNUMBER(D11)),IFERROR(E11/D11-1,""),"")</f>
        <v>0.0365457252153767</v>
      </c>
      <c r="F215" s="27" t="n">
        <f aca="false">IF(AND(ISNUMBER(F11),ISNUMBER(E11)),IFERROR(F11/E11-1,""),"")</f>
        <v>-0.0280652995447632</v>
      </c>
      <c r="G215" s="27" t="n">
        <f aca="false">IF(AND(ISNUMBER(G11),ISNUMBER(F11)),IFERROR(G11/F11-1,""),"")</f>
        <v>-0.0673891067743733</v>
      </c>
      <c r="H215" s="27" t="n">
        <f aca="false">IF(AND(ISNUMBER(H11),ISNUMBER(G11)),IFERROR(H11/G11-1,""),"")</f>
        <v>0.0478294764020726</v>
      </c>
      <c r="I215" s="27" t="n">
        <f aca="false">IF(AND(ISNUMBER(I11),ISNUMBER(H11)),IFERROR(I11/H11-1,""),"")</f>
        <v>0.0817209261553913</v>
      </c>
      <c r="N215" s="27" t="n">
        <f aca="false">IF(AND(ISNUMBER(N11),ISNUMBER(I11)),IFERROR(N11/I11-1,""),"")</f>
        <v>0.0454375483516072</v>
      </c>
      <c r="O215" s="27" t="n">
        <f aca="false">IF(AND(ISNUMBER(O11),ISNUMBER(J11)),IFERROR(O11/J11-1,""),"")</f>
        <v>0.0503720641245928</v>
      </c>
      <c r="P215" s="27" t="n">
        <f aca="false">IF(AND(ISNUMBER(P11),ISNUMBER(K11)),IFERROR(P11/K11-1,""),"")</f>
        <v>0.0641366746092753</v>
      </c>
      <c r="Q215" s="27" t="n">
        <f aca="false">IF(AND(ISNUMBER(Q11),ISNUMBER(L11)),IFERROR(Q11/L11-1,""),"")</f>
        <v>0.0705246585933526</v>
      </c>
      <c r="R215" s="27" t="n">
        <f aca="false">IF(AND(ISNUMBER(R11),ISNUMBER(M11)),IFERROR(R11/M11-1,""),"")</f>
        <v>0.0509899136070766</v>
      </c>
      <c r="S215" s="27" t="n">
        <f aca="false">IF(AND(ISNUMBER(S11),ISNUMBER(N11)),IFERROR(S11/N11-1,""),"")</f>
        <v>0.0589055264310068</v>
      </c>
      <c r="T215" s="27" t="n">
        <f aca="false">IF(AND(ISNUMBER(T11),ISNUMBER(O11)),IFERROR(T11/O11-1,""),"")</f>
        <v>0.101949131379073</v>
      </c>
      <c r="U215" s="27" t="n">
        <f aca="false">IF(AND(ISNUMBER(U11),ISNUMBER(P11)),IFERROR(U11/P11-1,""),"")</f>
        <v>0.108364125542697</v>
      </c>
      <c r="V215" s="27" t="n">
        <f aca="false">IF(AND(ISNUMBER(V11),ISNUMBER(Q11)),IFERROR(V11/Q11-1,""),"")</f>
        <v>0.101906942978812</v>
      </c>
      <c r="W215" s="27" t="n">
        <f aca="false">IF(AND(ISNUMBER(W11),ISNUMBER(R11)),IFERROR(W11/R11-1,""),"")</f>
        <v>0.0802658276023398</v>
      </c>
      <c r="X215" s="27" t="n">
        <f aca="false">IF(AND(ISNUMBER(X11),ISNUMBER(S11)),IFERROR(X11/S11-1,""),"")</f>
        <v>0.097990030800917</v>
      </c>
      <c r="Y215" s="27" t="n">
        <f aca="false">IF(AND(ISNUMBER(Y11),ISNUMBER(T11)),IFERROR(Y11/T11-1,""),"")</f>
        <v>0.074064493680883</v>
      </c>
      <c r="Z215" s="27" t="n">
        <f aca="false">IF(AND(ISNUMBER(Z11),ISNUMBER(U11)),IFERROR(Z11/U11-1,""),"")</f>
        <v>0.0518567542555877</v>
      </c>
      <c r="AA215" s="27" t="n">
        <f aca="false">IF(AND(ISNUMBER(AA11),ISNUMBER(V11)),IFERROR(AA11/V11-1,""),"")</f>
        <v>0.0601810502818088</v>
      </c>
      <c r="AB215" s="27" t="n">
        <f aca="false">IF(AND(ISNUMBER(AB11),ISNUMBER(W11)),IFERROR(AB11/W11-1,""),"")</f>
        <v>0.0828649936214543</v>
      </c>
      <c r="AC215" s="27" t="n">
        <f aca="false">IF(AND(ISNUMBER(AC11),ISNUMBER(X11)),IFERROR(AC11/X11-1,""),"")</f>
        <v>0.0672227553594891</v>
      </c>
      <c r="AD215" s="27" t="n">
        <f aca="false">IF(AND(ISNUMBER(AD11),ISNUMBER(Y11)),IFERROR(AD11/Y11-1,""),"")</f>
        <v>0.0652040477063283</v>
      </c>
      <c r="AE215" s="27" t="n">
        <f aca="false">IF(AND(ISNUMBER(AE11),ISNUMBER(Z11)),IFERROR(AE11/Z11-1,""),"")</f>
        <v>0.0723693191028301</v>
      </c>
      <c r="AF215" s="27" t="n">
        <f aca="false">IF(AND(ISNUMBER(AF11),ISNUMBER(AA11)),IFERROR(AF11/AA11-1,""),"")</f>
        <v>0.0606823872342015</v>
      </c>
      <c r="AG215" s="27" t="n">
        <f aca="false">IF(AND(ISNUMBER(AG11),ISNUMBER(AB11)),IFERROR(AG11/AB11-1,""),"")</f>
        <v>0.264101814896324</v>
      </c>
      <c r="AH215" s="27" t="n">
        <f aca="false">IF(AND(ISNUMBER(AH11),ISNUMBER(AC11)),IFERROR(AH11/AC11-1,""),"")</f>
        <v>0.112416985436766</v>
      </c>
      <c r="AI215" s="27" t="n">
        <f aca="false">IF(AND(ISNUMBER(AI11),ISNUMBER(AD11)),IFERROR(AI11/AD11-1,""),"")</f>
        <v>0.31231417492667</v>
      </c>
      <c r="AJ215" s="27" t="n">
        <f aca="false">IF(AND(ISNUMBER(AJ11),ISNUMBER(AE11)),IFERROR(AJ11/AE11-1,""),"")</f>
        <v>0.300799053268561</v>
      </c>
      <c r="AK215" s="27" t="n">
        <f aca="false">IF(AND(ISNUMBER(AK11),ISNUMBER(AF11)),IFERROR(AK11/AF11-1,""),"")</f>
        <v>0.293052734150864</v>
      </c>
      <c r="AL215" s="27" t="n">
        <f aca="false">IF(AND(ISNUMBER(AL11),ISNUMBER(AG11)),IFERROR(AL11/AG11-1,""),"")</f>
        <v>0.100630729950042</v>
      </c>
      <c r="AM215" s="27" t="n">
        <f aca="false">IF(AND(ISNUMBER(AM11),ISNUMBER(AH11)),IFERROR(AM11/AH11-1,""),"")</f>
        <v>0.248575011481289</v>
      </c>
      <c r="AN215" s="27" t="n">
        <f aca="false">IF(AND(ISNUMBER(AN11),ISNUMBER(AI11)),IFERROR(AN11/AI11-1,""),"")</f>
        <v>0.0481435968116701</v>
      </c>
      <c r="AO215" s="27" t="n">
        <f aca="false">IF(AND(ISNUMBER(AO11),ISNUMBER(AJ11)),IFERROR(AO11/AJ11-1,""),"")</f>
        <v>0.063255043049208</v>
      </c>
      <c r="AP215" s="27" t="n">
        <f aca="false">IF(AND(ISNUMBER(AP11),ISNUMBER(AK11)),IFERROR(AP11/AK11-1,""),"")</f>
        <v>0.0574582177255867</v>
      </c>
      <c r="AQ215" s="27" t="n">
        <f aca="false">IF(AND(ISNUMBER(AQ11),ISNUMBER(AL11)),IFERROR(AQ11/AL11-1,""),"")</f>
        <v>0.0637525264636361</v>
      </c>
      <c r="AR215" s="27" t="n">
        <f aca="false">IF(AND(ISNUMBER(AR11),ISNUMBER(AM11)),IFERROR(AR11/AM11-1,""),"")</f>
        <v>0.058185398324873</v>
      </c>
      <c r="AS215" s="27" t="n">
        <f aca="false">IF(AND(ISNUMBER(AS11),ISNUMBER(AN11)),IFERROR(AS11/AN11-1,""),"")</f>
        <v>0.057885519201593</v>
      </c>
      <c r="AT215" s="27" t="n">
        <f aca="false">IF(AND(ISNUMBER(AT11),ISNUMBER(AO11)),IFERROR(AT11/AO11-1,""),"")</f>
        <v>0.0569458245672567</v>
      </c>
      <c r="AU215" s="27" t="n">
        <f aca="false">IF(AND(ISNUMBER(AU11),ISNUMBER(AP11)),IFERROR(AU11/AP11-1,""),"")</f>
        <v>0.0660366246000581</v>
      </c>
      <c r="AV215" s="27" t="n">
        <f aca="false">IF(AND(ISNUMBER(AV11),ISNUMBER(AQ11)),IFERROR(AV11/AQ11-1,""),"")</f>
        <v>-0.110209242280831</v>
      </c>
      <c r="AW215" s="27" t="n">
        <f aca="false">IF(AND(ISNUMBER(AW11),ISNUMBER(AR11)),IFERROR(AW11/AR11-1,""),"")</f>
        <v>0.016400747060296</v>
      </c>
      <c r="AX215" s="27" t="n">
        <f aca="false">IF(AND(ISNUMBER(AX11),ISNUMBER(AS11)),IFERROR(AX11/AS11-1,""),"")</f>
        <v>-0.0413302743778562</v>
      </c>
      <c r="AY215" s="27" t="n">
        <f aca="false">IF(AND(ISNUMBER(AY11),ISNUMBER(AT11)),IFERROR(AY11/AT11-1,""),"")</f>
        <v>-0.0404693406767589</v>
      </c>
      <c r="AZ215" s="27" t="n">
        <f aca="false">IF(AND(ISNUMBER(AZ11),ISNUMBER(AU11)),IFERROR(AZ11/AU11-1,""),"")</f>
        <v>-0.0208256648211593</v>
      </c>
      <c r="BA215" s="27" t="n">
        <f aca="false">IF(AND(ISNUMBER(BA11),ISNUMBER(AV11)),IFERROR(BA11/AV11-1,""),"")</f>
        <v>0.154132670322667</v>
      </c>
      <c r="BB215" s="27" t="n">
        <f aca="false">IF(AND(ISNUMBER(BB11),ISNUMBER(AW11)),IFERROR(BB11/AW11-1,""),"")</f>
        <v>0.00817543174494384</v>
      </c>
      <c r="BC215" s="27" t="n">
        <f aca="false">IF(AND(ISNUMBER(BC11),ISNUMBER(AX11)),IFERROR(BC11/AX11-1,""),"")</f>
        <v>0.0815864189252666</v>
      </c>
      <c r="BD215" s="27" t="n">
        <f aca="false">IF(AND(ISNUMBER(BD11),ISNUMBER(AY11)),IFERROR(BD11/AY11-1,""),"")</f>
        <v>0.0884679628610807</v>
      </c>
      <c r="BE215" s="27" t="n">
        <f aca="false">IF(AND(ISNUMBER(BE11),ISNUMBER(AZ11)),IFERROR(BE11/AZ11-1,""),"")</f>
        <v>0.0955344831842242</v>
      </c>
      <c r="BF215" s="27" t="n">
        <f aca="false">IF(AND(ISNUMBER(BF11),ISNUMBER(BA11)),IFERROR(BF11/BA11-1,""),"")</f>
        <v>0.111356304725442</v>
      </c>
      <c r="BG215" s="27" t="n">
        <f aca="false">IF(AND(ISNUMBER(BG11),ISNUMBER(BB11)),IFERROR(BG11/BB11-1,""),"")</f>
        <v>0.0944433664602562</v>
      </c>
      <c r="BH215" s="27" t="n">
        <f aca="false">IF(AND(ISNUMBER(BH11),ISNUMBER(BC11)),IFERROR(BH11/BC11-1,""),"")</f>
        <v>0.125712118479541</v>
      </c>
      <c r="BI215" s="27" t="n">
        <f aca="false">IF(AND(ISNUMBER(BI11),ISNUMBER(BD11)),IFERROR(BI11/BD11-1,""),"")</f>
        <v>0.113801407048007</v>
      </c>
      <c r="BJ215" s="27" t="n">
        <f aca="false">IF(AND(ISNUMBER(BJ11),ISNUMBER(BE11)),IFERROR(BJ11/BE11-1,""),"")</f>
        <v>0.104836736796024</v>
      </c>
      <c r="BK215" s="27" t="n">
        <f aca="false">IF(AND(ISNUMBER(BK11),ISNUMBER(BF11)),IFERROR(BK11/BF11-1,""),"")</f>
        <v>0.0877143048178366</v>
      </c>
      <c r="BL215" s="27" t="n">
        <f aca="false">IF(AND(ISNUMBER(BL11),ISNUMBER(BG11)),IFERROR(BL11/BG11-1,""),"")</f>
        <v>0.107620387410912</v>
      </c>
      <c r="BM215" s="27" t="n">
        <f aca="false">IF(AND(ISNUMBER(BM11),ISNUMBER(BH11)),IFERROR(BM11/BH11-1,""),"")</f>
        <v>0.0760131513536566</v>
      </c>
      <c r="BN215" s="27" t="n">
        <f aca="false">IF(AND(ISNUMBER(BN11),ISNUMBER(BI11)),IFERROR(BN11/BI11-1,""),"")</f>
        <v>0.082196531318659</v>
      </c>
      <c r="BO215" s="27" t="n">
        <f aca="false">IF(AND(ISNUMBER(BO11),ISNUMBER(BJ11)),IFERROR(BO11/BJ11-1,""),"")</f>
        <v>0.093509074010949</v>
      </c>
      <c r="BP215" s="27" t="n">
        <f aca="false">IF(AND(ISNUMBER(BP11),ISNUMBER(BK11)),IFERROR(BP11/BK11-1,""),"")</f>
        <v>0.0778161138638152</v>
      </c>
      <c r="BQ215" s="27" t="n">
        <f aca="false">IF(AND(ISNUMBER(BQ11),ISNUMBER(BL11)),IFERROR(BQ11/BL11-1,""),"")</f>
        <v>0.082363098854161</v>
      </c>
      <c r="BR215" s="27" t="n">
        <f aca="false">IF(AND(ISNUMBER(BR11),ISNUMBER(BM11)),IFERROR(BR11/BM11-1,""),"")</f>
        <v>0.0585792289901879</v>
      </c>
      <c r="BS215" s="27" t="n">
        <f aca="false">IF(AND(ISNUMBER(BS11),ISNUMBER(BN11)),IFERROR(BS11/BN11-1,""),"")</f>
        <v>0.0755821807881152</v>
      </c>
      <c r="BT215" s="27" t="n">
        <f aca="false">IF(AND(ISNUMBER(BT11),ISNUMBER(BO11)),IFERROR(BT11/BO11-1,""),"")</f>
        <v>0.0770003016025433</v>
      </c>
      <c r="BU215" s="27" t="n">
        <f aca="false">IF(AND(ISNUMBER(BU11),ISNUMBER(BP11)),IFERROR(BU11/BP11-1,""),"")</f>
        <v>0.062521256389998</v>
      </c>
      <c r="BV215" s="27" t="n">
        <f aca="false">IF(AND(ISNUMBER(BV11),ISNUMBER(BQ11)),IFERROR(BV11/BQ11-1,""),"")</f>
        <v>0.0684340765731766</v>
      </c>
      <c r="BW215" s="27" t="n">
        <f aca="false">IF(AND(ISNUMBER(BW11),ISNUMBER(BR11)),IFERROR(BW11/BR11-1,""),"")</f>
        <v>0.0813030453931274</v>
      </c>
      <c r="BX215" s="27" t="n">
        <f aca="false">IF(AND(ISNUMBER(BX11),ISNUMBER(BS11)),IFERROR(BX11/BS11-1,""),"")</f>
        <v>0.0828924693907285</v>
      </c>
      <c r="BY215" s="27" t="n">
        <f aca="false">IF(AND(ISNUMBER(BY11),ISNUMBER(BT11)),IFERROR(BY11/BT11-1,""),"")</f>
        <v>0.0773368943529011</v>
      </c>
      <c r="BZ215" s="27" t="n">
        <f aca="false">IF(AND(ISNUMBER(BZ11),ISNUMBER(BU11)),IFERROR(BZ11/BU11-1,""),"")</f>
        <v>0.0822507731400319</v>
      </c>
      <c r="CA215" s="27" t="n">
        <f aca="false">IF(AND(ISNUMBER(CA11),ISNUMBER(BV11)),IFERROR(CA11/BV11-1,""),"")</f>
        <v>0.0809359442923854</v>
      </c>
      <c r="CB215" s="27" t="n">
        <f aca="false">IF(AND(ISNUMBER(CB11),ISNUMBER(BW11)),IFERROR(CB11/BW11-1,""),"")</f>
        <v>0.0974000820634069</v>
      </c>
      <c r="CC215" s="28" t="n">
        <f aca="false">IFERROR(CC11/BX11-1,"")</f>
        <v>0.0643417065009448</v>
      </c>
      <c r="CD215" s="28" t="n">
        <f aca="false">IFERROR(CD11/BY11-1,"")</f>
        <v>0.0643417065009448</v>
      </c>
      <c r="CE215" s="28" t="n">
        <f aca="false">IFERROR(CE11/BZ11-1,"")</f>
        <v>0.0643417065009448</v>
      </c>
      <c r="CF215" s="28" t="n">
        <f aca="false">IFERROR(CF11/CA11-1,"")</f>
        <v>0.0723595979276521</v>
      </c>
      <c r="CG215" s="28" t="n">
        <f aca="false">IFERROR(CG11/CF11-1,"")</f>
        <v>0.0700000000000001</v>
      </c>
      <c r="CH215" s="28" t="n">
        <f aca="false">IFERROR(CH11/CG11-1,"")</f>
        <v>0.065</v>
      </c>
      <c r="CI215" s="28" t="n">
        <f aca="false">IFERROR(CI11/CH11-1,"")</f>
        <v>0.065</v>
      </c>
      <c r="CJ215" s="28" t="n">
        <f aca="false">IFERROR(CJ11/CI11-1,"")</f>
        <v>0.0600000000000001</v>
      </c>
      <c r="CK215" s="23"/>
    </row>
    <row r="216" customFormat="false" ht="15" hidden="false" customHeight="true" outlineLevel="0" collapsed="false">
      <c r="B216" s="26" t="s">
        <v>505</v>
      </c>
      <c r="D216" s="27" t="n">
        <f aca="false">IF(AND(ISNUMBER(D185),ISNUMBER(C185)),IFERROR(D185/C185-1,""),"")</f>
        <v>0.064781036083851</v>
      </c>
      <c r="E216" s="27" t="n">
        <f aca="false">IF(AND(ISNUMBER(E185),ISNUMBER(D185)),IFERROR(E185/D185-1,""),"")</f>
        <v>0.0212856902019452</v>
      </c>
      <c r="F216" s="27" t="n">
        <f aca="false">IF(AND(ISNUMBER(F185),ISNUMBER(E185)),IFERROR(F185/E185-1,""),"")</f>
        <v>-0.0956693762851624</v>
      </c>
      <c r="G216" s="27" t="n">
        <f aca="false">IF(AND(ISNUMBER(G185),ISNUMBER(F185)),IFERROR(G185/F185-1,""),"")</f>
        <v>-0.131016135013237</v>
      </c>
      <c r="H216" s="27" t="n">
        <f aca="false">IF(AND(ISNUMBER(H185),ISNUMBER(G185)),IFERROR(H185/G185-1,""),"")</f>
        <v>0.0483146680692488</v>
      </c>
      <c r="I216" s="27" t="n">
        <f aca="false">IF(AND(ISNUMBER(I185),ISNUMBER(H185)),IFERROR(I185/H185-1,""),"")</f>
        <v>0.157747589971759</v>
      </c>
      <c r="N216" s="27" t="n">
        <f aca="false">IF(AND(ISNUMBER(N185),ISNUMBER(I185)),IFERROR(N185/I185-1,""),"")</f>
        <v>0.0283404561510612</v>
      </c>
      <c r="O216" s="27" t="n">
        <f aca="false">IF(AND(ISNUMBER(O185),ISNUMBER(J185)),IFERROR(O185/J185-1,""),"")</f>
        <v>0.0146875134599651</v>
      </c>
      <c r="P216" s="27" t="n">
        <f aca="false">IF(AND(ISNUMBER(P185),ISNUMBER(K185)),IFERROR(P185/K185-1,""),"")</f>
        <v>0.0840564895763283</v>
      </c>
      <c r="Q216" s="27" t="n">
        <f aca="false">IF(AND(ISNUMBER(Q185),ISNUMBER(L185)),IFERROR(Q185/L185-1,""),"")</f>
        <v>0.0977081087058696</v>
      </c>
      <c r="R216" s="27" t="n">
        <f aca="false">IF(AND(ISNUMBER(R185),ISNUMBER(M185)),IFERROR(R185/M185-1,""),"")</f>
        <v>0.0481244001147823</v>
      </c>
      <c r="S216" s="27" t="n">
        <f aca="false">IF(AND(ISNUMBER(S185),ISNUMBER(N185)),IFERROR(S185/N185-1,""),"")</f>
        <v>0.0634889502616003</v>
      </c>
      <c r="T216" s="27" t="n">
        <f aca="false">IF(AND(ISNUMBER(T185),ISNUMBER(O185)),IFERROR(T185/O185-1,""),"")</f>
        <v>0.0778822480685966</v>
      </c>
      <c r="U216" s="27" t="n">
        <f aca="false">IF(AND(ISNUMBER(U185),ISNUMBER(P185)),IFERROR(U185/P185-1,""),"")</f>
        <v>0.0901989588037651</v>
      </c>
      <c r="V216" s="27" t="n">
        <f aca="false">IF(AND(ISNUMBER(V185),ISNUMBER(Q185)),IFERROR(V185/Q185-1,""),"")</f>
        <v>0.0653717900929849</v>
      </c>
      <c r="W216" s="27" t="n">
        <f aca="false">IF(AND(ISNUMBER(W185),ISNUMBER(R185)),IFERROR(W185/R185-1,""),"")</f>
        <v>0.0231863261096348</v>
      </c>
      <c r="X216" s="27" t="n">
        <f aca="false">IF(AND(ISNUMBER(X185),ISNUMBER(S185)),IFERROR(X185/S185-1,""),"")</f>
        <v>0.0610507715926314</v>
      </c>
      <c r="Y216" s="27" t="n">
        <f aca="false">IF(AND(ISNUMBER(Y185),ISNUMBER(T185)),IFERROR(Y185/T185-1,""),"")</f>
        <v>0.108953342981757</v>
      </c>
      <c r="Z216" s="27" t="n">
        <f aca="false">IF(AND(ISNUMBER(Z185),ISNUMBER(U185)),IFERROR(Z185/U185-1,""),"")</f>
        <v>0.0992425139069721</v>
      </c>
      <c r="AA216" s="27" t="n">
        <f aca="false">IF(AND(ISNUMBER(AA185),ISNUMBER(V185)),IFERROR(AA185/V185-1,""),"")</f>
        <v>0.109808797942356</v>
      </c>
      <c r="AB216" s="27" t="n">
        <f aca="false">IF(AND(ISNUMBER(AB185),ISNUMBER(W185)),IFERROR(AB185/W185-1,""),"")</f>
        <v>0.132805255557964</v>
      </c>
      <c r="AC216" s="27" t="n">
        <f aca="false">IF(AND(ISNUMBER(AC185),ISNUMBER(X185)),IFERROR(AC185/X185-1,""),"")</f>
        <v>0.112201097136896</v>
      </c>
      <c r="AD216" s="27" t="n">
        <f aca="false">IF(AND(ISNUMBER(AD185),ISNUMBER(Y185)),IFERROR(AD185/Y185-1,""),"")</f>
        <v>0.122698923537898</v>
      </c>
      <c r="AE216" s="27" t="n">
        <f aca="false">IF(AND(ISNUMBER(AE185),ISNUMBER(Z185)),IFERROR(AE185/Z185-1,""),"")</f>
        <v>0.0356641474272701</v>
      </c>
      <c r="AF216" s="27" t="n">
        <f aca="false">IF(AND(ISNUMBER(AF185),ISNUMBER(AA185)),IFERROR(AF185/AA185-1,""),"")</f>
        <v>0.0595324821389769</v>
      </c>
      <c r="AG216" s="27" t="n">
        <f aca="false">IF(AND(ISNUMBER(AG185),ISNUMBER(AB185)),IFERROR(AG185/AB185-1,""),"")</f>
        <v>0.24592747650154</v>
      </c>
      <c r="AH216" s="27" t="n">
        <f aca="false">IF(AND(ISNUMBER(AH185),ISNUMBER(AC185)),IFERROR(AH185/AC185-1,""),"")</f>
        <v>0.108215499663685</v>
      </c>
      <c r="AI216" s="27" t="n">
        <f aca="false">IF(AND(ISNUMBER(AI185),ISNUMBER(AD185)),IFERROR(AI185/AD185-1,""),"")</f>
        <v>0.271485394360182</v>
      </c>
      <c r="AJ216" s="27" t="n">
        <f aca="false">IF(AND(ISNUMBER(AJ185),ISNUMBER(AE185)),IFERROR(AJ185/AE185-1,""),"")</f>
        <v>0.274016642208511</v>
      </c>
      <c r="AK216" s="27" t="n">
        <f aca="false">IF(AND(ISNUMBER(AK185),ISNUMBER(AF185)),IFERROR(AK185/AF185-1,""),"")</f>
        <v>0.270221911275698</v>
      </c>
      <c r="AL216" s="27" t="n">
        <f aca="false">IF(AND(ISNUMBER(AL185),ISNUMBER(AG185)),IFERROR(AL185/AG185-1,""),"")</f>
        <v>0.160524294376256</v>
      </c>
      <c r="AM216" s="27" t="n">
        <f aca="false">IF(AND(ISNUMBER(AM185),ISNUMBER(AH185)),IFERROR(AM185/AH185-1,""),"")</f>
        <v>0.249294432639993</v>
      </c>
      <c r="AN216" s="27" t="n">
        <f aca="false">IF(AND(ISNUMBER(AN185),ISNUMBER(AI185)),IFERROR(AN185/AI185-1,""),"")</f>
        <v>0.108197363633819</v>
      </c>
      <c r="AO216" s="27" t="n">
        <f aca="false">IF(AND(ISNUMBER(AO185),ISNUMBER(AJ185)),IFERROR(AO185/AJ185-1,""),"")</f>
        <v>0.167123330665537</v>
      </c>
      <c r="AP216" s="27" t="n">
        <f aca="false">IF(AND(ISNUMBER(AP185),ISNUMBER(AK185)),IFERROR(AP185/AK185-1,""),"")</f>
        <v>0.173480886840472</v>
      </c>
      <c r="AQ216" s="27" t="n">
        <f aca="false">IF(AND(ISNUMBER(AQ185),ISNUMBER(AL185)),IFERROR(AQ185/AL185-1,""),"")</f>
        <v>0.152217324564492</v>
      </c>
      <c r="AR216" s="27" t="n">
        <f aca="false">IF(AND(ISNUMBER(AR185),ISNUMBER(AM185)),IFERROR(AR185/AM185-1,""),"")</f>
        <v>0.150166228500695</v>
      </c>
      <c r="AS216" s="27" t="n">
        <f aca="false">IF(AND(ISNUMBER(AS185),ISNUMBER(AN185)),IFERROR(AS185/AN185-1,""),"")</f>
        <v>0.117200236830512</v>
      </c>
      <c r="AT216" s="27" t="n">
        <f aca="false">IF(AND(ISNUMBER(AT185),ISNUMBER(AO185)),IFERROR(AT185/AO185-1,""),"")</f>
        <v>0.153112839943743</v>
      </c>
      <c r="AU216" s="27" t="n">
        <f aca="false">IF(AND(ISNUMBER(AU185),ISNUMBER(AP185)),IFERROR(AU185/AP185-1,""),"")</f>
        <v>0.108178316321025</v>
      </c>
      <c r="AV216" s="27" t="n">
        <f aca="false">IF(AND(ISNUMBER(AV185),ISNUMBER(AQ185)),IFERROR(AV185/AQ185-1,""),"")</f>
        <v>-0.256900087755965</v>
      </c>
      <c r="AW216" s="27" t="n">
        <f aca="false">IF(AND(ISNUMBER(AW185),ISNUMBER(AR185)),IFERROR(AW185/AR185-1,""),"")</f>
        <v>0.0223548891704912</v>
      </c>
      <c r="AX216" s="27" t="n">
        <f aca="false">IF(AND(ISNUMBER(AX185),ISNUMBER(AS185)),IFERROR(AX185/AS185-1,""),"")</f>
        <v>0.119920128597981</v>
      </c>
      <c r="AY216" s="27" t="n">
        <f aca="false">IF(AND(ISNUMBER(AY185),ISNUMBER(AT185)),IFERROR(AY185/AT185-1,""),"")</f>
        <v>0.00602611940298492</v>
      </c>
      <c r="AZ216" s="27" t="n">
        <f aca="false">IF(AND(ISNUMBER(AZ185),ISNUMBER(AU185)),IFERROR(AZ185/AU185-1,""),"")</f>
        <v>0.0217178048513322</v>
      </c>
      <c r="BA216" s="27" t="n">
        <f aca="false">IF(AND(ISNUMBER(BA185),ISNUMBER(AV185)),IFERROR(BA185/AV185-1,""),"")</f>
        <v>0.494789370842846</v>
      </c>
      <c r="BB216" s="27" t="n">
        <f aca="false">IF(AND(ISNUMBER(BB185),ISNUMBER(AW185)),IFERROR(BB185/AW185-1,""),"")</f>
        <v>0.135991007615377</v>
      </c>
      <c r="BC216" s="27" t="n">
        <f aca="false">IF(AND(ISNUMBER(BC185),ISNUMBER(AX185)),IFERROR(BC185/AX185-1,""),"")</f>
        <v>0.0763335837716004</v>
      </c>
      <c r="BD216" s="27" t="n">
        <f aca="false">IF(AND(ISNUMBER(BD185),ISNUMBER(AY185)),IFERROR(BD185/AY185-1,""),"")</f>
        <v>0.112507649796932</v>
      </c>
      <c r="BE216" s="27" t="n">
        <f aca="false">IF(AND(ISNUMBER(BE185),ISNUMBER(AZ185)),IFERROR(BE185/AZ185-1,""),"")</f>
        <v>0.139137126343401</v>
      </c>
      <c r="BF216" s="27" t="n">
        <f aca="false">IF(AND(ISNUMBER(BF185),ISNUMBER(BA185)),IFERROR(BF185/BA185-1,""),"")</f>
        <v>0.115330529679341</v>
      </c>
      <c r="BG216" s="27" t="n">
        <f aca="false">IF(AND(ISNUMBER(BG185),ISNUMBER(BB185)),IFERROR(BG185/BB185-1,""),"")</f>
        <v>0.110412564026874</v>
      </c>
      <c r="BH216" s="27" t="n">
        <f aca="false">IF(AND(ISNUMBER(BH185),ISNUMBER(BC185)),IFERROR(BH185/BC185-1,""),"")</f>
        <v>0.125531076989755</v>
      </c>
      <c r="BI216" s="27" t="n">
        <f aca="false">IF(AND(ISNUMBER(BI185),ISNUMBER(BD185)),IFERROR(BI185/BD185-1,""),"")</f>
        <v>0.137990239999334</v>
      </c>
      <c r="BJ216" s="27" t="n">
        <f aca="false">IF(AND(ISNUMBER(BJ185),ISNUMBER(BE185)),IFERROR(BJ185/BE185-1,""),"")</f>
        <v>0.149542600671772</v>
      </c>
      <c r="BK216" s="27" t="n">
        <f aca="false">IF(AND(ISNUMBER(BK185),ISNUMBER(BF185)),IFERROR(BK185/BF185-1,""),"")</f>
        <v>0.136270900172449</v>
      </c>
      <c r="BL216" s="27" t="n">
        <f aca="false">IF(AND(ISNUMBER(BL185),ISNUMBER(BG185)),IFERROR(BL185/BG185-1,""),"")</f>
        <v>0.137307813538833</v>
      </c>
      <c r="BM216" s="27" t="n">
        <f aca="false">IF(AND(ISNUMBER(BM185),ISNUMBER(BH185)),IFERROR(BM185/BH185-1,""),"")</f>
        <v>0.12440990362222</v>
      </c>
      <c r="BN216" s="27" t="n">
        <f aca="false">IF(AND(ISNUMBER(BN185),ISNUMBER(BI185)),IFERROR(BN185/BI185-1,""),"")</f>
        <v>0.114927985761945</v>
      </c>
      <c r="BO216" s="27" t="n">
        <f aca="false">IF(AND(ISNUMBER(BO185),ISNUMBER(BJ185)),IFERROR(BO185/BJ185-1,""),"")</f>
        <v>0.150232879703078</v>
      </c>
      <c r="BP216" s="27" t="n">
        <f aca="false">IF(AND(ISNUMBER(BP185),ISNUMBER(BK185)),IFERROR(BP185/BK185-1,""),"")</f>
        <v>0.150462424332931</v>
      </c>
      <c r="BQ216" s="27" t="n">
        <f aca="false">IF(AND(ISNUMBER(BQ185),ISNUMBER(BL185)),IFERROR(BQ185/BL185-1,""),"")</f>
        <v>0.135268777923761</v>
      </c>
      <c r="BR216" s="27" t="n">
        <f aca="false">IF(AND(ISNUMBER(BR185),ISNUMBER(BM185)),IFERROR(BR185/BM185-1,""),"")</f>
        <v>0.113385953820419</v>
      </c>
      <c r="BS216" s="27" t="n">
        <f aca="false">IF(AND(ISNUMBER(BS185),ISNUMBER(BN185)),IFERROR(BS185/BN185-1,""),"")</f>
        <v>0.184796086114673</v>
      </c>
      <c r="BT216" s="27" t="n">
        <f aca="false">IF(AND(ISNUMBER(BT185),ISNUMBER(BO185)),IFERROR(BT185/BO185-1,""),"")</f>
        <v>0.165586336272212</v>
      </c>
      <c r="BU216" s="27" t="n">
        <f aca="false">IF(AND(ISNUMBER(BU185),ISNUMBER(BP185)),IFERROR(BU185/BP185-1,""),"")</f>
        <v>0.0857551250818842</v>
      </c>
      <c r="BV216" s="27" t="n">
        <f aca="false">IF(AND(ISNUMBER(BV185),ISNUMBER(BQ185)),IFERROR(BV185/BQ185-1,""),"")</f>
        <v>0.136555029296894</v>
      </c>
      <c r="BW216" s="27" t="n">
        <f aca="false">IF(AND(ISNUMBER(BW185),ISNUMBER(BR185)),IFERROR(BW185/BR185-1,""),"")</f>
        <v>0.0999075765081665</v>
      </c>
      <c r="BX216" s="27" t="n">
        <f aca="false">IF(AND(ISNUMBER(BX185),ISNUMBER(BS185)),IFERROR(BX185/BS185-1,""),"")</f>
        <v>0.085637890143645</v>
      </c>
      <c r="BY216" s="27" t="n">
        <f aca="false">IF(AND(ISNUMBER(BY185),ISNUMBER(BT185)),IFERROR(BY185/BT185-1,""),"")</f>
        <v>0.0701234902971906</v>
      </c>
      <c r="BZ216" s="27" t="n">
        <f aca="false">IF(AND(ISNUMBER(BZ185),ISNUMBER(BU185)),IFERROR(BZ185/BU185-1,""),"")</f>
        <v>0.136869718256015</v>
      </c>
      <c r="CA216" s="27" t="n">
        <f aca="false">IF(AND(ISNUMBER(CA185),ISNUMBER(BV185)),IFERROR(CA185/BV185-1,""),"")</f>
        <v>0.098316028997421</v>
      </c>
      <c r="CB216" s="27" t="n">
        <f aca="false">IF(AND(ISNUMBER(CB185),ISNUMBER(BW185)),IFERROR(CB185/BW185-1,""),"")</f>
        <v>0.147660111105733</v>
      </c>
      <c r="CC216" s="28" t="n">
        <f aca="false">IFERROR(CC185/BX185-1,"")</f>
        <v>0.067833829499524</v>
      </c>
      <c r="CD216" s="28" t="n">
        <f aca="false">IFERROR(CD185/BY185-1,"")</f>
        <v>0.134837697845747</v>
      </c>
      <c r="CE216" s="28" t="n">
        <f aca="false">IFERROR(CE185/BZ185-1,"")</f>
        <v>0.168641309055463</v>
      </c>
      <c r="CF216" s="28" t="n">
        <f aca="false">IFERROR(CF185/CA185-1,"")</f>
        <v>0.129554987865381</v>
      </c>
      <c r="CG216" s="28" t="n">
        <f aca="false">IFERROR(CG185/CF185-1,"")</f>
        <v>0.19635554503735</v>
      </c>
      <c r="CH216" s="28" t="n">
        <f aca="false">IFERROR(CH185/CG185-1,"")</f>
        <v>0.120777022759835</v>
      </c>
      <c r="CI216" s="28" t="n">
        <f aca="false">IFERROR(CI185/CH185-1,"")</f>
        <v>0.114428983046963</v>
      </c>
      <c r="CJ216" s="28" t="n">
        <f aca="false">IFERROR(CJ185/CI185-1,"")</f>
        <v>0.0938932621471575</v>
      </c>
      <c r="CK216" s="23"/>
    </row>
    <row r="217" customFormat="false" ht="15" hidden="false" customHeight="true" outlineLevel="0" collapsed="false">
      <c r="B217" s="26" t="s">
        <v>506</v>
      </c>
      <c r="D217" s="27" t="n">
        <f aca="false">IF(AND(ISNUMBER(D143),ISNUMBER(C143)),IFERROR(D143/C143-1,""),"")</f>
        <v>0.0558830951762677</v>
      </c>
      <c r="E217" s="27" t="n">
        <f aca="false">IF(AND(ISNUMBER(E143),ISNUMBER(D143)),IFERROR(E143/D143-1,""),"")</f>
        <v>0.000100450816335806</v>
      </c>
      <c r="F217" s="27" t="n">
        <f aca="false">IF(AND(ISNUMBER(F143),ISNUMBER(E143)),IFERROR(F143/E143-1,""),"")</f>
        <v>-0.291607138218562</v>
      </c>
      <c r="G217" s="27" t="n">
        <f aca="false">IF(AND(ISNUMBER(G143),ISNUMBER(F143)),IFERROR(G143/F143-1,""),"")</f>
        <v>-0.0446286042560472</v>
      </c>
      <c r="H217" s="27" t="n">
        <f aca="false">IF(AND(ISNUMBER(H143),ISNUMBER(G143)),IFERROR(H143/G143-1,""),"")</f>
        <v>0.12674733693441</v>
      </c>
      <c r="I217" s="27" t="n">
        <f aca="false">IF(AND(ISNUMBER(I143),ISNUMBER(H143)),IFERROR(I143/H143-1,""),"")</f>
        <v>0.225469690672953</v>
      </c>
      <c r="N217" s="27" t="n">
        <f aca="false">IF(AND(ISNUMBER(N143),ISNUMBER(I143)),IFERROR(N143/I143-1,""),"")</f>
        <v>0.0474105261597351</v>
      </c>
      <c r="O217" s="27" t="n">
        <f aca="false">IF(AND(ISNUMBER(O143),ISNUMBER(J143)),IFERROR(O143/J143-1,""),"")</f>
        <v>0.00557095065114077</v>
      </c>
      <c r="P217" s="27" t="n">
        <f aca="false">IF(AND(ISNUMBER(P143),ISNUMBER(K143)),IFERROR(P143/K143-1,""),"")</f>
        <v>0.100335915639858</v>
      </c>
      <c r="Q217" s="27" t="n">
        <f aca="false">IF(AND(ISNUMBER(Q143),ISNUMBER(L143)),IFERROR(Q143/L143-1,""),"")</f>
        <v>0.128842380640942</v>
      </c>
      <c r="R217" s="27" t="n">
        <f aca="false">IF(AND(ISNUMBER(R143),ISNUMBER(M143)),IFERROR(R143/M143-1,""),"")</f>
        <v>-0.195390944362485</v>
      </c>
      <c r="S217" s="27" t="n">
        <f aca="false">IF(AND(ISNUMBER(S143),ISNUMBER(N143)),IFERROR(S143/N143-1,""),"")</f>
        <v>0.00318288214489892</v>
      </c>
      <c r="T217" s="27" t="n">
        <f aca="false">IF(AND(ISNUMBER(T143),ISNUMBER(O143)),IFERROR(T143/O143-1,""),"")</f>
        <v>0.167187834654102</v>
      </c>
      <c r="U217" s="27" t="n">
        <f aca="false">IF(AND(ISNUMBER(U143),ISNUMBER(P143)),IFERROR(U143/P143-1,""),"")</f>
        <v>0.184367073712836</v>
      </c>
      <c r="V217" s="27" t="n">
        <f aca="false">IF(AND(ISNUMBER(V143),ISNUMBER(Q143)),IFERROR(V143/Q143-1,""),"")</f>
        <v>0.156197972855982</v>
      </c>
      <c r="W217" s="27" t="n">
        <f aca="false">IF(AND(ISNUMBER(W143),ISNUMBER(R143)),IFERROR(W143/R143-1,""),"")</f>
        <v>0.435463547808668</v>
      </c>
      <c r="X217" s="27" t="n">
        <f aca="false">IF(AND(ISNUMBER(X143),ISNUMBER(S143)),IFERROR(X143/S143-1,""),"")</f>
        <v>0.228209379023298</v>
      </c>
      <c r="Y217" s="27" t="n">
        <f aca="false">IF(AND(ISNUMBER(Y143),ISNUMBER(T143)),IFERROR(Y143/T143-1,""),"")</f>
        <v>0.134682667841066</v>
      </c>
      <c r="Z217" s="27" t="n">
        <f aca="false">IF(AND(ISNUMBER(Z143),ISNUMBER(U143)),IFERROR(Z143/U143-1,""),"")</f>
        <v>0.10583137850145</v>
      </c>
      <c r="AA217" s="27" t="n">
        <f aca="false">IF(AND(ISNUMBER(AA143),ISNUMBER(V143)),IFERROR(AA143/V143-1,""),"")</f>
        <v>0.111365822471302</v>
      </c>
      <c r="AB217" s="27" t="n">
        <f aca="false">IF(AND(ISNUMBER(AB143),ISNUMBER(W143)),IFERROR(AB143/W143-1,""),"")</f>
        <v>0.141915045661971</v>
      </c>
      <c r="AC217" s="27" t="n">
        <f aca="false">IF(AND(ISNUMBER(AC143),ISNUMBER(X143)),IFERROR(AC143/X143-1,""),"")</f>
        <v>0.122544718821033</v>
      </c>
      <c r="AD217" s="27" t="n">
        <f aca="false">IF(AND(ISNUMBER(AD143),ISNUMBER(Y143)),IFERROR(AD143/Y143-1,""),"")</f>
        <v>0.115650622348483</v>
      </c>
      <c r="AE217" s="27" t="n">
        <f aca="false">IF(AND(ISNUMBER(AE143),ISNUMBER(Z143)),IFERROR(AE143/Z143-1,""),"")</f>
        <v>0.0125231471082963</v>
      </c>
      <c r="AF217" s="27" t="n">
        <f aca="false">IF(AND(ISNUMBER(AF143),ISNUMBER(AA143)),IFERROR(AF143/AA143-1,""),"")</f>
        <v>0.00903333471536927</v>
      </c>
      <c r="AG217" s="27" t="n">
        <f aca="false">IF(AND(ISNUMBER(AG143),ISNUMBER(AB143)),IFERROR(AG143/AB143-1,""),"")</f>
        <v>-0.126303340888933</v>
      </c>
      <c r="AH217" s="27" t="n">
        <f aca="false">IF(AND(ISNUMBER(AH143),ISNUMBER(AC143)),IFERROR(AH143/AC143-1,""),"")</f>
        <v>-0.0103063902945694</v>
      </c>
      <c r="AI217" s="27" t="n">
        <f aca="false">IF(AND(ISNUMBER(AI143),ISNUMBER(AD143)),IFERROR(AI143/AD143-1,""),"")</f>
        <v>0.203603577485612</v>
      </c>
      <c r="AJ217" s="27" t="n">
        <f aca="false">IF(AND(ISNUMBER(AJ143),ISNUMBER(AE143)),IFERROR(AJ143/AE143-1,""),"")</f>
        <v>0.159485945834032</v>
      </c>
      <c r="AK217" s="27" t="n">
        <f aca="false">IF(AND(ISNUMBER(AK143),ISNUMBER(AF143)),IFERROR(AK143/AF143-1,""),"")</f>
        <v>0.0273710162048331</v>
      </c>
      <c r="AL217" s="27" t="n">
        <f aca="false">IF(AND(ISNUMBER(AL143),ISNUMBER(AG143)),IFERROR(AL143/AG143-1,""),"")</f>
        <v>0.497394364608478</v>
      </c>
      <c r="AM217" s="27" t="n">
        <f aca="false">IF(AND(ISNUMBER(AM143),ISNUMBER(AH143)),IFERROR(AM143/AH143-1,""),"")</f>
        <v>0.227665825245478</v>
      </c>
      <c r="AN217" s="27" t="n">
        <f aca="false">IF(AND(ISNUMBER(AN143),ISNUMBER(AI143)),IFERROR(AN143/AI143-1,""),"")</f>
        <v>0.0647493566814796</v>
      </c>
      <c r="AO217" s="27" t="n">
        <f aca="false">IF(AND(ISNUMBER(AO143),ISNUMBER(AJ143)),IFERROR(AO143/AJ143-1,""),"")</f>
        <v>0.1718839680117</v>
      </c>
      <c r="AP217" s="27" t="n">
        <f aca="false">IF(AND(ISNUMBER(AP143),ISNUMBER(AK143)),IFERROR(AP143/AK143-1,""),"")</f>
        <v>0.391108067031956</v>
      </c>
      <c r="AQ217" s="27" t="n">
        <f aca="false">IF(AND(ISNUMBER(AQ143),ISNUMBER(AL143)),IFERROR(AQ143/AL143-1,""),"")</f>
        <v>0.184222222222223</v>
      </c>
      <c r="AR217" s="27" t="n">
        <f aca="false">IF(AND(ISNUMBER(AR143),ISNUMBER(AM143)),IFERROR(AR143/AM143-1,""),"")</f>
        <v>0.193402215545032</v>
      </c>
      <c r="AS217" s="27" t="n">
        <f aca="false">IF(AND(ISNUMBER(AS143),ISNUMBER(AN143)),IFERROR(AS143/AN143-1,""),"")</f>
        <v>0.154274812614053</v>
      </c>
      <c r="AT217" s="27" t="n">
        <f aca="false">IF(AND(ISNUMBER(AT143),ISNUMBER(AO143)),IFERROR(AT143/AO143-1,""),"")</f>
        <v>0.213408794079234</v>
      </c>
      <c r="AU217" s="27" t="n">
        <f aca="false">IF(AND(ISNUMBER(AU143),ISNUMBER(AP143)),IFERROR(AU143/AP143-1,""),"")</f>
        <v>0.130804477906956</v>
      </c>
      <c r="AV217" s="27" t="n">
        <f aca="false">IF(AND(ISNUMBER(AV143),ISNUMBER(AQ143)),IFERROR(AV143/AQ143-1,""),"")</f>
        <v>-0.340245729316086</v>
      </c>
      <c r="AW217" s="27" t="n">
        <f aca="false">IF(AND(ISNUMBER(AW143),ISNUMBER(AR143)),IFERROR(AW143/AR143-1,""),"")</f>
        <v>0.0257266213452796</v>
      </c>
      <c r="AX217" s="27" t="n">
        <f aca="false">IF(AND(ISNUMBER(AX143),ISNUMBER(AS143)),IFERROR(AX143/AS143-1,""),"")</f>
        <v>0.142285053536548</v>
      </c>
      <c r="AY217" s="27" t="n">
        <f aca="false">IF(AND(ISNUMBER(AY143),ISNUMBER(AT143)),IFERROR(AY143/AT143-1,""),"")</f>
        <v>0.0550373134328357</v>
      </c>
      <c r="AZ217" s="27" t="n">
        <f aca="false">IF(AND(ISNUMBER(AZ143),ISNUMBER(AU143)),IFERROR(AZ143/AU143-1,""),"")</f>
        <v>0.0375525977905757</v>
      </c>
      <c r="BA217" s="27" t="n">
        <f aca="false">IF(AND(ISNUMBER(BA143),ISNUMBER(AV143)),IFERROR(BA143/AV143-1,""),"")</f>
        <v>0.718358610449589</v>
      </c>
      <c r="BB217" s="27" t="n">
        <f aca="false">IF(AND(ISNUMBER(BB143),ISNUMBER(AW143)),IFERROR(BB143/AW143-1,""),"")</f>
        <v>0.191620165546282</v>
      </c>
      <c r="BC217" s="27" t="n">
        <f aca="false">IF(AND(ISNUMBER(BC143),ISNUMBER(AX143)),IFERROR(BC143/AX143-1,""),"")</f>
        <v>0.126949494718421</v>
      </c>
      <c r="BD217" s="27" t="n">
        <f aca="false">IF(AND(ISNUMBER(BD143),ISNUMBER(AY143)),IFERROR(BD143/AY143-1,""),"")</f>
        <v>0.0803577501190229</v>
      </c>
      <c r="BE217" s="27" t="n">
        <f aca="false">IF(AND(ISNUMBER(BE143),ISNUMBER(AZ143)),IFERROR(BE143/AZ143-1,""),"")</f>
        <v>0.24852971807344</v>
      </c>
      <c r="BF217" s="27" t="n">
        <f aca="false">IF(AND(ISNUMBER(BF143),ISNUMBER(BA143)),IFERROR(BF143/BA143-1,""),"")</f>
        <v>0.134634699225128</v>
      </c>
      <c r="BG217" s="27" t="n">
        <f aca="false">IF(AND(ISNUMBER(BG143),ISNUMBER(BB143)),IFERROR(BG143/BB143-1,""),"")</f>
        <v>0.14570852808966</v>
      </c>
      <c r="BH217" s="27" t="n">
        <f aca="false">IF(AND(ISNUMBER(BH143),ISNUMBER(BC143)),IFERROR(BH143/BC143-1,""),"")</f>
        <v>0.11676955907242</v>
      </c>
      <c r="BI217" s="27" t="n">
        <f aca="false">IF(AND(ISNUMBER(BI143),ISNUMBER(BD143)),IFERROR(BI143/BD143-1,""),"")</f>
        <v>0.167107347833843</v>
      </c>
      <c r="BJ217" s="27" t="n">
        <f aca="false">IF(AND(ISNUMBER(BJ143),ISNUMBER(BE143)),IFERROR(BJ143/BE143-1,""),"")</f>
        <v>0.0961887121109895</v>
      </c>
      <c r="BK217" s="27" t="n">
        <f aca="false">IF(AND(ISNUMBER(BK143),ISNUMBER(BF143)),IFERROR(BK143/BF143-1,""),"")</f>
        <v>0.164085294088558</v>
      </c>
      <c r="BL217" s="27" t="n">
        <f aca="false">IF(AND(ISNUMBER(BL143),ISNUMBER(BG143)),IFERROR(BL143/BG143-1,""),"")</f>
        <v>0.135629374373965</v>
      </c>
      <c r="BM217" s="27" t="n">
        <f aca="false">IF(AND(ISNUMBER(BM143),ISNUMBER(BH143)),IFERROR(BM143/BH143-1,""),"")</f>
        <v>0.137317095337635</v>
      </c>
      <c r="BN217" s="27" t="n">
        <f aca="false">IF(AND(ISNUMBER(BN143),ISNUMBER(BI143)),IFERROR(BN143/BI143-1,""),"")</f>
        <v>0.123049710743616</v>
      </c>
      <c r="BO217" s="27" t="n">
        <f aca="false">IF(AND(ISNUMBER(BO143),ISNUMBER(BJ143)),IFERROR(BO143/BJ143-1,""),"")</f>
        <v>0.165590897290135</v>
      </c>
      <c r="BP217" s="27" t="n">
        <f aca="false">IF(AND(ISNUMBER(BP143),ISNUMBER(BK143)),IFERROR(BP143/BK143-1,""),"")</f>
        <v>0.163118789799447</v>
      </c>
      <c r="BQ217" s="27" t="n">
        <f aca="false">IF(AND(ISNUMBER(BQ143),ISNUMBER(BL143)),IFERROR(BQ143/BL143-1,""),"")</f>
        <v>0.147542193109753</v>
      </c>
      <c r="BR217" s="27" t="n">
        <f aca="false">IF(AND(ISNUMBER(BR143),ISNUMBER(BM143)),IFERROR(BR143/BM143-1,""),"")</f>
        <v>0.120815652993871</v>
      </c>
      <c r="BS217" s="27" t="n">
        <f aca="false">IF(AND(ISNUMBER(BS143),ISNUMBER(BN143)),IFERROR(BS143/BN143-1,""),"")</f>
        <v>0.183530358247128</v>
      </c>
      <c r="BT217" s="27" t="n">
        <f aca="false">IF(AND(ISNUMBER(BT143),ISNUMBER(BO143)),IFERROR(BT143/BO143-1,""),"")</f>
        <v>0.170992703533027</v>
      </c>
      <c r="BU217" s="27" t="n">
        <f aca="false">IF(AND(ISNUMBER(BU143),ISNUMBER(BP143)),IFERROR(BU143/BP143-1,""),"")</f>
        <v>0.0910492079898615</v>
      </c>
      <c r="BV217" s="27" t="n">
        <f aca="false">IF(AND(ISNUMBER(BV143),ISNUMBER(BQ143)),IFERROR(BV143/BQ143-1,""),"")</f>
        <v>0.140717565658094</v>
      </c>
      <c r="BW217" s="27" t="n">
        <f aca="false">IF(AND(ISNUMBER(BW143),ISNUMBER(BR143)),IFERROR(BW143/BR143-1,""),"")</f>
        <v>0.101292085464083</v>
      </c>
      <c r="BX217" s="27" t="n">
        <f aca="false">IF(AND(ISNUMBER(BX143),ISNUMBER(BS143)),IFERROR(BX143/BS143-1,""),"")</f>
        <v>0.108767480004735</v>
      </c>
      <c r="BY217" s="27" t="n">
        <f aca="false">IF(AND(ISNUMBER(BY143),ISNUMBER(BT143)),IFERROR(BY143/BT143-1,""),"")</f>
        <v>0.0820705973406704</v>
      </c>
      <c r="BZ217" s="27" t="n">
        <f aca="false">IF(AND(ISNUMBER(BZ143),ISNUMBER(BU143)),IFERROR(BZ143/BU143-1,""),"")</f>
        <v>0.126508907828579</v>
      </c>
      <c r="CA217" s="27" t="n">
        <f aca="false">IF(AND(ISNUMBER(CA143),ISNUMBER(BV143)),IFERROR(CA143/BV143-1,""),"")</f>
        <v>0.104582481186375</v>
      </c>
      <c r="CB217" s="27" t="n">
        <f aca="false">IF(AND(ISNUMBER(CB143),ISNUMBER(BW143)),IFERROR(CB143/BW143-1,""),"")</f>
        <v>0.152183588812334</v>
      </c>
      <c r="CC217" s="28" t="n">
        <f aca="false">IFERROR(CC143/BX143-1,"")</f>
        <v>0.0585374430116992</v>
      </c>
      <c r="CD217" s="28" t="n">
        <f aca="false">IFERROR(CD143/BY143-1,"")</f>
        <v>-0.0608635626863433</v>
      </c>
      <c r="CE217" s="28" t="n">
        <f aca="false">IFERROR(CE143/BZ143-1,"")</f>
        <v>0.0919012251664164</v>
      </c>
      <c r="CF217" s="28" t="n">
        <f aca="false">IFERROR(CF143/CA143-1,"")</f>
        <v>0.0591213290082235</v>
      </c>
      <c r="CG217" s="28" t="n">
        <f aca="false">IFERROR(CG143/CF143-1,"")</f>
        <v>0.186481192518793</v>
      </c>
      <c r="CH217" s="28" t="n">
        <f aca="false">IFERROR(CH143/CG143-1,"")</f>
        <v>0.154457477659157</v>
      </c>
      <c r="CI217" s="28" t="n">
        <f aca="false">IFERROR(CI143/CH143-1,"")</f>
        <v>0.149704532953838</v>
      </c>
      <c r="CJ217" s="28" t="n">
        <f aca="false">IFERROR(CJ143/CI143-1,"")</f>
        <v>0.107592250208444</v>
      </c>
      <c r="CK217" s="23"/>
    </row>
    <row r="218" customFormat="false" ht="15" hidden="false" customHeight="true" outlineLevel="0" collapsed="false">
      <c r="B218" s="26" t="s">
        <v>507</v>
      </c>
      <c r="D218" s="27" t="n">
        <f aca="false">IF(AND(ISNUMBER(D154),ISNUMBER(C154)),IFERROR(D154/C154-1,""),"")</f>
        <v>0.0224954000574609</v>
      </c>
      <c r="E218" s="27" t="n">
        <f aca="false">IF(AND(ISNUMBER(E154),ISNUMBER(D154)),IFERROR(E154/D154-1,""),"")</f>
        <v>0.00259163383531869</v>
      </c>
      <c r="F218" s="27" t="n">
        <f aca="false">IF(AND(ISNUMBER(F154),ISNUMBER(E154)),IFERROR(F154/E154-1,""),"")</f>
        <v>-0.325123358327991</v>
      </c>
      <c r="G218" s="27" t="n">
        <f aca="false">IF(AND(ISNUMBER(G154),ISNUMBER(F154)),IFERROR(G154/F154-1,""),"")</f>
        <v>-0.0474339207535001</v>
      </c>
      <c r="H218" s="27" t="n">
        <f aca="false">IF(AND(ISNUMBER(H154),ISNUMBER(G154)),IFERROR(H154/G154-1,""),"")</f>
        <v>0.145482793803913</v>
      </c>
      <c r="I218" s="27" t="n">
        <f aca="false">IF(AND(ISNUMBER(I154),ISNUMBER(H154)),IFERROR(I154/H154-1,""),"")</f>
        <v>0.205061763884223</v>
      </c>
      <c r="N218" s="27" t="n">
        <f aca="false">IF(AND(ISNUMBER(N154),ISNUMBER(I154)),IFERROR(N154/I154-1,""),"")</f>
        <v>0.0598211915857214</v>
      </c>
      <c r="O218" s="27" t="n">
        <f aca="false">IF(AND(ISNUMBER(O154),ISNUMBER(J154)),IFERROR(O154/J154-1,""),"")</f>
        <v>0.013305878826581</v>
      </c>
      <c r="P218" s="27" t="n">
        <f aca="false">IF(AND(ISNUMBER(P154),ISNUMBER(K154)),IFERROR(P154/K154-1,""),"")</f>
        <v>0.0875978827841644</v>
      </c>
      <c r="Q218" s="27" t="n">
        <f aca="false">IF(AND(ISNUMBER(Q154),ISNUMBER(L154)),IFERROR(Q154/L154-1,""),"")</f>
        <v>0.132481092296366</v>
      </c>
      <c r="R218" s="27" t="n">
        <f aca="false">IF(AND(ISNUMBER(R154),ISNUMBER(M154)),IFERROR(R154/M154-1,""),"")</f>
        <v>0.479744582853554</v>
      </c>
      <c r="S218" s="27" t="n">
        <f aca="false">IF(AND(ISNUMBER(S154),ISNUMBER(N154)),IFERROR(S154/N154-1,""),"")</f>
        <v>0.18703913873232</v>
      </c>
      <c r="T218" s="27" t="n">
        <f aca="false">IF(AND(ISNUMBER(T154),ISNUMBER(O154)),IFERROR(T154/O154-1,""),"")</f>
        <v>0.41610720991846</v>
      </c>
      <c r="U218" s="27" t="n">
        <f aca="false">IF(AND(ISNUMBER(U154),ISNUMBER(P154)),IFERROR(U154/P154-1,""),"")</f>
        <v>0.41891541561594</v>
      </c>
      <c r="V218" s="27" t="n">
        <f aca="false">IF(AND(ISNUMBER(V154),ISNUMBER(Q154)),IFERROR(V154/Q154-1,""),"")</f>
        <v>0.121521949835701</v>
      </c>
      <c r="W218" s="27" t="n">
        <f aca="false">IF(AND(ISNUMBER(W154),ISNUMBER(R154)),IFERROR(W154/R154-1,""),"")</f>
        <v>-0.172994089165566</v>
      </c>
      <c r="X218" s="27" t="n">
        <f aca="false">IF(AND(ISNUMBER(X154),ISNUMBER(S154)),IFERROR(X154/S154-1,""),"")</f>
        <v>0.150025905213626</v>
      </c>
      <c r="Y218" s="27" t="n">
        <f aca="false">IF(AND(ISNUMBER(Y154),ISNUMBER(T154)),IFERROR(Y154/T154-1,""),"")</f>
        <v>-0.0901569368256608</v>
      </c>
      <c r="Z218" s="27" t="n">
        <f aca="false">IF(AND(ISNUMBER(Z154),ISNUMBER(U154)),IFERROR(Z154/U154-1,""),"")</f>
        <v>1.86599342258247</v>
      </c>
      <c r="AA218" s="27" t="n">
        <f aca="false">IF(AND(ISNUMBER(AA154),ISNUMBER(V154)),IFERROR(AA154/V154-1,""),"")</f>
        <v>0.236691504273685</v>
      </c>
      <c r="AB218" s="27" t="n">
        <f aca="false">IF(AND(ISNUMBER(AB154),ISNUMBER(W154)),IFERROR(AB154/W154-1,""),"")</f>
        <v>0.244100175830441</v>
      </c>
      <c r="AC218" s="27" t="n">
        <f aca="false">IF(AND(ISNUMBER(AC154),ISNUMBER(X154)),IFERROR(AC154/X154-1,""),"")</f>
        <v>0.610522551309974</v>
      </c>
      <c r="AD218" s="27" t="n">
        <f aca="false">IF(AND(ISNUMBER(AD154),ISNUMBER(Y154)),IFERROR(AD154/Y154-1,""),"")</f>
        <v>0.378415068725606</v>
      </c>
      <c r="AE218" s="27" t="n">
        <f aca="false">IF(AND(ISNUMBER(AE154),ISNUMBER(Z154)),IFERROR(AE154/Z154-1,""),"")</f>
        <v>-0.593228049840626</v>
      </c>
      <c r="AF218" s="27" t="n">
        <f aca="false">IF(AND(ISNUMBER(AF154),ISNUMBER(AA154)),IFERROR(AF154/AA154-1,""),"")</f>
        <v>0.0056587211631054</v>
      </c>
      <c r="AG218" s="27" t="n">
        <f aca="false">IF(AND(ISNUMBER(AG154),ISNUMBER(AB154)),IFERROR(AG154/AB154-1,""),"")</f>
        <v>-0.356468395239041</v>
      </c>
      <c r="AH218" s="27" t="n">
        <f aca="false">IF(AND(ISNUMBER(AH154),ISNUMBER(AC154)),IFERROR(AH154/AC154-1,""),"")</f>
        <v>-0.306857769062174</v>
      </c>
      <c r="AI218" s="27" t="n">
        <f aca="false">IF(AND(ISNUMBER(AI154),ISNUMBER(AD154)),IFERROR(AI154/AD154-1,""),"")</f>
        <v>0.572955514841661</v>
      </c>
      <c r="AJ218" s="27" t="n">
        <f aca="false">IF(AND(ISNUMBER(AJ154),ISNUMBER(AE154)),IFERROR(AJ154/AE154-1,""),"")</f>
        <v>-0.0232801669789211</v>
      </c>
      <c r="AK218" s="27" t="n">
        <f aca="false">IF(AND(ISNUMBER(AK154),ISNUMBER(AF154)),IFERROR(AK154/AF154-1,""),"")</f>
        <v>1.56001864327783</v>
      </c>
      <c r="AL218" s="27" t="n">
        <f aca="false">IF(AND(ISNUMBER(AL154),ISNUMBER(AG154)),IFERROR(AL154/AG154-1,""),"")</f>
        <v>1.21008582926742</v>
      </c>
      <c r="AM218" s="27" t="n">
        <f aca="false">IF(AND(ISNUMBER(AM154),ISNUMBER(AH154)),IFERROR(AM154/AH154-1,""),"")</f>
        <v>0.752802116877604</v>
      </c>
      <c r="AN218" s="27" t="n">
        <f aca="false">IF(AND(ISNUMBER(AN154),ISNUMBER(AI154)),IFERROR(AN154/AI154-1,""),"")</f>
        <v>-0.0216195312392103</v>
      </c>
      <c r="AO218" s="27" t="n">
        <f aca="false">IF(AND(ISNUMBER(AO154),ISNUMBER(AJ154)),IFERROR(AO154/AJ154-1,""),"")</f>
        <v>0.772407354732366</v>
      </c>
      <c r="AP218" s="27" t="n">
        <f aca="false">IF(AND(ISNUMBER(AP154),ISNUMBER(AK154)),IFERROR(AP154/AK154-1,""),"")</f>
        <v>-0.326920339628263</v>
      </c>
      <c r="AQ218" s="27" t="n">
        <f aca="false">IF(AND(ISNUMBER(AQ154),ISNUMBER(AL154)),IFERROR(AQ154/AL154-1,""),"")</f>
        <v>0.214576921217591</v>
      </c>
      <c r="AR218" s="27" t="n">
        <f aca="false">IF(AND(ISNUMBER(AR154),ISNUMBER(AM154)),IFERROR(AR154/AM154-1,""),"")</f>
        <v>0.0503153387310018</v>
      </c>
      <c r="AS218" s="27" t="n">
        <f aca="false">IF(AND(ISNUMBER(AS154),ISNUMBER(AN154)),IFERROR(AS154/AN154-1,""),"")</f>
        <v>0.180208455873704</v>
      </c>
      <c r="AT218" s="27" t="n">
        <f aca="false">IF(AND(ISNUMBER(AT154),ISNUMBER(AO154)),IFERROR(AT154/AO154-1,""),"")</f>
        <v>0.0127853242419129</v>
      </c>
      <c r="AU218" s="27" t="n">
        <f aca="false">IF(AND(ISNUMBER(AU154),ISNUMBER(AP154)),IFERROR(AU154/AP154-1,""),"")</f>
        <v>0.153373267628631</v>
      </c>
      <c r="AV218" s="27" t="n">
        <f aca="false">IF(AND(ISNUMBER(AV154),ISNUMBER(AQ154)),IFERROR(AV154/AQ154-1,""),"")</f>
        <v>-0.360580048558503</v>
      </c>
      <c r="AW218" s="27" t="n">
        <f aca="false">IF(AND(ISNUMBER(AW154),ISNUMBER(AR154)),IFERROR(AW154/AR154-1,""),"")</f>
        <v>-0.0101064316635043</v>
      </c>
      <c r="AX218" s="27" t="n">
        <f aca="false">IF(AND(ISNUMBER(AX154),ISNUMBER(AS154)),IFERROR(AX154/AS154-1,""),"")</f>
        <v>0.196134953670479</v>
      </c>
      <c r="AY218" s="27" t="n">
        <f aca="false">IF(AND(ISNUMBER(AY154),ISNUMBER(AT154)),IFERROR(AY154/AT154-1,""),"")</f>
        <v>0.157390703721762</v>
      </c>
      <c r="AZ218" s="27" t="n">
        <f aca="false">IF(AND(ISNUMBER(AZ154),ISNUMBER(AU154)),IFERROR(AZ154/AU154-1,""),"")</f>
        <v>0.101756779805561</v>
      </c>
      <c r="BA218" s="27" t="n">
        <f aca="false">IF(AND(ISNUMBER(BA154),ISNUMBER(AV154)),IFERROR(BA154/AV154-1,""),"")</f>
        <v>0.851658194141854</v>
      </c>
      <c r="BB218" s="27" t="n">
        <f aca="false">IF(AND(ISNUMBER(BB154),ISNUMBER(AW154)),IFERROR(BB154/AW154-1,""),"")</f>
        <v>0.268174746043832</v>
      </c>
      <c r="BC218" s="27" t="n">
        <f aca="false">IF(AND(ISNUMBER(BC154),ISNUMBER(AX154)),IFERROR(BC154/AX154-1,""),"")</f>
        <v>0.103911601473309</v>
      </c>
      <c r="BD218" s="27" t="n">
        <f aca="false">IF(AND(ISNUMBER(BD154),ISNUMBER(AY154)),IFERROR(BD154/AY154-1,""),"")</f>
        <v>0.0344453532825237</v>
      </c>
      <c r="BE218" s="27" t="n">
        <f aca="false">IF(AND(ISNUMBER(BE154),ISNUMBER(AZ154)),IFERROR(BE154/AZ154-1,""),"")</f>
        <v>0.220849588209796</v>
      </c>
      <c r="BF218" s="27" t="n">
        <f aca="false">IF(AND(ISNUMBER(BF154),ISNUMBER(BA154)),IFERROR(BF154/BA154-1,""),"")</f>
        <v>0.0998759907665416</v>
      </c>
      <c r="BG218" s="27" t="n">
        <f aca="false">IF(AND(ISNUMBER(BG154),ISNUMBER(BB154)),IFERROR(BG154/BB154-1,""),"")</f>
        <v>0.112324567404281</v>
      </c>
      <c r="BH218" s="27" t="n">
        <f aca="false">IF(AND(ISNUMBER(BH154),ISNUMBER(BC154)),IFERROR(BH154/BC154-1,""),"")</f>
        <v>0.0619302552396135</v>
      </c>
      <c r="BI218" s="27" t="n">
        <f aca="false">IF(AND(ISNUMBER(BI154),ISNUMBER(BD154)),IFERROR(BI154/BD154-1,""),"")</f>
        <v>0.100533140574679</v>
      </c>
      <c r="BJ218" s="27" t="n">
        <f aca="false">IF(AND(ISNUMBER(BJ154),ISNUMBER(BE154)),IFERROR(BJ154/BE154-1,""),"")</f>
        <v>0.0329024118079682</v>
      </c>
      <c r="BK218" s="27" t="n">
        <f aca="false">IF(AND(ISNUMBER(BK154),ISNUMBER(BF154)),IFERROR(BK154/BF154-1,""),"")</f>
        <v>0.175710875124379</v>
      </c>
      <c r="BL218" s="27" t="n">
        <f aca="false">IF(AND(ISNUMBER(BL154),ISNUMBER(BG154)),IFERROR(BL154/BG154-1,""),"")</f>
        <v>0.0908374381047408</v>
      </c>
      <c r="BM218" s="27" t="n">
        <f aca="false">IF(AND(ISNUMBER(BM154),ISNUMBER(BH154)),IFERROR(BM154/BH154-1,""),"")</f>
        <v>0.0949588983448442</v>
      </c>
      <c r="BN218" s="27" t="n">
        <f aca="false">IF(AND(ISNUMBER(BN154),ISNUMBER(BI154)),IFERROR(BN154/BI154-1,""),"")</f>
        <v>0.155168320006908</v>
      </c>
      <c r="BO218" s="27" t="n">
        <f aca="false">IF(AND(ISNUMBER(BO154),ISNUMBER(BJ154)),IFERROR(BO154/BJ154-1,""),"")</f>
        <v>0.22021502208227</v>
      </c>
      <c r="BP218" s="27" t="n">
        <f aca="false">IF(AND(ISNUMBER(BP154),ISNUMBER(BK154)),IFERROR(BP154/BK154-1,""),"")</f>
        <v>0.196746976467427</v>
      </c>
      <c r="BQ218" s="27" t="n">
        <f aca="false">IF(AND(ISNUMBER(BQ154),ISNUMBER(BL154)),IFERROR(BQ154/BL154-1,""),"")</f>
        <v>0.165860787382883</v>
      </c>
      <c r="BR218" s="27" t="n">
        <f aca="false">IF(AND(ISNUMBER(BR154),ISNUMBER(BM154)),IFERROR(BR154/BM154-1,""),"")</f>
        <v>0.173852526065674</v>
      </c>
      <c r="BS218" s="27" t="n">
        <f aca="false">IF(AND(ISNUMBER(BS154),ISNUMBER(BN154)),IFERROR(BS154/BN154-1,""),"")</f>
        <v>0.197222199977042</v>
      </c>
      <c r="BT218" s="27" t="n">
        <f aca="false">IF(AND(ISNUMBER(BT154),ISNUMBER(BO154)),IFERROR(BT154/BO154-1,""),"")</f>
        <v>0.165798495393369</v>
      </c>
      <c r="BU218" s="27" t="n">
        <f aca="false">IF(AND(ISNUMBER(BU154),ISNUMBER(BP154)),IFERROR(BU154/BP154-1,""),"")</f>
        <v>0.0819207607738082</v>
      </c>
      <c r="BV218" s="27" t="n">
        <f aca="false">IF(AND(ISNUMBER(BV154),ISNUMBER(BQ154)),IFERROR(BV154/BQ154-1,""),"")</f>
        <v>0.153149799693559</v>
      </c>
      <c r="BW218" s="27" t="n">
        <f aca="false">IF(AND(ISNUMBER(BW154),ISNUMBER(BR154)),IFERROR(BW154/BR154-1,""),"")</f>
        <v>0.0865135952463645</v>
      </c>
      <c r="BX218" s="27" t="n">
        <f aca="false">IF(AND(ISNUMBER(BX154),ISNUMBER(BS154)),IFERROR(BX154/BS154-1,""),"")</f>
        <v>0.104456014002386</v>
      </c>
      <c r="BY218" s="27" t="n">
        <f aca="false">IF(AND(ISNUMBER(BY154),ISNUMBER(BT154)),IFERROR(BY154/BT154-1,""),"")</f>
        <v>0.0841407819252331</v>
      </c>
      <c r="BZ218" s="27" t="n">
        <f aca="false">IF(AND(ISNUMBER(BZ154),ISNUMBER(BU154)),IFERROR(BZ154/BU154-1,""),"")</f>
        <v>0.139949046973158</v>
      </c>
      <c r="CA218" s="27" t="n">
        <f aca="false">IF(AND(ISNUMBER(CA154),ISNUMBER(BV154)),IFERROR(CA154/BV154-1,""),"")</f>
        <v>0.103563961659368</v>
      </c>
      <c r="CB218" s="27" t="n">
        <f aca="false">IF(AND(ISNUMBER(CB154),ISNUMBER(BW154)),IFERROR(CB154/BW154-1,""),"")</f>
        <v>0.123327360833978</v>
      </c>
      <c r="CC218" s="28" t="n">
        <f aca="false">IFERROR(CC154/BX154-1,"")</f>
        <v>0.0720349120547799</v>
      </c>
      <c r="CD218" s="28" t="n">
        <f aca="false">IFERROR(CD154/BY154-1,"")</f>
        <v>-0.0974710772871429</v>
      </c>
      <c r="CE218" s="28" t="n">
        <f aca="false">IFERROR(CE154/BZ154-1,"")</f>
        <v>0.0477814191659978</v>
      </c>
      <c r="CF218" s="28" t="n">
        <f aca="false">IFERROR(CF154/CA154-1,"")</f>
        <v>0.0358455448225588</v>
      </c>
      <c r="CG218" s="28" t="n">
        <f aca="false">IFERROR(CG154/CF154-1,"")</f>
        <v>0.166186782072529</v>
      </c>
      <c r="CH218" s="28" t="n">
        <f aca="false">IFERROR(CH154/CG154-1,"")</f>
        <v>0.152617411416853</v>
      </c>
      <c r="CI218" s="28" t="n">
        <f aca="false">IFERROR(CI154/CH154-1,"")</f>
        <v>0.15243218136387</v>
      </c>
      <c r="CJ218" s="28" t="n">
        <f aca="false">IFERROR(CJ154/CI154-1,"")</f>
        <v>0.107624449078215</v>
      </c>
      <c r="CK218" s="23"/>
    </row>
    <row r="219" customFormat="false" ht="15" hidden="false" customHeight="true" outlineLevel="0" collapsed="false">
      <c r="B219" s="26" t="s">
        <v>508</v>
      </c>
      <c r="D219" s="27" t="n">
        <f aca="false">IF(AND(ISNUMBER(D206),ISNUMBER(C206)),IFERROR(D206/C206-1,""),"")</f>
        <v>0.0758456504128595</v>
      </c>
      <c r="E219" s="27" t="n">
        <f aca="false">IF(AND(ISNUMBER(E206),ISNUMBER(D206)),IFERROR(E206/D206-1,""),"")</f>
        <v>0.0299630991417827</v>
      </c>
      <c r="F219" s="27" t="n">
        <f aca="false">IF(AND(ISNUMBER(F206),ISNUMBER(E206)),IFERROR(F206/E206-1,""),"")</f>
        <v>-0.149231442872595</v>
      </c>
      <c r="G219" s="27" t="n">
        <f aca="false">IF(AND(ISNUMBER(G206),ISNUMBER(F206)),IFERROR(G206/F206-1,""),"")</f>
        <v>-0.185792729167098</v>
      </c>
      <c r="H219" s="27" t="n">
        <f aca="false">IF(AND(ISNUMBER(H206),ISNUMBER(G206)),IFERROR(H206/G206-1,""),"")</f>
        <v>0.127514600916628</v>
      </c>
      <c r="I219" s="27" t="n">
        <f aca="false">IF(AND(ISNUMBER(I206),ISNUMBER(H206)),IFERROR(I206/H206-1,""),"")</f>
        <v>0.362463576702604</v>
      </c>
      <c r="N219" s="27" t="n">
        <f aca="false">IF(AND(ISNUMBER(N206),ISNUMBER(I206)),IFERROR(N206/I206-1,""),"")</f>
        <v>0.106645967714594</v>
      </c>
      <c r="O219" s="27" t="n">
        <f aca="false">IF(AND(ISNUMBER(O206),ISNUMBER(J206)),IFERROR(O206/J206-1,""),"")</f>
        <v>0.0427093287166926</v>
      </c>
      <c r="P219" s="27" t="n">
        <f aca="false">IF(AND(ISNUMBER(P206),ISNUMBER(K206)),IFERROR(P206/K206-1,""),"")</f>
        <v>0.119574428548963</v>
      </c>
      <c r="Q219" s="27" t="n">
        <f aca="false">IF(AND(ISNUMBER(Q206),ISNUMBER(L206)),IFERROR(Q206/L206-1,""),"")</f>
        <v>0.156544447959689</v>
      </c>
      <c r="R219" s="27" t="n">
        <f aca="false">IF(AND(ISNUMBER(R206),ISNUMBER(M206)),IFERROR(R206/M206-1,""),"")</f>
        <v>0.0881737371360558</v>
      </c>
      <c r="S219" s="27" t="n">
        <f aca="false">IF(AND(ISNUMBER(S206),ISNUMBER(N206)),IFERROR(S206/N206-1,""),"")</f>
        <v>0.101443269403422</v>
      </c>
      <c r="T219" s="27" t="n">
        <f aca="false">IF(AND(ISNUMBER(T206),ISNUMBER(O206)),IFERROR(T206/O206-1,""),"")</f>
        <v>0.232801483088043</v>
      </c>
      <c r="U219" s="27" t="n">
        <f aca="false">IF(AND(ISNUMBER(U206),ISNUMBER(P206)),IFERROR(U206/P206-1,""),"")</f>
        <v>0.243595636380547</v>
      </c>
      <c r="V219" s="27" t="n">
        <f aca="false">IF(AND(ISNUMBER(V206),ISNUMBER(Q206)),IFERROR(V206/Q206-1,""),"")</f>
        <v>0.218506080799724</v>
      </c>
      <c r="W219" s="27" t="n">
        <f aca="false">IF(AND(ISNUMBER(W206),ISNUMBER(R206)),IFERROR(W206/R206-1,""),"")</f>
        <v>0.13157943699566</v>
      </c>
      <c r="X219" s="27" t="n">
        <f aca="false">IF(AND(ISNUMBER(X206),ISNUMBER(S206)),IFERROR(X206/S206-1,""),"")</f>
        <v>0.200717335960275</v>
      </c>
      <c r="Y219" s="27" t="n">
        <f aca="false">IF(AND(ISNUMBER(Y206),ISNUMBER(T206)),IFERROR(Y206/T206-1,""),"")</f>
        <v>0.21316247490245</v>
      </c>
      <c r="Z219" s="27" t="n">
        <f aca="false">IF(AND(ISNUMBER(Z206),ISNUMBER(U206)),IFERROR(Z206/U206-1,""),"")</f>
        <v>0.20264920562692</v>
      </c>
      <c r="AA219" s="27" t="n">
        <f aca="false">IF(AND(ISNUMBER(AA206),ISNUMBER(V206)),IFERROR(AA206/V206-1,""),"")</f>
        <v>0.260473632723077</v>
      </c>
      <c r="AB219" s="27" t="n">
        <f aca="false">IF(AND(ISNUMBER(AB206),ISNUMBER(W206)),IFERROR(AB206/W206-1,""),"")</f>
        <v>0.272972080356299</v>
      </c>
      <c r="AC219" s="27" t="n">
        <f aca="false">IF(AND(ISNUMBER(AC206),ISNUMBER(X206)),IFERROR(AC206/X206-1,""),"")</f>
        <v>0.240498486258536</v>
      </c>
      <c r="AD219" s="27" t="n">
        <f aca="false">IF(AND(ISNUMBER(AD206),ISNUMBER(Y206)),IFERROR(AD206/Y206-1,""),"")</f>
        <v>0.331555199141853</v>
      </c>
      <c r="AE219" s="27" t="n">
        <f aca="false">IF(AND(ISNUMBER(AE206),ISNUMBER(Z206)),IFERROR(AE206/Z206-1,""),"")</f>
        <v>0.087276434763701</v>
      </c>
      <c r="AF219" s="27" t="n">
        <f aca="false">IF(AND(ISNUMBER(AF206),ISNUMBER(AA206)),IFERROR(AF206/AA206-1,""),"")</f>
        <v>0.0360212432757694</v>
      </c>
      <c r="AG219" s="27" t="n">
        <f aca="false">IF(AND(ISNUMBER(AG206),ISNUMBER(AB206)),IFERROR(AG206/AB206-1,""),"")</f>
        <v>0.141813790361228</v>
      </c>
      <c r="AH219" s="27" t="n">
        <f aca="false">IF(AND(ISNUMBER(AH206),ISNUMBER(AC206)),IFERROR(AH206/AC206-1,""),"")</f>
        <v>0.147828439571054</v>
      </c>
      <c r="AI219" s="27" t="n">
        <f aca="false">IF(AND(ISNUMBER(AI206),ISNUMBER(AD206)),IFERROR(AI206/AD206-1,""),"")</f>
        <v>0.174606911553169</v>
      </c>
      <c r="AJ219" s="27" t="n">
        <f aca="false">IF(AND(ISNUMBER(AJ206),ISNUMBER(AE206)),IFERROR(AJ206/AE206-1,""),"")</f>
        <v>0.149120085615425</v>
      </c>
      <c r="AK219" s="27" t="n">
        <f aca="false">IF(AND(ISNUMBER(AK206),ISNUMBER(AF206)),IFERROR(AK206/AF206-1,""),"")</f>
        <v>0.234237016131612</v>
      </c>
      <c r="AL219" s="27" t="n">
        <f aca="false">IF(AND(ISNUMBER(AL206),ISNUMBER(AG206)),IFERROR(AL206/AG206-1,""),"")</f>
        <v>0.41599895634682</v>
      </c>
      <c r="AM219" s="27" t="n">
        <f aca="false">IF(AND(ISNUMBER(AM206),ISNUMBER(AH206)),IFERROR(AM206/AH206-1,""),"")</f>
        <v>0.245283218720989</v>
      </c>
      <c r="AN219" s="27" t="n">
        <f aca="false">IF(AND(ISNUMBER(AN206),ISNUMBER(AI206)),IFERROR(AN206/AI206-1,""),"")</f>
        <v>0.30404942810431</v>
      </c>
      <c r="AO219" s="27" t="n">
        <f aca="false">IF(AND(ISNUMBER(AO206),ISNUMBER(AJ206)),IFERROR(AO206/AJ206-1,""),"")</f>
        <v>0.343509120648743</v>
      </c>
      <c r="AP219" s="27" t="n">
        <f aca="false">IF(AND(ISNUMBER(AP206),ISNUMBER(AK206)),IFERROR(AP206/AK206-1,""),"")</f>
        <v>0.343067705855672</v>
      </c>
      <c r="AQ219" s="27" t="n">
        <f aca="false">IF(AND(ISNUMBER(AQ206),ISNUMBER(AL206)),IFERROR(AQ206/AL206-1,""),"")</f>
        <v>0.169488484044094</v>
      </c>
      <c r="AR219" s="27" t="n">
        <f aca="false">IF(AND(ISNUMBER(AR206),ISNUMBER(AM206)),IFERROR(AR206/AM206-1,""),"")</f>
        <v>0.279461536330237</v>
      </c>
      <c r="AS219" s="27" t="n">
        <f aca="false">IF(AND(ISNUMBER(AS206),ISNUMBER(AN206)),IFERROR(AS206/AN206-1,""),"")</f>
        <v>0.202075455915347</v>
      </c>
      <c r="AT219" s="27" t="n">
        <f aca="false">IF(AND(ISNUMBER(AT206),ISNUMBER(AO206)),IFERROR(AT206/AO206-1,""),"")</f>
        <v>0.289770434944571</v>
      </c>
      <c r="AU219" s="27" t="n">
        <f aca="false">IF(AND(ISNUMBER(AU206),ISNUMBER(AP206)),IFERROR(AU206/AP206-1,""),"")</f>
        <v>0.173912046996869</v>
      </c>
      <c r="AV219" s="27" t="n">
        <f aca="false">IF(AND(ISNUMBER(AV206),ISNUMBER(AQ206)),IFERROR(AV206/AQ206-1,""),"")</f>
        <v>-0.347824860216034</v>
      </c>
      <c r="AW219" s="27" t="n">
        <f aca="false">IF(AND(ISNUMBER(AW206),ISNUMBER(AR206)),IFERROR(AW206/AR206-1,""),"")</f>
        <v>0.0671049826559815</v>
      </c>
      <c r="AX219" s="27" t="n">
        <f aca="false">IF(AND(ISNUMBER(AX206),ISNUMBER(AS206)),IFERROR(AX206/AS206-1,""),"")</f>
        <v>0.207070643564936</v>
      </c>
      <c r="AY219" s="27" t="n">
        <f aca="false">IF(AND(ISNUMBER(AY206),ISNUMBER(AT206)),IFERROR(AY206/AT206-1,""),"")</f>
        <v>0.0440567499625844</v>
      </c>
      <c r="AZ219" s="27" t="n">
        <f aca="false">IF(AND(ISNUMBER(AZ206),ISNUMBER(AU206)),IFERROR(AZ206/AU206-1,""),"")</f>
        <v>0.0934509397459078</v>
      </c>
      <c r="BA219" s="27" t="n">
        <f aca="false">IF(AND(ISNUMBER(BA206),ISNUMBER(AV206)),IFERROR(BA206/AV206-1,""),"")</f>
        <v>0.839959108010698</v>
      </c>
      <c r="BB219" s="27" t="n">
        <f aca="false">IF(AND(ISNUMBER(BB206),ISNUMBER(AW206)),IFERROR(BB206/AW206-1,""),"")</f>
        <v>0.250415785534338</v>
      </c>
      <c r="BC219" s="27" t="n">
        <f aca="false">IF(AND(ISNUMBER(BC206),ISNUMBER(AX206)),IFERROR(BC206/AX206-1,""),"")</f>
        <v>0.0784155439310099</v>
      </c>
      <c r="BD219" s="27" t="n">
        <f aca="false">IF(AND(ISNUMBER(BD206),ISNUMBER(AY206)),IFERROR(BD206/AY206-1,""),"")</f>
        <v>0.16455589103714</v>
      </c>
      <c r="BE219" s="27" t="n">
        <f aca="false">IF(AND(ISNUMBER(BE206),ISNUMBER(AZ206)),IFERROR(BE206/AZ206-1,""),"")</f>
        <v>0.138936338241693</v>
      </c>
      <c r="BF219" s="27" t="n">
        <f aca="false">IF(AND(ISNUMBER(BF206),ISNUMBER(BA206)),IFERROR(BF206/BA206-1,""),"")</f>
        <v>0.135200534745167</v>
      </c>
      <c r="BG219" s="27" t="n">
        <f aca="false">IF(AND(ISNUMBER(BG206),ISNUMBER(BB206)),IFERROR(BG206/BB206-1,""),"")</f>
        <v>0.112330840863947</v>
      </c>
      <c r="BH219" s="27" t="n">
        <f aca="false">IF(AND(ISNUMBER(BH206),ISNUMBER(BC206)),IFERROR(BH206/BC206-1,""),"")</f>
        <v>0.126925885127977</v>
      </c>
      <c r="BI219" s="27" t="n">
        <f aca="false">IF(AND(ISNUMBER(BI206),ISNUMBER(BD206)),IFERROR(BI206/BD206-1,""),"")</f>
        <v>0.136821775652739</v>
      </c>
      <c r="BJ219" s="27" t="n">
        <f aca="false">IF(AND(ISNUMBER(BJ206),ISNUMBER(BE206)),IFERROR(BJ206/BE206-1,""),"")</f>
        <v>0.171220274605334</v>
      </c>
      <c r="BK219" s="27" t="n">
        <f aca="false">IF(AND(ISNUMBER(BK206),ISNUMBER(BF206)),IFERROR(BK206/BF206-1,""),"")</f>
        <v>0.187181724231889</v>
      </c>
      <c r="BL219" s="27" t="n">
        <f aca="false">IF(AND(ISNUMBER(BL206),ISNUMBER(BG206)),IFERROR(BL206/BG206-1,""),"")</f>
        <v>0.156005947885667</v>
      </c>
      <c r="BM219" s="27" t="n">
        <f aca="false">IF(AND(ISNUMBER(BM206),ISNUMBER(BH206)),IFERROR(BM206/BH206-1,""),"")</f>
        <v>0.0924744880687942</v>
      </c>
      <c r="BN219" s="27" t="n">
        <f aca="false">IF(AND(ISNUMBER(BN206),ISNUMBER(BI206)),IFERROR(BN206/BI206-1,""),"")</f>
        <v>0.156175090374702</v>
      </c>
      <c r="BO219" s="27" t="n">
        <f aca="false">IF(AND(ISNUMBER(BO206),ISNUMBER(BJ206)),IFERROR(BO206/BJ206-1,""),"")</f>
        <v>0.222946661437044</v>
      </c>
      <c r="BP219" s="27" t="n">
        <f aca="false">IF(AND(ISNUMBER(BP206),ISNUMBER(BK206)),IFERROR(BP206/BK206-1,""),"")</f>
        <v>0.197742991641586</v>
      </c>
      <c r="BQ219" s="27" t="n">
        <f aca="false">IF(AND(ISNUMBER(BQ206),ISNUMBER(BL206)),IFERROR(BQ206/BL206-1,""),"")</f>
        <v>0.165973575873154</v>
      </c>
      <c r="BR219" s="27" t="n">
        <f aca="false">IF(AND(ISNUMBER(BR206),ISNUMBER(BM206)),IFERROR(BR206/BM206-1,""),"")</f>
        <v>0.184696112309733</v>
      </c>
      <c r="BS219" s="27" t="n">
        <f aca="false">IF(AND(ISNUMBER(BS206),ISNUMBER(BN206)),IFERROR(BS206/BN206-1,""),"")</f>
        <v>0.204210201480316</v>
      </c>
      <c r="BT219" s="27" t="n">
        <f aca="false">IF(AND(ISNUMBER(BT206),ISNUMBER(BO206)),IFERROR(BT206/BO206-1,""),"")</f>
        <v>0.172734068335715</v>
      </c>
      <c r="BU219" s="27" t="n">
        <f aca="false">IF(AND(ISNUMBER(BU206),ISNUMBER(BP206)),IFERROR(BU206/BP206-1,""),"")</f>
        <v>0.0915414140354578</v>
      </c>
      <c r="BV219" s="27" t="n">
        <f aca="false">IF(AND(ISNUMBER(BV206),ISNUMBER(BQ206)),IFERROR(BV206/BQ206-1,""),"")</f>
        <v>0.162093128646106</v>
      </c>
      <c r="BW219" s="27" t="n">
        <f aca="false">IF(AND(ISNUMBER(BW206),ISNUMBER(BR206)),IFERROR(BW206/BR206-1,""),"")</f>
        <v>0.0897044295646936</v>
      </c>
      <c r="BX219" s="27" t="n">
        <f aca="false">IF(AND(ISNUMBER(BX206),ISNUMBER(BS206)),IFERROR(BX206/BS206-1,""),"")</f>
        <v>0.115961641653896</v>
      </c>
      <c r="BY219" s="27" t="n">
        <f aca="false">IF(AND(ISNUMBER(BY206),ISNUMBER(BT206)),IFERROR(BY206/BT206-1,""),"")</f>
        <v>0.0991150651180868</v>
      </c>
      <c r="BZ219" s="27" t="n">
        <f aca="false">IF(AND(ISNUMBER(BZ206),ISNUMBER(BU206)),IFERROR(BZ206/BU206-1,""),"")</f>
        <v>0.178998517619684</v>
      </c>
      <c r="CA219" s="27" t="n">
        <f aca="false">IF(AND(ISNUMBER(CA206),ISNUMBER(BV206)),IFERROR(CA206/BV206-1,""),"")</f>
        <v>0.118376500543125</v>
      </c>
      <c r="CB219" s="27" t="n">
        <f aca="false">IF(AND(ISNUMBER(CB206),ISNUMBER(BW206)),IFERROR(CB206/BW206-1,""),"")</f>
        <v>0.15836414721812</v>
      </c>
      <c r="CC219" s="28" t="n">
        <f aca="false">IFERROR(CC206/BX206-1,"")</f>
        <v>0.103278243479981</v>
      </c>
      <c r="CD219" s="28" t="n">
        <f aca="false">IFERROR(CD206/BY206-1,"")</f>
        <v>0.0467836511546889</v>
      </c>
      <c r="CE219" s="28" t="n">
        <f aca="false">IFERROR(CE206/BZ206-1,"")</f>
        <v>0.0433257346842966</v>
      </c>
      <c r="CF219" s="28" t="n">
        <f aca="false">IFERROR(CF206/CA206-1,"")</f>
        <v>0.0892246843282285</v>
      </c>
      <c r="CG219" s="28" t="n">
        <f aca="false">IFERROR(CG206/CF206-1,"")</f>
        <v>0.142410474148206</v>
      </c>
      <c r="CH219" s="28" t="n">
        <f aca="false">IFERROR(CH206/CG206-1,"")</f>
        <v>0.152711916625879</v>
      </c>
      <c r="CI219" s="28" t="n">
        <f aca="false">IFERROR(CI206/CH206-1,"")</f>
        <v>0.151690730651553</v>
      </c>
      <c r="CJ219" s="28" t="n">
        <f aca="false">IFERROR(CJ206/CI206-1,"")</f>
        <v>0.120665580747261</v>
      </c>
      <c r="CK219" s="23"/>
    </row>
    <row r="220" customFormat="false" ht="15" hidden="false" customHeight="true" outlineLevel="0" collapsed="false">
      <c r="B220" s="29" t="s">
        <v>132</v>
      </c>
      <c r="C220" s="37" t="n">
        <f aca="false">C139</f>
        <v>0.427426425134739</v>
      </c>
      <c r="D220" s="37" t="n">
        <f aca="false">D139</f>
        <v>0.42659769618819</v>
      </c>
      <c r="E220" s="37" t="n">
        <f aca="false">E139</f>
        <v>0.42702963508469</v>
      </c>
      <c r="F220" s="37" t="n">
        <f aca="false">F139</f>
        <v>0.410861038735683</v>
      </c>
      <c r="G220" s="37" t="n">
        <f aca="false">G139</f>
        <v>0.422236780865883</v>
      </c>
      <c r="H220" s="37" t="n">
        <f aca="false">H139</f>
        <v>0.422342472569694</v>
      </c>
      <c r="I220" s="37" t="n">
        <f aca="false">I139</f>
        <v>0.42384397854705</v>
      </c>
      <c r="J220" s="37" t="n">
        <f aca="false">J139</f>
        <v>0.424107673649918</v>
      </c>
      <c r="K220" s="37" t="n">
        <f aca="false">K139</f>
        <v>0.407432765049708</v>
      </c>
      <c r="L220" s="37" t="n">
        <f aca="false">L139</f>
        <v>0.41085031338491</v>
      </c>
      <c r="M220" s="37" t="n">
        <f aca="false">M139</f>
        <v>0.41379930315317</v>
      </c>
      <c r="N220" s="37" t="n">
        <f aca="false">N139</f>
        <v>0.414011121585202</v>
      </c>
      <c r="O220" s="37" t="n">
        <f aca="false">O139</f>
        <v>0.415926194031649</v>
      </c>
      <c r="P220" s="37" t="n">
        <f aca="false">P139</f>
        <v>0.416977266944874</v>
      </c>
      <c r="Q220" s="37" t="n">
        <f aca="false">Q139</f>
        <v>0.42391551506454</v>
      </c>
      <c r="R220" s="37" t="n">
        <f aca="false">R139</f>
        <v>0.425374456037647</v>
      </c>
      <c r="S220" s="37" t="n">
        <f aca="false">S139</f>
        <v>0.420576684625815</v>
      </c>
      <c r="T220" s="37" t="n">
        <f aca="false">T139</f>
        <v>0.43367750166277</v>
      </c>
      <c r="U220" s="37" t="n">
        <f aca="false">U139</f>
        <v>0.428549937287416</v>
      </c>
      <c r="V220" s="37" t="n">
        <f aca="false">V139</f>
        <v>0.428649759615168</v>
      </c>
      <c r="W220" s="37" t="n">
        <f aca="false">W139</f>
        <v>0.425929669879562</v>
      </c>
      <c r="X220" s="37" t="n">
        <f aca="false">X139</f>
        <v>0.429168176272525</v>
      </c>
      <c r="Y220" s="37" t="n">
        <f aca="false">Y139</f>
        <v>0.437191068404941</v>
      </c>
      <c r="Z220" s="37" t="n">
        <f aca="false">Z139</f>
        <v>0.432621320996161</v>
      </c>
      <c r="AA220" s="37" t="n">
        <f aca="false">AA139</f>
        <v>0.431391607316277</v>
      </c>
      <c r="AB220" s="37" t="n">
        <f aca="false">AB139</f>
        <v>0.43551661351025</v>
      </c>
      <c r="AC220" s="37" t="n">
        <f aca="false">AC139</f>
        <v>0.434183719440672</v>
      </c>
      <c r="AD220" s="37" t="n">
        <f aca="false">AD139</f>
        <v>0.45109378501387</v>
      </c>
      <c r="AE220" s="37" t="n">
        <f aca="false">AE139</f>
        <v>0.440602102052319</v>
      </c>
      <c r="AF220" s="37" t="n">
        <f aca="false">AF139</f>
        <v>0.442126707958178</v>
      </c>
      <c r="AG220" s="37" t="n">
        <f aca="false">AG139</f>
        <v>0.443528566863601</v>
      </c>
      <c r="AH220" s="37" t="n">
        <f aca="false">AH139</f>
        <v>0.447139703132276</v>
      </c>
      <c r="AI220" s="37" t="n">
        <f aca="false">AI139</f>
        <v>0.458797160166627</v>
      </c>
      <c r="AJ220" s="37" t="n">
        <f aca="false">AJ139</f>
        <v>0.44593545607962</v>
      </c>
      <c r="AK220" s="37" t="n">
        <f aca="false">AK139</f>
        <v>0.440781731983</v>
      </c>
      <c r="AL220" s="37" t="n">
        <f aca="false">AL139</f>
        <v>0.450623221826241</v>
      </c>
      <c r="AM220" s="37" t="n">
        <f aca="false">AM139</f>
        <v>0.449079552458747</v>
      </c>
      <c r="AN220" s="37" t="n">
        <f aca="false">AN139</f>
        <v>0.456256423092213</v>
      </c>
      <c r="AO220" s="37" t="n">
        <f aca="false">AO139</f>
        <v>0.451127530746077</v>
      </c>
      <c r="AP220" s="37" t="n">
        <f aca="false">AP139</f>
        <v>0.448873288831561</v>
      </c>
      <c r="AQ220" s="37" t="n">
        <f aca="false">AQ139</f>
        <v>0.459135432868938</v>
      </c>
      <c r="AR220" s="37" t="n">
        <f aca="false">AR139</f>
        <v>0.453924907247984</v>
      </c>
      <c r="AS220" s="37" t="n">
        <f aca="false">AS139</f>
        <v>0.468844191417666</v>
      </c>
      <c r="AT220" s="37" t="n">
        <f aca="false">AT139</f>
        <v>0.462314013458448</v>
      </c>
      <c r="AU220" s="37" t="n">
        <f aca="false">AU139</f>
        <v>0.455303847020514</v>
      </c>
      <c r="AV220" s="37" t="n">
        <f aca="false">AV139</f>
        <v>0.437038153007192</v>
      </c>
      <c r="AW220" s="37" t="n">
        <f aca="false">AW139</f>
        <v>0.4564140056908</v>
      </c>
      <c r="AX220" s="37" t="n">
        <f aca="false">AX139</f>
        <v>0.473040665302091</v>
      </c>
      <c r="AY220" s="37" t="n">
        <f aca="false">AY139</f>
        <v>0.466625840614485</v>
      </c>
      <c r="AZ220" s="37" t="n">
        <f aca="false">AZ139</f>
        <v>0.455537698305512</v>
      </c>
      <c r="BA220" s="37" t="n">
        <f aca="false">BA139</f>
        <v>0.46797856466962</v>
      </c>
      <c r="BB220" s="37" t="n">
        <f aca="false">BB139</f>
        <v>0.4657803027961</v>
      </c>
      <c r="BC220" s="37" t="n">
        <f aca="false">BC139</f>
        <v>0.475898679459132</v>
      </c>
      <c r="BD220" s="37" t="n">
        <f aca="false">BD139</f>
        <v>0.460463896797607</v>
      </c>
      <c r="BE220" s="37" t="n">
        <f aca="false">BE139</f>
        <v>0.458115153870715</v>
      </c>
      <c r="BF220" s="37" t="n">
        <f aca="false">BF139</f>
        <v>0.456066604777783</v>
      </c>
      <c r="BG220" s="37" t="n">
        <f aca="false">BG139</f>
        <v>0.462443816945254</v>
      </c>
      <c r="BH220" s="37" t="n">
        <f aca="false">BH139</f>
        <v>0.474559810639875</v>
      </c>
      <c r="BI220" s="37" t="n">
        <f aca="false">BI139</f>
        <v>0.470121267687362</v>
      </c>
      <c r="BJ220" s="37" t="n">
        <f aca="false">BJ139</f>
        <v>0.472163292368079</v>
      </c>
      <c r="BK220" s="37" t="n">
        <f aca="false">BK139</f>
        <v>0.476599615403303</v>
      </c>
      <c r="BL220" s="37" t="n">
        <f aca="false">BL139</f>
        <v>0.473398066578196</v>
      </c>
      <c r="BM220" s="37" t="n">
        <f aca="false">BM139</f>
        <v>0.487365571887821</v>
      </c>
      <c r="BN220" s="37" t="n">
        <f aca="false">BN139</f>
        <v>0.480211612345231</v>
      </c>
      <c r="BO220" s="37" t="n">
        <f aca="false">BO139</f>
        <v>0.493666914224372</v>
      </c>
      <c r="BP220" s="37" t="n">
        <f aca="false">BP139</f>
        <v>0.491898410925419</v>
      </c>
      <c r="BQ220" s="37" t="n">
        <f aca="false">BQ139</f>
        <v>0.488340524236932</v>
      </c>
      <c r="BR220" s="37" t="n">
        <f aca="false">BR139</f>
        <v>0.500534660597453</v>
      </c>
      <c r="BS220" s="37" t="n">
        <f aca="false">BS139</f>
        <v>0.498365005935319</v>
      </c>
      <c r="BT220" s="37" t="n">
        <f aca="false">BT139</f>
        <v>0.505657570121254</v>
      </c>
      <c r="BU220" s="37" t="n">
        <f aca="false">BU139</f>
        <v>0.497062210513215</v>
      </c>
      <c r="BV220" s="37" t="n">
        <f aca="false">BV139</f>
        <v>0.500393948616567</v>
      </c>
      <c r="BW220" s="37" t="n">
        <f aca="false">BW139</f>
        <v>0.502759258046548</v>
      </c>
      <c r="BX220" s="37" t="n">
        <f aca="false">BX139</f>
        <v>0.504460369886771</v>
      </c>
      <c r="BY220" s="37" t="n">
        <f aca="false">BY139</f>
        <v>0.509760530209288</v>
      </c>
      <c r="BZ220" s="37" t="n">
        <f aca="false">BZ139</f>
        <v>0.509531003513352</v>
      </c>
      <c r="CA220" s="37" t="n">
        <f aca="false">CA139</f>
        <v>0.506694549489332</v>
      </c>
      <c r="CB220" s="37" t="n">
        <f aca="false">CB139</f>
        <v>0.515445518734192</v>
      </c>
      <c r="CC220" s="28" t="n">
        <f aca="false">CC139</f>
        <v>0.50468703616377</v>
      </c>
      <c r="CD220" s="28" t="n">
        <f aca="false">CD139</f>
        <v>0.48708208609064</v>
      </c>
      <c r="CE220" s="28" t="n">
        <f aca="false">CE139</f>
        <v>0.477448072674963</v>
      </c>
      <c r="CF220" s="28" t="n">
        <f aca="false">CF139</f>
        <v>0.494774930859614</v>
      </c>
      <c r="CG220" s="28" t="n">
        <f aca="false">CG139</f>
        <v>0.48807848842637</v>
      </c>
      <c r="CH220" s="28" t="n">
        <f aca="false">CH139</f>
        <v>0.495554518359692</v>
      </c>
      <c r="CI220" s="28" t="n">
        <f aca="false">CI139</f>
        <v>0.502165876724585</v>
      </c>
      <c r="CJ220" s="28" t="n">
        <f aca="false">CJ139</f>
        <v>0.506080890903947</v>
      </c>
      <c r="CK220" s="23"/>
    </row>
    <row r="221" customFormat="false" ht="15" hidden="false" customHeight="true" outlineLevel="0" collapsed="false">
      <c r="B221" s="29" t="s">
        <v>449</v>
      </c>
      <c r="C221" s="37" t="n">
        <f aca="false">C186</f>
        <v>0.207865006781039</v>
      </c>
      <c r="D221" s="37" t="n">
        <f aca="false">D186</f>
        <v>0.203221829561089</v>
      </c>
      <c r="E221" s="37" t="n">
        <f aca="false">E186</f>
        <v>0.195372660555118</v>
      </c>
      <c r="F221" s="37" t="n">
        <f aca="false">F186</f>
        <v>0.184321075798378</v>
      </c>
      <c r="G221" s="37" t="n">
        <f aca="false">G186</f>
        <v>0.170437333449101</v>
      </c>
      <c r="H221" s="37" t="n">
        <f aca="false">H186</f>
        <v>0.166337565977602</v>
      </c>
      <c r="I221" s="37" t="n">
        <f aca="false">I186</f>
        <v>0.178886396879571</v>
      </c>
      <c r="J221" s="37" t="n">
        <f aca="false">J186</f>
        <v>0.176668489762918</v>
      </c>
      <c r="K221" s="37" t="n">
        <f aca="false">K186</f>
        <v>0.175289941587309</v>
      </c>
      <c r="L221" s="37" t="n">
        <f aca="false">L186</f>
        <v>0.168131794577167</v>
      </c>
      <c r="M221" s="37" t="n">
        <f aca="false">M186</f>
        <v>0.179013821799225</v>
      </c>
      <c r="N221" s="37" t="n">
        <f aca="false">N186</f>
        <v>0.174815954978036</v>
      </c>
      <c r="O221" s="37" t="n">
        <f aca="false">O186</f>
        <v>0.168219911223616</v>
      </c>
      <c r="P221" s="37" t="n">
        <f aca="false">P186</f>
        <v>0.176173526976541</v>
      </c>
      <c r="Q221" s="37" t="n">
        <f aca="false">Q186</f>
        <v>0.175649885820408</v>
      </c>
      <c r="R221" s="37" t="n">
        <f aca="false">R186</f>
        <v>0.183026214730462</v>
      </c>
      <c r="S221" s="37" t="n">
        <f aca="false">S186</f>
        <v>0.17630253622074</v>
      </c>
      <c r="T221" s="37" t="n">
        <f aca="false">T186</f>
        <v>0.184326503502024</v>
      </c>
      <c r="U221" s="37" t="n">
        <f aca="false">U186</f>
        <v>0.195547540055493</v>
      </c>
      <c r="V221" s="37" t="n">
        <f aca="false">V186</f>
        <v>0.190742275534857</v>
      </c>
      <c r="W221" s="37" t="n">
        <f aca="false">W186</f>
        <v>0.189711382017762</v>
      </c>
      <c r="X221" s="37" t="n">
        <f aca="false">X186</f>
        <v>0.190196712625696</v>
      </c>
      <c r="Y221" s="37" t="n">
        <f aca="false">Y186</f>
        <v>0.187902976920318</v>
      </c>
      <c r="Z221" s="37" t="n">
        <f aca="false">Z186</f>
        <v>0.198079699445483</v>
      </c>
      <c r="AA221" s="37" t="n">
        <f aca="false">AA186</f>
        <v>0.193020542183387</v>
      </c>
      <c r="AB221" s="37" t="n">
        <f aca="false">AB186</f>
        <v>0.193131220972074</v>
      </c>
      <c r="AC221" s="37" t="n">
        <f aca="false">AC186</f>
        <v>0.193055775831737</v>
      </c>
      <c r="AD221" s="37" t="n">
        <f aca="false">AD186</f>
        <v>0.195433225410121</v>
      </c>
      <c r="AE221" s="37" t="n">
        <f aca="false">AE186</f>
        <v>0.192831031603264</v>
      </c>
      <c r="AF221" s="37" t="n">
        <f aca="false">AF186</f>
        <v>0.194127082625953</v>
      </c>
      <c r="AG221" s="37" t="n">
        <f aca="false">AG186</f>
        <v>0.199920015003721</v>
      </c>
      <c r="AH221" s="37" t="n">
        <f aca="false">AH186</f>
        <v>0.197151021127363</v>
      </c>
      <c r="AI221" s="37" t="n">
        <f aca="false">AI186</f>
        <v>0.199552219263631</v>
      </c>
      <c r="AJ221" s="37" t="n">
        <f aca="false">AJ186</f>
        <v>0.198335948845927</v>
      </c>
      <c r="AK221" s="37" t="n">
        <f aca="false">AK186</f>
        <v>0.198792049526221</v>
      </c>
      <c r="AL221" s="37" t="n">
        <f aca="false">AL186</f>
        <v>0.21265909975742</v>
      </c>
      <c r="AM221" s="37" t="n">
        <f aca="false">AM186</f>
        <v>0.202442720228662</v>
      </c>
      <c r="AN221" s="37" t="n">
        <f aca="false">AN186</f>
        <v>0.209881181996201</v>
      </c>
      <c r="AO221" s="37" t="n">
        <f aca="false">AO186</f>
        <v>0.216417345838949</v>
      </c>
      <c r="AP221" s="37" t="n">
        <f aca="false">AP186</f>
        <v>0.220356291571808</v>
      </c>
      <c r="AQ221" s="37" t="n">
        <f aca="false">AQ186</f>
        <v>0.228066096904216</v>
      </c>
      <c r="AR221" s="37" t="n">
        <f aca="false">AR186</f>
        <v>0.218800160120645</v>
      </c>
      <c r="AS221" s="37" t="n">
        <f aca="false">AS186</f>
        <v>0.219828516751061</v>
      </c>
      <c r="AT221" s="37" t="n">
        <f aca="false">AT186</f>
        <v>0.232569617664877</v>
      </c>
      <c r="AU221" s="37" t="n">
        <f aca="false">AU186</f>
        <v>0.226888384710888</v>
      </c>
      <c r="AV221" s="37" t="n">
        <f aca="false">AV186</f>
        <v>0.187698816486209</v>
      </c>
      <c r="AW221" s="37" t="n">
        <f aca="false">AW186</f>
        <v>0.217603794995709</v>
      </c>
      <c r="AX221" s="37" t="n">
        <f aca="false">AX186</f>
        <v>0.255291069664916</v>
      </c>
      <c r="AY221" s="37" t="n">
        <f aca="false">AY186</f>
        <v>0.245516343321298</v>
      </c>
      <c r="AZ221" s="37" t="n">
        <f aca="false">AZ186</f>
        <v>0.236197958871302</v>
      </c>
      <c r="BA221" s="37" t="n">
        <f aca="false">BA186</f>
        <v>0.247544072680086</v>
      </c>
      <c r="BB221" s="37" t="n">
        <f aca="false">BB186</f>
        <v>0.24611148427422</v>
      </c>
      <c r="BC221" s="37" t="n">
        <f aca="false">BC186</f>
        <v>0.252996125359129</v>
      </c>
      <c r="BD221" s="37" t="n">
        <f aca="false">BD186</f>
        <v>0.249660689566198</v>
      </c>
      <c r="BE221" s="37" t="n">
        <f aca="false">BE186</f>
        <v>0.243880518754508</v>
      </c>
      <c r="BF221" s="37" t="n">
        <f aca="false">BF186</f>
        <v>0.244284677295745</v>
      </c>
      <c r="BG221" s="37" t="n">
        <f aca="false">BG186</f>
        <v>0.247603431375732</v>
      </c>
      <c r="BH221" s="37" t="n">
        <f aca="false">BH186</f>
        <v>0.249331857496167</v>
      </c>
      <c r="BI221" s="37" t="n">
        <f aca="false">BI186</f>
        <v>0.251116164825474</v>
      </c>
      <c r="BJ221" s="37" t="n">
        <f aca="false">BJ186</f>
        <v>0.250978773380286</v>
      </c>
      <c r="BK221" s="37" t="n">
        <f aca="false">BK186</f>
        <v>0.25208374280085</v>
      </c>
      <c r="BL221" s="37" t="n">
        <f aca="false">BL186</f>
        <v>0.250894278196264</v>
      </c>
      <c r="BM221" s="37" t="n">
        <f aca="false">BM186</f>
        <v>0.259300781700273</v>
      </c>
      <c r="BN221" s="37" t="n">
        <f aca="false">BN186</f>
        <v>0.256147943548167</v>
      </c>
      <c r="BO221" s="37" t="n">
        <f aca="false">BO186</f>
        <v>0.262746693608481</v>
      </c>
      <c r="BP221" s="37" t="n">
        <f aca="false">BP186</f>
        <v>0.268127652083118</v>
      </c>
      <c r="BQ221" s="37" t="n">
        <f aca="false">BQ186</f>
        <v>0.261656532016758</v>
      </c>
      <c r="BR221" s="37" t="n">
        <f aca="false">BR186</f>
        <v>0.270322399340898</v>
      </c>
      <c r="BS221" s="37" t="n">
        <f aca="false">BS186</f>
        <v>0.28161362613461</v>
      </c>
      <c r="BT221" s="37" t="n">
        <f aca="false">BT186</f>
        <v>0.282428169383315</v>
      </c>
      <c r="BU221" s="37" t="n">
        <f aca="false">BU186</f>
        <v>0.269653238128512</v>
      </c>
      <c r="BV221" s="37" t="n">
        <f aca="false">BV186</f>
        <v>0.276001841747258</v>
      </c>
      <c r="BW221" s="37" t="n">
        <f aca="false">BW186</f>
        <v>0.273643346398727</v>
      </c>
      <c r="BX221" s="37" t="n">
        <f aca="false">BX186</f>
        <v>0.279720442058406</v>
      </c>
      <c r="BY221" s="37" t="n">
        <f aca="false">BY186</f>
        <v>0.277525793223446</v>
      </c>
      <c r="BZ221" s="37" t="n">
        <f aca="false">BZ186</f>
        <v>0.281493926586197</v>
      </c>
      <c r="CA221" s="37" t="n">
        <f aca="false">CA186</f>
        <v>0.278256591506913</v>
      </c>
      <c r="CB221" s="37" t="n">
        <f aca="false">CB186</f>
        <v>0.283221758863112</v>
      </c>
      <c r="CC221" s="28" t="n">
        <f aca="false">CC186</f>
        <v>0.277663188461127</v>
      </c>
      <c r="CD221" s="28" t="n">
        <f aca="false">CD186</f>
        <v>0.257227482007769</v>
      </c>
      <c r="CE221" s="28" t="n">
        <f aca="false">CE186</f>
        <v>0.25322960410739</v>
      </c>
      <c r="CF221" s="28" t="n">
        <f aca="false">CF186</f>
        <v>0.266626542488276</v>
      </c>
      <c r="CG221" s="28" t="n">
        <f aca="false">CG186</f>
        <v>0.266554963040673</v>
      </c>
      <c r="CH221" s="28" t="n">
        <f aca="false">CH186</f>
        <v>0.277395348017208</v>
      </c>
      <c r="CI221" s="28" t="n">
        <f aca="false">CI186</f>
        <v>0.287052377406019</v>
      </c>
      <c r="CJ221" s="28" t="n">
        <f aca="false">CJ186</f>
        <v>0.29278205748692</v>
      </c>
      <c r="CK221" s="23"/>
    </row>
    <row r="222" customFormat="false" ht="15" hidden="false" customHeight="true" outlineLevel="0" collapsed="false">
      <c r="B222" s="29" t="s">
        <v>509</v>
      </c>
      <c r="D222" s="37" t="n">
        <f aca="false">IFERROR((D185-C185)/(D132-C132),"")</f>
        <v>0.151115097002229</v>
      </c>
      <c r="E222" s="37" t="n">
        <f aca="false">IFERROR((E185-D185)/(E132-D132),"")</f>
        <v>0.0694155844155838</v>
      </c>
      <c r="F222" s="37" t="n">
        <f aca="false">IFERROR((F185-E185)/(F132-E132),"")</f>
        <v>0.45096345311399</v>
      </c>
      <c r="G222" s="37" t="n">
        <f aca="false">IFERROR((G185-F185)/(G132-F132),"")</f>
        <v>0.400952732838933</v>
      </c>
      <c r="H222" s="37" t="n">
        <f aca="false">IFERROR((H185-G185)/(H132-G132),"")</f>
        <v>0.111049440209849</v>
      </c>
      <c r="I222" s="37" t="n">
        <f aca="false">IFERROR((I185-H185)/(I132-H132),"")</f>
        <v>0.342854987380666</v>
      </c>
      <c r="N222" s="37" t="n">
        <f aca="false">IFERROR((N185-I185)/(N132-I132),"")</f>
        <v>0.0969641583244333</v>
      </c>
      <c r="O222" s="37" t="n">
        <f aca="false">IFERROR((O185-J185)/(O132-J132),"")</f>
        <v>0.0395259207742917</v>
      </c>
      <c r="P222" s="37" t="n">
        <f aca="false">IFERROR((P185-K185)/(P132-K132),"")</f>
        <v>0.187412285436684</v>
      </c>
      <c r="Q222" s="37" t="n">
        <f aca="false">IFERROR((Q185-L185)/(Q132-L132),"")</f>
        <v>0.323864157029489</v>
      </c>
      <c r="R222" s="37" t="n">
        <f aca="false">IFERROR((R185-M185)/(R132-M132),"")</f>
        <v>0.342584439826719</v>
      </c>
      <c r="S222" s="37" t="n">
        <f aca="false">IFERROR((S185-N185)/(S132-N132),"")</f>
        <v>0.203568438988533</v>
      </c>
      <c r="T222" s="37" t="n">
        <f aca="false">IFERROR((T185-O185)/(T132-O132),"")</f>
        <v>-0.803569473338438</v>
      </c>
      <c r="U222" s="37" t="n">
        <f aca="false">IFERROR((U185-P185)/(U132-P132),"")</f>
        <v>-0.892068322371643</v>
      </c>
      <c r="V222" s="37" t="n">
        <f aca="false">IFERROR((V185-Q185)/(V132-Q132),"")</f>
        <v>-0.606732117812055</v>
      </c>
      <c r="W222" s="37" t="n">
        <f aca="false">IFERROR((W185-R185)/(W132-R132),"")</f>
        <v>-0.329752953813107</v>
      </c>
      <c r="X222" s="37" t="n">
        <f aca="false">IFERROR((X185-S185)/(X132-S132),"")</f>
        <v>-0.653885166697818</v>
      </c>
      <c r="Y222" s="37" t="n">
        <f aca="false">IFERROR((Y185-T185)/(Y132-T132),"")</f>
        <v>0.228615991654014</v>
      </c>
      <c r="Z222" s="37" t="n">
        <f aca="false">IFERROR((Z185-U185)/(Z132-U132),"")</f>
        <v>0.227803262243865</v>
      </c>
      <c r="AA222" s="37" t="n">
        <f aca="false">IFERROR((AA185-V185)/(AA132-V132),"")</f>
        <v>0.216578387854825</v>
      </c>
      <c r="AB222" s="37" t="n">
        <f aca="false">IFERROR((AB185-W185)/(AB132-W132),"")</f>
        <v>0.223463383583548</v>
      </c>
      <c r="AC222" s="37" t="n">
        <f aca="false">IFERROR((AC185-X185)/(AC132-X132),"")</f>
        <v>0.222921702771061</v>
      </c>
      <c r="AD222" s="37" t="n">
        <f aca="false">IFERROR((AD185-Y185)/(AD132-Y132),"")</f>
        <v>0.29022469550609</v>
      </c>
      <c r="AE222" s="37" t="n">
        <f aca="false">IFERROR((AE185-Z185)/(AE132-Z132),"")</f>
        <v>0.110632940662616</v>
      </c>
      <c r="AF222" s="37" t="n">
        <f aca="false">IFERROR((AF185-AA185)/(AF132-AA132),"")</f>
        <v>0.214812765172477</v>
      </c>
      <c r="AG222" s="37" t="n">
        <f aca="false">IFERROR((AG185-AB185)/(AG132-AB132),"")</f>
        <v>0.233260713375206</v>
      </c>
      <c r="AH222" s="37" t="n">
        <f aca="false">IFERROR((AH185-AC185)/(AH132-AC132),"")</f>
        <v>0.245219813219183</v>
      </c>
      <c r="AI222" s="37" t="n">
        <f aca="false">IFERROR((AI185-AD185)/(AI132-AD132),"")</f>
        <v>0.216347956505436</v>
      </c>
      <c r="AJ222" s="37" t="n">
        <f aca="false">IFERROR((AJ185-AE185)/(AJ132-AE132),"")</f>
        <v>0.221402309397192</v>
      </c>
      <c r="AK222" s="37" t="n">
        <f aca="false">IFERROR((AK185-AF185)/(AK132-AF132),"")</f>
        <v>0.218195926663052</v>
      </c>
      <c r="AL222" s="37" t="n">
        <f aca="false">IFERROR((AL185-AG185)/(AL132-AG132),"")</f>
        <v>0.352642123177011</v>
      </c>
      <c r="AM222" s="37" t="n">
        <f aca="false">IFERROR((AM185-AH185)/(AM132-AH132),"")</f>
        <v>0.226869085741092</v>
      </c>
      <c r="AN222" s="37" t="n">
        <f aca="false">IFERROR((AN185-AI185)/(AN132-AI132),"")</f>
        <v>0.402373022481266</v>
      </c>
      <c r="AO222" s="37" t="n">
        <f aca="false">IFERROR((AO185-AJ185)/(AO132-AJ132),"")</f>
        <v>0.476164074865641</v>
      </c>
      <c r="AP222" s="37" t="n">
        <f aca="false">IFERROR((AP185-AK185)/(AP132-AK132),"")</f>
        <v>0.588076229719289</v>
      </c>
      <c r="AQ222" s="37" t="n">
        <f aca="false">IFERROR((AQ185-AL185)/(AQ132-AL132),"")</f>
        <v>0.435206957642133</v>
      </c>
      <c r="AR222" s="37" t="n">
        <f aca="false">IFERROR((AR185-AM185)/(AR132-AM132),"")</f>
        <v>0.473667876758302</v>
      </c>
      <c r="AS222" s="37" t="n">
        <f aca="false">IFERROR((AS185-AN185)/(AS132-AN132),"")</f>
        <v>0.369083807571312</v>
      </c>
      <c r="AT222" s="37" t="n">
        <f aca="false">IFERROR((AT185-AO185)/(AT132-AO132),"")</f>
        <v>0.453749970114998</v>
      </c>
      <c r="AU222" s="37" t="n">
        <f aca="false">IFERROR((AU185-AP185)/(AU132-AP132),"")</f>
        <v>0.312528250128587</v>
      </c>
      <c r="AV222" s="37" t="n">
        <f aca="false">IFERROR((AV185-AQ185)/(AV132-AQ132),"")</f>
        <v>0.603487877987436</v>
      </c>
      <c r="AW222" s="37" t="n">
        <f aca="false">IFERROR((AW185-AR185)/(AW132-AR132),"")</f>
        <v>0.174839355451023</v>
      </c>
      <c r="AX222" s="37" t="n">
        <f aca="false">IFERROR((AX185-AS185)/(AX132-AS132),"")</f>
        <v>-0.739498791896417</v>
      </c>
      <c r="AY222" s="37" t="n">
        <f aca="false">IFERROR((AY185-AT185)/(AY132-AT132),"")</f>
        <v>-0.0298035778134041</v>
      </c>
      <c r="AZ222" s="37" t="n">
        <f aca="false">IFERROR((AZ185-AU185)/(AZ132-AU132),"")</f>
        <v>-0.265598952131463</v>
      </c>
      <c r="BA222" s="37" t="n">
        <f aca="false">IFERROR((BA185-AV185)/(BA132-AV132),"")</f>
        <v>0.696108331752107</v>
      </c>
      <c r="BB222" s="37" t="n">
        <f aca="false">IFERROR((BB185-AW185)/(BB132-AW132),"")</f>
        <v>6.71569506726453</v>
      </c>
      <c r="BC222" s="37" t="n">
        <f aca="false">IFERROR((BC185-AX185)/(BC132-AX132),"")</f>
        <v>0.226340814630091</v>
      </c>
      <c r="BD222" s="37" t="n">
        <f aca="false">IFERROR((BD185-AY185)/(BD132-AY132),"")</f>
        <v>0.293730671233953</v>
      </c>
      <c r="BE222" s="37" t="n">
        <f aca="false">IFERROR((BE185-AZ185)/(BE132-AZ132),"")</f>
        <v>0.318285863771623</v>
      </c>
      <c r="BF222" s="37" t="n">
        <f aca="false">IFERROR((BF185-BA185)/(BF132-BA132),"")</f>
        <v>0.219253216190775</v>
      </c>
      <c r="BG222" s="37" t="n">
        <f aca="false">IFERROR((BG185-BB185)/(BG132-BB132),"")</f>
        <v>0.261987565690627</v>
      </c>
      <c r="BH222" s="37" t="n">
        <f aca="false">IFERROR((BH185-BC185)/(BH132-BC132),"")</f>
        <v>0.223540281405842</v>
      </c>
      <c r="BI222" s="37" t="n">
        <f aca="false">IFERROR((BI185-BD185)/(BI132-BD132),"")</f>
        <v>0.26219331134664</v>
      </c>
      <c r="BJ222" s="37" t="n">
        <f aca="false">IFERROR((BJ185-BE185)/(BJ132-BE132),"")</f>
        <v>0.311631596380816</v>
      </c>
      <c r="BK222" s="37" t="n">
        <f aca="false">IFERROR((BK185-BF185)/(BK132-BF132),"")</f>
        <v>0.329213242128845</v>
      </c>
      <c r="BL222" s="37" t="n">
        <f aca="false">IFERROR((BL185-BG185)/(BL132-BG132),"")</f>
        <v>0.277782401098501</v>
      </c>
      <c r="BM222" s="37" t="n">
        <f aca="false">IFERROR((BM185-BH185)/(BM132-BH132),"")</f>
        <v>0.382098751393027</v>
      </c>
      <c r="BN222" s="37" t="n">
        <f aca="false">IFERROR((BN185-BI185)/(BN132-BI132),"")</f>
        <v>0.310237792792572</v>
      </c>
      <c r="BO222" s="37" t="n">
        <f aca="false">IFERROR((BO185-BJ185)/(BO132-BJ132),"")</f>
        <v>0.381956361853395</v>
      </c>
      <c r="BP222" s="37" t="n">
        <f aca="false">IFERROR((BP185-BK185)/(BP132-BK132),"")</f>
        <v>0.464690235112407</v>
      </c>
      <c r="BQ222" s="37" t="n">
        <f aca="false">IFERROR((BQ185-BL185)/(BQ132-BL132),"")</f>
        <v>0.383162621054601</v>
      </c>
      <c r="BR222" s="37" t="n">
        <f aca="false">IFERROR((BR185-BM185)/(BR132-BM132),"")</f>
        <v>0.432426832101572</v>
      </c>
      <c r="BS222" s="37" t="n">
        <f aca="false">IFERROR((BS185-BN185)/(BS132-BN132),"")</f>
        <v>0.60953598474589</v>
      </c>
      <c r="BT222" s="37" t="n">
        <f aca="false">IFERROR((BT185-BO185)/(BT132-BO132),"")</f>
        <v>0.515730148877264</v>
      </c>
      <c r="BU222" s="37" t="n">
        <f aca="false">IFERROR((BU185-BP185)/(BU132-BP132),"")</f>
        <v>0.288815913215433</v>
      </c>
      <c r="BV222" s="37" t="n">
        <f aca="false">IFERROR((BV185-BQ185)/(BV132-BQ132),"")</f>
        <v>0.461145345537584</v>
      </c>
      <c r="BW222" s="37" t="n">
        <f aca="false">IFERROR((BW185-BR185)/(BW132-BR132),"")</f>
        <v>0.312009605837393</v>
      </c>
      <c r="BX222" s="37" t="n">
        <f aca="false">IFERROR((BX185-BS185)/(BX132-BS132),"")</f>
        <v>0.25936047756382</v>
      </c>
      <c r="BY222" s="37" t="n">
        <f aca="false">IFERROR((BY185-BT185)/(BY132-BT132),"")</f>
        <v>0.222459478657683</v>
      </c>
      <c r="BZ222" s="37" t="n">
        <f aca="false">IFERROR((BZ185-BU185)/(BZ132-BU132),"")</f>
        <v>0.414462578562076</v>
      </c>
      <c r="CA222" s="37" t="n">
        <f aca="false">IFERROR((CA185-BV185)/(CA132-BV132),"")</f>
        <v>0.303472928248503</v>
      </c>
      <c r="CB222" s="37" t="n">
        <f aca="false">IFERROR((CB185-BW185)/(CB132-BW132),"")</f>
        <v>0.371220750425033</v>
      </c>
      <c r="CC222" s="28" t="n">
        <f aca="false">IFERROR((CC185-BX185)/(CC132-BX132),"")</f>
        <v>0.250503144371324</v>
      </c>
      <c r="CD222" s="28" t="n">
        <f aca="false">IFERROR((CD185-BY185)/(CD132-BY132),"")</f>
        <v>0.166767480207864</v>
      </c>
      <c r="CE222" s="28" t="n">
        <f aca="false">IFERROR((CE185-BZ185)/(CE132-BZ132),"")</f>
        <v>0.15872527902293</v>
      </c>
      <c r="CF222" s="28" t="n">
        <f aca="false">IFERROR((CF185-CA185)/(CF132-CA132),"")</f>
        <v>0.201590737520892</v>
      </c>
      <c r="CG222" s="28" t="n">
        <f aca="false">IFERROR((CG185-CF185)/(CG132-CF132),"")</f>
        <v>0.266191018516586</v>
      </c>
      <c r="CH222" s="28" t="n">
        <f aca="false">IFERROR((CH185-CG185)/(CH132-CG132),"")</f>
        <v>0.41821986497679</v>
      </c>
      <c r="CI222" s="28" t="n">
        <f aca="false">IFERROR((CI185-CH185)/(CI132-CH132),"")</f>
        <v>0.412570532334999</v>
      </c>
      <c r="CJ222" s="28" t="n">
        <f aca="false">IFERROR((CJ185-CI185)/(CJ132-CI132),"")</f>
        <v>0.371827377260097</v>
      </c>
      <c r="CK222" s="23"/>
    </row>
    <row r="223" customFormat="false" ht="15" hidden="false" customHeight="true" outlineLevel="0" collapsed="false">
      <c r="B223" s="29" t="s">
        <v>396</v>
      </c>
      <c r="C223" s="37" t="n">
        <f aca="false">C144</f>
        <v>0.160664212800064</v>
      </c>
      <c r="D223" s="37" t="n">
        <f aca="false">D144</f>
        <v>0.15576276673231</v>
      </c>
      <c r="E223" s="37" t="n">
        <f aca="false">E144</f>
        <v>0.146640341298662</v>
      </c>
      <c r="F223" s="37" t="n">
        <f aca="false">F144</f>
        <v>0.108370632251433</v>
      </c>
      <c r="G223" s="37" t="n">
        <f aca="false">G144</f>
        <v>0.110169622920166</v>
      </c>
      <c r="H223" s="37" t="n">
        <f aca="false">H144</f>
        <v>0.115563943161634</v>
      </c>
      <c r="I223" s="37" t="n">
        <f aca="false">I144</f>
        <v>0.13155216967333</v>
      </c>
      <c r="J223" s="37" t="n">
        <f aca="false">J144</f>
        <v>0.132493757876965</v>
      </c>
      <c r="K223" s="37" t="n">
        <f aca="false">K144</f>
        <v>0.131106031199959</v>
      </c>
      <c r="L223" s="37" t="n">
        <f aca="false">L144</f>
        <v>0.123664790633593</v>
      </c>
      <c r="M223" s="37" t="n">
        <f aca="false">M144</f>
        <v>0.136279255964559</v>
      </c>
      <c r="N223" s="37" t="n">
        <f aca="false">N144</f>
        <v>0.130942846598529</v>
      </c>
      <c r="O223" s="37" t="n">
        <f aca="false">O144</f>
        <v>0.125024211335279</v>
      </c>
      <c r="P223" s="37" t="n">
        <f aca="false">P144</f>
        <v>0.133745660120673</v>
      </c>
      <c r="Q223" s="37" t="n">
        <f aca="false">Q144</f>
        <v>0.13285886057526</v>
      </c>
      <c r="R223" s="37" t="n">
        <f aca="false">R144</f>
        <v>0.106961767772893</v>
      </c>
      <c r="S223" s="37" t="n">
        <f aca="false">S144</f>
        <v>0.124567974248497</v>
      </c>
      <c r="T223" s="37" t="n">
        <f aca="false">T144</f>
        <v>0.148345351549846</v>
      </c>
      <c r="U223" s="37" t="n">
        <f aca="false">U144</f>
        <v>0.161276826431685</v>
      </c>
      <c r="V223" s="37" t="n">
        <f aca="false">V144</f>
        <v>0.156574351556166</v>
      </c>
      <c r="W223" s="37" t="n">
        <f aca="false">W144</f>
        <v>0.155541435501841</v>
      </c>
      <c r="X223" s="37" t="n">
        <f aca="false">X144</f>
        <v>0.155556116461308</v>
      </c>
      <c r="Y223" s="37" t="n">
        <f aca="false">Y144</f>
        <v>0.154732294038653</v>
      </c>
      <c r="Z223" s="37" t="n">
        <f aca="false">Z144</f>
        <v>0.164344423663746</v>
      </c>
      <c r="AA223" s="37" t="n">
        <f aca="false">AA144</f>
        <v>0.158666801525883</v>
      </c>
      <c r="AB223" s="37" t="n">
        <f aca="false">AB144</f>
        <v>0.159618689559975</v>
      </c>
      <c r="AC223" s="37" t="n">
        <f aca="false">AC144</f>
        <v>0.159362897409375</v>
      </c>
      <c r="AD223" s="37" t="n">
        <f aca="false">AD144</f>
        <v>0.159922882554303</v>
      </c>
      <c r="AE223" s="37" t="n">
        <f aca="false">AE144</f>
        <v>0.156414837272529</v>
      </c>
      <c r="AF223" s="37" t="n">
        <f aca="false">AF144</f>
        <v>0.151970713468916</v>
      </c>
      <c r="AG223" s="37" t="n">
        <f aca="false">AG144</f>
        <v>0.115865847386797</v>
      </c>
      <c r="AH223" s="37" t="n">
        <f aca="false">AH144</f>
        <v>0.145338272800688</v>
      </c>
      <c r="AI223" s="37" t="n">
        <f aca="false">AI144</f>
        <v>0.154575573238151</v>
      </c>
      <c r="AJ223" s="37" t="n">
        <f aca="false">AJ144</f>
        <v>0.146417453239802</v>
      </c>
      <c r="AK223" s="37" t="n">
        <f aca="false">AK144</f>
        <v>0.125869496544668</v>
      </c>
      <c r="AL223" s="37" t="n">
        <f aca="false">AL144</f>
        <v>0.159024886945584</v>
      </c>
      <c r="AM223" s="37" t="n">
        <f aca="false">AM144</f>
        <v>0.146655545660152</v>
      </c>
      <c r="AN223" s="37" t="n">
        <f aca="false">AN144</f>
        <v>0.156202535373018</v>
      </c>
      <c r="AO223" s="37" t="n">
        <f aca="false">AO144</f>
        <v>0.160417350494801</v>
      </c>
      <c r="AP223" s="37" t="n">
        <f aca="false">AP144</f>
        <v>0.165398584106566</v>
      </c>
      <c r="AQ223" s="37" t="n">
        <f aca="false">AQ144</f>
        <v>0.175283348107017</v>
      </c>
      <c r="AR223" s="37" t="n">
        <f aca="false">AR144</f>
        <v>0.164463750360366</v>
      </c>
      <c r="AS223" s="37" t="n">
        <f aca="false">AS144</f>
        <v>0.169035065779048</v>
      </c>
      <c r="AT223" s="37" t="n">
        <f aca="false">AT144</f>
        <v>0.181404301778604</v>
      </c>
      <c r="AU223" s="37" t="n">
        <f aca="false">AU144</f>
        <v>0.173778669294087</v>
      </c>
      <c r="AV223" s="37" t="n">
        <f aca="false">AV144</f>
        <v>0.128078568323718</v>
      </c>
      <c r="AW223" s="37" t="n">
        <f aca="false">AW144</f>
        <v>0.16410392484531</v>
      </c>
      <c r="AX223" s="37" t="n">
        <f aca="false">AX144</f>
        <v>0.200223866710562</v>
      </c>
      <c r="AY223" s="37" t="n">
        <f aca="false">AY144</f>
        <v>0.200832305093543</v>
      </c>
      <c r="AZ223" s="37" t="n">
        <f aca="false">AZ144</f>
        <v>0.183712837411989</v>
      </c>
      <c r="BA223" s="37" t="n">
        <f aca="false">BA144</f>
        <v>0.194178554754936</v>
      </c>
      <c r="BB223" s="37" t="n">
        <f aca="false">BB144</f>
        <v>0.194691653293688</v>
      </c>
      <c r="BC223" s="37" t="n">
        <f aca="false">BC144</f>
        <v>0.207755080523999</v>
      </c>
      <c r="BD223" s="37" t="n">
        <f aca="false">BD144</f>
        <v>0.198320640946875</v>
      </c>
      <c r="BE223" s="37" t="n">
        <f aca="false">BE144</f>
        <v>0.207904242806326</v>
      </c>
      <c r="BF223" s="37" t="n">
        <f aca="false">BF144</f>
        <v>0.194938414776983</v>
      </c>
      <c r="BG223" s="37" t="n">
        <f aca="false">BG144</f>
        <v>0.202097942073413</v>
      </c>
      <c r="BH223" s="37" t="n">
        <f aca="false">BH144</f>
        <v>0.203152247866791</v>
      </c>
      <c r="BI223" s="37" t="n">
        <f aca="false">BI144</f>
        <v>0.204580712855736</v>
      </c>
      <c r="BJ223" s="37" t="n">
        <f aca="false">BJ144</f>
        <v>0.204025048561954</v>
      </c>
      <c r="BK223" s="37" t="n">
        <f aca="false">BK144</f>
        <v>0.206086223024937</v>
      </c>
      <c r="BL223" s="37" t="n">
        <f aca="false">BL144</f>
        <v>0.204481764438247</v>
      </c>
      <c r="BM223" s="37" t="n">
        <f aca="false">BM144</f>
        <v>0.213700033727101</v>
      </c>
      <c r="BN223" s="37" t="n">
        <f aca="false">BN144</f>
        <v>0.210200165995212</v>
      </c>
      <c r="BO223" s="37" t="n">
        <f aca="false">BO144</f>
        <v>0.216443289821638</v>
      </c>
      <c r="BP223" s="37" t="n">
        <f aca="false">BP144</f>
        <v>0.221614085356353</v>
      </c>
      <c r="BQ223" s="37" t="n">
        <f aca="false">BQ144</f>
        <v>0.215558611031077</v>
      </c>
      <c r="BR223" s="37" t="n">
        <f aca="false">BR144</f>
        <v>0.224270033382809</v>
      </c>
      <c r="BS223" s="37" t="n">
        <f aca="false">BS144</f>
        <v>0.230850934681041</v>
      </c>
      <c r="BT223" s="37" t="n">
        <f aca="false">BT144</f>
        <v>0.233735468018622</v>
      </c>
      <c r="BU223" s="37" t="n">
        <f aca="false">BU144</f>
        <v>0.223961746134803</v>
      </c>
      <c r="BV223" s="37" t="n">
        <f aca="false">BV144</f>
        <v>0.228209351461062</v>
      </c>
      <c r="BW223" s="37" t="n">
        <f aca="false">BW144</f>
        <v>0.227310988984306</v>
      </c>
      <c r="BX223" s="37" t="n">
        <f aca="false">BX144</f>
        <v>0.234184240526402</v>
      </c>
      <c r="BY223" s="37" t="n">
        <f aca="false">BY144</f>
        <v>0.232242479528015</v>
      </c>
      <c r="BZ223" s="37" t="n">
        <f aca="false">BZ144</f>
        <v>0.231665394810621</v>
      </c>
      <c r="CA223" s="37" t="n">
        <f aca="false">CA144</f>
        <v>0.231386356088691</v>
      </c>
      <c r="CB223" s="37" t="n">
        <f aca="false">CB144</f>
        <v>0.236194919609646</v>
      </c>
      <c r="CC223" s="28" t="n">
        <f aca="false">CC144</f>
        <v>0.230438115835709</v>
      </c>
      <c r="CD223" s="28" t="n">
        <f aca="false">CD144</f>
        <v>0.178135554626291</v>
      </c>
      <c r="CE223" s="28" t="n">
        <f aca="false">CE144</f>
        <v>0.194719180061714</v>
      </c>
      <c r="CF223" s="28" t="n">
        <f aca="false">CF144</f>
        <v>0.207890193390069</v>
      </c>
      <c r="CG223" s="28" t="n">
        <f aca="false">CG144</f>
        <v>0.206118981113469</v>
      </c>
      <c r="CH223" s="28" t="n">
        <f aca="false">CH144</f>
        <v>0.22094750904132</v>
      </c>
      <c r="CI223" s="28" t="n">
        <f aca="false">CI144</f>
        <v>0.235876638286476</v>
      </c>
      <c r="CJ223" s="28" t="n">
        <f aca="false">CJ144</f>
        <v>0.243597709799012</v>
      </c>
      <c r="CK223" s="23"/>
    </row>
    <row r="224" customFormat="false" ht="15" hidden="false" customHeight="true" outlineLevel="0" collapsed="false">
      <c r="B224" s="29" t="s">
        <v>510</v>
      </c>
      <c r="C224" s="37" t="n">
        <f aca="false">C193</f>
        <v>0.160664212800064</v>
      </c>
      <c r="D224" s="37" t="n">
        <f aca="false">D193</f>
        <v>0.15576276673231</v>
      </c>
      <c r="E224" s="37" t="n">
        <f aca="false">E193</f>
        <v>0.146640341298662</v>
      </c>
      <c r="F224" s="37" t="n">
        <f aca="false">F193</f>
        <v>0.13130844030694</v>
      </c>
      <c r="G224" s="37" t="n">
        <f aca="false">G193</f>
        <v>0.115990605916153</v>
      </c>
      <c r="H224" s="37" t="n">
        <f aca="false">H193</f>
        <v>0.115563943161634</v>
      </c>
      <c r="I224" s="37" t="n">
        <f aca="false">I193</f>
        <v>0.13155216967333</v>
      </c>
      <c r="J224" s="37" t="n">
        <f aca="false">J193</f>
        <v>0.132493757876965</v>
      </c>
      <c r="K224" s="37" t="n">
        <f aca="false">K193</f>
        <v>0.131106031199959</v>
      </c>
      <c r="L224" s="37" t="n">
        <f aca="false">L193</f>
        <v>0.123664790633594</v>
      </c>
      <c r="M224" s="37" t="n">
        <f aca="false">M193</f>
        <v>0.136279255964559</v>
      </c>
      <c r="N224" s="37" t="n">
        <f aca="false">N193</f>
        <v>0.130942846598529</v>
      </c>
      <c r="O224" s="37" t="n">
        <f aca="false">O193</f>
        <v>0.125024211335279</v>
      </c>
      <c r="P224" s="37" t="n">
        <f aca="false">P193</f>
        <v>0.133745660120673</v>
      </c>
      <c r="Q224" s="37" t="n">
        <f aca="false">Q193</f>
        <v>0.13285886057526</v>
      </c>
      <c r="R224" s="37" t="n">
        <f aca="false">R193</f>
        <v>0.14365012237803</v>
      </c>
      <c r="S224" s="37" t="n">
        <f aca="false">S193</f>
        <v>0.134371542585678</v>
      </c>
      <c r="T224" s="37" t="n">
        <f aca="false">T193</f>
        <v>0.148345351549846</v>
      </c>
      <c r="U224" s="37" t="n">
        <f aca="false">U193</f>
        <v>0.161276826431685</v>
      </c>
      <c r="V224" s="37" t="n">
        <f aca="false">V193</f>
        <v>0.156574351556166</v>
      </c>
      <c r="W224" s="37" t="n">
        <f aca="false">W193</f>
        <v>0.155541435501841</v>
      </c>
      <c r="X224" s="37" t="n">
        <f aca="false">X193</f>
        <v>0.155556116461308</v>
      </c>
      <c r="Y224" s="37" t="n">
        <f aca="false">Y193</f>
        <v>0.154732294038653</v>
      </c>
      <c r="Z224" s="37" t="n">
        <f aca="false">Z193</f>
        <v>0.164344423663746</v>
      </c>
      <c r="AA224" s="37" t="n">
        <f aca="false">AA193</f>
        <v>0.158666801525883</v>
      </c>
      <c r="AB224" s="37" t="n">
        <f aca="false">AB193</f>
        <v>0.159618689559975</v>
      </c>
      <c r="AC224" s="37" t="n">
        <f aca="false">AC193</f>
        <v>0.159362897409375</v>
      </c>
      <c r="AD224" s="37" t="n">
        <f aca="false">AD193</f>
        <v>0.162076452906586</v>
      </c>
      <c r="AE224" s="37" t="n">
        <f aca="false">AE193</f>
        <v>0.158995561031765</v>
      </c>
      <c r="AF224" s="37" t="n">
        <f aca="false">AF193</f>
        <v>0.159264246156728</v>
      </c>
      <c r="AG224" s="37" t="n">
        <f aca="false">AG193</f>
        <v>0.157522085726403</v>
      </c>
      <c r="AH224" s="37" t="n">
        <f aca="false">AH193</f>
        <v>0.160220544048979</v>
      </c>
      <c r="AI224" s="37" t="n">
        <f aca="false">AI193</f>
        <v>0.157039732473349</v>
      </c>
      <c r="AJ224" s="37" t="n">
        <f aca="false">AJ193</f>
        <v>0.154555940741054</v>
      </c>
      <c r="AK224" s="37" t="n">
        <f aca="false">AK193</f>
        <v>0.157220455366368</v>
      </c>
      <c r="AL224" s="37" t="n">
        <f aca="false">AL193</f>
        <v>0.168027911712737</v>
      </c>
      <c r="AM224" s="37" t="n">
        <f aca="false">AM193</f>
        <v>0.159300543862921</v>
      </c>
      <c r="AN224" s="37" t="n">
        <f aca="false">AN193</f>
        <v>0.15905887895876</v>
      </c>
      <c r="AO224" s="37" t="n">
        <f aca="false">AO193</f>
        <v>0.164984158466549</v>
      </c>
      <c r="AP224" s="37" t="n">
        <f aca="false">AP193</f>
        <v>0.165873520652904</v>
      </c>
      <c r="AQ224" s="37" t="n">
        <f aca="false">AQ193</f>
        <v>0.175792900826769</v>
      </c>
      <c r="AR224" s="37" t="n">
        <f aca="false">AR193</f>
        <v>0.166554488390891</v>
      </c>
      <c r="AS224" s="37" t="n">
        <f aca="false">AS193</f>
        <v>0.169035065779048</v>
      </c>
      <c r="AT224" s="37" t="n">
        <f aca="false">AT193</f>
        <v>0.181404301778604</v>
      </c>
      <c r="AU224" s="37" t="n">
        <f aca="false">AU193</f>
        <v>0.173778669294087</v>
      </c>
      <c r="AV224" s="37" t="n">
        <f aca="false">AV193</f>
        <v>0.128078568323718</v>
      </c>
      <c r="AW224" s="37" t="n">
        <f aca="false">AW193</f>
        <v>0.16410392484531</v>
      </c>
      <c r="AX224" s="37" t="n">
        <f aca="false">AX193</f>
        <v>0.200223866710562</v>
      </c>
      <c r="AY224" s="37" t="n">
        <f aca="false">AY193</f>
        <v>0.190608907667861</v>
      </c>
      <c r="AZ224" s="37" t="n">
        <f aca="false">AZ193</f>
        <v>0.181519321844669</v>
      </c>
      <c r="BA224" s="37" t="n">
        <f aca="false">BA193</f>
        <v>0.194086489825736</v>
      </c>
      <c r="BB224" s="37" t="n">
        <f aca="false">BB193</f>
        <v>0.191595960845041</v>
      </c>
      <c r="BC224" s="37" t="n">
        <f aca="false">BC193</f>
        <v>0.201361132344026</v>
      </c>
      <c r="BD224" s="37" t="n">
        <f aca="false">BD193</f>
        <v>0.198320640946875</v>
      </c>
      <c r="BE224" s="37" t="n">
        <f aca="false">BE193</f>
        <v>0.192525332280563</v>
      </c>
      <c r="BF224" s="37" t="n">
        <f aca="false">BF193</f>
        <v>0.194938414776983</v>
      </c>
      <c r="BG224" s="37" t="n">
        <f aca="false">BG193</f>
        <v>0.196715012453436</v>
      </c>
      <c r="BH224" s="37" t="n">
        <f aca="false">BH193</f>
        <v>0.203152247866791</v>
      </c>
      <c r="BI224" s="37" t="n">
        <f aca="false">BI193</f>
        <v>0.204580712855736</v>
      </c>
      <c r="BJ224" s="37" t="n">
        <f aca="false">BJ193</f>
        <v>0.204025048561954</v>
      </c>
      <c r="BK224" s="37" t="n">
        <f aca="false">BK193</f>
        <v>0.206086223024937</v>
      </c>
      <c r="BL224" s="37" t="n">
        <f aca="false">BL193</f>
        <v>0.204481764438247</v>
      </c>
      <c r="BM224" s="37" t="n">
        <f aca="false">BM193</f>
        <v>0.213700033727101</v>
      </c>
      <c r="BN224" s="37" t="n">
        <f aca="false">BN193</f>
        <v>0.210200165995212</v>
      </c>
      <c r="BO224" s="37" t="n">
        <f aca="false">BO193</f>
        <v>0.216443289821638</v>
      </c>
      <c r="BP224" s="37" t="n">
        <f aca="false">BP193</f>
        <v>0.221614085356353</v>
      </c>
      <c r="BQ224" s="37" t="n">
        <f aca="false">BQ193</f>
        <v>0.215558611031077</v>
      </c>
      <c r="BR224" s="37" t="n">
        <f aca="false">BR193</f>
        <v>0.224270033382809</v>
      </c>
      <c r="BS224" s="37" t="n">
        <f aca="false">BS193</f>
        <v>0.230850934681041</v>
      </c>
      <c r="BT224" s="37" t="n">
        <f aca="false">BT193</f>
        <v>0.233735468018622</v>
      </c>
      <c r="BU224" s="37" t="n">
        <f aca="false">BU193</f>
        <v>0.223961746134803</v>
      </c>
      <c r="BV224" s="37" t="n">
        <f aca="false">BV193</f>
        <v>0.228209351461062</v>
      </c>
      <c r="BW224" s="37" t="n">
        <f aca="false">BW193</f>
        <v>0.227310988984306</v>
      </c>
      <c r="BX224" s="37" t="n">
        <f aca="false">BX193</f>
        <v>0.234184240526402</v>
      </c>
      <c r="BY224" s="37" t="n">
        <f aca="false">BY193</f>
        <v>0.232242479528015</v>
      </c>
      <c r="BZ224" s="37" t="n">
        <f aca="false">BZ193</f>
        <v>0.236492596214447</v>
      </c>
      <c r="CA224" s="37" t="n">
        <f aca="false">CA193</f>
        <v>0.232730015310578</v>
      </c>
      <c r="CB224" s="37" t="n">
        <f aca="false">CB193</f>
        <v>0.240976635220992</v>
      </c>
      <c r="CC224" s="28" t="n">
        <f aca="false">CC193</f>
        <v>0.235418064819008</v>
      </c>
      <c r="CD224" s="28" t="n">
        <f aca="false">CD193</f>
        <v>0.209379847679792</v>
      </c>
      <c r="CE224" s="28" t="n">
        <f aca="false">CE193</f>
        <v>0.203065562548556</v>
      </c>
      <c r="CF224" s="28" t="n">
        <f aca="false">CF193</f>
        <v>0.220662964677241</v>
      </c>
      <c r="CG224" s="28" t="n">
        <f aca="false">CG193</f>
        <v>0.216030318133185</v>
      </c>
      <c r="CH224" s="28" t="n">
        <f aca="false">CH193</f>
        <v>0.227082785915566</v>
      </c>
      <c r="CI224" s="28" t="n">
        <f aca="false">CI193</f>
        <v>0.237775627456518</v>
      </c>
      <c r="CJ224" s="28" t="n">
        <f aca="false">CJ193</f>
        <v>0.243597709799012</v>
      </c>
      <c r="CK224" s="23"/>
    </row>
    <row r="225" customFormat="false" ht="15" hidden="false" customHeight="true" outlineLevel="0" collapsed="false">
      <c r="B225" s="29" t="s">
        <v>511</v>
      </c>
      <c r="C225" s="37" t="n">
        <f aca="false">IF(AND(ISNUMBER(C154),ISNUMBER(C132)),IFERROR(C154/C132,""),"")</f>
        <v>0.0961268160140651</v>
      </c>
      <c r="D225" s="37" t="n">
        <f aca="false">IF(AND(ISNUMBER(D154),ISNUMBER(D132)),IFERROR(D154/D132,""),"")</f>
        <v>0.0902473765140684</v>
      </c>
      <c r="E225" s="37" t="n">
        <f aca="false">IF(AND(ISNUMBER(E154),ISNUMBER(E132)),IFERROR(E154/E132,""),"")</f>
        <v>0.085173569669113</v>
      </c>
      <c r="F225" s="37" t="n">
        <f aca="false">IF(AND(ISNUMBER(F154),ISNUMBER(F132)),IFERROR(F154/F132,""),"")</f>
        <v>0.0599671230844428</v>
      </c>
      <c r="G225" s="37" t="n">
        <f aca="false">IF(AND(ISNUMBER(G154),ISNUMBER(G132)),IFERROR(G154/G132,""),"")</f>
        <v>0.0607835901784408</v>
      </c>
      <c r="H225" s="37" t="n">
        <f aca="false">IF(AND(ISNUMBER(H154),ISNUMBER(H132)),IFERROR(H154/H132,""),"")</f>
        <v>0.0648199761493854</v>
      </c>
      <c r="I225" s="37" t="n">
        <f aca="false">IF(AND(ISNUMBER(I154),ISNUMBER(I132)),IFERROR(I154/I132,""),"")</f>
        <v>0.0725589956118967</v>
      </c>
      <c r="J225" s="37" t="n">
        <f aca="false">IF(AND(ISNUMBER(J154),ISNUMBER(J132)),IFERROR(J154/J132,""),"")</f>
        <v>0.0729869450455378</v>
      </c>
      <c r="K225" s="37" t="n">
        <f aca="false">IF(AND(ISNUMBER(K154),ISNUMBER(K132)),IFERROR(K154/K132,""),"")</f>
        <v>0.0735835818277495</v>
      </c>
      <c r="L225" s="37" t="n">
        <f aca="false">IF(AND(ISNUMBER(L154),ISNUMBER(L132)),IFERROR(L154/L132,""),"")</f>
        <v>0.0694494800469288</v>
      </c>
      <c r="M225" s="37" t="n">
        <f aca="false">IF(AND(ISNUMBER(M154),ISNUMBER(M132)),IFERROR(M154/M132,""),"")</f>
        <v>0.076147432525069</v>
      </c>
      <c r="N225" s="37" t="n">
        <f aca="false">IF(AND(ISNUMBER(N154),ISNUMBER(N132)),IFERROR(N154/N132,""),"")</f>
        <v>0.0730786793192864</v>
      </c>
      <c r="O225" s="37" t="n">
        <f aca="false">IF(AND(ISNUMBER(O154),ISNUMBER(O132)),IFERROR(O154/O132,""),"")</f>
        <v>0.0694019599354841</v>
      </c>
      <c r="P225" s="37" t="n">
        <f aca="false">IF(AND(ISNUMBER(P154),ISNUMBER(P132)),IFERROR(P154/P132,""),"")</f>
        <v>0.0741960895403116</v>
      </c>
      <c r="Q225" s="37" t="n">
        <f aca="false">IF(AND(ISNUMBER(Q154),ISNUMBER(Q132)),IFERROR(Q154/Q132,""),"")</f>
        <v>0.0748533272225207</v>
      </c>
      <c r="R225" s="37" t="n">
        <f aca="false">IF(AND(ISNUMBER(R154),ISNUMBER(R132)),IFERROR(R154/R132,""),"")</f>
        <v>0.109914737114021</v>
      </c>
      <c r="S225" s="37" t="n">
        <f aca="false">IF(AND(ISNUMBER(S154),ISNUMBER(S132)),IFERROR(S154/S132,""),"")</f>
        <v>0.0822621848178264</v>
      </c>
      <c r="T225" s="37" t="n">
        <f aca="false">IF(AND(ISNUMBER(T154),ISNUMBER(T132)),IFERROR(T154/T132,""),"")</f>
        <v>0.099909534451767</v>
      </c>
      <c r="U225" s="37" t="n">
        <f aca="false">IF(AND(ISNUMBER(U154),ISNUMBER(U132)),IFERROR(U154/U132,""),"")</f>
        <v>0.107187333927374</v>
      </c>
      <c r="V225" s="37" t="n">
        <f aca="false">IF(AND(ISNUMBER(V154),ISNUMBER(V132)),IFERROR(V154/V132,""),"")</f>
        <v>0.0855690640818797</v>
      </c>
      <c r="W225" s="37" t="n">
        <f aca="false">IF(AND(ISNUMBER(W154),ISNUMBER(W132)),IFERROR(W154/W132,""),"")</f>
        <v>0.0920852139406941</v>
      </c>
      <c r="X225" s="37" t="n">
        <f aca="false">IF(AND(ISNUMBER(X154),ISNUMBER(X132)),IFERROR(X154/X132,""),"")</f>
        <v>0.0961869478025575</v>
      </c>
      <c r="Y225" s="37" t="n">
        <f aca="false">IF(AND(ISNUMBER(Y154),ISNUMBER(Y132)),IFERROR(Y154/Y132,""),"")</f>
        <v>0.0835614610181085</v>
      </c>
      <c r="Z225" s="37" t="n">
        <f aca="false">IF(AND(ISNUMBER(Z154),ISNUMBER(Z132)),IFERROR(Z154/Z132,""),"")</f>
        <v>0.283082324375759</v>
      </c>
      <c r="AA225" s="37" t="n">
        <f aca="false">IF(AND(ISNUMBER(AA154),ISNUMBER(AA132)),IFERROR(AA154/AA132,""),"")</f>
        <v>0.0964909467528121</v>
      </c>
      <c r="AB225" s="37" t="n">
        <f aca="false">IF(AND(ISNUMBER(AB154),ISNUMBER(AB132)),IFERROR(AB154/AB132,""),"")</f>
        <v>0.102955391869624</v>
      </c>
      <c r="AC225" s="37" t="n">
        <f aca="false">IF(AND(ISNUMBER(AC154),ISNUMBER(AC132)),IFERROR(AC154/AC132,""),"")</f>
        <v>0.141377216969343</v>
      </c>
      <c r="AD225" s="37" t="n">
        <f aca="false">IF(AND(ISNUMBER(AD154),ISNUMBER(AD132)),IFERROR(AD154/AD132,""),"")</f>
        <v>0.106705663264123</v>
      </c>
      <c r="AE225" s="37" t="n">
        <f aca="false">IF(AND(ISNUMBER(AE154),ISNUMBER(AE132)),IFERROR(AE154/AE132,""),"")</f>
        <v>0.108238499895522</v>
      </c>
      <c r="AF225" s="37" t="n">
        <f aca="false">IF(AND(ISNUMBER(AF154),ISNUMBER(AF132)),IFERROR(AF154/AF132,""),"")</f>
        <v>0.0921097308246204</v>
      </c>
      <c r="AG225" s="37" t="n">
        <f aca="false">IF(AND(ISNUMBER(AG154),ISNUMBER(AG132)),IFERROR(AG154/AG132,""),"")</f>
        <v>0.0550465370221403</v>
      </c>
      <c r="AH225" s="37" t="n">
        <f aca="false">IF(AND(ISNUMBER(AH154),ISNUMBER(AH132)),IFERROR(AH154/AH132,""),"")</f>
        <v>0.0903012577908664</v>
      </c>
      <c r="AI225" s="37" t="n">
        <f aca="false">IF(AND(ISNUMBER(AI154),ISNUMBER(AI132)),IFERROR(AI154/AI132,""),"")</f>
        <v>0.134787834710826</v>
      </c>
      <c r="AJ225" s="37" t="n">
        <f aca="false">IF(AND(ISNUMBER(AJ154),ISNUMBER(AJ132)),IFERROR(AJ154/AJ132,""),"")</f>
        <v>0.0853495397590077</v>
      </c>
      <c r="AK225" s="37" t="n">
        <f aca="false">IF(AND(ISNUMBER(AK154),ISNUMBER(AK132)),IFERROR(AK154/AK132,""),"")</f>
        <v>0.19009991580341</v>
      </c>
      <c r="AL225" s="37" t="n">
        <f aca="false">IF(AND(ISNUMBER(AL154),ISNUMBER(AL132)),IFERROR(AL154/AL132,""),"")</f>
        <v>0.111509688239346</v>
      </c>
      <c r="AM225" s="37" t="n">
        <f aca="false">IF(AND(ISNUMBER(AM154),ISNUMBER(AM132)),IFERROR(AM154/AM132,""),"")</f>
        <v>0.130096321668423</v>
      </c>
      <c r="AN225" s="37" t="n">
        <f aca="false">IF(AND(ISNUMBER(AN154),ISNUMBER(AN132)),IFERROR(AN154/AN132,""),"")</f>
        <v>0.125157908685346</v>
      </c>
      <c r="AO225" s="37" t="n">
        <f aca="false">IF(AND(ISNUMBER(AO154),ISNUMBER(AO132)),IFERROR(AO154/AO132,""),"")</f>
        <v>0.1414290436649</v>
      </c>
      <c r="AP225" s="37" t="n">
        <f aca="false">IF(AND(ISNUMBER(AP154),ISNUMBER(AP132)),IFERROR(AP154/AP132,""),"")</f>
        <v>0.120864515285348</v>
      </c>
      <c r="AQ225" s="37" t="n">
        <f aca="false">IF(AND(ISNUMBER(AQ154),ISNUMBER(AQ132)),IFERROR(AQ154/AQ132,""),"")</f>
        <v>0.126060778378017</v>
      </c>
      <c r="AR225" s="37" t="n">
        <f aca="false">IF(AND(ISNUMBER(AR154),ISNUMBER(AR132)),IFERROR(AR154/AR132,""),"")</f>
        <v>0.128401348576811</v>
      </c>
      <c r="AS225" s="37" t="n">
        <f aca="false">IF(AND(ISNUMBER(AS154),ISNUMBER(AS132)),IFERROR(AS154/AS132,""),"")</f>
        <v>0.138483020905629</v>
      </c>
      <c r="AT225" s="37" t="n">
        <f aca="false">IF(AND(ISNUMBER(AT154),ISNUMBER(AT132)),IFERROR(AT154/AT132,""),"")</f>
        <v>0.133488885960074</v>
      </c>
      <c r="AU225" s="37" t="n">
        <f aca="false">IF(AND(ISNUMBER(AU154),ISNUMBER(AU132)),IFERROR(AU154/AU132,""),"")</f>
        <v>0.129522690219192</v>
      </c>
      <c r="AV225" s="37" t="n">
        <f aca="false">IF(AND(ISNUMBER(AV154),ISNUMBER(AV132)),IFERROR(AV154/AV132,""),"")</f>
        <v>0.0892729244052794</v>
      </c>
      <c r="AW225" s="37" t="n">
        <f aca="false">IF(AND(ISNUMBER(AW154),ISNUMBER(AW132)),IFERROR(AW154/AW132,""),"")</f>
        <v>0.123644624226548</v>
      </c>
      <c r="AX225" s="37" t="n">
        <f aca="false">IF(AND(ISNUMBER(AX154),ISNUMBER(AX132)),IFERROR(AX154/AX132,""),"")</f>
        <v>0.171767602307373</v>
      </c>
      <c r="AY225" s="37" t="n">
        <f aca="false">IF(AND(ISNUMBER(AY154),ISNUMBER(AY132)),IFERROR(AY154/AY132,""),"")</f>
        <v>0.162122491815818</v>
      </c>
      <c r="AZ225" s="37" t="n">
        <f aca="false">IF(AND(ISNUMBER(AZ154),ISNUMBER(AZ132)),IFERROR(AZ154/AZ132,""),"")</f>
        <v>0.14540003241316</v>
      </c>
      <c r="BA225" s="37" t="n">
        <f aca="false">IF(AND(ISNUMBER(BA154),ISNUMBER(BA132)),IFERROR(BA154/BA132,""),"")</f>
        <v>0.145845011687888</v>
      </c>
      <c r="BB225" s="37" t="n">
        <f aca="false">IF(AND(ISNUMBER(BB154),ISNUMBER(BB132)),IFERROR(BB154/BB132,""),"")</f>
        <v>0.15611508162904</v>
      </c>
      <c r="BC225" s="37" t="n">
        <f aca="false">IF(AND(ISNUMBER(BC154),ISNUMBER(BC132)),IFERROR(BC154/BC132,""),"")</f>
        <v>0.174584991697198</v>
      </c>
      <c r="BD225" s="37" t="n">
        <f aca="false">IF(AND(ISNUMBER(BD154),ISNUMBER(BD132)),IFERROR(BD154/BD132,""),"")</f>
        <v>0.153291324213265</v>
      </c>
      <c r="BE225" s="37" t="n">
        <f aca="false">IF(AND(ISNUMBER(BE154),ISNUMBER(BE132)),IFERROR(BE154/BE132,""),"")</f>
        <v>0.160898363819801</v>
      </c>
      <c r="BF225" s="37" t="n">
        <f aca="false">IF(AND(ISNUMBER(BF154),ISNUMBER(BF132)),IFERROR(BF154/BF132,""),"")</f>
        <v>0.14193039332217</v>
      </c>
      <c r="BG225" s="37" t="n">
        <f aca="false">IF(AND(ISNUMBER(BG154),ISNUMBER(BG132)),IFERROR(BG154/BG132,""),"")</f>
        <v>0.157331905354653</v>
      </c>
      <c r="BH225" s="37" t="n">
        <f aca="false">IF(AND(ISNUMBER(BH154),ISNUMBER(BH132)),IFERROR(BH154/BH132,""),"")</f>
        <v>0.162333933699954</v>
      </c>
      <c r="BI225" s="37" t="n">
        <f aca="false">IF(AND(ISNUMBER(BI154),ISNUMBER(BI132)),IFERROR(BI154/BI132,""),"")</f>
        <v>0.149109964880466</v>
      </c>
      <c r="BJ225" s="37" t="n">
        <f aca="false">IF(AND(ISNUMBER(BJ154),ISNUMBER(BJ132)),IFERROR(BJ154/BJ132,""),"")</f>
        <v>0.148780403162395</v>
      </c>
      <c r="BK225" s="37" t="n">
        <f aca="false">IF(AND(ISNUMBER(BK154),ISNUMBER(BK132)),IFERROR(BK154/BK132,""),"")</f>
        <v>0.151545368708992</v>
      </c>
      <c r="BL225" s="37" t="n">
        <f aca="false">IF(AND(ISNUMBER(BL154),ISNUMBER(BL132)),IFERROR(BL154/BL132,""),"")</f>
        <v>0.15290895212885</v>
      </c>
      <c r="BM225" s="37" t="n">
        <f aca="false">IF(AND(ISNUMBER(BM154),ISNUMBER(BM132)),IFERROR(BM154/BM132,""),"")</f>
        <v>0.164402539351842</v>
      </c>
      <c r="BN225" s="37" t="n">
        <f aca="false">IF(AND(ISNUMBER(BN154),ISNUMBER(BN132)),IFERROR(BN154/BN132,""),"")</f>
        <v>0.157587339941452</v>
      </c>
      <c r="BO225" s="37" t="n">
        <f aca="false">IF(AND(ISNUMBER(BO154),ISNUMBER(BO132)),IFERROR(BO154/BO132,""),"")</f>
        <v>0.165232923817198</v>
      </c>
      <c r="BP225" s="37" t="n">
        <f aca="false">IF(AND(ISNUMBER(BP154),ISNUMBER(BP132)),IFERROR(BP154/BP132,""),"")</f>
        <v>0.167675394132181</v>
      </c>
      <c r="BQ225" s="37" t="n">
        <f aca="false">IF(AND(ISNUMBER(BQ154),ISNUMBER(BQ132)),IFERROR(BQ154/BQ132,""),"")</f>
        <v>0.163765244307498</v>
      </c>
      <c r="BR225" s="37" t="n">
        <f aca="false">IF(AND(ISNUMBER(BR154),ISNUMBER(BR132)),IFERROR(BR154/BR132,""),"")</f>
        <v>0.1806984925969</v>
      </c>
      <c r="BS225" s="37" t="n">
        <f aca="false">IF(AND(ISNUMBER(BS154),ISNUMBER(BS132)),IFERROR(BS154/BS132,""),"")</f>
        <v>0.175071424863074</v>
      </c>
      <c r="BT225" s="37" t="n">
        <f aca="false">IF(AND(ISNUMBER(BT154),ISNUMBER(BT132)),IFERROR(BT154/BT132,""),"")</f>
        <v>0.177642297767212</v>
      </c>
      <c r="BU225" s="37" t="n">
        <f aca="false">IF(AND(ISNUMBER(BU154),ISNUMBER(BU132)),IFERROR(BU154/BU132,""),"")</f>
        <v>0.168033911469712</v>
      </c>
      <c r="BV225" s="37" t="n">
        <f aca="false">IF(AND(ISNUMBER(BV154),ISNUMBER(BV132)),IFERROR(BV154/BV132,""),"")</f>
        <v>0.175265887512027</v>
      </c>
      <c r="BW225" s="37" t="n">
        <f aca="false">IF(AND(ISNUMBER(BW154),ISNUMBER(BW132)),IFERROR(BW154/BW132,""),"")</f>
        <v>0.180690932930899</v>
      </c>
      <c r="BX225" s="37" t="n">
        <f aca="false">IF(AND(ISNUMBER(BX154),ISNUMBER(BX132)),IFERROR(BX154/BX132,""),"")</f>
        <v>0.176908719739199</v>
      </c>
      <c r="BY225" s="37" t="n">
        <f aca="false">IF(AND(ISNUMBER(BY154),ISNUMBER(BY132)),IFERROR(BY154/BY132,""),"")</f>
        <v>0.176845294153254</v>
      </c>
      <c r="BZ225" s="37" t="n">
        <f aca="false">IF(AND(ISNUMBER(BZ154),ISNUMBER(BZ132)),IFERROR(BZ154/BZ132,""),"")</f>
        <v>0.175887536946644</v>
      </c>
      <c r="CA225" s="37" t="n">
        <f aca="false">IF(AND(ISNUMBER(CA154),ISNUMBER(CA132)),IFERROR(CA154/CA132,""),"")</f>
        <v>0.177541982470822</v>
      </c>
      <c r="CB225" s="37" t="n">
        <f aca="false">IF(AND(ISNUMBER(CB154),ISNUMBER(CB132)),IFERROR(CB154/CB132,""),"")</f>
        <v>0.183050589900865</v>
      </c>
      <c r="CC225" s="28" t="n">
        <f aca="false">IF(AND(ISNUMBER(CC154),ISNUMBER(CC132)),IFERROR(CC154/CC132,""),"")</f>
        <v>0.176298490418515</v>
      </c>
      <c r="CD225" s="28" t="n">
        <f aca="false">IF(AND(ISNUMBER(CD154),ISNUMBER(CD132)),IFERROR(CD154/CD132,""),"")</f>
        <v>0.130357161684582</v>
      </c>
      <c r="CE225" s="28" t="n">
        <f aca="false">IF(AND(ISNUMBER(CE154),ISNUMBER(CE132)),IFERROR(CE154/CE132,""),"")</f>
        <v>0.141863272247938</v>
      </c>
      <c r="CF225" s="28" t="n">
        <f aca="false">IF(AND(ISNUMBER(CF154),ISNUMBER(CF132)),IFERROR(CF154/CF132,""),"")</f>
        <v>0.156007906786815</v>
      </c>
      <c r="CG225" s="28" t="n">
        <f aca="false">IF(AND(ISNUMBER(CG154),ISNUMBER(CG132)),IFERROR(CG154/CG132,""),"")</f>
        <v>0.152032994577188</v>
      </c>
      <c r="CH225" s="28" t="n">
        <f aca="false">IF(AND(ISNUMBER(CH154),ISNUMBER(CH132)),IFERROR(CH154/CH132,""),"")</f>
        <v>0.162710735111007</v>
      </c>
      <c r="CI225" s="28" t="n">
        <f aca="false">IF(AND(ISNUMBER(CI154),ISNUMBER(CI132)),IFERROR(CI154/CI132,""),"")</f>
        <v>0.17411699398583</v>
      </c>
      <c r="CJ225" s="28" t="n">
        <f aca="false">IF(AND(ISNUMBER(CJ154),ISNUMBER(CJ132)),IFERROR(CJ154/CJ132,""),"")</f>
        <v>0.179821682699258</v>
      </c>
      <c r="CK225" s="23"/>
    </row>
    <row r="226" customFormat="false" ht="15" hidden="false" customHeight="true" outlineLevel="0" collapsed="false">
      <c r="B226" s="29" t="s">
        <v>139</v>
      </c>
      <c r="C226" s="37" t="n">
        <f aca="false">IF(AND(ISNUMBER(C140),ISNUMBER(C132)),IFERROR(C140/C132,""),"")</f>
        <v>0.266762212334675</v>
      </c>
      <c r="D226" s="37" t="n">
        <f aca="false">IF(AND(ISNUMBER(D140),ISNUMBER(D132)),IFERROR(D140/D132,""),"")</f>
        <v>0.27083492945588</v>
      </c>
      <c r="E226" s="37" t="n">
        <f aca="false">IF(AND(ISNUMBER(E140),ISNUMBER(E132)),IFERROR(E140/E132,""),"")</f>
        <v>0.280389293786028</v>
      </c>
      <c r="F226" s="37" t="n">
        <f aca="false">IF(AND(ISNUMBER(F140),ISNUMBER(F132)),IFERROR(F140/F132,""),"")</f>
        <v>0.286834265640709</v>
      </c>
      <c r="G226" s="37" t="n">
        <f aca="false">IF(AND(ISNUMBER(G140),ISNUMBER(G132)),IFERROR(G140/G132,""),"")</f>
        <v>0.30624617494973</v>
      </c>
      <c r="H226" s="37" t="n">
        <f aca="false">IF(AND(ISNUMBER(H140),ISNUMBER(H132)),IFERROR(H140/H132,""),"")</f>
        <v>0.30677852940806</v>
      </c>
      <c r="I226" s="37" t="n">
        <f aca="false">IF(AND(ISNUMBER(I140),ISNUMBER(I132)),IFERROR(I140/I132,""),"")</f>
        <v>0.29229180887372</v>
      </c>
      <c r="J226" s="37" t="n">
        <f aca="false">IF(AND(ISNUMBER(J140),ISNUMBER(J132)),IFERROR(J140/J132,""),"")</f>
        <v>0.291613915772953</v>
      </c>
      <c r="K226" s="37" t="n">
        <f aca="false">IF(AND(ISNUMBER(K140),ISNUMBER(K132)),IFERROR(K140/K132,""),"")</f>
        <v>0.276326733849749</v>
      </c>
      <c r="L226" s="37" t="n">
        <f aca="false">IF(AND(ISNUMBER(L140),ISNUMBER(L132)),IFERROR(L140/L132,""),"")</f>
        <v>0.287185522751317</v>
      </c>
      <c r="M226" s="37" t="n">
        <f aca="false">IF(AND(ISNUMBER(M140),ISNUMBER(M132)),IFERROR(M140/M132,""),"")</f>
        <v>0.277520047188611</v>
      </c>
      <c r="N226" s="37" t="n">
        <f aca="false">IF(AND(ISNUMBER(N140),ISNUMBER(N132)),IFERROR(N140/N132,""),"")</f>
        <v>0.283068274986673</v>
      </c>
      <c r="O226" s="37" t="n">
        <f aca="false">IF(AND(ISNUMBER(O140),ISNUMBER(O132)),IFERROR(O140/O132,""),"")</f>
        <v>0.290901982696371</v>
      </c>
      <c r="P226" s="37" t="n">
        <f aca="false">IF(AND(ISNUMBER(P140),ISNUMBER(P132)),IFERROR(P140/P132,""),"")</f>
        <v>0.283231606824201</v>
      </c>
      <c r="Q226" s="37" t="n">
        <f aca="false">IF(AND(ISNUMBER(Q140),ISNUMBER(Q132)),IFERROR(Q140/Q132,""),"")</f>
        <v>0.29105665448928</v>
      </c>
      <c r="R226" s="37" t="n">
        <f aca="false">IF(AND(ISNUMBER(R140),ISNUMBER(R132)),IFERROR(R140/R132,""),"")</f>
        <v>0.281724333659617</v>
      </c>
      <c r="S226" s="37" t="n">
        <f aca="false">IF(AND(ISNUMBER(S140),ISNUMBER(S132)),IFERROR(S140/S132,""),"")</f>
        <v>0.286205142040137</v>
      </c>
      <c r="T226" s="37" t="n">
        <f aca="false">IF(AND(ISNUMBER(T140),ISNUMBER(T132)),IFERROR(T140/T132,""),"")</f>
        <v>0.285332150112923</v>
      </c>
      <c r="U226" s="37" t="n">
        <f aca="false">IF(AND(ISNUMBER(U140),ISNUMBER(U132)),IFERROR(U140/U132,""),"")</f>
        <v>0.267273110855731</v>
      </c>
      <c r="V226" s="37" t="n">
        <f aca="false">IF(AND(ISNUMBER(V140),ISNUMBER(V132)),IFERROR(V140/V132,""),"")</f>
        <v>0.272075408059002</v>
      </c>
      <c r="W226" s="37" t="n">
        <f aca="false">IF(AND(ISNUMBER(W140),ISNUMBER(W132)),IFERROR(W140/W132,""),"")</f>
        <v>0.270388234377721</v>
      </c>
      <c r="X226" s="37" t="n">
        <f aca="false">IF(AND(ISNUMBER(X140),ISNUMBER(X132)),IFERROR(X140/X132,""),"")</f>
        <v>0.273612059811217</v>
      </c>
      <c r="Y226" s="37" t="n">
        <f aca="false">IF(AND(ISNUMBER(Y140),ISNUMBER(Y132)),IFERROR(Y140/Y132,""),"")</f>
        <v>0.282458774366289</v>
      </c>
      <c r="Z226" s="37" t="n">
        <f aca="false">IF(AND(ISNUMBER(Z140),ISNUMBER(Z132)),IFERROR(Z140/Z132,""),"")</f>
        <v>0.268276897332415</v>
      </c>
      <c r="AA226" s="37" t="n">
        <f aca="false">IF(AND(ISNUMBER(AA140),ISNUMBER(AA132)),IFERROR(AA140/AA132,""),"")</f>
        <v>0.272724805790394</v>
      </c>
      <c r="AB226" s="37" t="n">
        <f aca="false">IF(AND(ISNUMBER(AB140),ISNUMBER(AB132)),IFERROR(AB140/AB132,""),"")</f>
        <v>0.275897923950276</v>
      </c>
      <c r="AC226" s="37" t="n">
        <f aca="false">IF(AND(ISNUMBER(AC140),ISNUMBER(AC132)),IFERROR(AC140/AC132,""),"")</f>
        <v>0.274820822031297</v>
      </c>
      <c r="AD226" s="37" t="n">
        <f aca="false">IF(AND(ISNUMBER(AD140),ISNUMBER(AD132)),IFERROR(AD140/AD132,""),"")</f>
        <v>0.289017332107284</v>
      </c>
      <c r="AE226" s="37" t="n">
        <f aca="false">IF(AND(ISNUMBER(AE140),ISNUMBER(AE132)),IFERROR(AE140/AE132,""),"")</f>
        <v>0.281606541020554</v>
      </c>
      <c r="AF226" s="37" t="n">
        <f aca="false">IF(AND(ISNUMBER(AF140),ISNUMBER(AF132)),IFERROR(AF140/AF132,""),"")</f>
        <v>0.282862461801449</v>
      </c>
      <c r="AG226" s="37" t="n">
        <f aca="false">IF(AND(ISNUMBER(AG140),ISNUMBER(AG132)),IFERROR(AG140/AG132,""),"")</f>
        <v>0.286006481137198</v>
      </c>
      <c r="AH226" s="37" t="n">
        <f aca="false">IF(AND(ISNUMBER(AH140),ISNUMBER(AH132)),IFERROR(AH140/AH132,""),"")</f>
        <v>0.286919159083297</v>
      </c>
      <c r="AI226" s="37" t="n">
        <f aca="false">IF(AND(ISNUMBER(AI140),ISNUMBER(AI132)),IFERROR(AI140/AI132,""),"")</f>
        <v>0.301757427693278</v>
      </c>
      <c r="AJ226" s="37" t="n">
        <f aca="false">IF(AND(ISNUMBER(AJ140),ISNUMBER(AJ132)),IFERROR(AJ140/AJ132,""),"")</f>
        <v>0.291379515338565</v>
      </c>
      <c r="AK226" s="37" t="n">
        <f aca="false">IF(AND(ISNUMBER(AK140),ISNUMBER(AK132)),IFERROR(AK140/AK132,""),"")</f>
        <v>0.308732155420108</v>
      </c>
      <c r="AL226" s="37" t="n">
        <f aca="false">IF(AND(ISNUMBER(AL140),ISNUMBER(AL132)),IFERROR(AL140/AL132,""),"")</f>
        <v>0.282595310113504</v>
      </c>
      <c r="AM226" s="37" t="n">
        <f aca="false">IF(AND(ISNUMBER(AM140),ISNUMBER(AM132)),IFERROR(AM140/AM132,""),"")</f>
        <v>0.295955058122802</v>
      </c>
      <c r="AN226" s="37" t="n">
        <f aca="false">IF(AND(ISNUMBER(AN140),ISNUMBER(AN132)),IFERROR(AN140/AN132,""),"")</f>
        <v>0.297197544133453</v>
      </c>
      <c r="AO226" s="37" t="n">
        <f aca="false">IF(AND(ISNUMBER(AO140),ISNUMBER(AO132)),IFERROR(AO140/AO132,""),"")</f>
        <v>0.286143372279528</v>
      </c>
      <c r="AP226" s="37" t="n">
        <f aca="false">IF(AND(ISNUMBER(AP140),ISNUMBER(AP132)),IFERROR(AP140/AP132,""),"")</f>
        <v>0.282999768178657</v>
      </c>
      <c r="AQ226" s="37" t="n">
        <f aca="false">IF(AND(ISNUMBER(AQ140),ISNUMBER(AQ132)),IFERROR(AQ140/AQ132,""),"")</f>
        <v>0.283342532042169</v>
      </c>
      <c r="AR226" s="37" t="n">
        <f aca="false">IF(AND(ISNUMBER(AR140),ISNUMBER(AR132)),IFERROR(AR140/AR132,""),"")</f>
        <v>0.287370418857093</v>
      </c>
      <c r="AS226" s="37" t="n">
        <f aca="false">IF(AND(ISNUMBER(AS140),ISNUMBER(AS132)),IFERROR(AS140/AS132,""),"")</f>
        <v>0.299809125638617</v>
      </c>
      <c r="AT226" s="37" t="n">
        <f aca="false">IF(AND(ISNUMBER(AT140),ISNUMBER(AT132)),IFERROR(AT140/AT132,""),"")</f>
        <v>0.280909711679844</v>
      </c>
      <c r="AU226" s="37" t="n">
        <f aca="false">IF(AND(ISNUMBER(AU140),ISNUMBER(AU132)),IFERROR(AU140/AU132,""),"")</f>
        <v>0.281525177726427</v>
      </c>
      <c r="AV226" s="37" t="n">
        <f aca="false">IF(AND(ISNUMBER(AV140),ISNUMBER(AV132)),IFERROR(AV140/AV132,""),"")</f>
        <v>0.308959584683474</v>
      </c>
      <c r="AW226" s="37" t="n">
        <f aca="false">IF(AND(ISNUMBER(AW140),ISNUMBER(AW132)),IFERROR(AW140/AW132,""),"")</f>
        <v>0.29231008084549</v>
      </c>
      <c r="AX226" s="37" t="n">
        <f aca="false">IF(AND(ISNUMBER(AX140),ISNUMBER(AX132)),IFERROR(AX140/AX132,""),"")</f>
        <v>0.272816798591529</v>
      </c>
      <c r="AY226" s="37" t="n">
        <f aca="false">IF(AND(ISNUMBER(AY140),ISNUMBER(AY132)),IFERROR(AY140/AY132,""),"")</f>
        <v>0.265793535520942</v>
      </c>
      <c r="AZ226" s="37" t="n">
        <f aca="false">IF(AND(ISNUMBER(AZ140),ISNUMBER(AZ132)),IFERROR(AZ140/AZ132,""),"")</f>
        <v>0.271824860893523</v>
      </c>
      <c r="BA226" s="37" t="n">
        <f aca="false">IF(AND(ISNUMBER(BA140),ISNUMBER(BA132)),IFERROR(BA140/BA132,""),"")</f>
        <v>0.273800009914685</v>
      </c>
      <c r="BB226" s="37" t="n">
        <f aca="false">IF(AND(ISNUMBER(BB140),ISNUMBER(BB132)),IFERROR(BB140/BB132,""),"")</f>
        <v>0.271088649502413</v>
      </c>
      <c r="BC226" s="37" t="n">
        <f aca="false">IF(AND(ISNUMBER(BC140),ISNUMBER(BC132)),IFERROR(BC140/BC132,""),"")</f>
        <v>0.268143598935133</v>
      </c>
      <c r="BD226" s="37" t="n">
        <f aca="false">IF(AND(ISNUMBER(BD140),ISNUMBER(BD132)),IFERROR(BD140/BD132,""),"")</f>
        <v>0.262143255850732</v>
      </c>
      <c r="BE226" s="37" t="n">
        <f aca="false">IF(AND(ISNUMBER(BE140),ISNUMBER(BE132)),IFERROR(BE140/BE132,""),"")</f>
        <v>0.250210911064389</v>
      </c>
      <c r="BF226" s="37" t="n">
        <f aca="false">IF(AND(ISNUMBER(BF140),ISNUMBER(BF132)),IFERROR(BF140/BF132,""),"")</f>
        <v>0.2611281900008</v>
      </c>
      <c r="BG226" s="37" t="n">
        <f aca="false">IF(AND(ISNUMBER(BG140),ISNUMBER(BG132)),IFERROR(BG140/BG132,""),"")</f>
        <v>0.26034587487184</v>
      </c>
      <c r="BH226" s="37" t="n">
        <f aca="false">IF(AND(ISNUMBER(BH140),ISNUMBER(BH132)),IFERROR(BH140/BH132,""),"")</f>
        <v>0.271407562773085</v>
      </c>
      <c r="BI226" s="37" t="n">
        <f aca="false">IF(AND(ISNUMBER(BI140),ISNUMBER(BI132)),IFERROR(BI140/BI132,""),"")</f>
        <v>0.265540554831626</v>
      </c>
      <c r="BJ226" s="37" t="n">
        <f aca="false">IF(AND(ISNUMBER(BJ140),ISNUMBER(BJ132)),IFERROR(BJ140/BJ132,""),"")</f>
        <v>0.268138243806125</v>
      </c>
      <c r="BK226" s="37" t="n">
        <f aca="false">IF(AND(ISNUMBER(BK140),ISNUMBER(BK132)),IFERROR(BK140/BK132,""),"")</f>
        <v>0.270513392378367</v>
      </c>
      <c r="BL226" s="37" t="n">
        <f aca="false">IF(AND(ISNUMBER(BL140),ISNUMBER(BL132)),IFERROR(BL140/BL132,""),"")</f>
        <v>0.268916302139949</v>
      </c>
      <c r="BM226" s="37" t="n">
        <f aca="false">IF(AND(ISNUMBER(BM140),ISNUMBER(BM132)),IFERROR(BM140/BM132,""),"")</f>
        <v>0.27366553816072</v>
      </c>
      <c r="BN226" s="37" t="n">
        <f aca="false">IF(AND(ISNUMBER(BN140),ISNUMBER(BN132)),IFERROR(BN140/BN132,""),"")</f>
        <v>0.270011446350019</v>
      </c>
      <c r="BO226" s="37" t="n">
        <f aca="false">IF(AND(ISNUMBER(BO140),ISNUMBER(BO132)),IFERROR(BO140/BO132,""),"")</f>
        <v>0.277223624402734</v>
      </c>
      <c r="BP226" s="37" t="n">
        <f aca="false">IF(AND(ISNUMBER(BP140),ISNUMBER(BP132)),IFERROR(BP140/BP132,""),"")</f>
        <v>0.270284325569066</v>
      </c>
      <c r="BQ226" s="37" t="n">
        <f aca="false">IF(AND(ISNUMBER(BQ140),ISNUMBER(BQ132)),IFERROR(BQ140/BQ132,""),"")</f>
        <v>0.272781913205854</v>
      </c>
      <c r="BR226" s="37" t="n">
        <f aca="false">IF(AND(ISNUMBER(BR140),ISNUMBER(BR132)),IFERROR(BR140/BR132,""),"")</f>
        <v>0.276264627214644</v>
      </c>
      <c r="BS226" s="37" t="n">
        <f aca="false">IF(AND(ISNUMBER(BS140),ISNUMBER(BS132)),IFERROR(BS140/BS132,""),"")</f>
        <v>0.267514071254279</v>
      </c>
      <c r="BT226" s="37" t="n">
        <f aca="false">IF(AND(ISNUMBER(BT140),ISNUMBER(BT132)),IFERROR(BT140/BT132,""),"")</f>
        <v>0.271922102102632</v>
      </c>
      <c r="BU226" s="37" t="n">
        <f aca="false">IF(AND(ISNUMBER(BU140),ISNUMBER(BU132)),IFERROR(BU140/BU132,""),"")</f>
        <v>0.273100464378412</v>
      </c>
      <c r="BV226" s="37" t="n">
        <f aca="false">IF(AND(ISNUMBER(BV140),ISNUMBER(BV132)),IFERROR(BV140/BV132,""),"")</f>
        <v>0.272184597155504</v>
      </c>
      <c r="BW226" s="37" t="n">
        <f aca="false">IF(AND(ISNUMBER(BW140),ISNUMBER(BW132)),IFERROR(BW140/BW132,""),"")</f>
        <v>0.275448269062242</v>
      </c>
      <c r="BX226" s="37" t="n">
        <f aca="false">IF(AND(ISNUMBER(BX140),ISNUMBER(BX132)),IFERROR(BX140/BX132,""),"")</f>
        <v>0.27027612936037</v>
      </c>
      <c r="BY226" s="37" t="n">
        <f aca="false">IF(AND(ISNUMBER(BY140),ISNUMBER(BY132)),IFERROR(BY140/BY132,""),"")</f>
        <v>0.277518050681273</v>
      </c>
      <c r="BZ226" s="37" t="n">
        <f aca="false">IF(AND(ISNUMBER(BZ140),ISNUMBER(BZ132)),IFERROR(BZ140/BZ132,""),"")</f>
        <v>0.273038407298905</v>
      </c>
      <c r="CA226" s="37" t="n">
        <f aca="false">IF(AND(ISNUMBER(CA140),ISNUMBER(CA132)),IFERROR(CA140/CA132,""),"")</f>
        <v>0.273964534178754</v>
      </c>
      <c r="CB226" s="37" t="n">
        <f aca="false">IF(AND(ISNUMBER(CB140),ISNUMBER(CB132)),IFERROR(CB140/CB132,""),"")</f>
        <v>0.274468883513201</v>
      </c>
      <c r="CC226" s="28" t="n">
        <f aca="false">IF(AND(ISNUMBER(CC140),ISNUMBER(CC132)),IFERROR(CC140/CC132,""),"")</f>
        <v>0.269268971344762</v>
      </c>
      <c r="CD226" s="28" t="n">
        <f aca="false">IF(AND(ISNUMBER(CD140),ISNUMBER(CD132)),IFERROR(CD140/CD132,""),"")</f>
        <v>0.277702238410848</v>
      </c>
      <c r="CE226" s="28" t="n">
        <f aca="false">IF(AND(ISNUMBER(CE140),ISNUMBER(CE132)),IFERROR(CE140/CE132,""),"")</f>
        <v>0.274382510126407</v>
      </c>
      <c r="CF226" s="28" t="n">
        <f aca="false">IF(AND(ISNUMBER(CF140),ISNUMBER(CF132)),IFERROR(CF140/CF132,""),"")</f>
        <v>0.274111966182373</v>
      </c>
      <c r="CG226" s="28" t="n">
        <f aca="false">IF(AND(ISNUMBER(CG140),ISNUMBER(CG132)),IFERROR(CG140/CG132,""),"")</f>
        <v>0.272048170293184</v>
      </c>
      <c r="CH226" s="28" t="n">
        <f aca="false">IF(AND(ISNUMBER(CH140),ISNUMBER(CH132)),IFERROR(CH140/CH132,""),"")</f>
        <v>0.268471732444126</v>
      </c>
      <c r="CI226" s="28" t="n">
        <f aca="false">IF(AND(ISNUMBER(CI140),ISNUMBER(CI132)),IFERROR(CI140/CI132,""),"")</f>
        <v>0.264390249268067</v>
      </c>
      <c r="CJ226" s="28" t="n">
        <f aca="false">IF(AND(ISNUMBER(CJ140),ISNUMBER(CJ132)),IFERROR(CJ140/CJ132,""),"")</f>
        <v>0.262483181104936</v>
      </c>
      <c r="CK226" s="23"/>
    </row>
    <row r="227" customFormat="false" ht="15" hidden="false" customHeight="true" outlineLevel="0" collapsed="false"/>
    <row r="228" customFormat="false" ht="15" hidden="false" customHeight="true" outlineLevel="0" collapsed="false">
      <c r="B228" s="12" t="s">
        <v>512</v>
      </c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2" t="s">
        <v>513</v>
      </c>
    </row>
    <row r="229" customFormat="false" ht="15" hidden="false" customHeight="true" outlineLevel="0" collapsed="false">
      <c r="B229" s="29" t="s">
        <v>411</v>
      </c>
      <c r="C229" s="45" t="n">
        <f aca="false">C154</f>
        <v>327.178</v>
      </c>
      <c r="D229" s="45" t="n">
        <f aca="false">D154</f>
        <v>334.538</v>
      </c>
      <c r="E229" s="45" t="n">
        <f aca="false">E154</f>
        <v>335.405</v>
      </c>
      <c r="F229" s="45" t="n">
        <f aca="false">F154</f>
        <v>226.357</v>
      </c>
      <c r="G229" s="45" t="n">
        <f aca="false">G154</f>
        <v>215.62</v>
      </c>
      <c r="H229" s="45" t="n">
        <f aca="false">H154</f>
        <v>246.989</v>
      </c>
      <c r="I229" s="45" t="n">
        <f aca="false">I154</f>
        <v>297.637</v>
      </c>
      <c r="J229" s="45" t="n">
        <f aca="false">J154</f>
        <v>76.733</v>
      </c>
      <c r="K229" s="45" t="n">
        <f aca="false">K154</f>
        <v>78.027</v>
      </c>
      <c r="L229" s="45" t="n">
        <f aca="false">L154</f>
        <v>74.705</v>
      </c>
      <c r="M229" s="45" t="n">
        <f aca="false">M154</f>
        <v>85.977</v>
      </c>
      <c r="N229" s="45" t="n">
        <f aca="false">N154</f>
        <v>315.442</v>
      </c>
      <c r="O229" s="45" t="n">
        <f aca="false">O154</f>
        <v>77.754</v>
      </c>
      <c r="P229" s="45" t="n">
        <f aca="false">P154</f>
        <v>84.862</v>
      </c>
      <c r="Q229" s="45" t="n">
        <f aca="false">Q154</f>
        <v>84.6020000000001</v>
      </c>
      <c r="R229" s="45" t="n">
        <f aca="false">R154</f>
        <v>127.224</v>
      </c>
      <c r="S229" s="45" t="n">
        <f aca="false">S154</f>
        <v>374.442</v>
      </c>
      <c r="T229" s="45" t="n">
        <f aca="false">T154</f>
        <v>110.108</v>
      </c>
      <c r="U229" s="45" t="n">
        <f aca="false">U154</f>
        <v>120.412</v>
      </c>
      <c r="V229" s="45" t="n">
        <f aca="false">V154</f>
        <v>94.883</v>
      </c>
      <c r="W229" s="45" t="n">
        <f aca="false">W154</f>
        <v>105.215</v>
      </c>
      <c r="X229" s="45" t="n">
        <f aca="false">X154</f>
        <v>430.618000000001</v>
      </c>
      <c r="Y229" s="45" t="n">
        <f aca="false">Y154</f>
        <v>100.181</v>
      </c>
      <c r="Z229" s="45" t="n">
        <f aca="false">Z154</f>
        <v>345.1</v>
      </c>
      <c r="AA229" s="45" t="n">
        <f aca="false">AA154</f>
        <v>117.341</v>
      </c>
      <c r="AB229" s="45" t="n">
        <f aca="false">AB154</f>
        <v>130.898</v>
      </c>
      <c r="AC229" s="45" t="n">
        <f aca="false">AC154</f>
        <v>693.519999999999</v>
      </c>
      <c r="AD229" s="45" t="n">
        <f aca="false">AD154</f>
        <v>138.091</v>
      </c>
      <c r="AE229" s="45" t="n">
        <f aca="false">AE154</f>
        <v>140.377</v>
      </c>
      <c r="AF229" s="45" t="n">
        <f aca="false">AF154</f>
        <v>118.005</v>
      </c>
      <c r="AG229" s="45" t="n">
        <f aca="false">AG154</f>
        <v>84.237</v>
      </c>
      <c r="AH229" s="45" t="n">
        <f aca="false">AH154</f>
        <v>480.708</v>
      </c>
      <c r="AI229" s="45" t="n">
        <f aca="false">AI154</f>
        <v>217.211</v>
      </c>
      <c r="AJ229" s="45" t="n">
        <f aca="false">AJ154</f>
        <v>137.109</v>
      </c>
      <c r="AK229" s="45" t="n">
        <f aca="false">AK154</f>
        <v>302.095</v>
      </c>
      <c r="AL229" s="45" t="n">
        <f aca="false">AL154</f>
        <v>186.171</v>
      </c>
      <c r="AM229" s="45" t="n">
        <f aca="false">AM154</f>
        <v>842.586</v>
      </c>
      <c r="AN229" s="45" t="n">
        <f aca="false">AN154</f>
        <v>212.515</v>
      </c>
      <c r="AO229" s="45" t="n">
        <f aca="false">AO154</f>
        <v>243.013</v>
      </c>
      <c r="AP229" s="45" t="n">
        <f aca="false">AP154</f>
        <v>203.334</v>
      </c>
      <c r="AQ229" s="45" t="n">
        <f aca="false">AQ154</f>
        <v>226.119</v>
      </c>
      <c r="AR229" s="45" t="n">
        <f aca="false">AR154</f>
        <v>884.981</v>
      </c>
      <c r="AS229" s="45" t="n">
        <f aca="false">AS154</f>
        <v>250.812</v>
      </c>
      <c r="AT229" s="45" t="n">
        <f aca="false">AT154</f>
        <v>246.12</v>
      </c>
      <c r="AU229" s="45" t="n">
        <f aca="false">AU154</f>
        <v>234.52</v>
      </c>
      <c r="AV229" s="45" t="n">
        <f aca="false">AV154</f>
        <v>144.585</v>
      </c>
      <c r="AW229" s="45" t="n">
        <f aca="false">AW154</f>
        <v>876.037</v>
      </c>
      <c r="AX229" s="45" t="n">
        <f aca="false">AX154</f>
        <v>300.005</v>
      </c>
      <c r="AY229" s="45" t="n">
        <f aca="false">AY154</f>
        <v>284.857</v>
      </c>
      <c r="AZ229" s="45" t="n">
        <f aca="false">AZ154</f>
        <v>258.384</v>
      </c>
      <c r="BA229" s="45" t="n">
        <f aca="false">BA154</f>
        <v>267.722</v>
      </c>
      <c r="BB229" s="45" t="n">
        <f aca="false">BB154</f>
        <v>1110.968</v>
      </c>
      <c r="BC229" s="45" t="n">
        <f aca="false">BC154</f>
        <v>331.179</v>
      </c>
      <c r="BD229" s="45" t="n">
        <f aca="false">BD154</f>
        <v>294.669</v>
      </c>
      <c r="BE229" s="45" t="n">
        <f aca="false">BE154</f>
        <v>315.448</v>
      </c>
      <c r="BF229" s="45" t="n">
        <f aca="false">BF154</f>
        <v>294.461</v>
      </c>
      <c r="BG229" s="45" t="n">
        <f aca="false">BG154</f>
        <v>1235.757</v>
      </c>
      <c r="BH229" s="45" t="n">
        <f aca="false">BH154</f>
        <v>351.689</v>
      </c>
      <c r="BI229" s="45" t="n">
        <f aca="false">BI154</f>
        <v>324.293</v>
      </c>
      <c r="BJ229" s="45" t="n">
        <f aca="false">BJ154</f>
        <v>325.827</v>
      </c>
      <c r="BK229" s="45" t="n">
        <f aca="false">BK154</f>
        <v>346.201</v>
      </c>
      <c r="BL229" s="45" t="n">
        <f aca="false">BL154</f>
        <v>1348.01</v>
      </c>
      <c r="BM229" s="45" t="n">
        <f aca="false">BM154</f>
        <v>385.085</v>
      </c>
      <c r="BN229" s="45" t="n">
        <f aca="false">BN154</f>
        <v>374.613</v>
      </c>
      <c r="BO229" s="45" t="n">
        <f aca="false">BO154</f>
        <v>397.579</v>
      </c>
      <c r="BP229" s="45" t="n">
        <f aca="false">BP154</f>
        <v>414.315</v>
      </c>
      <c r="BQ229" s="45" t="n">
        <f aca="false">BQ154</f>
        <v>1571.592</v>
      </c>
      <c r="BR229" s="45" t="n">
        <f aca="false">BR154</f>
        <v>452.033</v>
      </c>
      <c r="BS229" s="45" t="n">
        <f aca="false">BS154</f>
        <v>448.495</v>
      </c>
      <c r="BT229" s="45" t="n">
        <f aca="false">BT154</f>
        <v>463.497</v>
      </c>
      <c r="BU229" s="45" t="n">
        <f aca="false">BU154</f>
        <v>448.256</v>
      </c>
      <c r="BV229" s="45" t="n">
        <f aca="false">BV154</f>
        <v>1812.281</v>
      </c>
      <c r="BW229" s="45" t="n">
        <f aca="false">BW154</f>
        <v>491.14</v>
      </c>
      <c r="BX229" s="45" t="n">
        <f aca="false">BX154</f>
        <v>495.343</v>
      </c>
      <c r="BY229" s="45" t="n">
        <f aca="false">BY154</f>
        <v>502.496</v>
      </c>
      <c r="BZ229" s="45" t="n">
        <f aca="false">BZ154</f>
        <v>510.989</v>
      </c>
      <c r="CA229" s="45" t="n">
        <f aca="false">CA154</f>
        <v>1999.968</v>
      </c>
      <c r="CB229" s="45" t="n">
        <f aca="false">CB154</f>
        <v>551.711</v>
      </c>
      <c r="CC229" s="43"/>
      <c r="CD229" s="43"/>
      <c r="CE229" s="43"/>
      <c r="CF229" s="35" t="n">
        <f aca="false">CF154</f>
        <v>2071.65794258768</v>
      </c>
      <c r="CG229" s="35" t="n">
        <f aca="false">CG154</f>
        <v>2415.94010962133</v>
      </c>
      <c r="CH229" s="35" t="n">
        <f aca="false">CH154</f>
        <v>2784.65463528988</v>
      </c>
      <c r="CI229" s="35" t="n">
        <f aca="false">CI154</f>
        <v>3209.12561569213</v>
      </c>
      <c r="CJ229" s="35" t="n">
        <f aca="false">CJ154</f>
        <v>3554.50599210378</v>
      </c>
      <c r="CK229" s="23"/>
    </row>
    <row r="230" customFormat="false" ht="15" hidden="false" customHeight="true" outlineLevel="0" collapsed="false">
      <c r="B230" s="67" t="s">
        <v>514</v>
      </c>
    </row>
    <row r="231" customFormat="false" ht="15" hidden="false" customHeight="true" outlineLevel="0" collapsed="false">
      <c r="B231" s="29" t="s">
        <v>515</v>
      </c>
      <c r="C231" s="45" t="n">
        <f aca="false">C157</f>
        <v>160.653</v>
      </c>
      <c r="D231" s="45" t="n">
        <f aca="false">D157</f>
        <v>175.926</v>
      </c>
      <c r="E231" s="45" t="n">
        <f aca="false">E157</f>
        <v>191.903</v>
      </c>
      <c r="F231" s="45" t="n">
        <f aca="false">F157</f>
        <v>200.106</v>
      </c>
      <c r="G231" s="45" t="n">
        <f aca="false">G157</f>
        <v>193.141</v>
      </c>
      <c r="H231" s="45" t="n">
        <f aca="false">H157</f>
        <v>193.467</v>
      </c>
      <c r="I231" s="45" t="n">
        <f aca="false">I157</f>
        <v>194.165</v>
      </c>
      <c r="J231" s="45" t="n">
        <f aca="false">J157</f>
        <v>46.442</v>
      </c>
      <c r="K231" s="45" t="n">
        <f aca="false">K157</f>
        <v>46.852</v>
      </c>
      <c r="L231" s="45" t="n">
        <f aca="false">L157</f>
        <v>47.832</v>
      </c>
      <c r="M231" s="45" t="n">
        <f aca="false">M157</f>
        <v>48.251</v>
      </c>
      <c r="N231" s="45" t="n">
        <f aca="false">N157</f>
        <v>189.377</v>
      </c>
      <c r="O231" s="45" t="n">
        <f aca="false">O157</f>
        <v>48.394</v>
      </c>
      <c r="P231" s="45" t="n">
        <f aca="false">P157</f>
        <v>48.527</v>
      </c>
      <c r="Q231" s="45" t="n">
        <f aca="false">Q157</f>
        <v>48.364</v>
      </c>
      <c r="R231" s="45" t="n">
        <f aca="false">R157</f>
        <v>45.577</v>
      </c>
      <c r="S231" s="45" t="n">
        <f aca="false">S157</f>
        <v>190.862</v>
      </c>
      <c r="T231" s="45" t="n">
        <f aca="false">T157</f>
        <v>39.654</v>
      </c>
      <c r="U231" s="45" t="n">
        <f aca="false">U157</f>
        <v>38.499</v>
      </c>
      <c r="V231" s="45" t="n">
        <f aca="false">V157</f>
        <v>37.887</v>
      </c>
      <c r="W231" s="45" t="n">
        <f aca="false">W157</f>
        <v>39.042</v>
      </c>
      <c r="X231" s="45" t="n">
        <f aca="false">X157</f>
        <v>155.082</v>
      </c>
      <c r="Y231" s="45" t="n">
        <f aca="false">Y157</f>
        <v>39.768</v>
      </c>
      <c r="Z231" s="45" t="n">
        <f aca="false">Z157</f>
        <v>41.126</v>
      </c>
      <c r="AA231" s="45" t="n">
        <f aca="false">AA157</f>
        <v>41.777</v>
      </c>
      <c r="AB231" s="45" t="n">
        <f aca="false">AB157</f>
        <v>42.608</v>
      </c>
      <c r="AC231" s="45" t="n">
        <f aca="false">AC157</f>
        <v>165.279</v>
      </c>
      <c r="AD231" s="45" t="n">
        <f aca="false">AD157</f>
        <v>43.168</v>
      </c>
      <c r="AE231" s="45" t="n">
        <f aca="false">AE157</f>
        <v>43.882</v>
      </c>
      <c r="AF231" s="45" t="n">
        <f aca="false">AF157</f>
        <v>44.664</v>
      </c>
      <c r="AG231" s="45" t="n">
        <f aca="false">AG157</f>
        <v>64.881</v>
      </c>
      <c r="AH231" s="45" t="n">
        <f aca="false">AH157</f>
        <v>196.595</v>
      </c>
      <c r="AI231" s="45" t="n">
        <f aca="false">AI157</f>
        <v>68.509</v>
      </c>
      <c r="AJ231" s="45" t="n">
        <f aca="false">AJ157</f>
        <v>70.33</v>
      </c>
      <c r="AK231" s="45" t="n">
        <f aca="false">AK157</f>
        <v>66.063</v>
      </c>
      <c r="AL231" s="45" t="n">
        <f aca="false">AL157</f>
        <v>74.514</v>
      </c>
      <c r="AM231" s="45" t="n">
        <f aca="false">AM157</f>
        <v>279.416</v>
      </c>
      <c r="AN231" s="45" t="n">
        <f aca="false">AN157</f>
        <v>86.295</v>
      </c>
      <c r="AO231" s="45" t="n">
        <f aca="false">AO157</f>
        <v>88.376</v>
      </c>
      <c r="AP231" s="45" t="n">
        <f aca="false">AP157</f>
        <v>91.658</v>
      </c>
      <c r="AQ231" s="45" t="n">
        <f aca="false">AQ157</f>
        <v>93.764</v>
      </c>
      <c r="AR231" s="45" t="n">
        <f aca="false">AR157</f>
        <v>360.093</v>
      </c>
      <c r="AS231" s="45" t="n">
        <f aca="false">AS157</f>
        <v>91.994</v>
      </c>
      <c r="AT231" s="45" t="n">
        <f aca="false">AT157</f>
        <v>94.336</v>
      </c>
      <c r="AU231" s="45" t="n">
        <f aca="false">AU157</f>
        <v>96.163</v>
      </c>
      <c r="AV231" s="45" t="n">
        <f aca="false">AV157</f>
        <v>96.56</v>
      </c>
      <c r="AW231" s="45" t="n">
        <f aca="false">AW157</f>
        <v>379.053</v>
      </c>
      <c r="AX231" s="45" t="n">
        <f aca="false">AX157</f>
        <v>96.179</v>
      </c>
      <c r="AY231" s="45" t="n">
        <f aca="false">AY157</f>
        <v>96.475</v>
      </c>
      <c r="AZ231" s="45" t="n">
        <f aca="false">AZ157</f>
        <v>97.167</v>
      </c>
      <c r="BA231" s="45" t="n">
        <f aca="false">BA157</f>
        <v>98.13</v>
      </c>
      <c r="BB231" s="45" t="n">
        <f aca="false">BB157</f>
        <v>387.951</v>
      </c>
      <c r="BC231" s="45" t="n">
        <f aca="false">BC157</f>
        <v>97.949</v>
      </c>
      <c r="BD231" s="45" t="n">
        <f aca="false">BD157</f>
        <v>98.69</v>
      </c>
      <c r="BE231" s="45" t="n">
        <f aca="false">BE157</f>
        <v>100.684</v>
      </c>
      <c r="BF231" s="45" t="n">
        <f aca="false">BF157</f>
        <v>102.378</v>
      </c>
      <c r="BG231" s="45" t="n">
        <f aca="false">BG157</f>
        <v>399.701</v>
      </c>
      <c r="BH231" s="45" t="n">
        <f aca="false">BH157</f>
        <v>100.046</v>
      </c>
      <c r="BI231" s="45" t="n">
        <f aca="false">BI157</f>
        <v>101.208</v>
      </c>
      <c r="BJ231" s="45" t="n">
        <f aca="false">BJ157</f>
        <v>102.828</v>
      </c>
      <c r="BK231" s="45" t="n">
        <f aca="false">BK157</f>
        <v>105.08</v>
      </c>
      <c r="BL231" s="45" t="n">
        <f aca="false">BL157</f>
        <v>409.162</v>
      </c>
      <c r="BM231" s="45" t="n">
        <f aca="false">BM157</f>
        <v>106.812</v>
      </c>
      <c r="BN231" s="45" t="n">
        <f aca="false">BN157</f>
        <v>109.226</v>
      </c>
      <c r="BO231" s="45" t="n">
        <f aca="false">BO157</f>
        <v>111.414</v>
      </c>
      <c r="BP231" s="45" t="n">
        <f aca="false">BP157</f>
        <v>114.932</v>
      </c>
      <c r="BQ231" s="45" t="n">
        <f aca="false">BQ157</f>
        <v>442.384</v>
      </c>
      <c r="BR231" s="45" t="n">
        <f aca="false">BR157</f>
        <v>115.204</v>
      </c>
      <c r="BS231" s="45" t="n">
        <f aca="false">BS157</f>
        <v>130.043</v>
      </c>
      <c r="BT231" s="45" t="n">
        <f aca="false">BT157</f>
        <v>127.047</v>
      </c>
      <c r="BU231" s="45" t="n">
        <f aca="false">BU157</f>
        <v>121.889</v>
      </c>
      <c r="BV231" s="45" t="n">
        <f aca="false">BV157</f>
        <v>494.183</v>
      </c>
      <c r="BW231" s="45" t="n">
        <f aca="false">BW157</f>
        <v>125.937</v>
      </c>
      <c r="BX231" s="45" t="n">
        <f aca="false">BX157</f>
        <v>127.501</v>
      </c>
      <c r="BY231" s="45" t="n">
        <f aca="false">BY157</f>
        <v>128.67</v>
      </c>
      <c r="BZ231" s="45" t="n">
        <f aca="false">BZ157</f>
        <v>130.738</v>
      </c>
      <c r="CA231" s="45" t="n">
        <f aca="false">CA157</f>
        <v>512.846</v>
      </c>
      <c r="CB231" s="45" t="n">
        <f aca="false">CB157</f>
        <v>127.326</v>
      </c>
      <c r="CC231" s="43"/>
      <c r="CD231" s="43"/>
      <c r="CE231" s="43"/>
      <c r="CF231" s="35" t="n">
        <f aca="false">CF157</f>
        <v>610.358878618228</v>
      </c>
      <c r="CG231" s="35" t="n">
        <f aca="false">CG157</f>
        <v>802.881746135705</v>
      </c>
      <c r="CH231" s="35" t="n">
        <f aca="false">CH157</f>
        <v>861.056335183205</v>
      </c>
      <c r="CI231" s="35" t="n">
        <f aca="false">CI157</f>
        <v>908.212787856121</v>
      </c>
      <c r="CJ231" s="35" t="n">
        <f aca="false">CJ157</f>
        <v>972.219011356796</v>
      </c>
      <c r="CK231" s="23"/>
    </row>
    <row r="232" customFormat="false" ht="15" hidden="false" customHeight="true" outlineLevel="0" collapsed="false">
      <c r="B232" s="29" t="s">
        <v>516</v>
      </c>
      <c r="D232" s="34" t="n">
        <v>4.5</v>
      </c>
      <c r="E232" s="34" t="n">
        <v>7.456</v>
      </c>
      <c r="F232" s="34" t="n">
        <v>11.953</v>
      </c>
      <c r="G232" s="34" t="n">
        <v>15.349</v>
      </c>
      <c r="H232" s="34" t="n">
        <v>15.203</v>
      </c>
      <c r="I232" s="34" t="n">
        <v>20.312</v>
      </c>
      <c r="J232" s="34" t="n">
        <v>5.448</v>
      </c>
      <c r="K232" s="34" t="n">
        <v>5.636</v>
      </c>
      <c r="L232" s="34" t="n">
        <v>5.576</v>
      </c>
      <c r="M232" s="34" t="n">
        <v>6.65</v>
      </c>
      <c r="N232" s="34" t="n">
        <v>23.31</v>
      </c>
      <c r="O232" s="34" t="n">
        <v>6.984</v>
      </c>
      <c r="P232" s="34" t="n">
        <v>7.64</v>
      </c>
      <c r="Q232" s="34" t="n">
        <v>7.624</v>
      </c>
      <c r="R232" s="34" t="n">
        <v>7.627</v>
      </c>
      <c r="S232" s="34" t="n">
        <v>29.875</v>
      </c>
      <c r="T232" s="34" t="n">
        <v>12.28</v>
      </c>
      <c r="U232" s="34" t="n">
        <v>12.505</v>
      </c>
      <c r="V232" s="34" t="n">
        <v>11.231</v>
      </c>
      <c r="W232" s="34" t="n">
        <v>10.986</v>
      </c>
      <c r="X232" s="34" t="n">
        <v>47.002</v>
      </c>
      <c r="Y232" s="34" t="n">
        <v>23.917</v>
      </c>
      <c r="Z232" s="34" t="n">
        <v>16.324</v>
      </c>
      <c r="AA232" s="34" t="n">
        <v>16.928</v>
      </c>
      <c r="AB232" s="34" t="n">
        <v>22.124</v>
      </c>
      <c r="AC232" s="34" t="n">
        <v>79.293</v>
      </c>
      <c r="AD232" s="34" t="n">
        <v>20.779</v>
      </c>
      <c r="AE232" s="34" t="n">
        <v>18.803</v>
      </c>
      <c r="AF232" s="34" t="n">
        <v>23.996</v>
      </c>
      <c r="AG232" s="34" t="n">
        <v>25.29</v>
      </c>
      <c r="AH232" s="34" t="n">
        <v>88.868</v>
      </c>
      <c r="AI232" s="34" t="n">
        <v>28.63</v>
      </c>
      <c r="AJ232" s="34" t="n">
        <v>26.574</v>
      </c>
      <c r="AK232" s="34" t="n">
        <v>30.84</v>
      </c>
      <c r="AL232" s="34" t="n">
        <v>26.791</v>
      </c>
      <c r="AM232" s="34" t="n">
        <v>112.835</v>
      </c>
      <c r="AN232" s="34" t="n">
        <v>46.172</v>
      </c>
      <c r="AO232" s="34" t="n">
        <v>28.612</v>
      </c>
      <c r="AP232" s="34" t="n">
        <v>30.769</v>
      </c>
      <c r="AQ232" s="34" t="n">
        <v>33.657</v>
      </c>
      <c r="AR232" s="34" t="n">
        <v>139.21</v>
      </c>
      <c r="AS232" s="34" t="n">
        <v>40.395</v>
      </c>
      <c r="AT232" s="34" t="n">
        <v>29.003</v>
      </c>
      <c r="AU232" s="34" t="n">
        <v>27.03</v>
      </c>
      <c r="AV232" s="34" t="n">
        <v>19.007</v>
      </c>
      <c r="AW232" s="34" t="n">
        <v>115.435</v>
      </c>
      <c r="AX232" s="34" t="n">
        <v>29.055</v>
      </c>
      <c r="AY232" s="34" t="n">
        <v>28.547</v>
      </c>
      <c r="AZ232" s="34" t="n">
        <v>25.819</v>
      </c>
      <c r="BA232" s="34" t="n">
        <v>28.614</v>
      </c>
      <c r="BB232" s="34" t="n">
        <v>112.035</v>
      </c>
      <c r="BC232" s="34" t="n">
        <v>36.496</v>
      </c>
      <c r="BD232" s="34" t="n">
        <v>24.397</v>
      </c>
      <c r="BE232" s="34" t="n">
        <v>22.794</v>
      </c>
      <c r="BF232" s="34" t="n">
        <v>25.621</v>
      </c>
      <c r="BG232" s="34" t="n">
        <v>109.308</v>
      </c>
      <c r="BH232" s="34" t="n">
        <v>26.282</v>
      </c>
      <c r="BI232" s="34" t="n">
        <v>25.255</v>
      </c>
      <c r="BJ232" s="34" t="n">
        <v>23.797</v>
      </c>
      <c r="BK232" s="34" t="n">
        <v>28.287</v>
      </c>
      <c r="BL232" s="34" t="n">
        <v>103.621</v>
      </c>
      <c r="BM232" s="34" t="n">
        <v>30.242</v>
      </c>
      <c r="BN232" s="34" t="n">
        <v>22.94</v>
      </c>
      <c r="BO232" s="34" t="n">
        <v>31.308</v>
      </c>
      <c r="BP232" s="34" t="n">
        <v>32.496</v>
      </c>
      <c r="BQ232" s="34" t="n">
        <v>116.986</v>
      </c>
      <c r="BR232" s="34" t="n">
        <v>33.367</v>
      </c>
      <c r="BS232" s="34" t="n">
        <v>32.417</v>
      </c>
      <c r="BT232" s="34" t="n">
        <v>31.802</v>
      </c>
      <c r="BU232" s="34" t="n">
        <v>30.743</v>
      </c>
      <c r="BV232" s="34" t="n">
        <v>128.329</v>
      </c>
      <c r="BW232" s="34" t="n">
        <v>30.348</v>
      </c>
      <c r="BX232" s="34" t="n">
        <v>32.353</v>
      </c>
      <c r="BY232" s="34" t="n">
        <v>34.249</v>
      </c>
      <c r="BZ232" s="34" t="n">
        <v>31.126</v>
      </c>
      <c r="CA232" s="34" t="n">
        <v>128.076</v>
      </c>
      <c r="CB232" s="34" t="n">
        <v>31.047</v>
      </c>
      <c r="CC232" s="43"/>
      <c r="CD232" s="43"/>
      <c r="CE232" s="43"/>
      <c r="CF232" s="35" t="n">
        <f aca="false">CF158</f>
        <v>136.78880987951</v>
      </c>
      <c r="CG232" s="35" t="n">
        <f aca="false">CG158</f>
        <v>163.691996495743</v>
      </c>
      <c r="CH232" s="35" t="n">
        <f aca="false">CH158</f>
        <v>176.292673550442</v>
      </c>
      <c r="CI232" s="35" t="n">
        <f aca="false">CI158</f>
        <v>189.856157896366</v>
      </c>
      <c r="CJ232" s="35" t="n">
        <f aca="false">CJ158</f>
        <v>203.618073835942</v>
      </c>
      <c r="CK232" s="23"/>
    </row>
    <row r="233" customFormat="false" ht="15" hidden="false" customHeight="true" outlineLevel="0" collapsed="false">
      <c r="B233" s="29" t="s">
        <v>517</v>
      </c>
      <c r="C233" s="34" t="n">
        <v>0.257</v>
      </c>
      <c r="D233" s="34" t="n">
        <v>-0.332</v>
      </c>
      <c r="E233" s="34" t="n">
        <v>1.663</v>
      </c>
      <c r="F233" s="34" t="n">
        <v>-1.174</v>
      </c>
      <c r="G233" s="34" t="n">
        <v>13.295</v>
      </c>
      <c r="H233" s="34" t="n">
        <v>47.908</v>
      </c>
      <c r="I233" s="34" t="n">
        <v>56.727</v>
      </c>
      <c r="J233" s="34" t="n">
        <v>9.716</v>
      </c>
      <c r="K233" s="34" t="n">
        <v>45.529</v>
      </c>
      <c r="L233" s="34" t="n">
        <v>8.554</v>
      </c>
      <c r="M233" s="34" t="n">
        <v>-15.776</v>
      </c>
      <c r="N233" s="34" t="n">
        <v>48.023</v>
      </c>
      <c r="O233" s="34" t="n">
        <v>7.373</v>
      </c>
      <c r="P233" s="34" t="n">
        <v>1.926</v>
      </c>
      <c r="Q233" s="34" t="n">
        <v>-0.566</v>
      </c>
      <c r="R233" s="34" t="n">
        <v>38.376</v>
      </c>
      <c r="S233" s="34" t="n">
        <v>47.109</v>
      </c>
      <c r="T233" s="34" t="n">
        <v>2.108</v>
      </c>
      <c r="U233" s="34" t="n">
        <v>8.238</v>
      </c>
      <c r="V233" s="34" t="n">
        <v>5.082</v>
      </c>
      <c r="W233" s="34" t="n">
        <v>5.438</v>
      </c>
      <c r="X233" s="34" t="n">
        <v>20.866</v>
      </c>
      <c r="Y233" s="34" t="n">
        <v>5.632</v>
      </c>
      <c r="Z233" s="34" t="n">
        <v>-104.055</v>
      </c>
      <c r="AA233" s="34" t="n">
        <v>23.883</v>
      </c>
      <c r="AB233" s="34" t="n">
        <v>15.238</v>
      </c>
      <c r="AC233" s="34" t="n">
        <v>-59.302</v>
      </c>
      <c r="AD233" s="34" t="n">
        <v>1.97</v>
      </c>
      <c r="AE233" s="34" t="n">
        <v>-5.803</v>
      </c>
      <c r="AF233" s="34" t="n">
        <v>0.361</v>
      </c>
      <c r="AG233" s="34" t="n">
        <v>7.374</v>
      </c>
      <c r="AH233" s="34" t="n">
        <v>3.902</v>
      </c>
      <c r="AI233" s="34" t="n">
        <v>24.938</v>
      </c>
      <c r="AJ233" s="34" t="n">
        <v>17.224</v>
      </c>
      <c r="AK233" s="34" t="n">
        <v>-162.59</v>
      </c>
      <c r="AL233" s="34" t="n">
        <v>1.133</v>
      </c>
      <c r="AM233" s="34" t="n">
        <v>-119.295</v>
      </c>
      <c r="AN233" s="34" t="n">
        <v>9.022</v>
      </c>
      <c r="AO233" s="34" t="n">
        <v>10.205</v>
      </c>
      <c r="AP233" s="34" t="n">
        <v>5.852</v>
      </c>
      <c r="AQ233" s="34" t="n">
        <v>6.629</v>
      </c>
      <c r="AR233" s="34" t="n">
        <v>31.708</v>
      </c>
      <c r="AS233" s="34" t="n">
        <v>7.91</v>
      </c>
      <c r="AT233" s="34" t="n">
        <v>-0.278</v>
      </c>
      <c r="AU233" s="34" t="n">
        <v>-2.619</v>
      </c>
      <c r="AV233" s="34" t="n">
        <v>-21.265</v>
      </c>
      <c r="AW233" s="34" t="n">
        <v>-16.252</v>
      </c>
      <c r="AX233" s="34" t="n">
        <v>-8.716</v>
      </c>
      <c r="AY233" s="34" t="n">
        <v>-14.383</v>
      </c>
      <c r="AZ233" s="34" t="n">
        <v>-13.16</v>
      </c>
      <c r="BA233" s="34" t="n">
        <v>-5.983</v>
      </c>
      <c r="BB233" s="34" t="n">
        <v>-42.242</v>
      </c>
      <c r="BC233" s="34" t="n">
        <v>22.887</v>
      </c>
      <c r="BD233" s="34" t="n">
        <v>7.054</v>
      </c>
      <c r="BE233" s="34" t="n">
        <v>12.711</v>
      </c>
      <c r="BF233" s="34" t="n">
        <v>9.458</v>
      </c>
      <c r="BG233" s="34" t="n">
        <v>52.11</v>
      </c>
      <c r="BH233" s="34" t="n">
        <v>14.829</v>
      </c>
      <c r="BI233" s="34" t="n">
        <v>3.736</v>
      </c>
      <c r="BJ233" s="34" t="n">
        <v>3.436</v>
      </c>
      <c r="BK233" s="34" t="n">
        <v>1.232</v>
      </c>
      <c r="BL233" s="34" t="n">
        <v>23.233</v>
      </c>
      <c r="BM233" s="34" t="n">
        <v>-1.367</v>
      </c>
      <c r="BN233" s="34" t="n">
        <v>-5.738</v>
      </c>
      <c r="BO233" s="34" t="n">
        <v>-14.261</v>
      </c>
      <c r="BP233" s="34" t="n">
        <v>-7.546</v>
      </c>
      <c r="BQ233" s="34" t="n">
        <v>-28.912</v>
      </c>
      <c r="BR233" s="34" t="n">
        <v>1.887</v>
      </c>
      <c r="BS233" s="34" t="n">
        <v>1.866</v>
      </c>
      <c r="BT233" s="34" t="n">
        <v>-11.039</v>
      </c>
      <c r="BU233" s="34" t="n">
        <v>1.479</v>
      </c>
      <c r="BV233" s="34" t="n">
        <v>-5.807</v>
      </c>
      <c r="BW233" s="34" t="n">
        <v>13.496</v>
      </c>
      <c r="BX233" s="34" t="n">
        <v>12.149</v>
      </c>
      <c r="BY233" s="34" t="n">
        <v>12.295</v>
      </c>
      <c r="BZ233" s="34" t="n">
        <v>20.152</v>
      </c>
      <c r="CA233" s="34" t="n">
        <v>58.092</v>
      </c>
      <c r="CB233" s="34" t="n">
        <v>9.132</v>
      </c>
      <c r="CC233" s="43"/>
      <c r="CD233" s="43"/>
      <c r="CE233" s="43"/>
      <c r="CF233" s="35" t="n">
        <f aca="false">-(CF73+$CU$27*CF63+CF96)*$CU$61</f>
        <v>-10.330745890411</v>
      </c>
      <c r="CG233" s="35" t="n">
        <f aca="false">-(CG73+$CU$27*CG63+CG96)*$CU$61</f>
        <v>-25.7905</v>
      </c>
      <c r="CH233" s="35" t="n">
        <f aca="false">-(CH73+$CU$27*CH63+CH96)*$CU$61</f>
        <v>-28.228</v>
      </c>
      <c r="CI233" s="35" t="n">
        <f aca="false">-(CI73+$CU$27*CI63+CI96)*$CU$61</f>
        <v>-27.1595833333333</v>
      </c>
      <c r="CJ233" s="35" t="n">
        <f aca="false">-(CJ73+$CU$27*CJ63+CJ96)*$CU$61</f>
        <v>-30.3470833333333</v>
      </c>
      <c r="CK233" s="23" t="s">
        <v>518</v>
      </c>
    </row>
    <row r="234" customFormat="false" ht="15" hidden="false" customHeight="true" outlineLevel="0" collapsed="false">
      <c r="B234" s="29" t="s">
        <v>519</v>
      </c>
      <c r="C234" s="45" t="n">
        <f aca="false">C236-SUM(C229,C231,C232,C233,C235)</f>
        <v>0</v>
      </c>
      <c r="D234" s="45" t="n">
        <f aca="false">D236-SUM(D229,D231,D232,D233,D235)</f>
        <v>-0.0440000000000964</v>
      </c>
      <c r="E234" s="45" t="n">
        <f aca="false">E236-SUM(E229,E231,E232,E233,E235)</f>
        <v>0</v>
      </c>
      <c r="F234" s="45" t="n">
        <f aca="false">F236-SUM(F229,F231,F232,F233,F235)</f>
        <v>48.888</v>
      </c>
      <c r="G234" s="45" t="n">
        <f aca="false">G236-SUM(G229,G231,G232,G233,G235)</f>
        <v>0</v>
      </c>
      <c r="H234" s="45" t="n">
        <f aca="false">H236-SUM(H229,H231,H232,H233,H235)</f>
        <v>0</v>
      </c>
      <c r="I234" s="45" t="n">
        <f aca="false">I236-SUM(I229,I231,I232,I233,I235)</f>
        <v>0</v>
      </c>
      <c r="J234" s="45" t="n">
        <f aca="false">J236-SUM(J229,J231,J232,J233,J235)</f>
        <v>0</v>
      </c>
      <c r="K234" s="45" t="n">
        <f aca="false">K236-SUM(K229,K231,K232,K233,K235)</f>
        <v>0</v>
      </c>
      <c r="L234" s="45" t="n">
        <f aca="false">L236-SUM(L229,L231,L232,L233,L235)</f>
        <v>0</v>
      </c>
      <c r="M234" s="45" t="n">
        <f aca="false">M236-SUM(M229,M231,M232,M233,M235)</f>
        <v>0</v>
      </c>
      <c r="N234" s="45" t="n">
        <f aca="false">N236-SUM(N229,N231,N232,N233,N235)</f>
        <v>0</v>
      </c>
      <c r="O234" s="45" t="n">
        <f aca="false">O236-SUM(O229,O231,O232,O233,O235)</f>
        <v>0</v>
      </c>
      <c r="P234" s="45" t="n">
        <f aca="false">P236-SUM(P229,P231,P232,P233,P235)</f>
        <v>0</v>
      </c>
      <c r="Q234" s="45" t="n">
        <f aca="false">Q236-SUM(Q229,Q231,Q232,Q233,Q235)</f>
        <v>0</v>
      </c>
      <c r="R234" s="45" t="n">
        <f aca="false">R236-SUM(R229,R231,R232,R233,R235)</f>
        <v>-64.2410000000001</v>
      </c>
      <c r="S234" s="45" t="n">
        <f aca="false">S236-SUM(S229,S231,S232,S233,S235)</f>
        <v>-64.241</v>
      </c>
      <c r="T234" s="45" t="n">
        <f aca="false">T236-SUM(T229,T231,T232,T233,T235)</f>
        <v>-28.358</v>
      </c>
      <c r="U234" s="45" t="n">
        <f aca="false">U236-SUM(U229,U231,U232,U233,U235)</f>
        <v>-34.1369999999998</v>
      </c>
      <c r="V234" s="45" t="n">
        <f aca="false">V236-SUM(V229,V231,V232,V233,V235)</f>
        <v>10.29</v>
      </c>
      <c r="W234" s="45" t="n">
        <f aca="false">W236-SUM(W229,W231,W232,W233,W235)</f>
        <v>-4.2560000000001</v>
      </c>
      <c r="X234" s="45" t="n">
        <f aca="false">X236-SUM(X229,X231,X232,X233,X235)</f>
        <v>-56.4610000000006</v>
      </c>
      <c r="Y234" s="45" t="n">
        <f aca="false">Y236-SUM(Y229,Y231,Y232,Y233,Y235)</f>
        <v>9.67299999999986</v>
      </c>
      <c r="Z234" s="45" t="n">
        <f aca="false">Z236-SUM(Z229,Z231,Z232,Z233,Z235)</f>
        <v>-375.197</v>
      </c>
      <c r="AA234" s="45" t="n">
        <f aca="false">AA236-SUM(AA229,AA231,AA232,AA233,AA235)</f>
        <v>0</v>
      </c>
      <c r="AB234" s="45" t="n">
        <f aca="false">AB236-SUM(AB229,AB231,AB232,AB233,AB235)</f>
        <v>-4.33299999999991</v>
      </c>
      <c r="AC234" s="45" t="n">
        <f aca="false">AC236-SUM(AC229,AC231,AC232,AC233,AC235)</f>
        <v>-369.856999999999</v>
      </c>
      <c r="AD234" s="45" t="n">
        <f aca="false">AD236-SUM(AD229,AD231,AD232,AD233,AD235)</f>
        <v>0</v>
      </c>
      <c r="AE234" s="45" t="n">
        <f aca="false">AE236-SUM(AE229,AE231,AE232,AE233,AE235)</f>
        <v>-16.923</v>
      </c>
      <c r="AF234" s="45" t="n">
        <f aca="false">AF236-SUM(AF229,AF231,AF232,AF233,AF235)</f>
        <v>-8.953</v>
      </c>
      <c r="AG234" s="45" t="n">
        <f aca="false">AG236-SUM(AG229,AG231,AG232,AG233,AG235)</f>
        <v>100.989</v>
      </c>
      <c r="AH234" s="45" t="n">
        <f aca="false">AH236-SUM(AH229,AH231,AH232,AH233,AH235)</f>
        <v>75.1149999999996</v>
      </c>
      <c r="AI234" s="45" t="n">
        <f aca="false">AI236-SUM(AI229,AI231,AI232,AI233,AI235)</f>
        <v>-100.269</v>
      </c>
      <c r="AJ234" s="45" t="n">
        <f aca="false">AJ236-SUM(AJ229,AJ231,AJ232,AJ233,AJ235)</f>
        <v>1.20899999999996</v>
      </c>
      <c r="AK234" s="45" t="n">
        <f aca="false">AK236-SUM(AK229,AK231,AK232,AK233,AK235)</f>
        <v>0</v>
      </c>
      <c r="AL234" s="45" t="n">
        <f aca="false">AL236-SUM(AL229,AL231,AL232,AL233,AL235)</f>
        <v>2.66000000000008</v>
      </c>
      <c r="AM234" s="45" t="n">
        <f aca="false">AM236-SUM(AM229,AM231,AM232,AM233,AM235)</f>
        <v>-96.3999999999998</v>
      </c>
      <c r="AN234" s="45" t="n">
        <f aca="false">AN236-SUM(AN229,AN231,AN232,AN233,AN235)</f>
        <v>0</v>
      </c>
      <c r="AO234" s="45" t="n">
        <f aca="false">AO236-SUM(AO229,AO231,AO232,AO233,AO235)</f>
        <v>-69.3730000000001</v>
      </c>
      <c r="AP234" s="45" t="n">
        <f aca="false">AP236-SUM(AP229,AP231,AP232,AP233,AP235)</f>
        <v>-2.41899999999993</v>
      </c>
      <c r="AQ234" s="45" t="n">
        <f aca="false">AQ236-SUM(AQ229,AQ231,AQ232,AQ233,AQ235)</f>
        <v>-0.78100000000012</v>
      </c>
      <c r="AR234" s="45" t="n">
        <f aca="false">AR236-SUM(AR229,AR231,AR232,AR233,AR235)</f>
        <v>-72.5729999999996</v>
      </c>
      <c r="AS234" s="45" t="n">
        <f aca="false">AS236-SUM(AS229,AS231,AS232,AS233,AS235)</f>
        <v>0</v>
      </c>
      <c r="AT234" s="45" t="n">
        <f aca="false">AT236-SUM(AT229,AT231,AT232,AT233,AT235)</f>
        <v>0</v>
      </c>
      <c r="AU234" s="45" t="n">
        <f aca="false">AU236-SUM(AU229,AU231,AU232,AU233,AU235)</f>
        <v>0</v>
      </c>
      <c r="AV234" s="45" t="n">
        <f aca="false">AV236-SUM(AV229,AV231,AV232,AV233,AV235)</f>
        <v>9.21999999999997</v>
      </c>
      <c r="AW234" s="45" t="n">
        <f aca="false">AW236-SUM(AW229,AW231,AW232,AW233,AW235)</f>
        <v>9.22000000000003</v>
      </c>
      <c r="AX234" s="45" t="n">
        <f aca="false">AX236-SUM(AX229,AX231,AX232,AX233,AX235)</f>
        <v>0</v>
      </c>
      <c r="AY234" s="45" t="n">
        <f aca="false">AY236-SUM(AY229,AY231,AY232,AY233,AY235)</f>
        <v>-17.963</v>
      </c>
      <c r="AZ234" s="45" t="n">
        <f aca="false">AZ236-SUM(AZ229,AZ231,AZ232,AZ233,AZ235)</f>
        <v>-3.89800000000002</v>
      </c>
      <c r="BA234" s="45" t="n">
        <f aca="false">BA236-SUM(BA229,BA231,BA232,BA233,BA235)</f>
        <v>4.94499999999994</v>
      </c>
      <c r="BB234" s="45" t="n">
        <f aca="false">BB236-SUM(BB229,BB231,BB232,BB233,BB235)</f>
        <v>-16.9160000000004</v>
      </c>
      <c r="BC234" s="45" t="n">
        <f aca="false">BC236-SUM(BC229,BC231,BC232,BC233,BC235)</f>
        <v>-12.1780000000001</v>
      </c>
      <c r="BD234" s="45" t="n">
        <f aca="false">BD236-SUM(BD229,BD231,BD232,BD233,BD235)</f>
        <v>0.0490000000001487</v>
      </c>
      <c r="BE234" s="45" t="n">
        <f aca="false">BE236-SUM(BE229,BE231,BE232,BE233,BE235)</f>
        <v>-30.151</v>
      </c>
      <c r="BF234" s="45" t="n">
        <f aca="false">BF236-SUM(BF229,BF231,BF232,BF233,BF235)</f>
        <v>0</v>
      </c>
      <c r="BG234" s="45" t="n">
        <f aca="false">BG236-SUM(BG229,BG231,BG232,BG233,BG235)</f>
        <v>-42.2800000000002</v>
      </c>
      <c r="BH234" s="45" t="n">
        <f aca="false">BH236-SUM(BH229,BH231,BH232,BH233,BH235)</f>
        <v>0</v>
      </c>
      <c r="BI234" s="45" t="n">
        <f aca="false">BI236-SUM(BI229,BI231,BI232,BI233,BI235)</f>
        <v>0</v>
      </c>
      <c r="BJ234" s="45" t="n">
        <f aca="false">BJ236-SUM(BJ229,BJ231,BJ232,BJ233,BJ235)</f>
        <v>0</v>
      </c>
      <c r="BK234" s="45" t="n">
        <f aca="false">BK236-SUM(BK229,BK231,BK232,BK233,BK235)</f>
        <v>0</v>
      </c>
      <c r="BL234" s="45" t="n">
        <f aca="false">BL236-SUM(BL229,BL231,BL232,BL233,BL235)</f>
        <v>0</v>
      </c>
      <c r="BM234" s="45" t="n">
        <f aca="false">BM236-SUM(BM229,BM231,BM232,BM233,BM235)</f>
        <v>0</v>
      </c>
      <c r="BN234" s="45" t="n">
        <f aca="false">BN236-SUM(BN229,BN231,BN232,BN233,BN235)</f>
        <v>0</v>
      </c>
      <c r="BO234" s="45" t="n">
        <f aca="false">BO236-SUM(BO229,BO231,BO232,BO233,BO235)</f>
        <v>0</v>
      </c>
      <c r="BP234" s="45" t="n">
        <f aca="false">BP236-SUM(BP229,BP231,BP232,BP233,BP235)</f>
        <v>0</v>
      </c>
      <c r="BQ234" s="45" t="n">
        <f aca="false">BQ236-SUM(BQ229,BQ231,BQ232,BQ233,BQ235)</f>
        <v>0</v>
      </c>
      <c r="BR234" s="45" t="n">
        <f aca="false">BR236-SUM(BR229,BR231,BR232,BR233,BR235)</f>
        <v>0</v>
      </c>
      <c r="BS234" s="45" t="n">
        <f aca="false">BS236-SUM(BS229,BS231,BS232,BS233,BS235)</f>
        <v>-4.29500000000002</v>
      </c>
      <c r="BT234" s="45" t="n">
        <f aca="false">BT236-SUM(BT229,BT231,BT232,BT233,BT235)</f>
        <v>-15.0460000000001</v>
      </c>
      <c r="BU234" s="45" t="n">
        <f aca="false">BU236-SUM(BU229,BU231,BU232,BU233,BU235)</f>
        <v>0</v>
      </c>
      <c r="BV234" s="45" t="n">
        <f aca="false">BV236-SUM(BV229,BV231,BV232,BV233,BV235)</f>
        <v>-19.3409999999999</v>
      </c>
      <c r="BW234" s="45" t="n">
        <f aca="false">BW236-SUM(BW229,BW231,BW232,BW233,BW235)</f>
        <v>0</v>
      </c>
      <c r="BX234" s="45" t="n">
        <f aca="false">BX236-SUM(BX229,BX231,BX232,BX233,BX235)</f>
        <v>0</v>
      </c>
      <c r="BY234" s="45" t="n">
        <f aca="false">BY236-SUM(BY229,BY231,BY232,BY233,BY235)</f>
        <v>0</v>
      </c>
      <c r="BZ234" s="45" t="n">
        <f aca="false">BZ236-SUM(BZ229,BZ231,BZ232,BZ233,BZ235)</f>
        <v>0</v>
      </c>
      <c r="CA234" s="45" t="n">
        <f aca="false">CA236-SUM(CA229,CA231,CA232,CA233,CA235)</f>
        <v>0</v>
      </c>
      <c r="CB234" s="45" t="n">
        <f aca="false">CB236-SUM(CB229,CB231,CB232,CB233,CB235)</f>
        <v>0</v>
      </c>
      <c r="CC234" s="43"/>
      <c r="CD234" s="43"/>
      <c r="CE234" s="43"/>
      <c r="CF234" s="35" t="n">
        <f aca="false">0</f>
        <v>0</v>
      </c>
      <c r="CG234" s="35" t="n">
        <f aca="false">0</f>
        <v>0</v>
      </c>
      <c r="CH234" s="35" t="n">
        <f aca="false">0</f>
        <v>0</v>
      </c>
      <c r="CI234" s="35" t="n">
        <f aca="false">0</f>
        <v>0</v>
      </c>
      <c r="CJ234" s="35" t="n">
        <f aca="false">0</f>
        <v>0</v>
      </c>
      <c r="CK234" s="23"/>
    </row>
    <row r="235" customFormat="false" ht="15" hidden="false" customHeight="true" outlineLevel="0" collapsed="false">
      <c r="B235" s="29" t="s">
        <v>520</v>
      </c>
      <c r="C235" s="34" t="n">
        <v>-26.202</v>
      </c>
      <c r="D235" s="34" t="n">
        <v>-65.197</v>
      </c>
      <c r="E235" s="34" t="n">
        <v>8.116</v>
      </c>
      <c r="F235" s="34" t="n">
        <v>37.392</v>
      </c>
      <c r="G235" s="34" t="n">
        <v>124.167</v>
      </c>
      <c r="H235" s="34" t="n">
        <v>-162.681</v>
      </c>
      <c r="I235" s="34" t="n">
        <v>-98.979</v>
      </c>
      <c r="J235" s="34" t="n">
        <v>-43.474</v>
      </c>
      <c r="K235" s="34" t="n">
        <v>-43.646</v>
      </c>
      <c r="L235" s="34" t="n">
        <v>4.413</v>
      </c>
      <c r="M235" s="34" t="n">
        <v>59.303</v>
      </c>
      <c r="N235" s="34" t="n">
        <v>-23.404</v>
      </c>
      <c r="O235" s="34" t="n">
        <v>-57.946</v>
      </c>
      <c r="P235" s="34" t="n">
        <v>-3.234</v>
      </c>
      <c r="Q235" s="34" t="n">
        <v>23.469</v>
      </c>
      <c r="R235" s="34" t="n">
        <v>67.633</v>
      </c>
      <c r="S235" s="34" t="n">
        <v>29.922</v>
      </c>
      <c r="T235" s="34" t="n">
        <v>12.409</v>
      </c>
      <c r="U235" s="34" t="n">
        <v>-1.145</v>
      </c>
      <c r="V235" s="34" t="n">
        <v>12.694</v>
      </c>
      <c r="W235" s="34" t="n">
        <v>-40.789</v>
      </c>
      <c r="X235" s="34" t="n">
        <v>-16.831</v>
      </c>
      <c r="Y235" s="34" t="n">
        <v>-36.088</v>
      </c>
      <c r="Z235" s="34" t="n">
        <v>198.656</v>
      </c>
      <c r="AA235" s="34" t="n">
        <v>-167.812</v>
      </c>
      <c r="AB235" s="34" t="n">
        <v>-37.844</v>
      </c>
      <c r="AC235" s="34" t="n">
        <v>-43.088</v>
      </c>
      <c r="AD235" s="34" t="n">
        <v>-46.42</v>
      </c>
      <c r="AE235" s="34" t="n">
        <v>-36.203</v>
      </c>
      <c r="AF235" s="34" t="n">
        <v>3.964</v>
      </c>
      <c r="AG235" s="34" t="n">
        <v>-2.642</v>
      </c>
      <c r="AH235" s="34" t="n">
        <v>-81.301</v>
      </c>
      <c r="AI235" s="34" t="n">
        <v>15.347</v>
      </c>
      <c r="AJ235" s="34" t="n">
        <v>-127.803</v>
      </c>
      <c r="AK235" s="34" t="n">
        <v>45.447</v>
      </c>
      <c r="AL235" s="34" t="n">
        <v>12.027</v>
      </c>
      <c r="AM235" s="34" t="n">
        <v>-54.982</v>
      </c>
      <c r="AN235" s="34" t="n">
        <v>-191.019</v>
      </c>
      <c r="AO235" s="34" t="n">
        <v>-119.251</v>
      </c>
      <c r="AP235" s="34" t="n">
        <v>-3.044</v>
      </c>
      <c r="AQ235" s="34" t="n">
        <v>37.757</v>
      </c>
      <c r="AR235" s="34" t="n">
        <v>-275.557</v>
      </c>
      <c r="AS235" s="34" t="n">
        <v>-114.21</v>
      </c>
      <c r="AT235" s="34" t="n">
        <v>-74.731</v>
      </c>
      <c r="AU235" s="34" t="n">
        <v>8.104</v>
      </c>
      <c r="AV235" s="34" t="n">
        <v>108.827</v>
      </c>
      <c r="AW235" s="34" t="n">
        <v>-72.01</v>
      </c>
      <c r="AX235" s="34" t="n">
        <v>-104.231</v>
      </c>
      <c r="AY235" s="34" t="n">
        <v>-116.861</v>
      </c>
      <c r="AZ235" s="34" t="n">
        <v>-32.461</v>
      </c>
      <c r="BA235" s="34" t="n">
        <v>62.497</v>
      </c>
      <c r="BB235" s="34" t="n">
        <v>-191.056</v>
      </c>
      <c r="BC235" s="34" t="n">
        <v>-214.192</v>
      </c>
      <c r="BD235" s="34" t="n">
        <v>-93.218</v>
      </c>
      <c r="BE235" s="34" t="n">
        <v>-28.213</v>
      </c>
      <c r="BF235" s="34" t="n">
        <v>118.652</v>
      </c>
      <c r="BG235" s="34" t="n">
        <v>-216.971</v>
      </c>
      <c r="BH235" s="34" t="n">
        <v>-194.69</v>
      </c>
      <c r="BI235" s="34" t="n">
        <v>-133.499</v>
      </c>
      <c r="BJ235" s="34" t="n">
        <v>-30.846</v>
      </c>
      <c r="BK235" s="34" t="n">
        <v>72.823</v>
      </c>
      <c r="BL235" s="34" t="n">
        <v>-286.212</v>
      </c>
      <c r="BM235" s="34" t="n">
        <v>-183.827</v>
      </c>
      <c r="BN235" s="34" t="n">
        <v>-108.355</v>
      </c>
      <c r="BO235" s="34" t="n">
        <v>131.07</v>
      </c>
      <c r="BP235" s="34" t="n">
        <v>138.843</v>
      </c>
      <c r="BQ235" s="34" t="n">
        <v>-22.269</v>
      </c>
      <c r="BR235" s="34" t="n">
        <v>-135.759</v>
      </c>
      <c r="BS235" s="34" t="n">
        <v>-167.122</v>
      </c>
      <c r="BT235" s="34" t="n">
        <v>25.759</v>
      </c>
      <c r="BU235" s="34" t="n">
        <v>33.382</v>
      </c>
      <c r="BV235" s="34" t="n">
        <v>-243.74</v>
      </c>
      <c r="BW235" s="34" t="n">
        <v>-246.44</v>
      </c>
      <c r="BX235" s="34" t="n">
        <v>-136.123</v>
      </c>
      <c r="BY235" s="34" t="n">
        <v>-56.238</v>
      </c>
      <c r="BZ235" s="34" t="n">
        <v>16.099</v>
      </c>
      <c r="CA235" s="34" t="n">
        <v>-422.702</v>
      </c>
      <c r="CB235" s="34" t="n">
        <v>-146.885</v>
      </c>
      <c r="CC235" s="43"/>
      <c r="CD235" s="43"/>
      <c r="CE235" s="43"/>
      <c r="CF235" s="35" t="n">
        <f aca="false">-CF331-CF355</f>
        <v>-307.196894853198</v>
      </c>
      <c r="CG235" s="35" t="n">
        <f aca="false">-CG331-CG355</f>
        <v>-339.267554299746</v>
      </c>
      <c r="CH235" s="35" t="n">
        <f aca="false">-CH331-CH355</f>
        <v>-368.438871707744</v>
      </c>
      <c r="CI235" s="35" t="n">
        <f aca="false">-CI331-CI355</f>
        <v>-402.126890061801</v>
      </c>
      <c r="CJ235" s="35" t="n">
        <f aca="false">-CJ331-CJ355</f>
        <v>-422.40592331152</v>
      </c>
      <c r="CK235" s="23" t="s">
        <v>521</v>
      </c>
    </row>
    <row r="236" customFormat="false" ht="15" hidden="false" customHeight="true" outlineLevel="0" collapsed="false">
      <c r="B236" s="55" t="s">
        <v>522</v>
      </c>
      <c r="C236" s="62" t="n">
        <v>461.886</v>
      </c>
      <c r="D236" s="62" t="n">
        <v>449.391</v>
      </c>
      <c r="E236" s="62" t="n">
        <v>544.543</v>
      </c>
      <c r="F236" s="62" t="n">
        <v>523.522</v>
      </c>
      <c r="G236" s="62" t="n">
        <v>561.572</v>
      </c>
      <c r="H236" s="62" t="n">
        <v>340.886</v>
      </c>
      <c r="I236" s="62" t="n">
        <v>469.862</v>
      </c>
      <c r="J236" s="62" t="n">
        <v>94.865</v>
      </c>
      <c r="K236" s="62" t="n">
        <v>132.398</v>
      </c>
      <c r="L236" s="62" t="n">
        <v>141.08</v>
      </c>
      <c r="M236" s="62" t="n">
        <v>184.405</v>
      </c>
      <c r="N236" s="62" t="n">
        <v>552.748</v>
      </c>
      <c r="O236" s="62" t="n">
        <v>82.559</v>
      </c>
      <c r="P236" s="62" t="n">
        <v>139.721</v>
      </c>
      <c r="Q236" s="62" t="n">
        <v>163.493</v>
      </c>
      <c r="R236" s="62" t="n">
        <v>222.196</v>
      </c>
      <c r="S236" s="62" t="n">
        <v>607.969</v>
      </c>
      <c r="T236" s="62" t="n">
        <v>148.201</v>
      </c>
      <c r="U236" s="62" t="n">
        <v>144.372</v>
      </c>
      <c r="V236" s="62" t="n">
        <v>172.067</v>
      </c>
      <c r="W236" s="62" t="n">
        <v>115.636</v>
      </c>
      <c r="X236" s="62" t="n">
        <v>580.276</v>
      </c>
      <c r="Y236" s="62" t="n">
        <v>143.083</v>
      </c>
      <c r="Z236" s="62" t="n">
        <v>121.954</v>
      </c>
      <c r="AA236" s="62" t="n">
        <v>32.117</v>
      </c>
      <c r="AB236" s="62" t="n">
        <v>168.691</v>
      </c>
      <c r="AC236" s="62" t="n">
        <v>465.845</v>
      </c>
      <c r="AD236" s="62" t="n">
        <v>157.588</v>
      </c>
      <c r="AE236" s="62" t="n">
        <v>144.133</v>
      </c>
      <c r="AF236" s="62" t="n">
        <v>182.037</v>
      </c>
      <c r="AG236" s="62" t="n">
        <v>280.129</v>
      </c>
      <c r="AH236" s="62" t="n">
        <v>763.887</v>
      </c>
      <c r="AI236" s="62" t="n">
        <v>254.366</v>
      </c>
      <c r="AJ236" s="62" t="n">
        <v>124.643</v>
      </c>
      <c r="AK236" s="62" t="n">
        <v>281.855</v>
      </c>
      <c r="AL236" s="62" t="n">
        <v>303.296</v>
      </c>
      <c r="AM236" s="62" t="n">
        <v>964.16</v>
      </c>
      <c r="AN236" s="62" t="n">
        <v>162.985</v>
      </c>
      <c r="AO236" s="62" t="n">
        <v>181.582</v>
      </c>
      <c r="AP236" s="62" t="n">
        <v>326.15</v>
      </c>
      <c r="AQ236" s="62" t="n">
        <v>397.145</v>
      </c>
      <c r="AR236" s="62" t="n">
        <v>1067.862</v>
      </c>
      <c r="AS236" s="62" t="n">
        <v>276.901</v>
      </c>
      <c r="AT236" s="62" t="n">
        <v>294.45</v>
      </c>
      <c r="AU236" s="62" t="n">
        <v>363.198</v>
      </c>
      <c r="AV236" s="62" t="n">
        <v>356.934</v>
      </c>
      <c r="AW236" s="62" t="n">
        <v>1291.483</v>
      </c>
      <c r="AX236" s="62" t="n">
        <v>312.292</v>
      </c>
      <c r="AY236" s="62" t="n">
        <v>260.672</v>
      </c>
      <c r="AZ236" s="62" t="n">
        <v>331.851</v>
      </c>
      <c r="BA236" s="62" t="n">
        <v>455.925</v>
      </c>
      <c r="BB236" s="62" t="n">
        <v>1360.74</v>
      </c>
      <c r="BC236" s="62" t="n">
        <v>262.141</v>
      </c>
      <c r="BD236" s="62" t="n">
        <v>331.641</v>
      </c>
      <c r="BE236" s="62" t="n">
        <v>393.273</v>
      </c>
      <c r="BF236" s="62" t="n">
        <v>550.57</v>
      </c>
      <c r="BG236" s="62" t="n">
        <v>1537.625</v>
      </c>
      <c r="BH236" s="62" t="n">
        <v>298.156</v>
      </c>
      <c r="BI236" s="62" t="n">
        <v>320.993</v>
      </c>
      <c r="BJ236" s="62" t="n">
        <v>425.042</v>
      </c>
      <c r="BK236" s="62" t="n">
        <v>553.623</v>
      </c>
      <c r="BL236" s="62" t="n">
        <v>1597.814</v>
      </c>
      <c r="BM236" s="62" t="n">
        <v>336.945</v>
      </c>
      <c r="BN236" s="62" t="n">
        <v>392.686</v>
      </c>
      <c r="BO236" s="62" t="n">
        <v>657.11</v>
      </c>
      <c r="BP236" s="62" t="n">
        <v>693.04</v>
      </c>
      <c r="BQ236" s="62" t="n">
        <v>2079.781</v>
      </c>
      <c r="BR236" s="62" t="n">
        <v>466.732</v>
      </c>
      <c r="BS236" s="62" t="n">
        <v>441.404</v>
      </c>
      <c r="BT236" s="62" t="n">
        <v>622.02</v>
      </c>
      <c r="BU236" s="62" t="n">
        <v>635.749</v>
      </c>
      <c r="BV236" s="62" t="n">
        <v>2165.905</v>
      </c>
      <c r="BW236" s="62" t="n">
        <v>414.481</v>
      </c>
      <c r="BX236" s="62" t="n">
        <v>531.223</v>
      </c>
      <c r="BY236" s="62" t="n">
        <v>621.472</v>
      </c>
      <c r="BZ236" s="62" t="n">
        <v>709.104</v>
      </c>
      <c r="CA236" s="62" t="n">
        <v>2276.28</v>
      </c>
      <c r="CB236" s="62" t="n">
        <v>572.331</v>
      </c>
      <c r="CC236" s="62"/>
      <c r="CD236" s="62"/>
      <c r="CE236" s="62"/>
      <c r="CF236" s="56" t="n">
        <f aca="false">SUM(CF229,CF231,CF232,CF233,CF234,CF235)</f>
        <v>2501.27799034181</v>
      </c>
      <c r="CG236" s="56" t="n">
        <f aca="false">SUM(CG229,CG231,CG232,CG233,CG234,CG235)</f>
        <v>3017.45579795303</v>
      </c>
      <c r="CH236" s="56" t="n">
        <f aca="false">SUM(CH229,CH231,CH232,CH233,CH234,CH235)</f>
        <v>3425.33677231579</v>
      </c>
      <c r="CI236" s="56" t="n">
        <f aca="false">SUM(CI229,CI231,CI232,CI233,CI234,CI235)</f>
        <v>3877.90808804948</v>
      </c>
      <c r="CJ236" s="56" t="n">
        <f aca="false">SUM(CJ229,CJ231,CJ232,CJ233,CJ234,CJ235)</f>
        <v>4277.59007065167</v>
      </c>
      <c r="CK236" s="23"/>
      <c r="CM236" s="24" t="n">
        <f aca="false">IFERROR((CJ236/CA236)^(1/5)-1,"n/m")</f>
        <v>0.134474389104415</v>
      </c>
      <c r="CN236" s="24" t="n">
        <f aca="false">IFERROR((CA236/BB236)^(1/5)-1,"n/m")</f>
        <v>0.108383638384243</v>
      </c>
      <c r="CO236" s="24" t="n">
        <f aca="false">IFERROR((CA236/AC236)^(1/10)-1,"n/m")</f>
        <v>0.171921237004708</v>
      </c>
      <c r="CP236" s="24" t="n">
        <f aca="false">IFERROR((CA236/C236)^(1/20)-1,"n/m")</f>
        <v>0.0830151806670201</v>
      </c>
    </row>
    <row r="237" customFormat="false" ht="15" hidden="false" customHeight="true" outlineLevel="0" collapsed="false">
      <c r="B237" s="29" t="s">
        <v>523</v>
      </c>
      <c r="C237" s="34" t="n">
        <v>-156.632</v>
      </c>
      <c r="D237" s="34" t="n">
        <v>-180.824</v>
      </c>
      <c r="E237" s="34" t="n">
        <v>-190.333</v>
      </c>
      <c r="F237" s="34" t="n">
        <v>-160.092</v>
      </c>
      <c r="G237" s="34" t="n">
        <v>-111.078</v>
      </c>
      <c r="H237" s="34" t="n">
        <v>-182.592</v>
      </c>
      <c r="I237" s="34" t="n">
        <v>-160.802</v>
      </c>
      <c r="J237" s="34" t="n">
        <v>-47.438</v>
      </c>
      <c r="K237" s="34" t="n">
        <v>-51.624</v>
      </c>
      <c r="L237" s="34" t="n">
        <v>-52.737</v>
      </c>
      <c r="M237" s="34" t="n">
        <v>-44.687</v>
      </c>
      <c r="N237" s="34" t="n">
        <v>-196.486</v>
      </c>
      <c r="O237" s="34" t="n">
        <v>-37.462</v>
      </c>
      <c r="P237" s="34" t="n">
        <v>-39.323</v>
      </c>
      <c r="Q237" s="34" t="n">
        <v>-36.83</v>
      </c>
      <c r="R237" s="34" t="n">
        <v>-31.965</v>
      </c>
      <c r="S237" s="34" t="n">
        <v>-145.58</v>
      </c>
      <c r="T237" s="34" t="n">
        <v>-68.05</v>
      </c>
      <c r="U237" s="34" t="n">
        <v>-44.975</v>
      </c>
      <c r="V237" s="34" t="n">
        <v>-50.015</v>
      </c>
      <c r="W237" s="34" t="n">
        <v>-54.68</v>
      </c>
      <c r="X237" s="34" t="n">
        <v>-217.72</v>
      </c>
      <c r="Y237" s="34" t="n">
        <v>-62.631</v>
      </c>
      <c r="Z237" s="34" t="n">
        <v>-59.186</v>
      </c>
      <c r="AA237" s="34" t="n">
        <v>-85.685</v>
      </c>
      <c r="AB237" s="34" t="n">
        <v>-67.883</v>
      </c>
      <c r="AC237" s="34" t="n">
        <v>-275.385</v>
      </c>
      <c r="AD237" s="34" t="n">
        <v>-78.58</v>
      </c>
      <c r="AE237" s="34" t="n">
        <v>-76.593</v>
      </c>
      <c r="AF237" s="34" t="n">
        <v>-63.448</v>
      </c>
      <c r="AG237" s="34" t="n">
        <v>-54.696</v>
      </c>
      <c r="AH237" s="34" t="n">
        <v>-273.317</v>
      </c>
      <c r="AI237" s="34" t="n">
        <v>-62.517</v>
      </c>
      <c r="AJ237" s="34" t="n">
        <v>-69.949</v>
      </c>
      <c r="AK237" s="34" t="n">
        <v>-63.574</v>
      </c>
      <c r="AL237" s="34" t="n">
        <v>-75.659</v>
      </c>
      <c r="AM237" s="34" t="n">
        <v>-271.699</v>
      </c>
      <c r="AN237" s="34" t="n">
        <v>-64.528</v>
      </c>
      <c r="AO237" s="34" t="n">
        <v>-73.086</v>
      </c>
      <c r="AP237" s="34" t="n">
        <v>-70.191</v>
      </c>
      <c r="AQ237" s="34" t="n">
        <v>-68.914</v>
      </c>
      <c r="AR237" s="34" t="n">
        <v>-276.719</v>
      </c>
      <c r="AS237" s="34" t="n">
        <v>-64.743</v>
      </c>
      <c r="AT237" s="34" t="n">
        <v>-61.424</v>
      </c>
      <c r="AU237" s="34" t="n">
        <v>-63.212</v>
      </c>
      <c r="AV237" s="34" t="n">
        <v>-40.91</v>
      </c>
      <c r="AW237" s="34" t="n">
        <v>-230.289</v>
      </c>
      <c r="AX237" s="34" t="n">
        <v>-30.876</v>
      </c>
      <c r="AY237" s="34" t="n">
        <v>-26.783</v>
      </c>
      <c r="AZ237" s="34" t="n">
        <v>-42.751</v>
      </c>
      <c r="BA237" s="34" t="n">
        <v>-43.06</v>
      </c>
      <c r="BB237" s="34" t="n">
        <v>-143.47</v>
      </c>
      <c r="BC237" s="34" t="n">
        <v>-48.748</v>
      </c>
      <c r="BD237" s="34" t="n">
        <v>-59.881</v>
      </c>
      <c r="BE237" s="34" t="n">
        <v>-57.222</v>
      </c>
      <c r="BF237" s="34" t="n">
        <v>-74.821</v>
      </c>
      <c r="BG237" s="34" t="n">
        <v>-240.672</v>
      </c>
      <c r="BH237" s="34" t="n">
        <v>-70.016</v>
      </c>
      <c r="BI237" s="34" t="n">
        <v>-76.388</v>
      </c>
      <c r="BJ237" s="34" t="n">
        <v>-77.712</v>
      </c>
      <c r="BK237" s="34" t="n">
        <v>-106.993</v>
      </c>
      <c r="BL237" s="34" t="n">
        <v>-331.109</v>
      </c>
      <c r="BM237" s="34" t="n">
        <v>-106.697</v>
      </c>
      <c r="BN237" s="34" t="n">
        <v>-93.83</v>
      </c>
      <c r="BO237" s="34" t="n">
        <v>-107.031</v>
      </c>
      <c r="BP237" s="34" t="n">
        <v>-101.911</v>
      </c>
      <c r="BQ237" s="34" t="n">
        <v>-409.469</v>
      </c>
      <c r="BR237" s="34" t="n">
        <v>-92.921</v>
      </c>
      <c r="BS237" s="34" t="n">
        <v>-101.416</v>
      </c>
      <c r="BT237" s="34" t="n">
        <v>-99.923</v>
      </c>
      <c r="BU237" s="34" t="n">
        <v>-114.624</v>
      </c>
      <c r="BV237" s="34" t="n">
        <v>-408.884</v>
      </c>
      <c r="BW237" s="34" t="n">
        <v>-101.957</v>
      </c>
      <c r="BX237" s="34" t="n">
        <v>-106.252</v>
      </c>
      <c r="BY237" s="34" t="n">
        <v>-90.898</v>
      </c>
      <c r="BZ237" s="34" t="n">
        <v>-95.998</v>
      </c>
      <c r="CA237" s="34" t="n">
        <v>-395.105</v>
      </c>
      <c r="CB237" s="34" t="n">
        <v>-107.532</v>
      </c>
      <c r="CC237" s="43"/>
      <c r="CD237" s="43"/>
      <c r="CE237" s="43"/>
      <c r="CF237" s="35" t="n">
        <f aca="false">-CF132*CF264</f>
        <v>-491.32986561052</v>
      </c>
      <c r="CG237" s="35" t="n">
        <f aca="false">-CG132*CG264</f>
        <v>-619.744842474932</v>
      </c>
      <c r="CH237" s="35" t="n">
        <f aca="false">-CH132*CH264</f>
        <v>-667.451540319165</v>
      </c>
      <c r="CI237" s="35" t="n">
        <f aca="false">-CI132*CI264</f>
        <v>-718.80346740984</v>
      </c>
      <c r="CJ237" s="35" t="n">
        <f aca="false">-CJ132*CJ264</f>
        <v>-770.906664931457</v>
      </c>
      <c r="CK237" s="23"/>
    </row>
    <row r="238" customFormat="false" ht="15" hidden="false" customHeight="true" outlineLevel="0" collapsed="false">
      <c r="B238" s="29" t="s">
        <v>524</v>
      </c>
      <c r="C238" s="34" t="n">
        <v>-346.363</v>
      </c>
      <c r="D238" s="34" t="n">
        <v>-160.707</v>
      </c>
      <c r="E238" s="34" t="n">
        <v>-111.535</v>
      </c>
      <c r="F238" s="34" t="n">
        <v>-30.909</v>
      </c>
      <c r="G238" s="34" t="n">
        <v>-50.444</v>
      </c>
      <c r="H238" s="34" t="n">
        <v>-171.552</v>
      </c>
      <c r="I238" s="34" t="n">
        <v>-24.864</v>
      </c>
      <c r="J238" s="34" t="n">
        <v>-2.13</v>
      </c>
      <c r="K238" s="34" t="n">
        <v>-51.113</v>
      </c>
      <c r="L238" s="34" t="n">
        <v>-11.382</v>
      </c>
      <c r="M238" s="34" t="n">
        <v>-4.745</v>
      </c>
      <c r="N238" s="34" t="n">
        <v>-69.37</v>
      </c>
      <c r="O238" s="34" t="n">
        <v>-32.216</v>
      </c>
      <c r="P238" s="34" t="n">
        <v>-0.298</v>
      </c>
      <c r="Q238" s="34" t="n">
        <v>-0.451</v>
      </c>
      <c r="R238" s="34" t="n">
        <v>-0.476</v>
      </c>
      <c r="S238" s="34" t="n">
        <v>-33.441</v>
      </c>
      <c r="T238" s="34" t="n">
        <v>-2.328</v>
      </c>
      <c r="U238" s="34" t="n">
        <v>-0.687</v>
      </c>
      <c r="V238" s="34" t="n">
        <v>-10.783</v>
      </c>
      <c r="W238" s="34" t="n">
        <v>-1.697</v>
      </c>
      <c r="X238" s="34" t="n">
        <v>-15.495</v>
      </c>
      <c r="Y238" s="34" t="n">
        <v>-121.434</v>
      </c>
      <c r="Z238" s="34" t="n">
        <v>0.197</v>
      </c>
      <c r="AA238" s="34" t="n">
        <v>-30.494</v>
      </c>
      <c r="AB238" s="34" t="n">
        <v>-4.848</v>
      </c>
      <c r="AC238" s="34" t="n">
        <v>-156.579</v>
      </c>
      <c r="AD238" s="34" t="n">
        <v>-10.991</v>
      </c>
      <c r="AE238" s="34" t="n">
        <v>-6.787</v>
      </c>
      <c r="AF238" s="34" t="n">
        <v>-1.852</v>
      </c>
      <c r="AG238" s="34" t="n">
        <v>-2082.741</v>
      </c>
      <c r="AH238" s="34" t="n">
        <v>-2102.371</v>
      </c>
      <c r="AI238" s="34" t="n">
        <v>-0.302</v>
      </c>
      <c r="AJ238" s="34" t="n">
        <v>-0.797</v>
      </c>
      <c r="AK238" s="34" t="n">
        <v>-11.199</v>
      </c>
      <c r="AL238" s="34" t="n">
        <v>-7.048</v>
      </c>
      <c r="AM238" s="34" t="n">
        <v>-19.346</v>
      </c>
      <c r="AN238" s="34" t="n">
        <v>-7.613</v>
      </c>
      <c r="AO238" s="34" t="n">
        <v>1.033</v>
      </c>
      <c r="AP238" s="34" t="n">
        <v>-0.823</v>
      </c>
      <c r="AQ238" s="34" t="n">
        <v>-2.41</v>
      </c>
      <c r="AR238" s="34" t="n">
        <v>-9.813</v>
      </c>
      <c r="AS238" s="34" t="n">
        <v>-3.896</v>
      </c>
      <c r="AT238" s="34" t="n">
        <v>-2.686</v>
      </c>
      <c r="AU238" s="34" t="n">
        <v>-41.268</v>
      </c>
      <c r="AV238" s="34" t="n">
        <v>-5.87</v>
      </c>
      <c r="AW238" s="34" t="n">
        <v>-53.72</v>
      </c>
      <c r="AX238" s="34" t="n">
        <v>-1.984</v>
      </c>
      <c r="AY238" s="34" t="n">
        <v>-4.948</v>
      </c>
      <c r="AZ238" s="34" t="n">
        <v>-0.638</v>
      </c>
      <c r="BA238" s="34" t="n">
        <v>-2.468</v>
      </c>
      <c r="BB238" s="34" t="n">
        <v>-10.038</v>
      </c>
      <c r="BC238" s="34" t="n">
        <v>-35.725</v>
      </c>
      <c r="BD238" s="34" t="n">
        <v>-9.945</v>
      </c>
      <c r="BE238" s="34" t="n">
        <v>-105.174</v>
      </c>
      <c r="BF238" s="34" t="n">
        <v>-13.384</v>
      </c>
      <c r="BG238" s="34" t="n">
        <v>-164.228</v>
      </c>
      <c r="BH238" s="34" t="n">
        <v>-7.06</v>
      </c>
      <c r="BI238" s="34" t="n">
        <v>-8.397</v>
      </c>
      <c r="BJ238" s="34" t="n">
        <v>-17.526</v>
      </c>
      <c r="BK238" s="34" t="n">
        <v>-13.374</v>
      </c>
      <c r="BL238" s="34" t="n">
        <v>-46.357</v>
      </c>
      <c r="BM238" s="34" t="n">
        <v>-55.651</v>
      </c>
      <c r="BN238" s="34" t="n">
        <v>-18.346</v>
      </c>
      <c r="BO238" s="34" t="n">
        <v>-111.031</v>
      </c>
      <c r="BP238" s="34" t="n">
        <v>-1.809</v>
      </c>
      <c r="BQ238" s="34" t="n">
        <v>-186.837</v>
      </c>
      <c r="BR238" s="34" t="n">
        <v>-9.436</v>
      </c>
      <c r="BS238" s="34" t="n">
        <v>-145.448</v>
      </c>
      <c r="BT238" s="34" t="n">
        <v>-43.924</v>
      </c>
      <c r="BU238" s="34" t="n">
        <v>-34.091</v>
      </c>
      <c r="BV238" s="34" t="n">
        <v>-232.899</v>
      </c>
      <c r="BW238" s="34" t="n">
        <v>-7.602</v>
      </c>
      <c r="BX238" s="34" t="n">
        <v>-85.634</v>
      </c>
      <c r="BY238" s="34" t="n">
        <v>-9.449</v>
      </c>
      <c r="BZ238" s="34" t="n">
        <v>-61.863</v>
      </c>
      <c r="CA238" s="34" t="n">
        <v>-164.548</v>
      </c>
      <c r="CB238" s="34" t="n">
        <v>-3.916</v>
      </c>
      <c r="CC238" s="43"/>
      <c r="CD238" s="43"/>
      <c r="CE238" s="43"/>
      <c r="CF238" s="35" t="n">
        <f aca="false">-($CF$335-$CF$337)*CF63</f>
        <v>-2752.211</v>
      </c>
      <c r="CG238" s="35" t="n">
        <f aca="false">-CG83</f>
        <v>-300</v>
      </c>
      <c r="CH238" s="35" t="n">
        <f aca="false">-CH83</f>
        <v>-350</v>
      </c>
      <c r="CI238" s="35" t="n">
        <f aca="false">-CI83</f>
        <v>-400</v>
      </c>
      <c r="CJ238" s="35" t="n">
        <f aca="false">-CJ83</f>
        <v>-450</v>
      </c>
      <c r="CK238" s="23" t="s">
        <v>525</v>
      </c>
    </row>
    <row r="239" customFormat="false" ht="15" hidden="false" customHeight="true" outlineLevel="0" collapsed="false">
      <c r="B239" s="29" t="s">
        <v>526</v>
      </c>
      <c r="R239" s="34" t="n">
        <v>179.359</v>
      </c>
      <c r="S239" s="34" t="n">
        <v>179.359</v>
      </c>
      <c r="T239" s="34" t="n">
        <v>33.277</v>
      </c>
      <c r="U239" s="34" t="n">
        <v>153.996</v>
      </c>
      <c r="V239" s="34" t="n">
        <v>0.895</v>
      </c>
      <c r="W239" s="34" t="n">
        <v>3.537</v>
      </c>
      <c r="X239" s="34" t="n">
        <v>191.705</v>
      </c>
      <c r="Y239" s="34" t="n">
        <v>24.395</v>
      </c>
      <c r="Z239" s="34" t="n">
        <v>589.2</v>
      </c>
      <c r="AA239" s="34" t="n">
        <v>0</v>
      </c>
      <c r="AB239" s="34" t="n">
        <v>2.58</v>
      </c>
      <c r="AC239" s="34" t="n">
        <v>616.175</v>
      </c>
      <c r="AD239" s="34" t="n">
        <v>0</v>
      </c>
      <c r="AE239" s="34" t="n">
        <v>25.876</v>
      </c>
      <c r="AF239" s="34" t="n">
        <v>0</v>
      </c>
      <c r="AG239" s="34" t="n">
        <v>2.4</v>
      </c>
      <c r="AH239" s="34" t="n">
        <v>28.276</v>
      </c>
      <c r="AI239" s="34" t="n">
        <v>128.511</v>
      </c>
      <c r="AJ239" s="34" t="n">
        <v>-0.676</v>
      </c>
      <c r="AK239" s="34" t="n">
        <v>0</v>
      </c>
      <c r="AL239" s="34" t="n">
        <v>0</v>
      </c>
      <c r="AM239" s="34" t="n">
        <v>127.835</v>
      </c>
      <c r="AN239" s="34" t="n">
        <v>0</v>
      </c>
      <c r="AO239" s="34" t="n">
        <v>73.342</v>
      </c>
      <c r="AP239" s="34" t="n">
        <v>3.2</v>
      </c>
      <c r="AQ239" s="34" t="n">
        <v>0</v>
      </c>
      <c r="AR239" s="34" t="n">
        <v>76.542</v>
      </c>
      <c r="AT239" s="34" t="n">
        <v>13.3</v>
      </c>
      <c r="AU239" s="34" t="n">
        <v>0</v>
      </c>
      <c r="AV239" s="34" t="n">
        <v>0</v>
      </c>
      <c r="AW239" s="34" t="n">
        <v>13.3</v>
      </c>
      <c r="AY239" s="34" t="n">
        <v>23.426</v>
      </c>
      <c r="AZ239" s="34" t="n">
        <v>9.064</v>
      </c>
      <c r="BA239" s="34" t="n">
        <v>-0.785</v>
      </c>
      <c r="BB239" s="34" t="n">
        <v>31.705</v>
      </c>
      <c r="BC239" s="34" t="n">
        <v>15.07</v>
      </c>
      <c r="BD239" s="34" t="n">
        <v>0.277</v>
      </c>
      <c r="BE239" s="34" t="n">
        <v>0</v>
      </c>
      <c r="BF239" s="34" t="n">
        <v>0</v>
      </c>
      <c r="BG239" s="34" t="n">
        <v>15.347</v>
      </c>
      <c r="BH239" s="34" t="n">
        <v>0</v>
      </c>
      <c r="BI239" s="34" t="n">
        <v>0</v>
      </c>
      <c r="BJ239" s="34" t="n">
        <v>0</v>
      </c>
      <c r="BK239" s="34" t="n">
        <v>0</v>
      </c>
      <c r="BL239" s="34" t="n">
        <v>0</v>
      </c>
      <c r="BS239" s="34" t="n">
        <v>5.908</v>
      </c>
      <c r="BT239" s="34" t="n">
        <v>18.064</v>
      </c>
      <c r="BU239" s="34" t="n">
        <v>0</v>
      </c>
      <c r="BV239" s="34" t="n">
        <v>23.972</v>
      </c>
      <c r="BX239" s="34" t="n">
        <v>0</v>
      </c>
      <c r="BY239" s="34" t="n">
        <v>0</v>
      </c>
      <c r="BZ239" s="34" t="n">
        <v>0</v>
      </c>
      <c r="CA239" s="34" t="n">
        <v>0</v>
      </c>
      <c r="CC239" s="43"/>
      <c r="CD239" s="43"/>
      <c r="CE239" s="43"/>
      <c r="CF239" s="35" t="n">
        <f aca="false">0</f>
        <v>0</v>
      </c>
      <c r="CG239" s="35" t="n">
        <f aca="false">0</f>
        <v>0</v>
      </c>
      <c r="CH239" s="35" t="n">
        <f aca="false">0</f>
        <v>0</v>
      </c>
      <c r="CI239" s="35" t="n">
        <f aca="false">0</f>
        <v>0</v>
      </c>
      <c r="CJ239" s="35" t="n">
        <f aca="false">0</f>
        <v>0</v>
      </c>
      <c r="CK239" s="23"/>
    </row>
    <row r="240" customFormat="false" ht="15" hidden="false" customHeight="true" outlineLevel="0" collapsed="false">
      <c r="B240" s="29" t="s">
        <v>527</v>
      </c>
      <c r="C240" s="45" t="n">
        <f aca="false">C241-SUM(C237,C238,C239)</f>
        <v>62.949</v>
      </c>
      <c r="D240" s="45" t="n">
        <f aca="false">D241-SUM(D237,D238,D239)</f>
        <v>67.823</v>
      </c>
      <c r="E240" s="45" t="n">
        <f aca="false">E241-SUM(E237,E238,E239)</f>
        <v>-9.10700000000003</v>
      </c>
      <c r="F240" s="45" t="n">
        <f aca="false">F241-SUM(F237,F238,F239)</f>
        <v>-12.22</v>
      </c>
      <c r="G240" s="45" t="n">
        <f aca="false">G241-SUM(G237,G238,G239)</f>
        <v>-41.978</v>
      </c>
      <c r="H240" s="45" t="n">
        <f aca="false">H241-SUM(H237,H238,H239)</f>
        <v>55.551</v>
      </c>
      <c r="I240" s="45" t="n">
        <f aca="false">I241-SUM(I237,I238,I239)</f>
        <v>81.372</v>
      </c>
      <c r="J240" s="45" t="n">
        <f aca="false">J241-SUM(J237,J238,J239)</f>
        <v>-11.673</v>
      </c>
      <c r="K240" s="45" t="n">
        <f aca="false">K241-SUM(K237,K238,K239)</f>
        <v>-27.601</v>
      </c>
      <c r="L240" s="45" t="n">
        <f aca="false">L241-SUM(L237,L238,L239)</f>
        <v>0.865000000000002</v>
      </c>
      <c r="M240" s="45" t="n">
        <f aca="false">M241-SUM(M237,M238,M239)</f>
        <v>20.084</v>
      </c>
      <c r="N240" s="45" t="n">
        <f aca="false">N241-SUM(N237,N238,N239)</f>
        <v>-18.325</v>
      </c>
      <c r="O240" s="45" t="n">
        <f aca="false">O241-SUM(O237,O238,O239)</f>
        <v>2.67399999999999</v>
      </c>
      <c r="P240" s="45" t="n">
        <f aca="false">P241-SUM(P237,P238,P239)</f>
        <v>-13.902</v>
      </c>
      <c r="Q240" s="45" t="n">
        <f aca="false">Q241-SUM(Q237,Q238,Q239)</f>
        <v>-3.34</v>
      </c>
      <c r="R240" s="45" t="n">
        <f aca="false">R241-SUM(R237,R238,R239)</f>
        <v>-2.31300000000002</v>
      </c>
      <c r="S240" s="45" t="n">
        <f aca="false">S241-SUM(S237,S238,S239)</f>
        <v>-16.881</v>
      </c>
      <c r="T240" s="45" t="n">
        <f aca="false">T241-SUM(T237,T238,T239)</f>
        <v>-1.718</v>
      </c>
      <c r="U240" s="45" t="n">
        <f aca="false">U241-SUM(U237,U238,U239)</f>
        <v>-3.33200000000001</v>
      </c>
      <c r="V240" s="45" t="n">
        <f aca="false">V241-SUM(V237,V238,V239)</f>
        <v>-49.356</v>
      </c>
      <c r="W240" s="45" t="n">
        <f aca="false">W241-SUM(W237,W238,W239)</f>
        <v>140.903</v>
      </c>
      <c r="X240" s="45" t="n">
        <f aca="false">X241-SUM(X237,X238,X239)</f>
        <v>86.497</v>
      </c>
      <c r="Y240" s="45" t="n">
        <f aca="false">Y241-SUM(Y237,Y238,Y239)</f>
        <v>-42.192</v>
      </c>
      <c r="Z240" s="45" t="n">
        <f aca="false">Z241-SUM(Z237,Z238,Z239)</f>
        <v>-15.081</v>
      </c>
      <c r="AA240" s="45" t="n">
        <f aca="false">AA241-SUM(AA237,AA238,AA239)</f>
        <v>4.68900000000001</v>
      </c>
      <c r="AB240" s="45" t="n">
        <f aca="false">AB241-SUM(AB237,AB238,AB239)</f>
        <v>-3.24600000000001</v>
      </c>
      <c r="AC240" s="45" t="n">
        <f aca="false">AC241-SUM(AC237,AC238,AC239)</f>
        <v>-55.83</v>
      </c>
      <c r="AD240" s="45" t="n">
        <f aca="false">AD241-SUM(AD237,AD238,AD239)</f>
        <v>-11.035</v>
      </c>
      <c r="AE240" s="45" t="n">
        <f aca="false">AE241-SUM(AE237,AE238,AE239)</f>
        <v>66.065</v>
      </c>
      <c r="AF240" s="45" t="n">
        <f aca="false">AF241-SUM(AF237,AF238,AF239)</f>
        <v>-8.13000000000001</v>
      </c>
      <c r="AG240" s="45" t="n">
        <f aca="false">AG241-SUM(AG237,AG238,AG239)</f>
        <v>-9.83699999999999</v>
      </c>
      <c r="AH240" s="45" t="n">
        <f aca="false">AH241-SUM(AH237,AH238,AH239)</f>
        <v>37.0630000000001</v>
      </c>
      <c r="AI240" s="45" t="n">
        <f aca="false">AI241-SUM(AI237,AI238,AI239)</f>
        <v>6.93000000000001</v>
      </c>
      <c r="AJ240" s="45" t="n">
        <f aca="false">AJ241-SUM(AJ237,AJ238,AJ239)</f>
        <v>-7.41800000000001</v>
      </c>
      <c r="AK240" s="45" t="n">
        <f aca="false">AK241-SUM(AK237,AK238,AK239)</f>
        <v>-8.992</v>
      </c>
      <c r="AL240" s="45" t="n">
        <f aca="false">AL241-SUM(AL237,AL238,AL239)</f>
        <v>36.992</v>
      </c>
      <c r="AM240" s="45" t="n">
        <f aca="false">AM241-SUM(AM237,AM238,AM239)</f>
        <v>27.512</v>
      </c>
      <c r="AN240" s="45" t="n">
        <f aca="false">AN241-SUM(AN237,AN238,AN239)</f>
        <v>1.35600000000001</v>
      </c>
      <c r="AO240" s="45" t="n">
        <f aca="false">AO241-SUM(AO237,AO238,AO239)</f>
        <v>-17.144</v>
      </c>
      <c r="AP240" s="45" t="n">
        <f aca="false">AP241-SUM(AP237,AP238,AP239)</f>
        <v>-8.55999999999999</v>
      </c>
      <c r="AQ240" s="45" t="n">
        <f aca="false">AQ241-SUM(AQ237,AQ238,AQ239)</f>
        <v>-1.3</v>
      </c>
      <c r="AR240" s="45" t="n">
        <f aca="false">AR241-SUM(AR237,AR238,AR239)</f>
        <v>-25.648</v>
      </c>
      <c r="AS240" s="45" t="n">
        <f aca="false">AS241-SUM(AS237,AS238,AS239)</f>
        <v>-9.5</v>
      </c>
      <c r="AT240" s="45" t="n">
        <f aca="false">AT241-SUM(AT237,AT238,AT239)</f>
        <v>-2.724</v>
      </c>
      <c r="AU240" s="45" t="n">
        <f aca="false">AU241-SUM(AU237,AU238,AU239)</f>
        <v>-0.326999999999998</v>
      </c>
      <c r="AV240" s="45" t="n">
        <f aca="false">AV241-SUM(AV237,AV238,AV239)</f>
        <v>-2.13800000000001</v>
      </c>
      <c r="AW240" s="45" t="n">
        <f aca="false">AW241-SUM(AW237,AW238,AW239)</f>
        <v>-14.689</v>
      </c>
      <c r="AX240" s="45" t="n">
        <f aca="false">AX241-SUM(AX237,AX238,AX239)</f>
        <v>-7.082</v>
      </c>
      <c r="AY240" s="45" t="n">
        <f aca="false">AY241-SUM(AY237,AY238,AY239)</f>
        <v>-2.995</v>
      </c>
      <c r="AZ240" s="45" t="n">
        <f aca="false">AZ241-SUM(AZ237,AZ238,AZ239)</f>
        <v>-3.097</v>
      </c>
      <c r="BA240" s="45" t="n">
        <f aca="false">BA241-SUM(BA237,BA238,BA239)</f>
        <v>-2.238</v>
      </c>
      <c r="BB240" s="45" t="n">
        <f aca="false">BB241-SUM(BB237,BB238,BB239)</f>
        <v>-15.412</v>
      </c>
      <c r="BC240" s="45" t="n">
        <f aca="false">BC241-SUM(BC237,BC238,BC239)</f>
        <v>-14.918</v>
      </c>
      <c r="BD240" s="45" t="n">
        <f aca="false">BD241-SUM(BD237,BD238,BD239)</f>
        <v>2.27500000000001</v>
      </c>
      <c r="BE240" s="45" t="n">
        <f aca="false">BE241-SUM(BE237,BE238,BE239)</f>
        <v>-2.31999999999999</v>
      </c>
      <c r="BF240" s="45" t="n">
        <f aca="false">BF241-SUM(BF237,BF238,BF239)</f>
        <v>1.881</v>
      </c>
      <c r="BG240" s="45" t="n">
        <f aca="false">BG241-SUM(BG237,BG238,BG239)</f>
        <v>-13.082</v>
      </c>
      <c r="BH240" s="45" t="n">
        <f aca="false">BH241-SUM(BH237,BH238,BH239)</f>
        <v>-9.51899999999999</v>
      </c>
      <c r="BI240" s="45" t="n">
        <f aca="false">BI241-SUM(BI237,BI238,BI239)</f>
        <v>-0.0439999999999827</v>
      </c>
      <c r="BJ240" s="45" t="n">
        <f aca="false">BJ241-SUM(BJ237,BJ238,BJ239)</f>
        <v>-1.949</v>
      </c>
      <c r="BK240" s="45" t="n">
        <f aca="false">BK241-SUM(BK237,BK238,BK239)</f>
        <v>0.305999999999983</v>
      </c>
      <c r="BL240" s="45" t="n">
        <f aca="false">BL241-SUM(BL237,BL238,BL239)</f>
        <v>-11.206</v>
      </c>
      <c r="BM240" s="45" t="n">
        <f aca="false">BM241-SUM(BM237,BM238,BM239)</f>
        <v>-7.488</v>
      </c>
      <c r="BN240" s="45" t="n">
        <f aca="false">BN241-SUM(BN237,BN238,BN239)</f>
        <v>-0.182999999999993</v>
      </c>
      <c r="BO240" s="45" t="n">
        <f aca="false">BO241-SUM(BO237,BO238,BO239)</f>
        <v>-3.02099999999999</v>
      </c>
      <c r="BP240" s="45" t="n">
        <f aca="false">BP241-SUM(BP237,BP238,BP239)</f>
        <v>-1.633</v>
      </c>
      <c r="BQ240" s="45" t="n">
        <f aca="false">BQ241-SUM(BQ237,BQ238,BQ239)</f>
        <v>-12.3249999999999</v>
      </c>
      <c r="BR240" s="45" t="n">
        <f aca="false">BR241-SUM(BR237,BR238,BR239)</f>
        <v>-11.975</v>
      </c>
      <c r="BS240" s="45" t="n">
        <f aca="false">BS241-SUM(BS237,BS238,BS239)</f>
        <v>6.28500000000003</v>
      </c>
      <c r="BT240" s="45" t="n">
        <f aca="false">BT241-SUM(BT237,BT238,BT239)</f>
        <v>0.414000000000002</v>
      </c>
      <c r="BU240" s="45" t="n">
        <f aca="false">BU241-SUM(BU237,BU238,BU239)</f>
        <v>-0.550999999999988</v>
      </c>
      <c r="BV240" s="45" t="n">
        <f aca="false">BV241-SUM(BV237,BV238,BV239)</f>
        <v>-5.827</v>
      </c>
      <c r="BW240" s="45" t="n">
        <f aca="false">BW241-SUM(BW237,BW238,BW239)</f>
        <v>-6.66800000000001</v>
      </c>
      <c r="BX240" s="45" t="n">
        <f aca="false">BX241-SUM(BX237,BX238,BX239)</f>
        <v>-0.968000000000018</v>
      </c>
      <c r="BY240" s="45" t="n">
        <f aca="false">BY241-SUM(BY237,BY238,BY239)</f>
        <v>-0.722999999999999</v>
      </c>
      <c r="BZ240" s="45" t="n">
        <f aca="false">BZ241-SUM(BZ237,BZ238,BZ239)</f>
        <v>-0.415999999999997</v>
      </c>
      <c r="CA240" s="45" t="n">
        <f aca="false">CA241-SUM(CA237,CA238,CA239)</f>
        <v>-8.77499999999998</v>
      </c>
      <c r="CB240" s="45" t="n">
        <f aca="false">CB241-SUM(CB237,CB238,CB239)</f>
        <v>-5.91900000000001</v>
      </c>
      <c r="CC240" s="43"/>
      <c r="CD240" s="43"/>
      <c r="CE240" s="43"/>
      <c r="CF240" s="35" t="n">
        <f aca="false">0</f>
        <v>0</v>
      </c>
      <c r="CG240" s="35" t="n">
        <f aca="false">0</f>
        <v>0</v>
      </c>
      <c r="CH240" s="35" t="n">
        <f aca="false">0</f>
        <v>0</v>
      </c>
      <c r="CI240" s="35" t="n">
        <f aca="false">0</f>
        <v>0</v>
      </c>
      <c r="CJ240" s="35" t="n">
        <f aca="false">0</f>
        <v>0</v>
      </c>
      <c r="CK240" s="23"/>
    </row>
    <row r="241" customFormat="false" ht="15" hidden="false" customHeight="true" outlineLevel="0" collapsed="false">
      <c r="B241" s="20" t="s">
        <v>528</v>
      </c>
      <c r="C241" s="21" t="n">
        <v>-440.046</v>
      </c>
      <c r="D241" s="21" t="n">
        <v>-273.708</v>
      </c>
      <c r="E241" s="21" t="n">
        <v>-310.975</v>
      </c>
      <c r="F241" s="21" t="n">
        <v>-203.221</v>
      </c>
      <c r="G241" s="21" t="n">
        <v>-203.5</v>
      </c>
      <c r="H241" s="21" t="n">
        <v>-298.593</v>
      </c>
      <c r="I241" s="21" t="n">
        <v>-104.294</v>
      </c>
      <c r="J241" s="21" t="n">
        <v>-61.241</v>
      </c>
      <c r="K241" s="21" t="n">
        <v>-130.338</v>
      </c>
      <c r="L241" s="21" t="n">
        <v>-63.254</v>
      </c>
      <c r="M241" s="21" t="n">
        <v>-29.348</v>
      </c>
      <c r="N241" s="21" t="n">
        <v>-284.181</v>
      </c>
      <c r="O241" s="21" t="n">
        <v>-67.004</v>
      </c>
      <c r="P241" s="21" t="n">
        <v>-53.523</v>
      </c>
      <c r="Q241" s="21" t="n">
        <v>-40.621</v>
      </c>
      <c r="R241" s="21" t="n">
        <v>144.605</v>
      </c>
      <c r="S241" s="21" t="n">
        <v>-16.543</v>
      </c>
      <c r="T241" s="21" t="n">
        <v>-38.819</v>
      </c>
      <c r="U241" s="21" t="n">
        <v>105.002</v>
      </c>
      <c r="V241" s="21" t="n">
        <v>-109.259</v>
      </c>
      <c r="W241" s="21" t="n">
        <v>88.063</v>
      </c>
      <c r="X241" s="21" t="n">
        <v>44.987</v>
      </c>
      <c r="Y241" s="21" t="n">
        <v>-201.862</v>
      </c>
      <c r="Z241" s="21" t="n">
        <v>515.13</v>
      </c>
      <c r="AA241" s="21" t="n">
        <v>-111.49</v>
      </c>
      <c r="AB241" s="21" t="n">
        <v>-73.397</v>
      </c>
      <c r="AC241" s="21" t="n">
        <v>128.381</v>
      </c>
      <c r="AD241" s="21" t="n">
        <v>-100.606</v>
      </c>
      <c r="AE241" s="21" t="n">
        <v>8.561</v>
      </c>
      <c r="AF241" s="21" t="n">
        <v>-73.43</v>
      </c>
      <c r="AG241" s="21" t="n">
        <v>-2144.874</v>
      </c>
      <c r="AH241" s="21" t="n">
        <v>-2310.349</v>
      </c>
      <c r="AI241" s="21" t="n">
        <v>72.622</v>
      </c>
      <c r="AJ241" s="21" t="n">
        <v>-78.84</v>
      </c>
      <c r="AK241" s="21" t="n">
        <v>-83.765</v>
      </c>
      <c r="AL241" s="21" t="n">
        <v>-45.715</v>
      </c>
      <c r="AM241" s="21" t="n">
        <v>-135.698</v>
      </c>
      <c r="AN241" s="21" t="n">
        <v>-70.785</v>
      </c>
      <c r="AO241" s="21" t="n">
        <v>-15.855</v>
      </c>
      <c r="AP241" s="21" t="n">
        <v>-76.374</v>
      </c>
      <c r="AQ241" s="21" t="n">
        <v>-72.624</v>
      </c>
      <c r="AR241" s="21" t="n">
        <v>-235.638</v>
      </c>
      <c r="AS241" s="21" t="n">
        <v>-78.139</v>
      </c>
      <c r="AT241" s="21" t="n">
        <v>-53.534</v>
      </c>
      <c r="AU241" s="21" t="n">
        <v>-104.807</v>
      </c>
      <c r="AV241" s="21" t="n">
        <v>-48.918</v>
      </c>
      <c r="AW241" s="21" t="n">
        <v>-285.398</v>
      </c>
      <c r="AX241" s="21" t="n">
        <v>-39.942</v>
      </c>
      <c r="AY241" s="21" t="n">
        <v>-11.3</v>
      </c>
      <c r="AZ241" s="21" t="n">
        <v>-37.422</v>
      </c>
      <c r="BA241" s="21" t="n">
        <v>-48.551</v>
      </c>
      <c r="BB241" s="21" t="n">
        <v>-137.215</v>
      </c>
      <c r="BC241" s="21" t="n">
        <v>-84.321</v>
      </c>
      <c r="BD241" s="21" t="n">
        <v>-67.274</v>
      </c>
      <c r="BE241" s="21" t="n">
        <v>-164.716</v>
      </c>
      <c r="BF241" s="21" t="n">
        <v>-86.324</v>
      </c>
      <c r="BG241" s="21" t="n">
        <v>-402.635</v>
      </c>
      <c r="BH241" s="21" t="n">
        <v>-86.595</v>
      </c>
      <c r="BI241" s="21" t="n">
        <v>-84.829</v>
      </c>
      <c r="BJ241" s="21" t="n">
        <v>-97.187</v>
      </c>
      <c r="BK241" s="21" t="n">
        <v>-120.061</v>
      </c>
      <c r="BL241" s="21" t="n">
        <v>-388.672</v>
      </c>
      <c r="BM241" s="21" t="n">
        <v>-169.836</v>
      </c>
      <c r="BN241" s="21" t="n">
        <v>-112.359</v>
      </c>
      <c r="BO241" s="21" t="n">
        <v>-221.083</v>
      </c>
      <c r="BP241" s="21" t="n">
        <v>-105.353</v>
      </c>
      <c r="BQ241" s="21" t="n">
        <v>-608.631</v>
      </c>
      <c r="BR241" s="21" t="n">
        <v>-114.332</v>
      </c>
      <c r="BS241" s="21" t="n">
        <v>-234.671</v>
      </c>
      <c r="BT241" s="21" t="n">
        <v>-125.369</v>
      </c>
      <c r="BU241" s="21" t="n">
        <v>-149.266</v>
      </c>
      <c r="BV241" s="21" t="n">
        <v>-623.638</v>
      </c>
      <c r="BW241" s="21" t="n">
        <v>-116.227</v>
      </c>
      <c r="BX241" s="21" t="n">
        <v>-192.854</v>
      </c>
      <c r="BY241" s="21" t="n">
        <v>-101.07</v>
      </c>
      <c r="BZ241" s="21" t="n">
        <v>-158.277</v>
      </c>
      <c r="CA241" s="21" t="n">
        <v>-568.428</v>
      </c>
      <c r="CB241" s="21" t="n">
        <v>-117.367</v>
      </c>
      <c r="CC241" s="54"/>
      <c r="CD241" s="54"/>
      <c r="CE241" s="54"/>
      <c r="CF241" s="22" t="n">
        <f aca="false">SUM(CF237,CF238,CF239,CF240)</f>
        <v>-3243.54086561052</v>
      </c>
      <c r="CG241" s="22" t="n">
        <f aca="false">SUM(CG237,CG238,CG239,CG240)</f>
        <v>-919.744842474932</v>
      </c>
      <c r="CH241" s="22" t="n">
        <f aca="false">SUM(CH237,CH238,CH239,CH240)</f>
        <v>-1017.45154031917</v>
      </c>
      <c r="CI241" s="22" t="n">
        <f aca="false">SUM(CI237,CI238,CI239,CI240)</f>
        <v>-1118.80346740984</v>
      </c>
      <c r="CJ241" s="22" t="n">
        <f aca="false">SUM(CJ237,CJ238,CJ239,CJ240)</f>
        <v>-1220.90666493146</v>
      </c>
      <c r="CK241" s="23"/>
    </row>
    <row r="242" customFormat="false" ht="15" hidden="false" customHeight="true" outlineLevel="0" collapsed="false">
      <c r="B242" s="29" t="s">
        <v>529</v>
      </c>
      <c r="C242" s="34" t="n">
        <v>333.5</v>
      </c>
      <c r="D242" s="34" t="n">
        <v>252.46</v>
      </c>
      <c r="E242" s="34" t="n">
        <v>295</v>
      </c>
      <c r="F242" s="34" t="n">
        <v>7.5</v>
      </c>
      <c r="G242" s="34" t="n">
        <v>0</v>
      </c>
      <c r="H242" s="34" t="n">
        <v>1002.281</v>
      </c>
      <c r="I242" s="34" t="n">
        <v>0</v>
      </c>
      <c r="J242" s="34" t="n">
        <v>250</v>
      </c>
      <c r="K242" s="34" t="n">
        <v>0</v>
      </c>
      <c r="L242" s="34" t="n">
        <v>0</v>
      </c>
      <c r="M242" s="34" t="n">
        <v>0</v>
      </c>
      <c r="N242" s="34" t="n">
        <v>250</v>
      </c>
      <c r="O242" s="34" t="n">
        <v>0</v>
      </c>
      <c r="P242" s="34" t="n">
        <v>0</v>
      </c>
      <c r="Q242" s="34" t="n">
        <v>0</v>
      </c>
      <c r="R242" s="34" t="n">
        <v>0</v>
      </c>
      <c r="S242" s="34" t="n">
        <v>0</v>
      </c>
      <c r="T242" s="34" t="n">
        <v>0</v>
      </c>
      <c r="U242" s="34" t="n">
        <v>0</v>
      </c>
      <c r="V242" s="34" t="n">
        <v>0</v>
      </c>
      <c r="W242" s="34" t="n">
        <v>0</v>
      </c>
      <c r="X242" s="34" t="n">
        <v>0</v>
      </c>
      <c r="Y242" s="34" t="n">
        <v>0</v>
      </c>
      <c r="Z242" s="34" t="n">
        <v>0</v>
      </c>
      <c r="AA242" s="34" t="n">
        <v>0</v>
      </c>
      <c r="AB242" s="34" t="n">
        <v>0</v>
      </c>
      <c r="AC242" s="34" t="n">
        <v>0</v>
      </c>
      <c r="AD242" s="34" t="n">
        <v>163.8</v>
      </c>
      <c r="AE242" s="34" t="n">
        <v>0</v>
      </c>
      <c r="AF242" s="34" t="n">
        <v>33.5</v>
      </c>
      <c r="AG242" s="34" t="n">
        <v>1932.229</v>
      </c>
      <c r="AH242" s="34" t="n">
        <v>1982.729</v>
      </c>
      <c r="AI242" s="34" t="n">
        <v>0</v>
      </c>
      <c r="AJ242" s="34" t="n">
        <v>0</v>
      </c>
      <c r="AK242" s="34" t="n">
        <v>187.5</v>
      </c>
      <c r="AL242" s="34" t="n">
        <v>0</v>
      </c>
      <c r="AM242" s="34" t="n">
        <v>0</v>
      </c>
      <c r="AN242" s="34" t="n">
        <v>0</v>
      </c>
      <c r="AO242" s="34" t="n">
        <v>173.5</v>
      </c>
      <c r="AP242" s="34" t="n">
        <v>44</v>
      </c>
      <c r="AQ242" s="34" t="n">
        <v>200</v>
      </c>
      <c r="AR242" s="34" t="n">
        <v>312.5</v>
      </c>
      <c r="AS242" s="34" t="n">
        <v>26.5</v>
      </c>
      <c r="AT242" s="34" t="n">
        <v>0</v>
      </c>
      <c r="AU242" s="34" t="n">
        <v>0</v>
      </c>
      <c r="AV242" s="34" t="n">
        <v>0</v>
      </c>
      <c r="AW242" s="34" t="n">
        <v>0</v>
      </c>
      <c r="AX242" s="34" t="n">
        <v>0</v>
      </c>
      <c r="AY242" s="34" t="n">
        <v>0</v>
      </c>
      <c r="AZ242" s="34" t="n">
        <v>0</v>
      </c>
      <c r="BA242" s="34" t="n">
        <v>0</v>
      </c>
      <c r="BB242" s="34" t="n">
        <v>0</v>
      </c>
      <c r="BC242" s="34" t="n">
        <v>326</v>
      </c>
      <c r="BD242" s="34" t="n">
        <v>0</v>
      </c>
      <c r="BE242" s="34" t="n">
        <v>392.21</v>
      </c>
      <c r="BF242" s="34" t="n">
        <v>1190.506</v>
      </c>
      <c r="BG242" s="34" t="n">
        <v>1451.706</v>
      </c>
      <c r="BH242" s="34" t="n">
        <v>196</v>
      </c>
      <c r="BI242" s="34" t="n">
        <v>0</v>
      </c>
      <c r="BJ242" s="34" t="n">
        <v>0</v>
      </c>
      <c r="BK242" s="34" t="n">
        <v>0</v>
      </c>
      <c r="BL242" s="34" t="n">
        <v>0</v>
      </c>
      <c r="BM242" s="34" t="n">
        <v>0</v>
      </c>
      <c r="BN242" s="34" t="n">
        <v>210</v>
      </c>
      <c r="BO242" s="34" t="n">
        <v>0</v>
      </c>
      <c r="BP242" s="34" t="n">
        <v>0</v>
      </c>
      <c r="BQ242" s="34" t="n">
        <v>0</v>
      </c>
      <c r="BR242" s="34" t="n">
        <v>166</v>
      </c>
      <c r="BS242" s="34" t="n">
        <v>15</v>
      </c>
      <c r="BT242" s="34" t="n">
        <v>0</v>
      </c>
      <c r="BU242" s="34" t="n">
        <v>398.088</v>
      </c>
      <c r="BV242" s="34" t="n">
        <v>398.088</v>
      </c>
      <c r="BW242" s="34" t="n">
        <v>0</v>
      </c>
      <c r="BX242" s="34" t="n">
        <v>550.75</v>
      </c>
      <c r="BY242" s="34" t="n">
        <v>0</v>
      </c>
      <c r="BZ242" s="34" t="n">
        <v>0</v>
      </c>
      <c r="CA242" s="34" t="n">
        <v>0</v>
      </c>
      <c r="CB242" s="34" t="n">
        <v>0</v>
      </c>
      <c r="CC242" s="43"/>
      <c r="CD242" s="43"/>
      <c r="CE242" s="43"/>
      <c r="CF242" s="35" t="n">
        <f aca="false">CF361+CF362+MAX(0,CF367)</f>
        <v>3800</v>
      </c>
      <c r="CG242" s="35" t="n">
        <f aca="false">CG361+CG362+MAX(0,CG367)</f>
        <v>716.672627581826</v>
      </c>
      <c r="CH242" s="35" t="n">
        <f aca="false">CH361+CH362+MAX(0,CH367)</f>
        <v>639.48361316999</v>
      </c>
      <c r="CI242" s="35" t="n">
        <f aca="false">CI361+CI362+MAX(0,CI367)</f>
        <v>679.047817186779</v>
      </c>
      <c r="CJ242" s="35" t="n">
        <f aca="false">CJ361+CJ362+MAX(0,CJ367)</f>
        <v>620.942156452811</v>
      </c>
      <c r="CK242" s="23"/>
    </row>
    <row r="243" customFormat="false" ht="15" hidden="false" customHeight="true" outlineLevel="0" collapsed="false">
      <c r="B243" s="29" t="s">
        <v>530</v>
      </c>
      <c r="C243" s="34" t="n">
        <v>-7.303</v>
      </c>
      <c r="D243" s="34" t="n">
        <v>-169.987</v>
      </c>
      <c r="E243" s="34" t="n">
        <v>-232.409</v>
      </c>
      <c r="F243" s="34" t="n">
        <v>-164.649</v>
      </c>
      <c r="G243" s="34" t="n">
        <v>-0.603</v>
      </c>
      <c r="H243" s="34" t="n">
        <v>-502.208</v>
      </c>
      <c r="I243" s="34" t="n">
        <v>-1.323</v>
      </c>
      <c r="J243" s="34" t="n">
        <v>-225.154</v>
      </c>
      <c r="K243" s="34" t="n">
        <v>-0.158</v>
      </c>
      <c r="L243" s="34" t="n">
        <v>-0.16</v>
      </c>
      <c r="M243" s="34" t="n">
        <v>-0.164</v>
      </c>
      <c r="N243" s="34" t="n">
        <v>-225.636</v>
      </c>
      <c r="O243" s="34" t="n">
        <v>-0.167</v>
      </c>
      <c r="P243" s="34" t="n">
        <v>-7.67</v>
      </c>
      <c r="Q243" s="34" t="n">
        <v>-0.173</v>
      </c>
      <c r="R243" s="34" t="n">
        <v>-0.177</v>
      </c>
      <c r="S243" s="34" t="n">
        <v>-8.187</v>
      </c>
      <c r="T243" s="34" t="n">
        <v>-0.18</v>
      </c>
      <c r="U243" s="34" t="n">
        <v>-0.184</v>
      </c>
      <c r="V243" s="34" t="n">
        <v>-0.092</v>
      </c>
      <c r="W243" s="34" t="n">
        <v>-0.062</v>
      </c>
      <c r="X243" s="34" t="n">
        <v>-0.518</v>
      </c>
      <c r="Y243" s="34" t="n">
        <v>-0.016</v>
      </c>
      <c r="Z243" s="34" t="n">
        <v>0</v>
      </c>
      <c r="AA243" s="34" t="n">
        <v>0</v>
      </c>
      <c r="AB243" s="34" t="n">
        <v>0</v>
      </c>
      <c r="AC243" s="34" t="n">
        <v>-0.016</v>
      </c>
      <c r="AD243" s="34" t="n">
        <v>-250</v>
      </c>
      <c r="AE243" s="34" t="n">
        <v>-97.8</v>
      </c>
      <c r="AF243" s="34" t="n">
        <v>0</v>
      </c>
      <c r="AG243" s="34" t="n">
        <v>-49</v>
      </c>
      <c r="AH243" s="34" t="n">
        <v>-250</v>
      </c>
      <c r="AI243" s="34" t="n">
        <v>-293</v>
      </c>
      <c r="AJ243" s="34" t="n">
        <v>-7.5</v>
      </c>
      <c r="AK243" s="34" t="n">
        <v>-300</v>
      </c>
      <c r="AL243" s="34" t="n">
        <v>-187.5</v>
      </c>
      <c r="AM243" s="34" t="n">
        <v>-600.5</v>
      </c>
      <c r="AN243" s="34" t="n">
        <v>0</v>
      </c>
      <c r="AO243" s="34" t="n">
        <v>0</v>
      </c>
      <c r="AP243" s="34" t="n">
        <v>0</v>
      </c>
      <c r="AQ243" s="34" t="n">
        <v>-105</v>
      </c>
      <c r="AR243" s="34" t="n">
        <v>0</v>
      </c>
      <c r="AS243" s="34" t="n">
        <v>0</v>
      </c>
      <c r="AT243" s="34" t="n">
        <v>-139</v>
      </c>
      <c r="AU243" s="34" t="n">
        <v>0</v>
      </c>
      <c r="AV243" s="34" t="n">
        <v>-200</v>
      </c>
      <c r="AW243" s="34" t="n">
        <v>-312.5</v>
      </c>
      <c r="AX243" s="34" t="n">
        <v>0</v>
      </c>
      <c r="AY243" s="34" t="n">
        <v>0</v>
      </c>
      <c r="AZ243" s="34" t="n">
        <v>0</v>
      </c>
      <c r="BA243" s="34" t="n">
        <v>0</v>
      </c>
      <c r="BB243" s="34" t="n">
        <v>0</v>
      </c>
      <c r="BC243" s="34" t="n">
        <v>-250</v>
      </c>
      <c r="BD243" s="34" t="n">
        <v>-159</v>
      </c>
      <c r="BE243" s="34" t="n">
        <v>0</v>
      </c>
      <c r="BF243" s="34" t="n">
        <v>-1248.01</v>
      </c>
      <c r="BG243" s="34" t="n">
        <v>-1200</v>
      </c>
      <c r="BH243" s="34" t="n">
        <v>0</v>
      </c>
      <c r="BI243" s="34" t="n">
        <v>-71.954</v>
      </c>
      <c r="BJ243" s="34" t="n">
        <v>-186.246</v>
      </c>
      <c r="BK243" s="34" t="n">
        <v>-249</v>
      </c>
      <c r="BL243" s="34" t="n">
        <v>-311.2</v>
      </c>
      <c r="BM243" s="34" t="n">
        <v>-10</v>
      </c>
      <c r="BN243" s="34" t="n">
        <v>-3.45</v>
      </c>
      <c r="BO243" s="34" t="n">
        <v>-210</v>
      </c>
      <c r="BP243" s="34" t="n">
        <v>0</v>
      </c>
      <c r="BQ243" s="34" t="n">
        <v>-13.45</v>
      </c>
      <c r="BR243" s="34" t="n">
        <v>0</v>
      </c>
      <c r="BS243" s="34" t="n">
        <v>0</v>
      </c>
      <c r="BT243" s="34" t="n">
        <v>-181</v>
      </c>
      <c r="BU243" s="34" t="n">
        <v>-450</v>
      </c>
      <c r="BV243" s="34" t="n">
        <v>-450</v>
      </c>
      <c r="BW243" s="34" t="n">
        <v>0</v>
      </c>
      <c r="BX243" s="34" t="n">
        <v>0</v>
      </c>
      <c r="BY243" s="34" t="n">
        <v>-321.26</v>
      </c>
      <c r="BZ243" s="34" t="n">
        <v>-229.49</v>
      </c>
      <c r="CA243" s="34" t="n">
        <v>0</v>
      </c>
      <c r="CB243" s="34" t="n">
        <v>0</v>
      </c>
      <c r="CC243" s="43"/>
      <c r="CD243" s="43"/>
      <c r="CE243" s="43"/>
      <c r="CF243" s="35" t="n">
        <f aca="false">MIN(0,CF367)+CF358</f>
        <v>-1000</v>
      </c>
      <c r="CG243" s="35" t="n">
        <f aca="false">MIN(0,CG367)+CG358</f>
        <v>-400</v>
      </c>
      <c r="CH243" s="35" t="n">
        <f aca="false">MIN(0,CH367)+CH358</f>
        <v>0</v>
      </c>
      <c r="CI243" s="35" t="n">
        <f aca="false">MIN(0,CI367)+CI358</f>
        <v>0</v>
      </c>
      <c r="CJ243" s="35" t="n">
        <f aca="false">MIN(0,CJ367)+CJ358</f>
        <v>0</v>
      </c>
      <c r="CK243" s="23" t="s">
        <v>531</v>
      </c>
    </row>
    <row r="244" customFormat="false" ht="15" hidden="false" customHeight="true" outlineLevel="0" collapsed="false">
      <c r="B244" s="29" t="s">
        <v>532</v>
      </c>
      <c r="C244" s="34" t="n">
        <v>-58.823</v>
      </c>
      <c r="D244" s="34" t="n">
        <v>-61.996</v>
      </c>
      <c r="E244" s="34" t="n">
        <v>-70.831</v>
      </c>
      <c r="F244" s="34" t="n">
        <v>-72.207</v>
      </c>
      <c r="G244" s="34" t="n">
        <v>-73.96</v>
      </c>
      <c r="H244" s="34" t="n">
        <v>-71.812</v>
      </c>
      <c r="I244" s="34" t="n">
        <v>-70.82</v>
      </c>
      <c r="L244" s="34" t="n">
        <v>-79.744</v>
      </c>
      <c r="M244" s="34" t="n">
        <v>0</v>
      </c>
      <c r="N244" s="34" t="n">
        <v>-79.744</v>
      </c>
      <c r="Q244" s="34" t="n">
        <v>-93.314</v>
      </c>
      <c r="R244" s="34" t="n">
        <v>-0.006</v>
      </c>
      <c r="S244" s="34" t="n">
        <v>-93.32</v>
      </c>
      <c r="V244" s="34" t="n">
        <v>-201.941</v>
      </c>
      <c r="W244" s="34" t="n">
        <v>0.05</v>
      </c>
      <c r="X244" s="34" t="n">
        <v>-201.891</v>
      </c>
      <c r="AA244" s="34" t="n">
        <v>-115.273</v>
      </c>
      <c r="AB244" s="34" t="n">
        <v>0</v>
      </c>
      <c r="AC244" s="34" t="n">
        <v>-115.273</v>
      </c>
      <c r="AF244" s="34" t="n">
        <v>-142.444</v>
      </c>
      <c r="AG244" s="34" t="n">
        <v>0.011</v>
      </c>
      <c r="AH244" s="34" t="n">
        <v>-142.433</v>
      </c>
      <c r="AK244" s="34" t="n">
        <v>-175.589</v>
      </c>
      <c r="AL244" s="34" t="n">
        <v>0</v>
      </c>
      <c r="AM244" s="34" t="n">
        <v>-175.589</v>
      </c>
      <c r="AP244" s="34" t="n">
        <v>-220.76</v>
      </c>
      <c r="AQ244" s="34" t="n">
        <v>-0.004</v>
      </c>
      <c r="AR244" s="34" t="n">
        <v>-220.764</v>
      </c>
      <c r="AU244" s="34" t="n">
        <v>-268.042</v>
      </c>
      <c r="AV244" s="34" t="n">
        <v>0.086</v>
      </c>
      <c r="AW244" s="34" t="n">
        <v>-267.956</v>
      </c>
      <c r="AZ244" s="34" t="n">
        <v>-371.818</v>
      </c>
      <c r="BA244" s="34" t="n">
        <v>-79.509</v>
      </c>
      <c r="BB244" s="34" t="n">
        <v>-451.327</v>
      </c>
      <c r="BC244" s="34" t="n">
        <v>-79.135</v>
      </c>
      <c r="BD244" s="34" t="n">
        <v>-98.814</v>
      </c>
      <c r="BE244" s="34" t="n">
        <v>-98.973</v>
      </c>
      <c r="BF244" s="34" t="n">
        <v>-98.197</v>
      </c>
      <c r="BG244" s="34" t="n">
        <v>-375.119</v>
      </c>
      <c r="BH244" s="34" t="n">
        <v>-97.655</v>
      </c>
      <c r="BI244" s="34" t="n">
        <v>-117.362</v>
      </c>
      <c r="BJ244" s="34" t="n">
        <v>-117.404</v>
      </c>
      <c r="BK244" s="34" t="n">
        <v>-117.496</v>
      </c>
      <c r="BL244" s="34" t="n">
        <v>-449.917</v>
      </c>
      <c r="BM244" s="34" t="n">
        <v>-117.565</v>
      </c>
      <c r="BN244" s="34" t="n">
        <v>-138.274</v>
      </c>
      <c r="BO244" s="34" t="n">
        <v>-137.471</v>
      </c>
      <c r="BP244" s="34" t="n">
        <v>-137.599</v>
      </c>
      <c r="BQ244" s="34" t="n">
        <v>-530.909</v>
      </c>
      <c r="BR244" s="34" t="n">
        <v>-138.237</v>
      </c>
      <c r="BS244" s="34" t="n">
        <v>-157.327</v>
      </c>
      <c r="BT244" s="34" t="n">
        <v>-158.139</v>
      </c>
      <c r="BU244" s="34" t="n">
        <v>-157.924</v>
      </c>
      <c r="BV244" s="34" t="n">
        <v>-611.627</v>
      </c>
      <c r="BW244" s="34" t="n">
        <v>-157.766</v>
      </c>
      <c r="BX244" s="34" t="n">
        <v>-182.343</v>
      </c>
      <c r="BY244" s="34" t="n">
        <v>-180.741</v>
      </c>
      <c r="BZ244" s="34" t="n">
        <v>-180.635</v>
      </c>
      <c r="CA244" s="34" t="n">
        <v>-701.485</v>
      </c>
      <c r="CB244" s="34" t="n">
        <v>-180.7</v>
      </c>
      <c r="CC244" s="43"/>
      <c r="CD244" s="43"/>
      <c r="CE244" s="43"/>
      <c r="CF244" s="35" t="n">
        <f aca="false">-(CF168*CF273+CE168*CF272)</f>
        <v>-839.62268</v>
      </c>
      <c r="CG244" s="35" t="n">
        <f aca="false">-CG168*CG273</f>
        <v>-961.379504813069</v>
      </c>
      <c r="CH244" s="35" t="n">
        <f aca="false">-CH168*CH273</f>
        <v>-1053.58090923637</v>
      </c>
      <c r="CI244" s="35" t="n">
        <f aca="false">-CI168*CI273</f>
        <v>-1158.40973532637</v>
      </c>
      <c r="CJ244" s="35" t="n">
        <f aca="false">-CJ168*CJ273</f>
        <v>-1271.57454227973</v>
      </c>
      <c r="CK244" s="23" t="s">
        <v>533</v>
      </c>
    </row>
    <row r="245" customFormat="false" ht="15" hidden="false" customHeight="true" outlineLevel="0" collapsed="false">
      <c r="B245" s="29" t="s">
        <v>534</v>
      </c>
      <c r="C245" s="34" t="n">
        <v>-323.409</v>
      </c>
      <c r="D245" s="34" t="n">
        <v>-198.949</v>
      </c>
      <c r="E245" s="34" t="n">
        <v>-191.479</v>
      </c>
      <c r="F245" s="34" t="n">
        <v>-25.847</v>
      </c>
      <c r="G245" s="34" t="n">
        <v>-0.969</v>
      </c>
      <c r="H245" s="34" t="n">
        <v>-443.69</v>
      </c>
      <c r="I245" s="34" t="n">
        <v>-392.328</v>
      </c>
      <c r="J245" s="34" t="n">
        <v>-77.953</v>
      </c>
      <c r="K245" s="34" t="n">
        <v>-81.222</v>
      </c>
      <c r="L245" s="34" t="n">
        <v>-27.901</v>
      </c>
      <c r="M245" s="34" t="n">
        <v>-28.605</v>
      </c>
      <c r="N245" s="34" t="n">
        <v>-215.681</v>
      </c>
      <c r="O245" s="34" t="n">
        <v>-106.977</v>
      </c>
      <c r="P245" s="34" t="n">
        <v>-57.223</v>
      </c>
      <c r="Q245" s="34" t="n">
        <v>-0.262</v>
      </c>
      <c r="R245" s="34" t="n">
        <v>-206.137</v>
      </c>
      <c r="S245" s="34" t="n">
        <v>-370.599</v>
      </c>
      <c r="T245" s="34" t="n">
        <v>-61.439</v>
      </c>
      <c r="U245" s="34" t="n">
        <v>-2.134</v>
      </c>
      <c r="V245" s="34" t="n">
        <v>-251.075</v>
      </c>
      <c r="W245" s="34" t="n">
        <v>-237.322</v>
      </c>
      <c r="X245" s="34" t="n">
        <v>-551.97</v>
      </c>
      <c r="Y245" s="34" t="n">
        <v>-221.598</v>
      </c>
      <c r="Z245" s="34" t="n">
        <v>-180.695</v>
      </c>
      <c r="AA245" s="34" t="n">
        <v>-100.146</v>
      </c>
      <c r="AB245" s="34" t="n">
        <v>-277.712</v>
      </c>
      <c r="AC245" s="34" t="n">
        <v>-780.151</v>
      </c>
      <c r="AD245" s="34" t="n">
        <v>-18.87</v>
      </c>
      <c r="AE245" s="34" t="n">
        <v>-0.36</v>
      </c>
      <c r="AF245" s="34" t="n">
        <v>-0.824</v>
      </c>
      <c r="AG245" s="34" t="n">
        <v>-0.67</v>
      </c>
      <c r="AH245" s="34" t="n">
        <v>-20.724</v>
      </c>
      <c r="AI245" s="34" t="n">
        <v>-35.04</v>
      </c>
      <c r="AJ245" s="34" t="n">
        <v>-0.657</v>
      </c>
      <c r="AK245" s="34" t="n">
        <v>-1.353</v>
      </c>
      <c r="AL245" s="34" t="n">
        <v>-90.269</v>
      </c>
      <c r="AM245" s="34" t="n">
        <v>-127.319</v>
      </c>
      <c r="AN245" s="34" t="n">
        <v>-139.468</v>
      </c>
      <c r="AO245" s="34" t="n">
        <v>-368.661</v>
      </c>
      <c r="AP245" s="34" t="n">
        <v>-100.095</v>
      </c>
      <c r="AQ245" s="34" t="n">
        <v>-408.076</v>
      </c>
      <c r="AR245" s="34" t="n">
        <v>-1016.3</v>
      </c>
      <c r="AS245" s="34" t="n">
        <v>-256.83</v>
      </c>
      <c r="AT245" s="34" t="n">
        <v>-1.911</v>
      </c>
      <c r="AU245" s="34" t="n">
        <v>-2.586</v>
      </c>
      <c r="AV245" s="34" t="n">
        <v>-203.191</v>
      </c>
      <c r="AW245" s="34" t="n">
        <v>-464.518</v>
      </c>
      <c r="AX245" s="34" t="n">
        <v>-69.011</v>
      </c>
      <c r="AY245" s="34" t="n">
        <v>-2.371</v>
      </c>
      <c r="AZ245" s="34" t="n">
        <v>-83.108</v>
      </c>
      <c r="BA245" s="34" t="n">
        <v>-399.631</v>
      </c>
      <c r="BB245" s="34" t="n">
        <v>-554.121</v>
      </c>
      <c r="BC245" s="34" t="n">
        <v>-659.235</v>
      </c>
      <c r="BD245" s="34" t="n">
        <v>-5.491</v>
      </c>
      <c r="BE245" s="34" t="n">
        <v>-557.115</v>
      </c>
      <c r="BF245" s="34" t="n">
        <v>-304.032</v>
      </c>
      <c r="BG245" s="34" t="n">
        <v>-1525.873</v>
      </c>
      <c r="BH245" s="34" t="n">
        <v>-320.334</v>
      </c>
      <c r="BI245" s="34" t="n">
        <v>-28.348</v>
      </c>
      <c r="BJ245" s="34" t="n">
        <v>-22.235</v>
      </c>
      <c r="BK245" s="34" t="n">
        <v>-27.948</v>
      </c>
      <c r="BL245" s="34" t="n">
        <v>-398.865</v>
      </c>
      <c r="BM245" s="34" t="n">
        <v>-73.276</v>
      </c>
      <c r="BN245" s="34" t="n">
        <v>-349.852</v>
      </c>
      <c r="BO245" s="34" t="n">
        <v>-45.018</v>
      </c>
      <c r="BP245" s="34" t="n">
        <v>-231.887</v>
      </c>
      <c r="BQ245" s="34" t="n">
        <v>-700.033</v>
      </c>
      <c r="BR245" s="34" t="n">
        <v>-614.802</v>
      </c>
      <c r="BS245" s="34" t="n">
        <v>-36.716</v>
      </c>
      <c r="BT245" s="34" t="n">
        <v>-26.611</v>
      </c>
      <c r="BU245" s="34" t="n">
        <v>-256.671</v>
      </c>
      <c r="BV245" s="34" t="n">
        <v>-934.8</v>
      </c>
      <c r="BW245" s="34" t="n">
        <v>-266.097</v>
      </c>
      <c r="BX245" s="34" t="n">
        <v>-635.57</v>
      </c>
      <c r="BY245" s="34" t="n">
        <v>-31.56</v>
      </c>
      <c r="BZ245" s="34" t="n">
        <v>-18.877</v>
      </c>
      <c r="CA245" s="34" t="n">
        <v>-952.104</v>
      </c>
      <c r="CB245" s="34" t="n">
        <v>-315.71</v>
      </c>
      <c r="CC245" s="43"/>
      <c r="CD245" s="43"/>
      <c r="CE245" s="43"/>
      <c r="CF245" s="35" t="n">
        <f aca="false">-CF269</f>
        <v>-544.71</v>
      </c>
      <c r="CG245" s="35" t="n">
        <f aca="false">-CG269</f>
        <v>-2165.42652297815</v>
      </c>
      <c r="CH245" s="35" t="n">
        <f aca="false">-CH269</f>
        <v>-1993.78793593024</v>
      </c>
      <c r="CI245" s="35" t="n">
        <f aca="false">-CI269</f>
        <v>-2279.74270250005</v>
      </c>
      <c r="CJ245" s="35" t="n">
        <f aca="false">-CJ269</f>
        <v>-2406.05101989329</v>
      </c>
      <c r="CK245" s="23"/>
    </row>
    <row r="246" customFormat="false" ht="15" hidden="false" customHeight="true" outlineLevel="0" collapsed="false">
      <c r="B246" s="29" t="s">
        <v>535</v>
      </c>
      <c r="C246" s="34" t="n">
        <v>7.68</v>
      </c>
      <c r="D246" s="34" t="n">
        <v>10.907</v>
      </c>
      <c r="E246" s="34" t="n">
        <v>8.371</v>
      </c>
      <c r="F246" s="34" t="n">
        <v>0</v>
      </c>
      <c r="I246" s="34" t="n">
        <v>3.341</v>
      </c>
      <c r="J246" s="34" t="n">
        <v>1.119</v>
      </c>
      <c r="K246" s="34" t="n">
        <v>1.238</v>
      </c>
      <c r="L246" s="34" t="n">
        <v>4.799</v>
      </c>
      <c r="M246" s="34" t="n">
        <v>7.651</v>
      </c>
      <c r="N246" s="34" t="n">
        <v>14.807</v>
      </c>
      <c r="O246" s="34" t="n">
        <v>14.085</v>
      </c>
      <c r="P246" s="34" t="n">
        <v>7.226</v>
      </c>
      <c r="Q246" s="34" t="n">
        <v>7.975</v>
      </c>
      <c r="R246" s="34" t="n">
        <v>12.616</v>
      </c>
      <c r="S246" s="34" t="n">
        <v>41.902</v>
      </c>
      <c r="T246" s="34" t="n">
        <v>13.623</v>
      </c>
      <c r="U246" s="34" t="n">
        <v>8.849</v>
      </c>
      <c r="V246" s="34" t="n">
        <v>9.484</v>
      </c>
      <c r="W246" s="34" t="n">
        <v>8.274</v>
      </c>
      <c r="X246" s="34" t="n">
        <v>40.23</v>
      </c>
      <c r="Y246" s="34" t="n">
        <v>11.844</v>
      </c>
      <c r="Z246" s="34" t="n">
        <v>5.6</v>
      </c>
      <c r="AA246" s="34" t="n">
        <v>4.816</v>
      </c>
      <c r="AB246" s="34" t="n">
        <v>5.966</v>
      </c>
      <c r="AC246" s="34" t="n">
        <v>28.226</v>
      </c>
      <c r="AD246" s="34" t="n">
        <v>16.282</v>
      </c>
      <c r="AE246" s="34" t="n">
        <v>2.943</v>
      </c>
      <c r="AF246" s="34" t="n">
        <v>5.889</v>
      </c>
      <c r="AG246" s="34" t="n">
        <v>6.756</v>
      </c>
      <c r="AH246" s="34" t="n">
        <v>31.87</v>
      </c>
      <c r="AI246" s="34" t="n">
        <v>17.256</v>
      </c>
      <c r="AJ246" s="34" t="n">
        <v>11.302</v>
      </c>
      <c r="AK246" s="34" t="n">
        <v>7.28</v>
      </c>
      <c r="AL246" s="34" t="n">
        <v>6.01</v>
      </c>
      <c r="AM246" s="34" t="n">
        <v>41.848</v>
      </c>
      <c r="AN246" s="34" t="n">
        <v>27.512</v>
      </c>
      <c r="AO246" s="34" t="n">
        <v>5.1</v>
      </c>
      <c r="AP246" s="34" t="n">
        <v>21.662</v>
      </c>
      <c r="AQ246" s="34" t="n">
        <v>11.097</v>
      </c>
      <c r="AR246" s="34" t="n">
        <v>65.371</v>
      </c>
      <c r="AS246" s="34" t="n">
        <v>37.915</v>
      </c>
      <c r="AT246" s="34" t="n">
        <v>25.286</v>
      </c>
      <c r="AU246" s="34" t="n">
        <v>18.346</v>
      </c>
      <c r="AV246" s="34" t="n">
        <v>8.972</v>
      </c>
      <c r="AW246" s="34" t="n">
        <v>90.519</v>
      </c>
      <c r="AX246" s="34" t="n">
        <v>72.123</v>
      </c>
      <c r="AY246" s="34" t="n">
        <v>35.407</v>
      </c>
      <c r="AZ246" s="34" t="n">
        <v>12.519</v>
      </c>
      <c r="BA246" s="34" t="n">
        <v>9.908</v>
      </c>
      <c r="BB246" s="34" t="n">
        <v>129.957</v>
      </c>
      <c r="BC246" s="34" t="n">
        <v>72.896</v>
      </c>
      <c r="BD246" s="34" t="n">
        <v>36.302</v>
      </c>
      <c r="BE246" s="34" t="n">
        <v>8.438</v>
      </c>
      <c r="BF246" s="34" t="n">
        <v>0.101</v>
      </c>
      <c r="BG246" s="34" t="n">
        <v>117.737</v>
      </c>
      <c r="BH246" s="34" t="n">
        <v>1.047</v>
      </c>
      <c r="BI246" s="34" t="n">
        <v>1.078</v>
      </c>
      <c r="BJ246" s="34" t="n">
        <v>0.816</v>
      </c>
      <c r="BK246" s="34" t="n">
        <v>0.08</v>
      </c>
      <c r="BL246" s="34" t="n">
        <v>3.021</v>
      </c>
      <c r="BM246" s="34" t="n">
        <v>0.479</v>
      </c>
      <c r="BN246" s="34" t="n">
        <v>0.45</v>
      </c>
      <c r="BO246" s="34" t="n">
        <v>0.346</v>
      </c>
      <c r="BP246" s="34" t="n">
        <v>0.095</v>
      </c>
      <c r="BQ246" s="34" t="n">
        <v>1.37</v>
      </c>
      <c r="BR246" s="34" t="n">
        <v>0.231</v>
      </c>
      <c r="BS246" s="34" t="n">
        <v>0.344</v>
      </c>
      <c r="BT246" s="34" t="n">
        <v>0.124</v>
      </c>
      <c r="BU246" s="34" t="n">
        <v>0.197</v>
      </c>
      <c r="BV246" s="34" t="n">
        <v>0.896</v>
      </c>
      <c r="BW246" s="34" t="n">
        <v>2.669</v>
      </c>
      <c r="BX246" s="34" t="n">
        <v>0.427</v>
      </c>
      <c r="BY246" s="34" t="n">
        <v>0.06</v>
      </c>
      <c r="BZ246" s="34" t="n">
        <v>0.652</v>
      </c>
      <c r="CA246" s="34" t="n">
        <v>3.808</v>
      </c>
      <c r="CB246" s="34" t="n">
        <v>0.159</v>
      </c>
      <c r="CC246" s="43"/>
      <c r="CD246" s="43"/>
      <c r="CE246" s="43"/>
      <c r="CF246" s="35" t="n">
        <f aca="false">0</f>
        <v>0</v>
      </c>
      <c r="CG246" s="35" t="n">
        <f aca="false">0</f>
        <v>0</v>
      </c>
      <c r="CH246" s="35" t="n">
        <f aca="false">0</f>
        <v>0</v>
      </c>
      <c r="CI246" s="35" t="n">
        <f aca="false">0</f>
        <v>0</v>
      </c>
      <c r="CJ246" s="35" t="n">
        <f aca="false">0</f>
        <v>0</v>
      </c>
      <c r="CK246" s="23"/>
    </row>
    <row r="247" customFormat="false" ht="15" hidden="false" customHeight="true" outlineLevel="0" collapsed="false">
      <c r="B247" s="29" t="s">
        <v>536</v>
      </c>
      <c r="C247" s="45" t="n">
        <f aca="false">C248-SUM(C242,C243,C244,C245,C246)</f>
        <v>22.233</v>
      </c>
      <c r="D247" s="45" t="n">
        <f aca="false">D248-SUM(D242,D243,D244,D245,D246)</f>
        <v>-11.672</v>
      </c>
      <c r="E247" s="45" t="n">
        <f aca="false">E248-SUM(E242,E243,E244,E245,E246)</f>
        <v>-11.356</v>
      </c>
      <c r="F247" s="45" t="n">
        <f aca="false">F248-SUM(F242,F243,F244,F245,F246)</f>
        <v>0.85499999999999</v>
      </c>
      <c r="G247" s="45" t="n">
        <f aca="false">G248-SUM(G242,G243,G244,G245,G246)</f>
        <v>-0.977000000000004</v>
      </c>
      <c r="H247" s="45" t="n">
        <f aca="false">H248-SUM(H242,H243,H244,H245,H246)</f>
        <v>-4.60899999999993</v>
      </c>
      <c r="I247" s="45" t="n">
        <f aca="false">I248-SUM(I242,I243,I244,I245,I246)</f>
        <v>0.555000000000007</v>
      </c>
      <c r="J247" s="45" t="n">
        <f aca="false">J248-SUM(J242,J243,J244,J245,J246)</f>
        <v>-3.491</v>
      </c>
      <c r="K247" s="45" t="n">
        <f aca="false">K248-SUM(K242,K243,K244,K245,K246)</f>
        <v>1.015</v>
      </c>
      <c r="L247" s="45" t="n">
        <f aca="false">L248-SUM(L242,L243,L244,L245,L246)</f>
        <v>1.09099999999999</v>
      </c>
      <c r="M247" s="45" t="n">
        <f aca="false">M248-SUM(M242,M243,M244,M245,M246)</f>
        <v>1.581</v>
      </c>
      <c r="N247" s="45" t="n">
        <f aca="false">N248-SUM(N242,N243,N244,N245,N246)</f>
        <v>0.196000000000026</v>
      </c>
      <c r="O247" s="45" t="n">
        <f aca="false">O248-SUM(O242,O243,O244,O245,O246)</f>
        <v>4.12599999999999</v>
      </c>
      <c r="P247" s="45" t="n">
        <f aca="false">P248-SUM(P242,P243,P244,P245,P246)</f>
        <v>2.197</v>
      </c>
      <c r="Q247" s="45" t="n">
        <f aca="false">Q248-SUM(Q242,Q243,Q244,Q245,Q246)</f>
        <v>4.01599999999999</v>
      </c>
      <c r="R247" s="45" t="n">
        <f aca="false">R248-SUM(R242,R243,R244,R245,R246)</f>
        <v>-9.87000000000001</v>
      </c>
      <c r="S247" s="45" t="n">
        <f aca="false">S248-SUM(S242,S243,S244,S245,S246)</f>
        <v>0.468999999999994</v>
      </c>
      <c r="T247" s="45" t="n">
        <f aca="false">T248-SUM(T242,T243,T244,T245,T246)</f>
        <v>6.798</v>
      </c>
      <c r="U247" s="45" t="n">
        <f aca="false">U248-SUM(U242,U243,U244,U245,U246)</f>
        <v>-5.04</v>
      </c>
      <c r="V247" s="45" t="n">
        <f aca="false">V248-SUM(V242,V243,V244,V245,V246)</f>
        <v>1.38099999999997</v>
      </c>
      <c r="W247" s="45" t="n">
        <f aca="false">W248-SUM(W242,W243,W244,W245,W246)</f>
        <v>-1.55000000000001</v>
      </c>
      <c r="X247" s="45" t="n">
        <f aca="false">X248-SUM(X242,X243,X244,X245,X246)</f>
        <v>1.58900000000006</v>
      </c>
      <c r="Y247" s="45" t="n">
        <f aca="false">Y248-SUM(Y242,Y243,Y244,Y245,Y246)</f>
        <v>0.0510000000000161</v>
      </c>
      <c r="Z247" s="45" t="n">
        <f aca="false">Z248-SUM(Z242,Z243,Z244,Z245,Z246)</f>
        <v>0.594999999999999</v>
      </c>
      <c r="AA247" s="45" t="n">
        <f aca="false">AA248-SUM(AA242,AA243,AA244,AA245,AA246)</f>
        <v>0.507000000000005</v>
      </c>
      <c r="AB247" s="45" t="n">
        <f aca="false">AB248-SUM(AB242,AB243,AB244,AB245,AB246)</f>
        <v>-0.663000000000011</v>
      </c>
      <c r="AC247" s="45" t="n">
        <f aca="false">AC248-SUM(AC242,AC243,AC244,AC245,AC246)</f>
        <v>0.489999999999895</v>
      </c>
      <c r="AD247" s="45" t="n">
        <f aca="false">AD248-SUM(AD242,AD243,AD244,AD245,AD246)</f>
        <v>-8.24000000000002</v>
      </c>
      <c r="AE247" s="45" t="n">
        <f aca="false">AE248-SUM(AE242,AE243,AE244,AE245,AE246)</f>
        <v>-10.827</v>
      </c>
      <c r="AF247" s="45" t="n">
        <f aca="false">AF248-SUM(AF242,AF243,AF244,AF245,AF246)</f>
        <v>-0.683000000000007</v>
      </c>
      <c r="AG247" s="45" t="n">
        <f aca="false">AG248-SUM(AG242,AG243,AG244,AG245,AG246)</f>
        <v>-3.19000000000005</v>
      </c>
      <c r="AH247" s="45" t="n">
        <f aca="false">AH248-SUM(AH242,AH243,AH244,AH245,AH246)</f>
        <v>-22.9400000000001</v>
      </c>
      <c r="AI247" s="45" t="n">
        <f aca="false">AI248-SUM(AI242,AI243,AI244,AI245,AI246)</f>
        <v>-0.649000000000001</v>
      </c>
      <c r="AJ247" s="45" t="n">
        <f aca="false">AJ248-SUM(AJ242,AJ243,AJ244,AJ245,AJ246)</f>
        <v>-1.233</v>
      </c>
      <c r="AK247" s="45" t="n">
        <f aca="false">AK248-SUM(AK242,AK243,AK244,AK245,AK246)</f>
        <v>-0.607000000000028</v>
      </c>
      <c r="AL247" s="45" t="n">
        <f aca="false">AL248-SUM(AL242,AL243,AL244,AL245,AL246)</f>
        <v>-0.0910000000000082</v>
      </c>
      <c r="AM247" s="45" t="n">
        <f aca="false">AM248-SUM(AM242,AM243,AM244,AM245,AM246)</f>
        <v>-2.58000000000004</v>
      </c>
      <c r="AN247" s="45" t="n">
        <f aca="false">AN248-SUM(AN242,AN243,AN244,AN245,AN246)</f>
        <v>-0.552000000000007</v>
      </c>
      <c r="AO247" s="45" t="n">
        <f aca="false">AO248-SUM(AO242,AO243,AO244,AO245,AO246)</f>
        <v>-4.81</v>
      </c>
      <c r="AP247" s="45" t="n">
        <f aca="false">AP248-SUM(AP242,AP243,AP244,AP245,AP246)</f>
        <v>-2.726</v>
      </c>
      <c r="AQ247" s="45" t="n">
        <f aca="false">AQ248-SUM(AQ242,AQ243,AQ244,AQ245,AQ246)</f>
        <v>-6.024</v>
      </c>
      <c r="AR247" s="45" t="n">
        <f aca="false">AR248-SUM(AR242,AR243,AR244,AR245,AR246)</f>
        <v>-14.112</v>
      </c>
      <c r="AS247" s="45" t="n">
        <f aca="false">AS248-SUM(AS242,AS243,AS244,AS245,AS246)</f>
        <v>-1.19200000000001</v>
      </c>
      <c r="AT247" s="45" t="n">
        <f aca="false">AT248-SUM(AT242,AT243,AT244,AT245,AT246)</f>
        <v>-0.760000000000005</v>
      </c>
      <c r="AU247" s="45" t="n">
        <f aca="false">AU248-SUM(AU242,AU243,AU244,AU245,AU246)</f>
        <v>1.98199999999997</v>
      </c>
      <c r="AV247" s="45" t="n">
        <f aca="false">AV248-SUM(AV242,AV243,AV244,AV245,AV246)</f>
        <v>-0.782000000000039</v>
      </c>
      <c r="AW247" s="45" t="n">
        <f aca="false">AW248-SUM(AW242,AW243,AW244,AW245,AW246)</f>
        <v>-0.752000000000066</v>
      </c>
      <c r="AX247" s="45" t="n">
        <f aca="false">AX248-SUM(AX242,AX243,AX244,AX245,AX246)</f>
        <v>-0.869000000000009</v>
      </c>
      <c r="AY247" s="45" t="n">
        <f aca="false">AY248-SUM(AY242,AY243,AY244,AY245,AY246)</f>
        <v>-0.817999999999991</v>
      </c>
      <c r="AZ247" s="45" t="n">
        <f aca="false">AZ248-SUM(AZ242,AZ243,AZ244,AZ245,AZ246)</f>
        <v>-2.149</v>
      </c>
      <c r="BA247" s="45" t="n">
        <f aca="false">BA248-SUM(BA242,BA243,BA244,BA245,BA246)</f>
        <v>-0.541000000000054</v>
      </c>
      <c r="BB247" s="45" t="n">
        <f aca="false">BB248-SUM(BB242,BB243,BB244,BB245,BB246)</f>
        <v>-4.37700000000007</v>
      </c>
      <c r="BC247" s="45" t="n">
        <f aca="false">BC248-SUM(BC242,BC243,BC244,BC245,BC246)</f>
        <v>-0.6099999999999</v>
      </c>
      <c r="BD247" s="45" t="n">
        <f aca="false">BD248-SUM(BD242,BD243,BD244,BD245,BD246)</f>
        <v>-2.78900000000002</v>
      </c>
      <c r="BE247" s="45" t="n">
        <f aca="false">BE248-SUM(BE242,BE243,BE244,BE245,BE246)</f>
        <v>-3.25799999999995</v>
      </c>
      <c r="BF247" s="45" t="n">
        <f aca="false">BF248-SUM(BF242,BF243,BF244,BF245,BF246)</f>
        <v>0.262999999999863</v>
      </c>
      <c r="BG247" s="45" t="n">
        <f aca="false">BG248-SUM(BG242,BG243,BG244,BG245,BG246)</f>
        <v>-6.39399999999978</v>
      </c>
      <c r="BH247" s="45" t="n">
        <f aca="false">BH248-SUM(BH242,BH243,BH244,BH245,BH246)</f>
        <v>-5.25700000000001</v>
      </c>
      <c r="BI247" s="45" t="n">
        <f aca="false">BI248-SUM(BI242,BI243,BI244,BI245,BI246)</f>
        <v>-3.58300000000003</v>
      </c>
      <c r="BJ247" s="45" t="n">
        <f aca="false">BJ248-SUM(BJ242,BJ243,BJ244,BJ245,BJ246)</f>
        <v>-3.15600000000001</v>
      </c>
      <c r="BK247" s="45" t="n">
        <f aca="false">BK248-SUM(BK242,BK243,BK244,BK245,BK246)</f>
        <v>-3.87900000000002</v>
      </c>
      <c r="BL247" s="45" t="n">
        <f aca="false">BL248-SUM(BL242,BL243,BL244,BL245,BL246)</f>
        <v>-15.875</v>
      </c>
      <c r="BM247" s="45" t="n">
        <f aca="false">BM248-SUM(BM242,BM243,BM244,BM245,BM246)</f>
        <v>-2.01300000000001</v>
      </c>
      <c r="BN247" s="45" t="n">
        <f aca="false">BN248-SUM(BN242,BN243,BN244,BN245,BN246)</f>
        <v>-2.30900000000003</v>
      </c>
      <c r="BO247" s="45" t="n">
        <f aca="false">BO248-SUM(BO242,BO243,BO244,BO245,BO246)</f>
        <v>-1.517</v>
      </c>
      <c r="BP247" s="45" t="n">
        <f aca="false">BP248-SUM(BP242,BP243,BP244,BP245,BP246)</f>
        <v>-4.62900000000002</v>
      </c>
      <c r="BQ247" s="45" t="n">
        <f aca="false">BQ248-SUM(BQ242,BQ243,BQ244,BQ245,BQ246)</f>
        <v>-10.4680000000001</v>
      </c>
      <c r="BR247" s="45" t="n">
        <f aca="false">BR248-SUM(BR242,BR243,BR244,BR245,BR246)</f>
        <v>-5.98400000000004</v>
      </c>
      <c r="BS247" s="45" t="n">
        <f aca="false">BS248-SUM(BS242,BS243,BS244,BS245,BS246)</f>
        <v>-5.45399999999998</v>
      </c>
      <c r="BT247" s="45" t="n">
        <f aca="false">BT248-SUM(BT242,BT243,BT244,BT245,BT246)</f>
        <v>-8.00999999999999</v>
      </c>
      <c r="BU247" s="45" t="n">
        <f aca="false">BU248-SUM(BU242,BU243,BU244,BU245,BU246)</f>
        <v>-2.12</v>
      </c>
      <c r="BV247" s="45" t="n">
        <f aca="false">BV248-SUM(BV242,BV243,BV244,BV245,BV246)</f>
        <v>-21.568</v>
      </c>
      <c r="BW247" s="45" t="n">
        <f aca="false">BW248-SUM(BW242,BW243,BW244,BW245,BW246)</f>
        <v>-2.80700000000002</v>
      </c>
      <c r="BX247" s="45" t="n">
        <f aca="false">BX248-SUM(BX242,BX243,BX244,BX245,BX246)</f>
        <v>-8.27499999999998</v>
      </c>
      <c r="BY247" s="45" t="n">
        <f aca="false">BY248-SUM(BY242,BY243,BY244,BY245,BY246)</f>
        <v>-6.46000000000004</v>
      </c>
      <c r="BZ247" s="45" t="n">
        <f aca="false">BZ248-SUM(BZ242,BZ243,BZ244,BZ245,BZ246)</f>
        <v>-14.749</v>
      </c>
      <c r="CA247" s="45" t="n">
        <f aca="false">CA248-SUM(CA242,CA243,CA244,CA245,CA246)</f>
        <v>-32.2909999999999</v>
      </c>
      <c r="CB247" s="45" t="n">
        <f aca="false">CB248-SUM(CB242,CB243,CB244,CB245,CB246)</f>
        <v>-3.91700000000003</v>
      </c>
      <c r="CC247" s="43"/>
      <c r="CD247" s="43"/>
      <c r="CE247" s="43"/>
      <c r="CF247" s="35" t="n">
        <f aca="false">0</f>
        <v>0</v>
      </c>
      <c r="CG247" s="35" t="n">
        <f aca="false">0</f>
        <v>0</v>
      </c>
      <c r="CH247" s="35" t="n">
        <f aca="false">0</f>
        <v>0</v>
      </c>
      <c r="CI247" s="35" t="n">
        <f aca="false">0</f>
        <v>0</v>
      </c>
      <c r="CJ247" s="35" t="n">
        <f aca="false">0</f>
        <v>0</v>
      </c>
      <c r="CK247" s="23"/>
    </row>
    <row r="248" customFormat="false" ht="15" hidden="false" customHeight="true" outlineLevel="0" collapsed="false">
      <c r="B248" s="20" t="s">
        <v>537</v>
      </c>
      <c r="C248" s="21" t="n">
        <v>-26.122</v>
      </c>
      <c r="D248" s="21" t="n">
        <v>-179.237</v>
      </c>
      <c r="E248" s="21" t="n">
        <v>-202.704</v>
      </c>
      <c r="F248" s="21" t="n">
        <v>-254.348</v>
      </c>
      <c r="G248" s="21" t="n">
        <v>-76.509</v>
      </c>
      <c r="H248" s="21" t="n">
        <v>-20.038</v>
      </c>
      <c r="I248" s="21" t="n">
        <v>-460.575</v>
      </c>
      <c r="J248" s="21" t="n">
        <v>-55.479</v>
      </c>
      <c r="K248" s="21" t="n">
        <v>-79.127</v>
      </c>
      <c r="L248" s="21" t="n">
        <v>-101.915</v>
      </c>
      <c r="M248" s="21" t="n">
        <v>-19.537</v>
      </c>
      <c r="N248" s="21" t="n">
        <v>-256.058</v>
      </c>
      <c r="O248" s="21" t="n">
        <v>-88.933</v>
      </c>
      <c r="P248" s="21" t="n">
        <v>-55.47</v>
      </c>
      <c r="Q248" s="21" t="n">
        <v>-81.758</v>
      </c>
      <c r="R248" s="21" t="n">
        <v>-203.574</v>
      </c>
      <c r="S248" s="21" t="n">
        <v>-429.735</v>
      </c>
      <c r="T248" s="21" t="n">
        <v>-41.198</v>
      </c>
      <c r="U248" s="21" t="n">
        <v>1.491</v>
      </c>
      <c r="V248" s="21" t="n">
        <v>-442.243</v>
      </c>
      <c r="W248" s="21" t="n">
        <v>-230.61</v>
      </c>
      <c r="X248" s="21" t="n">
        <v>-712.56</v>
      </c>
      <c r="Y248" s="21" t="n">
        <v>-209.719</v>
      </c>
      <c r="Z248" s="21" t="n">
        <v>-174.5</v>
      </c>
      <c r="AA248" s="21" t="n">
        <v>-210.096</v>
      </c>
      <c r="AB248" s="21" t="n">
        <v>-272.409</v>
      </c>
      <c r="AC248" s="21" t="n">
        <v>-866.724</v>
      </c>
      <c r="AD248" s="21" t="n">
        <v>-97.028</v>
      </c>
      <c r="AE248" s="21" t="n">
        <v>-106.044</v>
      </c>
      <c r="AF248" s="21" t="n">
        <v>-104.562</v>
      </c>
      <c r="AG248" s="21" t="n">
        <v>1886.136</v>
      </c>
      <c r="AH248" s="21" t="n">
        <v>1578.502</v>
      </c>
      <c r="AI248" s="21" t="n">
        <v>-311.433</v>
      </c>
      <c r="AJ248" s="21" t="n">
        <v>1.912</v>
      </c>
      <c r="AK248" s="21" t="n">
        <v>-282.769</v>
      </c>
      <c r="AL248" s="21" t="n">
        <v>-271.85</v>
      </c>
      <c r="AM248" s="21" t="n">
        <v>-864.14</v>
      </c>
      <c r="AN248" s="21" t="n">
        <v>-112.508</v>
      </c>
      <c r="AO248" s="21" t="n">
        <v>-194.871</v>
      </c>
      <c r="AP248" s="21" t="n">
        <v>-257.919</v>
      </c>
      <c r="AQ248" s="21" t="n">
        <v>-308.007</v>
      </c>
      <c r="AR248" s="21" t="n">
        <v>-873.305</v>
      </c>
      <c r="AS248" s="21" t="n">
        <v>-193.607</v>
      </c>
      <c r="AT248" s="21" t="n">
        <v>-116.385</v>
      </c>
      <c r="AU248" s="21" t="n">
        <v>-250.3</v>
      </c>
      <c r="AV248" s="21" t="n">
        <v>-394.915</v>
      </c>
      <c r="AW248" s="21" t="n">
        <v>-955.207</v>
      </c>
      <c r="AX248" s="21" t="n">
        <v>2.243</v>
      </c>
      <c r="AY248" s="21" t="n">
        <v>32.218</v>
      </c>
      <c r="AZ248" s="21" t="n">
        <v>-444.556</v>
      </c>
      <c r="BA248" s="21" t="n">
        <v>-469.773</v>
      </c>
      <c r="BB248" s="21" t="n">
        <v>-879.868</v>
      </c>
      <c r="BC248" s="21" t="n">
        <v>-590.084</v>
      </c>
      <c r="BD248" s="21" t="n">
        <v>-229.792</v>
      </c>
      <c r="BE248" s="21" t="n">
        <v>-258.698</v>
      </c>
      <c r="BF248" s="21" t="n">
        <v>-459.369</v>
      </c>
      <c r="BG248" s="21" t="n">
        <v>-1537.943</v>
      </c>
      <c r="BH248" s="21" t="n">
        <v>-226.199</v>
      </c>
      <c r="BI248" s="21" t="n">
        <v>-220.169</v>
      </c>
      <c r="BJ248" s="21" t="n">
        <v>-328.225</v>
      </c>
      <c r="BK248" s="21" t="n">
        <v>-398.243</v>
      </c>
      <c r="BL248" s="21" t="n">
        <v>-1172.836</v>
      </c>
      <c r="BM248" s="21" t="n">
        <v>-202.375</v>
      </c>
      <c r="BN248" s="21" t="n">
        <v>-283.435</v>
      </c>
      <c r="BO248" s="21" t="n">
        <v>-393.66</v>
      </c>
      <c r="BP248" s="21" t="n">
        <v>-374.02</v>
      </c>
      <c r="BQ248" s="21" t="n">
        <v>-1253.49</v>
      </c>
      <c r="BR248" s="21" t="n">
        <v>-592.792</v>
      </c>
      <c r="BS248" s="21" t="n">
        <v>-184.153</v>
      </c>
      <c r="BT248" s="21" t="n">
        <v>-373.636</v>
      </c>
      <c r="BU248" s="21" t="n">
        <v>-468.43</v>
      </c>
      <c r="BV248" s="21" t="n">
        <v>-1619.011</v>
      </c>
      <c r="BW248" s="21" t="n">
        <v>-424.001</v>
      </c>
      <c r="BX248" s="21" t="n">
        <v>-275.011</v>
      </c>
      <c r="BY248" s="21" t="n">
        <v>-539.961</v>
      </c>
      <c r="BZ248" s="21" t="n">
        <v>-443.099</v>
      </c>
      <c r="CA248" s="21" t="n">
        <v>-1682.072</v>
      </c>
      <c r="CB248" s="21" t="n">
        <v>-500.168</v>
      </c>
      <c r="CC248" s="54"/>
      <c r="CD248" s="54"/>
      <c r="CE248" s="54"/>
      <c r="CF248" s="22" t="n">
        <f aca="false">SUM(CF242,CF243,CF244,CF245,CF246,CF247)</f>
        <v>1415.66732</v>
      </c>
      <c r="CG248" s="22" t="n">
        <f aca="false">SUM(CG242,CG243,CG244,CG245,CG246,CG247)</f>
        <v>-2810.13340020939</v>
      </c>
      <c r="CH248" s="22" t="n">
        <f aca="false">SUM(CH242,CH243,CH244,CH245,CH246,CH247)</f>
        <v>-2407.88523199662</v>
      </c>
      <c r="CI248" s="22" t="n">
        <f aca="false">SUM(CI242,CI243,CI244,CI245,CI246,CI247)</f>
        <v>-2759.10462063964</v>
      </c>
      <c r="CJ248" s="22" t="n">
        <f aca="false">SUM(CJ242,CJ243,CJ244,CJ245,CJ246,CJ247)</f>
        <v>-3056.68340572021</v>
      </c>
      <c r="CK248" s="23"/>
    </row>
    <row r="249" customFormat="false" ht="15" hidden="false" customHeight="true" outlineLevel="0" collapsed="false">
      <c r="B249" s="29" t="s">
        <v>538</v>
      </c>
      <c r="F249" s="34" t="n">
        <v>-2.432</v>
      </c>
      <c r="G249" s="34" t="n">
        <v>-0.027</v>
      </c>
      <c r="H249" s="34" t="n">
        <v>4.57</v>
      </c>
      <c r="I249" s="34" t="n">
        <v>-3.274</v>
      </c>
      <c r="J249" s="34" t="n">
        <v>1.247</v>
      </c>
      <c r="K249" s="34" t="n">
        <v>0.337</v>
      </c>
      <c r="L249" s="34" t="n">
        <v>-0.928</v>
      </c>
      <c r="M249" s="34" t="n">
        <v>-0.717</v>
      </c>
      <c r="N249" s="34" t="n">
        <v>-0.061</v>
      </c>
      <c r="O249" s="34" t="n">
        <v>-0.225</v>
      </c>
      <c r="P249" s="34" t="n">
        <v>-0.064</v>
      </c>
      <c r="Q249" s="34" t="n">
        <v>-1.589</v>
      </c>
      <c r="R249" s="34" t="n">
        <v>1.202</v>
      </c>
      <c r="S249" s="34" t="n">
        <v>-0.676</v>
      </c>
      <c r="T249" s="34" t="n">
        <v>-0.019</v>
      </c>
      <c r="U249" s="34" t="n">
        <v>-5.594</v>
      </c>
      <c r="V249" s="34" t="n">
        <v>-1.975</v>
      </c>
      <c r="W249" s="34" t="n">
        <v>-1.33</v>
      </c>
      <c r="X249" s="34" t="n">
        <v>-8.918</v>
      </c>
      <c r="Y249" s="34" t="n">
        <v>-1.715</v>
      </c>
      <c r="Z249" s="34" t="n">
        <v>-2.659</v>
      </c>
      <c r="AA249" s="34" t="n">
        <v>-2.2</v>
      </c>
      <c r="AB249" s="34" t="n">
        <v>1.356</v>
      </c>
      <c r="AC249" s="34" t="n">
        <v>-5.218</v>
      </c>
      <c r="AD249" s="34" t="n">
        <v>-0.102</v>
      </c>
      <c r="AE249" s="34" t="n">
        <v>-2.286</v>
      </c>
      <c r="AF249" s="34" t="n">
        <v>-0.374</v>
      </c>
      <c r="AG249" s="34" t="n">
        <v>0.631</v>
      </c>
      <c r="AH249" s="34" t="n">
        <v>-2.131</v>
      </c>
      <c r="AI249" s="34" t="n">
        <v>6.593</v>
      </c>
      <c r="AJ249" s="34" t="n">
        <v>-3.127</v>
      </c>
      <c r="AK249" s="34" t="n">
        <v>1.24</v>
      </c>
      <c r="AL249" s="34" t="n">
        <v>0.43</v>
      </c>
      <c r="AM249" s="34" t="n">
        <v>5.136</v>
      </c>
      <c r="AN249" s="34" t="n">
        <v>-0.06</v>
      </c>
      <c r="AO249" s="34" t="n">
        <v>-0.733</v>
      </c>
      <c r="AP249" s="34" t="n">
        <v>0.523</v>
      </c>
      <c r="AQ249" s="34" t="n">
        <v>-0.728</v>
      </c>
      <c r="AR249" s="34" t="n">
        <v>-0.998</v>
      </c>
      <c r="AS249" s="34" t="n">
        <v>0.331</v>
      </c>
      <c r="AT249" s="34" t="n">
        <v>-0.127</v>
      </c>
      <c r="AU249" s="34" t="n">
        <v>-0.185</v>
      </c>
      <c r="AV249" s="34" t="n">
        <v>-2.14</v>
      </c>
      <c r="AW249" s="34" t="n">
        <v>-2.121</v>
      </c>
      <c r="AX249" s="34" t="n">
        <v>1.547</v>
      </c>
      <c r="AY249" s="34" t="n">
        <v>0.043</v>
      </c>
      <c r="AZ249" s="34" t="n">
        <v>0.563</v>
      </c>
      <c r="BA249" s="34" t="n">
        <v>2.428</v>
      </c>
      <c r="BB249" s="34" t="n">
        <v>4.581</v>
      </c>
      <c r="BC249" s="34" t="n">
        <v>-1.627</v>
      </c>
      <c r="BD249" s="34" t="n">
        <v>-1.154</v>
      </c>
      <c r="BE249" s="34" t="n">
        <v>1.107</v>
      </c>
      <c r="BF249" s="34" t="n">
        <v>1.458</v>
      </c>
      <c r="BG249" s="34" t="n">
        <v>-0.216</v>
      </c>
      <c r="BH249" s="34" t="n">
        <v>-1.275</v>
      </c>
      <c r="BI249" s="34" t="n">
        <v>-0.754</v>
      </c>
      <c r="BJ249" s="34" t="n">
        <v>-0.866</v>
      </c>
      <c r="BK249" s="34" t="n">
        <v>0.267</v>
      </c>
      <c r="BL249" s="34" t="n">
        <v>-2.628</v>
      </c>
      <c r="BM249" s="34" t="n">
        <v>-0.757</v>
      </c>
      <c r="BN249" s="34" t="n">
        <v>0.538</v>
      </c>
      <c r="BO249" s="34" t="n">
        <v>0.56</v>
      </c>
      <c r="BP249" s="34" t="n">
        <v>-0.135</v>
      </c>
      <c r="BQ249" s="34" t="n">
        <v>0.206</v>
      </c>
      <c r="BR249" s="34" t="n">
        <v>-0.25</v>
      </c>
      <c r="BS249" s="34" t="n">
        <v>-1.558</v>
      </c>
      <c r="BT249" s="34" t="n">
        <v>-1.982</v>
      </c>
      <c r="BU249" s="34" t="n">
        <v>2.492</v>
      </c>
      <c r="BV249" s="34" t="n">
        <v>-1.298</v>
      </c>
      <c r="BW249" s="34" t="n">
        <v>-0.083</v>
      </c>
      <c r="BX249" s="34" t="n">
        <v>-0.659</v>
      </c>
      <c r="BY249" s="34" t="n">
        <v>1.921</v>
      </c>
      <c r="BZ249" s="34" t="n">
        <v>-1.914</v>
      </c>
      <c r="CA249" s="34" t="n">
        <v>-0.735</v>
      </c>
      <c r="CB249" s="34" t="n">
        <v>-0.215</v>
      </c>
      <c r="CC249" s="43"/>
      <c r="CD249" s="43"/>
      <c r="CE249" s="43"/>
      <c r="CF249" s="35" t="n">
        <f aca="false">0</f>
        <v>0</v>
      </c>
      <c r="CG249" s="35" t="n">
        <f aca="false">0</f>
        <v>0</v>
      </c>
      <c r="CH249" s="35" t="n">
        <f aca="false">0</f>
        <v>0</v>
      </c>
      <c r="CI249" s="35" t="n">
        <f aca="false">0</f>
        <v>0</v>
      </c>
      <c r="CJ249" s="35" t="n">
        <f aca="false">0</f>
        <v>0</v>
      </c>
      <c r="CK249" s="23"/>
    </row>
    <row r="250" customFormat="false" ht="15" hidden="false" customHeight="true" outlineLevel="0" collapsed="false">
      <c r="B250" s="29" t="s">
        <v>539</v>
      </c>
      <c r="C250" s="45" t="n">
        <f aca="false">SUM(C236,C241,C248,C249)</f>
        <v>-4.28199999999997</v>
      </c>
      <c r="D250" s="45" t="n">
        <f aca="false">SUM(D236,D241,D248,D249)</f>
        <v>-3.554</v>
      </c>
      <c r="E250" s="45" t="n">
        <f aca="false">SUM(E236,E241,E248,E249)</f>
        <v>30.864</v>
      </c>
      <c r="F250" s="45" t="n">
        <f aca="false">SUM(F236,F241,F248,F249)</f>
        <v>63.521</v>
      </c>
      <c r="G250" s="45" t="n">
        <f aca="false">SUM(G236,G241,G248,G249)</f>
        <v>281.536</v>
      </c>
      <c r="H250" s="45" t="n">
        <f aca="false">SUM(H236,H241,H248,H249)</f>
        <v>26.825</v>
      </c>
      <c r="I250" s="45" t="n">
        <f aca="false">SUM(I236,I241,I248,I249)</f>
        <v>-98.281</v>
      </c>
      <c r="J250" s="45" t="n">
        <f aca="false">SUM(J236,J241,J248,J249)</f>
        <v>-20.608</v>
      </c>
      <c r="K250" s="45" t="n">
        <f aca="false">SUM(K236,K241,K248,K249)</f>
        <v>-76.73</v>
      </c>
      <c r="L250" s="45" t="n">
        <f aca="false">SUM(L236,L241,L248,L249)</f>
        <v>-25.017</v>
      </c>
      <c r="M250" s="45" t="n">
        <f aca="false">SUM(M236,M241,M248,M249)</f>
        <v>134.803</v>
      </c>
      <c r="N250" s="45" t="n">
        <f aca="false">SUM(N236,N241,N248,N249)</f>
        <v>12.4480000000001</v>
      </c>
      <c r="O250" s="45" t="n">
        <f aca="false">SUM(O236,O241,O248,O249)</f>
        <v>-73.603</v>
      </c>
      <c r="P250" s="45" t="n">
        <f aca="false">SUM(P236,P241,P248,P249)</f>
        <v>30.664</v>
      </c>
      <c r="Q250" s="45" t="n">
        <f aca="false">SUM(Q236,Q241,Q248,Q249)</f>
        <v>39.525</v>
      </c>
      <c r="R250" s="45" t="n">
        <f aca="false">SUM(R236,R241,R248,R249)</f>
        <v>164.429</v>
      </c>
      <c r="S250" s="45" t="n">
        <f aca="false">SUM(S236,S241,S248,S249)</f>
        <v>161.015</v>
      </c>
      <c r="T250" s="45" t="n">
        <f aca="false">SUM(T236,T241,T248,T249)</f>
        <v>68.165</v>
      </c>
      <c r="U250" s="45" t="n">
        <f aca="false">SUM(U236,U241,U248,U249)</f>
        <v>245.271</v>
      </c>
      <c r="V250" s="45" t="n">
        <f aca="false">SUM(V236,V241,V248,V249)</f>
        <v>-381.41</v>
      </c>
      <c r="W250" s="45" t="n">
        <f aca="false">SUM(W236,W241,W248,W249)</f>
        <v>-28.241</v>
      </c>
      <c r="X250" s="45" t="n">
        <f aca="false">SUM(X236,X241,X248,X249)</f>
        <v>-96.215</v>
      </c>
      <c r="Y250" s="45" t="n">
        <f aca="false">SUM(Y236,Y241,Y248,Y249)</f>
        <v>-270.213</v>
      </c>
      <c r="Z250" s="45" t="n">
        <f aca="false">SUM(Z236,Z241,Z248,Z249)</f>
        <v>459.925</v>
      </c>
      <c r="AA250" s="45" t="n">
        <f aca="false">SUM(AA236,AA241,AA248,AA249)</f>
        <v>-291.669</v>
      </c>
      <c r="AB250" s="45" t="n">
        <f aca="false">SUM(AB236,AB241,AB248,AB249)</f>
        <v>-175.759</v>
      </c>
      <c r="AC250" s="45" t="n">
        <f aca="false">SUM(AC236,AC241,AC248,AC249)</f>
        <v>-277.716</v>
      </c>
      <c r="AD250" s="45" t="n">
        <f aca="false">SUM(AD236,AD241,AD248,AD249)</f>
        <v>-40.148</v>
      </c>
      <c r="AE250" s="45" t="n">
        <f aca="false">SUM(AE236,AE241,AE248,AE249)</f>
        <v>44.364</v>
      </c>
      <c r="AF250" s="45" t="n">
        <f aca="false">SUM(AF236,AF241,AF248,AF249)</f>
        <v>3.671</v>
      </c>
      <c r="AG250" s="45" t="n">
        <f aca="false">SUM(AG236,AG241,AG248,AG249)</f>
        <v>22.0220000000002</v>
      </c>
      <c r="AH250" s="45" t="n">
        <f aca="false">SUM(AH236,AH241,AH248,AH249)</f>
        <v>29.9089999999997</v>
      </c>
      <c r="AI250" s="45" t="n">
        <f aca="false">SUM(AI236,AI241,AI248,AI249)</f>
        <v>22.148</v>
      </c>
      <c r="AJ250" s="45" t="n">
        <f aca="false">SUM(AJ236,AJ241,AJ248,AJ249)</f>
        <v>44.588</v>
      </c>
      <c r="AK250" s="45" t="n">
        <f aca="false">SUM(AK236,AK241,AK248,AK249)</f>
        <v>-83.439</v>
      </c>
      <c r="AL250" s="45" t="n">
        <f aca="false">SUM(AL236,AL241,AL248,AL249)</f>
        <v>-13.839</v>
      </c>
      <c r="AM250" s="45" t="n">
        <f aca="false">SUM(AM236,AM241,AM248,AM249)</f>
        <v>-30.542</v>
      </c>
      <c r="AN250" s="45" t="n">
        <f aca="false">SUM(AN236,AN241,AN248,AN249)</f>
        <v>-20.368</v>
      </c>
      <c r="AO250" s="45" t="n">
        <f aca="false">SUM(AO236,AO241,AO248,AO249)</f>
        <v>-29.877</v>
      </c>
      <c r="AP250" s="45" t="n">
        <f aca="false">SUM(AP236,AP241,AP248,AP249)</f>
        <v>-7.62</v>
      </c>
      <c r="AQ250" s="45" t="n">
        <f aca="false">SUM(AQ236,AQ241,AQ248,AQ249)</f>
        <v>15.786</v>
      </c>
      <c r="AR250" s="45" t="n">
        <f aca="false">SUM(AR236,AR241,AR248,AR249)</f>
        <v>-42.0789999999999</v>
      </c>
      <c r="AS250" s="45" t="n">
        <f aca="false">SUM(AS236,AS241,AS248,AS249)</f>
        <v>5.48600000000002</v>
      </c>
      <c r="AT250" s="45" t="n">
        <f aca="false">SUM(AT236,AT241,AT248,AT249)</f>
        <v>124.404</v>
      </c>
      <c r="AU250" s="45" t="n">
        <f aca="false">SUM(AU236,AU241,AU248,AU249)</f>
        <v>7.90599999999997</v>
      </c>
      <c r="AV250" s="45" t="n">
        <f aca="false">SUM(AV236,AV241,AV248,AV249)</f>
        <v>-89.039</v>
      </c>
      <c r="AW250" s="45" t="n">
        <f aca="false">SUM(AW236,AW241,AW248,AW249)</f>
        <v>48.7569999999999</v>
      </c>
      <c r="AX250" s="45" t="n">
        <f aca="false">SUM(AX236,AX241,AX248,AX249)</f>
        <v>276.14</v>
      </c>
      <c r="AY250" s="45" t="n">
        <f aca="false">SUM(AY236,AY241,AY248,AY249)</f>
        <v>281.633</v>
      </c>
      <c r="AZ250" s="45" t="n">
        <f aca="false">SUM(AZ236,AZ241,AZ248,AZ249)</f>
        <v>-149.564</v>
      </c>
      <c r="BA250" s="45" t="n">
        <f aca="false">SUM(BA236,BA241,BA248,BA249)</f>
        <v>-59.971</v>
      </c>
      <c r="BB250" s="45" t="n">
        <f aca="false">SUM(BB236,BB241,BB248,BB249)</f>
        <v>348.238</v>
      </c>
      <c r="BC250" s="45" t="n">
        <f aca="false">SUM(BC236,BC241,BC248,BC249)</f>
        <v>-413.891</v>
      </c>
      <c r="BD250" s="45" t="n">
        <f aca="false">SUM(BD236,BD241,BD248,BD249)</f>
        <v>33.421</v>
      </c>
      <c r="BE250" s="45" t="n">
        <f aca="false">SUM(BE236,BE241,BE248,BE249)</f>
        <v>-29.034</v>
      </c>
      <c r="BF250" s="45" t="n">
        <f aca="false">SUM(BF236,BF241,BF248,BF249)</f>
        <v>6.33500000000002</v>
      </c>
      <c r="BG250" s="45" t="n">
        <f aca="false">SUM(BG236,BG241,BG248,BG249)</f>
        <v>-403.169</v>
      </c>
      <c r="BH250" s="45" t="n">
        <f aca="false">SUM(BH236,BH241,BH248,BH249)</f>
        <v>-15.913</v>
      </c>
      <c r="BI250" s="45" t="n">
        <f aca="false">SUM(BI236,BI241,BI248,BI249)</f>
        <v>15.241</v>
      </c>
      <c r="BJ250" s="45" t="n">
        <f aca="false">SUM(BJ236,BJ241,BJ248,BJ249)</f>
        <v>-1.23600000000005</v>
      </c>
      <c r="BK250" s="45" t="n">
        <f aca="false">SUM(BK236,BK241,BK248,BK249)</f>
        <v>35.5860000000001</v>
      </c>
      <c r="BL250" s="45" t="n">
        <f aca="false">SUM(BL236,BL241,BL248,BL249)</f>
        <v>33.678</v>
      </c>
      <c r="BM250" s="45" t="n">
        <f aca="false">SUM(BM236,BM241,BM248,BM249)</f>
        <v>-36.023</v>
      </c>
      <c r="BN250" s="45" t="n">
        <f aca="false">SUM(BN236,BN241,BN248,BN249)</f>
        <v>-2.57000000000002</v>
      </c>
      <c r="BO250" s="45" t="n">
        <f aca="false">SUM(BO236,BO241,BO248,BO249)</f>
        <v>42.927</v>
      </c>
      <c r="BP250" s="45" t="n">
        <f aca="false">SUM(BP236,BP241,BP248,BP249)</f>
        <v>213.532</v>
      </c>
      <c r="BQ250" s="45" t="n">
        <f aca="false">SUM(BQ236,BQ241,BQ248,BQ249)</f>
        <v>217.866</v>
      </c>
      <c r="BR250" s="45" t="n">
        <f aca="false">SUM(BR236,BR241,BR248,BR249)</f>
        <v>-240.642</v>
      </c>
      <c r="BS250" s="45" t="n">
        <f aca="false">SUM(BS236,BS241,BS248,BS249)</f>
        <v>21.022</v>
      </c>
      <c r="BT250" s="45" t="n">
        <f aca="false">SUM(BT236,BT241,BT248,BT249)</f>
        <v>121.033</v>
      </c>
      <c r="BU250" s="45" t="n">
        <f aca="false">SUM(BU236,BU241,BU248,BU249)</f>
        <v>20.545</v>
      </c>
      <c r="BV250" s="45" t="n">
        <f aca="false">SUM(BV236,BV241,BV248,BV249)</f>
        <v>-78.0419999999998</v>
      </c>
      <c r="BW250" s="45" t="n">
        <f aca="false">SUM(BW236,BW241,BW248,BW249)</f>
        <v>-125.83</v>
      </c>
      <c r="BX250" s="45" t="n">
        <f aca="false">SUM(BX236,BX241,BX248,BX249)</f>
        <v>62.6989999999999</v>
      </c>
      <c r="BY250" s="45" t="n">
        <f aca="false">SUM(BY236,BY241,BY248,BY249)</f>
        <v>-17.638</v>
      </c>
      <c r="BZ250" s="45" t="n">
        <f aca="false">SUM(BZ236,BZ241,BZ248,BZ249)</f>
        <v>105.814</v>
      </c>
      <c r="CA250" s="45" t="n">
        <f aca="false">SUM(CA236,CA241,CA248,CA249)</f>
        <v>25.0450000000003</v>
      </c>
      <c r="CB250" s="45" t="n">
        <f aca="false">SUM(CB236,CB241,CB248,CB249)</f>
        <v>-45.419</v>
      </c>
      <c r="CC250" s="43"/>
      <c r="CD250" s="43"/>
      <c r="CE250" s="43"/>
      <c r="CF250" s="35" t="n">
        <f aca="false">SUM(CF236,CF241,CF248,CF249)</f>
        <v>673.404444731293</v>
      </c>
      <c r="CG250" s="35" t="n">
        <f aca="false">SUM(CG236,CG241,CG248,CG249)</f>
        <v>-712.422444731293</v>
      </c>
      <c r="CH250" s="35" t="n">
        <f aca="false">SUM(CH236,CH241,CH248,CH249)</f>
        <v>0</v>
      </c>
      <c r="CI250" s="35" t="n">
        <f aca="false">SUM(CI236,CI241,CI248,CI249)</f>
        <v>0</v>
      </c>
      <c r="CJ250" s="35" t="n">
        <f aca="false">SUM(CJ236,CJ241,CJ248,CJ249)</f>
        <v>0</v>
      </c>
      <c r="CK250" s="23"/>
    </row>
    <row r="251" customFormat="false" ht="15" hidden="false" customHeight="true" outlineLevel="0" collapsed="false">
      <c r="B251" s="29" t="s">
        <v>540</v>
      </c>
      <c r="C251" s="34" t="n">
        <v>43.196</v>
      </c>
      <c r="D251" s="34" t="n">
        <v>38.914</v>
      </c>
      <c r="E251" s="34" t="n">
        <v>35.36</v>
      </c>
      <c r="F251" s="34" t="n">
        <v>66.224</v>
      </c>
      <c r="G251" s="34" t="n">
        <v>129.745</v>
      </c>
      <c r="H251" s="34" t="n">
        <v>411.281</v>
      </c>
      <c r="I251" s="34" t="n">
        <v>438.106</v>
      </c>
      <c r="J251" s="34" t="n">
        <v>339.825</v>
      </c>
      <c r="K251" s="34" t="n">
        <v>319.217</v>
      </c>
      <c r="L251" s="34" t="n">
        <v>242.487</v>
      </c>
      <c r="M251" s="34" t="n">
        <v>217.47</v>
      </c>
      <c r="N251" s="34" t="n">
        <v>339.825</v>
      </c>
      <c r="O251" s="34" t="n">
        <v>352.273</v>
      </c>
      <c r="P251" s="34" t="n">
        <v>278.67</v>
      </c>
      <c r="Q251" s="34" t="n">
        <v>309.334</v>
      </c>
      <c r="R251" s="34" t="n">
        <v>348.859</v>
      </c>
      <c r="S251" s="34" t="n">
        <v>352.273</v>
      </c>
      <c r="T251" s="34" t="n">
        <v>513.288</v>
      </c>
      <c r="U251" s="34" t="n">
        <v>581.453</v>
      </c>
      <c r="V251" s="34" t="n">
        <v>826.724</v>
      </c>
      <c r="W251" s="34" t="n">
        <v>445.314</v>
      </c>
      <c r="X251" s="34" t="n">
        <v>513.288</v>
      </c>
      <c r="Y251" s="34" t="n">
        <v>417.073</v>
      </c>
      <c r="Z251" s="34" t="n">
        <v>146.86</v>
      </c>
      <c r="AA251" s="34" t="n">
        <v>606.785</v>
      </c>
      <c r="AB251" s="34" t="n">
        <v>315.116</v>
      </c>
      <c r="AC251" s="34" t="n">
        <v>417.073</v>
      </c>
      <c r="AD251" s="34" t="n">
        <v>139.357</v>
      </c>
      <c r="AE251" s="34" t="n">
        <v>99.209</v>
      </c>
      <c r="AF251" s="34" t="n">
        <v>143.573</v>
      </c>
      <c r="AG251" s="34" t="n">
        <v>147.244</v>
      </c>
      <c r="AH251" s="34" t="n">
        <v>139.357</v>
      </c>
      <c r="AI251" s="34" t="n">
        <v>169.266</v>
      </c>
      <c r="AJ251" s="34" t="n">
        <v>191.414</v>
      </c>
      <c r="AK251" s="34" t="n">
        <v>236.002</v>
      </c>
      <c r="AL251" s="34" t="n">
        <v>152.563</v>
      </c>
      <c r="AM251" s="34" t="n">
        <v>169.266</v>
      </c>
      <c r="AN251" s="34" t="n">
        <v>138.724</v>
      </c>
      <c r="AO251" s="34" t="n">
        <v>118.356</v>
      </c>
      <c r="AP251" s="34" t="n">
        <v>88.479</v>
      </c>
      <c r="AQ251" s="34" t="n">
        <v>80.859</v>
      </c>
      <c r="AR251" s="34" t="n">
        <v>138.724</v>
      </c>
      <c r="AS251" s="34" t="n">
        <v>96.645</v>
      </c>
      <c r="AT251" s="34" t="n">
        <v>102.131</v>
      </c>
      <c r="AU251" s="34" t="n">
        <v>226.535</v>
      </c>
      <c r="AV251" s="34" t="n">
        <v>234.441</v>
      </c>
      <c r="AW251" s="34" t="n">
        <v>96.645</v>
      </c>
      <c r="AX251" s="34" t="n">
        <v>145.402</v>
      </c>
      <c r="AY251" s="34" t="n">
        <v>421.542</v>
      </c>
      <c r="AZ251" s="34" t="n">
        <v>703.175</v>
      </c>
      <c r="BA251" s="34" t="n">
        <v>553.611</v>
      </c>
      <c r="BB251" s="34" t="n">
        <v>145.402</v>
      </c>
      <c r="BC251" s="34" t="n">
        <v>493.64</v>
      </c>
      <c r="BD251" s="34" t="n">
        <v>79.749</v>
      </c>
      <c r="BE251" s="34" t="n">
        <v>113.17</v>
      </c>
      <c r="BF251" s="34" t="n">
        <v>84.136</v>
      </c>
      <c r="BG251" s="34" t="n">
        <v>493.64</v>
      </c>
      <c r="BH251" s="34" t="n">
        <v>90.471</v>
      </c>
      <c r="BI251" s="34" t="n">
        <v>74.558</v>
      </c>
      <c r="BJ251" s="34" t="n">
        <v>89.799</v>
      </c>
      <c r="BK251" s="34" t="n">
        <v>88.563</v>
      </c>
      <c r="BL251" s="34" t="n">
        <v>90.471</v>
      </c>
      <c r="BM251" s="34" t="n">
        <v>124.149</v>
      </c>
      <c r="BN251" s="34" t="n">
        <v>88.126</v>
      </c>
      <c r="BO251" s="34" t="n">
        <v>85.556</v>
      </c>
      <c r="BP251" s="34" t="n">
        <v>128.483</v>
      </c>
      <c r="BQ251" s="34" t="n">
        <v>124.149</v>
      </c>
      <c r="BR251" s="34" t="n">
        <v>342.015</v>
      </c>
      <c r="BS251" s="34" t="n">
        <v>101.373</v>
      </c>
      <c r="BT251" s="34" t="n">
        <v>122.395</v>
      </c>
      <c r="BU251" s="34" t="n">
        <v>243.428</v>
      </c>
      <c r="BV251" s="34" t="n">
        <v>342.015</v>
      </c>
      <c r="BW251" s="34" t="n">
        <v>263.973</v>
      </c>
      <c r="BX251" s="34" t="n">
        <v>138.143</v>
      </c>
      <c r="BY251" s="34" t="n">
        <v>200.842</v>
      </c>
      <c r="BZ251" s="34" t="n">
        <v>183.204</v>
      </c>
      <c r="CA251" s="34" t="n">
        <v>263.973</v>
      </c>
      <c r="CB251" s="34" t="n">
        <v>289.018</v>
      </c>
      <c r="CC251" s="43"/>
      <c r="CD251" s="43"/>
      <c r="CE251" s="43"/>
      <c r="CF251" s="35" t="n">
        <f aca="false">CA279</f>
        <v>289.018</v>
      </c>
      <c r="CG251" s="35" t="n">
        <f aca="false">CF252</f>
        <v>962.422444731293</v>
      </c>
      <c r="CH251" s="35" t="n">
        <f aca="false">CG252</f>
        <v>250</v>
      </c>
      <c r="CI251" s="35" t="n">
        <f aca="false">CH252</f>
        <v>250</v>
      </c>
      <c r="CJ251" s="35" t="n">
        <f aca="false">CI252</f>
        <v>250</v>
      </c>
      <c r="CK251" s="23"/>
    </row>
    <row r="252" customFormat="false" ht="15" hidden="false" customHeight="true" outlineLevel="0" collapsed="false">
      <c r="B252" s="20" t="s">
        <v>541</v>
      </c>
      <c r="C252" s="21" t="n">
        <v>38.914</v>
      </c>
      <c r="D252" s="21" t="n">
        <v>35.36</v>
      </c>
      <c r="E252" s="21" t="n">
        <v>66.224</v>
      </c>
      <c r="F252" s="21" t="n">
        <v>129.745</v>
      </c>
      <c r="G252" s="21" t="n">
        <v>411.281</v>
      </c>
      <c r="H252" s="21" t="n">
        <v>438.106</v>
      </c>
      <c r="I252" s="21" t="n">
        <v>339.825</v>
      </c>
      <c r="J252" s="21" t="n">
        <v>319.217</v>
      </c>
      <c r="K252" s="21" t="n">
        <v>242.487</v>
      </c>
      <c r="L252" s="21" t="n">
        <v>217.47</v>
      </c>
      <c r="M252" s="21" t="n">
        <v>352.273</v>
      </c>
      <c r="N252" s="21" t="n">
        <v>352.273</v>
      </c>
      <c r="O252" s="21" t="n">
        <v>278.67</v>
      </c>
      <c r="P252" s="21" t="n">
        <v>309.334</v>
      </c>
      <c r="Q252" s="21" t="n">
        <v>348.859</v>
      </c>
      <c r="R252" s="21" t="n">
        <v>513.288</v>
      </c>
      <c r="S252" s="21" t="n">
        <v>513.288</v>
      </c>
      <c r="T252" s="21" t="n">
        <v>581.453</v>
      </c>
      <c r="U252" s="21" t="n">
        <v>826.724</v>
      </c>
      <c r="V252" s="21" t="n">
        <v>445.314</v>
      </c>
      <c r="W252" s="21" t="n">
        <v>417.073</v>
      </c>
      <c r="X252" s="21" t="n">
        <v>417.073</v>
      </c>
      <c r="Y252" s="21" t="n">
        <v>146.86</v>
      </c>
      <c r="Z252" s="21" t="n">
        <v>606.785</v>
      </c>
      <c r="AA252" s="21" t="n">
        <v>315.116</v>
      </c>
      <c r="AB252" s="21" t="n">
        <v>139.357</v>
      </c>
      <c r="AC252" s="21" t="n">
        <v>139.357</v>
      </c>
      <c r="AD252" s="21" t="n">
        <v>99.209</v>
      </c>
      <c r="AE252" s="21" t="n">
        <v>143.573</v>
      </c>
      <c r="AF252" s="21" t="n">
        <v>147.244</v>
      </c>
      <c r="AG252" s="21" t="n">
        <v>169.266</v>
      </c>
      <c r="AH252" s="21" t="n">
        <v>169.266</v>
      </c>
      <c r="AI252" s="21" t="n">
        <v>191.414</v>
      </c>
      <c r="AJ252" s="21" t="n">
        <v>236.002</v>
      </c>
      <c r="AK252" s="21" t="n">
        <v>152.563</v>
      </c>
      <c r="AL252" s="21" t="n">
        <v>138.724</v>
      </c>
      <c r="AM252" s="21" t="n">
        <v>138.724</v>
      </c>
      <c r="AN252" s="21" t="n">
        <v>118.356</v>
      </c>
      <c r="AO252" s="21" t="n">
        <v>88.479</v>
      </c>
      <c r="AP252" s="21" t="n">
        <v>80.859</v>
      </c>
      <c r="AQ252" s="21" t="n">
        <v>96.645</v>
      </c>
      <c r="AR252" s="21" t="n">
        <v>96.645</v>
      </c>
      <c r="AS252" s="21" t="n">
        <v>102.131</v>
      </c>
      <c r="AT252" s="21" t="n">
        <v>226.535</v>
      </c>
      <c r="AU252" s="21" t="n">
        <v>234.441</v>
      </c>
      <c r="AV252" s="21" t="n">
        <v>145.402</v>
      </c>
      <c r="AW252" s="21" t="n">
        <v>145.402</v>
      </c>
      <c r="AX252" s="21" t="n">
        <v>421.542</v>
      </c>
      <c r="AY252" s="21" t="n">
        <v>703.175</v>
      </c>
      <c r="AZ252" s="21" t="n">
        <v>553.611</v>
      </c>
      <c r="BA252" s="21" t="n">
        <v>493.64</v>
      </c>
      <c r="BB252" s="21" t="n">
        <v>493.64</v>
      </c>
      <c r="BC252" s="21" t="n">
        <v>79.749</v>
      </c>
      <c r="BD252" s="21" t="n">
        <v>113.17</v>
      </c>
      <c r="BE252" s="21" t="n">
        <v>84.136</v>
      </c>
      <c r="BF252" s="21" t="n">
        <v>90.471</v>
      </c>
      <c r="BG252" s="21" t="n">
        <v>90.471</v>
      </c>
      <c r="BH252" s="21" t="n">
        <v>74.558</v>
      </c>
      <c r="BI252" s="21" t="n">
        <v>89.799</v>
      </c>
      <c r="BJ252" s="21" t="n">
        <v>88.563</v>
      </c>
      <c r="BK252" s="21" t="n">
        <v>124.149</v>
      </c>
      <c r="BL252" s="21" t="n">
        <v>124.149</v>
      </c>
      <c r="BM252" s="21" t="n">
        <v>88.126</v>
      </c>
      <c r="BN252" s="21" t="n">
        <v>85.556</v>
      </c>
      <c r="BO252" s="21" t="n">
        <v>128.483</v>
      </c>
      <c r="BP252" s="21" t="n">
        <v>342.015</v>
      </c>
      <c r="BQ252" s="21" t="n">
        <v>342.015</v>
      </c>
      <c r="BR252" s="21" t="n">
        <v>101.373</v>
      </c>
      <c r="BS252" s="21" t="n">
        <v>122.395</v>
      </c>
      <c r="BT252" s="21" t="n">
        <v>243.428</v>
      </c>
      <c r="BU252" s="21" t="n">
        <v>263.973</v>
      </c>
      <c r="BV252" s="21" t="n">
        <v>263.973</v>
      </c>
      <c r="BW252" s="21" t="n">
        <v>138.143</v>
      </c>
      <c r="BX252" s="21" t="n">
        <v>200.842</v>
      </c>
      <c r="BY252" s="21" t="n">
        <v>183.204</v>
      </c>
      <c r="BZ252" s="21" t="n">
        <v>289.018</v>
      </c>
      <c r="CA252" s="21" t="n">
        <v>289.018</v>
      </c>
      <c r="CB252" s="21" t="n">
        <v>243.599</v>
      </c>
      <c r="CC252" s="54"/>
      <c r="CD252" s="54"/>
      <c r="CE252" s="54"/>
      <c r="CF252" s="22" t="n">
        <f aca="false">CF251+CF250</f>
        <v>962.422444731293</v>
      </c>
      <c r="CG252" s="22" t="n">
        <f aca="false">CG251+CG250</f>
        <v>250</v>
      </c>
      <c r="CH252" s="22" t="n">
        <f aca="false">CH251+CH250</f>
        <v>250</v>
      </c>
      <c r="CI252" s="22" t="n">
        <f aca="false">CI251+CI250</f>
        <v>250</v>
      </c>
      <c r="CJ252" s="22" t="n">
        <f aca="false">CJ251+CJ250</f>
        <v>250</v>
      </c>
      <c r="CK252" s="23"/>
    </row>
    <row r="253" customFormat="false" ht="15" hidden="false" customHeight="true" outlineLevel="0" collapsed="false">
      <c r="B253" s="57" t="s">
        <v>542</v>
      </c>
      <c r="C253" s="45" t="n">
        <f aca="false">ROUND(C251+C250-C252,1)</f>
        <v>0</v>
      </c>
      <c r="D253" s="45" t="n">
        <f aca="false">ROUND(D251+D250-D252,1)</f>
        <v>0</v>
      </c>
      <c r="E253" s="45" t="n">
        <f aca="false">ROUND(E251+E250-E252,1)</f>
        <v>0</v>
      </c>
      <c r="F253" s="45" t="n">
        <f aca="false">ROUND(F251+F250-F252,1)</f>
        <v>0</v>
      </c>
      <c r="G253" s="45" t="n">
        <f aca="false">ROUND(G251+G250-G252,1)</f>
        <v>0</v>
      </c>
      <c r="H253" s="45" t="n">
        <f aca="false">ROUND(H251+H250-H252,1)</f>
        <v>0</v>
      </c>
      <c r="I253" s="45" t="n">
        <f aca="false">ROUND(I251+I250-I252,1)</f>
        <v>0</v>
      </c>
      <c r="J253" s="45" t="n">
        <f aca="false">ROUND(J251+J250-J252,1)</f>
        <v>0</v>
      </c>
      <c r="K253" s="45" t="n">
        <f aca="false">ROUND(K251+K250-K252,1)</f>
        <v>0</v>
      </c>
      <c r="L253" s="45" t="n">
        <f aca="false">ROUND(L251+L250-L252,1)</f>
        <v>0</v>
      </c>
      <c r="M253" s="45" t="n">
        <f aca="false">ROUND(M251+M250-M252,1)</f>
        <v>0</v>
      </c>
      <c r="N253" s="45" t="n">
        <f aca="false">ROUND(N251+N250-N252,1)</f>
        <v>0</v>
      </c>
      <c r="O253" s="45" t="n">
        <f aca="false">ROUND(O251+O250-O252,1)</f>
        <v>0</v>
      </c>
      <c r="P253" s="45" t="n">
        <f aca="false">ROUND(P251+P250-P252,1)</f>
        <v>0</v>
      </c>
      <c r="Q253" s="45" t="n">
        <f aca="false">ROUND(Q251+Q250-Q252,1)</f>
        <v>0</v>
      </c>
      <c r="R253" s="45" t="n">
        <f aca="false">ROUND(R251+R250-R252,1)</f>
        <v>0</v>
      </c>
      <c r="S253" s="45" t="n">
        <f aca="false">ROUND(S251+S250-S252,1)</f>
        <v>0</v>
      </c>
      <c r="T253" s="45" t="n">
        <f aca="false">ROUND(T251+T250-T252,1)</f>
        <v>0</v>
      </c>
      <c r="U253" s="45" t="n">
        <f aca="false">ROUND(U251+U250-U252,1)</f>
        <v>0</v>
      </c>
      <c r="V253" s="45" t="n">
        <f aca="false">ROUND(V251+V250-V252,1)</f>
        <v>0</v>
      </c>
      <c r="W253" s="45" t="n">
        <f aca="false">ROUND(W251+W250-W252,1)</f>
        <v>0</v>
      </c>
      <c r="X253" s="45" t="n">
        <f aca="false">ROUND(X251+X250-X252,1)</f>
        <v>0</v>
      </c>
      <c r="Y253" s="45" t="n">
        <f aca="false">ROUND(Y251+Y250-Y252,1)</f>
        <v>0</v>
      </c>
      <c r="Z253" s="45" t="n">
        <f aca="false">ROUND(Z251+Z250-Z252,1)</f>
        <v>0</v>
      </c>
      <c r="AA253" s="45" t="n">
        <f aca="false">ROUND(AA251+AA250-AA252,1)</f>
        <v>0</v>
      </c>
      <c r="AB253" s="45" t="n">
        <f aca="false">ROUND(AB251+AB250-AB252,1)</f>
        <v>0</v>
      </c>
      <c r="AC253" s="45" t="n">
        <f aca="false">ROUND(AC251+AC250-AC252,1)</f>
        <v>0</v>
      </c>
      <c r="AD253" s="45" t="n">
        <f aca="false">ROUND(AD251+AD250-AD252,1)</f>
        <v>0</v>
      </c>
      <c r="AE253" s="45" t="n">
        <f aca="false">ROUND(AE251+AE250-AE252,1)</f>
        <v>0</v>
      </c>
      <c r="AF253" s="45" t="n">
        <f aca="false">ROUND(AF251+AF250-AF252,1)</f>
        <v>0</v>
      </c>
      <c r="AG253" s="45" t="n">
        <f aca="false">ROUND(AG251+AG250-AG252,1)</f>
        <v>0</v>
      </c>
      <c r="AH253" s="45" t="n">
        <f aca="false">ROUND(AH251+AH250-AH252,1)</f>
        <v>0</v>
      </c>
      <c r="AI253" s="45" t="n">
        <f aca="false">ROUND(AI251+AI250-AI252,1)</f>
        <v>0</v>
      </c>
      <c r="AJ253" s="45" t="n">
        <f aca="false">ROUND(AJ251+AJ250-AJ252,1)</f>
        <v>0</v>
      </c>
      <c r="AK253" s="45" t="n">
        <f aca="false">ROUND(AK251+AK250-AK252,1)</f>
        <v>0</v>
      </c>
      <c r="AL253" s="45" t="n">
        <f aca="false">ROUND(AL251+AL250-AL252,1)</f>
        <v>0</v>
      </c>
      <c r="AM253" s="45" t="n">
        <f aca="false">ROUND(AM251+AM250-AM252,1)</f>
        <v>0</v>
      </c>
      <c r="AN253" s="45" t="n">
        <f aca="false">ROUND(AN251+AN250-AN252,1)</f>
        <v>0</v>
      </c>
      <c r="AO253" s="45" t="n">
        <f aca="false">ROUND(AO251+AO250-AO252,1)</f>
        <v>0</v>
      </c>
      <c r="AP253" s="45" t="n">
        <f aca="false">ROUND(AP251+AP250-AP252,1)</f>
        <v>0</v>
      </c>
      <c r="AQ253" s="45" t="n">
        <f aca="false">ROUND(AQ251+AQ250-AQ252,1)</f>
        <v>0</v>
      </c>
      <c r="AR253" s="45" t="n">
        <f aca="false">ROUND(AR251+AR250-AR252,1)</f>
        <v>0</v>
      </c>
      <c r="AS253" s="45" t="n">
        <f aca="false">ROUND(AS251+AS250-AS252,1)</f>
        <v>0</v>
      </c>
      <c r="AT253" s="45" t="n">
        <f aca="false">ROUND(AT251+AT250-AT252,1)</f>
        <v>0</v>
      </c>
      <c r="AU253" s="45" t="n">
        <f aca="false">ROUND(AU251+AU250-AU252,1)</f>
        <v>0</v>
      </c>
      <c r="AV253" s="45" t="n">
        <f aca="false">ROUND(AV251+AV250-AV252,1)</f>
        <v>0</v>
      </c>
      <c r="AW253" s="45" t="n">
        <f aca="false">ROUND(AW251+AW250-AW252,1)</f>
        <v>0</v>
      </c>
      <c r="AX253" s="45" t="n">
        <f aca="false">ROUND(AX251+AX250-AX252,1)</f>
        <v>0</v>
      </c>
      <c r="AY253" s="45" t="n">
        <f aca="false">ROUND(AY251+AY250-AY252,1)</f>
        <v>0</v>
      </c>
      <c r="AZ253" s="45" t="n">
        <f aca="false">ROUND(AZ251+AZ250-AZ252,1)</f>
        <v>0</v>
      </c>
      <c r="BA253" s="45" t="n">
        <f aca="false">ROUND(BA251+BA250-BA252,1)</f>
        <v>0</v>
      </c>
      <c r="BB253" s="45" t="n">
        <f aca="false">ROUND(BB251+BB250-BB252,1)</f>
        <v>0</v>
      </c>
      <c r="BC253" s="45" t="n">
        <f aca="false">ROUND(BC251+BC250-BC252,1)</f>
        <v>0</v>
      </c>
      <c r="BD253" s="45" t="n">
        <f aca="false">ROUND(BD251+BD250-BD252,1)</f>
        <v>0</v>
      </c>
      <c r="BE253" s="45" t="n">
        <f aca="false">ROUND(BE251+BE250-BE252,1)</f>
        <v>0</v>
      </c>
      <c r="BF253" s="45" t="n">
        <f aca="false">ROUND(BF251+BF250-BF252,1)</f>
        <v>0</v>
      </c>
      <c r="BG253" s="45" t="n">
        <f aca="false">ROUND(BG251+BG250-BG252,1)</f>
        <v>0</v>
      </c>
      <c r="BH253" s="45" t="n">
        <f aca="false">ROUND(BH251+BH250-BH252,1)</f>
        <v>0</v>
      </c>
      <c r="BI253" s="45" t="n">
        <f aca="false">ROUND(BI251+BI250-BI252,1)</f>
        <v>0</v>
      </c>
      <c r="BJ253" s="45" t="n">
        <f aca="false">ROUND(BJ251+BJ250-BJ252,1)</f>
        <v>0</v>
      </c>
      <c r="BK253" s="45" t="n">
        <f aca="false">ROUND(BK251+BK250-BK252,1)</f>
        <v>0</v>
      </c>
      <c r="BL253" s="45" t="n">
        <f aca="false">ROUND(BL251+BL250-BL252,1)</f>
        <v>0</v>
      </c>
      <c r="BM253" s="45" t="n">
        <f aca="false">ROUND(BM251+BM250-BM252,1)</f>
        <v>0</v>
      </c>
      <c r="BN253" s="45" t="n">
        <f aca="false">ROUND(BN251+BN250-BN252,1)</f>
        <v>0</v>
      </c>
      <c r="BO253" s="45" t="n">
        <f aca="false">ROUND(BO251+BO250-BO252,1)</f>
        <v>0</v>
      </c>
      <c r="BP253" s="45" t="n">
        <f aca="false">ROUND(BP251+BP250-BP252,1)</f>
        <v>0</v>
      </c>
      <c r="BQ253" s="45" t="n">
        <f aca="false">ROUND(BQ251+BQ250-BQ252,1)</f>
        <v>0</v>
      </c>
      <c r="BR253" s="45" t="n">
        <f aca="false">ROUND(BR251+BR250-BR252,1)</f>
        <v>0</v>
      </c>
      <c r="BS253" s="45" t="n">
        <f aca="false">ROUND(BS251+BS250-BS252,1)</f>
        <v>0</v>
      </c>
      <c r="BT253" s="45" t="n">
        <f aca="false">ROUND(BT251+BT250-BT252,1)</f>
        <v>0</v>
      </c>
      <c r="BU253" s="45" t="n">
        <f aca="false">ROUND(BU251+BU250-BU252,1)</f>
        <v>0</v>
      </c>
      <c r="BV253" s="45" t="n">
        <f aca="false">ROUND(BV251+BV250-BV252,1)</f>
        <v>0</v>
      </c>
      <c r="BW253" s="45" t="n">
        <f aca="false">ROUND(BW251+BW250-BW252,1)</f>
        <v>0</v>
      </c>
      <c r="BX253" s="45" t="n">
        <f aca="false">ROUND(BX251+BX250-BX252,1)</f>
        <v>0</v>
      </c>
      <c r="BY253" s="45" t="n">
        <f aca="false">ROUND(BY251+BY250-BY252,1)</f>
        <v>0</v>
      </c>
      <c r="BZ253" s="45" t="n">
        <f aca="false">ROUND(BZ251+BZ250-BZ252,1)</f>
        <v>0</v>
      </c>
      <c r="CA253" s="45" t="n">
        <f aca="false">ROUND(CA251+CA250-CA252,1)</f>
        <v>0</v>
      </c>
      <c r="CB253" s="45" t="n">
        <f aca="false">ROUND(CB251+CB250-CB252,1)</f>
        <v>0</v>
      </c>
      <c r="CC253" s="58"/>
      <c r="CD253" s="58"/>
      <c r="CE253" s="58"/>
      <c r="CF253" s="35" t="n">
        <f aca="false">ROUND(CF251+CF250-CF252,1)</f>
        <v>0</v>
      </c>
      <c r="CG253" s="35" t="n">
        <f aca="false">ROUND(CG251+CG250-CG252,1)</f>
        <v>0</v>
      </c>
      <c r="CH253" s="35" t="n">
        <f aca="false">ROUND(CH251+CH250-CH252,1)</f>
        <v>0</v>
      </c>
      <c r="CI253" s="35" t="n">
        <f aca="false">ROUND(CI251+CI250-CI252,1)</f>
        <v>0</v>
      </c>
      <c r="CJ253" s="35" t="n">
        <f aca="false">ROUND(CJ251+CJ250-CJ252,1)</f>
        <v>0</v>
      </c>
      <c r="CK253" s="23"/>
    </row>
    <row r="254" customFormat="false" ht="15" hidden="false" customHeight="true" outlineLevel="0" collapsed="false">
      <c r="B254" s="57" t="s">
        <v>543</v>
      </c>
      <c r="C254" s="45" t="n">
        <f aca="false">ROUND(C279-C252,1)</f>
        <v>0</v>
      </c>
      <c r="D254" s="45" t="n">
        <f aca="false">ROUND(D279-D252,1)</f>
        <v>0</v>
      </c>
      <c r="E254" s="45" t="n">
        <f aca="false">ROUND(E279-E252,1)</f>
        <v>0</v>
      </c>
      <c r="F254" s="45" t="n">
        <f aca="false">ROUND(F279-F252,1)</f>
        <v>0</v>
      </c>
      <c r="G254" s="45" t="n">
        <f aca="false">ROUND(G279-G252,1)</f>
        <v>0</v>
      </c>
      <c r="H254" s="45" t="n">
        <f aca="false">ROUND(H279-H252,1)</f>
        <v>0</v>
      </c>
      <c r="I254" s="45" t="n">
        <f aca="false">ROUND(I279-I252,1)</f>
        <v>0</v>
      </c>
      <c r="J254" s="45" t="n">
        <f aca="false">ROUND(J279-J252,1)</f>
        <v>0</v>
      </c>
      <c r="K254" s="45" t="n">
        <f aca="false">ROUND(K279-K252,1)</f>
        <v>0</v>
      </c>
      <c r="L254" s="45" t="n">
        <f aca="false">ROUND(L279-L252,1)</f>
        <v>0</v>
      </c>
      <c r="M254" s="45" t="n">
        <f aca="false">ROUND(M279-M252,1)</f>
        <v>0</v>
      </c>
      <c r="N254" s="45" t="n">
        <f aca="false">ROUND(N279-N252,1)</f>
        <v>0</v>
      </c>
      <c r="O254" s="45" t="n">
        <f aca="false">ROUND(O279-O252,1)</f>
        <v>0</v>
      </c>
      <c r="P254" s="45" t="n">
        <f aca="false">ROUND(P279-P252,1)</f>
        <v>0</v>
      </c>
      <c r="Q254" s="45" t="n">
        <f aca="false">ROUND(Q279-Q252,1)</f>
        <v>0</v>
      </c>
      <c r="R254" s="45" t="n">
        <f aca="false">ROUND(R279-R252,1)</f>
        <v>0</v>
      </c>
      <c r="S254" s="45" t="n">
        <f aca="false">ROUND(S279-S252,1)</f>
        <v>0</v>
      </c>
      <c r="T254" s="45" t="n">
        <f aca="false">ROUND(T279-T252,1)</f>
        <v>0</v>
      </c>
      <c r="U254" s="45" t="n">
        <f aca="false">ROUND(U279-U252,1)</f>
        <v>0</v>
      </c>
      <c r="V254" s="45" t="n">
        <f aca="false">ROUND(V279-V252,1)</f>
        <v>0</v>
      </c>
      <c r="W254" s="45" t="n">
        <f aca="false">ROUND(W279-W252,1)</f>
        <v>0</v>
      </c>
      <c r="X254" s="45" t="n">
        <f aca="false">ROUND(X279-X252,1)</f>
        <v>0</v>
      </c>
      <c r="Y254" s="45" t="n">
        <f aca="false">ROUND(Y279-Y252,1)</f>
        <v>0</v>
      </c>
      <c r="Z254" s="45" t="n">
        <f aca="false">ROUND(Z279-Z252,1)</f>
        <v>0</v>
      </c>
      <c r="AA254" s="45" t="n">
        <f aca="false">ROUND(AA279-AA252,1)</f>
        <v>0</v>
      </c>
      <c r="AB254" s="45" t="n">
        <f aca="false">ROUND(AB279-AB252,1)</f>
        <v>0</v>
      </c>
      <c r="AC254" s="45" t="n">
        <f aca="false">ROUND(AC279-AC252,1)</f>
        <v>0</v>
      </c>
      <c r="AD254" s="45" t="n">
        <f aca="false">ROUND(AD279-AD252,1)</f>
        <v>0</v>
      </c>
      <c r="AE254" s="45" t="n">
        <f aca="false">ROUND(AE279-AE252,1)</f>
        <v>0</v>
      </c>
      <c r="AF254" s="45" t="n">
        <f aca="false">ROUND(AF279-AF252,1)</f>
        <v>0</v>
      </c>
      <c r="AG254" s="45" t="n">
        <f aca="false">ROUND(AG279-AG252,1)</f>
        <v>0</v>
      </c>
      <c r="AH254" s="45" t="n">
        <f aca="false">ROUND(AH279-AH252,1)</f>
        <v>0</v>
      </c>
      <c r="AI254" s="45" t="n">
        <f aca="false">ROUND(AI279-AI252,1)</f>
        <v>0</v>
      </c>
      <c r="AJ254" s="45" t="n">
        <f aca="false">ROUND(AJ279-AJ252,1)</f>
        <v>0</v>
      </c>
      <c r="AK254" s="45" t="n">
        <f aca="false">ROUND(AK279-AK252,1)</f>
        <v>0</v>
      </c>
      <c r="AL254" s="45" t="n">
        <f aca="false">ROUND(AL279-AL252,1)</f>
        <v>0</v>
      </c>
      <c r="AM254" s="45" t="n">
        <f aca="false">ROUND(AM279-AM252,1)</f>
        <v>0</v>
      </c>
      <c r="AN254" s="45" t="n">
        <f aca="false">ROUND(AN279-AN252,1)</f>
        <v>0</v>
      </c>
      <c r="AO254" s="45" t="n">
        <f aca="false">ROUND(AO279-AO252,1)</f>
        <v>0</v>
      </c>
      <c r="AP254" s="45" t="n">
        <f aca="false">ROUND(AP279-AP252,1)</f>
        <v>0</v>
      </c>
      <c r="AQ254" s="45" t="n">
        <f aca="false">ROUND(AQ279-AQ252,1)</f>
        <v>0</v>
      </c>
      <c r="AR254" s="45" t="n">
        <f aca="false">ROUND(AR279-AR252,1)</f>
        <v>0</v>
      </c>
      <c r="AS254" s="45" t="n">
        <f aca="false">ROUND(AS279-AS252,1)</f>
        <v>0</v>
      </c>
      <c r="AT254" s="45" t="n">
        <f aca="false">ROUND(AT279-AT252,1)</f>
        <v>0</v>
      </c>
      <c r="AU254" s="45" t="n">
        <f aca="false">ROUND(AU279-AU252,1)</f>
        <v>0</v>
      </c>
      <c r="AV254" s="45" t="n">
        <f aca="false">ROUND(AV279-AV252,1)</f>
        <v>0</v>
      </c>
      <c r="AW254" s="45" t="n">
        <f aca="false">ROUND(AW279-AW252,1)</f>
        <v>0</v>
      </c>
      <c r="AX254" s="45" t="n">
        <f aca="false">ROUND(AX279-AX252,1)</f>
        <v>0</v>
      </c>
      <c r="AY254" s="45" t="n">
        <f aca="false">ROUND(AY279-AY252,1)</f>
        <v>0</v>
      </c>
      <c r="AZ254" s="45" t="n">
        <f aca="false">ROUND(AZ279-AZ252,1)</f>
        <v>0</v>
      </c>
      <c r="BA254" s="45" t="n">
        <f aca="false">ROUND(BA279-BA252,1)</f>
        <v>0</v>
      </c>
      <c r="BB254" s="45" t="n">
        <f aca="false">ROUND(BB279-BB252,1)</f>
        <v>0</v>
      </c>
      <c r="BC254" s="45" t="n">
        <f aca="false">ROUND(BC279-BC252,1)</f>
        <v>0</v>
      </c>
      <c r="BD254" s="45" t="n">
        <f aca="false">ROUND(BD279-BD252,1)</f>
        <v>0</v>
      </c>
      <c r="BE254" s="45" t="n">
        <f aca="false">ROUND(BE279-BE252,1)</f>
        <v>0</v>
      </c>
      <c r="BF254" s="45" t="n">
        <f aca="false">ROUND(BF279-BF252,1)</f>
        <v>0</v>
      </c>
      <c r="BG254" s="45" t="n">
        <f aca="false">ROUND(BG279-BG252,1)</f>
        <v>0</v>
      </c>
      <c r="BH254" s="45" t="n">
        <f aca="false">ROUND(BH279-BH252,1)</f>
        <v>0</v>
      </c>
      <c r="BI254" s="45" t="n">
        <f aca="false">ROUND(BI279-BI252,1)</f>
        <v>0</v>
      </c>
      <c r="BJ254" s="45" t="n">
        <f aca="false">ROUND(BJ279-BJ252,1)</f>
        <v>0</v>
      </c>
      <c r="BK254" s="45" t="n">
        <f aca="false">ROUND(BK279-BK252,1)</f>
        <v>0</v>
      </c>
      <c r="BL254" s="45" t="n">
        <f aca="false">ROUND(BL279-BL252,1)</f>
        <v>0</v>
      </c>
      <c r="BM254" s="45" t="n">
        <f aca="false">ROUND(BM279-BM252,1)</f>
        <v>0</v>
      </c>
      <c r="BN254" s="45" t="n">
        <f aca="false">ROUND(BN279-BN252,1)</f>
        <v>0</v>
      </c>
      <c r="BO254" s="45" t="n">
        <f aca="false">ROUND(BO279-BO252,1)</f>
        <v>0</v>
      </c>
      <c r="BP254" s="45" t="n">
        <f aca="false">ROUND(BP279-BP252,1)</f>
        <v>0</v>
      </c>
      <c r="BQ254" s="45" t="n">
        <f aca="false">ROUND(BQ279-BQ252,1)</f>
        <v>0</v>
      </c>
      <c r="BR254" s="45" t="n">
        <f aca="false">ROUND(BR279-BR252,1)</f>
        <v>0</v>
      </c>
      <c r="BS254" s="45" t="n">
        <f aca="false">ROUND(BS279-BS252,1)</f>
        <v>0</v>
      </c>
      <c r="BT254" s="45" t="n">
        <f aca="false">ROUND(BT279-BT252,1)</f>
        <v>0</v>
      </c>
      <c r="BU254" s="45" t="n">
        <f aca="false">ROUND(BU279-BU252,1)</f>
        <v>0</v>
      </c>
      <c r="BV254" s="45" t="n">
        <f aca="false">ROUND(BV279-BV252,1)</f>
        <v>0</v>
      </c>
      <c r="BW254" s="45" t="n">
        <f aca="false">ROUND(BW279-BW252,1)</f>
        <v>0</v>
      </c>
      <c r="BX254" s="45" t="n">
        <f aca="false">ROUND(BX279-BX252,1)</f>
        <v>0</v>
      </c>
      <c r="BY254" s="45" t="n">
        <f aca="false">ROUND(BY279-BY252,1)</f>
        <v>0</v>
      </c>
      <c r="BZ254" s="45" t="n">
        <f aca="false">ROUND(BZ279-BZ252,1)</f>
        <v>0</v>
      </c>
      <c r="CA254" s="45" t="n">
        <f aca="false">ROUND(CA279-CA252,1)</f>
        <v>0</v>
      </c>
      <c r="CB254" s="45" t="n">
        <f aca="false">ROUND(CB279-CB252,1)</f>
        <v>0</v>
      </c>
      <c r="CC254" s="58"/>
      <c r="CD254" s="58"/>
      <c r="CE254" s="58"/>
      <c r="CF254" s="35" t="n">
        <f aca="false">ROUND(CF279-CF252,1)</f>
        <v>0</v>
      </c>
      <c r="CG254" s="35" t="n">
        <f aca="false">ROUND(CG279-CG252,1)</f>
        <v>0</v>
      </c>
      <c r="CH254" s="35" t="n">
        <f aca="false">ROUND(CH279-CH252,1)</f>
        <v>0</v>
      </c>
      <c r="CI254" s="35" t="n">
        <f aca="false">ROUND(CI279-CI252,1)</f>
        <v>0</v>
      </c>
      <c r="CJ254" s="35" t="n">
        <f aca="false">ROUND(CJ279-CJ252,1)</f>
        <v>0</v>
      </c>
      <c r="CK254" s="23"/>
    </row>
    <row r="255" customFormat="false" ht="15" hidden="false" customHeight="true" outlineLevel="0" collapsed="false">
      <c r="B255" s="67" t="s">
        <v>544</v>
      </c>
    </row>
    <row r="256" customFormat="false" ht="15" hidden="false" customHeight="true" outlineLevel="0" collapsed="false">
      <c r="B256" s="55" t="s">
        <v>545</v>
      </c>
      <c r="C256" s="56" t="n">
        <f aca="false">C236+C237</f>
        <v>305.254</v>
      </c>
      <c r="D256" s="56" t="n">
        <f aca="false">D236+D237</f>
        <v>268.567</v>
      </c>
      <c r="E256" s="56" t="n">
        <f aca="false">E236+E237</f>
        <v>354.21</v>
      </c>
      <c r="F256" s="56" t="n">
        <f aca="false">F236+F237</f>
        <v>363.43</v>
      </c>
      <c r="G256" s="56" t="n">
        <f aca="false">G236+G237</f>
        <v>450.494</v>
      </c>
      <c r="H256" s="56" t="n">
        <f aca="false">H236+H237</f>
        <v>158.294</v>
      </c>
      <c r="I256" s="56" t="n">
        <f aca="false">I236+I237</f>
        <v>309.06</v>
      </c>
      <c r="J256" s="56" t="n">
        <f aca="false">J236+J237</f>
        <v>47.427</v>
      </c>
      <c r="K256" s="56" t="n">
        <f aca="false">K236+K237</f>
        <v>80.774</v>
      </c>
      <c r="L256" s="56" t="n">
        <f aca="false">L236+L237</f>
        <v>88.343</v>
      </c>
      <c r="M256" s="56" t="n">
        <f aca="false">M236+M237</f>
        <v>139.718</v>
      </c>
      <c r="N256" s="56" t="n">
        <f aca="false">N236+N237</f>
        <v>356.262</v>
      </c>
      <c r="O256" s="56" t="n">
        <f aca="false">O236+O237</f>
        <v>45.097</v>
      </c>
      <c r="P256" s="56" t="n">
        <f aca="false">P236+P237</f>
        <v>100.398</v>
      </c>
      <c r="Q256" s="56" t="n">
        <f aca="false">Q236+Q237</f>
        <v>126.663</v>
      </c>
      <c r="R256" s="56" t="n">
        <f aca="false">R236+R237</f>
        <v>190.231</v>
      </c>
      <c r="S256" s="56" t="n">
        <f aca="false">S236+S237</f>
        <v>462.389</v>
      </c>
      <c r="T256" s="56" t="n">
        <f aca="false">T236+T237</f>
        <v>80.151</v>
      </c>
      <c r="U256" s="56" t="n">
        <f aca="false">U236+U237</f>
        <v>99.397</v>
      </c>
      <c r="V256" s="56" t="n">
        <f aca="false">V236+V237</f>
        <v>122.052</v>
      </c>
      <c r="W256" s="56" t="n">
        <f aca="false">W236+W237</f>
        <v>60.956</v>
      </c>
      <c r="X256" s="56" t="n">
        <f aca="false">X236+X237</f>
        <v>362.556</v>
      </c>
      <c r="Y256" s="56" t="n">
        <f aca="false">Y236+Y237</f>
        <v>80.452</v>
      </c>
      <c r="Z256" s="56" t="n">
        <f aca="false">Z236+Z237</f>
        <v>62.768</v>
      </c>
      <c r="AA256" s="56" t="n">
        <f aca="false">AA236+AA237</f>
        <v>-53.568</v>
      </c>
      <c r="AB256" s="56" t="n">
        <f aca="false">AB236+AB237</f>
        <v>100.808</v>
      </c>
      <c r="AC256" s="56" t="n">
        <f aca="false">AC236+AC237</f>
        <v>190.46</v>
      </c>
      <c r="AD256" s="56" t="n">
        <f aca="false">AD236+AD237</f>
        <v>79.008</v>
      </c>
      <c r="AE256" s="56" t="n">
        <f aca="false">AE236+AE237</f>
        <v>67.54</v>
      </c>
      <c r="AF256" s="56" t="n">
        <f aca="false">AF236+AF237</f>
        <v>118.589</v>
      </c>
      <c r="AG256" s="56" t="n">
        <f aca="false">AG236+AG237</f>
        <v>225.433</v>
      </c>
      <c r="AH256" s="56" t="n">
        <f aca="false">AH236+AH237</f>
        <v>490.57</v>
      </c>
      <c r="AI256" s="56" t="n">
        <f aca="false">AI236+AI237</f>
        <v>191.849</v>
      </c>
      <c r="AJ256" s="56" t="n">
        <f aca="false">AJ236+AJ237</f>
        <v>54.694</v>
      </c>
      <c r="AK256" s="56" t="n">
        <f aca="false">AK236+AK237</f>
        <v>218.281</v>
      </c>
      <c r="AL256" s="56" t="n">
        <f aca="false">AL236+AL237</f>
        <v>227.637</v>
      </c>
      <c r="AM256" s="56" t="n">
        <f aca="false">AM236+AM237</f>
        <v>692.461</v>
      </c>
      <c r="AN256" s="56" t="n">
        <f aca="false">AN236+AN237</f>
        <v>98.457</v>
      </c>
      <c r="AO256" s="56" t="n">
        <f aca="false">AO236+AO237</f>
        <v>108.496</v>
      </c>
      <c r="AP256" s="56" t="n">
        <f aca="false">AP236+AP237</f>
        <v>255.959</v>
      </c>
      <c r="AQ256" s="56" t="n">
        <f aca="false">AQ236+AQ237</f>
        <v>328.231</v>
      </c>
      <c r="AR256" s="56" t="n">
        <f aca="false">AR236+AR237</f>
        <v>791.143</v>
      </c>
      <c r="AS256" s="56" t="n">
        <f aca="false">AS236+AS237</f>
        <v>212.158</v>
      </c>
      <c r="AT256" s="56" t="n">
        <f aca="false">AT236+AT237</f>
        <v>233.026</v>
      </c>
      <c r="AU256" s="56" t="n">
        <f aca="false">AU236+AU237</f>
        <v>299.986</v>
      </c>
      <c r="AV256" s="56" t="n">
        <f aca="false">AV236+AV237</f>
        <v>316.024</v>
      </c>
      <c r="AW256" s="56" t="n">
        <f aca="false">AW236+AW237</f>
        <v>1061.194</v>
      </c>
      <c r="AX256" s="56" t="n">
        <f aca="false">AX236+AX237</f>
        <v>281.416</v>
      </c>
      <c r="AY256" s="56" t="n">
        <f aca="false">AY236+AY237</f>
        <v>233.889</v>
      </c>
      <c r="AZ256" s="56" t="n">
        <f aca="false">AZ236+AZ237</f>
        <v>289.1</v>
      </c>
      <c r="BA256" s="56" t="n">
        <f aca="false">BA236+BA237</f>
        <v>412.865</v>
      </c>
      <c r="BB256" s="56" t="n">
        <f aca="false">BB236+BB237</f>
        <v>1217.27</v>
      </c>
      <c r="BC256" s="56" t="n">
        <f aca="false">BC236+BC237</f>
        <v>213.393</v>
      </c>
      <c r="BD256" s="56" t="n">
        <f aca="false">BD236+BD237</f>
        <v>271.76</v>
      </c>
      <c r="BE256" s="56" t="n">
        <f aca="false">BE236+BE237</f>
        <v>336.051</v>
      </c>
      <c r="BF256" s="56" t="n">
        <f aca="false">BF236+BF237</f>
        <v>475.749</v>
      </c>
      <c r="BG256" s="56" t="n">
        <f aca="false">BG236+BG237</f>
        <v>1296.953</v>
      </c>
      <c r="BH256" s="56" t="n">
        <f aca="false">BH236+BH237</f>
        <v>228.14</v>
      </c>
      <c r="BI256" s="56" t="n">
        <f aca="false">BI236+BI237</f>
        <v>244.605</v>
      </c>
      <c r="BJ256" s="56" t="n">
        <f aca="false">BJ236+BJ237</f>
        <v>347.33</v>
      </c>
      <c r="BK256" s="56" t="n">
        <f aca="false">BK236+BK237</f>
        <v>446.63</v>
      </c>
      <c r="BL256" s="56" t="n">
        <f aca="false">BL236+BL237</f>
        <v>1266.705</v>
      </c>
      <c r="BM256" s="56" t="n">
        <f aca="false">BM236+BM237</f>
        <v>230.248</v>
      </c>
      <c r="BN256" s="56" t="n">
        <f aca="false">BN236+BN237</f>
        <v>298.856</v>
      </c>
      <c r="BO256" s="56" t="n">
        <f aca="false">BO236+BO237</f>
        <v>550.079</v>
      </c>
      <c r="BP256" s="56" t="n">
        <f aca="false">BP236+BP237</f>
        <v>591.129</v>
      </c>
      <c r="BQ256" s="56" t="n">
        <f aca="false">BQ236+BQ237</f>
        <v>1670.312</v>
      </c>
      <c r="BR256" s="56" t="n">
        <f aca="false">BR236+BR237</f>
        <v>373.811</v>
      </c>
      <c r="BS256" s="56" t="n">
        <f aca="false">BS236+BS237</f>
        <v>339.988</v>
      </c>
      <c r="BT256" s="56" t="n">
        <f aca="false">BT236+BT237</f>
        <v>522.097</v>
      </c>
      <c r="BU256" s="56" t="n">
        <f aca="false">BU236+BU237</f>
        <v>521.125</v>
      </c>
      <c r="BV256" s="56" t="n">
        <f aca="false">BV236+BV237</f>
        <v>1757.021</v>
      </c>
      <c r="BW256" s="56" t="n">
        <f aca="false">BW236+BW237</f>
        <v>312.524</v>
      </c>
      <c r="BX256" s="56" t="n">
        <f aca="false">BX236+BX237</f>
        <v>424.971</v>
      </c>
      <c r="BY256" s="56" t="n">
        <f aca="false">BY236+BY237</f>
        <v>530.574</v>
      </c>
      <c r="BZ256" s="56" t="n">
        <f aca="false">BZ236+BZ237</f>
        <v>613.106</v>
      </c>
      <c r="CA256" s="56" t="n">
        <f aca="false">CA236+CA237</f>
        <v>1881.175</v>
      </c>
      <c r="CB256" s="56" t="n">
        <f aca="false">CB236+CB237</f>
        <v>464.799</v>
      </c>
      <c r="CC256" s="62"/>
      <c r="CD256" s="62"/>
      <c r="CE256" s="62"/>
      <c r="CF256" s="56" t="n">
        <f aca="false">CF236+CF237</f>
        <v>2009.94812473129</v>
      </c>
      <c r="CG256" s="56" t="n">
        <f aca="false">CG236+CG237</f>
        <v>2397.7109554781</v>
      </c>
      <c r="CH256" s="56" t="n">
        <f aca="false">CH236+CH237</f>
        <v>2757.88523199662</v>
      </c>
      <c r="CI256" s="56" t="n">
        <f aca="false">CI236+CI237</f>
        <v>3159.10462063964</v>
      </c>
      <c r="CJ256" s="56" t="n">
        <f aca="false">CJ236+CJ237</f>
        <v>3506.68340572021</v>
      </c>
      <c r="CK256" s="23"/>
      <c r="CM256" s="24" t="n">
        <f aca="false">IFERROR((CJ256/CA256)^(1/5)-1,"n/m")</f>
        <v>0.132644112690134</v>
      </c>
      <c r="CN256" s="24" t="n">
        <f aca="false">IFERROR((CA256/BB256)^(1/5)-1,"n/m")</f>
        <v>0.0909590666512292</v>
      </c>
      <c r="CO256" s="24" t="n">
        <f aca="false">IFERROR((CA256/AC256)^(1/10)-1,"n/m")</f>
        <v>0.257368400949091</v>
      </c>
      <c r="CP256" s="24" t="n">
        <f aca="false">IFERROR((CA256/C256)^(1/20)-1,"n/m")</f>
        <v>0.0951872817261281</v>
      </c>
    </row>
    <row r="257" customFormat="false" ht="15" hidden="false" customHeight="true" outlineLevel="0" collapsed="false">
      <c r="B257" s="42" t="s">
        <v>546</v>
      </c>
      <c r="E257" s="34" t="n">
        <v>354.21</v>
      </c>
      <c r="F257" s="34" t="n">
        <v>363.43</v>
      </c>
      <c r="G257" s="34" t="n">
        <v>450.494</v>
      </c>
      <c r="H257" s="34" t="n">
        <v>158.294</v>
      </c>
      <c r="I257" s="34" t="n">
        <v>309.06</v>
      </c>
      <c r="N257" s="34" t="n">
        <v>356.262</v>
      </c>
      <c r="S257" s="34" t="n">
        <v>462.389</v>
      </c>
      <c r="X257" s="34" t="n">
        <v>362.556</v>
      </c>
      <c r="AC257" s="34" t="n">
        <v>190.46</v>
      </c>
      <c r="AH257" s="34" t="n">
        <v>490.57</v>
      </c>
      <c r="AM257" s="34" t="n">
        <v>692.461</v>
      </c>
      <c r="AR257" s="34" t="n">
        <v>791.143</v>
      </c>
      <c r="AW257" s="34" t="n">
        <v>1061.194</v>
      </c>
      <c r="BB257" s="34" t="n">
        <v>1217.27</v>
      </c>
      <c r="BG257" s="34" t="n">
        <v>1296.953</v>
      </c>
      <c r="BL257" s="34" t="n">
        <v>1266.705</v>
      </c>
      <c r="BQ257" s="34" t="n">
        <v>1670.312</v>
      </c>
      <c r="BV257" s="34" t="n">
        <v>1757.021</v>
      </c>
      <c r="CA257" s="34" t="n">
        <v>1881.175</v>
      </c>
      <c r="CB257" s="34" t="n">
        <v>464.799</v>
      </c>
      <c r="CC257" s="43"/>
      <c r="CD257" s="43"/>
      <c r="CE257" s="43"/>
      <c r="CF257" s="43"/>
      <c r="CG257" s="43"/>
      <c r="CH257" s="43"/>
      <c r="CI257" s="43"/>
      <c r="CJ257" s="43"/>
      <c r="CK257" s="23"/>
    </row>
    <row r="258" customFormat="false" ht="15" hidden="false" customHeight="true" outlineLevel="0" collapsed="false">
      <c r="B258" s="57" t="s">
        <v>547</v>
      </c>
      <c r="C258" s="45" t="str">
        <f aca="false">IF(ISNUMBER(C257),ROUND(C256-C257,1),"n/p")</f>
        <v>n/p</v>
      </c>
      <c r="D258" s="45" t="str">
        <f aca="false">IF(ISNUMBER(D257),ROUND(D256-D257,1),"n/p")</f>
        <v>n/p</v>
      </c>
      <c r="E258" s="45" t="n">
        <f aca="false">IF(ISNUMBER(E257),ROUND(E256-E257,1),"n/p")</f>
        <v>0</v>
      </c>
      <c r="F258" s="45" t="n">
        <f aca="false">IF(ISNUMBER(F257),ROUND(F256-F257,1),"n/p")</f>
        <v>0</v>
      </c>
      <c r="G258" s="45" t="n">
        <f aca="false">IF(ISNUMBER(G257),ROUND(G256-G257,1),"n/p")</f>
        <v>0</v>
      </c>
      <c r="H258" s="45" t="n">
        <f aca="false">IF(ISNUMBER(H257),ROUND(H256-H257,1),"n/p")</f>
        <v>0</v>
      </c>
      <c r="I258" s="45" t="n">
        <f aca="false">IF(ISNUMBER(I257),ROUND(I256-I257,1),"n/p")</f>
        <v>0</v>
      </c>
      <c r="J258" s="45" t="str">
        <f aca="false">IF(ISNUMBER(J257),ROUND(J256-J257,1),"n/p")</f>
        <v>n/p</v>
      </c>
      <c r="K258" s="45" t="str">
        <f aca="false">IF(ISNUMBER(K257),ROUND(K256-K257,1),"n/p")</f>
        <v>n/p</v>
      </c>
      <c r="L258" s="45" t="str">
        <f aca="false">IF(ISNUMBER(L257),ROUND(L256-L257,1),"n/p")</f>
        <v>n/p</v>
      </c>
      <c r="M258" s="45" t="str">
        <f aca="false">IF(ISNUMBER(M257),ROUND(M256-M257,1),"n/p")</f>
        <v>n/p</v>
      </c>
      <c r="N258" s="45" t="n">
        <f aca="false">IF(ISNUMBER(N257),ROUND(N256-N257,1),"n/p")</f>
        <v>0</v>
      </c>
      <c r="O258" s="45" t="str">
        <f aca="false">IF(ISNUMBER(O257),ROUND(O256-O257,1),"n/p")</f>
        <v>n/p</v>
      </c>
      <c r="P258" s="45" t="str">
        <f aca="false">IF(ISNUMBER(P257),ROUND(P256-P257,1),"n/p")</f>
        <v>n/p</v>
      </c>
      <c r="Q258" s="45" t="str">
        <f aca="false">IF(ISNUMBER(Q257),ROUND(Q256-Q257,1),"n/p")</f>
        <v>n/p</v>
      </c>
      <c r="R258" s="45" t="str">
        <f aca="false">IF(ISNUMBER(R257),ROUND(R256-R257,1),"n/p")</f>
        <v>n/p</v>
      </c>
      <c r="S258" s="45" t="n">
        <f aca="false">IF(ISNUMBER(S257),ROUND(S256-S257,1),"n/p")</f>
        <v>0</v>
      </c>
      <c r="T258" s="45" t="str">
        <f aca="false">IF(ISNUMBER(T257),ROUND(T256-T257,1),"n/p")</f>
        <v>n/p</v>
      </c>
      <c r="U258" s="45" t="str">
        <f aca="false">IF(ISNUMBER(U257),ROUND(U256-U257,1),"n/p")</f>
        <v>n/p</v>
      </c>
      <c r="V258" s="45" t="str">
        <f aca="false">IF(ISNUMBER(V257),ROUND(V256-V257,1),"n/p")</f>
        <v>n/p</v>
      </c>
      <c r="W258" s="45" t="str">
        <f aca="false">IF(ISNUMBER(W257),ROUND(W256-W257,1),"n/p")</f>
        <v>n/p</v>
      </c>
      <c r="X258" s="45" t="n">
        <f aca="false">IF(ISNUMBER(X257),ROUND(X256-X257,1),"n/p")</f>
        <v>0</v>
      </c>
      <c r="Y258" s="45" t="str">
        <f aca="false">IF(ISNUMBER(Y257),ROUND(Y256-Y257,1),"n/p")</f>
        <v>n/p</v>
      </c>
      <c r="Z258" s="45" t="str">
        <f aca="false">IF(ISNUMBER(Z257),ROUND(Z256-Z257,1),"n/p")</f>
        <v>n/p</v>
      </c>
      <c r="AA258" s="45" t="str">
        <f aca="false">IF(ISNUMBER(AA257),ROUND(AA256-AA257,1),"n/p")</f>
        <v>n/p</v>
      </c>
      <c r="AB258" s="45" t="str">
        <f aca="false">IF(ISNUMBER(AB257),ROUND(AB256-AB257,1),"n/p")</f>
        <v>n/p</v>
      </c>
      <c r="AC258" s="45" t="n">
        <f aca="false">IF(ISNUMBER(AC257),ROUND(AC256-AC257,1),"n/p")</f>
        <v>0</v>
      </c>
      <c r="AD258" s="45" t="str">
        <f aca="false">IF(ISNUMBER(AD257),ROUND(AD256-AD257,1),"n/p")</f>
        <v>n/p</v>
      </c>
      <c r="AE258" s="45" t="str">
        <f aca="false">IF(ISNUMBER(AE257),ROUND(AE256-AE257,1),"n/p")</f>
        <v>n/p</v>
      </c>
      <c r="AF258" s="45" t="str">
        <f aca="false">IF(ISNUMBER(AF257),ROUND(AF256-AF257,1),"n/p")</f>
        <v>n/p</v>
      </c>
      <c r="AG258" s="45" t="str">
        <f aca="false">IF(ISNUMBER(AG257),ROUND(AG256-AG257,1),"n/p")</f>
        <v>n/p</v>
      </c>
      <c r="AH258" s="45" t="n">
        <f aca="false">IF(ISNUMBER(AH257),ROUND(AH256-AH257,1),"n/p")</f>
        <v>0</v>
      </c>
      <c r="AI258" s="45" t="str">
        <f aca="false">IF(ISNUMBER(AI257),ROUND(AI256-AI257,1),"n/p")</f>
        <v>n/p</v>
      </c>
      <c r="AJ258" s="45" t="str">
        <f aca="false">IF(ISNUMBER(AJ257),ROUND(AJ256-AJ257,1),"n/p")</f>
        <v>n/p</v>
      </c>
      <c r="AK258" s="45" t="str">
        <f aca="false">IF(ISNUMBER(AK257),ROUND(AK256-AK257,1),"n/p")</f>
        <v>n/p</v>
      </c>
      <c r="AL258" s="45" t="str">
        <f aca="false">IF(ISNUMBER(AL257),ROUND(AL256-AL257,1),"n/p")</f>
        <v>n/p</v>
      </c>
      <c r="AM258" s="45" t="n">
        <f aca="false">IF(ISNUMBER(AM257),ROUND(AM256-AM257,1),"n/p")</f>
        <v>0</v>
      </c>
      <c r="AN258" s="45" t="str">
        <f aca="false">IF(ISNUMBER(AN257),ROUND(AN256-AN257,1),"n/p")</f>
        <v>n/p</v>
      </c>
      <c r="AO258" s="45" t="str">
        <f aca="false">IF(ISNUMBER(AO257),ROUND(AO256-AO257,1),"n/p")</f>
        <v>n/p</v>
      </c>
      <c r="AP258" s="45" t="str">
        <f aca="false">IF(ISNUMBER(AP257),ROUND(AP256-AP257,1),"n/p")</f>
        <v>n/p</v>
      </c>
      <c r="AQ258" s="45" t="str">
        <f aca="false">IF(ISNUMBER(AQ257),ROUND(AQ256-AQ257,1),"n/p")</f>
        <v>n/p</v>
      </c>
      <c r="AR258" s="45" t="n">
        <f aca="false">IF(ISNUMBER(AR257),ROUND(AR256-AR257,1),"n/p")</f>
        <v>0</v>
      </c>
      <c r="AS258" s="45" t="str">
        <f aca="false">IF(ISNUMBER(AS257),ROUND(AS256-AS257,1),"n/p")</f>
        <v>n/p</v>
      </c>
      <c r="AT258" s="45" t="str">
        <f aca="false">IF(ISNUMBER(AT257),ROUND(AT256-AT257,1),"n/p")</f>
        <v>n/p</v>
      </c>
      <c r="AU258" s="45" t="str">
        <f aca="false">IF(ISNUMBER(AU257),ROUND(AU256-AU257,1),"n/p")</f>
        <v>n/p</v>
      </c>
      <c r="AV258" s="45" t="str">
        <f aca="false">IF(ISNUMBER(AV257),ROUND(AV256-AV257,1),"n/p")</f>
        <v>n/p</v>
      </c>
      <c r="AW258" s="45" t="n">
        <f aca="false">IF(ISNUMBER(AW257),ROUND(AW256-AW257,1),"n/p")</f>
        <v>0</v>
      </c>
      <c r="AX258" s="45" t="str">
        <f aca="false">IF(ISNUMBER(AX257),ROUND(AX256-AX257,1),"n/p")</f>
        <v>n/p</v>
      </c>
      <c r="AY258" s="45" t="str">
        <f aca="false">IF(ISNUMBER(AY257),ROUND(AY256-AY257,1),"n/p")</f>
        <v>n/p</v>
      </c>
      <c r="AZ258" s="45" t="str">
        <f aca="false">IF(ISNUMBER(AZ257),ROUND(AZ256-AZ257,1),"n/p")</f>
        <v>n/p</v>
      </c>
      <c r="BA258" s="45" t="str">
        <f aca="false">IF(ISNUMBER(BA257),ROUND(BA256-BA257,1),"n/p")</f>
        <v>n/p</v>
      </c>
      <c r="BB258" s="45" t="n">
        <f aca="false">IF(ISNUMBER(BB257),ROUND(BB256-BB257,1),"n/p")</f>
        <v>0</v>
      </c>
      <c r="BC258" s="45" t="str">
        <f aca="false">IF(ISNUMBER(BC257),ROUND(BC256-BC257,1),"n/p")</f>
        <v>n/p</v>
      </c>
      <c r="BD258" s="45" t="str">
        <f aca="false">IF(ISNUMBER(BD257),ROUND(BD256-BD257,1),"n/p")</f>
        <v>n/p</v>
      </c>
      <c r="BE258" s="45" t="str">
        <f aca="false">IF(ISNUMBER(BE257),ROUND(BE256-BE257,1),"n/p")</f>
        <v>n/p</v>
      </c>
      <c r="BF258" s="45" t="str">
        <f aca="false">IF(ISNUMBER(BF257),ROUND(BF256-BF257,1),"n/p")</f>
        <v>n/p</v>
      </c>
      <c r="BG258" s="45" t="n">
        <f aca="false">IF(ISNUMBER(BG257),ROUND(BG256-BG257,1),"n/p")</f>
        <v>0</v>
      </c>
      <c r="BH258" s="45" t="str">
        <f aca="false">IF(ISNUMBER(BH257),ROUND(BH256-BH257,1),"n/p")</f>
        <v>n/p</v>
      </c>
      <c r="BI258" s="45" t="str">
        <f aca="false">IF(ISNUMBER(BI257),ROUND(BI256-BI257,1),"n/p")</f>
        <v>n/p</v>
      </c>
      <c r="BJ258" s="45" t="str">
        <f aca="false">IF(ISNUMBER(BJ257),ROUND(BJ256-BJ257,1),"n/p")</f>
        <v>n/p</v>
      </c>
      <c r="BK258" s="45" t="str">
        <f aca="false">IF(ISNUMBER(BK257),ROUND(BK256-BK257,1),"n/p")</f>
        <v>n/p</v>
      </c>
      <c r="BL258" s="45" t="n">
        <f aca="false">IF(ISNUMBER(BL257),ROUND(BL256-BL257,1),"n/p")</f>
        <v>0</v>
      </c>
      <c r="BM258" s="45" t="str">
        <f aca="false">IF(ISNUMBER(BM257),ROUND(BM256-BM257,1),"n/p")</f>
        <v>n/p</v>
      </c>
      <c r="BN258" s="45" t="str">
        <f aca="false">IF(ISNUMBER(BN257),ROUND(BN256-BN257,1),"n/p")</f>
        <v>n/p</v>
      </c>
      <c r="BO258" s="45" t="str">
        <f aca="false">IF(ISNUMBER(BO257),ROUND(BO256-BO257,1),"n/p")</f>
        <v>n/p</v>
      </c>
      <c r="BP258" s="45" t="str">
        <f aca="false">IF(ISNUMBER(BP257),ROUND(BP256-BP257,1),"n/p")</f>
        <v>n/p</v>
      </c>
      <c r="BQ258" s="45" t="n">
        <f aca="false">IF(ISNUMBER(BQ257),ROUND(BQ256-BQ257,1),"n/p")</f>
        <v>0</v>
      </c>
      <c r="BR258" s="45" t="str">
        <f aca="false">IF(ISNUMBER(BR257),ROUND(BR256-BR257,1),"n/p")</f>
        <v>n/p</v>
      </c>
      <c r="BS258" s="45" t="str">
        <f aca="false">IF(ISNUMBER(BS257),ROUND(BS256-BS257,1),"n/p")</f>
        <v>n/p</v>
      </c>
      <c r="BT258" s="45" t="str">
        <f aca="false">IF(ISNUMBER(BT257),ROUND(BT256-BT257,1),"n/p")</f>
        <v>n/p</v>
      </c>
      <c r="BU258" s="45" t="str">
        <f aca="false">IF(ISNUMBER(BU257),ROUND(BU256-BU257,1),"n/p")</f>
        <v>n/p</v>
      </c>
      <c r="BV258" s="45" t="n">
        <f aca="false">IF(ISNUMBER(BV257),ROUND(BV256-BV257,1),"n/p")</f>
        <v>0</v>
      </c>
      <c r="BW258" s="45" t="str">
        <f aca="false">IF(ISNUMBER(BW257),ROUND(BW256-BW257,1),"n/p")</f>
        <v>n/p</v>
      </c>
      <c r="BX258" s="45" t="str">
        <f aca="false">IF(ISNUMBER(BX257),ROUND(BX256-BX257,1),"n/p")</f>
        <v>n/p</v>
      </c>
      <c r="BY258" s="45" t="str">
        <f aca="false">IF(ISNUMBER(BY257),ROUND(BY256-BY257,1),"n/p")</f>
        <v>n/p</v>
      </c>
      <c r="BZ258" s="45" t="str">
        <f aca="false">IF(ISNUMBER(BZ257),ROUND(BZ256-BZ257,1),"n/p")</f>
        <v>n/p</v>
      </c>
      <c r="CA258" s="45" t="n">
        <f aca="false">IF(ISNUMBER(CA257),ROUND(CA256-CA257,1),"n/p")</f>
        <v>0</v>
      </c>
      <c r="CB258" s="45" t="n">
        <f aca="false">IF(ISNUMBER(CB257),ROUND(CB256-CB257,1),"n/p")</f>
        <v>0</v>
      </c>
      <c r="CC258" s="58"/>
      <c r="CD258" s="58"/>
      <c r="CE258" s="58"/>
      <c r="CF258" s="58"/>
      <c r="CG258" s="58"/>
      <c r="CH258" s="58"/>
      <c r="CI258" s="58"/>
      <c r="CJ258" s="58"/>
      <c r="CK258" s="23"/>
    </row>
    <row r="259" customFormat="false" ht="15" hidden="false" customHeight="true" outlineLevel="0" collapsed="false">
      <c r="B259" s="26" t="s">
        <v>548</v>
      </c>
      <c r="D259" s="27" t="n">
        <f aca="false">IF(AND(ISNUMBER(D256),ISNUMBER(C256)),IFERROR(D256/C256-1,""),"")</f>
        <v>-0.120185157278856</v>
      </c>
      <c r="E259" s="27" t="n">
        <f aca="false">IF(AND(ISNUMBER(E256),ISNUMBER(D256)),IFERROR(E256/D256-1,""),"")</f>
        <v>0.318888768910551</v>
      </c>
      <c r="F259" s="27" t="n">
        <f aca="false">IF(AND(ISNUMBER(F256),ISNUMBER(E256)),IFERROR(F256/E256-1,""),"")</f>
        <v>0.026029756359222</v>
      </c>
      <c r="G259" s="27" t="n">
        <f aca="false">IF(AND(ISNUMBER(G256),ISNUMBER(F256)),IFERROR(G256/F256-1,""),"")</f>
        <v>0.239561951407424</v>
      </c>
      <c r="H259" s="27" t="n">
        <f aca="false">IF(AND(ISNUMBER(H256),ISNUMBER(G256)),IFERROR(H256/G256-1,""),"")</f>
        <v>-0.648621291293558</v>
      </c>
      <c r="I259" s="27" t="n">
        <f aca="false">IF(AND(ISNUMBER(I256),ISNUMBER(H256)),IFERROR(I256/H256-1,""),"")</f>
        <v>0.952442922662893</v>
      </c>
      <c r="N259" s="27" t="n">
        <f aca="false">IF(AND(ISNUMBER(N256),ISNUMBER(I256)),IFERROR(N256/I256-1,""),"")</f>
        <v>0.152727625703747</v>
      </c>
      <c r="O259" s="27" t="n">
        <f aca="false">IF(AND(ISNUMBER(O256),ISNUMBER(J256)),IFERROR(O256/J256-1,""),"")</f>
        <v>-0.049128133763468</v>
      </c>
      <c r="P259" s="27" t="n">
        <f aca="false">IF(AND(ISNUMBER(P256),ISNUMBER(K256)),IFERROR(P256/K256-1,""),"")</f>
        <v>0.242949463936415</v>
      </c>
      <c r="Q259" s="27" t="n">
        <f aca="false">IF(AND(ISNUMBER(Q256),ISNUMBER(L256)),IFERROR(Q256/L256-1,""),"")</f>
        <v>0.433763852257677</v>
      </c>
      <c r="R259" s="27" t="n">
        <f aca="false">IF(AND(ISNUMBER(R256),ISNUMBER(M256)),IFERROR(R256/M256-1,""),"")</f>
        <v>0.361535378405073</v>
      </c>
      <c r="S259" s="27" t="n">
        <f aca="false">IF(AND(ISNUMBER(S256),ISNUMBER(N256)),IFERROR(S256/N256-1,""),"")</f>
        <v>0.297890316677052</v>
      </c>
      <c r="T259" s="27" t="n">
        <f aca="false">IF(AND(ISNUMBER(T256),ISNUMBER(O256)),IFERROR(T256/O256-1,""),"")</f>
        <v>0.777302259573808</v>
      </c>
      <c r="U259" s="27" t="n">
        <f aca="false">IF(AND(ISNUMBER(U256),ISNUMBER(P256)),IFERROR(U256/P256-1,""),"")</f>
        <v>-0.00997031813382709</v>
      </c>
      <c r="V259" s="27" t="n">
        <f aca="false">IF(AND(ISNUMBER(V256),ISNUMBER(Q256)),IFERROR(V256/Q256-1,""),"")</f>
        <v>-0.0364036853698396</v>
      </c>
      <c r="W259" s="27" t="n">
        <f aca="false">IF(AND(ISNUMBER(W256),ISNUMBER(R256)),IFERROR(W256/R256-1,""),"")</f>
        <v>-0.67956852458327</v>
      </c>
      <c r="X259" s="27" t="n">
        <f aca="false">IF(AND(ISNUMBER(X256),ISNUMBER(S256)),IFERROR(X256/S256-1,""),"")</f>
        <v>-0.215906952803808</v>
      </c>
      <c r="Y259" s="27" t="n">
        <f aca="false">IF(AND(ISNUMBER(Y256),ISNUMBER(T256)),IFERROR(Y256/T256-1,""),"")</f>
        <v>0.00375541166049076</v>
      </c>
      <c r="Z259" s="27" t="n">
        <f aca="false">IF(AND(ISNUMBER(Z256),ISNUMBER(U256)),IFERROR(Z256/U256-1,""),"")</f>
        <v>-0.36851212813264</v>
      </c>
      <c r="AA259" s="27" t="n">
        <f aca="false">IF(AND(ISNUMBER(AA256),ISNUMBER(V256)),IFERROR(AA256/V256-1,""),"")</f>
        <v>-1.43889489725691</v>
      </c>
      <c r="AB259" s="27" t="n">
        <f aca="false">IF(AND(ISNUMBER(AB256),ISNUMBER(W256)),IFERROR(AB256/W256-1,""),"")</f>
        <v>0.653783056631013</v>
      </c>
      <c r="AC259" s="27" t="n">
        <f aca="false">IF(AND(ISNUMBER(AC256),ISNUMBER(X256)),IFERROR(AC256/X256-1,""),"")</f>
        <v>-0.474674257218195</v>
      </c>
      <c r="AD259" s="27" t="n">
        <f aca="false">IF(AND(ISNUMBER(AD256),ISNUMBER(Y256)),IFERROR(AD256/Y256-1,""),"")</f>
        <v>-0.0179485904638791</v>
      </c>
      <c r="AE259" s="27" t="n">
        <f aca="false">IF(AND(ISNUMBER(AE256),ISNUMBER(Z256)),IFERROR(AE256/Z256-1,""),"")</f>
        <v>0.0760260005098141</v>
      </c>
      <c r="AF259" s="27" t="n">
        <f aca="false">IF(AND(ISNUMBER(AF256),ISNUMBER(AA256)),IFERROR(AF256/AA256-1,""),"")</f>
        <v>-3.2138030167264</v>
      </c>
      <c r="AG259" s="27" t="n">
        <f aca="false">IF(AND(ISNUMBER(AG256),ISNUMBER(AB256)),IFERROR(AG256/AB256-1,""),"")</f>
        <v>1.23626101103087</v>
      </c>
      <c r="AH259" s="27" t="n">
        <f aca="false">IF(AND(ISNUMBER(AH256),ISNUMBER(AC256)),IFERROR(AH256/AC256-1,""),"")</f>
        <v>1.57571143547201</v>
      </c>
      <c r="AI259" s="27" t="n">
        <f aca="false">IF(AND(ISNUMBER(AI256),ISNUMBER(AD256)),IFERROR(AI256/AD256-1,""),"")</f>
        <v>1.42822245848522</v>
      </c>
      <c r="AJ259" s="27" t="n">
        <f aca="false">IF(AND(ISNUMBER(AJ256),ISNUMBER(AE256)),IFERROR(AJ256/AE256-1,""),"")</f>
        <v>-0.190198400947587</v>
      </c>
      <c r="AK259" s="27" t="n">
        <f aca="false">IF(AND(ISNUMBER(AK256),ISNUMBER(AF256)),IFERROR(AK256/AF256-1,""),"")</f>
        <v>0.840651325165066</v>
      </c>
      <c r="AL259" s="27" t="n">
        <f aca="false">IF(AND(ISNUMBER(AL256),ISNUMBER(AG256)),IFERROR(AL256/AG256-1,""),"")</f>
        <v>0.0097767407611129</v>
      </c>
      <c r="AM259" s="27" t="n">
        <f aca="false">IF(AND(ISNUMBER(AM256),ISNUMBER(AH256)),IFERROR(AM256/AH256-1,""),"")</f>
        <v>0.411543714454614</v>
      </c>
      <c r="AN259" s="27" t="n">
        <f aca="false">IF(AND(ISNUMBER(AN256),ISNUMBER(AI256)),IFERROR(AN256/AI256-1,""),"")</f>
        <v>-0.486799514201273</v>
      </c>
      <c r="AO259" s="27" t="n">
        <f aca="false">IF(AND(ISNUMBER(AO256),ISNUMBER(AJ256)),IFERROR(AO256/AJ256-1,""),"")</f>
        <v>0.983691081288624</v>
      </c>
      <c r="AP259" s="27" t="n">
        <f aca="false">IF(AND(ISNUMBER(AP256),ISNUMBER(AK256)),IFERROR(AP256/AK256-1,""),"")</f>
        <v>0.172612366628337</v>
      </c>
      <c r="AQ259" s="27" t="n">
        <f aca="false">IF(AND(ISNUMBER(AQ256),ISNUMBER(AL256)),IFERROR(AQ256/AL256-1,""),"")</f>
        <v>0.441905314162461</v>
      </c>
      <c r="AR259" s="27" t="n">
        <f aca="false">IF(AND(ISNUMBER(AR256),ISNUMBER(AM256)),IFERROR(AR256/AM256-1,""),"")</f>
        <v>0.142509108816237</v>
      </c>
      <c r="AS259" s="27" t="n">
        <f aca="false">IF(AND(ISNUMBER(AS256),ISNUMBER(AN256)),IFERROR(AS256/AN256-1,""),"")</f>
        <v>1.15482901164976</v>
      </c>
      <c r="AT259" s="27" t="n">
        <f aca="false">IF(AND(ISNUMBER(AT256),ISNUMBER(AO256)),IFERROR(AT256/AO256-1,""),"")</f>
        <v>1.1477842501106</v>
      </c>
      <c r="AU259" s="27" t="n">
        <f aca="false">IF(AND(ISNUMBER(AU256),ISNUMBER(AP256)),IFERROR(AU256/AP256-1,""),"")</f>
        <v>0.172008016908958</v>
      </c>
      <c r="AV259" s="27" t="n">
        <f aca="false">IF(AND(ISNUMBER(AV256),ISNUMBER(AQ256)),IFERROR(AV256/AQ256-1,""),"")</f>
        <v>-0.0371902714856305</v>
      </c>
      <c r="AW259" s="27" t="n">
        <f aca="false">IF(AND(ISNUMBER(AW256),ISNUMBER(AR256)),IFERROR(AW256/AR256-1,""),"")</f>
        <v>0.341342841938815</v>
      </c>
      <c r="AX259" s="27" t="n">
        <f aca="false">IF(AND(ISNUMBER(AX256),ISNUMBER(AS256)),IFERROR(AX256/AS256-1,""),"")</f>
        <v>0.326445385043222</v>
      </c>
      <c r="AY259" s="27" t="n">
        <f aca="false">IF(AND(ISNUMBER(AY256),ISNUMBER(AT256)),IFERROR(AY256/AT256-1,""),"")</f>
        <v>0.00370344940049616</v>
      </c>
      <c r="AZ259" s="27" t="n">
        <f aca="false">IF(AND(ISNUMBER(AZ256),ISNUMBER(AU256)),IFERROR(AZ256/AU256-1,""),"")</f>
        <v>-0.0362883601234724</v>
      </c>
      <c r="BA259" s="27" t="n">
        <f aca="false">IF(AND(ISNUMBER(BA256),ISNUMBER(AV256)),IFERROR(BA256/AV256-1,""),"")</f>
        <v>0.306435587170595</v>
      </c>
      <c r="BB259" s="27" t="n">
        <f aca="false">IF(AND(ISNUMBER(BB256),ISNUMBER(AW256)),IFERROR(BB256/AW256-1,""),"")</f>
        <v>0.147075840986662</v>
      </c>
      <c r="BC259" s="27" t="n">
        <f aca="false">IF(AND(ISNUMBER(BC256),ISNUMBER(AX256)),IFERROR(BC256/AX256-1,""),"")</f>
        <v>-0.241716888876254</v>
      </c>
      <c r="BD259" s="27" t="n">
        <f aca="false">IF(AND(ISNUMBER(BD256),ISNUMBER(AY256)),IFERROR(BD256/AY256-1,""),"")</f>
        <v>0.161918687924614</v>
      </c>
      <c r="BE259" s="27" t="n">
        <f aca="false">IF(AND(ISNUMBER(BE256),ISNUMBER(AZ256)),IFERROR(BE256/AZ256-1,""),"")</f>
        <v>0.162404012452439</v>
      </c>
      <c r="BF259" s="27" t="n">
        <f aca="false">IF(AND(ISNUMBER(BF256),ISNUMBER(BA256)),IFERROR(BF256/BA256-1,""),"")</f>
        <v>0.152311288193477</v>
      </c>
      <c r="BG259" s="27" t="n">
        <f aca="false">IF(AND(ISNUMBER(BG256),ISNUMBER(BB256)),IFERROR(BG256/BB256-1,""),"")</f>
        <v>0.065460415519975</v>
      </c>
      <c r="BH259" s="27" t="n">
        <f aca="false">IF(AND(ISNUMBER(BH256),ISNUMBER(BC256)),IFERROR(BH256/BC256-1,""),"")</f>
        <v>0.0691072340704708</v>
      </c>
      <c r="BI259" s="27" t="n">
        <f aca="false">IF(AND(ISNUMBER(BI256),ISNUMBER(BD256)),IFERROR(BI256/BD256-1,""),"")</f>
        <v>-0.0999227259346482</v>
      </c>
      <c r="BJ259" s="27" t="n">
        <f aca="false">IF(AND(ISNUMBER(BJ256),ISNUMBER(BE256)),IFERROR(BJ256/BE256-1,""),"")</f>
        <v>0.0335633579426931</v>
      </c>
      <c r="BK259" s="27" t="n">
        <f aca="false">IF(AND(ISNUMBER(BK256),ISNUMBER(BF256)),IFERROR(BK256/BF256-1,""),"")</f>
        <v>-0.061206644680283</v>
      </c>
      <c r="BL259" s="27" t="n">
        <f aca="false">IF(AND(ISNUMBER(BL256),ISNUMBER(BG256)),IFERROR(BL256/BG256-1,""),"")</f>
        <v>-0.0233223563228582</v>
      </c>
      <c r="BM259" s="27" t="n">
        <f aca="false">IF(AND(ISNUMBER(BM256),ISNUMBER(BH256)),IFERROR(BM256/BH256-1,""),"")</f>
        <v>0.00923994038748144</v>
      </c>
      <c r="BN259" s="27" t="n">
        <f aca="false">IF(AND(ISNUMBER(BN256),ISNUMBER(BI256)),IFERROR(BN256/BI256-1,""),"")</f>
        <v>0.221790233233172</v>
      </c>
      <c r="BO259" s="27" t="n">
        <f aca="false">IF(AND(ISNUMBER(BO256),ISNUMBER(BJ256)),IFERROR(BO256/BJ256-1,""),"")</f>
        <v>0.583735928367835</v>
      </c>
      <c r="BP259" s="27" t="n">
        <f aca="false">IF(AND(ISNUMBER(BP256),ISNUMBER(BK256)),IFERROR(BP256/BK256-1,""),"")</f>
        <v>0.323531782459754</v>
      </c>
      <c r="BQ259" s="27" t="n">
        <f aca="false">IF(AND(ISNUMBER(BQ256),ISNUMBER(BL256)),IFERROR(BQ256/BL256-1,""),"")</f>
        <v>0.318627462589948</v>
      </c>
      <c r="BR259" s="27" t="n">
        <f aca="false">IF(AND(ISNUMBER(BR256),ISNUMBER(BM256)),IFERROR(BR256/BM256-1,""),"")</f>
        <v>0.62351464507835</v>
      </c>
      <c r="BS259" s="27" t="n">
        <f aca="false">IF(AND(ISNUMBER(BS256),ISNUMBER(BN256)),IFERROR(BS256/BN256-1,""),"")</f>
        <v>0.137631501458897</v>
      </c>
      <c r="BT259" s="27" t="n">
        <f aca="false">IF(AND(ISNUMBER(BT256),ISNUMBER(BO256)),IFERROR(BT256/BO256-1,""),"")</f>
        <v>-0.0508690569899959</v>
      </c>
      <c r="BU259" s="27" t="n">
        <f aca="false">IF(AND(ISNUMBER(BU256),ISNUMBER(BP256)),IFERROR(BU256/BP256-1,""),"")</f>
        <v>-0.11842423565753</v>
      </c>
      <c r="BV259" s="27" t="n">
        <f aca="false">IF(AND(ISNUMBER(BV256),ISNUMBER(BQ256)),IFERROR(BV256/BQ256-1,""),"")</f>
        <v>0.0519118583833442</v>
      </c>
      <c r="BW259" s="27" t="n">
        <f aca="false">IF(AND(ISNUMBER(BW256),ISNUMBER(BR256)),IFERROR(BW256/BR256-1,""),"")</f>
        <v>-0.16395183662332</v>
      </c>
      <c r="BX259" s="27" t="n">
        <f aca="false">IF(AND(ISNUMBER(BX256),ISNUMBER(BS256)),IFERROR(BX256/BS256-1,""),"")</f>
        <v>0.249958822076073</v>
      </c>
      <c r="BY259" s="27" t="n">
        <f aca="false">IF(AND(ISNUMBER(BY256),ISNUMBER(BT256)),IFERROR(BY256/BT256-1,""),"")</f>
        <v>0.0162364464840825</v>
      </c>
      <c r="BZ259" s="27" t="n">
        <f aca="false">IF(AND(ISNUMBER(BZ256),ISNUMBER(BU256)),IFERROR(BZ256/BU256-1,""),"")</f>
        <v>0.176504677380667</v>
      </c>
      <c r="CA259" s="27" t="n">
        <f aca="false">IF(AND(ISNUMBER(CA256),ISNUMBER(BV256)),IFERROR(CA256/BV256-1,""),"")</f>
        <v>0.0706616483240667</v>
      </c>
      <c r="CB259" s="27" t="n">
        <f aca="false">IF(AND(ISNUMBER(CB256),ISNUMBER(BW256)),IFERROR(CB256/BW256-1,""),"")</f>
        <v>0.487242579769874</v>
      </c>
      <c r="CC259" s="33"/>
      <c r="CD259" s="33"/>
      <c r="CE259" s="33"/>
      <c r="CF259" s="28" t="n">
        <f aca="false">IFERROR(CF256/CA256-1,"")</f>
        <v>0.0684535594675098</v>
      </c>
      <c r="CG259" s="28" t="n">
        <f aca="false">IFERROR(CG256/CF256-1,"")</f>
        <v>0.192921810257488</v>
      </c>
      <c r="CH259" s="28" t="n">
        <f aca="false">IFERROR(CH256/CG256-1,"")</f>
        <v>0.150215886404333</v>
      </c>
      <c r="CI259" s="28" t="n">
        <f aca="false">IFERROR(CI256/CH256-1,"")</f>
        <v>0.145480814062938</v>
      </c>
      <c r="CJ259" s="28" t="n">
        <f aca="false">IFERROR(CJ256/CI256-1,"")</f>
        <v>0.110024461617923</v>
      </c>
      <c r="CK259" s="23"/>
    </row>
    <row r="260" customFormat="false" ht="15" hidden="false" customHeight="true" outlineLevel="0" collapsed="false">
      <c r="B260" s="29" t="s">
        <v>549</v>
      </c>
      <c r="C260" s="37" t="n">
        <f aca="false">IF(AND(ISNUMBER(C256),ISNUMBER(C132)),IFERROR(C256/C132,""),"")</f>
        <v>0.089685416181887</v>
      </c>
      <c r="D260" s="37" t="n">
        <f aca="false">IF(AND(ISNUMBER(D256),ISNUMBER(D132)),IFERROR(D256/D132,""),"")</f>
        <v>0.072450565162265</v>
      </c>
      <c r="E260" s="37" t="n">
        <f aca="false">IF(AND(ISNUMBER(E256),ISNUMBER(E132)),IFERROR(E256/E132,""),"")</f>
        <v>0.0899489575662155</v>
      </c>
      <c r="F260" s="37" t="n">
        <f aca="false">IF(AND(ISNUMBER(F256),ISNUMBER(F132)),IFERROR(F256/F132,""),"")</f>
        <v>0.0962808817159578</v>
      </c>
      <c r="G260" s="37" t="n">
        <f aca="false">IF(AND(ISNUMBER(G256),ISNUMBER(G132)),IFERROR(G256/G132,""),"")</f>
        <v>0.126994910833163</v>
      </c>
      <c r="H260" s="37" t="n">
        <f aca="false">IF(AND(ISNUMBER(H256),ISNUMBER(H132)),IFERROR(H256/H132,""),"")</f>
        <v>0.041542794636971</v>
      </c>
      <c r="I260" s="37" t="n">
        <f aca="false">IF(AND(ISNUMBER(I256),ISNUMBER(I132)),IFERROR(I256/I132,""),"")</f>
        <v>0.07534373476353</v>
      </c>
      <c r="J260" s="37" t="n">
        <f aca="false">IF(AND(ISNUMBER(J256),ISNUMBER(J132)),IFERROR(J256/J132,""),"")</f>
        <v>0.0451116448291442</v>
      </c>
      <c r="K260" s="37" t="n">
        <f aca="false">IF(AND(ISNUMBER(K256),ISNUMBER(K132)),IFERROR(K256/K132,""),"")</f>
        <v>0.076174147904631</v>
      </c>
      <c r="L260" s="37" t="n">
        <f aca="false">IF(AND(ISNUMBER(L256),ISNUMBER(L132)),IFERROR(L256/L132,""),"")</f>
        <v>0.082128042511021</v>
      </c>
      <c r="M260" s="37" t="n">
        <f aca="false">IF(AND(ISNUMBER(M256),ISNUMBER(M132)),IFERROR(M256/M132,""),"")</f>
        <v>0.123744338340924</v>
      </c>
      <c r="N260" s="37" t="n">
        <f aca="false">IF(AND(ISNUMBER(N256),ISNUMBER(N132)),IFERROR(N256/N132,""),"")</f>
        <v>0.0825354786352092</v>
      </c>
      <c r="O260" s="37" t="n">
        <f aca="false">IF(AND(ISNUMBER(O256),ISNUMBER(O132)),IFERROR(O256/O132,""),"")</f>
        <v>0.0402528511357682</v>
      </c>
      <c r="P260" s="37" t="n">
        <f aca="false">IF(AND(ISNUMBER(P256),ISNUMBER(P132)),IFERROR(P256/P132,""),"")</f>
        <v>0.0877794418899885</v>
      </c>
      <c r="Q260" s="37" t="n">
        <f aca="false">IF(AND(ISNUMBER(Q256),ISNUMBER(Q132)),IFERROR(Q256/Q132,""),"")</f>
        <v>0.112067645989293</v>
      </c>
      <c r="R260" s="37" t="n">
        <f aca="false">IF(AND(ISNUMBER(R256),ISNUMBER(R132)),IFERROR(R256/R132,""),"")</f>
        <v>0.1643494180024</v>
      </c>
      <c r="S260" s="37" t="n">
        <f aca="false">IF(AND(ISNUMBER(S256),ISNUMBER(S132)),IFERROR(S256/S132,""),"")</f>
        <v>0.101583501251809</v>
      </c>
      <c r="T260" s="37" t="n">
        <f aca="false">IF(AND(ISNUMBER(T256),ISNUMBER(T132)),IFERROR(T256/T132,""),"")</f>
        <v>0.0727272232339483</v>
      </c>
      <c r="U260" s="37" t="n">
        <f aca="false">IF(AND(ISNUMBER(U256),ISNUMBER(U132)),IFERROR(U256/U132,""),"")</f>
        <v>0.0884803792842843</v>
      </c>
      <c r="V260" s="37" t="n">
        <f aca="false">IF(AND(ISNUMBER(V256),ISNUMBER(V132)),IFERROR(V256/V132,""),"")</f>
        <v>0.110071091863891</v>
      </c>
      <c r="W260" s="37" t="n">
        <f aca="false">IF(AND(ISNUMBER(W256),ISNUMBER(W132)),IFERROR(W256/W132,""),"")</f>
        <v>0.0533492971626569</v>
      </c>
      <c r="X260" s="37" t="n">
        <f aca="false">IF(AND(ISNUMBER(X256),ISNUMBER(X132)),IFERROR(X256/X132,""),"")</f>
        <v>0.0809839696610546</v>
      </c>
      <c r="Y260" s="37" t="n">
        <f aca="false">IF(AND(ISNUMBER(Y256),ISNUMBER(Y132)),IFERROR(Y256/Y132,""),"")</f>
        <v>0.0671054058337295</v>
      </c>
      <c r="Z260" s="37" t="n">
        <f aca="false">IF(AND(ISNUMBER(Z256),ISNUMBER(Z132)),IFERROR(Z256/Z132,""),"")</f>
        <v>0.0514880073498048</v>
      </c>
      <c r="AA260" s="37" t="n">
        <f aca="false">IF(AND(ISNUMBER(AA256),ISNUMBER(AA132)),IFERROR(AA256/AA132,""),"")</f>
        <v>-0.0440496249022476</v>
      </c>
      <c r="AB260" s="37" t="n">
        <f aca="false">IF(AND(ISNUMBER(AB256),ISNUMBER(AB132)),IFERROR(AB256/AB132,""),"")</f>
        <v>0.0792886609695573</v>
      </c>
      <c r="AC260" s="37" t="n">
        <f aca="false">IF(AND(ISNUMBER(AC256),ISNUMBER(AC132)),IFERROR(AC256/AC132,""),"")</f>
        <v>0.0388261401891526</v>
      </c>
      <c r="AD260" s="37" t="n">
        <f aca="false">IF(AND(ISNUMBER(AD256),ISNUMBER(AD132)),IFERROR(AD256/AD132,""),"")</f>
        <v>0.0610510536035792</v>
      </c>
      <c r="AE260" s="37" t="n">
        <f aca="false">IF(AND(ISNUMBER(AE256),ISNUMBER(AE132)),IFERROR(AE256/AE132,""),"")</f>
        <v>0.0520771086641227</v>
      </c>
      <c r="AF260" s="37" t="n">
        <f aca="false">IF(AND(ISNUMBER(AF256),ISNUMBER(AF132)),IFERROR(AF256/AF132,""),"")</f>
        <v>0.0925655766176086</v>
      </c>
      <c r="AG260" s="37" t="n">
        <f aca="false">IF(AND(ISNUMBER(AG256),ISNUMBER(AG132)),IFERROR(AG256/AG132,""),"")</f>
        <v>0.14731419661802</v>
      </c>
      <c r="AH260" s="37" t="n">
        <f aca="false">IF(AND(ISNUMBER(AH256),ISNUMBER(AH132)),IFERROR(AH256/AH132,""),"")</f>
        <v>0.0921538398247279</v>
      </c>
      <c r="AI260" s="37" t="n">
        <f aca="false">IF(AND(ISNUMBER(AI256),ISNUMBER(AI132)),IFERROR(AI256/AI132,""),"")</f>
        <v>0.119049731834195</v>
      </c>
      <c r="AJ260" s="37" t="n">
        <f aca="false">IF(AND(ISNUMBER(AJ256),ISNUMBER(AJ132)),IFERROR(AJ256/AJ132,""),"")</f>
        <v>0.034046690790387</v>
      </c>
      <c r="AK260" s="37" t="n">
        <f aca="false">IF(AND(ISNUMBER(AK256),ISNUMBER(AK132)),IFERROR(AK256/AK132,""),"")</f>
        <v>0.137358114902545</v>
      </c>
      <c r="AL260" s="37" t="n">
        <f aca="false">IF(AND(ISNUMBER(AL256),ISNUMBER(AL132)),IFERROR(AL256/AL132,""),"")</f>
        <v>0.136346320864904</v>
      </c>
      <c r="AM260" s="37" t="n">
        <f aca="false">IF(AND(ISNUMBER(AM256),ISNUMBER(AM132)),IFERROR(AM256/AM132,""),"")</f>
        <v>0.10691683578749</v>
      </c>
      <c r="AN260" s="37" t="n">
        <f aca="false">IF(AND(ISNUMBER(AN256),ISNUMBER(AN132)),IFERROR(AN256/AN132,""),"")</f>
        <v>0.057984952664203</v>
      </c>
      <c r="AO260" s="37" t="n">
        <f aca="false">IF(AND(ISNUMBER(AO256),ISNUMBER(AO132)),IFERROR(AO256/AO132,""),"")</f>
        <v>0.0631426529505293</v>
      </c>
      <c r="AP260" s="37" t="n">
        <f aca="false">IF(AND(ISNUMBER(AP256),ISNUMBER(AP132)),IFERROR(AP256/AP132,""),"")</f>
        <v>0.152145536250319</v>
      </c>
      <c r="AQ260" s="37" t="n">
        <f aca="false">IF(AND(ISNUMBER(AQ256),ISNUMBER(AQ132)),IFERROR(AQ256/AQ132,""),"")</f>
        <v>0.182987963628863</v>
      </c>
      <c r="AR260" s="37" t="n">
        <f aca="false">IF(AND(ISNUMBER(AR256),ISNUMBER(AR132)),IFERROR(AR256/AR132,""),"")</f>
        <v>0.114786450914883</v>
      </c>
      <c r="AS260" s="37" t="n">
        <f aca="false">IF(AND(ISNUMBER(AS256),ISNUMBER(AS132)),IFERROR(AS256/AS132,""),"")</f>
        <v>0.117140650165448</v>
      </c>
      <c r="AT260" s="37" t="n">
        <f aca="false">IF(AND(ISNUMBER(AT256),ISNUMBER(AT132)),IFERROR(AT256/AT132,""),"")</f>
        <v>0.126387051599757</v>
      </c>
      <c r="AU260" s="37" t="n">
        <f aca="false">IF(AND(ISNUMBER(AU256),ISNUMBER(AU132)),IFERROR(AU256/AU132,""),"")</f>
        <v>0.165678806703456</v>
      </c>
      <c r="AV260" s="37" t="n">
        <f aca="false">IF(AND(ISNUMBER(AV256),ISNUMBER(AV132)),IFERROR(AV256/AV132,""),"")</f>
        <v>0.19512664980637</v>
      </c>
      <c r="AW260" s="37" t="n">
        <f aca="false">IF(AND(ISNUMBER(AW256),ISNUMBER(AW132)),IFERROR(AW256/AW132,""),"")</f>
        <v>0.14977784427081</v>
      </c>
      <c r="AX260" s="37" t="n">
        <f aca="false">IF(AND(ISNUMBER(AX256),ISNUMBER(AX132)),IFERROR(AX256/AX132,""),"")</f>
        <v>0.161124486494997</v>
      </c>
      <c r="AY260" s="37" t="n">
        <f aca="false">IF(AND(ISNUMBER(AY256),ISNUMBER(AY132)),IFERROR(AY256/AY132,""),"")</f>
        <v>0.133114747007481</v>
      </c>
      <c r="AZ260" s="37" t="n">
        <f aca="false">IF(AND(ISNUMBER(AZ256),ISNUMBER(AZ132)),IFERROR(AZ256/AZ132,""),"")</f>
        <v>0.162684800028812</v>
      </c>
      <c r="BA260" s="37" t="n">
        <f aca="false">IF(AND(ISNUMBER(BA256),ISNUMBER(BA132)),IFERROR(BA256/BA132,""),"")</f>
        <v>0.224913532509543</v>
      </c>
      <c r="BB260" s="37" t="n">
        <f aca="false">IF(AND(ISNUMBER(BB256),ISNUMBER(BB132)),IFERROR(BB256/BB132,""),"")</f>
        <v>0.171052816475885</v>
      </c>
      <c r="BC260" s="37" t="n">
        <f aca="false">IF(AND(ISNUMBER(BC256),ISNUMBER(BC132)),IFERROR(BC256/BC132,""),"")</f>
        <v>0.112492685626927</v>
      </c>
      <c r="BD260" s="37" t="n">
        <f aca="false">IF(AND(ISNUMBER(BD256),ISNUMBER(BD132)),IFERROR(BD256/BD132,""),"")</f>
        <v>0.14137371175182</v>
      </c>
      <c r="BE260" s="37" t="n">
        <f aca="false">IF(AND(ISNUMBER(BE256),ISNUMBER(BE132)),IFERROR(BE256/BE132,""),"")</f>
        <v>0.171407192500849</v>
      </c>
      <c r="BF260" s="37" t="n">
        <f aca="false">IF(AND(ISNUMBER(BF256),ISNUMBER(BF132)),IFERROR(BF256/BF132,""),"")</f>
        <v>0.229311327111669</v>
      </c>
      <c r="BG260" s="37" t="n">
        <f aca="false">IF(AND(ISNUMBER(BG256),ISNUMBER(BG132)),IFERROR(BG256/BG132,""),"")</f>
        <v>0.165123148519841</v>
      </c>
      <c r="BH260" s="37" t="n">
        <f aca="false">IF(AND(ISNUMBER(BH256),ISNUMBER(BH132)),IFERROR(BH256/BH132,""),"")</f>
        <v>0.105305720776901</v>
      </c>
      <c r="BI260" s="37" t="n">
        <f aca="false">IF(AND(ISNUMBER(BI256),ISNUMBER(BI132)),IFERROR(BI256/BI132,""),"")</f>
        <v>0.11246941179608</v>
      </c>
      <c r="BJ260" s="37" t="n">
        <f aca="false">IF(AND(ISNUMBER(BJ256),ISNUMBER(BJ132)),IFERROR(BJ256/BJ132,""),"")</f>
        <v>0.158599187392066</v>
      </c>
      <c r="BK260" s="37" t="n">
        <f aca="false">IF(AND(ISNUMBER(BK256),ISNUMBER(BK132)),IFERROR(BK256/BK132,""),"")</f>
        <v>0.195506968571718</v>
      </c>
      <c r="BL260" s="37" t="n">
        <f aca="false">IF(AND(ISNUMBER(BL256),ISNUMBER(BL132)),IFERROR(BL256/BL132,""),"")</f>
        <v>0.143686273993795</v>
      </c>
      <c r="BM260" s="37" t="n">
        <f aca="false">IF(AND(ISNUMBER(BM256),ISNUMBER(BM132)),IFERROR(BM256/BM132,""),"")</f>
        <v>0.0982987025739328</v>
      </c>
      <c r="BN260" s="37" t="n">
        <f aca="false">IF(AND(ISNUMBER(BN256),ISNUMBER(BN132)),IFERROR(BN256/BN132,""),"")</f>
        <v>0.125718867379249</v>
      </c>
      <c r="BO260" s="37" t="n">
        <f aca="false">IF(AND(ISNUMBER(BO256),ISNUMBER(BO132)),IFERROR(BO256/BO132,""),"")</f>
        <v>0.22861157531067</v>
      </c>
      <c r="BP260" s="37" t="n">
        <f aca="false">IF(AND(ISNUMBER(BP256),ISNUMBER(BP132)),IFERROR(BP256/BP132,""),"")</f>
        <v>0.239232921950598</v>
      </c>
      <c r="BQ260" s="37" t="n">
        <f aca="false">IF(AND(ISNUMBER(BQ256),ISNUMBER(BQ132)),IFERROR(BQ256/BQ132,""),"")</f>
        <v>0.174052204865987</v>
      </c>
      <c r="BR260" s="37" t="n">
        <f aca="false">IF(AND(ISNUMBER(BR256),ISNUMBER(BR132)),IFERROR(BR256/BR132,""),"")</f>
        <v>0.149429542126658</v>
      </c>
      <c r="BS260" s="37" t="n">
        <f aca="false">IF(AND(ISNUMBER(BS256),ISNUMBER(BS132)),IFERROR(BS256/BS132,""),"")</f>
        <v>0.132715378312683</v>
      </c>
      <c r="BT260" s="37" t="n">
        <f aca="false">IF(AND(ISNUMBER(BT256),ISNUMBER(BT132)),IFERROR(BT256/BT132,""),"")</f>
        <v>0.200101641946696</v>
      </c>
      <c r="BU260" s="37" t="n">
        <f aca="false">IF(AND(ISNUMBER(BU256),ISNUMBER(BU132)),IFERROR(BU256/BU132,""),"")</f>
        <v>0.19534969328833</v>
      </c>
      <c r="BV260" s="37" t="n">
        <f aca="false">IF(AND(ISNUMBER(BV256),ISNUMBER(BV132)),IFERROR(BV256/BV132,""),"")</f>
        <v>0.169921687057509</v>
      </c>
      <c r="BW260" s="37" t="n">
        <f aca="false">IF(AND(ISNUMBER(BW256),ISNUMBER(BW132)),IFERROR(BW256/BW132,""),"")</f>
        <v>0.114977914898595</v>
      </c>
      <c r="BX260" s="37" t="n">
        <f aca="false">IF(AND(ISNUMBER(BX256),ISNUMBER(BX132)),IFERROR(BX256/BX132,""),"")</f>
        <v>0.151775790787974</v>
      </c>
      <c r="BY260" s="37" t="n">
        <f aca="false">IF(AND(ISNUMBER(BY256),ISNUMBER(BY132)),IFERROR(BY256/BY132,""),"")</f>
        <v>0.186726889567417</v>
      </c>
      <c r="BZ260" s="37" t="n">
        <f aca="false">IF(AND(ISNUMBER(BZ256),ISNUMBER(BZ132)),IFERROR(BZ256/BZ132,""),"")</f>
        <v>0.211037232165876</v>
      </c>
      <c r="CA260" s="37" t="n">
        <f aca="false">IF(AND(ISNUMBER(CA256),ISNUMBER(CA132)),IFERROR(CA256/CA132,""),"")</f>
        <v>0.166996441380336</v>
      </c>
      <c r="CB260" s="37" t="n">
        <f aca="false">IF(AND(ISNUMBER(CB256),ISNUMBER(CB132)),IFERROR(CB256/CB132,""),"")</f>
        <v>0.154214309911045</v>
      </c>
      <c r="CC260" s="33"/>
      <c r="CD260" s="33"/>
      <c r="CE260" s="33"/>
      <c r="CF260" s="28" t="n">
        <f aca="false">IF(AND(ISNUMBER(CF256),ISNUMBER(CF132)),IFERROR(CF256/CF132,""),"")</f>
        <v>0.151360798152681</v>
      </c>
      <c r="CG260" s="28" t="n">
        <f aca="false">IF(AND(ISNUMBER(CG256),ISNUMBER(CG132)),IFERROR(CG256/CG132,""),"")</f>
        <v>0.150885849876884</v>
      </c>
      <c r="CH260" s="28" t="n">
        <f aca="false">IF(AND(ISNUMBER(CH256),ISNUMBER(CH132)),IFERROR(CH256/CH132,""),"")</f>
        <v>0.161146566530412</v>
      </c>
      <c r="CI260" s="28" t="n">
        <f aca="false">IF(AND(ISNUMBER(CI256),ISNUMBER(CI132)),IFERROR(CI256/CI132,""),"")</f>
        <v>0.171403013189276</v>
      </c>
      <c r="CJ260" s="28" t="n">
        <f aca="false">IF(AND(ISNUMBER(CJ256),ISNUMBER(CJ132)),IFERROR(CJ256/CJ132,""),"")</f>
        <v>0.177402348486957</v>
      </c>
      <c r="CK260" s="23"/>
    </row>
    <row r="261" customFormat="false" ht="15" hidden="false" customHeight="true" outlineLevel="0" collapsed="false">
      <c r="B261" s="29" t="s">
        <v>550</v>
      </c>
      <c r="C261" s="37" t="n">
        <f aca="false">IF(AND(ISNUMBER(C256),ISNUMBER(C204)),IFERROR(C256/C204,""),"")</f>
        <v>0.932990604502747</v>
      </c>
      <c r="D261" s="37" t="n">
        <f aca="false">IF(AND(ISNUMBER(D256),ISNUMBER(D204)),IFERROR(D256/D204,""),"")</f>
        <v>0.802799681949435</v>
      </c>
      <c r="E261" s="37" t="n">
        <f aca="false">IF(AND(ISNUMBER(E256),ISNUMBER(E204)),IFERROR(E256/E204,""),"")</f>
        <v>1.05606654641404</v>
      </c>
      <c r="F261" s="37" t="n">
        <f aca="false">IF(AND(ISNUMBER(F256),ISNUMBER(F204)),IFERROR(F256/F204,""),"")</f>
        <v>1.29491242777928</v>
      </c>
      <c r="G261" s="37" t="n">
        <f aca="false">IF(AND(ISNUMBER(G256),ISNUMBER(G204)),IFERROR(G256/G204,""),"")</f>
        <v>1.97793372861861</v>
      </c>
      <c r="H261" s="37" t="n">
        <f aca="false">IF(AND(ISNUMBER(H256),ISNUMBER(H204)),IFERROR(H256/H204,""),"")</f>
        <v>0.642781730175747</v>
      </c>
      <c r="I261" s="37" t="n">
        <f aca="false">IF(AND(ISNUMBER(I256),ISNUMBER(I204)),IFERROR(I256/I204,""),"")</f>
        <v>1.03837896498083</v>
      </c>
      <c r="J261" s="37" t="n">
        <f aca="false">IF(AND(ISNUMBER(J256),ISNUMBER(J204)),IFERROR(J256/J204,""),"")</f>
        <v>0.618078271408651</v>
      </c>
      <c r="K261" s="37" t="n">
        <f aca="false">IF(AND(ISNUMBER(K256),ISNUMBER(K204)),IFERROR(K256/K204,""),"")</f>
        <v>1.03520576210799</v>
      </c>
      <c r="L261" s="37" t="n">
        <f aca="false">IF(AND(ISNUMBER(L256),ISNUMBER(L204)),IFERROR(L256/L204,""),"")</f>
        <v>1.18255806170939</v>
      </c>
      <c r="M261" s="37" t="n">
        <f aca="false">IF(AND(ISNUMBER(M256),ISNUMBER(M204)),IFERROR(M256/M204,""),"")</f>
        <v>1.62506251671959</v>
      </c>
      <c r="N261" s="37" t="n">
        <f aca="false">IF(AND(ISNUMBER(N256),ISNUMBER(N204)),IFERROR(N256/N204,""),"")</f>
        <v>1.12940572276362</v>
      </c>
      <c r="O261" s="37" t="n">
        <f aca="false">IF(AND(ISNUMBER(O256),ISNUMBER(O204)),IFERROR(O256/O204,""),"")</f>
        <v>0.579995884456105</v>
      </c>
      <c r="P261" s="37" t="n">
        <f aca="false">IF(AND(ISNUMBER(P256),ISNUMBER(P204)),IFERROR(P256/P204,""),"")</f>
        <v>1.1830736961184</v>
      </c>
      <c r="Q261" s="37" t="n">
        <f aca="false">IF(AND(ISNUMBER(Q256),ISNUMBER(Q204)),IFERROR(Q256/Q204,""),"")</f>
        <v>1.4971631876315</v>
      </c>
      <c r="R261" s="37" t="n">
        <f aca="false">IF(AND(ISNUMBER(R256),ISNUMBER(R204)),IFERROR(R256/R204,""),"")</f>
        <v>2.07058657059201</v>
      </c>
      <c r="S261" s="37" t="n">
        <f aca="false">IF(AND(ISNUMBER(S256),ISNUMBER(S204)),IFERROR(S256/S204,""),"")</f>
        <v>1.36246986984846</v>
      </c>
      <c r="T261" s="37" t="n">
        <f aca="false">IF(AND(ISNUMBER(T256),ISNUMBER(T204)),IFERROR(T256/T204,""),"")</f>
        <v>0.870611223986788</v>
      </c>
      <c r="U261" s="37" t="n">
        <f aca="false">IF(AND(ISNUMBER(U256),ISNUMBER(U204)),IFERROR(U256/U204,""),"")</f>
        <v>0.960858805560391</v>
      </c>
      <c r="V261" s="37" t="n">
        <f aca="false">IF(AND(ISNUMBER(V256),ISNUMBER(V204)),IFERROR(V256/V204,""),"")</f>
        <v>1.21824188767006</v>
      </c>
      <c r="W261" s="37" t="n">
        <f aca="false">IF(AND(ISNUMBER(W256),ISNUMBER(W204)),IFERROR(W256/W204,""),"")</f>
        <v>0.614296012711375</v>
      </c>
      <c r="X261" s="37" t="n">
        <f aca="false">IF(AND(ISNUMBER(X256),ISNUMBER(X204)),IFERROR(X256/X204,""),"")</f>
        <v>0.92073227999786</v>
      </c>
      <c r="Y261" s="37" t="n">
        <f aca="false">IF(AND(ISNUMBER(Y256),ISNUMBER(Y204)),IFERROR(Y256/Y204,""),"")</f>
        <v>0.757566055857925</v>
      </c>
      <c r="Z261" s="37" t="n">
        <f aca="false">IF(AND(ISNUMBER(Z256),ISNUMBER(Z204)),IFERROR(Z256/Z204,""),"")</f>
        <v>0.543667119953574</v>
      </c>
      <c r="AA261" s="37" t="n">
        <f aca="false">IF(AND(ISNUMBER(AA256),ISNUMBER(AA204)),IFERROR(AA256/AA204,""),"")</f>
        <v>-0.456756964162382</v>
      </c>
      <c r="AB261" s="37" t="n">
        <f aca="false">IF(AND(ISNUMBER(AB256),ISNUMBER(AB204)),IFERROR(AB256/AB204,""),"")</f>
        <v>0.854225453559415</v>
      </c>
      <c r="AC261" s="37" t="n">
        <f aca="false">IF(AND(ISNUMBER(AC256),ISNUMBER(AC204)),IFERROR(AC256/AC204,""),"")</f>
        <v>0.41681530000591</v>
      </c>
      <c r="AD261" s="37" t="n">
        <f aca="false">IF(AND(ISNUMBER(AD256),ISNUMBER(AD204)),IFERROR(AD256/AD204,""),"")</f>
        <v>0.585402282319137</v>
      </c>
      <c r="AE261" s="37" t="n">
        <f aca="false">IF(AND(ISNUMBER(AE256),ISNUMBER(AE204)),IFERROR(AE256/AE204,""),"")</f>
        <v>0.550367173399989</v>
      </c>
      <c r="AF261" s="37" t="n">
        <f aca="false">IF(AND(ISNUMBER(AF256),ISNUMBER(AF204)),IFERROR(AF256/AF204,""),"")</f>
        <v>0.990224334647098</v>
      </c>
      <c r="AG261" s="37" t="n">
        <f aca="false">IF(AND(ISNUMBER(AG256),ISNUMBER(AG204)),IFERROR(AG256/AG204,""),"")</f>
        <v>1.65420093621009</v>
      </c>
      <c r="AH261" s="37" t="n">
        <f aca="false">IF(AND(ISNUMBER(AH256),ISNUMBER(AH204)),IFERROR(AH256/AH204,""),"")</f>
        <v>0.954184906445563</v>
      </c>
      <c r="AI261" s="37" t="n">
        <f aca="false">IF(AND(ISNUMBER(AI256),ISNUMBER(AI204)),IFERROR(AI256/AI204,""),"")</f>
        <v>1.19431463784599</v>
      </c>
      <c r="AJ261" s="37" t="n">
        <f aca="false">IF(AND(ISNUMBER(AJ256),ISNUMBER(AJ204)),IFERROR(AJ256/AJ204,""),"")</f>
        <v>0.380184264371971</v>
      </c>
      <c r="AK261" s="37" t="n">
        <f aca="false">IF(AND(ISNUMBER(AK256),ISNUMBER(AK204)),IFERROR(AK256/AK204,""),"")</f>
        <v>1.44614799562209</v>
      </c>
      <c r="AL261" s="37" t="n">
        <f aca="false">IF(AND(ISNUMBER(AL256),ISNUMBER(AL204)),IFERROR(AL256/AL204,""),"")</f>
        <v>1.16309663675832</v>
      </c>
      <c r="AM261" s="37" t="n">
        <f aca="false">IF(AND(ISNUMBER(AM256),ISNUMBER(AM204)),IFERROR(AM256/AM204,""),"")</f>
        <v>1.06161516865991</v>
      </c>
      <c r="AN261" s="37" t="n">
        <f aca="false">IF(AND(ISNUMBER(AN256),ISNUMBER(AN204)),IFERROR(AN256/AN204,""),"")</f>
        <v>0.461047855191161</v>
      </c>
      <c r="AO261" s="37" t="n">
        <f aca="false">IF(AND(ISNUMBER(AO256),ISNUMBER(AO204)),IFERROR(AO256/AO204,""),"")</f>
        <v>0.56105592620426</v>
      </c>
      <c r="AP261" s="37" t="n">
        <f aca="false">IF(AND(ISNUMBER(AP256),ISNUMBER(AP204)),IFERROR(AP256/AP204,""),"")</f>
        <v>1.2861086331532</v>
      </c>
      <c r="AQ261" s="37" t="n">
        <f aca="false">IF(AND(ISNUMBER(AQ256),ISNUMBER(AQ204)),IFERROR(AQ256/AQ204,""),"")</f>
        <v>1.46360805338214</v>
      </c>
      <c r="AR261" s="37" t="n">
        <f aca="false">IF(AND(ISNUMBER(AR256),ISNUMBER(AR204)),IFERROR(AR256/AR204,""),"")</f>
        <v>0.950708015684986</v>
      </c>
      <c r="AS261" s="37" t="n">
        <f aca="false">IF(AND(ISNUMBER(AS256),ISNUMBER(AS204)),IFERROR(AS256/AS204,""),"")</f>
        <v>0.853984776579601</v>
      </c>
      <c r="AT261" s="37" t="n">
        <f aca="false">IF(AND(ISNUMBER(AT256),ISNUMBER(AT204)),IFERROR(AT256/AT204,""),"")</f>
        <v>0.956396470346809</v>
      </c>
      <c r="AU261" s="37" t="n">
        <f aca="false">IF(AND(ISNUMBER(AU256),ISNUMBER(AU204)),IFERROR(AU256/AU204,""),"")</f>
        <v>1.29087310125221</v>
      </c>
      <c r="AV261" s="37" t="n">
        <f aca="false">IF(AND(ISNUMBER(AV256),ISNUMBER(AV204)),IFERROR(AV256/AV204,""),"")</f>
        <v>2.20360918193735</v>
      </c>
      <c r="AW261" s="37" t="n">
        <f aca="false">IF(AND(ISNUMBER(AW256),ISNUMBER(AW204)),IFERROR(AW256/AW204,""),"")</f>
        <v>1.2227610912732</v>
      </c>
      <c r="AX261" s="37" t="n">
        <f aca="false">IF(AND(ISNUMBER(AX256),ISNUMBER(AX204)),IFERROR(AX256/AX204,""),"")</f>
        <v>0.938037699371677</v>
      </c>
      <c r="AY261" s="37" t="n">
        <f aca="false">IF(AND(ISNUMBER(AY256),ISNUMBER(AY204)),IFERROR(AY256/AY204,""),"")</f>
        <v>0.91393075330153</v>
      </c>
      <c r="AZ261" s="37" t="n">
        <f aca="false">IF(AND(ISNUMBER(AZ256),ISNUMBER(AZ204)),IFERROR(AZ256/AZ204,""),"")</f>
        <v>1.13341124637208</v>
      </c>
      <c r="BA261" s="37" t="n">
        <f aca="false">IF(AND(ISNUMBER(BA256),ISNUMBER(BA204)),IFERROR(BA256/BA204,""),"")</f>
        <v>1.54292614980743</v>
      </c>
      <c r="BB261" s="37" t="n">
        <f aca="false">IF(AND(ISNUMBER(BB256),ISNUMBER(BB204)),IFERROR(BB256/BB204,""),"")</f>
        <v>1.11446862761704</v>
      </c>
      <c r="BC261" s="37" t="n">
        <f aca="false">IF(AND(ISNUMBER(BC256),ISNUMBER(BC204)),IFERROR(BC256/BC204,""),"")</f>
        <v>0.666954522929814</v>
      </c>
      <c r="BD261" s="37" t="n">
        <f aca="false">IF(AND(ISNUMBER(BD256),ISNUMBER(BD204)),IFERROR(BD256/BD204,""),"")</f>
        <v>0.927834699570156</v>
      </c>
      <c r="BE261" s="37" t="n">
        <f aca="false">IF(AND(ISNUMBER(BE256),ISNUMBER(BE204)),IFERROR(BE256/BE204,""),"")</f>
        <v>1.18255224024598</v>
      </c>
      <c r="BF261" s="37" t="n">
        <f aca="false">IF(AND(ISNUMBER(BF256),ISNUMBER(BF204)),IFERROR(BF256/BF204,""),"")</f>
        <v>1.61566047795803</v>
      </c>
      <c r="BG261" s="37" t="n">
        <f aca="false">IF(AND(ISNUMBER(BG256),ISNUMBER(BG204)),IFERROR(BG256/BG204,""),"")</f>
        <v>1.08960224126599</v>
      </c>
      <c r="BH261" s="37" t="n">
        <f aca="false">IF(AND(ISNUMBER(BH256),ISNUMBER(BH204)),IFERROR(BH256/BH204,""),"")</f>
        <v>0.648698139549431</v>
      </c>
      <c r="BI261" s="37" t="n">
        <f aca="false">IF(AND(ISNUMBER(BI256),ISNUMBER(BI204)),IFERROR(BI256/BI204,""),"")</f>
        <v>0.754271600065373</v>
      </c>
      <c r="BJ261" s="37" t="n">
        <f aca="false">IF(AND(ISNUMBER(BJ256),ISNUMBER(BJ204)),IFERROR(BJ256/BJ204,""),"")</f>
        <v>1.06599514466266</v>
      </c>
      <c r="BK261" s="37" t="n">
        <f aca="false">IF(AND(ISNUMBER(BK256),ISNUMBER(BK204)),IFERROR(BK256/BK204,""),"")</f>
        <v>1.29008870569409</v>
      </c>
      <c r="BL261" s="37" t="n">
        <f aca="false">IF(AND(ISNUMBER(BL256),ISNUMBER(BL204)),IFERROR(BL256/BL204,""),"")</f>
        <v>0.939685165540315</v>
      </c>
      <c r="BM261" s="37" t="n">
        <f aca="false">IF(AND(ISNUMBER(BM256),ISNUMBER(BM204)),IFERROR(BM256/BM204,""),"")</f>
        <v>0.597914746095018</v>
      </c>
      <c r="BN261" s="37" t="n">
        <f aca="false">IF(AND(ISNUMBER(BN256),ISNUMBER(BN204)),IFERROR(BN256/BN204,""),"")</f>
        <v>0.797772634692335</v>
      </c>
      <c r="BO261" s="37" t="n">
        <f aca="false">IF(AND(ISNUMBER(BO256),ISNUMBER(BO204)),IFERROR(BO256/BO204,""),"")</f>
        <v>1.38357156690872</v>
      </c>
      <c r="BP261" s="37" t="n">
        <f aca="false">IF(AND(ISNUMBER(BP256),ISNUMBER(BP204)),IFERROR(BP256/BP204,""),"")</f>
        <v>1.42676224611709</v>
      </c>
      <c r="BQ261" s="37" t="n">
        <f aca="false">IF(AND(ISNUMBER(BQ256),ISNUMBER(BQ204)),IFERROR(BQ256/BQ204,""),"")</f>
        <v>1.06281528539214</v>
      </c>
      <c r="BR261" s="37" t="n">
        <f aca="false">IF(AND(ISNUMBER(BR256),ISNUMBER(BR204)),IFERROR(BR256/BR204,""),"")</f>
        <v>0.826955111684324</v>
      </c>
      <c r="BS261" s="37" t="n">
        <f aca="false">IF(AND(ISNUMBER(BS256),ISNUMBER(BS204)),IFERROR(BS256/BS204,""),"")</f>
        <v>0.758064192465914</v>
      </c>
      <c r="BT261" s="37" t="n">
        <f aca="false">IF(AND(ISNUMBER(BT256),ISNUMBER(BT204)),IFERROR(BT256/BT204,""),"")</f>
        <v>1.12643016028151</v>
      </c>
      <c r="BU261" s="37" t="n">
        <f aca="false">IF(AND(ISNUMBER(BU256),ISNUMBER(BU204)),IFERROR(BU256/BU204,""),"")</f>
        <v>1.16256112578527</v>
      </c>
      <c r="BV261" s="37" t="n">
        <f aca="false">IF(AND(ISNUMBER(BV256),ISNUMBER(BV204)),IFERROR(BV256/BV204,""),"")</f>
        <v>0.96950803986799</v>
      </c>
      <c r="BW261" s="37" t="n">
        <f aca="false">IF(AND(ISNUMBER(BW256),ISNUMBER(BW204)),IFERROR(BW256/BW204,""),"")</f>
        <v>0.636323655169606</v>
      </c>
      <c r="BX261" s="37" t="n">
        <f aca="false">IF(AND(ISNUMBER(BX256),ISNUMBER(BX204)),IFERROR(BX256/BX204,""),"")</f>
        <v>0.85793278596851</v>
      </c>
      <c r="BY261" s="37" t="n">
        <f aca="false">IF(AND(ISNUMBER(BY256),ISNUMBER(BY204)),IFERROR(BY256/BY204,""),"")</f>
        <v>1.05587706170795</v>
      </c>
      <c r="BZ261" s="37" t="n">
        <f aca="false">IF(AND(ISNUMBER(BZ256),ISNUMBER(BZ204)),IFERROR(BZ256/BZ204,""),"")</f>
        <v>1.17553346859716</v>
      </c>
      <c r="CA261" s="37" t="n">
        <f aca="false">IF(AND(ISNUMBER(CA256),ISNUMBER(CA204)),IFERROR(CA256/CA204,""),"")</f>
        <v>0.937487778063466</v>
      </c>
      <c r="CB261" s="37" t="n">
        <f aca="false">IF(AND(ISNUMBER(CB256),ISNUMBER(CB204)),IFERROR(CB256/CB204,""),"")</f>
        <v>0.827098343234537</v>
      </c>
      <c r="CC261" s="33"/>
      <c r="CD261" s="33"/>
      <c r="CE261" s="33"/>
      <c r="CF261" s="28" t="n">
        <f aca="false">IF(AND(ISNUMBER(CF256),ISNUMBER(CF204)),IFERROR(CF256/CF204,""),"")</f>
        <v>0.914083560856999</v>
      </c>
      <c r="CG261" s="28" t="n">
        <f aca="false">IF(AND(ISNUMBER(CG256),ISNUMBER(CG204)),IFERROR(CG256/CG204,""),"")</f>
        <v>0.946191534848287</v>
      </c>
      <c r="CH261" s="28" t="n">
        <f aca="false">IF(AND(ISNUMBER(CH256),ISNUMBER(CH204)),IFERROR(CH256/CH204,""),"")</f>
        <v>0.963148972383157</v>
      </c>
      <c r="CI261" s="28" t="n">
        <f aca="false">IF(AND(ISNUMBER(CI256),ISNUMBER(CI204)),IFERROR(CI256/CI204,""),"")</f>
        <v>0.976425922640153</v>
      </c>
      <c r="CJ261" s="28" t="n">
        <f aca="false">IF(AND(ISNUMBER(CJ256),ISNUMBER(CJ204)),IFERROR(CJ256/CJ204,""),"")</f>
        <v>0.986545926075295</v>
      </c>
      <c r="CK261" s="23"/>
    </row>
    <row r="262" customFormat="false" ht="15" hidden="false" customHeight="true" outlineLevel="0" collapsed="false">
      <c r="B262" s="29" t="s">
        <v>551</v>
      </c>
      <c r="C262" s="68" t="n">
        <f aca="false">IF(AND(ISNUMBER(C256),ISNUMBER(C161)),IFERROR(C256/C161,""),"")</f>
        <v>0.452778189800943</v>
      </c>
      <c r="D262" s="68" t="n">
        <f aca="false">IF(AND(ISNUMBER(D256),ISNUMBER(D161)),IFERROR(D256/D161,""),"")</f>
        <v>0.419146060541742</v>
      </c>
      <c r="E262" s="68" t="n">
        <f aca="false">IF(AND(ISNUMBER(E256),ISNUMBER(E161)),IFERROR(E256/E161,""),"")</f>
        <v>0.567899057269288</v>
      </c>
      <c r="F262" s="68" t="n">
        <f aca="false">IF(AND(ISNUMBER(F256),ISNUMBER(F161)),IFERROR(F256/F161,""),"")</f>
        <v>0.592422701250603</v>
      </c>
      <c r="G262" s="68" t="n">
        <f aca="false">IF(AND(ISNUMBER(G256),ISNUMBER(G161)),IFERROR(G256/G161,""),"")</f>
        <v>0.736780300800084</v>
      </c>
      <c r="H262" s="68" t="n">
        <f aca="false">IF(AND(ISNUMBER(H256),ISNUMBER(H161)),IFERROR(H256/H161,""),"")</f>
        <v>0.269967800472078</v>
      </c>
      <c r="I262" s="68" t="n">
        <f aca="false">IF(AND(ISNUMBER(I256),ISNUMBER(I161)),IFERROR(I256/I161,""),"")</f>
        <v>0.594195319649628</v>
      </c>
      <c r="J262" s="68" t="n">
        <f aca="false">IF(AND(ISNUMBER(J256),ISNUMBER(J161)),IFERROR(J256/J161,""),"")</f>
        <v>0.0937603789400433</v>
      </c>
      <c r="K262" s="68" t="n">
        <f aca="false">IF(AND(ISNUMBER(K256),ISNUMBER(K161)),IFERROR(K256/K161,""),"")</f>
        <v>0.162054907751447</v>
      </c>
      <c r="L262" s="68" t="n">
        <f aca="false">IF(AND(ISNUMBER(L256),ISNUMBER(L161)),IFERROR(L256/L161,""),"")</f>
        <v>0.178316526316639</v>
      </c>
      <c r="M262" s="68" t="n">
        <f aca="false">IF(AND(ISNUMBER(M256),ISNUMBER(M161)),IFERROR(M256/M161,""),"")</f>
        <v>0.283742069648993</v>
      </c>
      <c r="N262" s="68" t="n">
        <f aca="false">IF(AND(ISNUMBER(N256),ISNUMBER(N161)),IFERROR(N256/N161,""),"")</f>
        <v>0.715207458383856</v>
      </c>
      <c r="O262" s="68" t="n">
        <f aca="false">IF(AND(ISNUMBER(O256),ISNUMBER(O161)),IFERROR(O256/O161,""),"")</f>
        <v>0.0917411222862351</v>
      </c>
      <c r="P262" s="68" t="n">
        <f aca="false">IF(AND(ISNUMBER(P256),ISNUMBER(P161)),IFERROR(P256/P161,""),"")</f>
        <v>0.207348203221809</v>
      </c>
      <c r="Q262" s="68" t="n">
        <f aca="false">IF(AND(ISNUMBER(Q256),ISNUMBER(Q161)),IFERROR(Q256/Q161,""),"")</f>
        <v>0.261096223614776</v>
      </c>
      <c r="R262" s="68" t="n">
        <f aca="false">IF(AND(ISNUMBER(R256),ISNUMBER(R161)),IFERROR(R256/R161,""),"")</f>
        <v>0.393409906854392</v>
      </c>
      <c r="S262" s="68" t="n">
        <f aca="false">IF(AND(ISNUMBER(S256),ISNUMBER(S161)),IFERROR(S256/S161,""),"")</f>
        <v>0.950322673462677</v>
      </c>
      <c r="T262" s="68" t="n">
        <f aca="false">IF(AND(ISNUMBER(T256),ISNUMBER(T161)),IFERROR(T256/T161,""),"")</f>
        <v>0.169768279251038</v>
      </c>
      <c r="U262" s="68" t="n">
        <f aca="false">IF(AND(ISNUMBER(U256),ISNUMBER(U161)),IFERROR(U256/U161,""),"")</f>
        <v>0.209424381610552</v>
      </c>
      <c r="V262" s="68" t="n">
        <f aca="false">IF(AND(ISNUMBER(V256),ISNUMBER(V161)),IFERROR(V256/V161,""),"")</f>
        <v>0.258876530326555</v>
      </c>
      <c r="W262" s="68" t="n">
        <f aca="false">IF(AND(ISNUMBER(W256),ISNUMBER(W161)),IFERROR(W256/W161,""),"")</f>
        <v>0.132073182357886</v>
      </c>
      <c r="X262" s="68" t="n">
        <f aca="false">IF(AND(ISNUMBER(X256),ISNUMBER(X161)),IFERROR(X256/X161,""),"")</f>
        <v>0.771113549934917</v>
      </c>
      <c r="Y262" s="68" t="n">
        <f aca="false">IF(AND(ISNUMBER(Y256),ISNUMBER(Y161)),IFERROR(Y256/Y161,""),"")</f>
        <v>0.179213928663714</v>
      </c>
      <c r="Z262" s="68" t="n">
        <f aca="false">IF(AND(ISNUMBER(Z256),ISNUMBER(Z161)),IFERROR(Z256/Z161,""),"")</f>
        <v>0.142508150717899</v>
      </c>
      <c r="AA262" s="68" t="n">
        <f aca="false">IF(AND(ISNUMBER(AA256),ISNUMBER(AA161)),IFERROR(AA256/AA161,""),"")</f>
        <v>-0.122342709408659</v>
      </c>
      <c r="AB262" s="68" t="n">
        <f aca="false">IF(AND(ISNUMBER(AB256),ISNUMBER(AB161)),IFERROR(AB256/AB161,""),"")</f>
        <v>0.233791292893123</v>
      </c>
      <c r="AC262" s="68" t="n">
        <f aca="false">IF(AND(ISNUMBER(AC256),ISNUMBER(AC161)),IFERROR(AC256/AC161,""),"")</f>
        <v>0.433036851104078</v>
      </c>
      <c r="AD262" s="68" t="n">
        <f aca="false">IF(AND(ISNUMBER(AD256),ISNUMBER(AD161)),IFERROR(AD256/AD161,""),"")</f>
        <v>0.184401665515245</v>
      </c>
      <c r="AE262" s="68" t="n">
        <f aca="false">IF(AND(ISNUMBER(AE256),ISNUMBER(AE161)),IFERROR(AE256/AE161,""),"")</f>
        <v>0.156855276970097</v>
      </c>
      <c r="AF262" s="68" t="n">
        <f aca="false">IF(AND(ISNUMBER(AF256),ISNUMBER(AF161)),IFERROR(AF256/AF161,""),"")</f>
        <v>0.274786360434509</v>
      </c>
      <c r="AG262" s="68" t="n">
        <f aca="false">IF(AND(ISNUMBER(AG256),ISNUMBER(AG161)),IFERROR(AG256/AG161,""),"")</f>
        <v>0.516939086247856</v>
      </c>
      <c r="AH262" s="68" t="n">
        <f aca="false">IF(AND(ISNUMBER(AH256),ISNUMBER(AH161)),IFERROR(AH256/AH161,""),"")</f>
        <v>1.13786496942932</v>
      </c>
      <c r="AI262" s="68" t="n">
        <f aca="false">IF(AND(ISNUMBER(AI256),ISNUMBER(AI161)),IFERROR(AI256/AI161,""),"")</f>
        <v>0.441897693873979</v>
      </c>
      <c r="AJ262" s="68" t="n">
        <f aca="false">IF(AND(ISNUMBER(AJ256),ISNUMBER(AJ161)),IFERROR(AJ256/AJ161,""),"")</f>
        <v>0.12451055382542</v>
      </c>
      <c r="AK262" s="68" t="n">
        <f aca="false">IF(AND(ISNUMBER(AK256),ISNUMBER(AK161)),IFERROR(AK256/AK161,""),"")</f>
        <v>0.495305196278648</v>
      </c>
      <c r="AL262" s="68" t="n">
        <f aca="false">IF(AND(ISNUMBER(AL256),ISNUMBER(AL161)),IFERROR(AL256/AL161,""),"")</f>
        <v>0.514671170437897</v>
      </c>
      <c r="AM262" s="68" t="n">
        <f aca="false">IF(AND(ISNUMBER(AM256),ISNUMBER(AM161)),IFERROR(AM256/AM161,""),"")</f>
        <v>1.57649804207267</v>
      </c>
      <c r="AN262" s="68" t="n">
        <f aca="false">IF(AND(ISNUMBER(AN256),ISNUMBER(AN161)),IFERROR(AN256/AN161,""),"")</f>
        <v>0.222455444291808</v>
      </c>
      <c r="AO262" s="68" t="n">
        <f aca="false">IF(AND(ISNUMBER(AO256),ISNUMBER(AO161)),IFERROR(AO256/AO161,""),"")</f>
        <v>0.246864590348945</v>
      </c>
      <c r="AP262" s="68" t="n">
        <f aca="false">IF(AND(ISNUMBER(AP256),ISNUMBER(AP161)),IFERROR(AP256/AP161,""),"")</f>
        <v>0.591610269780514</v>
      </c>
      <c r="AQ262" s="68" t="n">
        <f aca="false">IF(AND(ISNUMBER(AQ256),ISNUMBER(AQ161)),IFERROR(AQ256/AQ161,""),"")</f>
        <v>0.757416535135085</v>
      </c>
      <c r="AR262" s="68" t="n">
        <f aca="false">IF(AND(ISNUMBER(AR256),ISNUMBER(AR161)),IFERROR(AR256/AR161,""),"")</f>
        <v>1.80634503858624</v>
      </c>
      <c r="AS262" s="68" t="n">
        <f aca="false">IF(AND(ISNUMBER(AS256),ISNUMBER(AS161)),IFERROR(AS256/AS161,""),"")</f>
        <v>0.495312047663962</v>
      </c>
      <c r="AT262" s="68" t="n">
        <f aca="false">IF(AND(ISNUMBER(AT256),ISNUMBER(AT161)),IFERROR(AT256/AT161,""),"")</f>
        <v>0.542753994503191</v>
      </c>
      <c r="AU262" s="68" t="n">
        <f aca="false">IF(AND(ISNUMBER(AU256),ISNUMBER(AU161)),IFERROR(AU256/AU161,""),"")</f>
        <v>0.697071234710191</v>
      </c>
      <c r="AV262" s="68" t="n">
        <f aca="false">IF(AND(ISNUMBER(AV256),ISNUMBER(AV161)),IFERROR(AV256/AV161,""),"")</f>
        <v>0.743718876787379</v>
      </c>
      <c r="AW262" s="68" t="n">
        <f aca="false">IF(AND(ISNUMBER(AW256),ISNUMBER(AW161)),IFERROR(AW256/AW161,""),"")</f>
        <v>2.47914719844503</v>
      </c>
      <c r="AX262" s="68" t="n">
        <f aca="false">IF(AND(ISNUMBER(AX256),ISNUMBER(AX161)),IFERROR(AX256/AX161,""),"")</f>
        <v>0.656722269413511</v>
      </c>
      <c r="AY262" s="68" t="n">
        <f aca="false">IF(AND(ISNUMBER(AY256),ISNUMBER(AY161)),IFERROR(AY256/AY161,""),"")</f>
        <v>0.541504986988452</v>
      </c>
      <c r="AZ262" s="68" t="n">
        <f aca="false">IF(AND(ISNUMBER(AZ256),ISNUMBER(AZ161)),IFERROR(AZ256/AZ161,""),"")</f>
        <v>0.66923774954628</v>
      </c>
      <c r="BA262" s="68" t="n">
        <f aca="false">IF(AND(ISNUMBER(BA256),ISNUMBER(BA161)),IFERROR(BA256/BA161,""),"")</f>
        <v>0.95813684718638</v>
      </c>
      <c r="BB262" s="68" t="n">
        <f aca="false">IF(AND(ISNUMBER(BB256),ISNUMBER(BB161)),IFERROR(BB256/BB161,""),"")</f>
        <v>2.8254198891437</v>
      </c>
      <c r="BC262" s="68" t="n">
        <f aca="false">IF(AND(ISNUMBER(BC256),ISNUMBER(BC161)),IFERROR(BC256/BC161,""),"")</f>
        <v>0.503551404515593</v>
      </c>
      <c r="BD262" s="68" t="n">
        <f aca="false">IF(AND(ISNUMBER(BD256),ISNUMBER(BD161)),IFERROR(BD256/BD161,""),"")</f>
        <v>0.640206554720039</v>
      </c>
      <c r="BE262" s="68" t="n">
        <f aca="false">IF(AND(ISNUMBER(BE256),ISNUMBER(BE161)),IFERROR(BE256/BE161,""),"")</f>
        <v>0.795266515841387</v>
      </c>
      <c r="BF262" s="68" t="n">
        <f aca="false">IF(AND(ISNUMBER(BF256),ISNUMBER(BF161)),IFERROR(BF256/BF161,""),"")</f>
        <v>1.13895113332759</v>
      </c>
      <c r="BG262" s="68" t="n">
        <f aca="false">IF(AND(ISNUMBER(BG256),ISNUMBER(BG161)),IFERROR(BG256/BG161,""),"")</f>
        <v>3.07267846820125</v>
      </c>
      <c r="BH262" s="68" t="n">
        <f aca="false">IF(AND(ISNUMBER(BH256),ISNUMBER(BH161)),IFERROR(BH256/BH161,""),"")</f>
        <v>0.551932028218354</v>
      </c>
      <c r="BI262" s="68" t="n">
        <f aca="false">IF(AND(ISNUMBER(BI256),ISNUMBER(BI161)),IFERROR(BI256/BI161,""),"")</f>
        <v>0.591656507604784</v>
      </c>
      <c r="BJ262" s="68" t="n">
        <f aca="false">IF(AND(ISNUMBER(BJ256),ISNUMBER(BJ161)),IFERROR(BJ256/BJ161,""),"")</f>
        <v>0.839626564041076</v>
      </c>
      <c r="BK262" s="68" t="n">
        <f aca="false">IF(AND(ISNUMBER(BK256),ISNUMBER(BK161)),IFERROR(BK256/BK161,""),"")</f>
        <v>1.07967181728519</v>
      </c>
      <c r="BL262" s="68" t="n">
        <f aca="false">IF(AND(ISNUMBER(BL256),ISNUMBER(BL161)),IFERROR(BL256/BL161,""),"")</f>
        <v>3.06331437360341</v>
      </c>
      <c r="BM262" s="68" t="n">
        <f aca="false">IF(AND(ISNUMBER(BM256),ISNUMBER(BM161)),IFERROR(BM256/BM161,""),"")</f>
        <v>0.555767968176727</v>
      </c>
      <c r="BN262" s="68" t="n">
        <f aca="false">IF(AND(ISNUMBER(BN256),ISNUMBER(BN161)),IFERROR(BN256/BN161,""),"")</f>
        <v>0.723510158232138</v>
      </c>
      <c r="BO262" s="68" t="n">
        <f aca="false">IF(AND(ISNUMBER(BO256),ISNUMBER(BO161)),IFERROR(BO256/BO161,""),"")</f>
        <v>1.33272359890296</v>
      </c>
      <c r="BP262" s="68" t="n">
        <f aca="false">IF(AND(ISNUMBER(BP256),ISNUMBER(BP161)),IFERROR(BP256/BP161,""),"")</f>
        <v>1.43016926024852</v>
      </c>
      <c r="BQ262" s="68" t="n">
        <f aca="false">IF(AND(ISNUMBER(BQ256),ISNUMBER(BQ161)),IFERROR(BQ256/BQ161,""),"")</f>
        <v>4.03976123908017</v>
      </c>
      <c r="BR262" s="68" t="n">
        <f aca="false">IF(AND(ISNUMBER(BR256),ISNUMBER(BR161)),IFERROR(BR256/BR161,""),"")</f>
        <v>0.910632503118179</v>
      </c>
      <c r="BS262" s="68" t="n">
        <f aca="false">IF(AND(ISNUMBER(BS256),ISNUMBER(BS161)),IFERROR(BS256/BS161,""),"")</f>
        <v>0.827892185152447</v>
      </c>
      <c r="BT262" s="68" t="n">
        <f aca="false">IF(AND(ISNUMBER(BT256),ISNUMBER(BT161)),IFERROR(BT256/BT161,""),"")</f>
        <v>1.27245452795102</v>
      </c>
      <c r="BU262" s="68" t="n">
        <f aca="false">IF(AND(ISNUMBER(BU256),ISNUMBER(BU161)),IFERROR(BU256/BU161,""),"")</f>
        <v>1.27201386431038</v>
      </c>
      <c r="BV262" s="68" t="n">
        <f aca="false">IF(AND(ISNUMBER(BV256),ISNUMBER(BV161)),IFERROR(BV256/BV161,""),"")</f>
        <v>4.28242981724943</v>
      </c>
      <c r="BW262" s="68" t="n">
        <f aca="false">IF(AND(ISNUMBER(BW256),ISNUMBER(BW161)),IFERROR(BW256/BW161,""),"")</f>
        <v>0.763568486222618</v>
      </c>
      <c r="BX262" s="68" t="n">
        <f aca="false">IF(AND(ISNUMBER(BX256),ISNUMBER(BX161)),IFERROR(BX256/BX161,""),"")</f>
        <v>1.04561145379435</v>
      </c>
      <c r="BY262" s="68" t="n">
        <f aca="false">IF(AND(ISNUMBER(BY256),ISNUMBER(BY161)),IFERROR(BY256/BY161,""),"")</f>
        <v>1.31097532349765</v>
      </c>
      <c r="BZ262" s="68" t="n">
        <f aca="false">IF(AND(ISNUMBER(BZ256),ISNUMBER(BZ161)),IFERROR(BZ256/BZ161,""),"")</f>
        <v>1.51643676711014</v>
      </c>
      <c r="CA262" s="68" t="n">
        <f aca="false">IF(AND(ISNUMBER(CA256),ISNUMBER(CA161)),IFERROR(CA256/CA161,""),"")</f>
        <v>4.63118880740134</v>
      </c>
      <c r="CB262" s="68" t="n">
        <f aca="false">IF(AND(ISNUMBER(CB256),ISNUMBER(CB161)),IFERROR(CB256/CB161,""),"")</f>
        <v>1.1496673180143</v>
      </c>
      <c r="CC262" s="59"/>
      <c r="CD262" s="59"/>
      <c r="CE262" s="59"/>
      <c r="CF262" s="60" t="n">
        <f aca="false">IF(AND(ISNUMBER(CF256),ISNUMBER(CF161)),IFERROR(CF256/CF161,""),"")</f>
        <v>4.91847248057398</v>
      </c>
      <c r="CG262" s="60" t="n">
        <f aca="false">IF(AND(ISNUMBER(CG256),ISNUMBER(CG161)),IFERROR(CG256/CG161,""),"")</f>
        <v>5.81628369918362</v>
      </c>
      <c r="CH262" s="60" t="n">
        <f aca="false">IF(AND(ISNUMBER(CH256),ISNUMBER(CH161)),IFERROR(CH256/CH161,""),"")</f>
        <v>6.82465610327478</v>
      </c>
      <c r="CI262" s="60" t="n">
        <f aca="false">IF(AND(ISNUMBER(CI256),ISNUMBER(CI161)),IFERROR(CI256/CI161,""),"")</f>
        <v>7.96824132544306</v>
      </c>
      <c r="CJ262" s="60" t="n">
        <f aca="false">IF(AND(ISNUMBER(CJ256),ISNUMBER(CJ161)),IFERROR(CJ256/CJ161,""),"")</f>
        <v>9.02228452734987</v>
      </c>
      <c r="CK262" s="23"/>
    </row>
    <row r="263" customFormat="false" ht="15" hidden="false" customHeight="true" outlineLevel="0" collapsed="false">
      <c r="B263" s="67" t="s">
        <v>552</v>
      </c>
    </row>
    <row r="264" customFormat="false" ht="15" hidden="false" customHeight="true" outlineLevel="0" collapsed="false">
      <c r="B264" s="29" t="s">
        <v>553</v>
      </c>
      <c r="C264" s="37" t="n">
        <f aca="false">IFERROR(-C237/C132,"")</f>
        <v>0.046019400589022</v>
      </c>
      <c r="D264" s="37" t="n">
        <f aca="false">IFERROR(-D237/D132,"")</f>
        <v>0.0487803825298767</v>
      </c>
      <c r="E264" s="37" t="n">
        <f aca="false">IFERROR(-E237/E132,"")</f>
        <v>0.0483336295995327</v>
      </c>
      <c r="F264" s="37" t="n">
        <f aca="false">IFERROR(-F237/F132,"")</f>
        <v>0.0424120158370831</v>
      </c>
      <c r="G264" s="37" t="n">
        <f aca="false">IFERROR(-G237/G132,"")</f>
        <v>0.0313130490206885</v>
      </c>
      <c r="H264" s="37" t="n">
        <f aca="false">IFERROR(-H237/H132,"")</f>
        <v>0.0479195797588905</v>
      </c>
      <c r="I264" s="37" t="n">
        <f aca="false">IFERROR(-I237/I132,"")</f>
        <v>0.0392008776206728</v>
      </c>
      <c r="J264" s="37" t="n">
        <f aca="false">IFERROR(-J237/J132,"")</f>
        <v>0.045122107816327</v>
      </c>
      <c r="K264" s="37" t="n">
        <f aca="false">IFERROR(-K237/K132,"")</f>
        <v>0.0486841584102393</v>
      </c>
      <c r="L264" s="37" t="n">
        <f aca="false">IFERROR(-L237/L132,"")</f>
        <v>0.0490269356701008</v>
      </c>
      <c r="M264" s="37" t="n">
        <f aca="false">IFERROR(-M237/M132,"")</f>
        <v>0.0395780303714686</v>
      </c>
      <c r="N264" s="37" t="n">
        <f aca="false">IFERROR(-N237/N132,"")</f>
        <v>0.0455200556195096</v>
      </c>
      <c r="O264" s="37" t="n">
        <f aca="false">IFERROR(-O237/O132,"")</f>
        <v>0.0334379739062055</v>
      </c>
      <c r="P264" s="37" t="n">
        <f aca="false">IFERROR(-P237/P132,"")</f>
        <v>0.0343806748485031</v>
      </c>
      <c r="Q264" s="37" t="n">
        <f aca="false">IFERROR(-Q237/Q132,"")</f>
        <v>0.0325860859271109</v>
      </c>
      <c r="R264" s="37" t="n">
        <f aca="false">IFERROR(-R237/R132,"")</f>
        <v>0.027616051781501</v>
      </c>
      <c r="S264" s="37" t="n">
        <f aca="false">IFERROR(-S237/S132,"")</f>
        <v>0.0319828674822247</v>
      </c>
      <c r="T264" s="37" t="n">
        <f aca="false">IFERROR(-T237/T132,"")</f>
        <v>0.061747046712707</v>
      </c>
      <c r="U264" s="37" t="n">
        <f aca="false">IFERROR(-U237/U132,"")</f>
        <v>0.0400354644336417</v>
      </c>
      <c r="V264" s="37" t="n">
        <f aca="false">IFERROR(-V237/V132,"")</f>
        <v>0.0451054112965991</v>
      </c>
      <c r="W264" s="37" t="n">
        <f aca="false">IFERROR(-W237/W132,"")</f>
        <v>0.0478564795730376</v>
      </c>
      <c r="X264" s="37" t="n">
        <f aca="false">IFERROR(-X237/X132,"")</f>
        <v>0.0486320178802855</v>
      </c>
      <c r="Y264" s="37" t="n">
        <f aca="false">IFERROR(-Y237/Y132,"")</f>
        <v>0.052240822761054</v>
      </c>
      <c r="Z264" s="37" t="n">
        <f aca="false">IFERROR(-Z237/Z132,"")</f>
        <v>0.0485497260229025</v>
      </c>
      <c r="AA264" s="37" t="n">
        <f aca="false">IFERROR(-AA237/AA132,"")</f>
        <v>0.0704598288110269</v>
      </c>
      <c r="AB264" s="37" t="n">
        <f aca="false">IFERROR(-AB237/AB132,"")</f>
        <v>0.0533921134492943</v>
      </c>
      <c r="AC264" s="37" t="n">
        <f aca="false">IFERROR(-AC237/AC132,"")</f>
        <v>0.0561384890055118</v>
      </c>
      <c r="AD264" s="37" t="n">
        <f aca="false">IFERROR(-AD237/AD132,"")</f>
        <v>0.060720329487764</v>
      </c>
      <c r="AE264" s="37" t="n">
        <f aca="false">IFERROR(-AE237/AE132,"")</f>
        <v>0.0590574768124245</v>
      </c>
      <c r="AF264" s="37" t="n">
        <f aca="false">IFERROR(-AF237/AF132,"")</f>
        <v>0.0495248353998603</v>
      </c>
      <c r="AG264" s="37" t="n">
        <f aca="false">IFERROR(-AG237/AG132,"")</f>
        <v>0.0357423150036562</v>
      </c>
      <c r="AH264" s="37" t="n">
        <f aca="false">IFERROR(-AH237/AH132,"")</f>
        <v>0.0513427462734679</v>
      </c>
      <c r="AI264" s="37" t="n">
        <f aca="false">IFERROR(-AI237/AI132,"")</f>
        <v>0.0387942188131204</v>
      </c>
      <c r="AJ264" s="37" t="n">
        <f aca="false">IFERROR(-AJ237/AJ132,"")</f>
        <v>0.0435428378633264</v>
      </c>
      <c r="AK264" s="37" t="n">
        <f aca="false">IFERROR(-AK237/AK132,"")</f>
        <v>0.0400053362263063</v>
      </c>
      <c r="AL264" s="37" t="n">
        <f aca="false">IFERROR(-AL237/AL132,"")</f>
        <v>0.0453170015872541</v>
      </c>
      <c r="AM264" s="37" t="n">
        <f aca="false">IFERROR(-AM237/AM132,"")</f>
        <v>0.0419506620107488</v>
      </c>
      <c r="AN264" s="37" t="n">
        <f aca="false">IFERROR(-AN237/AN132,"")</f>
        <v>0.0380029152372679</v>
      </c>
      <c r="AO264" s="37" t="n">
        <f aca="false">IFERROR(-AO237/AO132,"")</f>
        <v>0.0425346919106915</v>
      </c>
      <c r="AP264" s="37" t="n">
        <f aca="false">IFERROR(-AP237/AP132,"")</f>
        <v>0.0417224920199961</v>
      </c>
      <c r="AQ264" s="37" t="n">
        <f aca="false">IFERROR(-AQ237/AQ132,"")</f>
        <v>0.0384193830732607</v>
      </c>
      <c r="AR264" s="37" t="n">
        <f aca="false">IFERROR(-AR237/AR132,"")</f>
        <v>0.0401489893871468</v>
      </c>
      <c r="AS264" s="37" t="n">
        <f aca="false">IFERROR(-AS237/AS132,"")</f>
        <v>0.0357471182498969</v>
      </c>
      <c r="AT264" s="37" t="n">
        <f aca="false">IFERROR(-AT237/AT132,"")</f>
        <v>0.0333147299334128</v>
      </c>
      <c r="AU264" s="37" t="n">
        <f aca="false">IFERROR(-AU237/AU132,"")</f>
        <v>0.0349112582898498</v>
      </c>
      <c r="AV264" s="37" t="n">
        <f aca="false">IFERROR(-AV237/AV132,"")</f>
        <v>0.0252595728285782</v>
      </c>
      <c r="AW264" s="37" t="n">
        <f aca="false">IFERROR(-AW237/AW132,"")</f>
        <v>0.0325031897836593</v>
      </c>
      <c r="AX264" s="37" t="n">
        <f aca="false">IFERROR(-AX237/AX132,"")</f>
        <v>0.0176780269956916</v>
      </c>
      <c r="AY264" s="37" t="n">
        <f aca="false">IFERROR(-AY237/AY132,"")</f>
        <v>0.0152431806074734</v>
      </c>
      <c r="AZ264" s="37" t="n">
        <f aca="false">IFERROR(-AZ237/AZ132,"")</f>
        <v>0.0240572047251184</v>
      </c>
      <c r="BA264" s="37" t="n">
        <f aca="false">IFERROR(-BA237/BA132,"")</f>
        <v>0.0234574902446585</v>
      </c>
      <c r="BB264" s="37" t="n">
        <f aca="false">IFERROR(-BB237/BB132,"")</f>
        <v>0.0201606443761821</v>
      </c>
      <c r="BC264" s="37" t="n">
        <f aca="false">IFERROR(-BC237/BC132,"")</f>
        <v>0.025698094309286</v>
      </c>
      <c r="BD264" s="37" t="n">
        <f aca="false">IFERROR(-BD237/BD132,"")</f>
        <v>0.0311510127811699</v>
      </c>
      <c r="BE264" s="37" t="n">
        <f aca="false">IFERROR(-BE237/BE132,"")</f>
        <v>0.0291868269080693</v>
      </c>
      <c r="BF264" s="37" t="n">
        <f aca="false">IFERROR(-BF237/BF132,"")</f>
        <v>0.0360637706139628</v>
      </c>
      <c r="BG264" s="37" t="n">
        <f aca="false">IFERROR(-BG237/BG132,"")</f>
        <v>0.0306414483798311</v>
      </c>
      <c r="BH264" s="37" t="n">
        <f aca="false">IFERROR(-BH237/BH132,"")</f>
        <v>0.0323182490835254</v>
      </c>
      <c r="BI264" s="37" t="n">
        <f aca="false">IFERROR(-BI237/BI132,"")</f>
        <v>0.0351232126419288</v>
      </c>
      <c r="BJ264" s="37" t="n">
        <f aca="false">IFERROR(-BJ237/BJ132,"")</f>
        <v>0.0354851583526105</v>
      </c>
      <c r="BK264" s="37" t="n">
        <f aca="false">IFERROR(-BK237/BK132,"")</f>
        <v>0.0468349127653623</v>
      </c>
      <c r="BL264" s="37" t="n">
        <f aca="false">IFERROR(-BL237/BL132,"")</f>
        <v>0.0375587200617439</v>
      </c>
      <c r="BM264" s="37" t="n">
        <f aca="false">IFERROR(-BM237/BM132,"")</f>
        <v>0.0455516515606255</v>
      </c>
      <c r="BN264" s="37" t="n">
        <f aca="false">IFERROR(-BN237/BN132,"")</f>
        <v>0.0394711878837798</v>
      </c>
      <c r="BO264" s="37" t="n">
        <f aca="false">IFERROR(-BO237/BO132,"")</f>
        <v>0.0444818390032637</v>
      </c>
      <c r="BP264" s="37" t="n">
        <f aca="false">IFERROR(-BP237/BP132,"")</f>
        <v>0.0412439016000016</v>
      </c>
      <c r="BQ264" s="37" t="n">
        <f aca="false">IFERROR(-BQ237/BQ132,"")</f>
        <v>0.0426680657711078</v>
      </c>
      <c r="BR264" s="37" t="n">
        <f aca="false">IFERROR(-BR237/BR132,"")</f>
        <v>0.0371448204679669</v>
      </c>
      <c r="BS264" s="37" t="n">
        <f aca="false">IFERROR(-BS237/BS132,"")</f>
        <v>0.0395880525399692</v>
      </c>
      <c r="BT264" s="37" t="n">
        <f aca="false">IFERROR(-BT237/BT132,"")</f>
        <v>0.0382970144786117</v>
      </c>
      <c r="BU264" s="37" t="n">
        <f aca="false">IFERROR(-BU237/BU132,"")</f>
        <v>0.0429681232784486</v>
      </c>
      <c r="BV264" s="37" t="n">
        <f aca="false">IFERROR(-BV237/BV132,"")</f>
        <v>0.0395432149591966</v>
      </c>
      <c r="BW264" s="37" t="n">
        <f aca="false">IFERROR(-BW237/BW132,"")</f>
        <v>0.0375100896869235</v>
      </c>
      <c r="BX264" s="37" t="n">
        <f aca="false">IFERROR(-BX237/BX132,"")</f>
        <v>0.0379472512778608</v>
      </c>
      <c r="BY264" s="37" t="n">
        <f aca="false">IFERROR(-BY237/BY132,"")</f>
        <v>0.0319900726532003</v>
      </c>
      <c r="BZ264" s="37" t="n">
        <f aca="false">IFERROR(-BZ237/BZ132,"")</f>
        <v>0.0330434740704866</v>
      </c>
      <c r="CA264" s="37" t="n">
        <f aca="false">IFERROR(-CA237/CA132,"")</f>
        <v>0.035074423682846</v>
      </c>
      <c r="CB264" s="37" t="n">
        <f aca="false">IFERROR(-CB237/CB132,"")</f>
        <v>0.0356777298861539</v>
      </c>
      <c r="CC264" s="33"/>
      <c r="CD264" s="33"/>
      <c r="CE264" s="33"/>
      <c r="CF264" s="28" t="n">
        <f aca="false">$CU$49</f>
        <v>0.037</v>
      </c>
      <c r="CG264" s="28" t="n">
        <f aca="false">$CU$50</f>
        <v>0.039</v>
      </c>
      <c r="CH264" s="28" t="n">
        <f aca="false">$CU$50</f>
        <v>0.039</v>
      </c>
      <c r="CI264" s="28" t="n">
        <f aca="false">$CU$50</f>
        <v>0.039</v>
      </c>
      <c r="CJ264" s="28" t="n">
        <f aca="false">$CU$50</f>
        <v>0.039</v>
      </c>
      <c r="CK264" s="23" t="s">
        <v>554</v>
      </c>
    </row>
    <row r="265" customFormat="false" ht="15" hidden="false" customHeight="true" outlineLevel="0" collapsed="false">
      <c r="B265" s="29" t="s">
        <v>555</v>
      </c>
      <c r="C265" s="74" t="n">
        <f aca="false">IFERROR(-C237/C157,"")</f>
        <v>0.974970900014317</v>
      </c>
      <c r="D265" s="74" t="n">
        <f aca="false">IFERROR(-D237/D157,"")</f>
        <v>1.02784125143526</v>
      </c>
      <c r="E265" s="74" t="n">
        <f aca="false">IFERROR(-E237/E157,"")</f>
        <v>0.991818783447888</v>
      </c>
      <c r="F265" s="74" t="n">
        <f aca="false">IFERROR(-F237/F157,"")</f>
        <v>0.800035980930107</v>
      </c>
      <c r="G265" s="74" t="n">
        <f aca="false">IFERROR(-G237/G157,"")</f>
        <v>0.575113518103355</v>
      </c>
      <c r="H265" s="74" t="n">
        <f aca="false">IFERROR(-H237/H157,"")</f>
        <v>0.943788863216983</v>
      </c>
      <c r="I265" s="74" t="n">
        <f aca="false">IFERROR(-I237/I157,"")</f>
        <v>0.828171915638761</v>
      </c>
      <c r="J265" s="74" t="n">
        <f aca="false">IFERROR(-J237/J157,"")</f>
        <v>1.02144610481891</v>
      </c>
      <c r="K265" s="74" t="n">
        <f aca="false">IFERROR(-K237/K157,"")</f>
        <v>1.10185264236319</v>
      </c>
      <c r="L265" s="74" t="n">
        <f aca="false">IFERROR(-L237/L157,"")</f>
        <v>1.10254641244355</v>
      </c>
      <c r="M265" s="74" t="n">
        <f aca="false">IFERROR(-M237/M157,"")</f>
        <v>0.926136245880914</v>
      </c>
      <c r="N265" s="74" t="n">
        <f aca="false">IFERROR(-N237/N157,"")</f>
        <v>1.0375388774772</v>
      </c>
      <c r="O265" s="74" t="n">
        <f aca="false">IFERROR(-O237/O157,"")</f>
        <v>0.774104227796834</v>
      </c>
      <c r="P265" s="74" t="n">
        <f aca="false">IFERROR(-P237/P157,"")</f>
        <v>0.810332392276465</v>
      </c>
      <c r="Q265" s="74" t="n">
        <f aca="false">IFERROR(-Q237/Q157,"")</f>
        <v>0.761516830700521</v>
      </c>
      <c r="R265" s="74" t="n">
        <f aca="false">IFERROR(-R237/R157,"")</f>
        <v>0.701340588454703</v>
      </c>
      <c r="S265" s="74" t="n">
        <f aca="false">IFERROR(-S237/S157,"")</f>
        <v>0.762750049774183</v>
      </c>
      <c r="T265" s="74" t="n">
        <f aca="false">IFERROR(-T237/T157,"")</f>
        <v>1.7160942149594</v>
      </c>
      <c r="U265" s="74" t="n">
        <f aca="false">IFERROR(-U237/U157,"")</f>
        <v>1.16821216135484</v>
      </c>
      <c r="V265" s="74" t="n">
        <f aca="false">IFERROR(-V237/V157,"")</f>
        <v>1.32010980019532</v>
      </c>
      <c r="W265" s="74" t="n">
        <f aca="false">IFERROR(-W237/W157,"")</f>
        <v>1.40054300496901</v>
      </c>
      <c r="X265" s="74" t="n">
        <f aca="false">IFERROR(-X237/X157,"")</f>
        <v>1.40390245160625</v>
      </c>
      <c r="Y265" s="74" t="n">
        <f aca="false">IFERROR(-Y237/Y157,"")</f>
        <v>1.57490947495474</v>
      </c>
      <c r="Z265" s="74" t="n">
        <f aca="false">IFERROR(-Z237/Z157,"")</f>
        <v>1.43913825803628</v>
      </c>
      <c r="AA265" s="74" t="n">
        <f aca="false">IFERROR(-AA237/AA157,"")</f>
        <v>2.05100892835771</v>
      </c>
      <c r="AB265" s="74" t="n">
        <f aca="false">IFERROR(-AB237/AB157,"")</f>
        <v>1.59319846038303</v>
      </c>
      <c r="AC265" s="74" t="n">
        <f aca="false">IFERROR(-AC237/AC157,"")</f>
        <v>1.6661826366326</v>
      </c>
      <c r="AD265" s="74" t="n">
        <f aca="false">IFERROR(-AD237/AD157,"")</f>
        <v>1.82032987398073</v>
      </c>
      <c r="AE265" s="74" t="n">
        <f aca="false">IFERROR(-AE237/AE157,"")</f>
        <v>1.74543092839889</v>
      </c>
      <c r="AF265" s="74" t="n">
        <f aca="false">IFERROR(-AF237/AF157,"")</f>
        <v>1.42056242163711</v>
      </c>
      <c r="AG265" s="74" t="n">
        <f aca="false">IFERROR(-AG237/AG157,"")</f>
        <v>0.843020298700698</v>
      </c>
      <c r="AH265" s="74" t="n">
        <f aca="false">IFERROR(-AH237/AH157,"")</f>
        <v>1.39025407563773</v>
      </c>
      <c r="AI265" s="74" t="n">
        <f aca="false">IFERROR(-AI237/AI157,"")</f>
        <v>0.912537038929192</v>
      </c>
      <c r="AJ265" s="74" t="n">
        <f aca="false">IFERROR(-AJ237/AJ157,"")</f>
        <v>0.99458268164368</v>
      </c>
      <c r="AK265" s="74" t="n">
        <f aca="false">IFERROR(-AK237/AK157,"")</f>
        <v>0.962323842392867</v>
      </c>
      <c r="AL265" s="74" t="n">
        <f aca="false">IFERROR(-AL237/AL157,"")</f>
        <v>1.01536623990123</v>
      </c>
      <c r="AM265" s="74" t="n">
        <f aca="false">IFERROR(-AM237/AM157,"")</f>
        <v>0.972381681793455</v>
      </c>
      <c r="AN265" s="74" t="n">
        <f aca="false">IFERROR(-AN237/AN157,"")</f>
        <v>0.747760588678371</v>
      </c>
      <c r="AO265" s="74" t="n">
        <f aca="false">IFERROR(-AO237/AO157,"")</f>
        <v>0.826989227844664</v>
      </c>
      <c r="AP265" s="74" t="n">
        <f aca="false">IFERROR(-AP237/AP157,"")</f>
        <v>0.765792402190753</v>
      </c>
      <c r="AQ265" s="74" t="n">
        <f aca="false">IFERROR(-AQ237/AQ157,"")</f>
        <v>0.734972910712</v>
      </c>
      <c r="AR265" s="74" t="n">
        <f aca="false">IFERROR(-AR237/AR157,"")</f>
        <v>0.76846536866865</v>
      </c>
      <c r="AS265" s="74" t="n">
        <f aca="false">IFERROR(-AS237/AS157,"")</f>
        <v>0.703774159184295</v>
      </c>
      <c r="AT265" s="74" t="n">
        <f aca="false">IFERROR(-AT237/AT157,"")</f>
        <v>0.651119402985075</v>
      </c>
      <c r="AU265" s="74" t="n">
        <f aca="false">IFERROR(-AU237/AU157,"")</f>
        <v>0.657342221020559</v>
      </c>
      <c r="AV265" s="74" t="n">
        <f aca="false">IFERROR(-AV237/AV157,"")</f>
        <v>0.4236743993372</v>
      </c>
      <c r="AW265" s="74" t="n">
        <f aca="false">IFERROR(-AW237/AW157,"")</f>
        <v>0.607537732190485</v>
      </c>
      <c r="AX265" s="74" t="n">
        <f aca="false">IFERROR(-AX237/AX157,"")</f>
        <v>0.321026419488662</v>
      </c>
      <c r="AY265" s="74" t="n">
        <f aca="false">IFERROR(-AY237/AY157,"")</f>
        <v>0.277615962684633</v>
      </c>
      <c r="AZ265" s="74" t="n">
        <f aca="false">IFERROR(-AZ237/AZ157,"")</f>
        <v>0.439974476931468</v>
      </c>
      <c r="BA265" s="74" t="n">
        <f aca="false">IFERROR(-BA237/BA157,"")</f>
        <v>0.438805665953327</v>
      </c>
      <c r="BB265" s="74" t="n">
        <f aca="false">IFERROR(-BB237/BB157,"")</f>
        <v>0.369814744645587</v>
      </c>
      <c r="BC265" s="74" t="n">
        <f aca="false">IFERROR(-BC237/BC157,"")</f>
        <v>0.49768757210385</v>
      </c>
      <c r="BD265" s="74" t="n">
        <f aca="false">IFERROR(-BD237/BD157,"")</f>
        <v>0.606758536832506</v>
      </c>
      <c r="BE265" s="74" t="n">
        <f aca="false">IFERROR(-BE237/BE157,"")</f>
        <v>0.568332604981924</v>
      </c>
      <c r="BF265" s="74" t="n">
        <f aca="false">IFERROR(-BF237/BF157,"")</f>
        <v>0.730830842563832</v>
      </c>
      <c r="BG265" s="74" t="n">
        <f aca="false">IFERROR(-BG237/BG157,"")</f>
        <v>0.602130092243952</v>
      </c>
      <c r="BH265" s="74" t="n">
        <f aca="false">IFERROR(-BH237/BH157,"")</f>
        <v>0.699838074485737</v>
      </c>
      <c r="BI265" s="74" t="n">
        <f aca="false">IFERROR(-BI237/BI157,"")</f>
        <v>0.75476246937001</v>
      </c>
      <c r="BJ265" s="74" t="n">
        <f aca="false">IFERROR(-BJ237/BJ157,"")</f>
        <v>0.755747461780838</v>
      </c>
      <c r="BK265" s="74" t="n">
        <f aca="false">IFERROR(-BK237/BK157,"")</f>
        <v>1.01820517700799</v>
      </c>
      <c r="BL265" s="74" t="n">
        <f aca="false">IFERROR(-BL237/BL157,"")</f>
        <v>0.809236928160484</v>
      </c>
      <c r="BM265" s="74" t="n">
        <f aca="false">IFERROR(-BM237/BM157,"")</f>
        <v>0.998923341946598</v>
      </c>
      <c r="BN265" s="74" t="n">
        <f aca="false">IFERROR(-BN237/BN157,"")</f>
        <v>0.859044549832458</v>
      </c>
      <c r="BO265" s="74" t="n">
        <f aca="false">IFERROR(-BO237/BO157,"")</f>
        <v>0.960660240185255</v>
      </c>
      <c r="BP265" s="74" t="n">
        <f aca="false">IFERROR(-BP237/BP157,"")</f>
        <v>0.886706922354088</v>
      </c>
      <c r="BQ265" s="74" t="n">
        <f aca="false">IFERROR(-BQ237/BQ157,"")</f>
        <v>0.925596314514087</v>
      </c>
      <c r="BR265" s="74" t="n">
        <f aca="false">IFERROR(-BR237/BR157,"")</f>
        <v>0.806577896600813</v>
      </c>
      <c r="BS265" s="74" t="n">
        <f aca="false">IFERROR(-BS237/BS157,"")</f>
        <v>0.779865121536722</v>
      </c>
      <c r="BT265" s="74" t="n">
        <f aca="false">IFERROR(-BT237/BT157,"")</f>
        <v>0.786504207104458</v>
      </c>
      <c r="BU265" s="74" t="n">
        <f aca="false">IFERROR(-BU237/BU157,"")</f>
        <v>0.940396590340392</v>
      </c>
      <c r="BV265" s="74" t="n">
        <f aca="false">IFERROR(-BV237/BV157,"")</f>
        <v>0.827393900640046</v>
      </c>
      <c r="BW265" s="74" t="n">
        <f aca="false">IFERROR(-BW237/BW157,"")</f>
        <v>0.809587333349214</v>
      </c>
      <c r="BX265" s="74" t="n">
        <f aca="false">IFERROR(-BX237/BX157,"")</f>
        <v>0.833342483588364</v>
      </c>
      <c r="BY265" s="74" t="n">
        <f aca="false">IFERROR(-BY237/BY157,"")</f>
        <v>0.706442838268439</v>
      </c>
      <c r="BZ265" s="74" t="n">
        <f aca="false">IFERROR(-BZ237/BZ157,"")</f>
        <v>0.734277715736817</v>
      </c>
      <c r="CA265" s="74" t="n">
        <f aca="false">IFERROR(-CA237/CA157,"")</f>
        <v>0.770416460301923</v>
      </c>
      <c r="CB265" s="74" t="n">
        <f aca="false">IFERROR(-CB237/CB157,"")</f>
        <v>0.844540785071392</v>
      </c>
      <c r="CC265" s="75"/>
      <c r="CD265" s="75"/>
      <c r="CE265" s="75"/>
      <c r="CF265" s="76" t="n">
        <f aca="false">IFERROR(-CF237/CF157,"")</f>
        <v>0.804985202677523</v>
      </c>
      <c r="CG265" s="76" t="n">
        <f aca="false">IFERROR(-CG237/CG157,"")</f>
        <v>0.771900526394807</v>
      </c>
      <c r="CH265" s="76" t="n">
        <f aca="false">IFERROR(-CH237/CH157,"")</f>
        <v>0.775154322715893</v>
      </c>
      <c r="CI265" s="76" t="n">
        <f aca="false">IFERROR(-CI237/CI157,"")</f>
        <v>0.791448300465588</v>
      </c>
      <c r="CJ265" s="76" t="n">
        <f aca="false">IFERROR(-CJ237/CJ157,"")</f>
        <v>0.792935188395057</v>
      </c>
      <c r="CK265" s="23"/>
    </row>
    <row r="266" customFormat="false" ht="15" hidden="false" customHeight="true" outlineLevel="0" collapsed="false"/>
    <row r="267" customFormat="false" ht="15" hidden="false" customHeight="true" outlineLevel="0" collapsed="false">
      <c r="B267" s="12" t="s">
        <v>556</v>
      </c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2" t="s">
        <v>557</v>
      </c>
    </row>
    <row r="268" customFormat="false" ht="15" hidden="false" customHeight="true" outlineLevel="0" collapsed="false">
      <c r="B268" s="29" t="s">
        <v>558</v>
      </c>
      <c r="CC268" s="59"/>
      <c r="CD268" s="59"/>
      <c r="CE268" s="59"/>
      <c r="CF268" s="60" t="n">
        <f aca="false">$CF$380</f>
        <v>198.95</v>
      </c>
      <c r="CG268" s="60" t="n">
        <f aca="false">CF268*(1+$CU$73)</f>
        <v>214.866</v>
      </c>
      <c r="CH268" s="60" t="n">
        <f aca="false">CG268*(1+$CU$73)</f>
        <v>232.05528</v>
      </c>
      <c r="CI268" s="60" t="n">
        <f aca="false">CH268*(1+$CU$73)</f>
        <v>250.6197024</v>
      </c>
      <c r="CJ268" s="60" t="n">
        <f aca="false">CI268*(1+$CU$73)</f>
        <v>270.669278592</v>
      </c>
      <c r="CK268" s="23" t="s">
        <v>559</v>
      </c>
    </row>
    <row r="269" customFormat="false" ht="15" hidden="false" customHeight="true" outlineLevel="0" collapsed="false">
      <c r="B269" s="29" t="s">
        <v>560</v>
      </c>
      <c r="C269" s="34" t="n">
        <v>323.409</v>
      </c>
      <c r="D269" s="34" t="n">
        <v>198.949</v>
      </c>
      <c r="E269" s="34" t="n">
        <v>191.479</v>
      </c>
      <c r="F269" s="34" t="n">
        <v>25.847</v>
      </c>
      <c r="G269" s="34" t="n">
        <v>0.969</v>
      </c>
      <c r="H269" s="34" t="n">
        <v>443.69</v>
      </c>
      <c r="I269" s="34" t="n">
        <v>392.328</v>
      </c>
      <c r="N269" s="34" t="n">
        <v>215.681</v>
      </c>
      <c r="S269" s="34" t="n">
        <v>370.599</v>
      </c>
      <c r="X269" s="34" t="n">
        <v>551.97</v>
      </c>
      <c r="AC269" s="34" t="n">
        <v>780.151</v>
      </c>
      <c r="AH269" s="34" t="n">
        <v>20.724</v>
      </c>
      <c r="AM269" s="34" t="n">
        <v>127.319</v>
      </c>
      <c r="AR269" s="34" t="n">
        <v>1016.3</v>
      </c>
      <c r="AW269" s="34" t="n">
        <v>464.518</v>
      </c>
      <c r="BB269" s="34" t="n">
        <v>554.121</v>
      </c>
      <c r="BG269" s="34" t="n">
        <v>1525.873</v>
      </c>
      <c r="BL269" s="34" t="n">
        <v>398.865</v>
      </c>
      <c r="BQ269" s="34" t="n">
        <v>700.033</v>
      </c>
      <c r="BV269" s="34" t="n">
        <v>934.8</v>
      </c>
      <c r="CA269" s="34" t="n">
        <v>952.104</v>
      </c>
      <c r="CC269" s="43"/>
      <c r="CD269" s="43"/>
      <c r="CE269" s="43"/>
      <c r="CF269" s="35" t="n">
        <f aca="false">-CB245+$CU$51</f>
        <v>544.71</v>
      </c>
      <c r="CG269" s="35" t="n">
        <f aca="false">CG377</f>
        <v>2165.42652297815</v>
      </c>
      <c r="CH269" s="35" t="n">
        <f aca="false">CH377</f>
        <v>1993.78793593024</v>
      </c>
      <c r="CI269" s="35" t="n">
        <f aca="false">CI377</f>
        <v>2279.74270250005</v>
      </c>
      <c r="CJ269" s="35" t="n">
        <f aca="false">CJ377</f>
        <v>2406.05101989329</v>
      </c>
      <c r="CK269" s="23" t="s">
        <v>561</v>
      </c>
    </row>
    <row r="270" customFormat="false" ht="15" hidden="false" customHeight="true" outlineLevel="0" collapsed="false">
      <c r="B270" s="29" t="s">
        <v>562</v>
      </c>
      <c r="CC270" s="43"/>
      <c r="CD270" s="43"/>
      <c r="CE270" s="43"/>
      <c r="CF270" s="35" t="n">
        <f aca="false">IFERROR(CF269/CF268,0)</f>
        <v>2.73792410153305</v>
      </c>
      <c r="CG270" s="35" t="n">
        <f aca="false">IFERROR(CG269/CG268,0)</f>
        <v>10.078032461991</v>
      </c>
      <c r="CH270" s="35" t="n">
        <f aca="false">IFERROR(CH269/CH268,0)</f>
        <v>8.59186628259543</v>
      </c>
      <c r="CI270" s="35" t="n">
        <f aca="false">IFERROR(CI269/CI268,0)</f>
        <v>9.09642251055539</v>
      </c>
      <c r="CJ270" s="35" t="n">
        <f aca="false">IFERROR(CJ269/CJ268,0)</f>
        <v>8.88926527757187</v>
      </c>
      <c r="CK270" s="23"/>
    </row>
    <row r="271" customFormat="false" ht="15" hidden="false" customHeight="true" outlineLevel="0" collapsed="false">
      <c r="B271" s="29" t="s">
        <v>563</v>
      </c>
      <c r="CC271" s="43"/>
      <c r="CD271" s="43"/>
      <c r="CE271" s="43"/>
      <c r="CF271" s="35" t="n">
        <f aca="false">$CU$53</f>
        <v>1.2</v>
      </c>
      <c r="CG271" s="35" t="n">
        <f aca="false">$CU$53</f>
        <v>1.2</v>
      </c>
      <c r="CH271" s="35" t="n">
        <f aca="false">$CU$53</f>
        <v>1.2</v>
      </c>
      <c r="CI271" s="35" t="n">
        <f aca="false">$CU$53</f>
        <v>1.2</v>
      </c>
      <c r="CJ271" s="35" t="n">
        <f aca="false">$CU$53</f>
        <v>1.2</v>
      </c>
      <c r="CK271" s="23"/>
    </row>
    <row r="272" customFormat="false" ht="15" hidden="false" customHeight="true" outlineLevel="0" collapsed="false">
      <c r="B272" s="29" t="s">
        <v>564</v>
      </c>
      <c r="CC272" s="43"/>
      <c r="CD272" s="43"/>
      <c r="CE272" s="43"/>
      <c r="CF272" s="35" t="n">
        <f aca="false">$CU$22*CF63</f>
        <v>14.071</v>
      </c>
      <c r="CG272" s="35" t="n">
        <f aca="false">0</f>
        <v>0</v>
      </c>
      <c r="CH272" s="35" t="n">
        <f aca="false">0</f>
        <v>0</v>
      </c>
      <c r="CI272" s="35" t="n">
        <f aca="false">0</f>
        <v>0</v>
      </c>
      <c r="CJ272" s="35" t="n">
        <f aca="false">0</f>
        <v>0</v>
      </c>
      <c r="CK272" s="23"/>
    </row>
    <row r="273" customFormat="false" ht="15" hidden="false" customHeight="true" outlineLevel="0" collapsed="false">
      <c r="B273" s="29" t="s">
        <v>565</v>
      </c>
      <c r="CC273" s="43"/>
      <c r="CD273" s="43"/>
      <c r="CE273" s="43"/>
      <c r="CF273" s="35" t="n">
        <f aca="false">CA316</f>
        <v>400.147</v>
      </c>
      <c r="CG273" s="35" t="n">
        <f aca="false">CF274</f>
        <v>412.680075898467</v>
      </c>
      <c r="CH273" s="35" t="n">
        <f aca="false">CG274</f>
        <v>403.802043436476</v>
      </c>
      <c r="CI273" s="35" t="n">
        <f aca="false">CH274</f>
        <v>396.410177153881</v>
      </c>
      <c r="CJ273" s="35" t="n">
        <f aca="false">CI274</f>
        <v>388.513754643325</v>
      </c>
      <c r="CK273" s="23" t="s">
        <v>566</v>
      </c>
    </row>
    <row r="274" customFormat="false" ht="15" hidden="false" customHeight="true" outlineLevel="0" collapsed="false">
      <c r="B274" s="20" t="s">
        <v>567</v>
      </c>
      <c r="CC274" s="54"/>
      <c r="CD274" s="54"/>
      <c r="CE274" s="54"/>
      <c r="CF274" s="22" t="n">
        <f aca="false">CF273-CF270+CF271+CF272</f>
        <v>412.680075898467</v>
      </c>
      <c r="CG274" s="22" t="n">
        <f aca="false">CG273-CG270+CG271+CG272</f>
        <v>403.802043436476</v>
      </c>
      <c r="CH274" s="22" t="n">
        <f aca="false">CH273-CH270+CH271+CH272</f>
        <v>396.410177153881</v>
      </c>
      <c r="CI274" s="22" t="n">
        <f aca="false">CI273-CI270+CI271+CI272</f>
        <v>388.513754643325</v>
      </c>
      <c r="CJ274" s="22" t="n">
        <f aca="false">CJ273-CJ270+CJ271+CJ272</f>
        <v>380.824489365753</v>
      </c>
      <c r="CK274" s="23"/>
    </row>
    <row r="275" customFormat="false" ht="15" hidden="false" customHeight="true" outlineLevel="0" collapsed="false">
      <c r="B275" s="29" t="s">
        <v>568</v>
      </c>
      <c r="CC275" s="33"/>
      <c r="CD275" s="33"/>
      <c r="CE275" s="33"/>
      <c r="CF275" s="28" t="n">
        <f aca="false">IFERROR(CF270/CF273,"")</f>
        <v>0.00684229571015914</v>
      </c>
      <c r="CG275" s="28" t="n">
        <f aca="false">IFERROR(CG270/CG273,"")</f>
        <v>0.0244209329467858</v>
      </c>
      <c r="CH275" s="28" t="n">
        <f aca="false">IFERROR(CH270/CH273,"")</f>
        <v>0.0212774215045473</v>
      </c>
      <c r="CI275" s="28" t="n">
        <f aca="false">IFERROR(CI270/CI273,"")</f>
        <v>0.0229469953972052</v>
      </c>
      <c r="CJ275" s="28" t="n">
        <f aca="false">IFERROR(CJ270/CJ273,"")</f>
        <v>0.0228801816443607</v>
      </c>
      <c r="CK275" s="23"/>
    </row>
    <row r="276" customFormat="false" ht="15" hidden="false" customHeight="true" outlineLevel="0" collapsed="false"/>
    <row r="277" customFormat="false" ht="15" hidden="false" customHeight="true" outlineLevel="0" collapsed="false">
      <c r="B277" s="12" t="s">
        <v>569</v>
      </c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2" t="s">
        <v>570</v>
      </c>
    </row>
    <row r="278" customFormat="false" ht="15" hidden="false" customHeight="true" outlineLevel="0" collapsed="false">
      <c r="B278" s="67" t="s">
        <v>571</v>
      </c>
    </row>
    <row r="279" customFormat="false" ht="15" hidden="false" customHeight="true" outlineLevel="0" collapsed="false">
      <c r="B279" s="29" t="s">
        <v>572</v>
      </c>
      <c r="C279" s="34" t="n">
        <v>38.914</v>
      </c>
      <c r="D279" s="34" t="n">
        <v>35.36</v>
      </c>
      <c r="E279" s="34" t="n">
        <v>66.224</v>
      </c>
      <c r="F279" s="34" t="n">
        <v>129.745</v>
      </c>
      <c r="G279" s="34" t="n">
        <v>411.281</v>
      </c>
      <c r="H279" s="34" t="n">
        <v>438.106</v>
      </c>
      <c r="I279" s="34" t="n">
        <v>339.825</v>
      </c>
      <c r="J279" s="34" t="n">
        <v>319.217</v>
      </c>
      <c r="K279" s="34" t="n">
        <v>242.487</v>
      </c>
      <c r="L279" s="34" t="n">
        <v>217.47</v>
      </c>
      <c r="M279" s="34" t="n">
        <v>352.273</v>
      </c>
      <c r="N279" s="34" t="n">
        <v>352.273</v>
      </c>
      <c r="O279" s="34" t="n">
        <v>278.67</v>
      </c>
      <c r="P279" s="34" t="n">
        <v>309.334</v>
      </c>
      <c r="Q279" s="34" t="n">
        <v>348.859</v>
      </c>
      <c r="R279" s="34" t="n">
        <v>513.288</v>
      </c>
      <c r="S279" s="34" t="n">
        <v>513.288</v>
      </c>
      <c r="T279" s="34" t="n">
        <v>581.453</v>
      </c>
      <c r="U279" s="34" t="n">
        <v>826.724</v>
      </c>
      <c r="V279" s="34" t="n">
        <v>445.314</v>
      </c>
      <c r="W279" s="34" t="n">
        <v>417.073</v>
      </c>
      <c r="X279" s="34" t="n">
        <v>417.073</v>
      </c>
      <c r="Y279" s="34" t="n">
        <v>146.86</v>
      </c>
      <c r="Z279" s="34" t="n">
        <v>606.785</v>
      </c>
      <c r="AA279" s="34" t="n">
        <v>315.116</v>
      </c>
      <c r="AB279" s="34" t="n">
        <v>139.357</v>
      </c>
      <c r="AC279" s="34" t="n">
        <v>139.357</v>
      </c>
      <c r="AD279" s="34" t="n">
        <v>99.209</v>
      </c>
      <c r="AE279" s="34" t="n">
        <v>143.573</v>
      </c>
      <c r="AF279" s="34" t="n">
        <v>147.244</v>
      </c>
      <c r="AG279" s="34" t="n">
        <v>169.266</v>
      </c>
      <c r="AH279" s="34" t="n">
        <v>169.266</v>
      </c>
      <c r="AI279" s="34" t="n">
        <v>191.414</v>
      </c>
      <c r="AJ279" s="34" t="n">
        <v>236.002</v>
      </c>
      <c r="AK279" s="34" t="n">
        <v>152.563</v>
      </c>
      <c r="AL279" s="34" t="n">
        <v>138.724</v>
      </c>
      <c r="AM279" s="34" t="n">
        <v>138.724</v>
      </c>
      <c r="AN279" s="34" t="n">
        <v>118.356</v>
      </c>
      <c r="AO279" s="34" t="n">
        <v>88.479</v>
      </c>
      <c r="AP279" s="34" t="n">
        <v>80.859</v>
      </c>
      <c r="AQ279" s="34" t="n">
        <v>96.645</v>
      </c>
      <c r="AR279" s="34" t="n">
        <v>96.645</v>
      </c>
      <c r="AS279" s="34" t="n">
        <v>102.131</v>
      </c>
      <c r="AT279" s="34" t="n">
        <v>226.535</v>
      </c>
      <c r="AU279" s="34" t="n">
        <v>234.441</v>
      </c>
      <c r="AV279" s="34" t="n">
        <v>145.402</v>
      </c>
      <c r="AW279" s="34" t="n">
        <v>145.402</v>
      </c>
      <c r="AX279" s="34" t="n">
        <v>421.542</v>
      </c>
      <c r="AY279" s="34" t="n">
        <v>703.175</v>
      </c>
      <c r="AZ279" s="34" t="n">
        <v>553.611</v>
      </c>
      <c r="BA279" s="34" t="n">
        <v>493.64</v>
      </c>
      <c r="BB279" s="34" t="n">
        <v>493.64</v>
      </c>
      <c r="BC279" s="34" t="n">
        <v>79.749</v>
      </c>
      <c r="BD279" s="34" t="n">
        <v>113.17</v>
      </c>
      <c r="BE279" s="34" t="n">
        <v>84.136</v>
      </c>
      <c r="BF279" s="34" t="n">
        <v>90.471</v>
      </c>
      <c r="BG279" s="34" t="n">
        <v>90.471</v>
      </c>
      <c r="BH279" s="34" t="n">
        <v>74.558</v>
      </c>
      <c r="BI279" s="34" t="n">
        <v>89.799</v>
      </c>
      <c r="BJ279" s="34" t="n">
        <v>88.563</v>
      </c>
      <c r="BK279" s="34" t="n">
        <v>124.149</v>
      </c>
      <c r="BL279" s="34" t="n">
        <v>124.149</v>
      </c>
      <c r="BM279" s="34" t="n">
        <v>88.126</v>
      </c>
      <c r="BN279" s="34" t="n">
        <v>85.556</v>
      </c>
      <c r="BO279" s="34" t="n">
        <v>128.483</v>
      </c>
      <c r="BP279" s="34" t="n">
        <v>342.015</v>
      </c>
      <c r="BQ279" s="34" t="n">
        <v>342.015</v>
      </c>
      <c r="BR279" s="34" t="n">
        <v>101.373</v>
      </c>
      <c r="BS279" s="34" t="n">
        <v>122.395</v>
      </c>
      <c r="BT279" s="34" t="n">
        <v>243.428</v>
      </c>
      <c r="BU279" s="34" t="n">
        <v>263.973</v>
      </c>
      <c r="BV279" s="34" t="n">
        <v>263.973</v>
      </c>
      <c r="BW279" s="34" t="n">
        <v>138.143</v>
      </c>
      <c r="BX279" s="34" t="n">
        <v>200.842</v>
      </c>
      <c r="BY279" s="34" t="n">
        <v>183.204</v>
      </c>
      <c r="BZ279" s="34" t="n">
        <v>289.018</v>
      </c>
      <c r="CA279" s="34" t="n">
        <v>289.018</v>
      </c>
      <c r="CB279" s="34" t="n">
        <v>243.599</v>
      </c>
      <c r="CC279" s="43"/>
      <c r="CD279" s="43"/>
      <c r="CE279" s="43"/>
      <c r="CF279" s="35" t="n">
        <f aca="false">CF252</f>
        <v>962.422444731293</v>
      </c>
      <c r="CG279" s="35" t="n">
        <f aca="false">CG252</f>
        <v>250</v>
      </c>
      <c r="CH279" s="35" t="n">
        <f aca="false">CH252</f>
        <v>250</v>
      </c>
      <c r="CI279" s="35" t="n">
        <f aca="false">CI252</f>
        <v>250</v>
      </c>
      <c r="CJ279" s="35" t="n">
        <f aca="false">CJ252</f>
        <v>250</v>
      </c>
      <c r="CK279" s="23"/>
    </row>
    <row r="280" customFormat="false" ht="15" hidden="false" customHeight="true" outlineLevel="0" collapsed="false">
      <c r="B280" s="29" t="s">
        <v>573</v>
      </c>
      <c r="C280" s="34" t="n">
        <v>202.539</v>
      </c>
      <c r="D280" s="34" t="n">
        <v>120.053</v>
      </c>
      <c r="E280" s="34" t="n">
        <v>125.471</v>
      </c>
      <c r="F280" s="34" t="n">
        <v>120.393</v>
      </c>
      <c r="G280" s="34" t="n">
        <v>154.806</v>
      </c>
      <c r="H280" s="34" t="n">
        <v>87.22</v>
      </c>
      <c r="I280" s="34" t="n">
        <v>0</v>
      </c>
      <c r="J280" s="34" t="n">
        <v>10.948</v>
      </c>
      <c r="K280" s="34" t="n">
        <v>33.862</v>
      </c>
      <c r="L280" s="34" t="n">
        <v>28.216</v>
      </c>
      <c r="M280" s="34" t="n">
        <v>5.68</v>
      </c>
      <c r="N280" s="34" t="n">
        <v>5.68</v>
      </c>
      <c r="O280" s="34" t="n">
        <v>4.189</v>
      </c>
      <c r="P280" s="34" t="n">
        <v>4.156</v>
      </c>
      <c r="Q280" s="34" t="n">
        <v>4.84</v>
      </c>
      <c r="R280" s="34" t="n">
        <v>0</v>
      </c>
      <c r="S280" s="34" t="n">
        <v>0</v>
      </c>
      <c r="V280" s="34" t="n">
        <v>44.874</v>
      </c>
      <c r="W280" s="34" t="n">
        <v>16.081</v>
      </c>
      <c r="X280" s="34" t="n">
        <v>16.081</v>
      </c>
      <c r="Y280" s="34" t="n">
        <v>53.354</v>
      </c>
      <c r="Z280" s="34" t="n">
        <v>65.826</v>
      </c>
      <c r="AA280" s="34" t="n">
        <v>71.703</v>
      </c>
      <c r="AB280" s="34" t="n">
        <v>70.405</v>
      </c>
      <c r="AC280" s="34" t="n">
        <v>70.405</v>
      </c>
      <c r="AD280" s="34" t="n">
        <v>64.558</v>
      </c>
      <c r="AE280" s="34" t="n">
        <v>0</v>
      </c>
      <c r="AF280" s="34" t="n">
        <v>0</v>
      </c>
      <c r="AG280" s="34" t="n">
        <v>22.219</v>
      </c>
      <c r="AH280" s="34" t="n">
        <v>22.219</v>
      </c>
      <c r="AI280" s="34" t="n">
        <v>21.626</v>
      </c>
      <c r="AJ280" s="34" t="n">
        <v>22.732</v>
      </c>
      <c r="AK280" s="34" t="n">
        <v>33.693</v>
      </c>
      <c r="AL280" s="34" t="n">
        <v>0</v>
      </c>
      <c r="AM280" s="34" t="n">
        <v>0</v>
      </c>
      <c r="CC280" s="43"/>
      <c r="CD280" s="43"/>
      <c r="CE280" s="43"/>
      <c r="CF280" s="35" t="n">
        <f aca="false">CA280</f>
        <v>0</v>
      </c>
      <c r="CG280" s="35" t="n">
        <f aca="false">CF280</f>
        <v>0</v>
      </c>
      <c r="CH280" s="35" t="n">
        <f aca="false">CG280</f>
        <v>0</v>
      </c>
      <c r="CI280" s="35" t="n">
        <f aca="false">CH280</f>
        <v>0</v>
      </c>
      <c r="CJ280" s="35" t="n">
        <f aca="false">CI280</f>
        <v>0</v>
      </c>
      <c r="CK280" s="23"/>
    </row>
    <row r="281" customFormat="false" ht="15" hidden="false" customHeight="true" outlineLevel="0" collapsed="false">
      <c r="B281" s="29" t="s">
        <v>574</v>
      </c>
      <c r="C281" s="34" t="n">
        <v>389.905</v>
      </c>
      <c r="D281" s="34" t="n">
        <v>408.87</v>
      </c>
      <c r="E281" s="34" t="n">
        <v>430.078</v>
      </c>
      <c r="F281" s="34" t="n">
        <v>357.678</v>
      </c>
      <c r="G281" s="34" t="n">
        <v>366.301</v>
      </c>
      <c r="H281" s="34" t="n">
        <v>429.131</v>
      </c>
      <c r="I281" s="34" t="n">
        <v>450.861</v>
      </c>
      <c r="J281" s="34" t="n">
        <v>459.302</v>
      </c>
      <c r="K281" s="34" t="n">
        <v>479.106</v>
      </c>
      <c r="L281" s="34" t="n">
        <v>495.124</v>
      </c>
      <c r="M281" s="34" t="n">
        <v>496.049</v>
      </c>
      <c r="N281" s="34" t="n">
        <v>496.049</v>
      </c>
      <c r="O281" s="34" t="n">
        <v>511.642</v>
      </c>
      <c r="P281" s="34" t="n">
        <v>520.523</v>
      </c>
      <c r="Q281" s="34" t="n">
        <v>529.668</v>
      </c>
      <c r="R281" s="34" t="n">
        <v>508.427</v>
      </c>
      <c r="S281" s="34" t="n">
        <v>508.427</v>
      </c>
      <c r="T281" s="34" t="n">
        <v>489.211</v>
      </c>
      <c r="U281" s="34" t="n">
        <v>510.153</v>
      </c>
      <c r="V281" s="34" t="n">
        <v>497.978</v>
      </c>
      <c r="W281" s="34" t="n">
        <v>496.13</v>
      </c>
      <c r="X281" s="34" t="n">
        <v>496.13</v>
      </c>
      <c r="Y281" s="34" t="n">
        <v>531.127</v>
      </c>
      <c r="Z281" s="34" t="n">
        <v>549.19</v>
      </c>
      <c r="AA281" s="34" t="n">
        <v>550.748</v>
      </c>
      <c r="AB281" s="34" t="n">
        <v>563.178</v>
      </c>
      <c r="AC281" s="34" t="n">
        <v>563.178</v>
      </c>
      <c r="AD281" s="34" t="n">
        <v>586.372</v>
      </c>
      <c r="AE281" s="34" t="n">
        <v>607.452</v>
      </c>
      <c r="AF281" s="34" t="n">
        <v>606.209</v>
      </c>
      <c r="AG281" s="34" t="n">
        <v>736.008</v>
      </c>
      <c r="AH281" s="34" t="n">
        <v>736.008</v>
      </c>
      <c r="AI281" s="34" t="n">
        <v>731.577</v>
      </c>
      <c r="AJ281" s="34" t="n">
        <v>763.555</v>
      </c>
      <c r="AK281" s="34" t="n">
        <v>779.22</v>
      </c>
      <c r="AL281" s="34" t="n">
        <v>804.583</v>
      </c>
      <c r="AM281" s="34" t="n">
        <v>804.583</v>
      </c>
      <c r="AN281" s="34" t="n">
        <v>838.192</v>
      </c>
      <c r="AO281" s="34" t="n">
        <v>904.062</v>
      </c>
      <c r="AP281" s="34" t="n">
        <v>878.037</v>
      </c>
      <c r="AQ281" s="34" t="n">
        <v>910.12</v>
      </c>
      <c r="AR281" s="34" t="n">
        <v>910.12</v>
      </c>
      <c r="AS281" s="34" t="n">
        <v>917.535</v>
      </c>
      <c r="AT281" s="34" t="n">
        <v>949.122</v>
      </c>
      <c r="AU281" s="34" t="n">
        <v>942.853</v>
      </c>
      <c r="AV281" s="34" t="n">
        <v>870.369</v>
      </c>
      <c r="AW281" s="34" t="n">
        <v>870.369</v>
      </c>
      <c r="AX281" s="34" t="n">
        <v>866.414</v>
      </c>
      <c r="AY281" s="34" t="n">
        <v>910.266</v>
      </c>
      <c r="AZ281" s="34" t="n">
        <v>929.492</v>
      </c>
      <c r="BA281" s="34" t="n">
        <v>901.71</v>
      </c>
      <c r="BB281" s="34" t="n">
        <v>901.71</v>
      </c>
      <c r="BC281" s="34" t="n">
        <v>927.36</v>
      </c>
      <c r="BD281" s="34" t="n">
        <v>975.442</v>
      </c>
      <c r="BE281" s="34" t="n">
        <v>1004.632</v>
      </c>
      <c r="BF281" s="34" t="n">
        <v>1006.22</v>
      </c>
      <c r="BG281" s="34" t="n">
        <v>1006.22</v>
      </c>
      <c r="BH281" s="34" t="n">
        <v>1082.783</v>
      </c>
      <c r="BI281" s="34" t="n">
        <v>1135.833</v>
      </c>
      <c r="BJ281" s="34" t="n">
        <v>1133.096</v>
      </c>
      <c r="BK281" s="34" t="n">
        <v>1152.993</v>
      </c>
      <c r="BL281" s="34" t="n">
        <v>1152.993</v>
      </c>
      <c r="BM281" s="34" t="n">
        <v>1197.342</v>
      </c>
      <c r="BN281" s="34" t="n">
        <v>1273.974</v>
      </c>
      <c r="BO281" s="34" t="n">
        <v>1262.077</v>
      </c>
      <c r="BP281" s="34" t="n">
        <v>1244.182</v>
      </c>
      <c r="BQ281" s="34" t="n">
        <v>1244.182</v>
      </c>
      <c r="BR281" s="34" t="n">
        <v>1293.791</v>
      </c>
      <c r="BS281" s="34" t="n">
        <v>1370.493</v>
      </c>
      <c r="BT281" s="34" t="n">
        <v>1397.824</v>
      </c>
      <c r="BU281" s="34" t="n">
        <v>1417.381</v>
      </c>
      <c r="BV281" s="34" t="n">
        <v>1417.381</v>
      </c>
      <c r="BW281" s="34" t="n">
        <v>1421.047</v>
      </c>
      <c r="BX281" s="34" t="n">
        <v>1484.328</v>
      </c>
      <c r="BY281" s="34" t="n">
        <v>1542.973</v>
      </c>
      <c r="BZ281" s="34" t="n">
        <v>1555.19</v>
      </c>
      <c r="CA281" s="34" t="n">
        <v>1555.19</v>
      </c>
      <c r="CB281" s="34" t="n">
        <v>1587.573</v>
      </c>
      <c r="CC281" s="43"/>
      <c r="CD281" s="43"/>
      <c r="CE281" s="43"/>
      <c r="CF281" s="35" t="n">
        <f aca="false">CF319*CF322/365</f>
        <v>2040.1449994998</v>
      </c>
      <c r="CG281" s="35" t="n">
        <f aca="false">CG319*CG322/365</f>
        <v>2193.86443278812</v>
      </c>
      <c r="CH281" s="35" t="n">
        <f aca="false">CH319*CH322/365</f>
        <v>2362.74365603146</v>
      </c>
      <c r="CI281" s="35" t="n">
        <f aca="false">CI319*CI322/365</f>
        <v>2544.52680076802</v>
      </c>
      <c r="CJ281" s="35" t="n">
        <f aca="false">CJ319*CJ322/365</f>
        <v>2728.96940366364</v>
      </c>
      <c r="CK281" s="23"/>
    </row>
    <row r="282" customFormat="false" ht="15" hidden="false" customHeight="true" outlineLevel="0" collapsed="false">
      <c r="B282" s="29" t="s">
        <v>575</v>
      </c>
      <c r="C282" s="34" t="n">
        <v>198</v>
      </c>
      <c r="D282" s="34" t="n">
        <v>231.741</v>
      </c>
      <c r="E282" s="34" t="n">
        <v>238.669</v>
      </c>
      <c r="F282" s="34" t="n">
        <v>202.351</v>
      </c>
      <c r="G282" s="34" t="n">
        <v>169.484</v>
      </c>
      <c r="H282" s="34" t="n">
        <v>249.658</v>
      </c>
      <c r="I282" s="34" t="n">
        <v>251.205</v>
      </c>
      <c r="J282" s="34" t="n">
        <v>241.699</v>
      </c>
      <c r="K282" s="34" t="n">
        <v>236.195</v>
      </c>
      <c r="L282" s="34" t="n">
        <v>246.957</v>
      </c>
      <c r="M282" s="34" t="n">
        <v>240.44</v>
      </c>
      <c r="N282" s="34" t="n">
        <v>240.44</v>
      </c>
      <c r="O282" s="34" t="n">
        <v>245.47</v>
      </c>
      <c r="P282" s="34" t="n">
        <v>249.486</v>
      </c>
      <c r="Q282" s="34" t="n">
        <v>256.132</v>
      </c>
      <c r="R282" s="34" t="n">
        <v>251.239</v>
      </c>
      <c r="S282" s="34" t="n">
        <v>251.239</v>
      </c>
      <c r="T282" s="34" t="n">
        <v>249.817</v>
      </c>
      <c r="U282" s="34" t="n">
        <v>235.86</v>
      </c>
      <c r="V282" s="34" t="n">
        <v>234.641</v>
      </c>
      <c r="W282" s="34" t="n">
        <v>226.211</v>
      </c>
      <c r="X282" s="34" t="n">
        <v>226.211</v>
      </c>
      <c r="Y282" s="34" t="n">
        <v>240.046</v>
      </c>
      <c r="Z282" s="34" t="n">
        <v>251.477</v>
      </c>
      <c r="AA282" s="34" t="n">
        <v>255.203</v>
      </c>
      <c r="AB282" s="34" t="n">
        <v>249.362</v>
      </c>
      <c r="AC282" s="34" t="n">
        <v>249.362</v>
      </c>
      <c r="AD282" s="34" t="n">
        <v>262.156</v>
      </c>
      <c r="AE282" s="34" t="n">
        <v>263.301</v>
      </c>
      <c r="AF282" s="34" t="n">
        <v>272.181</v>
      </c>
      <c r="AG282" s="34" t="n">
        <v>278.218</v>
      </c>
      <c r="AH282" s="34" t="n">
        <v>278.218</v>
      </c>
      <c r="AI282" s="34" t="n">
        <v>283.197</v>
      </c>
      <c r="AJ282" s="34" t="n">
        <v>272.83</v>
      </c>
      <c r="AK282" s="34" t="n">
        <v>274.819</v>
      </c>
      <c r="AL282" s="34" t="n">
        <v>280.347</v>
      </c>
      <c r="AM282" s="34" t="n">
        <v>280.347</v>
      </c>
      <c r="AN282" s="34" t="n">
        <v>303.77</v>
      </c>
      <c r="AO282" s="34" t="n">
        <v>321.874</v>
      </c>
      <c r="AP282" s="34" t="n">
        <v>339.805</v>
      </c>
      <c r="AQ282" s="34" t="n">
        <v>334.589</v>
      </c>
      <c r="AR282" s="34" t="n">
        <v>334.589</v>
      </c>
      <c r="AS282" s="34" t="n">
        <v>336.29</v>
      </c>
      <c r="AT282" s="34" t="n">
        <v>348.304</v>
      </c>
      <c r="AU282" s="34" t="n">
        <v>352.924</v>
      </c>
      <c r="AV282" s="34" t="n">
        <v>408.898</v>
      </c>
      <c r="AW282" s="34" t="n">
        <v>408.898</v>
      </c>
      <c r="AX282" s="34" t="n">
        <v>488.165</v>
      </c>
      <c r="AY282" s="34" t="n">
        <v>534.128</v>
      </c>
      <c r="AZ282" s="34" t="n">
        <v>533.211</v>
      </c>
      <c r="BA282" s="34" t="n">
        <v>481.797</v>
      </c>
      <c r="BB282" s="34" t="n">
        <v>481.797</v>
      </c>
      <c r="BC282" s="34" t="n">
        <v>463.692</v>
      </c>
      <c r="BD282" s="34" t="n">
        <v>464.864</v>
      </c>
      <c r="BE282" s="34" t="n">
        <v>486.75</v>
      </c>
      <c r="BF282" s="34" t="n">
        <v>472.15</v>
      </c>
      <c r="BG282" s="34" t="n">
        <v>472.15</v>
      </c>
      <c r="BH282" s="34" t="n">
        <v>473.888</v>
      </c>
      <c r="BI282" s="34" t="n">
        <v>514.839</v>
      </c>
      <c r="BJ282" s="34" t="n">
        <v>531.27</v>
      </c>
      <c r="BK282" s="34" t="n">
        <v>506.604</v>
      </c>
      <c r="BL282" s="34" t="n">
        <v>506.604</v>
      </c>
      <c r="BM282" s="34" t="n">
        <v>498.354</v>
      </c>
      <c r="BN282" s="34" t="n">
        <v>474.84</v>
      </c>
      <c r="BO282" s="34" t="n">
        <v>451.215</v>
      </c>
      <c r="BP282" s="34" t="n">
        <v>410.201</v>
      </c>
      <c r="BQ282" s="34" t="n">
        <v>410.201</v>
      </c>
      <c r="BR282" s="34" t="n">
        <v>399.078</v>
      </c>
      <c r="BS282" s="34" t="n">
        <v>394.605</v>
      </c>
      <c r="BT282" s="34" t="n">
        <v>420.826</v>
      </c>
      <c r="BU282" s="34" t="n">
        <v>447.408</v>
      </c>
      <c r="BV282" s="34" t="n">
        <v>447.408</v>
      </c>
      <c r="BW282" s="34" t="n">
        <v>449.739</v>
      </c>
      <c r="BX282" s="34" t="n">
        <v>447.611</v>
      </c>
      <c r="BY282" s="34" t="n">
        <v>450.501</v>
      </c>
      <c r="BZ282" s="34" t="n">
        <v>446.435</v>
      </c>
      <c r="CA282" s="34" t="n">
        <v>446.435</v>
      </c>
      <c r="CB282" s="34" t="n">
        <v>433.286</v>
      </c>
      <c r="CC282" s="43"/>
      <c r="CD282" s="43"/>
      <c r="CE282" s="43"/>
      <c r="CF282" s="35" t="n">
        <f aca="false">CF321*CF323/365</f>
        <v>621.075662818886</v>
      </c>
      <c r="CG282" s="35" t="n">
        <f aca="false">CG321*CG323/365</f>
        <v>653.539788626654</v>
      </c>
      <c r="CH282" s="35" t="n">
        <f aca="false">CH321*CH323/365</f>
        <v>693.569055957523</v>
      </c>
      <c r="CI282" s="35" t="n">
        <f aca="false">CI321*CI323/365</f>
        <v>737.140982762353</v>
      </c>
      <c r="CJ282" s="35" t="n">
        <f aca="false">CJ321*CJ323/365</f>
        <v>784.356250437559</v>
      </c>
      <c r="CK282" s="23"/>
    </row>
    <row r="283" customFormat="false" ht="15" hidden="false" customHeight="true" outlineLevel="0" collapsed="false">
      <c r="B283" s="29" t="s">
        <v>576</v>
      </c>
      <c r="C283" s="34" t="n">
        <v>337.487</v>
      </c>
      <c r="D283" s="34" t="n">
        <v>344.931</v>
      </c>
      <c r="E283" s="34" t="n">
        <v>370.416</v>
      </c>
      <c r="F283" s="34" t="n">
        <v>335.447</v>
      </c>
      <c r="G283" s="34" t="n">
        <v>332.106</v>
      </c>
      <c r="H283" s="34" t="n">
        <v>393.826</v>
      </c>
      <c r="I283" s="34" t="n">
        <v>452.785</v>
      </c>
      <c r="J283" s="34" t="n">
        <v>462.541</v>
      </c>
      <c r="K283" s="34" t="n">
        <v>482.001</v>
      </c>
      <c r="L283" s="34" t="n">
        <v>481.576</v>
      </c>
      <c r="M283" s="34" t="n">
        <v>496.752</v>
      </c>
      <c r="N283" s="34" t="n">
        <v>496.752</v>
      </c>
      <c r="O283" s="34" t="n">
        <v>500.384</v>
      </c>
      <c r="P283" s="34" t="n">
        <v>508.669</v>
      </c>
      <c r="Q283" s="34" t="n">
        <v>498.649</v>
      </c>
      <c r="R283" s="34" t="n">
        <v>506.537</v>
      </c>
      <c r="S283" s="34" t="n">
        <v>506.537</v>
      </c>
      <c r="T283" s="34" t="n">
        <v>513.615</v>
      </c>
      <c r="U283" s="34" t="n">
        <v>528.332</v>
      </c>
      <c r="V283" s="34" t="n">
        <v>524.065</v>
      </c>
      <c r="W283" s="34" t="n">
        <v>534.005</v>
      </c>
      <c r="X283" s="34" t="n">
        <v>534.005</v>
      </c>
      <c r="Y283" s="34" t="n">
        <v>537.12</v>
      </c>
      <c r="Z283" s="34" t="n">
        <v>542.531</v>
      </c>
      <c r="AA283" s="34" t="n">
        <v>539.401</v>
      </c>
      <c r="AB283" s="34" t="n">
        <v>539.956</v>
      </c>
      <c r="AC283" s="34" t="n">
        <v>539.956</v>
      </c>
      <c r="AD283" s="34" t="n">
        <v>542.124</v>
      </c>
      <c r="AE283" s="34" t="n">
        <v>543.644</v>
      </c>
      <c r="AF283" s="34" t="n">
        <v>539.73</v>
      </c>
      <c r="AG283" s="34" t="n">
        <v>635.702</v>
      </c>
      <c r="AH283" s="34" t="n">
        <v>635.702</v>
      </c>
      <c r="AI283" s="34" t="n">
        <v>654.249</v>
      </c>
      <c r="AJ283" s="34" t="n">
        <v>674.572</v>
      </c>
      <c r="AK283" s="34" t="n">
        <v>682.438</v>
      </c>
      <c r="AL283" s="34" t="n">
        <v>702.261</v>
      </c>
      <c r="AM283" s="34" t="n">
        <v>702.261</v>
      </c>
      <c r="AN283" s="34" t="n">
        <v>724.708</v>
      </c>
      <c r="AO283" s="34" t="n">
        <v>758.246</v>
      </c>
      <c r="AP283" s="34" t="n">
        <v>773.534</v>
      </c>
      <c r="AQ283" s="34" t="n">
        <v>784.133</v>
      </c>
      <c r="AR283" s="34" t="n">
        <v>784.133</v>
      </c>
      <c r="AS283" s="34" t="n">
        <v>796.187</v>
      </c>
      <c r="AT283" s="34" t="n">
        <v>817.859</v>
      </c>
      <c r="AU283" s="34" t="n">
        <v>818.486</v>
      </c>
      <c r="AV283" s="34" t="n">
        <v>770.411</v>
      </c>
      <c r="AW283" s="34" t="n">
        <v>770.411</v>
      </c>
      <c r="AX283" s="34" t="n">
        <v>756.364</v>
      </c>
      <c r="AY283" s="34" t="n">
        <v>772.937</v>
      </c>
      <c r="AZ283" s="34" t="n">
        <v>777.364</v>
      </c>
      <c r="BA283" s="34" t="n">
        <v>810.104</v>
      </c>
      <c r="BB283" s="34" t="n">
        <v>810.104</v>
      </c>
      <c r="BC283" s="34" t="n">
        <v>846.656</v>
      </c>
      <c r="BD283" s="34" t="n">
        <v>876.065</v>
      </c>
      <c r="BE283" s="34" t="n">
        <v>881.734</v>
      </c>
      <c r="BF283" s="34" t="n">
        <v>916.706</v>
      </c>
      <c r="BG283" s="34" t="n">
        <v>916.706</v>
      </c>
      <c r="BH283" s="34" t="n">
        <v>953.717</v>
      </c>
      <c r="BI283" s="34" t="n">
        <v>986.505</v>
      </c>
      <c r="BJ283" s="34" t="n">
        <v>999.029</v>
      </c>
      <c r="BK283" s="34" t="n">
        <v>1011.918</v>
      </c>
      <c r="BL283" s="34" t="n">
        <v>1011.918</v>
      </c>
      <c r="BM283" s="34" t="n">
        <v>1021.515</v>
      </c>
      <c r="BN283" s="34" t="n">
        <v>1035.717</v>
      </c>
      <c r="BO283" s="34" t="n">
        <v>1025.597</v>
      </c>
      <c r="BP283" s="34" t="n">
        <v>1040.144</v>
      </c>
      <c r="BQ283" s="34" t="n">
        <v>1040.144</v>
      </c>
      <c r="BR283" s="34" t="n">
        <v>1061.065</v>
      </c>
      <c r="BS283" s="34" t="n">
        <v>1094.039</v>
      </c>
      <c r="BT283" s="34" t="n">
        <v>1100.039</v>
      </c>
      <c r="BU283" s="34" t="n">
        <v>1137.361</v>
      </c>
      <c r="BV283" s="34" t="n">
        <v>1137.361</v>
      </c>
      <c r="BW283" s="34" t="n">
        <v>1172.321</v>
      </c>
      <c r="BX283" s="34" t="n">
        <v>1213.499</v>
      </c>
      <c r="BY283" s="34" t="n">
        <v>1240.648</v>
      </c>
      <c r="BZ283" s="34" t="n">
        <v>1276.174</v>
      </c>
      <c r="CA283" s="34" t="n">
        <v>1276.174</v>
      </c>
      <c r="CB283" s="34" t="n">
        <v>1309.995</v>
      </c>
      <c r="CC283" s="43"/>
      <c r="CD283" s="43"/>
      <c r="CE283" s="43"/>
      <c r="CF283" s="35" t="n">
        <f aca="false">CF320*CF324</f>
        <v>1729.55033668649</v>
      </c>
      <c r="CG283" s="35" t="n">
        <f aca="false">CG320*CG324</f>
        <v>1836.17754428811</v>
      </c>
      <c r="CH283" s="35" t="n">
        <f aca="false">CH320*CH324</f>
        <v>1944.37316808277</v>
      </c>
      <c r="CI283" s="35" t="n">
        <f aca="false">CI320*CI324</f>
        <v>2059.21105034364</v>
      </c>
      <c r="CJ283" s="35" t="n">
        <f aca="false">CJ320*CJ324</f>
        <v>2172.80496607862</v>
      </c>
      <c r="CK283" s="23" t="s">
        <v>577</v>
      </c>
    </row>
    <row r="284" customFormat="false" ht="15" hidden="false" customHeight="true" outlineLevel="0" collapsed="false">
      <c r="B284" s="29" t="s">
        <v>578</v>
      </c>
      <c r="C284" s="34" t="n">
        <v>11.163</v>
      </c>
      <c r="D284" s="34" t="n">
        <v>15.781</v>
      </c>
      <c r="E284" s="34" t="n">
        <v>51.478</v>
      </c>
      <c r="F284" s="34" t="n">
        <v>99.147</v>
      </c>
      <c r="G284" s="34" t="n">
        <v>90.966</v>
      </c>
      <c r="H284" s="34" t="n">
        <v>102.836</v>
      </c>
      <c r="I284" s="34" t="n">
        <v>46.892</v>
      </c>
      <c r="J284" s="34" t="n">
        <v>30.17</v>
      </c>
      <c r="K284" s="34" t="n">
        <v>46.011</v>
      </c>
      <c r="L284" s="34" t="n">
        <v>40.109</v>
      </c>
      <c r="M284" s="34" t="n">
        <v>33.632</v>
      </c>
      <c r="N284" s="34" t="n">
        <v>33.632</v>
      </c>
      <c r="O284" s="34" t="n">
        <v>31.934</v>
      </c>
      <c r="P284" s="34" t="n">
        <v>26.614</v>
      </c>
      <c r="Q284" s="34" t="n">
        <v>26.761</v>
      </c>
      <c r="R284" s="34" t="n">
        <v>26.19</v>
      </c>
      <c r="S284" s="34" t="n">
        <v>26.19</v>
      </c>
      <c r="T284" s="34" t="n">
        <v>178.853</v>
      </c>
      <c r="U284" s="34" t="n">
        <v>44.911</v>
      </c>
      <c r="V284" s="34" t="n">
        <v>50.247</v>
      </c>
      <c r="W284" s="34" t="n">
        <v>46.307</v>
      </c>
      <c r="X284" s="34" t="n">
        <v>46.307</v>
      </c>
      <c r="Y284" s="34" t="n">
        <v>225.445</v>
      </c>
      <c r="Z284" s="34" t="n">
        <v>27.471</v>
      </c>
      <c r="AA284" s="34" t="n">
        <v>26.653</v>
      </c>
      <c r="AB284" s="34" t="n">
        <v>27.777</v>
      </c>
      <c r="AC284" s="34" t="n">
        <v>27.777</v>
      </c>
      <c r="AD284" s="34" t="n">
        <v>40.329</v>
      </c>
      <c r="AE284" s="34" t="n">
        <v>42.692</v>
      </c>
      <c r="AF284" s="34" t="n">
        <v>64.577</v>
      </c>
      <c r="AG284" s="34" t="n">
        <v>113.065</v>
      </c>
      <c r="AH284" s="34" t="n">
        <v>113.065</v>
      </c>
      <c r="AI284" s="34" t="n">
        <v>42.49</v>
      </c>
      <c r="AJ284" s="34" t="n">
        <v>73.758</v>
      </c>
      <c r="AK284" s="34" t="n">
        <v>48.099</v>
      </c>
      <c r="AL284" s="34" t="n">
        <v>52.017</v>
      </c>
      <c r="AM284" s="34" t="n">
        <v>52.017</v>
      </c>
      <c r="AN284" s="34" t="n">
        <v>119.352</v>
      </c>
      <c r="AO284" s="34" t="n">
        <v>143.209</v>
      </c>
      <c r="AP284" s="34" t="n">
        <v>151.521</v>
      </c>
      <c r="AQ284" s="34" t="n">
        <v>110.793</v>
      </c>
      <c r="AR284" s="34" t="n">
        <v>110.793</v>
      </c>
      <c r="AS284" s="34" t="n">
        <v>137.675</v>
      </c>
      <c r="AT284" s="34" t="n">
        <v>148.467</v>
      </c>
      <c r="AU284" s="34" t="n">
        <v>149.002</v>
      </c>
      <c r="AV284" s="34" t="n">
        <v>114.619</v>
      </c>
      <c r="AW284" s="34" t="n">
        <v>114.619</v>
      </c>
      <c r="AX284" s="34" t="n">
        <v>133.692</v>
      </c>
      <c r="AY284" s="34" t="n">
        <v>182.267</v>
      </c>
      <c r="AZ284" s="34" t="n">
        <v>184.878</v>
      </c>
      <c r="BA284" s="34" t="n">
        <v>156.058</v>
      </c>
      <c r="BB284" s="34" t="n">
        <v>156.058</v>
      </c>
      <c r="BC284" s="34" t="n">
        <v>160.209</v>
      </c>
      <c r="BD284" s="34" t="n">
        <v>225.933</v>
      </c>
      <c r="BE284" s="34" t="n">
        <v>229.489</v>
      </c>
      <c r="BF284" s="34" t="n">
        <v>146.436</v>
      </c>
      <c r="BG284" s="34" t="n">
        <v>146.436</v>
      </c>
      <c r="BH284" s="34" t="n">
        <v>162.844</v>
      </c>
      <c r="BI284" s="34" t="n">
        <v>166.194</v>
      </c>
      <c r="BJ284" s="34" t="n">
        <v>158.198</v>
      </c>
      <c r="BK284" s="34" t="n">
        <v>142.795</v>
      </c>
      <c r="BL284" s="34" t="n">
        <v>142.795</v>
      </c>
      <c r="BM284" s="34" t="n">
        <v>182.191</v>
      </c>
      <c r="BN284" s="34" t="n">
        <v>166.652</v>
      </c>
      <c r="BO284" s="34" t="n">
        <v>163.624</v>
      </c>
      <c r="BP284" s="34" t="n">
        <v>148.665</v>
      </c>
      <c r="BQ284" s="34" t="n">
        <v>148.665</v>
      </c>
      <c r="BR284" s="34" t="n">
        <v>188.085</v>
      </c>
      <c r="BS284" s="34" t="n">
        <v>188.859</v>
      </c>
      <c r="BT284" s="34" t="n">
        <v>179.311</v>
      </c>
      <c r="BU284" s="34" t="n">
        <v>170.046</v>
      </c>
      <c r="BV284" s="34" t="n">
        <v>170.046</v>
      </c>
      <c r="BW284" s="34" t="n">
        <v>194.676</v>
      </c>
      <c r="BX284" s="34" t="n">
        <v>193.808</v>
      </c>
      <c r="BY284" s="34" t="n">
        <v>185.608</v>
      </c>
      <c r="BZ284" s="34" t="n">
        <v>286.225</v>
      </c>
      <c r="CA284" s="34" t="n">
        <v>286.225</v>
      </c>
      <c r="CB284" s="34" t="n">
        <v>357.292</v>
      </c>
      <c r="CC284" s="43"/>
      <c r="CD284" s="43"/>
      <c r="CE284" s="43"/>
      <c r="CF284" s="35" t="n">
        <f aca="false">CF319*CF325</f>
        <v>375.478560485748</v>
      </c>
      <c r="CG284" s="35" t="n">
        <f aca="false">CG319*CG325</f>
        <v>403.769859164976</v>
      </c>
      <c r="CH284" s="35" t="n">
        <f aca="false">CH319*CH325</f>
        <v>434.851241936744</v>
      </c>
      <c r="CI284" s="35" t="n">
        <f aca="false">CI319*CI325</f>
        <v>468.307527408115</v>
      </c>
      <c r="CJ284" s="35" t="n">
        <f aca="false">CJ319*CJ325</f>
        <v>502.253272952903</v>
      </c>
      <c r="CK284" s="23"/>
    </row>
    <row r="285" customFormat="false" ht="15" hidden="false" customHeight="true" outlineLevel="0" collapsed="false">
      <c r="B285" s="20" t="s">
        <v>579</v>
      </c>
      <c r="C285" s="39" t="n">
        <f aca="false">SUM(C279,C280,C281,C282,C283,C284)</f>
        <v>1178.008</v>
      </c>
      <c r="D285" s="39" t="n">
        <f aca="false">SUM(D279,D280,D281,D282,D283,D284)</f>
        <v>1156.736</v>
      </c>
      <c r="E285" s="39" t="n">
        <f aca="false">SUM(E279,E280,E281,E282,E283,E284)</f>
        <v>1282.336</v>
      </c>
      <c r="F285" s="39" t="n">
        <f aca="false">SUM(F279,F280,F281,F282,F283,F284)</f>
        <v>1244.761</v>
      </c>
      <c r="G285" s="39" t="n">
        <f aca="false">SUM(G279,G280,G281,G282,G283,G284)</f>
        <v>1524.944</v>
      </c>
      <c r="H285" s="39" t="n">
        <f aca="false">SUM(H279,H280,H281,H282,H283,H284)</f>
        <v>1700.777</v>
      </c>
      <c r="I285" s="39" t="n">
        <f aca="false">SUM(I279,I280,I281,I282,I283,I284)</f>
        <v>1541.568</v>
      </c>
      <c r="J285" s="39" t="n">
        <f aca="false">SUM(J279,J280,J281,J282,J283,J284)</f>
        <v>1523.877</v>
      </c>
      <c r="K285" s="39" t="n">
        <f aca="false">SUM(K279,K280,K281,K282,K283,K284)</f>
        <v>1519.662</v>
      </c>
      <c r="L285" s="39" t="n">
        <f aca="false">SUM(L279,L280,L281,L282,L283,L284)</f>
        <v>1509.452</v>
      </c>
      <c r="M285" s="39" t="n">
        <f aca="false">SUM(M279,M280,M281,M282,M283,M284)</f>
        <v>1624.826</v>
      </c>
      <c r="N285" s="39" t="n">
        <f aca="false">SUM(N279,N280,N281,N282,N283,N284)</f>
        <v>1624.826</v>
      </c>
      <c r="O285" s="39" t="n">
        <f aca="false">SUM(O279,O280,O281,O282,O283,O284)</f>
        <v>1572.289</v>
      </c>
      <c r="P285" s="39" t="n">
        <f aca="false">SUM(P279,P280,P281,P282,P283,P284)</f>
        <v>1618.782</v>
      </c>
      <c r="Q285" s="39" t="n">
        <f aca="false">SUM(Q279,Q280,Q281,Q282,Q283,Q284)</f>
        <v>1664.909</v>
      </c>
      <c r="R285" s="39" t="n">
        <f aca="false">SUM(R279,R280,R281,R282,R283,R284)</f>
        <v>1805.681</v>
      </c>
      <c r="S285" s="39" t="n">
        <f aca="false">SUM(S279,S280,S281,S282,S283,S284)</f>
        <v>1805.681</v>
      </c>
      <c r="T285" s="39" t="n">
        <f aca="false">SUM(T279,T280,T281,T282,T283,T284)</f>
        <v>2012.949</v>
      </c>
      <c r="U285" s="39" t="n">
        <f aca="false">SUM(U279,U280,U281,U282,U283,U284)</f>
        <v>2145.98</v>
      </c>
      <c r="V285" s="39" t="n">
        <f aca="false">SUM(V279,V280,V281,V282,V283,V284)</f>
        <v>1797.119</v>
      </c>
      <c r="W285" s="39" t="n">
        <f aca="false">SUM(W279,W280,W281,W282,W283,W284)</f>
        <v>1735.807</v>
      </c>
      <c r="X285" s="39" t="n">
        <f aca="false">SUM(X279,X280,X281,X282,X283,X284)</f>
        <v>1735.807</v>
      </c>
      <c r="Y285" s="39" t="n">
        <f aca="false">SUM(Y279,Y280,Y281,Y282,Y283,Y284)</f>
        <v>1733.952</v>
      </c>
      <c r="Z285" s="39" t="n">
        <f aca="false">SUM(Z279,Z280,Z281,Z282,Z283,Z284)</f>
        <v>2043.28</v>
      </c>
      <c r="AA285" s="39" t="n">
        <f aca="false">SUM(AA279,AA280,AA281,AA282,AA283,AA284)</f>
        <v>1758.824</v>
      </c>
      <c r="AB285" s="39" t="n">
        <f aca="false">SUM(AB279,AB280,AB281,AB282,AB283,AB284)</f>
        <v>1590.035</v>
      </c>
      <c r="AC285" s="39" t="n">
        <f aca="false">SUM(AC279,AC280,AC281,AC282,AC283,AC284)</f>
        <v>1590.035</v>
      </c>
      <c r="AD285" s="39" t="n">
        <f aca="false">SUM(AD279,AD280,AD281,AD282,AD283,AD284)</f>
        <v>1594.748</v>
      </c>
      <c r="AE285" s="39" t="n">
        <f aca="false">SUM(AE279,AE280,AE281,AE282,AE283,AE284)</f>
        <v>1600.662</v>
      </c>
      <c r="AF285" s="39" t="n">
        <f aca="false">SUM(AF279,AF280,AF281,AF282,AF283,AF284)</f>
        <v>1629.941</v>
      </c>
      <c r="AG285" s="39" t="n">
        <f aca="false">SUM(AG279,AG280,AG281,AG282,AG283,AG284)</f>
        <v>1954.478</v>
      </c>
      <c r="AH285" s="39" t="n">
        <f aca="false">SUM(AH279,AH280,AH281,AH282,AH283,AH284)</f>
        <v>1954.478</v>
      </c>
      <c r="AI285" s="39" t="n">
        <f aca="false">SUM(AI279,AI280,AI281,AI282,AI283,AI284)</f>
        <v>1924.553</v>
      </c>
      <c r="AJ285" s="39" t="n">
        <f aca="false">SUM(AJ279,AJ280,AJ281,AJ282,AJ283,AJ284)</f>
        <v>2043.449</v>
      </c>
      <c r="AK285" s="39" t="n">
        <f aca="false">SUM(AK279,AK280,AK281,AK282,AK283,AK284)</f>
        <v>1970.832</v>
      </c>
      <c r="AL285" s="39" t="n">
        <f aca="false">SUM(AL279,AL280,AL281,AL282,AL283,AL284)</f>
        <v>1977.932</v>
      </c>
      <c r="AM285" s="39" t="n">
        <f aca="false">SUM(AM279,AM280,AM281,AM282,AM283,AM284)</f>
        <v>1977.932</v>
      </c>
      <c r="AN285" s="39" t="n">
        <f aca="false">SUM(AN279,AN280,AN281,AN282,AN283,AN284)</f>
        <v>2104.378</v>
      </c>
      <c r="AO285" s="39" t="n">
        <f aca="false">SUM(AO279,AO280,AO281,AO282,AO283,AO284)</f>
        <v>2215.87</v>
      </c>
      <c r="AP285" s="39" t="n">
        <f aca="false">SUM(AP279,AP280,AP281,AP282,AP283,AP284)</f>
        <v>2223.756</v>
      </c>
      <c r="AQ285" s="39" t="n">
        <f aca="false">SUM(AQ279,AQ280,AQ281,AQ282,AQ283,AQ284)</f>
        <v>2236.28</v>
      </c>
      <c r="AR285" s="39" t="n">
        <f aca="false">SUM(AR279,AR280,AR281,AR282,AR283,AR284)</f>
        <v>2236.28</v>
      </c>
      <c r="AS285" s="39" t="n">
        <f aca="false">SUM(AS279,AS280,AS281,AS282,AS283,AS284)</f>
        <v>2289.818</v>
      </c>
      <c r="AT285" s="39" t="n">
        <f aca="false">SUM(AT279,AT280,AT281,AT282,AT283,AT284)</f>
        <v>2490.287</v>
      </c>
      <c r="AU285" s="39" t="n">
        <f aca="false">SUM(AU279,AU280,AU281,AU282,AU283,AU284)</f>
        <v>2497.706</v>
      </c>
      <c r="AV285" s="39" t="n">
        <f aca="false">SUM(AV279,AV280,AV281,AV282,AV283,AV284)</f>
        <v>2309.699</v>
      </c>
      <c r="AW285" s="39" t="n">
        <f aca="false">SUM(AW279,AW280,AW281,AW282,AW283,AW284)</f>
        <v>2309.699</v>
      </c>
      <c r="AX285" s="39" t="n">
        <f aca="false">SUM(AX279,AX280,AX281,AX282,AX283,AX284)</f>
        <v>2666.177</v>
      </c>
      <c r="AY285" s="39" t="n">
        <f aca="false">SUM(AY279,AY280,AY281,AY282,AY283,AY284)</f>
        <v>3102.773</v>
      </c>
      <c r="AZ285" s="39" t="n">
        <f aca="false">SUM(AZ279,AZ280,AZ281,AZ282,AZ283,AZ284)</f>
        <v>2978.556</v>
      </c>
      <c r="BA285" s="39" t="n">
        <f aca="false">SUM(BA279,BA280,BA281,BA282,BA283,BA284)</f>
        <v>2843.309</v>
      </c>
      <c r="BB285" s="39" t="n">
        <f aca="false">SUM(BB279,BB280,BB281,BB282,BB283,BB284)</f>
        <v>2843.309</v>
      </c>
      <c r="BC285" s="39" t="n">
        <f aca="false">SUM(BC279,BC280,BC281,BC282,BC283,BC284)</f>
        <v>2477.666</v>
      </c>
      <c r="BD285" s="39" t="n">
        <f aca="false">SUM(BD279,BD280,BD281,BD282,BD283,BD284)</f>
        <v>2655.474</v>
      </c>
      <c r="BE285" s="39" t="n">
        <f aca="false">SUM(BE279,BE280,BE281,BE282,BE283,BE284)</f>
        <v>2686.741</v>
      </c>
      <c r="BF285" s="39" t="n">
        <f aca="false">SUM(BF279,BF280,BF281,BF282,BF283,BF284)</f>
        <v>2631.983</v>
      </c>
      <c r="BG285" s="39" t="n">
        <f aca="false">SUM(BG279,BG280,BG281,BG282,BG283,BG284)</f>
        <v>2631.983</v>
      </c>
      <c r="BH285" s="39" t="n">
        <f aca="false">SUM(BH279,BH280,BH281,BH282,BH283,BH284)</f>
        <v>2747.79</v>
      </c>
      <c r="BI285" s="39" t="n">
        <f aca="false">SUM(BI279,BI280,BI281,BI282,BI283,BI284)</f>
        <v>2893.17</v>
      </c>
      <c r="BJ285" s="39" t="n">
        <f aca="false">SUM(BJ279,BJ280,BJ281,BJ282,BJ283,BJ284)</f>
        <v>2910.156</v>
      </c>
      <c r="BK285" s="39" t="n">
        <f aca="false">SUM(BK279,BK280,BK281,BK282,BK283,BK284)</f>
        <v>2938.459</v>
      </c>
      <c r="BL285" s="39" t="n">
        <f aca="false">SUM(BL279,BL280,BL281,BL282,BL283,BL284)</f>
        <v>2938.459</v>
      </c>
      <c r="BM285" s="39" t="n">
        <f aca="false">SUM(BM279,BM280,BM281,BM282,BM283,BM284)</f>
        <v>2987.528</v>
      </c>
      <c r="BN285" s="39" t="n">
        <f aca="false">SUM(BN279,BN280,BN281,BN282,BN283,BN284)</f>
        <v>3036.739</v>
      </c>
      <c r="BO285" s="39" t="n">
        <f aca="false">SUM(BO279,BO280,BO281,BO282,BO283,BO284)</f>
        <v>3030.996</v>
      </c>
      <c r="BP285" s="39" t="n">
        <f aca="false">SUM(BP279,BP280,BP281,BP282,BP283,BP284)</f>
        <v>3185.207</v>
      </c>
      <c r="BQ285" s="39" t="n">
        <f aca="false">SUM(BQ279,BQ280,BQ281,BQ282,BQ283,BQ284)</f>
        <v>3185.207</v>
      </c>
      <c r="BR285" s="39" t="n">
        <f aca="false">SUM(BR279,BR280,BR281,BR282,BR283,BR284)</f>
        <v>3043.392</v>
      </c>
      <c r="BS285" s="39" t="n">
        <f aca="false">SUM(BS279,BS280,BS281,BS282,BS283,BS284)</f>
        <v>3170.391</v>
      </c>
      <c r="BT285" s="39" t="n">
        <f aca="false">SUM(BT279,BT280,BT281,BT282,BT283,BT284)</f>
        <v>3341.428</v>
      </c>
      <c r="BU285" s="39" t="n">
        <f aca="false">SUM(BU279,BU280,BU281,BU282,BU283,BU284)</f>
        <v>3436.169</v>
      </c>
      <c r="BV285" s="39" t="n">
        <f aca="false">SUM(BV279,BV280,BV281,BV282,BV283,BV284)</f>
        <v>3436.169</v>
      </c>
      <c r="BW285" s="39" t="n">
        <f aca="false">SUM(BW279,BW280,BW281,BW282,BW283,BW284)</f>
        <v>3375.926</v>
      </c>
      <c r="BX285" s="39" t="n">
        <f aca="false">SUM(BX279,BX280,BX281,BX282,BX283,BX284)</f>
        <v>3540.088</v>
      </c>
      <c r="BY285" s="39" t="n">
        <f aca="false">SUM(BY279,BY280,BY281,BY282,BY283,BY284)</f>
        <v>3602.934</v>
      </c>
      <c r="BZ285" s="39" t="n">
        <f aca="false">SUM(BZ279,BZ280,BZ281,BZ282,BZ283,BZ284)</f>
        <v>3853.042</v>
      </c>
      <c r="CA285" s="39" t="n">
        <f aca="false">SUM(CA279,CA280,CA281,CA282,CA283,CA284)</f>
        <v>3853.042</v>
      </c>
      <c r="CB285" s="39" t="n">
        <f aca="false">SUM(CB279,CB280,CB281,CB282,CB283,CB284)</f>
        <v>3931.745</v>
      </c>
      <c r="CC285" s="54"/>
      <c r="CD285" s="54"/>
      <c r="CE285" s="54"/>
      <c r="CF285" s="22" t="n">
        <f aca="false">SUM(CF279,CF280,CF281,CF282,CF283,CF284)</f>
        <v>5728.67200422222</v>
      </c>
      <c r="CG285" s="22" t="n">
        <f aca="false">SUM(CG279,CG280,CG281,CG282,CG283,CG284)</f>
        <v>5337.35162486786</v>
      </c>
      <c r="CH285" s="22" t="n">
        <f aca="false">SUM(CH279,CH280,CH281,CH282,CH283,CH284)</f>
        <v>5685.5371220085</v>
      </c>
      <c r="CI285" s="22" t="n">
        <f aca="false">SUM(CI279,CI280,CI281,CI282,CI283,CI284)</f>
        <v>6059.18636128213</v>
      </c>
      <c r="CJ285" s="22" t="n">
        <f aca="false">SUM(CJ279,CJ280,CJ281,CJ282,CJ283,CJ284)</f>
        <v>6438.38389313272</v>
      </c>
      <c r="CK285" s="23"/>
    </row>
    <row r="286" customFormat="false" ht="15" hidden="false" customHeight="true" outlineLevel="0" collapsed="false">
      <c r="B286" s="29" t="s">
        <v>580</v>
      </c>
      <c r="C286" s="34" t="n">
        <v>863.783</v>
      </c>
      <c r="D286" s="34" t="n">
        <v>920.243</v>
      </c>
      <c r="E286" s="34" t="n">
        <v>974.575</v>
      </c>
      <c r="F286" s="34" t="n">
        <v>914.627</v>
      </c>
      <c r="G286" s="34" t="n">
        <v>894.522</v>
      </c>
      <c r="H286" s="34" t="n">
        <v>946.218</v>
      </c>
      <c r="I286" s="34" t="n">
        <v>944.305</v>
      </c>
      <c r="J286" s="34" t="n">
        <v>953.761</v>
      </c>
      <c r="K286" s="34" t="n">
        <v>967.26</v>
      </c>
      <c r="L286" s="34" t="n">
        <v>976.844</v>
      </c>
      <c r="M286" s="34" t="n">
        <v>986.703</v>
      </c>
      <c r="N286" s="34" t="n">
        <v>986.703</v>
      </c>
      <c r="O286" s="34" t="n">
        <v>991.331</v>
      </c>
      <c r="P286" s="34" t="n">
        <v>988.897</v>
      </c>
      <c r="Q286" s="34" t="n">
        <v>981.197</v>
      </c>
      <c r="R286" s="34" t="n">
        <v>855.702</v>
      </c>
      <c r="S286" s="34" t="n">
        <v>855.702</v>
      </c>
      <c r="T286" s="34" t="n">
        <v>838.493</v>
      </c>
      <c r="U286" s="34" t="n">
        <v>845.127</v>
      </c>
      <c r="V286" s="34" t="n">
        <v>853.391</v>
      </c>
      <c r="W286" s="34" t="n">
        <v>871.421</v>
      </c>
      <c r="X286" s="34" t="n">
        <v>871.421</v>
      </c>
      <c r="Y286" s="34" t="n">
        <v>896.786</v>
      </c>
      <c r="Z286" s="34" t="n">
        <v>916.544</v>
      </c>
      <c r="AA286" s="34" t="n">
        <v>964.68</v>
      </c>
      <c r="AB286" s="34" t="n">
        <v>994.237</v>
      </c>
      <c r="AC286" s="34" t="n">
        <v>994.237</v>
      </c>
      <c r="AD286" s="34" t="n">
        <v>1033.16</v>
      </c>
      <c r="AE286" s="34" t="n">
        <v>1067.214</v>
      </c>
      <c r="AF286" s="34" t="n">
        <v>1090.209</v>
      </c>
      <c r="AG286" s="34" t="n">
        <v>1323.501</v>
      </c>
      <c r="AH286" s="34" t="n">
        <v>1323.501</v>
      </c>
      <c r="AI286" s="34" t="n">
        <v>1340.66</v>
      </c>
      <c r="AJ286" s="34" t="n">
        <v>1353.159</v>
      </c>
      <c r="AK286" s="34" t="n">
        <v>1367.58</v>
      </c>
      <c r="AL286" s="34" t="n">
        <v>1382.73</v>
      </c>
      <c r="AM286" s="34" t="n">
        <v>1382.73</v>
      </c>
      <c r="AN286" s="34" t="n">
        <v>1394.634</v>
      </c>
      <c r="AO286" s="34" t="n">
        <v>1410.53</v>
      </c>
      <c r="AP286" s="34" t="n">
        <v>1424.063</v>
      </c>
      <c r="AQ286" s="34" t="n">
        <v>1430.685</v>
      </c>
      <c r="AR286" s="34" t="n">
        <v>1430.685</v>
      </c>
      <c r="AS286" s="34" t="n">
        <v>1422.351</v>
      </c>
      <c r="AT286" s="34" t="n">
        <v>1425.584</v>
      </c>
      <c r="AU286" s="34" t="n">
        <v>1434.866</v>
      </c>
      <c r="AV286" s="34" t="n">
        <v>1403.065</v>
      </c>
      <c r="AW286" s="34" t="n">
        <v>1403.065</v>
      </c>
      <c r="AX286" s="34" t="n">
        <v>1378.385</v>
      </c>
      <c r="AY286" s="34" t="n">
        <v>1344.333</v>
      </c>
      <c r="AZ286" s="34" t="n">
        <v>1329.93</v>
      </c>
      <c r="BA286" s="34" t="n">
        <v>1318.438</v>
      </c>
      <c r="BB286" s="34" t="n">
        <v>1318.438</v>
      </c>
      <c r="BC286" s="34" t="n">
        <v>1301.233</v>
      </c>
      <c r="BD286" s="34" t="n">
        <v>1299.375</v>
      </c>
      <c r="BE286" s="34" t="n">
        <v>1312.176</v>
      </c>
      <c r="BF286" s="34" t="n">
        <v>1323.673</v>
      </c>
      <c r="BG286" s="34" t="n">
        <v>1323.673</v>
      </c>
      <c r="BH286" s="34" t="n">
        <v>1329.131</v>
      </c>
      <c r="BI286" s="34" t="n">
        <v>1340.658</v>
      </c>
      <c r="BJ286" s="34" t="n">
        <v>1358.181</v>
      </c>
      <c r="BK286" s="34" t="n">
        <v>1396.476</v>
      </c>
      <c r="BL286" s="34" t="n">
        <v>1396.476</v>
      </c>
      <c r="BM286" s="34" t="n">
        <v>1439.266</v>
      </c>
      <c r="BN286" s="34" t="n">
        <v>1463.826</v>
      </c>
      <c r="BO286" s="34" t="n">
        <v>1505.81</v>
      </c>
      <c r="BP286" s="34" t="n">
        <v>1534.168</v>
      </c>
      <c r="BQ286" s="34" t="n">
        <v>1534.168</v>
      </c>
      <c r="BR286" s="34" t="n">
        <v>1554.64</v>
      </c>
      <c r="BS286" s="34" t="n">
        <v>1590.688</v>
      </c>
      <c r="BT286" s="34" t="n">
        <v>1610.414</v>
      </c>
      <c r="BU286" s="34" t="n">
        <v>1652.474</v>
      </c>
      <c r="BV286" s="34" t="n">
        <v>1652.474</v>
      </c>
      <c r="BW286" s="34" t="n">
        <v>1677.021</v>
      </c>
      <c r="BX286" s="34" t="n">
        <v>1702.887</v>
      </c>
      <c r="BY286" s="34" t="n">
        <v>1716.864</v>
      </c>
      <c r="BZ286" s="34" t="n">
        <v>1740.501</v>
      </c>
      <c r="CA286" s="34" t="n">
        <v>1740.501</v>
      </c>
      <c r="CB286" s="34" t="n">
        <v>1768.378</v>
      </c>
      <c r="CC286" s="43"/>
      <c r="CD286" s="43"/>
      <c r="CE286" s="43"/>
      <c r="CF286" s="35" t="n">
        <f aca="false">CA286-CF237-CF352+$CF$339*IF(CF63*COLUMN()=COLUMN($CF$63),1,0)</f>
        <v>3052.80055276289</v>
      </c>
      <c r="CG286" s="35" t="n">
        <f aca="false">CF286-CG237-CG352+$CF$339*IF(CG63*COLUMN()=COLUMN($CF$63),1,0)</f>
        <v>3187.64161386249</v>
      </c>
      <c r="CH286" s="35" t="n">
        <f aca="false">CG286-CH237-CH352+$CF$339*IF(CH63*COLUMN()=COLUMN($CF$63),1,0)</f>
        <v>3337.42572623987</v>
      </c>
      <c r="CI286" s="35" t="n">
        <f aca="false">CH286-CI237-CI352+$CF$339*IF(CI63*COLUMN()=COLUMN($CF$63),1,0)</f>
        <v>3503.66219031291</v>
      </c>
      <c r="CJ286" s="35" t="n">
        <f aca="false">CI286-CJ237-CJ352+$CF$339*IF(CJ63*COLUMN()=COLUMN($CF$63),1,0)</f>
        <v>3686.93758638662</v>
      </c>
      <c r="CK286" s="23" t="s">
        <v>581</v>
      </c>
    </row>
    <row r="287" customFormat="false" ht="15" hidden="false" customHeight="true" outlineLevel="0" collapsed="false">
      <c r="B287" s="29" t="s">
        <v>582</v>
      </c>
      <c r="R287" s="34" t="n">
        <v>458.357</v>
      </c>
      <c r="S287" s="34" t="n">
        <v>458.357</v>
      </c>
      <c r="T287" s="34" t="n">
        <v>451.897</v>
      </c>
      <c r="U287" s="34" t="n">
        <v>456.864</v>
      </c>
      <c r="V287" s="34" t="n">
        <v>445.538</v>
      </c>
      <c r="W287" s="34" t="n">
        <v>329.692</v>
      </c>
      <c r="X287" s="34" t="n">
        <v>329.692</v>
      </c>
      <c r="Y287" s="34" t="n">
        <v>123.494</v>
      </c>
      <c r="Z287" s="34" t="n">
        <v>126.547</v>
      </c>
      <c r="AA287" s="34" t="n">
        <v>118.607</v>
      </c>
      <c r="AB287" s="34" t="n">
        <v>124.952</v>
      </c>
      <c r="AC287" s="34" t="n">
        <v>124.952</v>
      </c>
      <c r="AD287" s="34" t="n">
        <v>140.876</v>
      </c>
      <c r="AE287" s="34" t="n">
        <v>140.53</v>
      </c>
      <c r="AF287" s="34" t="n">
        <v>148.168</v>
      </c>
      <c r="AG287" s="34" t="n">
        <v>164.788</v>
      </c>
      <c r="AH287" s="34" t="n">
        <v>164.788</v>
      </c>
      <c r="AI287" s="34" t="n">
        <v>163.631</v>
      </c>
      <c r="AJ287" s="34" t="n">
        <v>175.663</v>
      </c>
      <c r="AK287" s="34" t="n">
        <v>178.527</v>
      </c>
      <c r="AL287" s="34" t="n">
        <v>175.581</v>
      </c>
      <c r="AM287" s="34" t="n">
        <v>175.581</v>
      </c>
      <c r="AN287" s="34" t="n">
        <v>180.262</v>
      </c>
      <c r="AO287" s="34" t="n">
        <v>183.548</v>
      </c>
      <c r="AP287" s="34" t="n">
        <v>191.818</v>
      </c>
      <c r="AQ287" s="34" t="n">
        <v>192.346</v>
      </c>
      <c r="AR287" s="34" t="n">
        <v>192.346</v>
      </c>
      <c r="AS287" s="34" t="n">
        <v>208.987</v>
      </c>
      <c r="AT287" s="34" t="n">
        <v>218.873</v>
      </c>
      <c r="AU287" s="34" t="n">
        <v>212.798</v>
      </c>
      <c r="AV287" s="34" t="n">
        <v>214.847</v>
      </c>
      <c r="AW287" s="34" t="n">
        <v>214.847</v>
      </c>
      <c r="AX287" s="34" t="n">
        <v>240.431</v>
      </c>
      <c r="AY287" s="34" t="n">
        <v>252.454</v>
      </c>
      <c r="AZ287" s="34" t="n">
        <v>264.581</v>
      </c>
      <c r="BA287" s="34" t="n">
        <v>274.616</v>
      </c>
      <c r="BB287" s="34" t="n">
        <v>274.616</v>
      </c>
      <c r="BC287" s="34" t="n">
        <v>295.268</v>
      </c>
      <c r="BD287" s="34" t="n">
        <v>289.123</v>
      </c>
      <c r="BE287" s="34" t="n">
        <v>259.93</v>
      </c>
      <c r="BF287" s="34" t="n">
        <v>242.873</v>
      </c>
      <c r="BG287" s="34" t="n">
        <v>242.873</v>
      </c>
      <c r="BH287" s="34" t="n">
        <v>239.335</v>
      </c>
      <c r="BI287" s="34" t="n">
        <v>243.574</v>
      </c>
      <c r="BJ287" s="34" t="n">
        <v>241.796</v>
      </c>
      <c r="BK287" s="34" t="n">
        <v>247.191</v>
      </c>
      <c r="BL287" s="34" t="n">
        <v>247.191</v>
      </c>
      <c r="BM287" s="34" t="n">
        <v>266.93</v>
      </c>
      <c r="BN287" s="34" t="n">
        <v>270.006</v>
      </c>
      <c r="BO287" s="34" t="n">
        <v>294.261</v>
      </c>
      <c r="BP287" s="34" t="n">
        <v>302.212</v>
      </c>
      <c r="BQ287" s="34" t="n">
        <v>302.212</v>
      </c>
      <c r="BR287" s="34" t="n">
        <v>325.651</v>
      </c>
      <c r="BS287" s="34" t="n">
        <v>340.134</v>
      </c>
      <c r="BT287" s="34" t="n">
        <v>336.892</v>
      </c>
      <c r="BU287" s="34" t="n">
        <v>339.518</v>
      </c>
      <c r="BV287" s="34" t="n">
        <v>339.518</v>
      </c>
      <c r="BW287" s="34" t="n">
        <v>369.503</v>
      </c>
      <c r="BX287" s="34" t="n">
        <v>386.281</v>
      </c>
      <c r="BY287" s="34" t="n">
        <v>407.138</v>
      </c>
      <c r="BZ287" s="34" t="n">
        <v>438.662</v>
      </c>
      <c r="CA287" s="34" t="n">
        <v>438.662</v>
      </c>
      <c r="CB287" s="34" t="n">
        <v>448.875</v>
      </c>
      <c r="CC287" s="43"/>
      <c r="CD287" s="43"/>
      <c r="CE287" s="43"/>
      <c r="CF287" s="35" t="n">
        <f aca="false">CA287</f>
        <v>438.662</v>
      </c>
      <c r="CG287" s="35" t="n">
        <f aca="false">CF287</f>
        <v>438.662</v>
      </c>
      <c r="CH287" s="35" t="n">
        <f aca="false">CG287</f>
        <v>438.662</v>
      </c>
      <c r="CI287" s="35" t="n">
        <f aca="false">CH287</f>
        <v>438.662</v>
      </c>
      <c r="CJ287" s="35" t="n">
        <f aca="false">CI287</f>
        <v>438.662</v>
      </c>
      <c r="CK287" s="23"/>
    </row>
    <row r="288" customFormat="false" ht="15" hidden="false" customHeight="true" outlineLevel="0" collapsed="false">
      <c r="B288" s="29" t="s">
        <v>583</v>
      </c>
      <c r="C288" s="34" t="n">
        <v>1136.175</v>
      </c>
      <c r="D288" s="34" t="n">
        <v>1245.877</v>
      </c>
      <c r="E288" s="34" t="n">
        <v>1315.569</v>
      </c>
      <c r="F288" s="34" t="n">
        <v>1331.388</v>
      </c>
      <c r="G288" s="34" t="n">
        <v>1356.925</v>
      </c>
      <c r="H288" s="34" t="n">
        <v>1487.882</v>
      </c>
      <c r="I288" s="34" t="n">
        <v>1485.375</v>
      </c>
      <c r="J288" s="34" t="n">
        <v>1489.104</v>
      </c>
      <c r="K288" s="34" t="n">
        <v>1522.411</v>
      </c>
      <c r="L288" s="34" t="n">
        <v>1519.987</v>
      </c>
      <c r="M288" s="34" t="n">
        <v>1517.56</v>
      </c>
      <c r="N288" s="34" t="n">
        <v>1517.56</v>
      </c>
      <c r="O288" s="34" t="n">
        <v>1531.006</v>
      </c>
      <c r="P288" s="34" t="n">
        <v>1532.961</v>
      </c>
      <c r="Q288" s="34" t="n">
        <v>1532.568</v>
      </c>
      <c r="R288" s="34" t="n">
        <v>1267.411</v>
      </c>
      <c r="S288" s="34" t="n">
        <v>1267.411</v>
      </c>
      <c r="T288" s="34" t="n">
        <v>1189.968</v>
      </c>
      <c r="U288" s="34" t="n">
        <v>1189.36</v>
      </c>
      <c r="V288" s="34" t="n">
        <v>1194.389</v>
      </c>
      <c r="W288" s="34" t="n">
        <v>1195.612</v>
      </c>
      <c r="X288" s="34" t="n">
        <v>1195.612</v>
      </c>
      <c r="Y288" s="34" t="n">
        <v>1272.503</v>
      </c>
      <c r="Z288" s="34" t="n">
        <v>1273.594</v>
      </c>
      <c r="AA288" s="34" t="n">
        <v>1284.434</v>
      </c>
      <c r="AB288" s="34" t="n">
        <v>1291.593</v>
      </c>
      <c r="AC288" s="34" t="n">
        <v>1291.593</v>
      </c>
      <c r="AD288" s="34" t="n">
        <v>1298.375</v>
      </c>
      <c r="AE288" s="34" t="n">
        <v>1301.391</v>
      </c>
      <c r="AF288" s="34" t="n">
        <v>1303.038</v>
      </c>
      <c r="AG288" s="34" t="n">
        <v>2782.335</v>
      </c>
      <c r="AH288" s="34" t="n">
        <v>2782.335</v>
      </c>
      <c r="AI288" s="34" t="n">
        <v>2810.504</v>
      </c>
      <c r="AJ288" s="34" t="n">
        <v>2811.796</v>
      </c>
      <c r="AK288" s="34" t="n">
        <v>2819.867</v>
      </c>
      <c r="AL288" s="34" t="n">
        <v>2846.888</v>
      </c>
      <c r="AM288" s="34" t="n">
        <v>2846.888</v>
      </c>
      <c r="AN288" s="34" t="n">
        <v>2850.082</v>
      </c>
      <c r="AO288" s="34" t="n">
        <v>2845.244</v>
      </c>
      <c r="AP288" s="34" t="n">
        <v>2847.783</v>
      </c>
      <c r="AQ288" s="34" t="n">
        <v>2842.441</v>
      </c>
      <c r="AR288" s="34" t="n">
        <v>2842.441</v>
      </c>
      <c r="AS288" s="34" t="n">
        <v>2849.613</v>
      </c>
      <c r="AT288" s="34" t="n">
        <v>2852.801</v>
      </c>
      <c r="AU288" s="34" t="n">
        <v>2873.996</v>
      </c>
      <c r="AV288" s="34" t="n">
        <v>2870.02</v>
      </c>
      <c r="AW288" s="34" t="n">
        <v>2870.02</v>
      </c>
      <c r="AX288" s="34" t="n">
        <v>2886.048</v>
      </c>
      <c r="AY288" s="34" t="n">
        <v>2889.754</v>
      </c>
      <c r="AZ288" s="34" t="n">
        <v>2895.251</v>
      </c>
      <c r="BA288" s="34" t="n">
        <v>2913.069</v>
      </c>
      <c r="BB288" s="34" t="n">
        <v>2913.069</v>
      </c>
      <c r="BC288" s="34" t="n">
        <v>2924.993</v>
      </c>
      <c r="BD288" s="34" t="n">
        <v>2931.307</v>
      </c>
      <c r="BE288" s="34" t="n">
        <v>3032.738</v>
      </c>
      <c r="BF288" s="34" t="n">
        <v>3042.976</v>
      </c>
      <c r="BG288" s="34" t="n">
        <v>3042.976</v>
      </c>
      <c r="BH288" s="34" t="n">
        <v>3037.278</v>
      </c>
      <c r="BI288" s="34" t="n">
        <v>3037.506</v>
      </c>
      <c r="BJ288" s="34" t="n">
        <v>3043.578</v>
      </c>
      <c r="BK288" s="34" t="n">
        <v>3056.201</v>
      </c>
      <c r="BL288" s="34" t="n">
        <v>3056.201</v>
      </c>
      <c r="BM288" s="34" t="n">
        <v>3104.955</v>
      </c>
      <c r="BN288" s="34" t="n">
        <v>3120.506</v>
      </c>
      <c r="BO288" s="34" t="n">
        <v>3212.432</v>
      </c>
      <c r="BP288" s="34" t="n">
        <v>3212.424</v>
      </c>
      <c r="BQ288" s="34" t="n">
        <v>3212.424</v>
      </c>
      <c r="BR288" s="34" t="n">
        <v>3223.528</v>
      </c>
      <c r="BS288" s="34" t="n">
        <v>3323.043</v>
      </c>
      <c r="BT288" s="34" t="n">
        <v>3353.553</v>
      </c>
      <c r="BU288" s="34" t="n">
        <v>3400.227</v>
      </c>
      <c r="BV288" s="34" t="n">
        <v>3400.227</v>
      </c>
      <c r="BW288" s="34" t="n">
        <v>3410.729</v>
      </c>
      <c r="BX288" s="34" t="n">
        <v>3483.504</v>
      </c>
      <c r="BY288" s="34" t="n">
        <v>3499.028</v>
      </c>
      <c r="BZ288" s="34" t="n">
        <v>3544.212</v>
      </c>
      <c r="CA288" s="34" t="n">
        <v>3544.212</v>
      </c>
      <c r="CB288" s="34" t="n">
        <v>3548.696</v>
      </c>
      <c r="CC288" s="43"/>
      <c r="CD288" s="43"/>
      <c r="CE288" s="43"/>
      <c r="CF288" s="35" t="n">
        <f aca="false">CA288+$CF$343*IF(CF63*COLUMN()=COLUMN($CF$63),1,0)+N(CF83)*N(CF93)</f>
        <v>6398.487</v>
      </c>
      <c r="CG288" s="35" t="n">
        <f aca="false">CF288+$CF$343*IF(CG63*COLUMN()=COLUMN($CF$63),1,0)+N(CG83)*N(CG93)</f>
        <v>6608.487</v>
      </c>
      <c r="CH288" s="35" t="n">
        <f aca="false">CG288+$CF$343*IF(CH63*COLUMN()=COLUMN($CF$63),1,0)+N(CH83)*N(CH93)</f>
        <v>6853.487</v>
      </c>
      <c r="CI288" s="35" t="n">
        <f aca="false">CH288+$CF$343*IF(CI63*COLUMN()=COLUMN($CF$63),1,0)+N(CI83)*N(CI93)</f>
        <v>7133.487</v>
      </c>
      <c r="CJ288" s="35" t="n">
        <f aca="false">CI288+$CF$343*IF(CJ63*COLUMN()=COLUMN($CF$63),1,0)+N(CJ83)*N(CJ93)</f>
        <v>7448.487</v>
      </c>
      <c r="CK288" s="23" t="s">
        <v>584</v>
      </c>
    </row>
    <row r="289" customFormat="false" ht="15" hidden="false" customHeight="true" outlineLevel="0" collapsed="false">
      <c r="B289" s="29" t="s">
        <v>585</v>
      </c>
      <c r="C289" s="34" t="n">
        <v>179.965</v>
      </c>
      <c r="D289" s="34" t="n">
        <v>171.361</v>
      </c>
      <c r="E289" s="34" t="n">
        <v>152.757</v>
      </c>
      <c r="F289" s="34" t="n">
        <v>124.33</v>
      </c>
      <c r="G289" s="34" t="n">
        <v>103.445</v>
      </c>
      <c r="H289" s="34" t="n">
        <v>102.312</v>
      </c>
      <c r="I289" s="34" t="n">
        <v>76.822</v>
      </c>
      <c r="J289" s="34" t="n">
        <v>72.297</v>
      </c>
      <c r="K289" s="34" t="n">
        <v>90.48</v>
      </c>
      <c r="L289" s="34" t="n">
        <v>93.573</v>
      </c>
      <c r="M289" s="34" t="n">
        <v>92.153</v>
      </c>
      <c r="N289" s="34" t="n">
        <v>92.153</v>
      </c>
      <c r="O289" s="34" t="n">
        <v>93.119</v>
      </c>
      <c r="P289" s="34" t="n">
        <v>88.394</v>
      </c>
      <c r="Q289" s="34" t="n">
        <v>83.972</v>
      </c>
      <c r="R289" s="34" t="n">
        <v>55.675</v>
      </c>
      <c r="S289" s="34" t="n">
        <v>55.675</v>
      </c>
      <c r="T289" s="34" t="n">
        <v>44.185</v>
      </c>
      <c r="U289" s="34" t="n">
        <v>41.59</v>
      </c>
      <c r="V289" s="34" t="n">
        <v>44.824</v>
      </c>
      <c r="W289" s="34" t="n">
        <v>42.434</v>
      </c>
      <c r="X289" s="34" t="n">
        <v>42.434</v>
      </c>
      <c r="Y289" s="34" t="n">
        <v>75.306</v>
      </c>
      <c r="Z289" s="34" t="n">
        <v>70.183</v>
      </c>
      <c r="AA289" s="34" t="n">
        <v>86.38</v>
      </c>
      <c r="AB289" s="34" t="n">
        <v>83.715</v>
      </c>
      <c r="AC289" s="34" t="n">
        <v>83.715</v>
      </c>
      <c r="AD289" s="34" t="n">
        <v>84.792</v>
      </c>
      <c r="AE289" s="34" t="n">
        <v>85.517</v>
      </c>
      <c r="AF289" s="34" t="n">
        <v>83.72</v>
      </c>
      <c r="AG289" s="34" t="n">
        <v>586.988</v>
      </c>
      <c r="AH289" s="34" t="n">
        <v>586.988</v>
      </c>
      <c r="AI289" s="34" t="n">
        <v>581.631</v>
      </c>
      <c r="AJ289" s="34" t="n">
        <v>565.574</v>
      </c>
      <c r="AK289" s="34" t="n">
        <v>557.477</v>
      </c>
      <c r="AL289" s="34" t="n">
        <v>545.768</v>
      </c>
      <c r="AM289" s="34" t="n">
        <v>545.768</v>
      </c>
      <c r="AN289" s="34" t="n">
        <v>535.865</v>
      </c>
      <c r="AO289" s="34" t="n">
        <v>521.505</v>
      </c>
      <c r="AP289" s="34" t="n">
        <v>508.402</v>
      </c>
      <c r="AQ289" s="34" t="n">
        <v>494.595</v>
      </c>
      <c r="AR289" s="34" t="n">
        <v>494.595</v>
      </c>
      <c r="AS289" s="34" t="n">
        <v>482.977</v>
      </c>
      <c r="AT289" s="34" t="n">
        <v>469.933</v>
      </c>
      <c r="AU289" s="34" t="n">
        <v>464.852</v>
      </c>
      <c r="AV289" s="34" t="n">
        <v>451.529</v>
      </c>
      <c r="AW289" s="34" t="n">
        <v>451.529</v>
      </c>
      <c r="AX289" s="34" t="n">
        <v>441.641</v>
      </c>
      <c r="AY289" s="34" t="n">
        <v>430.923</v>
      </c>
      <c r="AZ289" s="34" t="n">
        <v>418.318</v>
      </c>
      <c r="BA289" s="34" t="n">
        <v>408.445</v>
      </c>
      <c r="BB289" s="34" t="n">
        <v>408.445</v>
      </c>
      <c r="BC289" s="34" t="n">
        <v>403.982</v>
      </c>
      <c r="BD289" s="34" t="n">
        <v>391.609</v>
      </c>
      <c r="BE289" s="34" t="n">
        <v>402.366</v>
      </c>
      <c r="BF289" s="34" t="n">
        <v>391.638</v>
      </c>
      <c r="BG289" s="34" t="n">
        <v>391.638</v>
      </c>
      <c r="BH289" s="34" t="n">
        <v>379.379</v>
      </c>
      <c r="BI289" s="34" t="n">
        <v>367.612</v>
      </c>
      <c r="BJ289" s="34" t="n">
        <v>357.146</v>
      </c>
      <c r="BK289" s="34" t="n">
        <v>346.574</v>
      </c>
      <c r="BL289" s="34" t="n">
        <v>346.574</v>
      </c>
      <c r="BM289" s="34" t="n">
        <v>340.266</v>
      </c>
      <c r="BN289" s="34" t="n">
        <v>329.511</v>
      </c>
      <c r="BO289" s="34" t="n">
        <v>335.863</v>
      </c>
      <c r="BP289" s="34" t="n">
        <v>321.902</v>
      </c>
      <c r="BQ289" s="34" t="n">
        <v>321.902</v>
      </c>
      <c r="BR289" s="34" t="n">
        <v>311.199</v>
      </c>
      <c r="BS289" s="34" t="n">
        <v>323.504</v>
      </c>
      <c r="BT289" s="34" t="n">
        <v>315.336</v>
      </c>
      <c r="BU289" s="34" t="n">
        <v>309.828</v>
      </c>
      <c r="BV289" s="34" t="n">
        <v>309.828</v>
      </c>
      <c r="BW289" s="34" t="n">
        <v>298.025</v>
      </c>
      <c r="BX289" s="34" t="n">
        <v>297.729</v>
      </c>
      <c r="BY289" s="34" t="n">
        <v>286.746</v>
      </c>
      <c r="BZ289" s="34" t="n">
        <v>287.869</v>
      </c>
      <c r="CA289" s="34" t="n">
        <v>287.869</v>
      </c>
      <c r="CB289" s="34" t="n">
        <v>272.972</v>
      </c>
      <c r="CC289" s="43"/>
      <c r="CD289" s="43"/>
      <c r="CE289" s="43"/>
      <c r="CF289" s="35" t="n">
        <f aca="false">CA289+$CF$340*IF(CF63*COLUMN()=COLUMN($CF$63),1,0)+N(CF83)*(1-N(CF93))-CF354</f>
        <v>1479.95101643836</v>
      </c>
      <c r="CG289" s="35" t="n">
        <f aca="false">CF289+$CF$340*IF(CG63*COLUMN()=COLUMN($CF$63),1,0)+N(CG83)*(1-N(CG93))-CG354</f>
        <v>1414.99401643836</v>
      </c>
      <c r="CH289" s="35" t="n">
        <f aca="false">CG289+$CF$340*IF(CH63*COLUMN()=COLUMN($CF$63),1,0)+N(CH83)*(1-N(CH93))-CH354</f>
        <v>1360.50701643836</v>
      </c>
      <c r="CI289" s="35" t="n">
        <f aca="false">CH289+$CF$340*IF(CI63*COLUMN()=COLUMN($CF$63),1,0)+N(CI83)*(1-N(CI93))-CI354</f>
        <v>1329.99168310502</v>
      </c>
      <c r="CJ289" s="35" t="n">
        <f aca="false">CI289+$CF$340*IF(CJ63*COLUMN()=COLUMN($CF$63),1,0)+N(CJ83)*(1-N(CJ93))-CJ354</f>
        <v>1305.95454977169</v>
      </c>
      <c r="CK289" s="23" t="s">
        <v>586</v>
      </c>
    </row>
    <row r="290" customFormat="false" ht="15" hidden="false" customHeight="true" outlineLevel="0" collapsed="false">
      <c r="B290" s="29" t="s">
        <v>587</v>
      </c>
      <c r="AS290" s="34" t="n">
        <v>163.089</v>
      </c>
      <c r="AT290" s="34" t="n">
        <v>169.233</v>
      </c>
      <c r="AU290" s="34" t="n">
        <v>165.169</v>
      </c>
      <c r="AV290" s="34" t="n">
        <v>159.967</v>
      </c>
      <c r="AW290" s="34" t="n">
        <v>159.967</v>
      </c>
      <c r="AX290" s="34" t="n">
        <v>159.12</v>
      </c>
      <c r="AY290" s="34" t="n">
        <v>154.022</v>
      </c>
      <c r="AZ290" s="34" t="n">
        <v>156.85</v>
      </c>
      <c r="BA290" s="34" t="n">
        <v>168.532</v>
      </c>
      <c r="BB290" s="34" t="n">
        <v>168.532</v>
      </c>
      <c r="BC290" s="34" t="n">
        <v>159.289</v>
      </c>
      <c r="BD290" s="34" t="n">
        <v>155.677</v>
      </c>
      <c r="BE290" s="34" t="n">
        <v>167.995</v>
      </c>
      <c r="BF290" s="34" t="n">
        <v>170.003</v>
      </c>
      <c r="BG290" s="34" t="n">
        <v>170.003</v>
      </c>
      <c r="BH290" s="34" t="n">
        <v>174.697</v>
      </c>
      <c r="BI290" s="34" t="n">
        <v>176.276</v>
      </c>
      <c r="BJ290" s="34" t="n">
        <v>178.524</v>
      </c>
      <c r="BK290" s="34" t="n">
        <v>178.464</v>
      </c>
      <c r="BL290" s="34" t="n">
        <v>178.464</v>
      </c>
      <c r="BM290" s="34" t="n">
        <v>181.677</v>
      </c>
      <c r="BN290" s="34" t="n">
        <v>179.154</v>
      </c>
      <c r="BO290" s="34" t="n">
        <v>186.514</v>
      </c>
      <c r="BP290" s="34" t="n">
        <v>187.953</v>
      </c>
      <c r="BQ290" s="34" t="n">
        <v>187.953</v>
      </c>
      <c r="BR290" s="34" t="n">
        <v>190.965</v>
      </c>
      <c r="BS290" s="34" t="n">
        <v>184.159</v>
      </c>
      <c r="BT290" s="34" t="n">
        <v>209.399</v>
      </c>
      <c r="BU290" s="34" t="n">
        <v>224.383</v>
      </c>
      <c r="BV290" s="34" t="n">
        <v>224.383</v>
      </c>
      <c r="BW290" s="34" t="n">
        <v>244.067</v>
      </c>
      <c r="BX290" s="34" t="n">
        <v>254.064</v>
      </c>
      <c r="BY290" s="34" t="n">
        <v>255.29</v>
      </c>
      <c r="BZ290" s="34" t="n">
        <v>271.088</v>
      </c>
      <c r="CA290" s="34" t="n">
        <v>271.088</v>
      </c>
      <c r="CB290" s="34" t="n">
        <v>274.59</v>
      </c>
      <c r="CC290" s="43"/>
      <c r="CD290" s="43"/>
      <c r="CE290" s="43"/>
      <c r="CF290" s="35" t="n">
        <f aca="false">CA290+$CF$341*IF(CF63*COLUMN()=COLUMN($CF$63),1,0)</f>
        <v>348.892</v>
      </c>
      <c r="CG290" s="35" t="n">
        <f aca="false">CF290+$CF$341*IF(CG63*COLUMN()=COLUMN($CF$63),1,0)</f>
        <v>348.892</v>
      </c>
      <c r="CH290" s="35" t="n">
        <f aca="false">CG290+$CF$341*IF(CH63*COLUMN()=COLUMN($CF$63),1,0)</f>
        <v>348.892</v>
      </c>
      <c r="CI290" s="35" t="n">
        <f aca="false">CH290+$CF$341*IF(CI63*COLUMN()=COLUMN($CF$63),1,0)</f>
        <v>348.892</v>
      </c>
      <c r="CJ290" s="35" t="n">
        <f aca="false">CI290+$CF$341*IF(CJ63*COLUMN()=COLUMN($CF$63),1,0)</f>
        <v>348.892</v>
      </c>
      <c r="CK290" s="23"/>
    </row>
    <row r="291" customFormat="false" ht="15" hidden="false" customHeight="true" outlineLevel="0" collapsed="false">
      <c r="B291" s="29" t="s">
        <v>588</v>
      </c>
      <c r="C291" s="34" t="n">
        <v>67.306</v>
      </c>
      <c r="D291" s="34" t="n">
        <v>76.263</v>
      </c>
      <c r="E291" s="34" t="n">
        <v>83.364</v>
      </c>
      <c r="F291" s="34" t="n">
        <v>80.333</v>
      </c>
      <c r="G291" s="34" t="n">
        <v>89.9</v>
      </c>
      <c r="H291" s="34" t="n">
        <v>114.751</v>
      </c>
      <c r="I291" s="34" t="n">
        <v>112.836</v>
      </c>
      <c r="J291" s="34" t="n">
        <v>113.196</v>
      </c>
      <c r="K291" s="34" t="n">
        <v>118.069</v>
      </c>
      <c r="L291" s="34" t="n">
        <v>121.443</v>
      </c>
      <c r="M291" s="34" t="n">
        <v>124.39</v>
      </c>
      <c r="N291" s="34" t="n">
        <v>124.39</v>
      </c>
      <c r="O291" s="34" t="n">
        <v>123.432</v>
      </c>
      <c r="P291" s="34" t="n">
        <v>136.364</v>
      </c>
      <c r="Q291" s="34" t="n">
        <v>137.795</v>
      </c>
      <c r="R291" s="34" t="n">
        <v>19.626</v>
      </c>
      <c r="S291" s="34" t="n">
        <v>19.626</v>
      </c>
      <c r="T291" s="34" t="n">
        <v>18.778</v>
      </c>
      <c r="U291" s="34" t="n">
        <v>18.65</v>
      </c>
      <c r="V291" s="34" t="n">
        <v>18.079</v>
      </c>
      <c r="W291" s="34" t="n">
        <v>17.494</v>
      </c>
      <c r="X291" s="34" t="n">
        <v>17.494</v>
      </c>
      <c r="Y291" s="34" t="n">
        <v>20.908</v>
      </c>
      <c r="Z291" s="34" t="n">
        <v>20.644</v>
      </c>
      <c r="AA291" s="34" t="n">
        <v>18.285</v>
      </c>
      <c r="AB291" s="34" t="n">
        <v>19.861</v>
      </c>
      <c r="AC291" s="34" t="n">
        <v>19.861</v>
      </c>
      <c r="AD291" s="34" t="n">
        <v>15.194</v>
      </c>
      <c r="AE291" s="34" t="n">
        <v>19.265</v>
      </c>
      <c r="AF291" s="34" t="n">
        <v>16.088</v>
      </c>
      <c r="AG291" s="34" t="n">
        <v>31.967</v>
      </c>
      <c r="AH291" s="34" t="n">
        <v>31.967</v>
      </c>
      <c r="AI291" s="34" t="n">
        <v>30.627</v>
      </c>
      <c r="AJ291" s="34" t="n">
        <v>29.16</v>
      </c>
      <c r="AK291" s="34" t="n">
        <v>25.566</v>
      </c>
      <c r="AL291" s="34" t="n">
        <v>29.315</v>
      </c>
      <c r="AM291" s="34" t="n">
        <v>29.315</v>
      </c>
      <c r="AN291" s="34" t="n">
        <v>221.983</v>
      </c>
      <c r="AO291" s="34" t="n">
        <v>228.386</v>
      </c>
      <c r="AP291" s="34" t="n">
        <v>237.851</v>
      </c>
      <c r="AQ291" s="34" t="n">
        <v>240.315</v>
      </c>
      <c r="AR291" s="34" t="n">
        <v>240.315</v>
      </c>
      <c r="AS291" s="34" t="n">
        <v>245.065</v>
      </c>
      <c r="AT291" s="34" t="n">
        <v>260.626</v>
      </c>
      <c r="AU291" s="34" t="n">
        <v>252.593</v>
      </c>
      <c r="AV291" s="34" t="n">
        <v>260.758</v>
      </c>
      <c r="AW291" s="34" t="n">
        <v>260.758</v>
      </c>
      <c r="AX291" s="34" t="n">
        <v>271.579</v>
      </c>
      <c r="AY291" s="34" t="n">
        <v>280.494</v>
      </c>
      <c r="AZ291" s="34" t="n">
        <v>304.011</v>
      </c>
      <c r="BA291" s="34" t="n">
        <v>310.414</v>
      </c>
      <c r="BB291" s="34" t="n">
        <v>310.414</v>
      </c>
      <c r="BC291" s="34" t="n">
        <v>295.319</v>
      </c>
      <c r="BD291" s="34" t="n">
        <v>294.845</v>
      </c>
      <c r="BE291" s="34" t="n">
        <v>306.654</v>
      </c>
      <c r="BF291" s="34" t="n">
        <v>344.11</v>
      </c>
      <c r="BG291" s="34" t="n">
        <v>344.11</v>
      </c>
      <c r="BH291" s="34" t="n">
        <v>353.416</v>
      </c>
      <c r="BI291" s="34" t="n">
        <v>368.211</v>
      </c>
      <c r="BJ291" s="34" t="n">
        <v>376.62</v>
      </c>
      <c r="BK291" s="34" t="n">
        <v>382.991</v>
      </c>
      <c r="BL291" s="34" t="n">
        <v>382.991</v>
      </c>
      <c r="BM291" s="34" t="n">
        <v>399.059</v>
      </c>
      <c r="BN291" s="34" t="n">
        <v>414.127</v>
      </c>
      <c r="BO291" s="34" t="n">
        <v>412.999</v>
      </c>
      <c r="BP291" s="34" t="n">
        <v>424.951</v>
      </c>
      <c r="BQ291" s="34" t="n">
        <v>424.951</v>
      </c>
      <c r="BR291" s="34" t="n">
        <v>419.332</v>
      </c>
      <c r="BS291" s="34" t="n">
        <v>434.61</v>
      </c>
      <c r="BT291" s="34" t="n">
        <v>444.114</v>
      </c>
      <c r="BU291" s="34" t="n">
        <v>462.642</v>
      </c>
      <c r="BV291" s="34" t="n">
        <v>462.642</v>
      </c>
      <c r="BW291" s="34" t="n">
        <v>462.419</v>
      </c>
      <c r="BX291" s="34" t="n">
        <v>468.328</v>
      </c>
      <c r="BY291" s="34" t="n">
        <v>465.721</v>
      </c>
      <c r="BZ291" s="34" t="n">
        <v>393.766</v>
      </c>
      <c r="CA291" s="34" t="n">
        <v>393.766</v>
      </c>
      <c r="CB291" s="34" t="n">
        <v>407.479</v>
      </c>
      <c r="CC291" s="43"/>
      <c r="CD291" s="43"/>
      <c r="CE291" s="43"/>
      <c r="CF291" s="35" t="n">
        <f aca="false">CA291+$CF$342*IF(CF63*COLUMN()=COLUMN($CF$63),1,0)</f>
        <v>443.19</v>
      </c>
      <c r="CG291" s="35" t="n">
        <f aca="false">CF291+$CF$342*IF(CG63*COLUMN()=COLUMN($CF$63),1,0)</f>
        <v>443.19</v>
      </c>
      <c r="CH291" s="35" t="n">
        <f aca="false">CG291+$CF$342*IF(CH63*COLUMN()=COLUMN($CF$63),1,0)</f>
        <v>443.19</v>
      </c>
      <c r="CI291" s="35" t="n">
        <f aca="false">CH291+$CF$342*IF(CI63*COLUMN()=COLUMN($CF$63),1,0)</f>
        <v>443.19</v>
      </c>
      <c r="CJ291" s="35" t="n">
        <f aca="false">CI291+$CF$342*IF(CJ63*COLUMN()=COLUMN($CF$63),1,0)</f>
        <v>443.19</v>
      </c>
      <c r="CK291" s="23"/>
    </row>
    <row r="292" customFormat="false" ht="15" hidden="false" customHeight="true" outlineLevel="0" collapsed="false">
      <c r="B292" s="55" t="s">
        <v>589</v>
      </c>
      <c r="C292" s="56" t="n">
        <f aca="false">SUM(C285,C286,C287,C288,C289,C290,C291)</f>
        <v>3425.237</v>
      </c>
      <c r="D292" s="56" t="n">
        <f aca="false">SUM(D285,D286,D287,D288,D289,D290,D291)</f>
        <v>3570.48</v>
      </c>
      <c r="E292" s="56" t="n">
        <f aca="false">SUM(E285,E286,E287,E288,E289,E290,E291)</f>
        <v>3808.601</v>
      </c>
      <c r="F292" s="56" t="n">
        <f aca="false">SUM(F285,F286,F287,F288,F289,F290,F291)</f>
        <v>3695.439</v>
      </c>
      <c r="G292" s="56" t="n">
        <f aca="false">SUM(G285,G286,G287,G288,G289,G290,G291)</f>
        <v>3969.736</v>
      </c>
      <c r="H292" s="56" t="n">
        <f aca="false">SUM(H285,H286,H287,H288,H289,H290,H291)</f>
        <v>4351.94</v>
      </c>
      <c r="I292" s="56" t="n">
        <f aca="false">SUM(I285,I286,I287,I288,I289,I290,I291)</f>
        <v>4160.906</v>
      </c>
      <c r="J292" s="56" t="n">
        <f aca="false">SUM(J285,J286,J287,J288,J289,J290,J291)</f>
        <v>4152.235</v>
      </c>
      <c r="K292" s="56" t="n">
        <f aca="false">SUM(K285,K286,K287,K288,K289,K290,K291)</f>
        <v>4217.882</v>
      </c>
      <c r="L292" s="56" t="n">
        <f aca="false">SUM(L285,L286,L287,L288,L289,L290,L291)</f>
        <v>4221.299</v>
      </c>
      <c r="M292" s="56" t="n">
        <f aca="false">SUM(M285,M286,M287,M288,M289,M290,M291)</f>
        <v>4345.632</v>
      </c>
      <c r="N292" s="56" t="n">
        <f aca="false">SUM(N285,N286,N287,N288,N289,N290,N291)</f>
        <v>4345.632</v>
      </c>
      <c r="O292" s="56" t="n">
        <f aca="false">SUM(O285,O286,O287,O288,O289,O290,O291)</f>
        <v>4311.177</v>
      </c>
      <c r="P292" s="56" t="n">
        <f aca="false">SUM(P285,P286,P287,P288,P289,P290,P291)</f>
        <v>4365.398</v>
      </c>
      <c r="Q292" s="56" t="n">
        <f aca="false">SUM(Q285,Q286,Q287,Q288,Q289,Q290,Q291)</f>
        <v>4400.441</v>
      </c>
      <c r="R292" s="56" t="n">
        <f aca="false">SUM(R285,R286,R287,R288,R289,R290,R291)</f>
        <v>4462.452</v>
      </c>
      <c r="S292" s="56" t="n">
        <f aca="false">SUM(S285,S286,S287,S288,S289,S290,S291)</f>
        <v>4462.452</v>
      </c>
      <c r="T292" s="56" t="n">
        <f aca="false">SUM(T285,T286,T287,T288,T289,T290,T291)</f>
        <v>4556.27</v>
      </c>
      <c r="U292" s="56" t="n">
        <f aca="false">SUM(U285,U286,U287,U288,U289,U290,U291)</f>
        <v>4697.571</v>
      </c>
      <c r="V292" s="56" t="n">
        <f aca="false">SUM(V285,V286,V287,V288,V289,V290,V291)</f>
        <v>4353.34</v>
      </c>
      <c r="W292" s="56" t="n">
        <f aca="false">SUM(W285,W286,W287,W288,W289,W290,W291)</f>
        <v>4192.46</v>
      </c>
      <c r="X292" s="56" t="n">
        <f aca="false">SUM(X285,X286,X287,X288,X289,X290,X291)</f>
        <v>4192.46</v>
      </c>
      <c r="Y292" s="56" t="n">
        <f aca="false">SUM(Y285,Y286,Y287,Y288,Y289,Y290,Y291)</f>
        <v>4122.949</v>
      </c>
      <c r="Z292" s="56" t="n">
        <f aca="false">SUM(Z285,Z286,Z287,Z288,Z289,Z290,Z291)</f>
        <v>4450.792</v>
      </c>
      <c r="AA292" s="56" t="n">
        <f aca="false">SUM(AA285,AA286,AA287,AA288,AA289,AA290,AA291)</f>
        <v>4231.21</v>
      </c>
      <c r="AB292" s="56" t="n">
        <f aca="false">SUM(AB285,AB286,AB287,AB288,AB289,AB290,AB291)</f>
        <v>4104.393</v>
      </c>
      <c r="AC292" s="56" t="n">
        <f aca="false">SUM(AC285,AC286,AC287,AC288,AC289,AC290,AC291)</f>
        <v>4104.393</v>
      </c>
      <c r="AD292" s="56" t="n">
        <f aca="false">SUM(AD285,AD286,AD287,AD288,AD289,AD290,AD291)</f>
        <v>4167.145</v>
      </c>
      <c r="AE292" s="56" t="n">
        <f aca="false">SUM(AE285,AE286,AE287,AE288,AE289,AE290,AE291)</f>
        <v>4214.579</v>
      </c>
      <c r="AF292" s="56" t="n">
        <f aca="false">SUM(AF285,AF286,AF287,AF288,AF289,AF290,AF291)</f>
        <v>4271.164</v>
      </c>
      <c r="AG292" s="56" t="n">
        <f aca="false">SUM(AG285,AG286,AG287,AG288,AG289,AG290,AG291)</f>
        <v>6844.057</v>
      </c>
      <c r="AH292" s="56" t="n">
        <f aca="false">SUM(AH285,AH286,AH287,AH288,AH289,AH290,AH291)</f>
        <v>6844.057</v>
      </c>
      <c r="AI292" s="56" t="n">
        <f aca="false">SUM(AI285,AI286,AI287,AI288,AI289,AI290,AI291)</f>
        <v>6851.606</v>
      </c>
      <c r="AJ292" s="56" t="n">
        <f aca="false">SUM(AJ285,AJ286,AJ287,AJ288,AJ289,AJ290,AJ291)</f>
        <v>6978.801</v>
      </c>
      <c r="AK292" s="56" t="n">
        <f aca="false">SUM(AK285,AK286,AK287,AK288,AK289,AK290,AK291)</f>
        <v>6919.849</v>
      </c>
      <c r="AL292" s="56" t="n">
        <f aca="false">SUM(AL285,AL286,AL287,AL288,AL289,AL290,AL291)</f>
        <v>6958.214</v>
      </c>
      <c r="AM292" s="56" t="n">
        <f aca="false">SUM(AM285,AM286,AM287,AM288,AM289,AM290,AM291)</f>
        <v>6958.214</v>
      </c>
      <c r="AN292" s="56" t="n">
        <f aca="false">SUM(AN285,AN286,AN287,AN288,AN289,AN290,AN291)</f>
        <v>7287.204</v>
      </c>
      <c r="AO292" s="56" t="n">
        <f aca="false">SUM(AO285,AO286,AO287,AO288,AO289,AO290,AO291)</f>
        <v>7405.083</v>
      </c>
      <c r="AP292" s="56" t="n">
        <f aca="false">SUM(AP285,AP286,AP287,AP288,AP289,AP290,AP291)</f>
        <v>7433.673</v>
      </c>
      <c r="AQ292" s="56" t="n">
        <f aca="false">SUM(AQ285,AQ286,AQ287,AQ288,AQ289,AQ290,AQ291)</f>
        <v>7436.662</v>
      </c>
      <c r="AR292" s="56" t="n">
        <f aca="false">SUM(AR285,AR286,AR287,AR288,AR289,AR290,AR291)</f>
        <v>7436.662</v>
      </c>
      <c r="AS292" s="56" t="n">
        <f aca="false">SUM(AS285,AS286,AS287,AS288,AS289,AS290,AS291)</f>
        <v>7661.9</v>
      </c>
      <c r="AT292" s="56" t="n">
        <f aca="false">SUM(AT285,AT286,AT287,AT288,AT289,AT290,AT291)</f>
        <v>7887.337</v>
      </c>
      <c r="AU292" s="56" t="n">
        <f aca="false">SUM(AU285,AU286,AU287,AU288,AU289,AU290,AU291)</f>
        <v>7901.98</v>
      </c>
      <c r="AV292" s="56" t="n">
        <f aca="false">SUM(AV285,AV286,AV287,AV288,AV289,AV290,AV291)</f>
        <v>7669.885</v>
      </c>
      <c r="AW292" s="56" t="n">
        <f aca="false">SUM(AW285,AW286,AW287,AW288,AW289,AW290,AW291)</f>
        <v>7669.885</v>
      </c>
      <c r="AX292" s="56" t="n">
        <f aca="false">SUM(AX285,AX286,AX287,AX288,AX289,AX290,AX291)</f>
        <v>8043.381</v>
      </c>
      <c r="AY292" s="56" t="n">
        <f aca="false">SUM(AY285,AY286,AY287,AY288,AY289,AY290,AY291)</f>
        <v>8454.753</v>
      </c>
      <c r="AZ292" s="56" t="n">
        <f aca="false">SUM(AZ285,AZ286,AZ287,AZ288,AZ289,AZ290,AZ291)</f>
        <v>8347.497</v>
      </c>
      <c r="BA292" s="56" t="n">
        <f aca="false">SUM(BA285,BA286,BA287,BA288,BA289,BA290,BA291)</f>
        <v>8236.823</v>
      </c>
      <c r="BB292" s="56" t="n">
        <f aca="false">SUM(BB285,BB286,BB287,BB288,BB289,BB290,BB291)</f>
        <v>8236.823</v>
      </c>
      <c r="BC292" s="56" t="n">
        <f aca="false">SUM(BC285,BC286,BC287,BC288,BC289,BC290,BC291)</f>
        <v>7857.75</v>
      </c>
      <c r="BD292" s="56" t="n">
        <f aca="false">SUM(BD285,BD286,BD287,BD288,BD289,BD290,BD291)</f>
        <v>8017.41</v>
      </c>
      <c r="BE292" s="56" t="n">
        <f aca="false">SUM(BE285,BE286,BE287,BE288,BE289,BE290,BE291)</f>
        <v>8168.6</v>
      </c>
      <c r="BF292" s="56" t="n">
        <f aca="false">SUM(BF285,BF286,BF287,BF288,BF289,BF290,BF291)</f>
        <v>8147.256</v>
      </c>
      <c r="BG292" s="56" t="n">
        <f aca="false">SUM(BG285,BG286,BG287,BG288,BG289,BG290,BG291)</f>
        <v>8147.256</v>
      </c>
      <c r="BH292" s="56" t="n">
        <f aca="false">SUM(BH285,BH286,BH287,BH288,BH289,BH290,BH291)</f>
        <v>8261.026</v>
      </c>
      <c r="BI292" s="56" t="n">
        <f aca="false">SUM(BI285,BI286,BI287,BI288,BI289,BI290,BI291)</f>
        <v>8427.007</v>
      </c>
      <c r="BJ292" s="56" t="n">
        <f aca="false">SUM(BJ285,BJ286,BJ287,BJ288,BJ289,BJ290,BJ291)</f>
        <v>8466.001</v>
      </c>
      <c r="BK292" s="56" t="n">
        <f aca="false">SUM(BK285,BK286,BK287,BK288,BK289,BK290,BK291)</f>
        <v>8546.356</v>
      </c>
      <c r="BL292" s="56" t="n">
        <f aca="false">SUM(BL285,BL286,BL287,BL288,BL289,BL290,BL291)</f>
        <v>8546.356</v>
      </c>
      <c r="BM292" s="56" t="n">
        <f aca="false">SUM(BM285,BM286,BM287,BM288,BM289,BM290,BM291)</f>
        <v>8719.681</v>
      </c>
      <c r="BN292" s="56" t="n">
        <f aca="false">SUM(BN285,BN286,BN287,BN288,BN289,BN290,BN291)</f>
        <v>8813.869</v>
      </c>
      <c r="BO292" s="56" t="n">
        <f aca="false">SUM(BO285,BO286,BO287,BO288,BO289,BO290,BO291)</f>
        <v>8978.875</v>
      </c>
      <c r="BP292" s="56" t="n">
        <f aca="false">SUM(BP285,BP286,BP287,BP288,BP289,BP290,BP291)</f>
        <v>9168.817</v>
      </c>
      <c r="BQ292" s="56" t="n">
        <f aca="false">SUM(BQ285,BQ286,BQ287,BQ288,BQ289,BQ290,BQ291)</f>
        <v>9168.817</v>
      </c>
      <c r="BR292" s="56" t="n">
        <f aca="false">SUM(BR285,BR286,BR287,BR288,BR289,BR290,BR291)</f>
        <v>9068.707</v>
      </c>
      <c r="BS292" s="56" t="n">
        <f aca="false">SUM(BS285,BS286,BS287,BS288,BS289,BS290,BS291)</f>
        <v>9366.529</v>
      </c>
      <c r="BT292" s="56" t="n">
        <f aca="false">SUM(BT285,BT286,BT287,BT288,BT289,BT290,BT291)</f>
        <v>9611.136</v>
      </c>
      <c r="BU292" s="56" t="n">
        <f aca="false">SUM(BU285,BU286,BU287,BU288,BU289,BU290,BU291)</f>
        <v>9825.241</v>
      </c>
      <c r="BV292" s="56" t="n">
        <f aca="false">SUM(BV285,BV286,BV287,BV288,BV289,BV290,BV291)</f>
        <v>9825.241</v>
      </c>
      <c r="BW292" s="56" t="n">
        <f aca="false">SUM(BW285,BW286,BW287,BW288,BW289,BW290,BW291)</f>
        <v>9837.69</v>
      </c>
      <c r="BX292" s="56" t="n">
        <f aca="false">SUM(BX285,BX286,BX287,BX288,BX289,BX290,BX291)</f>
        <v>10132.881</v>
      </c>
      <c r="BY292" s="56" t="n">
        <f aca="false">SUM(BY285,BY286,BY287,BY288,BY289,BY290,BY291)</f>
        <v>10233.721</v>
      </c>
      <c r="BZ292" s="56" t="n">
        <f aca="false">SUM(BZ285,BZ286,BZ287,BZ288,BZ289,BZ290,BZ291)</f>
        <v>10529.14</v>
      </c>
      <c r="CA292" s="56" t="n">
        <f aca="false">SUM(CA285,CA286,CA287,CA288,CA289,CA290,CA291)</f>
        <v>10529.14</v>
      </c>
      <c r="CB292" s="56" t="n">
        <f aca="false">SUM(CB285,CB286,CB287,CB288,CB289,CB290,CB291)</f>
        <v>10652.735</v>
      </c>
      <c r="CC292" s="62"/>
      <c r="CD292" s="62"/>
      <c r="CE292" s="62"/>
      <c r="CF292" s="56" t="n">
        <f aca="false">SUM(CF285,CF286,CF287,CF288,CF289,CF290,CF291)</f>
        <v>17890.6545734235</v>
      </c>
      <c r="CG292" s="56" t="n">
        <f aca="false">SUM(CG285,CG286,CG287,CG288,CG289,CG290,CG291)</f>
        <v>17779.2182551687</v>
      </c>
      <c r="CH292" s="56" t="n">
        <f aca="false">SUM(CH285,CH286,CH287,CH288,CH289,CH290,CH291)</f>
        <v>18467.7008646867</v>
      </c>
      <c r="CI292" s="56" t="n">
        <f aca="false">SUM(CI285,CI286,CI287,CI288,CI289,CI290,CI291)</f>
        <v>19257.0712347001</v>
      </c>
      <c r="CJ292" s="56" t="n">
        <f aca="false">SUM(CJ285,CJ286,CJ287,CJ288,CJ289,CJ290,CJ291)</f>
        <v>20110.507029291</v>
      </c>
      <c r="CK292" s="23"/>
      <c r="CM292" s="24" t="n">
        <f aca="false">IFERROR((CJ292/CA292)^(1/5)-1,"n/m")</f>
        <v>0.138167090317608</v>
      </c>
      <c r="CN292" s="24" t="n">
        <f aca="false">IFERROR((CA292/BB292)^(1/5)-1,"n/m")</f>
        <v>0.0503320875417277</v>
      </c>
      <c r="CO292" s="24" t="n">
        <f aca="false">IFERROR((CA292/AC292)^(1/10)-1,"n/m")</f>
        <v>0.0987892357121587</v>
      </c>
      <c r="CP292" s="24" t="n">
        <f aca="false">IFERROR((CA292/C292)^(1/20)-1,"n/m")</f>
        <v>0.0577550651873251</v>
      </c>
    </row>
    <row r="293" customFormat="false" ht="15" hidden="false" customHeight="true" outlineLevel="0" collapsed="false">
      <c r="B293" s="67" t="s">
        <v>590</v>
      </c>
    </row>
    <row r="294" customFormat="false" ht="15" hidden="false" customHeight="true" outlineLevel="0" collapsed="false">
      <c r="B294" s="29" t="s">
        <v>591</v>
      </c>
      <c r="C294" s="34" t="n">
        <v>71.635</v>
      </c>
      <c r="D294" s="34" t="n">
        <v>64.622</v>
      </c>
      <c r="E294" s="34" t="n">
        <v>94.755</v>
      </c>
      <c r="F294" s="34" t="n">
        <v>69.965</v>
      </c>
      <c r="G294" s="34" t="n">
        <v>71.747</v>
      </c>
      <c r="H294" s="34" t="n">
        <v>110.279</v>
      </c>
      <c r="I294" s="34" t="n">
        <v>94.84</v>
      </c>
      <c r="J294" s="34" t="n">
        <v>110.906</v>
      </c>
      <c r="K294" s="34" t="n">
        <v>118.534</v>
      </c>
      <c r="L294" s="34" t="n">
        <v>109.064</v>
      </c>
      <c r="M294" s="34" t="n">
        <v>121.029</v>
      </c>
      <c r="N294" s="34" t="n">
        <v>121.029</v>
      </c>
      <c r="O294" s="34" t="n">
        <v>124.952</v>
      </c>
      <c r="P294" s="34" t="n">
        <v>103.242</v>
      </c>
      <c r="Q294" s="34" t="n">
        <v>117.336</v>
      </c>
      <c r="R294" s="34" t="n">
        <v>150.07</v>
      </c>
      <c r="S294" s="34" t="n">
        <v>150.07</v>
      </c>
      <c r="T294" s="34" t="n">
        <v>141.795</v>
      </c>
      <c r="U294" s="34" t="n">
        <v>171.629</v>
      </c>
      <c r="V294" s="34" t="n">
        <v>198.946</v>
      </c>
      <c r="W294" s="34" t="n">
        <v>109.607</v>
      </c>
      <c r="X294" s="34" t="n">
        <v>109.607</v>
      </c>
      <c r="Y294" s="34" t="n">
        <v>131.956</v>
      </c>
      <c r="Z294" s="34" t="n">
        <v>134.843</v>
      </c>
      <c r="AA294" s="34" t="n">
        <v>151.833</v>
      </c>
      <c r="AB294" s="34" t="n">
        <v>114.514</v>
      </c>
      <c r="AC294" s="34" t="n">
        <v>114.514</v>
      </c>
      <c r="AD294" s="34" t="n">
        <v>129.65</v>
      </c>
      <c r="AE294" s="34" t="n">
        <v>127.815</v>
      </c>
      <c r="AF294" s="34" t="n">
        <v>127.94</v>
      </c>
      <c r="AG294" s="34" t="n">
        <v>177.051</v>
      </c>
      <c r="AH294" s="34" t="n">
        <v>177.051</v>
      </c>
      <c r="AI294" s="34" t="n">
        <v>189.571</v>
      </c>
      <c r="AJ294" s="34" t="n">
        <v>162.981</v>
      </c>
      <c r="AK294" s="34" t="n">
        <v>172.181</v>
      </c>
      <c r="AL294" s="34" t="n">
        <v>215.074</v>
      </c>
      <c r="AM294" s="34" t="n">
        <v>215.074</v>
      </c>
      <c r="AN294" s="34" t="n">
        <v>214.011</v>
      </c>
      <c r="AO294" s="34" t="n">
        <v>211.9</v>
      </c>
      <c r="AP294" s="34" t="n">
        <v>214.567</v>
      </c>
      <c r="AQ294" s="34" t="n">
        <v>226.02</v>
      </c>
      <c r="AR294" s="34" t="n">
        <v>226.02</v>
      </c>
      <c r="AS294" s="34" t="n">
        <v>237.242</v>
      </c>
      <c r="AT294" s="34" t="n">
        <v>254.611</v>
      </c>
      <c r="AU294" s="34" t="n">
        <v>243.248</v>
      </c>
      <c r="AV294" s="34" t="n">
        <v>230.995</v>
      </c>
      <c r="AW294" s="34" t="n">
        <v>230.995</v>
      </c>
      <c r="AX294" s="34" t="n">
        <v>252.513</v>
      </c>
      <c r="AY294" s="34" t="n">
        <v>274.021</v>
      </c>
      <c r="AZ294" s="34" t="n">
        <v>237.857</v>
      </c>
      <c r="BA294" s="34" t="n">
        <v>230.786</v>
      </c>
      <c r="BB294" s="34" t="n">
        <v>230.786</v>
      </c>
      <c r="BC294" s="34" t="n">
        <v>202.968</v>
      </c>
      <c r="BD294" s="34" t="n">
        <v>240.322</v>
      </c>
      <c r="BE294" s="34" t="n">
        <v>235.051</v>
      </c>
      <c r="BF294" s="34" t="n">
        <v>251.504</v>
      </c>
      <c r="BG294" s="34" t="n">
        <v>251.504</v>
      </c>
      <c r="BH294" s="34" t="n">
        <v>292.321</v>
      </c>
      <c r="BI294" s="34" t="n">
        <v>310.986</v>
      </c>
      <c r="BJ294" s="34" t="n">
        <v>281.649</v>
      </c>
      <c r="BK294" s="34" t="n">
        <v>302.292</v>
      </c>
      <c r="BL294" s="34" t="n">
        <v>302.292</v>
      </c>
      <c r="BM294" s="34" t="n">
        <v>314.743</v>
      </c>
      <c r="BN294" s="34" t="n">
        <v>316.697</v>
      </c>
      <c r="BO294" s="34" t="n">
        <v>307.941</v>
      </c>
      <c r="BP294" s="34" t="n">
        <v>339.166</v>
      </c>
      <c r="BQ294" s="34" t="n">
        <v>339.166</v>
      </c>
      <c r="BR294" s="34" t="n">
        <v>395.931</v>
      </c>
      <c r="BS294" s="34" t="n">
        <v>418.259</v>
      </c>
      <c r="BT294" s="34" t="n">
        <v>408.461</v>
      </c>
      <c r="BU294" s="34" t="n">
        <v>485.109</v>
      </c>
      <c r="BV294" s="34" t="n">
        <v>485.109</v>
      </c>
      <c r="BW294" s="34" t="n">
        <v>462.315</v>
      </c>
      <c r="BX294" s="34" t="n">
        <v>503.273</v>
      </c>
      <c r="BY294" s="34" t="n">
        <v>481.01</v>
      </c>
      <c r="BZ294" s="34" t="n">
        <v>461.157</v>
      </c>
      <c r="CA294" s="34" t="n">
        <v>461.157</v>
      </c>
      <c r="CB294" s="34" t="n">
        <v>506.502</v>
      </c>
      <c r="CC294" s="43"/>
      <c r="CD294" s="43"/>
      <c r="CE294" s="43"/>
      <c r="CF294" s="35" t="n">
        <f aca="false">CF321*CF326/365</f>
        <v>641.556753925138</v>
      </c>
      <c r="CG294" s="35" t="n">
        <f aca="false">CG321*CG326/365</f>
        <v>675.091442883515</v>
      </c>
      <c r="CH294" s="35" t="n">
        <f aca="false">CH321*CH326/365</f>
        <v>716.44074756281</v>
      </c>
      <c r="CI294" s="35" t="n">
        <f aca="false">CI321*CI326/365</f>
        <v>761.449537307196</v>
      </c>
      <c r="CJ294" s="35" t="n">
        <f aca="false">CJ321*CJ326/365</f>
        <v>810.221813663878</v>
      </c>
      <c r="CK294" s="23"/>
    </row>
    <row r="295" customFormat="false" ht="15" hidden="false" customHeight="true" outlineLevel="0" collapsed="false">
      <c r="B295" s="29" t="s">
        <v>592</v>
      </c>
      <c r="C295" s="34" t="n">
        <v>51.615</v>
      </c>
      <c r="D295" s="34" t="n">
        <v>62.826</v>
      </c>
      <c r="E295" s="34" t="n">
        <v>50.605</v>
      </c>
      <c r="F295" s="34" t="n">
        <v>48.414</v>
      </c>
      <c r="G295" s="34" t="n">
        <v>66.924</v>
      </c>
      <c r="H295" s="34" t="n">
        <v>79.834</v>
      </c>
      <c r="I295" s="34" t="n">
        <v>91.214</v>
      </c>
      <c r="J295" s="34" t="n">
        <v>40.531</v>
      </c>
      <c r="K295" s="34" t="n">
        <v>54.48</v>
      </c>
      <c r="L295" s="34" t="n">
        <v>90.533</v>
      </c>
      <c r="M295" s="34" t="n">
        <v>78.05</v>
      </c>
      <c r="N295" s="34" t="n">
        <v>78.05</v>
      </c>
      <c r="O295" s="34" t="n">
        <v>43.247</v>
      </c>
      <c r="P295" s="34" t="n">
        <v>58.649</v>
      </c>
      <c r="Q295" s="34" t="n">
        <v>80.109</v>
      </c>
      <c r="R295" s="34" t="n">
        <v>85.026</v>
      </c>
      <c r="S295" s="34" t="n">
        <v>85.026</v>
      </c>
      <c r="T295" s="34" t="n">
        <v>44.06</v>
      </c>
      <c r="U295" s="34" t="n">
        <v>60.448</v>
      </c>
      <c r="V295" s="34" t="n">
        <v>78.007</v>
      </c>
      <c r="W295" s="34" t="n">
        <v>88.423</v>
      </c>
      <c r="X295" s="34" t="n">
        <v>88.423</v>
      </c>
      <c r="Y295" s="34" t="n">
        <v>53.018</v>
      </c>
      <c r="Z295" s="34" t="n">
        <v>65.886</v>
      </c>
      <c r="AA295" s="34" t="n">
        <v>84.992</v>
      </c>
      <c r="AB295" s="34" t="n">
        <v>101.976</v>
      </c>
      <c r="AC295" s="34" t="n">
        <v>101.976</v>
      </c>
      <c r="AD295" s="34" t="n">
        <v>64.692</v>
      </c>
      <c r="AE295" s="34" t="n">
        <v>85.857</v>
      </c>
      <c r="AF295" s="34" t="n">
        <v>95.353</v>
      </c>
      <c r="AG295" s="34" t="n">
        <v>149.635</v>
      </c>
      <c r="AH295" s="34" t="n">
        <v>149.635</v>
      </c>
      <c r="AI295" s="34" t="n">
        <v>119.252</v>
      </c>
      <c r="AJ295" s="34" t="n">
        <v>113.43</v>
      </c>
      <c r="AK295" s="34" t="n">
        <v>145.066</v>
      </c>
      <c r="AL295" s="34" t="n">
        <v>140.654</v>
      </c>
      <c r="AM295" s="34" t="n">
        <v>140.654</v>
      </c>
      <c r="AN295" s="34" t="n">
        <v>84.308</v>
      </c>
      <c r="AO295" s="34" t="n">
        <v>117.645</v>
      </c>
      <c r="AP295" s="34" t="n">
        <v>136.814</v>
      </c>
      <c r="AQ295" s="34" t="n">
        <v>155.509</v>
      </c>
      <c r="AR295" s="34" t="n">
        <v>155.509</v>
      </c>
      <c r="AS295" s="34" t="n">
        <v>99.2</v>
      </c>
      <c r="AT295" s="34" t="n">
        <v>124.349</v>
      </c>
      <c r="AU295" s="34" t="n">
        <v>148.912</v>
      </c>
      <c r="AV295" s="34" t="n">
        <v>127.417</v>
      </c>
      <c r="AW295" s="34" t="n">
        <v>127.417</v>
      </c>
      <c r="AX295" s="34" t="n">
        <v>117.577</v>
      </c>
      <c r="AY295" s="34" t="n">
        <v>150.739</v>
      </c>
      <c r="AZ295" s="34" t="n">
        <v>224.641</v>
      </c>
      <c r="BA295" s="34" t="n">
        <v>241.469</v>
      </c>
      <c r="BB295" s="34" t="n">
        <v>241.469</v>
      </c>
      <c r="BC295" s="34" t="n">
        <v>155.212</v>
      </c>
      <c r="BD295" s="34" t="n">
        <v>180.772</v>
      </c>
      <c r="BE295" s="34" t="n">
        <v>212.481</v>
      </c>
      <c r="BF295" s="34" t="n">
        <v>236.992</v>
      </c>
      <c r="BG295" s="34" t="n">
        <v>236.992</v>
      </c>
      <c r="BH295" s="34" t="n">
        <v>176.865</v>
      </c>
      <c r="BI295" s="34" t="n">
        <v>208.342</v>
      </c>
      <c r="BJ295" s="34" t="n">
        <v>203.726</v>
      </c>
      <c r="BK295" s="34" t="n">
        <v>239.086</v>
      </c>
      <c r="BL295" s="34" t="n">
        <v>239.086</v>
      </c>
      <c r="BM295" s="34" t="n">
        <v>116.892</v>
      </c>
      <c r="BN295" s="34" t="n">
        <v>154.452</v>
      </c>
      <c r="BO295" s="34" t="n">
        <v>182.669</v>
      </c>
      <c r="BP295" s="34" t="n">
        <v>214.13</v>
      </c>
      <c r="BQ295" s="34" t="n">
        <v>214.13</v>
      </c>
      <c r="BR295" s="34" t="n">
        <v>125.004</v>
      </c>
      <c r="BS295" s="34" t="n">
        <v>157.793</v>
      </c>
      <c r="BT295" s="34" t="n">
        <v>208.952</v>
      </c>
      <c r="BU295" s="34" t="n">
        <v>229.538</v>
      </c>
      <c r="BV295" s="34" t="n">
        <v>229.538</v>
      </c>
      <c r="BW295" s="34" t="n">
        <v>135.185</v>
      </c>
      <c r="BX295" s="34" t="n">
        <v>167.872</v>
      </c>
      <c r="BY295" s="34" t="n">
        <v>209.995</v>
      </c>
      <c r="BZ295" s="34" t="n">
        <v>237.042</v>
      </c>
      <c r="CA295" s="34" t="n">
        <v>237.042</v>
      </c>
      <c r="CB295" s="34" t="n">
        <v>159.159</v>
      </c>
      <c r="CC295" s="43"/>
      <c r="CD295" s="43"/>
      <c r="CE295" s="43"/>
      <c r="CF295" s="35" t="n">
        <f aca="false">CF319*CF327</f>
        <v>310.958822376322</v>
      </c>
      <c r="CG295" s="35" t="n">
        <f aca="false">CG319*CG327</f>
        <v>334.388732487324</v>
      </c>
      <c r="CH295" s="35" t="n">
        <f aca="false">CH319*CH327</f>
        <v>360.129297200348</v>
      </c>
      <c r="CI295" s="35" t="n">
        <f aca="false">CI319*CI327</f>
        <v>387.836677131189</v>
      </c>
      <c r="CJ295" s="35" t="n">
        <f aca="false">CJ319*CJ327</f>
        <v>415.949411572371</v>
      </c>
      <c r="CK295" s="23"/>
    </row>
    <row r="296" customFormat="false" ht="15" hidden="false" customHeight="true" outlineLevel="0" collapsed="false">
      <c r="B296" s="29" t="s">
        <v>593</v>
      </c>
      <c r="C296" s="34" t="n">
        <v>188.927</v>
      </c>
      <c r="D296" s="34" t="n">
        <v>200.686</v>
      </c>
      <c r="E296" s="34" t="n">
        <v>207.925</v>
      </c>
      <c r="F296" s="34" t="n">
        <v>198.488</v>
      </c>
      <c r="G296" s="34" t="n">
        <v>244.402</v>
      </c>
      <c r="H296" s="34" t="n">
        <v>242.691</v>
      </c>
      <c r="I296" s="34" t="n">
        <v>256.642</v>
      </c>
      <c r="J296" s="34" t="n">
        <v>213.44</v>
      </c>
      <c r="K296" s="34" t="n">
        <v>325.077</v>
      </c>
      <c r="L296" s="34" t="n">
        <v>238.462</v>
      </c>
      <c r="M296" s="34" t="n">
        <v>271.821</v>
      </c>
      <c r="N296" s="34" t="n">
        <v>271.821</v>
      </c>
      <c r="O296" s="34" t="n">
        <v>235.237</v>
      </c>
      <c r="P296" s="34" t="n">
        <v>360.627</v>
      </c>
      <c r="Q296" s="34" t="n">
        <v>259.31</v>
      </c>
      <c r="R296" s="34" t="n">
        <v>299.727</v>
      </c>
      <c r="S296" s="34" t="n">
        <v>299.727</v>
      </c>
      <c r="T296" s="34" t="n">
        <v>292.548</v>
      </c>
      <c r="U296" s="34" t="n">
        <v>502.861</v>
      </c>
      <c r="V296" s="34" t="n">
        <v>281.872</v>
      </c>
      <c r="W296" s="34" t="n">
        <v>309.935</v>
      </c>
      <c r="X296" s="34" t="n">
        <v>309.935</v>
      </c>
      <c r="Y296" s="34" t="n">
        <v>294.845</v>
      </c>
      <c r="Z296" s="34" t="n">
        <v>443.713</v>
      </c>
      <c r="AA296" s="34" t="n">
        <v>319.438</v>
      </c>
      <c r="AB296" s="34" t="n">
        <v>349.065</v>
      </c>
      <c r="AC296" s="34" t="n">
        <v>349.065</v>
      </c>
      <c r="AD296" s="34" t="n">
        <v>313.888</v>
      </c>
      <c r="AE296" s="34" t="n">
        <v>469.085</v>
      </c>
      <c r="AF296" s="34" t="n">
        <v>321.324</v>
      </c>
      <c r="AG296" s="34" t="n">
        <v>429.809</v>
      </c>
      <c r="AH296" s="34" t="n">
        <v>429.809</v>
      </c>
      <c r="AI296" s="34" t="n">
        <v>402.97</v>
      </c>
      <c r="AJ296" s="34" t="n">
        <v>577.96</v>
      </c>
      <c r="AK296" s="34" t="n">
        <v>412.826</v>
      </c>
      <c r="AL296" s="34" t="n">
        <v>420.129</v>
      </c>
      <c r="AM296" s="34" t="n">
        <v>420.129</v>
      </c>
      <c r="AN296" s="34" t="n">
        <v>380.775</v>
      </c>
      <c r="AO296" s="34" t="n">
        <v>611.641</v>
      </c>
      <c r="AP296" s="34" t="n">
        <v>425.47</v>
      </c>
      <c r="AQ296" s="34" t="n">
        <v>433.94</v>
      </c>
      <c r="AR296" s="34" t="n">
        <v>433.94</v>
      </c>
      <c r="AS296" s="34" t="n">
        <v>395.416</v>
      </c>
      <c r="AT296" s="34" t="n">
        <v>674.24</v>
      </c>
      <c r="AU296" s="34" t="n">
        <v>430.643</v>
      </c>
      <c r="AV296" s="34" t="n">
        <v>456.653</v>
      </c>
      <c r="AW296" s="34" t="n">
        <v>456.653</v>
      </c>
      <c r="AX296" s="34" t="n">
        <v>406.787</v>
      </c>
      <c r="AY296" s="34" t="n">
        <v>791.158</v>
      </c>
      <c r="AZ296" s="34" t="n">
        <v>514.159</v>
      </c>
      <c r="BA296" s="34" t="n">
        <v>518.91</v>
      </c>
      <c r="BB296" s="34" t="n">
        <v>518.91</v>
      </c>
      <c r="BC296" s="34" t="n">
        <v>592.384</v>
      </c>
      <c r="BD296" s="34" t="n">
        <v>597.171</v>
      </c>
      <c r="BE296" s="34" t="n">
        <v>622.797</v>
      </c>
      <c r="BF296" s="34" t="n">
        <v>588.948</v>
      </c>
      <c r="BG296" s="34" t="n">
        <v>588.948</v>
      </c>
      <c r="BH296" s="34" t="n">
        <v>543.566</v>
      </c>
      <c r="BI296" s="34" t="n">
        <v>556.211</v>
      </c>
      <c r="BJ296" s="34" t="n">
        <v>610.863</v>
      </c>
      <c r="BK296" s="34" t="n">
        <v>632.504</v>
      </c>
      <c r="BL296" s="34" t="n">
        <v>632.504</v>
      </c>
      <c r="BM296" s="34" t="n">
        <v>592.37</v>
      </c>
      <c r="BN296" s="34" t="n">
        <v>619.288</v>
      </c>
      <c r="BO296" s="34" t="n">
        <v>720.545</v>
      </c>
      <c r="BP296" s="34" t="n">
        <v>761.283</v>
      </c>
      <c r="BQ296" s="34" t="n">
        <v>761.283</v>
      </c>
      <c r="BR296" s="34" t="n">
        <v>717.093</v>
      </c>
      <c r="BS296" s="34" t="n">
        <v>753.986</v>
      </c>
      <c r="BT296" s="34" t="n">
        <v>825.032</v>
      </c>
      <c r="BU296" s="34" t="n">
        <v>875.077</v>
      </c>
      <c r="BV296" s="34" t="n">
        <v>875.077</v>
      </c>
      <c r="BW296" s="34" t="n">
        <v>779.672</v>
      </c>
      <c r="BX296" s="34" t="n">
        <v>797.71</v>
      </c>
      <c r="BY296" s="34" t="n">
        <v>831.037</v>
      </c>
      <c r="BZ296" s="34" t="n">
        <v>889.198</v>
      </c>
      <c r="CA296" s="34" t="n">
        <v>889.198</v>
      </c>
      <c r="CB296" s="34" t="n">
        <v>841.215</v>
      </c>
      <c r="CC296" s="43"/>
      <c r="CD296" s="43"/>
      <c r="CE296" s="43"/>
      <c r="CF296" s="35" t="n">
        <f aca="false">CF319*CF328</f>
        <v>1166.47667054522</v>
      </c>
      <c r="CG296" s="35" t="n">
        <f aca="false">CG319*CG328</f>
        <v>1254.3675473134</v>
      </c>
      <c r="CH296" s="35" t="n">
        <f aca="false">CH319*CH328</f>
        <v>1350.9262105954</v>
      </c>
      <c r="CI296" s="35" t="n">
        <f aca="false">CI319*CI328</f>
        <v>1454.86284131799</v>
      </c>
      <c r="CJ296" s="35" t="n">
        <f aca="false">CJ319*CJ328</f>
        <v>1560.32004822491</v>
      </c>
      <c r="CK296" s="23"/>
    </row>
    <row r="297" customFormat="false" ht="15" hidden="false" customHeight="true" outlineLevel="0" collapsed="false">
      <c r="B297" s="29" t="s">
        <v>594</v>
      </c>
      <c r="C297" s="34" t="n">
        <v>96.037</v>
      </c>
      <c r="D297" s="34" t="n">
        <v>70.763</v>
      </c>
      <c r="E297" s="34" t="n">
        <v>12.887</v>
      </c>
      <c r="F297" s="34" t="n">
        <v>-25.512</v>
      </c>
      <c r="I297" s="34" t="n">
        <v>2.559</v>
      </c>
      <c r="J297" s="34" t="n">
        <v>18.598</v>
      </c>
      <c r="K297" s="34" t="n">
        <v>56.427</v>
      </c>
      <c r="L297" s="34" t="n">
        <v>62.019</v>
      </c>
      <c r="M297" s="34" t="n">
        <v>77.169</v>
      </c>
      <c r="N297" s="34" t="n">
        <v>77.169</v>
      </c>
      <c r="O297" s="34" t="n">
        <v>104.059</v>
      </c>
      <c r="P297" s="34" t="n">
        <v>91.329</v>
      </c>
      <c r="Q297" s="34" t="n">
        <v>95.414</v>
      </c>
      <c r="R297" s="34" t="n">
        <v>94.805</v>
      </c>
      <c r="S297" s="34" t="n">
        <v>94.805</v>
      </c>
      <c r="T297" s="34" t="n">
        <v>157.608</v>
      </c>
      <c r="U297" s="34" t="n">
        <v>116.826</v>
      </c>
      <c r="V297" s="34" t="n">
        <v>107.4</v>
      </c>
      <c r="W297" s="34" t="n">
        <v>113.093</v>
      </c>
      <c r="X297" s="34" t="n">
        <v>113.093</v>
      </c>
      <c r="Y297" s="34" t="n">
        <v>229.507</v>
      </c>
      <c r="Z297" s="34" t="n">
        <v>236.539</v>
      </c>
      <c r="AA297" s="34" t="n">
        <v>52.541</v>
      </c>
      <c r="AB297" s="34" t="n">
        <v>0</v>
      </c>
      <c r="AC297" s="34" t="n">
        <v>0</v>
      </c>
      <c r="AD297" s="34" t="n">
        <v>38.829</v>
      </c>
      <c r="AG297" s="34" t="n">
        <v>11.457</v>
      </c>
      <c r="AH297" s="34" t="n">
        <v>11.457</v>
      </c>
      <c r="AI297" s="34" t="n">
        <v>25.552</v>
      </c>
      <c r="AJ297" s="34" t="n">
        <v>0</v>
      </c>
      <c r="AK297" s="34" t="n">
        <v>0</v>
      </c>
      <c r="AL297" s="34" t="n">
        <v>0</v>
      </c>
      <c r="AM297" s="34" t="n">
        <v>0</v>
      </c>
      <c r="AS297" s="34" t="n">
        <v>9.238</v>
      </c>
      <c r="AV297" s="34" t="n">
        <v>27.099</v>
      </c>
      <c r="AW297" s="34" t="n">
        <v>27.099</v>
      </c>
      <c r="AX297" s="34" t="n">
        <v>23.251</v>
      </c>
      <c r="AY297" s="34" t="n">
        <v>0</v>
      </c>
      <c r="AZ297" s="34" t="n">
        <v>0</v>
      </c>
      <c r="BA297" s="34" t="n">
        <v>0</v>
      </c>
      <c r="BB297" s="34" t="n">
        <v>0</v>
      </c>
      <c r="BH297" s="34" t="n">
        <v>35.783</v>
      </c>
      <c r="BK297" s="34" t="n">
        <v>12.47</v>
      </c>
      <c r="BL297" s="34" t="n">
        <v>12.47</v>
      </c>
      <c r="BM297" s="34" t="n">
        <v>101.031</v>
      </c>
      <c r="BN297" s="34" t="n">
        <v>13.102</v>
      </c>
      <c r="BO297" s="34" t="n">
        <v>18.31</v>
      </c>
      <c r="BP297" s="34" t="n">
        <v>18.618</v>
      </c>
      <c r="BQ297" s="34" t="n">
        <v>18.618</v>
      </c>
      <c r="BR297" s="34" t="n">
        <v>84.622</v>
      </c>
      <c r="BS297" s="34" t="n">
        <v>0</v>
      </c>
      <c r="BT297" s="34" t="n">
        <v>0</v>
      </c>
      <c r="BU297" s="34" t="n">
        <v>4.034</v>
      </c>
      <c r="BV297" s="34" t="n">
        <v>4.034</v>
      </c>
      <c r="BW297" s="34" t="n">
        <v>78.956</v>
      </c>
      <c r="BX297" s="34" t="n">
        <v>3.654</v>
      </c>
      <c r="BY297" s="34" t="n">
        <v>11.24</v>
      </c>
      <c r="BZ297" s="34" t="n">
        <v>44.07</v>
      </c>
      <c r="CA297" s="34" t="n">
        <v>44.07</v>
      </c>
      <c r="CB297" s="34" t="n">
        <v>140.129</v>
      </c>
      <c r="CC297" s="43"/>
      <c r="CD297" s="43"/>
      <c r="CE297" s="43"/>
      <c r="CF297" s="35" t="n">
        <f aca="false">CA297</f>
        <v>44.07</v>
      </c>
      <c r="CG297" s="35" t="n">
        <f aca="false">CF297</f>
        <v>44.07</v>
      </c>
      <c r="CH297" s="35" t="n">
        <f aca="false">CG297</f>
        <v>44.07</v>
      </c>
      <c r="CI297" s="35" t="n">
        <f aca="false">CH297</f>
        <v>44.07</v>
      </c>
      <c r="CJ297" s="35" t="n">
        <f aca="false">CI297</f>
        <v>44.07</v>
      </c>
      <c r="CK297" s="23"/>
    </row>
    <row r="298" customFormat="false" ht="15" hidden="false" customHeight="true" outlineLevel="0" collapsed="false">
      <c r="B298" s="29" t="s">
        <v>595</v>
      </c>
      <c r="AS298" s="34" t="n">
        <v>43.01</v>
      </c>
      <c r="AT298" s="34" t="n">
        <v>44.263</v>
      </c>
      <c r="AU298" s="34" t="n">
        <v>44.043</v>
      </c>
      <c r="AV298" s="34" t="n">
        <v>43.031</v>
      </c>
      <c r="AW298" s="34" t="n">
        <v>43.031</v>
      </c>
      <c r="AX298" s="34" t="n">
        <v>43.414</v>
      </c>
      <c r="AY298" s="34" t="n">
        <v>42.682</v>
      </c>
      <c r="AZ298" s="34" t="n">
        <v>43.767</v>
      </c>
      <c r="BA298" s="34" t="n">
        <v>43.85</v>
      </c>
      <c r="BB298" s="34" t="n">
        <v>43.85</v>
      </c>
      <c r="BC298" s="34" t="n">
        <v>43.308</v>
      </c>
      <c r="BD298" s="34" t="n">
        <v>43.156</v>
      </c>
      <c r="BE298" s="34" t="n">
        <v>44.105</v>
      </c>
      <c r="BF298" s="34" t="n">
        <v>43.872</v>
      </c>
      <c r="BG298" s="34" t="n">
        <v>43.872</v>
      </c>
      <c r="BH298" s="34" t="n">
        <v>43.539</v>
      </c>
      <c r="BI298" s="34" t="n">
        <v>42.792</v>
      </c>
      <c r="BJ298" s="34" t="n">
        <v>42.97</v>
      </c>
      <c r="BK298" s="34" t="n">
        <v>43.71</v>
      </c>
      <c r="BL298" s="34" t="n">
        <v>43.71</v>
      </c>
      <c r="BM298" s="34" t="n">
        <v>43.803</v>
      </c>
      <c r="BN298" s="34" t="n">
        <v>44.063</v>
      </c>
      <c r="BO298" s="34" t="n">
        <v>44.43</v>
      </c>
      <c r="BP298" s="34" t="n">
        <v>45.727</v>
      </c>
      <c r="BQ298" s="34" t="n">
        <v>45.727</v>
      </c>
      <c r="BR298" s="34" t="n">
        <v>46.537</v>
      </c>
      <c r="BS298" s="34" t="n">
        <v>46.921</v>
      </c>
      <c r="BT298" s="34" t="n">
        <v>48.786</v>
      </c>
      <c r="BU298" s="34" t="n">
        <v>50.744</v>
      </c>
      <c r="BV298" s="34" t="n">
        <v>50.744</v>
      </c>
      <c r="BW298" s="34" t="n">
        <v>51.691</v>
      </c>
      <c r="BX298" s="34" t="n">
        <v>52.726</v>
      </c>
      <c r="BY298" s="34" t="n">
        <v>54.13</v>
      </c>
      <c r="BZ298" s="34" t="n">
        <v>56.505</v>
      </c>
      <c r="CA298" s="34" t="n">
        <v>56.505</v>
      </c>
      <c r="CB298" s="34" t="n">
        <v>58.37</v>
      </c>
      <c r="CC298" s="43"/>
      <c r="CD298" s="43"/>
      <c r="CE298" s="43"/>
      <c r="CF298" s="35" t="n">
        <f aca="false">CA298+$CF$345*IF(CF63*COLUMN()=COLUMN($CF$63),1,0)</f>
        <v>76.73</v>
      </c>
      <c r="CG298" s="35" t="n">
        <f aca="false">CF298+$CF$345*IF(CG63*COLUMN()=COLUMN($CF$63),1,0)</f>
        <v>76.73</v>
      </c>
      <c r="CH298" s="35" t="n">
        <f aca="false">CG298+$CF$345*IF(CH63*COLUMN()=COLUMN($CF$63),1,0)</f>
        <v>76.73</v>
      </c>
      <c r="CI298" s="35" t="n">
        <f aca="false">CH298+$CF$345*IF(CI63*COLUMN()=COLUMN($CF$63),1,0)</f>
        <v>76.73</v>
      </c>
      <c r="CJ298" s="35" t="n">
        <f aca="false">CI298+$CF$345*IF(CJ63*COLUMN()=COLUMN($CF$63),1,0)</f>
        <v>76.73</v>
      </c>
      <c r="CK298" s="23"/>
    </row>
    <row r="299" customFormat="false" ht="15" hidden="false" customHeight="true" outlineLevel="0" collapsed="false">
      <c r="B299" s="29" t="s">
        <v>596</v>
      </c>
      <c r="C299" s="34" t="n">
        <v>4.288</v>
      </c>
      <c r="D299" s="34" t="n">
        <v>4.141</v>
      </c>
      <c r="E299" s="34" t="n">
        <v>1.07</v>
      </c>
      <c r="F299" s="34" t="n">
        <v>0.598</v>
      </c>
      <c r="G299" s="34" t="n">
        <v>0.609</v>
      </c>
      <c r="H299" s="34" t="n">
        <v>1.335</v>
      </c>
      <c r="I299" s="34" t="n">
        <v>225.636</v>
      </c>
      <c r="J299" s="34" t="n">
        <v>0.636</v>
      </c>
      <c r="K299" s="34" t="n">
        <v>0.661</v>
      </c>
      <c r="L299" s="34" t="n">
        <v>0.674</v>
      </c>
      <c r="M299" s="34" t="n">
        <v>8.187</v>
      </c>
      <c r="N299" s="34" t="n">
        <v>8.187</v>
      </c>
      <c r="O299" s="34" t="n">
        <v>8.2</v>
      </c>
      <c r="P299" s="34" t="n">
        <v>0.714</v>
      </c>
      <c r="Q299" s="34" t="n">
        <v>0.633</v>
      </c>
      <c r="R299" s="34" t="n">
        <v>0.503</v>
      </c>
      <c r="S299" s="34" t="n">
        <v>0.503</v>
      </c>
      <c r="T299" s="34" t="n">
        <v>0</v>
      </c>
      <c r="U299" s="34" t="n">
        <v>0</v>
      </c>
      <c r="V299" s="34" t="n">
        <v>0</v>
      </c>
      <c r="W299" s="34" t="n">
        <v>0</v>
      </c>
      <c r="X299" s="34" t="n">
        <v>0</v>
      </c>
      <c r="Y299" s="34" t="n">
        <v>250</v>
      </c>
      <c r="Z299" s="34" t="n">
        <v>250</v>
      </c>
      <c r="AA299" s="34" t="n">
        <v>250</v>
      </c>
      <c r="AB299" s="34" t="n">
        <v>250</v>
      </c>
      <c r="AC299" s="34" t="n">
        <v>250</v>
      </c>
      <c r="AD299" s="34" t="n">
        <v>163.8</v>
      </c>
      <c r="AE299" s="34" t="n">
        <v>66</v>
      </c>
      <c r="AF299" s="34" t="n">
        <v>399.351</v>
      </c>
      <c r="AG299" s="34" t="n">
        <v>362.9</v>
      </c>
      <c r="AH299" s="34" t="n">
        <v>362.9</v>
      </c>
      <c r="AI299" s="34" t="n">
        <v>307.45</v>
      </c>
      <c r="AJ299" s="34" t="n">
        <v>300</v>
      </c>
      <c r="AK299" s="34" t="n">
        <v>187.5</v>
      </c>
      <c r="AL299" s="34" t="n">
        <v>0</v>
      </c>
      <c r="AM299" s="34" t="n">
        <v>0</v>
      </c>
      <c r="AO299" s="34" t="n">
        <v>173.5</v>
      </c>
      <c r="AP299" s="34" t="n">
        <v>217.5</v>
      </c>
      <c r="AQ299" s="34" t="n">
        <v>312.264</v>
      </c>
      <c r="AR299" s="34" t="n">
        <v>312.264</v>
      </c>
      <c r="AS299" s="34" t="n">
        <v>338.776</v>
      </c>
      <c r="AT299" s="34" t="n">
        <v>199.788</v>
      </c>
      <c r="AU299" s="34" t="n">
        <v>199.8</v>
      </c>
      <c r="AV299" s="34" t="n">
        <v>0</v>
      </c>
      <c r="AW299" s="34" t="n">
        <v>0</v>
      </c>
      <c r="AX299" s="34" t="n">
        <v>249.808</v>
      </c>
      <c r="AY299" s="34" t="n">
        <v>249.872</v>
      </c>
      <c r="AZ299" s="34" t="n">
        <v>249.936</v>
      </c>
      <c r="BA299" s="34" t="n">
        <v>899.07</v>
      </c>
      <c r="BB299" s="34" t="n">
        <v>899.07</v>
      </c>
      <c r="BC299" s="34" t="n">
        <v>1275.167</v>
      </c>
      <c r="BD299" s="34" t="n">
        <v>1116.507</v>
      </c>
      <c r="BE299" s="34" t="n">
        <v>1509.056</v>
      </c>
      <c r="BF299" s="34" t="n">
        <v>311.574</v>
      </c>
      <c r="BG299" s="34" t="n">
        <v>311.574</v>
      </c>
      <c r="BH299" s="34" t="n">
        <v>507.467</v>
      </c>
      <c r="BI299" s="34" t="n">
        <v>435.406</v>
      </c>
      <c r="BJ299" s="34" t="n">
        <v>249.053</v>
      </c>
      <c r="BK299" s="34" t="n">
        <v>0</v>
      </c>
      <c r="BL299" s="34" t="n">
        <v>0</v>
      </c>
      <c r="BN299" s="34" t="n">
        <v>210</v>
      </c>
      <c r="BP299" s="34" t="n">
        <v>449.595</v>
      </c>
      <c r="BQ299" s="34" t="n">
        <v>449.595</v>
      </c>
      <c r="BR299" s="34" t="n">
        <v>615.702</v>
      </c>
      <c r="BS299" s="34" t="n">
        <v>630.808</v>
      </c>
      <c r="BT299" s="34" t="n">
        <v>449.915</v>
      </c>
      <c r="BU299" s="34" t="n">
        <v>0</v>
      </c>
      <c r="BV299" s="34" t="n">
        <v>0</v>
      </c>
      <c r="BX299" s="34" t="n">
        <v>550.75</v>
      </c>
      <c r="BY299" s="34" t="n">
        <v>229.49</v>
      </c>
      <c r="BZ299" s="34" t="n">
        <v>998.987</v>
      </c>
      <c r="CA299" s="34" t="n">
        <v>998.987</v>
      </c>
      <c r="CB299" s="34" t="n">
        <v>999.291</v>
      </c>
      <c r="CC299" s="43"/>
      <c r="CD299" s="43"/>
      <c r="CE299" s="43"/>
      <c r="CF299" s="35" t="n">
        <f aca="false">MIN(CF357,-N(CF359))</f>
        <v>400</v>
      </c>
      <c r="CG299" s="35" t="n">
        <f aca="false">MIN(CG357,-N(CG359))</f>
        <v>-0</v>
      </c>
      <c r="CH299" s="35" t="n">
        <f aca="false">MIN(CH357,-N(CH359))</f>
        <v>-0</v>
      </c>
      <c r="CI299" s="35" t="n">
        <f aca="false">MIN(CI357,-N(CI359))</f>
        <v>-0</v>
      </c>
      <c r="CJ299" s="35" t="n">
        <f aca="false">MIN(CJ357,-N(CJ359))</f>
        <v>-0</v>
      </c>
      <c r="CK299" s="23" t="s">
        <v>597</v>
      </c>
    </row>
    <row r="300" customFormat="false" ht="15" hidden="false" customHeight="true" outlineLevel="0" collapsed="false">
      <c r="B300" s="20" t="s">
        <v>598</v>
      </c>
      <c r="C300" s="39" t="n">
        <f aca="false">SUM(C294,C295,C296,C297,C298,C299)</f>
        <v>412.502</v>
      </c>
      <c r="D300" s="39" t="n">
        <f aca="false">SUM(D294,D295,D296,D297,D298,D299)</f>
        <v>403.038</v>
      </c>
      <c r="E300" s="39" t="n">
        <f aca="false">SUM(E294,E295,E296,E297,E298,E299)</f>
        <v>367.242</v>
      </c>
      <c r="F300" s="39" t="n">
        <f aca="false">SUM(F294,F295,F296,F297,F298,F299)</f>
        <v>291.953</v>
      </c>
      <c r="G300" s="39" t="n">
        <f aca="false">SUM(G294,G295,G296,G297,G298,G299)</f>
        <v>383.682</v>
      </c>
      <c r="H300" s="39" t="n">
        <f aca="false">SUM(H294,H295,H296,H297,H298,H299)</f>
        <v>434.139</v>
      </c>
      <c r="I300" s="39" t="n">
        <f aca="false">SUM(I294,I295,I296,I297,I298,I299)</f>
        <v>670.891</v>
      </c>
      <c r="J300" s="39" t="n">
        <f aca="false">SUM(J294,J295,J296,J297,J298,J299)</f>
        <v>384.111</v>
      </c>
      <c r="K300" s="39" t="n">
        <f aca="false">SUM(K294,K295,K296,K297,K298,K299)</f>
        <v>555.179</v>
      </c>
      <c r="L300" s="39" t="n">
        <f aca="false">SUM(L294,L295,L296,L297,L298,L299)</f>
        <v>500.752</v>
      </c>
      <c r="M300" s="39" t="n">
        <f aca="false">SUM(M294,M295,M296,M297,M298,M299)</f>
        <v>556.256</v>
      </c>
      <c r="N300" s="39" t="n">
        <f aca="false">SUM(N294,N295,N296,N297,N298,N299)</f>
        <v>556.256</v>
      </c>
      <c r="O300" s="39" t="n">
        <f aca="false">SUM(O294,O295,O296,O297,O298,O299)</f>
        <v>515.695</v>
      </c>
      <c r="P300" s="39" t="n">
        <f aca="false">SUM(P294,P295,P296,P297,P298,P299)</f>
        <v>614.561</v>
      </c>
      <c r="Q300" s="39" t="n">
        <f aca="false">SUM(Q294,Q295,Q296,Q297,Q298,Q299)</f>
        <v>552.802</v>
      </c>
      <c r="R300" s="39" t="n">
        <f aca="false">SUM(R294,R295,R296,R297,R298,R299)</f>
        <v>630.131</v>
      </c>
      <c r="S300" s="39" t="n">
        <f aca="false">SUM(S294,S295,S296,S297,S298,S299)</f>
        <v>630.131</v>
      </c>
      <c r="T300" s="39" t="n">
        <f aca="false">SUM(T294,T295,T296,T297,T298,T299)</f>
        <v>636.011</v>
      </c>
      <c r="U300" s="39" t="n">
        <f aca="false">SUM(U294,U295,U296,U297,U298,U299)</f>
        <v>851.764</v>
      </c>
      <c r="V300" s="39" t="n">
        <f aca="false">SUM(V294,V295,V296,V297,V298,V299)</f>
        <v>666.225</v>
      </c>
      <c r="W300" s="39" t="n">
        <f aca="false">SUM(W294,W295,W296,W297,W298,W299)</f>
        <v>621.058</v>
      </c>
      <c r="X300" s="39" t="n">
        <f aca="false">SUM(X294,X295,X296,X297,X298,X299)</f>
        <v>621.058</v>
      </c>
      <c r="Y300" s="39" t="n">
        <f aca="false">SUM(Y294,Y295,Y296,Y297,Y298,Y299)</f>
        <v>959.326</v>
      </c>
      <c r="Z300" s="39" t="n">
        <f aca="false">SUM(Z294,Z295,Z296,Z297,Z298,Z299)</f>
        <v>1130.981</v>
      </c>
      <c r="AA300" s="39" t="n">
        <f aca="false">SUM(AA294,AA295,AA296,AA297,AA298,AA299)</f>
        <v>858.804</v>
      </c>
      <c r="AB300" s="39" t="n">
        <f aca="false">SUM(AB294,AB295,AB296,AB297,AB298,AB299)</f>
        <v>815.555</v>
      </c>
      <c r="AC300" s="39" t="n">
        <f aca="false">SUM(AC294,AC295,AC296,AC297,AC298,AC299)</f>
        <v>815.555</v>
      </c>
      <c r="AD300" s="39" t="n">
        <f aca="false">SUM(AD294,AD295,AD296,AD297,AD298,AD299)</f>
        <v>710.859</v>
      </c>
      <c r="AE300" s="39" t="n">
        <f aca="false">SUM(AE294,AE295,AE296,AE297,AE298,AE299)</f>
        <v>748.757</v>
      </c>
      <c r="AF300" s="39" t="n">
        <f aca="false">SUM(AF294,AF295,AF296,AF297,AF298,AF299)</f>
        <v>943.968</v>
      </c>
      <c r="AG300" s="39" t="n">
        <f aca="false">SUM(AG294,AG295,AG296,AG297,AG298,AG299)</f>
        <v>1130.852</v>
      </c>
      <c r="AH300" s="39" t="n">
        <f aca="false">SUM(AH294,AH295,AH296,AH297,AH298,AH299)</f>
        <v>1130.852</v>
      </c>
      <c r="AI300" s="39" t="n">
        <f aca="false">SUM(AI294,AI295,AI296,AI297,AI298,AI299)</f>
        <v>1044.795</v>
      </c>
      <c r="AJ300" s="39" t="n">
        <f aca="false">SUM(AJ294,AJ295,AJ296,AJ297,AJ298,AJ299)</f>
        <v>1154.371</v>
      </c>
      <c r="AK300" s="39" t="n">
        <f aca="false">SUM(AK294,AK295,AK296,AK297,AK298,AK299)</f>
        <v>917.573</v>
      </c>
      <c r="AL300" s="39" t="n">
        <f aca="false">SUM(AL294,AL295,AL296,AL297,AL298,AL299)</f>
        <v>775.857</v>
      </c>
      <c r="AM300" s="39" t="n">
        <f aca="false">SUM(AM294,AM295,AM296,AM297,AM298,AM299)</f>
        <v>775.857</v>
      </c>
      <c r="AN300" s="39" t="n">
        <f aca="false">SUM(AN294,AN295,AN296,AN297,AN298,AN299)</f>
        <v>679.094</v>
      </c>
      <c r="AO300" s="39" t="n">
        <f aca="false">SUM(AO294,AO295,AO296,AO297,AO298,AO299)</f>
        <v>1114.686</v>
      </c>
      <c r="AP300" s="39" t="n">
        <f aca="false">SUM(AP294,AP295,AP296,AP297,AP298,AP299)</f>
        <v>994.351</v>
      </c>
      <c r="AQ300" s="39" t="n">
        <f aca="false">SUM(AQ294,AQ295,AQ296,AQ297,AQ298,AQ299)</f>
        <v>1127.733</v>
      </c>
      <c r="AR300" s="39" t="n">
        <f aca="false">SUM(AR294,AR295,AR296,AR297,AR298,AR299)</f>
        <v>1127.733</v>
      </c>
      <c r="AS300" s="39" t="n">
        <f aca="false">SUM(AS294,AS295,AS296,AS297,AS298,AS299)</f>
        <v>1122.882</v>
      </c>
      <c r="AT300" s="39" t="n">
        <f aca="false">SUM(AT294,AT295,AT296,AT297,AT298,AT299)</f>
        <v>1297.251</v>
      </c>
      <c r="AU300" s="39" t="n">
        <f aca="false">SUM(AU294,AU295,AU296,AU297,AU298,AU299)</f>
        <v>1066.646</v>
      </c>
      <c r="AV300" s="39" t="n">
        <f aca="false">SUM(AV294,AV295,AV296,AV297,AV298,AV299)</f>
        <v>885.195</v>
      </c>
      <c r="AW300" s="39" t="n">
        <f aca="false">SUM(AW294,AW295,AW296,AW297,AW298,AW299)</f>
        <v>885.195</v>
      </c>
      <c r="AX300" s="39" t="n">
        <f aca="false">SUM(AX294,AX295,AX296,AX297,AX298,AX299)</f>
        <v>1093.35</v>
      </c>
      <c r="AY300" s="39" t="n">
        <f aca="false">SUM(AY294,AY295,AY296,AY297,AY298,AY299)</f>
        <v>1508.472</v>
      </c>
      <c r="AZ300" s="39" t="n">
        <f aca="false">SUM(AZ294,AZ295,AZ296,AZ297,AZ298,AZ299)</f>
        <v>1270.36</v>
      </c>
      <c r="BA300" s="39" t="n">
        <f aca="false">SUM(BA294,BA295,BA296,BA297,BA298,BA299)</f>
        <v>1934.085</v>
      </c>
      <c r="BB300" s="39" t="n">
        <f aca="false">SUM(BB294,BB295,BB296,BB297,BB298,BB299)</f>
        <v>1934.085</v>
      </c>
      <c r="BC300" s="39" t="n">
        <f aca="false">SUM(BC294,BC295,BC296,BC297,BC298,BC299)</f>
        <v>2269.039</v>
      </c>
      <c r="BD300" s="39" t="n">
        <f aca="false">SUM(BD294,BD295,BD296,BD297,BD298,BD299)</f>
        <v>2177.928</v>
      </c>
      <c r="BE300" s="39" t="n">
        <f aca="false">SUM(BE294,BE295,BE296,BE297,BE298,BE299)</f>
        <v>2623.49</v>
      </c>
      <c r="BF300" s="39" t="n">
        <f aca="false">SUM(BF294,BF295,BF296,BF297,BF298,BF299)</f>
        <v>1432.89</v>
      </c>
      <c r="BG300" s="39" t="n">
        <f aca="false">SUM(BG294,BG295,BG296,BG297,BG298,BG299)</f>
        <v>1432.89</v>
      </c>
      <c r="BH300" s="39" t="n">
        <f aca="false">SUM(BH294,BH295,BH296,BH297,BH298,BH299)</f>
        <v>1599.541</v>
      </c>
      <c r="BI300" s="39" t="n">
        <f aca="false">SUM(BI294,BI295,BI296,BI297,BI298,BI299)</f>
        <v>1553.737</v>
      </c>
      <c r="BJ300" s="39" t="n">
        <f aca="false">SUM(BJ294,BJ295,BJ296,BJ297,BJ298,BJ299)</f>
        <v>1388.261</v>
      </c>
      <c r="BK300" s="39" t="n">
        <f aca="false">SUM(BK294,BK295,BK296,BK297,BK298,BK299)</f>
        <v>1230.062</v>
      </c>
      <c r="BL300" s="39" t="n">
        <f aca="false">SUM(BL294,BL295,BL296,BL297,BL298,BL299)</f>
        <v>1230.062</v>
      </c>
      <c r="BM300" s="39" t="n">
        <f aca="false">SUM(BM294,BM295,BM296,BM297,BM298,BM299)</f>
        <v>1168.839</v>
      </c>
      <c r="BN300" s="39" t="n">
        <f aca="false">SUM(BN294,BN295,BN296,BN297,BN298,BN299)</f>
        <v>1357.602</v>
      </c>
      <c r="BO300" s="39" t="n">
        <f aca="false">SUM(BO294,BO295,BO296,BO297,BO298,BO299)</f>
        <v>1273.895</v>
      </c>
      <c r="BP300" s="39" t="n">
        <f aca="false">SUM(BP294,BP295,BP296,BP297,BP298,BP299)</f>
        <v>1828.519</v>
      </c>
      <c r="BQ300" s="39" t="n">
        <f aca="false">SUM(BQ294,BQ295,BQ296,BQ297,BQ298,BQ299)</f>
        <v>1828.519</v>
      </c>
      <c r="BR300" s="39" t="n">
        <f aca="false">SUM(BR294,BR295,BR296,BR297,BR298,BR299)</f>
        <v>1984.889</v>
      </c>
      <c r="BS300" s="39" t="n">
        <f aca="false">SUM(BS294,BS295,BS296,BS297,BS298,BS299)</f>
        <v>2007.767</v>
      </c>
      <c r="BT300" s="39" t="n">
        <f aca="false">SUM(BT294,BT295,BT296,BT297,BT298,BT299)</f>
        <v>1941.146</v>
      </c>
      <c r="BU300" s="39" t="n">
        <f aca="false">SUM(BU294,BU295,BU296,BU297,BU298,BU299)</f>
        <v>1644.502</v>
      </c>
      <c r="BV300" s="39" t="n">
        <f aca="false">SUM(BV294,BV295,BV296,BV297,BV298,BV299)</f>
        <v>1644.502</v>
      </c>
      <c r="BW300" s="39" t="n">
        <f aca="false">SUM(BW294,BW295,BW296,BW297,BW298,BW299)</f>
        <v>1507.819</v>
      </c>
      <c r="BX300" s="39" t="n">
        <f aca="false">SUM(BX294,BX295,BX296,BX297,BX298,BX299)</f>
        <v>2075.985</v>
      </c>
      <c r="BY300" s="39" t="n">
        <f aca="false">SUM(BY294,BY295,BY296,BY297,BY298,BY299)</f>
        <v>1816.902</v>
      </c>
      <c r="BZ300" s="39" t="n">
        <f aca="false">SUM(BZ294,BZ295,BZ296,BZ297,BZ298,BZ299)</f>
        <v>2686.959</v>
      </c>
      <c r="CA300" s="39" t="n">
        <f aca="false">SUM(CA294,CA295,CA296,CA297,CA298,CA299)</f>
        <v>2686.959</v>
      </c>
      <c r="CB300" s="39" t="n">
        <f aca="false">SUM(CB294,CB295,CB296,CB297,CB298,CB299)</f>
        <v>2704.666</v>
      </c>
      <c r="CC300" s="54"/>
      <c r="CD300" s="54"/>
      <c r="CE300" s="54"/>
      <c r="CF300" s="22" t="n">
        <f aca="false">SUM(CF294,CF295,CF296,CF297,CF298,CF299)</f>
        <v>2639.79224684668</v>
      </c>
      <c r="CG300" s="22" t="n">
        <f aca="false">SUM(CG294,CG295,CG296,CG297,CG298,CG299)</f>
        <v>2384.64772268424</v>
      </c>
      <c r="CH300" s="22" t="n">
        <f aca="false">SUM(CH294,CH295,CH296,CH297,CH298,CH299)</f>
        <v>2548.29625535856</v>
      </c>
      <c r="CI300" s="22" t="n">
        <f aca="false">SUM(CI294,CI295,CI296,CI297,CI298,CI299)</f>
        <v>2724.94905575637</v>
      </c>
      <c r="CJ300" s="22" t="n">
        <f aca="false">SUM(CJ294,CJ295,CJ296,CJ297,CJ298,CJ299)</f>
        <v>2907.29127346116</v>
      </c>
      <c r="CK300" s="23"/>
    </row>
    <row r="301" customFormat="false" ht="15" hidden="false" customHeight="true" outlineLevel="0" collapsed="false">
      <c r="B301" s="29" t="s">
        <v>599</v>
      </c>
      <c r="C301" s="34" t="n">
        <v>794.454</v>
      </c>
      <c r="D301" s="34" t="n">
        <v>877.074</v>
      </c>
      <c r="E301" s="34" t="n">
        <v>942.736</v>
      </c>
      <c r="F301" s="34" t="n">
        <v>786.058</v>
      </c>
      <c r="G301" s="34" t="n">
        <v>785.444</v>
      </c>
      <c r="H301" s="34" t="n">
        <v>1284.79</v>
      </c>
      <c r="I301" s="34" t="n">
        <v>1059.166</v>
      </c>
      <c r="J301" s="34" t="n">
        <v>1309.012</v>
      </c>
      <c r="K301" s="34" t="n">
        <v>1308.829</v>
      </c>
      <c r="L301" s="34" t="n">
        <v>1308.656</v>
      </c>
      <c r="M301" s="34" t="n">
        <v>1300.979</v>
      </c>
      <c r="N301" s="34" t="n">
        <v>1300.979</v>
      </c>
      <c r="O301" s="34" t="n">
        <v>1300.799</v>
      </c>
      <c r="P301" s="34" t="n">
        <v>1300.615</v>
      </c>
      <c r="Q301" s="34" t="n">
        <v>1300.523</v>
      </c>
      <c r="R301" s="34" t="n">
        <v>1300.477</v>
      </c>
      <c r="S301" s="34" t="n">
        <v>1300.477</v>
      </c>
      <c r="T301" s="34" t="n">
        <v>1300</v>
      </c>
      <c r="U301" s="34" t="n">
        <v>1300</v>
      </c>
      <c r="V301" s="34" t="n">
        <v>1300</v>
      </c>
      <c r="W301" s="34" t="n">
        <v>1300</v>
      </c>
      <c r="X301" s="34" t="n">
        <v>1300</v>
      </c>
      <c r="Y301" s="34" t="n">
        <v>1050</v>
      </c>
      <c r="Z301" s="34" t="n">
        <v>1050</v>
      </c>
      <c r="AA301" s="34" t="n">
        <v>1050</v>
      </c>
      <c r="AB301" s="34" t="n">
        <v>1050</v>
      </c>
      <c r="AC301" s="34" t="n">
        <v>1050</v>
      </c>
      <c r="AD301" s="34" t="n">
        <v>1044.628</v>
      </c>
      <c r="AE301" s="34" t="n">
        <v>1044.834</v>
      </c>
      <c r="AF301" s="34" t="n">
        <v>745.189</v>
      </c>
      <c r="AG301" s="34" t="n">
        <v>2770.624</v>
      </c>
      <c r="AH301" s="34" t="n">
        <v>2770.624</v>
      </c>
      <c r="AI301" s="34" t="n">
        <v>2533.672</v>
      </c>
      <c r="AJ301" s="34" t="n">
        <v>2534.222</v>
      </c>
      <c r="AK301" s="34" t="n">
        <v>2534.76</v>
      </c>
      <c r="AL301" s="34" t="n">
        <v>2535.309</v>
      </c>
      <c r="AM301" s="34" t="n">
        <v>2535.309</v>
      </c>
      <c r="AN301" s="34" t="n">
        <v>2535.859</v>
      </c>
      <c r="AO301" s="34" t="n">
        <v>2536.408</v>
      </c>
      <c r="AP301" s="34" t="n">
        <v>2536.958</v>
      </c>
      <c r="AQ301" s="34" t="n">
        <v>2537.507</v>
      </c>
      <c r="AR301" s="34" t="n">
        <v>2537.507</v>
      </c>
      <c r="AS301" s="34" t="n">
        <v>2538.057</v>
      </c>
      <c r="AT301" s="34" t="n">
        <v>2538.606</v>
      </c>
      <c r="AU301" s="34" t="n">
        <v>2539.156</v>
      </c>
      <c r="AV301" s="34" t="n">
        <v>2539.705</v>
      </c>
      <c r="AW301" s="34" t="n">
        <v>2539.705</v>
      </c>
      <c r="AX301" s="34" t="n">
        <v>2290.447</v>
      </c>
      <c r="AY301" s="34" t="n">
        <v>2290.932</v>
      </c>
      <c r="AZ301" s="34" t="n">
        <v>2291.418</v>
      </c>
      <c r="BA301" s="34" t="n">
        <v>1642.833</v>
      </c>
      <c r="BB301" s="34" t="n">
        <v>1642.833</v>
      </c>
      <c r="BC301" s="34" t="n">
        <v>1343.222</v>
      </c>
      <c r="BD301" s="34" t="n">
        <v>1343.367</v>
      </c>
      <c r="BE301" s="34" t="n">
        <v>1343.513</v>
      </c>
      <c r="BF301" s="34" t="n">
        <v>2483.932</v>
      </c>
      <c r="BG301" s="34" t="n">
        <v>2483.932</v>
      </c>
      <c r="BH301" s="34" t="n">
        <v>2484.602</v>
      </c>
      <c r="BI301" s="34" t="n">
        <v>2485.277</v>
      </c>
      <c r="BJ301" s="34" t="n">
        <v>2485.952</v>
      </c>
      <c r="BK301" s="34" t="n">
        <v>2486.405</v>
      </c>
      <c r="BL301" s="34" t="n">
        <v>2486.405</v>
      </c>
      <c r="BM301" s="34" t="n">
        <v>2477.093</v>
      </c>
      <c r="BN301" s="34" t="n">
        <v>2474.287</v>
      </c>
      <c r="BO301" s="34" t="n">
        <v>2474.908</v>
      </c>
      <c r="BP301" s="34" t="n">
        <v>2025.934</v>
      </c>
      <c r="BQ301" s="34" t="n">
        <v>2025.934</v>
      </c>
      <c r="BR301" s="34" t="n">
        <v>2026.448</v>
      </c>
      <c r="BS301" s="34" t="n">
        <v>2026.963</v>
      </c>
      <c r="BT301" s="34" t="n">
        <v>2027.477</v>
      </c>
      <c r="BU301" s="34" t="n">
        <v>2424.999</v>
      </c>
      <c r="BV301" s="34" t="n">
        <v>2424.999</v>
      </c>
      <c r="BW301" s="34" t="n">
        <v>2425.757</v>
      </c>
      <c r="BX301" s="34" t="n">
        <v>2426.529</v>
      </c>
      <c r="BY301" s="34" t="n">
        <v>2427.301</v>
      </c>
      <c r="BZ301" s="34" t="n">
        <v>1429.086</v>
      </c>
      <c r="CA301" s="34" t="n">
        <v>1429.086</v>
      </c>
      <c r="CB301" s="34" t="n">
        <v>1429.554</v>
      </c>
      <c r="CC301" s="43"/>
      <c r="CD301" s="43"/>
      <c r="CE301" s="43"/>
      <c r="CF301" s="35" t="n">
        <f aca="false">CF357-CF299</f>
        <v>4828.073</v>
      </c>
      <c r="CG301" s="35" t="n">
        <f aca="false">CG357-CG299</f>
        <v>5544.74562758183</v>
      </c>
      <c r="CH301" s="35" t="n">
        <f aca="false">CH357-CH299</f>
        <v>6184.22924075182</v>
      </c>
      <c r="CI301" s="35" t="n">
        <f aca="false">CI357-CI299</f>
        <v>6863.2770579386</v>
      </c>
      <c r="CJ301" s="35" t="n">
        <f aca="false">CJ357-CJ299</f>
        <v>7484.21921439141</v>
      </c>
      <c r="CK301" s="23"/>
    </row>
    <row r="302" customFormat="false" ht="15" hidden="false" customHeight="true" outlineLevel="0" collapsed="false">
      <c r="B302" s="29" t="s">
        <v>517</v>
      </c>
      <c r="C302" s="34" t="n">
        <v>125.007</v>
      </c>
      <c r="D302" s="34" t="n">
        <v>122.63</v>
      </c>
      <c r="E302" s="34" t="n">
        <v>124.184</v>
      </c>
      <c r="F302" s="34" t="n">
        <v>149.032</v>
      </c>
      <c r="G302" s="34" t="n">
        <v>150.56</v>
      </c>
      <c r="H302" s="34" t="n">
        <v>196.321</v>
      </c>
      <c r="I302" s="34" t="n">
        <v>204.581</v>
      </c>
      <c r="J302" s="34" t="n">
        <v>206.856</v>
      </c>
      <c r="K302" s="34" t="n">
        <v>206.782</v>
      </c>
      <c r="L302" s="34" t="n">
        <v>209.455</v>
      </c>
      <c r="M302" s="34" t="n">
        <v>210.483</v>
      </c>
      <c r="N302" s="34" t="n">
        <v>210.483</v>
      </c>
      <c r="O302" s="34" t="n">
        <v>214.221</v>
      </c>
      <c r="P302" s="34" t="n">
        <v>210.187</v>
      </c>
      <c r="Q302" s="34" t="n">
        <v>209.915</v>
      </c>
      <c r="R302" s="34" t="n">
        <v>246.044</v>
      </c>
      <c r="S302" s="34" t="n">
        <v>246.044</v>
      </c>
      <c r="T302" s="34" t="n">
        <v>242.459</v>
      </c>
      <c r="U302" s="34" t="n">
        <v>233.597</v>
      </c>
      <c r="V302" s="34" t="n">
        <v>232.232</v>
      </c>
      <c r="W302" s="34" t="n">
        <v>226.938</v>
      </c>
      <c r="X302" s="34" t="n">
        <v>226.938</v>
      </c>
      <c r="Y302" s="34" t="n">
        <v>148.793</v>
      </c>
      <c r="Z302" s="34" t="n">
        <v>227.465</v>
      </c>
      <c r="AA302" s="34" t="n">
        <v>240.714</v>
      </c>
      <c r="AB302" s="34" t="n">
        <v>259.475</v>
      </c>
      <c r="AC302" s="34" t="n">
        <v>259.475</v>
      </c>
      <c r="AD302" s="34" t="n">
        <v>255.38</v>
      </c>
      <c r="AE302" s="34" t="n">
        <v>265.091</v>
      </c>
      <c r="AF302" s="34" t="n">
        <v>267.065</v>
      </c>
      <c r="AG302" s="34" t="n">
        <v>469.328</v>
      </c>
      <c r="AH302" s="34" t="n">
        <v>469.328</v>
      </c>
      <c r="AI302" s="34" t="n">
        <v>521.774</v>
      </c>
      <c r="AJ302" s="34" t="n">
        <v>539.043</v>
      </c>
      <c r="AK302" s="34" t="n">
        <v>376.665</v>
      </c>
      <c r="AL302" s="34" t="n">
        <v>352.581</v>
      </c>
      <c r="AM302" s="34" t="n">
        <v>352.581</v>
      </c>
      <c r="AN302" s="34" t="n">
        <v>424.344</v>
      </c>
      <c r="AO302" s="34" t="n">
        <v>435.461</v>
      </c>
      <c r="AP302" s="34" t="n">
        <v>439.011</v>
      </c>
      <c r="AQ302" s="34" t="n">
        <v>438.179</v>
      </c>
      <c r="AR302" s="34" t="n">
        <v>438.179</v>
      </c>
      <c r="AS302" s="34" t="n">
        <v>436.755</v>
      </c>
      <c r="AT302" s="34" t="n">
        <v>443.857</v>
      </c>
      <c r="AU302" s="34" t="n">
        <v>423.677</v>
      </c>
      <c r="AV302" s="34" t="n">
        <v>388.579</v>
      </c>
      <c r="AW302" s="34" t="n">
        <v>388.579</v>
      </c>
      <c r="AX302" s="34" t="n">
        <v>385.149</v>
      </c>
      <c r="AY302" s="34" t="n">
        <v>376.414</v>
      </c>
      <c r="AZ302" s="34" t="n">
        <v>389.553</v>
      </c>
      <c r="BA302" s="34" t="n">
        <v>386.647</v>
      </c>
      <c r="BB302" s="34" t="n">
        <v>386.647</v>
      </c>
      <c r="BC302" s="34" t="n">
        <v>395.599</v>
      </c>
      <c r="BD302" s="34" t="n">
        <v>405.871</v>
      </c>
      <c r="BE302" s="34" t="n">
        <v>430.695</v>
      </c>
      <c r="BF302" s="34" t="n">
        <v>473.777</v>
      </c>
      <c r="BG302" s="34" t="n">
        <v>473.777</v>
      </c>
      <c r="BH302" s="34" t="n">
        <v>487.755</v>
      </c>
      <c r="BI302" s="34" t="n">
        <v>493.379</v>
      </c>
      <c r="BJ302" s="34" t="n">
        <v>496.778</v>
      </c>
      <c r="BK302" s="34" t="n">
        <v>498.356</v>
      </c>
      <c r="BL302" s="34" t="n">
        <v>498.356</v>
      </c>
      <c r="BM302" s="34" t="n">
        <v>499.935</v>
      </c>
      <c r="BN302" s="34" t="n">
        <v>497.198</v>
      </c>
      <c r="BO302" s="34" t="n">
        <v>481.177</v>
      </c>
      <c r="BP302" s="34" t="n">
        <v>475.512</v>
      </c>
      <c r="BQ302" s="34" t="n">
        <v>475.512</v>
      </c>
      <c r="BR302" s="34" t="n">
        <v>474.461</v>
      </c>
      <c r="BS302" s="34" t="n">
        <v>476.929</v>
      </c>
      <c r="BT302" s="34" t="n">
        <v>466.816</v>
      </c>
      <c r="BU302" s="34" t="n">
        <v>471.74</v>
      </c>
      <c r="BV302" s="34" t="n">
        <v>471.74</v>
      </c>
      <c r="BW302" s="34" t="n">
        <v>484.443</v>
      </c>
      <c r="BX302" s="34" t="n">
        <v>495.341</v>
      </c>
      <c r="BY302" s="34" t="n">
        <v>507.608</v>
      </c>
      <c r="BZ302" s="34" t="n">
        <v>537.919</v>
      </c>
      <c r="CA302" s="34" t="n">
        <v>537.919</v>
      </c>
      <c r="CB302" s="34" t="n">
        <v>548.906</v>
      </c>
      <c r="CC302" s="43"/>
      <c r="CD302" s="43"/>
      <c r="CE302" s="43"/>
      <c r="CF302" s="35" t="n">
        <f aca="false">CA302+CF233+$CF$346*IF(CF63*COLUMN()=COLUMN($CF$63),1,0)</f>
        <v>942.594254109589</v>
      </c>
      <c r="CG302" s="35" t="n">
        <f aca="false">CF302+CG233+$CF$346*IF(CG63*COLUMN()=COLUMN($CF$63),1,0)</f>
        <v>916.803754109589</v>
      </c>
      <c r="CH302" s="35" t="n">
        <f aca="false">CG302+CH233+$CF$346*IF(CH63*COLUMN()=COLUMN($CF$63),1,0)</f>
        <v>888.575754109589</v>
      </c>
      <c r="CI302" s="35" t="n">
        <f aca="false">CH302+CI233+$CF$346*IF(CI63*COLUMN()=COLUMN($CF$63),1,0)</f>
        <v>861.416170776256</v>
      </c>
      <c r="CJ302" s="35" t="n">
        <f aca="false">CI302+CJ233+$CF$346*IF(CJ63*COLUMN()=COLUMN($CF$63),1,0)</f>
        <v>831.069087442922</v>
      </c>
      <c r="CK302" s="23"/>
    </row>
    <row r="303" customFormat="false" ht="15" hidden="false" customHeight="true" outlineLevel="0" collapsed="false">
      <c r="B303" s="29" t="s">
        <v>600</v>
      </c>
      <c r="AS303" s="34" t="n">
        <v>125.684</v>
      </c>
      <c r="AT303" s="34" t="n">
        <v>130.58</v>
      </c>
      <c r="AU303" s="34" t="n">
        <v>126.994</v>
      </c>
      <c r="AV303" s="34" t="n">
        <v>122.695</v>
      </c>
      <c r="AW303" s="34" t="n">
        <v>122.695</v>
      </c>
      <c r="AX303" s="34" t="n">
        <v>121.727</v>
      </c>
      <c r="AY303" s="34" t="n">
        <v>117.494</v>
      </c>
      <c r="AZ303" s="34" t="n">
        <v>119.071</v>
      </c>
      <c r="BA303" s="34" t="n">
        <v>130.774</v>
      </c>
      <c r="BB303" s="34" t="n">
        <v>130.774</v>
      </c>
      <c r="BC303" s="34" t="n">
        <v>122.291</v>
      </c>
      <c r="BD303" s="34" t="n">
        <v>118.892</v>
      </c>
      <c r="BE303" s="34" t="n">
        <v>131.224</v>
      </c>
      <c r="BF303" s="34" t="n">
        <v>129.064</v>
      </c>
      <c r="BG303" s="34" t="n">
        <v>129.064</v>
      </c>
      <c r="BH303" s="34" t="n">
        <v>134.01</v>
      </c>
      <c r="BI303" s="34" t="n">
        <v>136.52</v>
      </c>
      <c r="BJ303" s="34" t="n">
        <v>139.107</v>
      </c>
      <c r="BK303" s="34" t="n">
        <v>138.278</v>
      </c>
      <c r="BL303" s="34" t="n">
        <v>138.278</v>
      </c>
      <c r="BM303" s="34" t="n">
        <v>141.459</v>
      </c>
      <c r="BN303" s="34" t="n">
        <v>138.936</v>
      </c>
      <c r="BO303" s="34" t="n">
        <v>146.06</v>
      </c>
      <c r="BP303" s="34" t="n">
        <v>146.824</v>
      </c>
      <c r="BQ303" s="34" t="n">
        <v>146.824</v>
      </c>
      <c r="BR303" s="34" t="n">
        <v>149.345</v>
      </c>
      <c r="BS303" s="34" t="n">
        <v>141.973</v>
      </c>
      <c r="BT303" s="34" t="n">
        <v>165.664</v>
      </c>
      <c r="BU303" s="34" t="n">
        <v>178.738</v>
      </c>
      <c r="BV303" s="34" t="n">
        <v>178.738</v>
      </c>
      <c r="BW303" s="34" t="n">
        <v>197.818</v>
      </c>
      <c r="BX303" s="34" t="n">
        <v>207.06</v>
      </c>
      <c r="BY303" s="34" t="n">
        <v>207.266</v>
      </c>
      <c r="BZ303" s="34" t="n">
        <v>221.379</v>
      </c>
      <c r="CA303" s="34" t="n">
        <v>221.379</v>
      </c>
      <c r="CB303" s="34" t="n">
        <v>224.159</v>
      </c>
      <c r="CC303" s="43"/>
      <c r="CD303" s="43"/>
      <c r="CE303" s="43"/>
      <c r="CF303" s="35" t="n">
        <f aca="false">CA303+$CF$347*IF(CF63*COLUMN()=COLUMN($CF$63),1,0)</f>
        <v>281.048</v>
      </c>
      <c r="CG303" s="35" t="n">
        <f aca="false">CF303+$CF$347*IF(CG63*COLUMN()=COLUMN($CF$63),1,0)</f>
        <v>281.048</v>
      </c>
      <c r="CH303" s="35" t="n">
        <f aca="false">CG303+$CF$347*IF(CH63*COLUMN()=COLUMN($CF$63),1,0)</f>
        <v>281.048</v>
      </c>
      <c r="CI303" s="35" t="n">
        <f aca="false">CH303+$CF$347*IF(CI63*COLUMN()=COLUMN($CF$63),1,0)</f>
        <v>281.048</v>
      </c>
      <c r="CJ303" s="35" t="n">
        <f aca="false">CI303+$CF$347*IF(CJ63*COLUMN()=COLUMN($CF$63),1,0)</f>
        <v>281.048</v>
      </c>
      <c r="CK303" s="23"/>
    </row>
    <row r="304" customFormat="false" ht="15" hidden="false" customHeight="true" outlineLevel="0" collapsed="false">
      <c r="B304" s="29" t="s">
        <v>601</v>
      </c>
      <c r="E304" s="34" t="n">
        <v>120.308</v>
      </c>
      <c r="F304" s="34" t="n">
        <v>100.987</v>
      </c>
      <c r="G304" s="34" t="n">
        <v>116.021</v>
      </c>
      <c r="H304" s="34" t="n">
        <v>134.041</v>
      </c>
      <c r="I304" s="34" t="n">
        <v>87.133</v>
      </c>
      <c r="J304" s="34" t="n">
        <v>97.841</v>
      </c>
      <c r="K304" s="34" t="n">
        <v>66.448</v>
      </c>
      <c r="L304" s="34" t="n">
        <v>72.19</v>
      </c>
      <c r="M304" s="34" t="n">
        <v>76.422</v>
      </c>
      <c r="N304" s="34" t="n">
        <v>76.422</v>
      </c>
      <c r="O304" s="34" t="n">
        <v>84.451</v>
      </c>
      <c r="P304" s="34" t="n">
        <v>92.063</v>
      </c>
      <c r="Q304" s="34" t="n">
        <v>93.168</v>
      </c>
      <c r="R304" s="34" t="n">
        <v>92.942</v>
      </c>
      <c r="S304" s="34" t="n">
        <v>92.942</v>
      </c>
      <c r="T304" s="34" t="n">
        <v>105.826</v>
      </c>
      <c r="U304" s="34" t="n">
        <v>108.876</v>
      </c>
      <c r="V304" s="34" t="n">
        <v>107.217</v>
      </c>
      <c r="W304" s="34" t="n">
        <v>112.009</v>
      </c>
      <c r="X304" s="34" t="n">
        <v>112.009</v>
      </c>
      <c r="Y304" s="34" t="n">
        <v>116.161</v>
      </c>
      <c r="Z304" s="34" t="n">
        <v>117.818</v>
      </c>
      <c r="AA304" s="34" t="n">
        <v>131.586</v>
      </c>
      <c r="AB304" s="34" t="n">
        <v>136.704</v>
      </c>
      <c r="AC304" s="34" t="n">
        <v>136.704</v>
      </c>
      <c r="AD304" s="34" t="n">
        <v>168.876</v>
      </c>
      <c r="AE304" s="34" t="n">
        <v>130.192</v>
      </c>
      <c r="AF304" s="34" t="n">
        <v>136.684</v>
      </c>
      <c r="AG304" s="34" t="n">
        <v>170.46</v>
      </c>
      <c r="AH304" s="34" t="n">
        <v>170.46</v>
      </c>
      <c r="AI304" s="34" t="n">
        <v>185.484</v>
      </c>
      <c r="AJ304" s="34" t="n">
        <v>198.132</v>
      </c>
      <c r="AK304" s="34" t="n">
        <v>196.854</v>
      </c>
      <c r="AL304" s="34" t="n">
        <v>277.941</v>
      </c>
      <c r="AM304" s="34" t="n">
        <v>277.941</v>
      </c>
      <c r="AN304" s="34" t="n">
        <v>301.939</v>
      </c>
      <c r="AO304" s="34" t="n">
        <v>291.284</v>
      </c>
      <c r="AP304" s="34" t="n">
        <v>283.861</v>
      </c>
      <c r="AQ304" s="34" t="n">
        <v>330.522</v>
      </c>
      <c r="AR304" s="34" t="n">
        <v>330.522</v>
      </c>
      <c r="AS304" s="34" t="n">
        <v>387.816</v>
      </c>
      <c r="AT304" s="34" t="n">
        <v>372.073</v>
      </c>
      <c r="AU304" s="34" t="n">
        <v>421.198</v>
      </c>
      <c r="AV304" s="34" t="n">
        <v>498.509</v>
      </c>
      <c r="AW304" s="34" t="n">
        <v>498.509</v>
      </c>
      <c r="AX304" s="34" t="n">
        <v>547.904</v>
      </c>
      <c r="AY304" s="34" t="n">
        <v>563.481</v>
      </c>
      <c r="AZ304" s="34" t="n">
        <v>460.585</v>
      </c>
      <c r="BA304" s="34" t="n">
        <v>454.637</v>
      </c>
      <c r="BB304" s="34" t="n">
        <v>454.637</v>
      </c>
      <c r="BC304" s="34" t="n">
        <v>418.396</v>
      </c>
      <c r="BD304" s="34" t="n">
        <v>408.225</v>
      </c>
      <c r="BE304" s="34" t="n">
        <v>345.778</v>
      </c>
      <c r="BF304" s="34" t="n">
        <v>319.397</v>
      </c>
      <c r="BG304" s="34" t="n">
        <v>319.397</v>
      </c>
      <c r="BH304" s="34" t="n">
        <v>325.492</v>
      </c>
      <c r="BI304" s="34" t="n">
        <v>327.556</v>
      </c>
      <c r="BJ304" s="34" t="n">
        <v>322.647</v>
      </c>
      <c r="BK304" s="34" t="n">
        <v>329.269</v>
      </c>
      <c r="BL304" s="34" t="n">
        <v>329.269</v>
      </c>
      <c r="BM304" s="34" t="n">
        <v>354.72</v>
      </c>
      <c r="BN304" s="34" t="n">
        <v>351.365</v>
      </c>
      <c r="BO304" s="34" t="n">
        <v>368.752</v>
      </c>
      <c r="BP304" s="34" t="n">
        <v>375.656</v>
      </c>
      <c r="BQ304" s="34" t="n">
        <v>375.656</v>
      </c>
      <c r="BR304" s="34" t="n">
        <v>412.141</v>
      </c>
      <c r="BS304" s="34" t="n">
        <v>419.791</v>
      </c>
      <c r="BT304" s="34" t="n">
        <v>417.785</v>
      </c>
      <c r="BU304" s="34" t="n">
        <v>420.781</v>
      </c>
      <c r="BV304" s="34" t="n">
        <v>420.781</v>
      </c>
      <c r="BW304" s="34" t="n">
        <v>466.153</v>
      </c>
      <c r="BX304" s="34" t="n">
        <v>472.619</v>
      </c>
      <c r="BY304" s="34" t="n">
        <v>486.261</v>
      </c>
      <c r="BZ304" s="34" t="n">
        <v>513.91</v>
      </c>
      <c r="CA304" s="34" t="n">
        <v>513.91</v>
      </c>
      <c r="CB304" s="34" t="n">
        <v>540.918</v>
      </c>
      <c r="CC304" s="43"/>
      <c r="CD304" s="43"/>
      <c r="CE304" s="43"/>
      <c r="CF304" s="35" t="n">
        <f aca="false">CA304+$CF$348*IF(CF63*COLUMN()=COLUMN($CF$63),1,0)</f>
        <v>709.159</v>
      </c>
      <c r="CG304" s="35" t="n">
        <f aca="false">CF304+$CF$348*IF(CG63*COLUMN()=COLUMN($CF$63),1,0)</f>
        <v>709.159</v>
      </c>
      <c r="CH304" s="35" t="n">
        <f aca="false">CG304+$CF$348*IF(CH63*COLUMN()=COLUMN($CF$63),1,0)</f>
        <v>709.159</v>
      </c>
      <c r="CI304" s="35" t="n">
        <f aca="false">CH304+$CF$348*IF(CI63*COLUMN()=COLUMN($CF$63),1,0)</f>
        <v>709.159</v>
      </c>
      <c r="CJ304" s="35" t="n">
        <f aca="false">CI304+$CF$348*IF(CJ63*COLUMN()=COLUMN($CF$63),1,0)</f>
        <v>709.159</v>
      </c>
      <c r="CK304" s="23"/>
    </row>
    <row r="305" customFormat="false" ht="15" hidden="false" customHeight="true" outlineLevel="0" collapsed="false">
      <c r="B305" s="20" t="s">
        <v>602</v>
      </c>
      <c r="C305" s="39" t="n">
        <f aca="false">SUM(C300,C301,C302,C303,C304)</f>
        <v>1331.963</v>
      </c>
      <c r="D305" s="39" t="n">
        <f aca="false">SUM(D300,D301,D302,D303,D304)</f>
        <v>1402.742</v>
      </c>
      <c r="E305" s="39" t="n">
        <f aca="false">SUM(E300,E301,E302,E303,E304)</f>
        <v>1554.47</v>
      </c>
      <c r="F305" s="39" t="n">
        <f aca="false">SUM(F300,F301,F302,F303,F304)</f>
        <v>1328.03</v>
      </c>
      <c r="G305" s="39" t="n">
        <f aca="false">SUM(G300,G301,G302,G303,G304)</f>
        <v>1435.707</v>
      </c>
      <c r="H305" s="39" t="n">
        <f aca="false">SUM(H300,H301,H302,H303,H304)</f>
        <v>2049.291</v>
      </c>
      <c r="I305" s="39" t="n">
        <f aca="false">SUM(I300,I301,I302,I303,I304)</f>
        <v>2021.771</v>
      </c>
      <c r="J305" s="39" t="n">
        <f aca="false">SUM(J300,J301,J302,J303,J304)</f>
        <v>1997.82</v>
      </c>
      <c r="K305" s="39" t="n">
        <f aca="false">SUM(K300,K301,K302,K303,K304)</f>
        <v>2137.238</v>
      </c>
      <c r="L305" s="39" t="n">
        <f aca="false">SUM(L300,L301,L302,L303,L304)</f>
        <v>2091.053</v>
      </c>
      <c r="M305" s="39" t="n">
        <f aca="false">SUM(M300,M301,M302,M303,M304)</f>
        <v>2144.14</v>
      </c>
      <c r="N305" s="39" t="n">
        <f aca="false">SUM(N300,N301,N302,N303,N304)</f>
        <v>2144.14</v>
      </c>
      <c r="O305" s="39" t="n">
        <f aca="false">SUM(O300,O301,O302,O303,O304)</f>
        <v>2115.166</v>
      </c>
      <c r="P305" s="39" t="n">
        <f aca="false">SUM(P300,P301,P302,P303,P304)</f>
        <v>2217.426</v>
      </c>
      <c r="Q305" s="39" t="n">
        <f aca="false">SUM(Q300,Q301,Q302,Q303,Q304)</f>
        <v>2156.408</v>
      </c>
      <c r="R305" s="39" t="n">
        <f aca="false">SUM(R300,R301,R302,R303,R304)</f>
        <v>2269.594</v>
      </c>
      <c r="S305" s="39" t="n">
        <f aca="false">SUM(S300,S301,S302,S303,S304)</f>
        <v>2269.594</v>
      </c>
      <c r="T305" s="39" t="n">
        <f aca="false">SUM(T300,T301,T302,T303,T304)</f>
        <v>2284.296</v>
      </c>
      <c r="U305" s="39" t="n">
        <f aca="false">SUM(U300,U301,U302,U303,U304)</f>
        <v>2494.237</v>
      </c>
      <c r="V305" s="39" t="n">
        <f aca="false">SUM(V300,V301,V302,V303,V304)</f>
        <v>2305.674</v>
      </c>
      <c r="W305" s="39" t="n">
        <f aca="false">SUM(W300,W301,W302,W303,W304)</f>
        <v>2260.005</v>
      </c>
      <c r="X305" s="39" t="n">
        <f aca="false">SUM(X300,X301,X302,X303,X304)</f>
        <v>2260.005</v>
      </c>
      <c r="Y305" s="39" t="n">
        <f aca="false">SUM(Y300,Y301,Y302,Y303,Y304)</f>
        <v>2274.28</v>
      </c>
      <c r="Z305" s="39" t="n">
        <f aca="false">SUM(Z300,Z301,Z302,Z303,Z304)</f>
        <v>2526.264</v>
      </c>
      <c r="AA305" s="39" t="n">
        <f aca="false">SUM(AA300,AA301,AA302,AA303,AA304)</f>
        <v>2281.104</v>
      </c>
      <c r="AB305" s="39" t="n">
        <f aca="false">SUM(AB300,AB301,AB302,AB303,AB304)</f>
        <v>2261.734</v>
      </c>
      <c r="AC305" s="39" t="n">
        <f aca="false">SUM(AC300,AC301,AC302,AC303,AC304)</f>
        <v>2261.734</v>
      </c>
      <c r="AD305" s="39" t="n">
        <f aca="false">SUM(AD300,AD301,AD302,AD303,AD304)</f>
        <v>2179.743</v>
      </c>
      <c r="AE305" s="39" t="n">
        <f aca="false">SUM(AE300,AE301,AE302,AE303,AE304)</f>
        <v>2188.874</v>
      </c>
      <c r="AF305" s="39" t="n">
        <f aca="false">SUM(AF300,AF301,AF302,AF303,AF304)</f>
        <v>2092.906</v>
      </c>
      <c r="AG305" s="39" t="n">
        <f aca="false">SUM(AG300,AG301,AG302,AG303,AG304)</f>
        <v>4541.264</v>
      </c>
      <c r="AH305" s="39" t="n">
        <f aca="false">SUM(AH300,AH301,AH302,AH303,AH304)</f>
        <v>4541.264</v>
      </c>
      <c r="AI305" s="39" t="n">
        <f aca="false">SUM(AI300,AI301,AI302,AI303,AI304)</f>
        <v>4285.725</v>
      </c>
      <c r="AJ305" s="39" t="n">
        <f aca="false">SUM(AJ300,AJ301,AJ302,AJ303,AJ304)</f>
        <v>4425.768</v>
      </c>
      <c r="AK305" s="39" t="n">
        <f aca="false">SUM(AK300,AK301,AK302,AK303,AK304)</f>
        <v>4025.852</v>
      </c>
      <c r="AL305" s="39" t="n">
        <f aca="false">SUM(AL300,AL301,AL302,AL303,AL304)</f>
        <v>3941.688</v>
      </c>
      <c r="AM305" s="39" t="n">
        <f aca="false">SUM(AM300,AM301,AM302,AM303,AM304)</f>
        <v>3941.688</v>
      </c>
      <c r="AN305" s="39" t="n">
        <f aca="false">SUM(AN300,AN301,AN302,AN303,AN304)</f>
        <v>3941.236</v>
      </c>
      <c r="AO305" s="39" t="n">
        <f aca="false">SUM(AO300,AO301,AO302,AO303,AO304)</f>
        <v>4377.839</v>
      </c>
      <c r="AP305" s="39" t="n">
        <f aca="false">SUM(AP300,AP301,AP302,AP303,AP304)</f>
        <v>4254.181</v>
      </c>
      <c r="AQ305" s="39" t="n">
        <f aca="false">SUM(AQ300,AQ301,AQ302,AQ303,AQ304)</f>
        <v>4433.941</v>
      </c>
      <c r="AR305" s="39" t="n">
        <f aca="false">SUM(AR300,AR301,AR302,AR303,AR304)</f>
        <v>4433.941</v>
      </c>
      <c r="AS305" s="39" t="n">
        <f aca="false">SUM(AS300,AS301,AS302,AS303,AS304)</f>
        <v>4611.194</v>
      </c>
      <c r="AT305" s="39" t="n">
        <f aca="false">SUM(AT300,AT301,AT302,AT303,AT304)</f>
        <v>4782.367</v>
      </c>
      <c r="AU305" s="39" t="n">
        <f aca="false">SUM(AU300,AU301,AU302,AU303,AU304)</f>
        <v>4577.671</v>
      </c>
      <c r="AV305" s="39" t="n">
        <f aca="false">SUM(AV300,AV301,AV302,AV303,AV304)</f>
        <v>4434.683</v>
      </c>
      <c r="AW305" s="39" t="n">
        <f aca="false">SUM(AW300,AW301,AW302,AW303,AW304)</f>
        <v>4434.683</v>
      </c>
      <c r="AX305" s="39" t="n">
        <f aca="false">SUM(AX300,AX301,AX302,AX303,AX304)</f>
        <v>4438.577</v>
      </c>
      <c r="AY305" s="39" t="n">
        <f aca="false">SUM(AY300,AY301,AY302,AY303,AY304)</f>
        <v>4856.793</v>
      </c>
      <c r="AZ305" s="39" t="n">
        <f aca="false">SUM(AZ300,AZ301,AZ302,AZ303,AZ304)</f>
        <v>4530.987</v>
      </c>
      <c r="BA305" s="39" t="n">
        <f aca="false">SUM(BA300,BA301,BA302,BA303,BA304)</f>
        <v>4548.976</v>
      </c>
      <c r="BB305" s="39" t="n">
        <f aca="false">SUM(BB300,BB301,BB302,BB303,BB304)</f>
        <v>4548.976</v>
      </c>
      <c r="BC305" s="39" t="n">
        <f aca="false">SUM(BC300,BC301,BC302,BC303,BC304)</f>
        <v>4548.547</v>
      </c>
      <c r="BD305" s="39" t="n">
        <f aca="false">SUM(BD300,BD301,BD302,BD303,BD304)</f>
        <v>4454.283</v>
      </c>
      <c r="BE305" s="39" t="n">
        <f aca="false">SUM(BE300,BE301,BE302,BE303,BE304)</f>
        <v>4874.7</v>
      </c>
      <c r="BF305" s="39" t="n">
        <f aca="false">SUM(BF300,BF301,BF302,BF303,BF304)</f>
        <v>4839.06</v>
      </c>
      <c r="BG305" s="39" t="n">
        <f aca="false">SUM(BG300,BG301,BG302,BG303,BG304)</f>
        <v>4839.06</v>
      </c>
      <c r="BH305" s="39" t="n">
        <f aca="false">SUM(BH300,BH301,BH302,BH303,BH304)</f>
        <v>5031.4</v>
      </c>
      <c r="BI305" s="39" t="n">
        <f aca="false">SUM(BI300,BI301,BI302,BI303,BI304)</f>
        <v>4996.469</v>
      </c>
      <c r="BJ305" s="39" t="n">
        <f aca="false">SUM(BJ300,BJ301,BJ302,BJ303,BJ304)</f>
        <v>4832.745</v>
      </c>
      <c r="BK305" s="39" t="n">
        <f aca="false">SUM(BK300,BK301,BK302,BK303,BK304)</f>
        <v>4682.37</v>
      </c>
      <c r="BL305" s="39" t="n">
        <f aca="false">SUM(BL300,BL301,BL302,BL303,BL304)</f>
        <v>4682.37</v>
      </c>
      <c r="BM305" s="39" t="n">
        <f aca="false">SUM(BM300,BM301,BM302,BM303,BM304)</f>
        <v>4642.046</v>
      </c>
      <c r="BN305" s="39" t="n">
        <f aca="false">SUM(BN300,BN301,BN302,BN303,BN304)</f>
        <v>4819.388</v>
      </c>
      <c r="BO305" s="39" t="n">
        <f aca="false">SUM(BO300,BO301,BO302,BO303,BO304)</f>
        <v>4744.792</v>
      </c>
      <c r="BP305" s="39" t="n">
        <f aca="false">SUM(BP300,BP301,BP302,BP303,BP304)</f>
        <v>4852.445</v>
      </c>
      <c r="BQ305" s="39" t="n">
        <f aca="false">SUM(BQ300,BQ301,BQ302,BQ303,BQ304)</f>
        <v>4852.445</v>
      </c>
      <c r="BR305" s="39" t="n">
        <f aca="false">SUM(BR300,BR301,BR302,BR303,BR304)</f>
        <v>5047.284</v>
      </c>
      <c r="BS305" s="39" t="n">
        <f aca="false">SUM(BS300,BS301,BS302,BS303,BS304)</f>
        <v>5073.423</v>
      </c>
      <c r="BT305" s="39" t="n">
        <f aca="false">SUM(BT300,BT301,BT302,BT303,BT304)</f>
        <v>5018.888</v>
      </c>
      <c r="BU305" s="39" t="n">
        <f aca="false">SUM(BU300,BU301,BU302,BU303,BU304)</f>
        <v>5140.76</v>
      </c>
      <c r="BV305" s="39" t="n">
        <f aca="false">SUM(BV300,BV301,BV302,BV303,BV304)</f>
        <v>5140.76</v>
      </c>
      <c r="BW305" s="39" t="n">
        <f aca="false">SUM(BW300,BW301,BW302,BW303,BW304)</f>
        <v>5081.99</v>
      </c>
      <c r="BX305" s="39" t="n">
        <f aca="false">SUM(BX300,BX301,BX302,BX303,BX304)</f>
        <v>5677.534</v>
      </c>
      <c r="BY305" s="39" t="n">
        <f aca="false">SUM(BY300,BY301,BY302,BY303,BY304)</f>
        <v>5445.338</v>
      </c>
      <c r="BZ305" s="39" t="n">
        <f aca="false">SUM(BZ300,BZ301,BZ302,BZ303,BZ304)</f>
        <v>5389.253</v>
      </c>
      <c r="CA305" s="39" t="n">
        <f aca="false">SUM(CA300,CA301,CA302,CA303,CA304)</f>
        <v>5389.253</v>
      </c>
      <c r="CB305" s="39" t="n">
        <f aca="false">SUM(CB300,CB301,CB302,CB303,CB304)</f>
        <v>5448.203</v>
      </c>
      <c r="CC305" s="54"/>
      <c r="CD305" s="54"/>
      <c r="CE305" s="54"/>
      <c r="CF305" s="22" t="n">
        <f aca="false">SUM(CF300,CF301,CF302,CF303,CF304)</f>
        <v>9400.66650095627</v>
      </c>
      <c r="CG305" s="22" t="n">
        <f aca="false">SUM(CG300,CG301,CG302,CG303,CG304)</f>
        <v>9836.40410437566</v>
      </c>
      <c r="CH305" s="22" t="n">
        <f aca="false">SUM(CH300,CH301,CH302,CH303,CH304)</f>
        <v>10611.30825022</v>
      </c>
      <c r="CI305" s="22" t="n">
        <f aca="false">SUM(CI300,CI301,CI302,CI303,CI304)</f>
        <v>11439.8492844712</v>
      </c>
      <c r="CJ305" s="22" t="n">
        <f aca="false">SUM(CJ300,CJ301,CJ302,CJ303,CJ304)</f>
        <v>12212.7865752955</v>
      </c>
      <c r="CK305" s="23"/>
    </row>
    <row r="306" customFormat="false" ht="15" hidden="false" customHeight="true" outlineLevel="0" collapsed="false">
      <c r="B306" s="67" t="s">
        <v>603</v>
      </c>
    </row>
    <row r="307" customFormat="false" ht="15" hidden="false" customHeight="true" outlineLevel="0" collapsed="false">
      <c r="B307" s="29" t="s">
        <v>604</v>
      </c>
      <c r="C307" s="34" t="n">
        <v>122.912</v>
      </c>
      <c r="D307" s="34" t="n">
        <v>177.72</v>
      </c>
      <c r="E307" s="34" t="n">
        <v>189.59</v>
      </c>
      <c r="F307" s="34" t="n">
        <v>201.579</v>
      </c>
      <c r="G307" s="34" t="n">
        <v>216.674</v>
      </c>
      <c r="H307" s="34" t="n">
        <v>231.133</v>
      </c>
      <c r="I307" s="34" t="n">
        <v>255.274</v>
      </c>
      <c r="J307" s="34" t="n">
        <v>264.422</v>
      </c>
      <c r="K307" s="34" t="n">
        <v>271.438</v>
      </c>
      <c r="L307" s="34" t="n">
        <v>281.956</v>
      </c>
      <c r="M307" s="34" t="n">
        <v>296.154</v>
      </c>
      <c r="N307" s="34" t="n">
        <v>296.154</v>
      </c>
      <c r="O307" s="34" t="n">
        <v>320.068</v>
      </c>
      <c r="P307" s="34" t="n">
        <v>335.375</v>
      </c>
      <c r="Q307" s="34" t="n">
        <v>351.824</v>
      </c>
      <c r="R307" s="34" t="n">
        <v>386.692</v>
      </c>
      <c r="S307" s="34" t="n">
        <v>386.692</v>
      </c>
      <c r="T307" s="34" t="n">
        <v>418.749</v>
      </c>
      <c r="U307" s="34" t="n">
        <v>443.088</v>
      </c>
      <c r="V307" s="34" t="n">
        <v>465.378</v>
      </c>
      <c r="W307" s="34" t="n">
        <v>486.431</v>
      </c>
      <c r="X307" s="34" t="n">
        <v>486.431</v>
      </c>
      <c r="Y307" s="34" t="n">
        <v>535.589</v>
      </c>
      <c r="Z307" s="34" t="n">
        <v>560.381</v>
      </c>
      <c r="AA307" s="34" t="n">
        <v>584.369</v>
      </c>
      <c r="AB307" s="34" t="n">
        <v>614.942</v>
      </c>
      <c r="AC307" s="34" t="n">
        <v>614.942</v>
      </c>
      <c r="AD307" s="34" t="n">
        <v>625.313</v>
      </c>
      <c r="AE307" s="34" t="n">
        <v>647.06</v>
      </c>
      <c r="AF307" s="34" t="n">
        <v>676.945</v>
      </c>
      <c r="AG307" s="34" t="n">
        <v>708.992</v>
      </c>
      <c r="AH307" s="34" t="n">
        <v>708.992</v>
      </c>
      <c r="AI307" s="34" t="n">
        <v>754.878</v>
      </c>
      <c r="AJ307" s="34" t="n">
        <v>792.754</v>
      </c>
      <c r="AK307" s="34" t="n">
        <v>830.874</v>
      </c>
      <c r="AL307" s="34" t="n">
        <v>863.675</v>
      </c>
      <c r="AM307" s="34" t="n">
        <v>863.675</v>
      </c>
      <c r="AN307" s="34" t="n">
        <v>937.359</v>
      </c>
      <c r="AO307" s="34" t="n">
        <v>971.071</v>
      </c>
      <c r="AP307" s="34" t="n">
        <v>1023.502</v>
      </c>
      <c r="AQ307" s="34" t="n">
        <v>1068.256</v>
      </c>
      <c r="AR307" s="34" t="n">
        <v>1068.256</v>
      </c>
      <c r="AS307" s="34" t="n">
        <v>1146.566</v>
      </c>
      <c r="AT307" s="34" t="n">
        <v>1200.855</v>
      </c>
      <c r="AU307" s="34" t="n">
        <v>1246.231</v>
      </c>
      <c r="AV307" s="34" t="n">
        <v>1274.21</v>
      </c>
      <c r="AW307" s="34" t="n">
        <v>1274.21</v>
      </c>
      <c r="AX307" s="34" t="n">
        <v>1375.388</v>
      </c>
      <c r="AY307" s="34" t="n">
        <v>1439.342</v>
      </c>
      <c r="AZ307" s="34" t="n">
        <v>1477.68</v>
      </c>
      <c r="BA307" s="34" t="n">
        <v>1516.202</v>
      </c>
      <c r="BB307" s="34" t="n">
        <v>1516.202</v>
      </c>
      <c r="BC307" s="34" t="n">
        <v>1625.594</v>
      </c>
      <c r="BD307" s="34" t="n">
        <v>1686.293</v>
      </c>
      <c r="BE307" s="34" t="n">
        <v>1729.525</v>
      </c>
      <c r="BF307" s="34" t="n">
        <v>1771.917</v>
      </c>
      <c r="BG307" s="34" t="n">
        <v>1771.917</v>
      </c>
      <c r="BH307" s="34" t="n">
        <v>1878.837</v>
      </c>
      <c r="BI307" s="34" t="n">
        <v>1933.145</v>
      </c>
      <c r="BJ307" s="34" t="n">
        <v>1981.61</v>
      </c>
      <c r="BK307" s="34" t="n">
        <v>2031.542</v>
      </c>
      <c r="BL307" s="34" t="n">
        <v>2031.542</v>
      </c>
      <c r="BM307" s="34" t="n">
        <v>2121.475</v>
      </c>
      <c r="BN307" s="34" t="n">
        <v>2179.951</v>
      </c>
      <c r="BO307" s="34" t="n">
        <v>2246.329</v>
      </c>
      <c r="BP307" s="34" t="n">
        <v>2305.301</v>
      </c>
      <c r="BQ307" s="34" t="n">
        <v>2305.301</v>
      </c>
      <c r="BR307" s="34" t="n">
        <v>2415.723</v>
      </c>
      <c r="BS307" s="34" t="n">
        <v>2474.313</v>
      </c>
      <c r="BT307" s="34" t="n">
        <v>2525.876</v>
      </c>
      <c r="BU307" s="34" t="n">
        <v>2593.479</v>
      </c>
      <c r="BV307" s="34" t="n">
        <v>2593.479</v>
      </c>
      <c r="BW307" s="34" t="n">
        <v>2694.077</v>
      </c>
      <c r="BX307" s="34" t="n">
        <v>2743.927</v>
      </c>
      <c r="BY307" s="34" t="n">
        <v>2807.548</v>
      </c>
      <c r="BZ307" s="34" t="n">
        <v>2851.129</v>
      </c>
      <c r="CA307" s="34" t="n">
        <v>2851.129</v>
      </c>
      <c r="CB307" s="34" t="n">
        <v>2931.963</v>
      </c>
      <c r="CC307" s="43"/>
      <c r="CD307" s="43"/>
      <c r="CE307" s="43"/>
      <c r="CF307" s="35" t="n">
        <f aca="false">CA307+CF232+CF246+$CF$336*IF(CF63*COLUMN()=COLUMN($CF$63),1,0)</f>
        <v>5513.90480987951</v>
      </c>
      <c r="CG307" s="35" t="n">
        <f aca="false">CF307+CG232+CG246+$CF$336*IF(CG63*COLUMN()=COLUMN($CF$63),1,0)</f>
        <v>5677.59680637525</v>
      </c>
      <c r="CH307" s="35" t="n">
        <f aca="false">CG307+CH232+CH246+$CF$336*IF(CH63*COLUMN()=COLUMN($CF$63),1,0)</f>
        <v>5853.8894799257</v>
      </c>
      <c r="CI307" s="35" t="n">
        <f aca="false">CH307+CI232+CI246+$CF$336*IF(CI63*COLUMN()=COLUMN($CF$63),1,0)</f>
        <v>6043.74563782206</v>
      </c>
      <c r="CJ307" s="35" t="n">
        <f aca="false">CI307+CJ232+CJ246+$CF$336*IF(CJ63*COLUMN()=COLUMN($CF$63),1,0)</f>
        <v>6247.363711658</v>
      </c>
      <c r="CK307" s="23" t="s">
        <v>605</v>
      </c>
    </row>
    <row r="308" customFormat="false" ht="15" hidden="false" customHeight="true" outlineLevel="0" collapsed="false">
      <c r="B308" s="29" t="s">
        <v>606</v>
      </c>
      <c r="C308" s="34" t="n">
        <v>2304.28</v>
      </c>
      <c r="D308" s="34" t="n">
        <v>2533.459</v>
      </c>
      <c r="E308" s="34" t="n">
        <v>2784.302</v>
      </c>
      <c r="F308" s="34" t="n">
        <v>2938.419</v>
      </c>
      <c r="G308" s="34" t="n">
        <v>3080.079</v>
      </c>
      <c r="H308" s="34" t="n">
        <v>3255.256</v>
      </c>
      <c r="I308" s="34" t="n">
        <v>3482.073</v>
      </c>
      <c r="J308" s="34" t="n">
        <v>3558.806</v>
      </c>
      <c r="K308" s="34" t="n">
        <v>3557.088</v>
      </c>
      <c r="L308" s="34" t="n">
        <v>3631.793</v>
      </c>
      <c r="M308" s="34" t="n">
        <v>3717.771</v>
      </c>
      <c r="N308" s="34" t="n">
        <v>3717.771</v>
      </c>
      <c r="O308" s="34" t="n">
        <v>3795.525</v>
      </c>
      <c r="P308" s="34" t="n">
        <v>3787.067</v>
      </c>
      <c r="Q308" s="34" t="n">
        <v>3871.675</v>
      </c>
      <c r="R308" s="34" t="n">
        <v>3998.893</v>
      </c>
      <c r="S308" s="34" t="n">
        <v>3998.893</v>
      </c>
      <c r="T308" s="34" t="n">
        <v>4109.001</v>
      </c>
      <c r="U308" s="34" t="n">
        <v>4027.464</v>
      </c>
      <c r="V308" s="34" t="n">
        <v>4122.354</v>
      </c>
      <c r="W308" s="34" t="n">
        <v>4227.62</v>
      </c>
      <c r="X308" s="34" t="n">
        <v>4227.62</v>
      </c>
      <c r="Y308" s="34" t="n">
        <v>4327.807</v>
      </c>
      <c r="Z308" s="34" t="n">
        <v>4557.245</v>
      </c>
      <c r="AA308" s="34" t="n">
        <v>4674.975</v>
      </c>
      <c r="AB308" s="34" t="n">
        <v>4805.867</v>
      </c>
      <c r="AC308" s="34" t="n">
        <v>4805.867</v>
      </c>
      <c r="AD308" s="34" t="n">
        <v>4970.647</v>
      </c>
      <c r="AE308" s="34" t="n">
        <v>4968.437</v>
      </c>
      <c r="AF308" s="34" t="n">
        <v>5086.584</v>
      </c>
      <c r="AG308" s="34" t="n">
        <v>5170.83</v>
      </c>
      <c r="AH308" s="34" t="n">
        <v>5170.83</v>
      </c>
      <c r="AI308" s="34" t="n">
        <v>5388.04</v>
      </c>
      <c r="AJ308" s="34" t="n">
        <v>5349.539</v>
      </c>
      <c r="AK308" s="34" t="n">
        <v>5651.656</v>
      </c>
      <c r="AL308" s="34" t="n">
        <v>5837.827</v>
      </c>
      <c r="AM308" s="34" t="n">
        <v>5837.827</v>
      </c>
      <c r="AN308" s="34" t="n">
        <v>6239.535</v>
      </c>
      <c r="AO308" s="34" t="n">
        <v>6261.756</v>
      </c>
      <c r="AP308" s="34" t="n">
        <v>6465.121</v>
      </c>
      <c r="AQ308" s="34" t="n">
        <v>6691.236</v>
      </c>
      <c r="AR308" s="34" t="n">
        <v>6691.236</v>
      </c>
      <c r="AS308" s="34" t="n">
        <v>6939.24</v>
      </c>
      <c r="AT308" s="34" t="n">
        <v>6917.31</v>
      </c>
      <c r="AU308" s="34" t="n">
        <v>7151.838</v>
      </c>
      <c r="AV308" s="34" t="n">
        <v>7296.509</v>
      </c>
      <c r="AW308" s="34" t="n">
        <v>7296.509</v>
      </c>
      <c r="AX308" s="34" t="n">
        <v>7596.514</v>
      </c>
      <c r="AY308" s="34" t="n">
        <v>7509.544</v>
      </c>
      <c r="AZ308" s="34" t="n">
        <v>7688.425</v>
      </c>
      <c r="BA308" s="34" t="n">
        <v>7877.015</v>
      </c>
      <c r="BB308" s="34" t="n">
        <v>7877.015</v>
      </c>
      <c r="BC308" s="34" t="n">
        <v>8109.368</v>
      </c>
      <c r="BD308" s="34" t="n">
        <v>8305.076</v>
      </c>
      <c r="BE308" s="34" t="n">
        <v>8522.327</v>
      </c>
      <c r="BF308" s="34" t="n">
        <v>8719.163</v>
      </c>
      <c r="BG308" s="34" t="n">
        <v>8719.163</v>
      </c>
      <c r="BH308" s="34" t="n">
        <v>8953.391</v>
      </c>
      <c r="BI308" s="34" t="n">
        <v>9160.346</v>
      </c>
      <c r="BJ308" s="34" t="n">
        <v>9368.678</v>
      </c>
      <c r="BK308" s="34" t="n">
        <v>9597.315</v>
      </c>
      <c r="BL308" s="34" t="n">
        <v>9597.315</v>
      </c>
      <c r="BM308" s="34" t="n">
        <v>9844.128</v>
      </c>
      <c r="BN308" s="34" t="n">
        <v>10081.267</v>
      </c>
      <c r="BO308" s="34" t="n">
        <v>10341.248</v>
      </c>
      <c r="BP308" s="34" t="n">
        <v>10617.955</v>
      </c>
      <c r="BQ308" s="34" t="n">
        <v>10617.955</v>
      </c>
      <c r="BR308" s="34" t="n">
        <v>10912.033</v>
      </c>
      <c r="BS308" s="34" t="n">
        <v>11202.524</v>
      </c>
      <c r="BT308" s="34" t="n">
        <v>11507.826</v>
      </c>
      <c r="BU308" s="34" t="n">
        <v>11798.451</v>
      </c>
      <c r="BV308" s="34" t="n">
        <v>11798.451</v>
      </c>
      <c r="BW308" s="34" t="n">
        <v>12107.25</v>
      </c>
      <c r="BX308" s="34" t="n">
        <v>12421.85</v>
      </c>
      <c r="BY308" s="34" t="n">
        <v>12743.71</v>
      </c>
      <c r="BZ308" s="34" t="n">
        <v>13073.999</v>
      </c>
      <c r="CA308" s="34" t="n">
        <v>13073.999</v>
      </c>
      <c r="CB308" s="34" t="n">
        <v>13416.89</v>
      </c>
      <c r="CC308" s="43"/>
      <c r="CD308" s="43"/>
      <c r="CE308" s="43"/>
      <c r="CF308" s="35" t="n">
        <f aca="false">CA308+CF154+CF244</f>
        <v>14306.0342625877</v>
      </c>
      <c r="CG308" s="35" t="n">
        <f aca="false">CF308+CG154+CG244</f>
        <v>15760.5948673959</v>
      </c>
      <c r="CH308" s="35" t="n">
        <f aca="false">CG308+CH154+CH244</f>
        <v>17491.6685934495</v>
      </c>
      <c r="CI308" s="35" t="n">
        <f aca="false">CH308+CI154+CI244</f>
        <v>19542.3844738152</v>
      </c>
      <c r="CJ308" s="35" t="n">
        <f aca="false">CI308+CJ154+CJ244</f>
        <v>21825.3159236393</v>
      </c>
      <c r="CK308" s="23"/>
    </row>
    <row r="309" customFormat="false" ht="15" hidden="false" customHeight="true" outlineLevel="0" collapsed="false">
      <c r="B309" s="29" t="s">
        <v>607</v>
      </c>
      <c r="C309" s="34" t="n">
        <v>-381.613</v>
      </c>
      <c r="D309" s="34" t="n">
        <v>-580.562</v>
      </c>
      <c r="E309" s="34" t="n">
        <v>-772.041</v>
      </c>
      <c r="F309" s="34" t="n">
        <v>-797.888</v>
      </c>
      <c r="G309" s="34" t="n">
        <v>-798.857</v>
      </c>
      <c r="H309" s="34" t="n">
        <v>-1242.547</v>
      </c>
      <c r="I309" s="34" t="n">
        <v>-1634.875</v>
      </c>
      <c r="J309" s="34" t="n">
        <v>-1712.828</v>
      </c>
      <c r="K309" s="34" t="n">
        <v>-1794.05</v>
      </c>
      <c r="L309" s="34" t="n">
        <v>-1821.951</v>
      </c>
      <c r="M309" s="34" t="n">
        <v>-1850.556</v>
      </c>
      <c r="N309" s="34" t="n">
        <v>-1850.556</v>
      </c>
      <c r="O309" s="34" t="n">
        <v>-1957.533</v>
      </c>
      <c r="P309" s="34" t="n">
        <v>-2014.756</v>
      </c>
      <c r="Q309" s="34" t="n">
        <v>-2015.018</v>
      </c>
      <c r="R309" s="34" t="n">
        <v>-2221.155</v>
      </c>
      <c r="S309" s="34" t="n">
        <v>-2221.155</v>
      </c>
      <c r="T309" s="34" t="n">
        <v>-2282.594</v>
      </c>
      <c r="U309" s="34" t="n">
        <v>-2284.728</v>
      </c>
      <c r="V309" s="34" t="n">
        <v>-2535.803</v>
      </c>
      <c r="W309" s="34" t="n">
        <v>-2773.125</v>
      </c>
      <c r="X309" s="34" t="n">
        <v>-2773.125</v>
      </c>
      <c r="Y309" s="34" t="n">
        <v>-2994.723</v>
      </c>
      <c r="Z309" s="34" t="n">
        <v>-3175.418</v>
      </c>
      <c r="AA309" s="34" t="n">
        <v>-3275.564</v>
      </c>
      <c r="AB309" s="34" t="n">
        <v>-3553.276</v>
      </c>
      <c r="AC309" s="34" t="n">
        <v>-3553.276</v>
      </c>
      <c r="AD309" s="34" t="n">
        <v>-3572.146</v>
      </c>
      <c r="AE309" s="34" t="n">
        <v>-3572.506</v>
      </c>
      <c r="AF309" s="34" t="n">
        <v>-3573.33</v>
      </c>
      <c r="AG309" s="34" t="n">
        <v>-3574</v>
      </c>
      <c r="AH309" s="34" t="n">
        <v>-3574</v>
      </c>
      <c r="AI309" s="34" t="n">
        <v>-3609.04</v>
      </c>
      <c r="AJ309" s="34" t="n">
        <v>-3609.697</v>
      </c>
      <c r="AK309" s="34" t="n">
        <v>-3611.05</v>
      </c>
      <c r="AL309" s="34" t="n">
        <v>-3701.319</v>
      </c>
      <c r="AM309" s="34" t="n">
        <v>-3701.319</v>
      </c>
      <c r="AN309" s="34" t="n">
        <v>-3840.787</v>
      </c>
      <c r="AO309" s="34" t="n">
        <v>-4209.448</v>
      </c>
      <c r="AP309" s="34" t="n">
        <v>-4309.543</v>
      </c>
      <c r="AQ309" s="34" t="n">
        <v>-4717.619</v>
      </c>
      <c r="AR309" s="34" t="n">
        <v>-4717.619</v>
      </c>
      <c r="AS309" s="34" t="n">
        <v>-4974.449</v>
      </c>
      <c r="AT309" s="34" t="n">
        <v>-4976.36</v>
      </c>
      <c r="AU309" s="34" t="n">
        <v>-4978.946</v>
      </c>
      <c r="AV309" s="34" t="n">
        <v>-5182.137</v>
      </c>
      <c r="AW309" s="34" t="n">
        <v>-5182.137</v>
      </c>
      <c r="AX309" s="34" t="n">
        <v>-5251.148</v>
      </c>
      <c r="AY309" s="34" t="n">
        <v>-5253.519</v>
      </c>
      <c r="AZ309" s="34" t="n">
        <v>-5336.627</v>
      </c>
      <c r="BA309" s="34" t="n">
        <v>-5736.258</v>
      </c>
      <c r="BB309" s="34" t="n">
        <v>-5736.258</v>
      </c>
      <c r="BC309" s="34" t="n">
        <v>-6395.493</v>
      </c>
      <c r="BD309" s="34" t="n">
        <v>-6400.984</v>
      </c>
      <c r="BE309" s="34" t="n">
        <v>-6970.099</v>
      </c>
      <c r="BF309" s="34" t="n">
        <v>-7290.801</v>
      </c>
      <c r="BG309" s="34" t="n">
        <v>-7290.801</v>
      </c>
      <c r="BH309" s="34" t="n">
        <v>-7690.726</v>
      </c>
      <c r="BI309" s="34" t="n">
        <v>-7747.049</v>
      </c>
      <c r="BJ309" s="34" t="n">
        <v>-7793.136</v>
      </c>
      <c r="BK309" s="34" t="n">
        <v>-7842.649</v>
      </c>
      <c r="BL309" s="34" t="n">
        <v>-7842.649</v>
      </c>
      <c r="BM309" s="34" t="n">
        <v>-7975.137</v>
      </c>
      <c r="BN309" s="34" t="n">
        <v>-8360.076</v>
      </c>
      <c r="BO309" s="34" t="n">
        <v>-8439.817</v>
      </c>
      <c r="BP309" s="34" t="n">
        <v>-8698.085</v>
      </c>
      <c r="BQ309" s="34" t="n">
        <v>-8698.085</v>
      </c>
      <c r="BR309" s="34" t="n">
        <v>-9389.711</v>
      </c>
      <c r="BS309" s="34" t="n">
        <v>-9452.256</v>
      </c>
      <c r="BT309" s="34" t="n">
        <v>-9498.504</v>
      </c>
      <c r="BU309" s="34" t="n">
        <v>-9791.838</v>
      </c>
      <c r="BV309" s="34" t="n">
        <v>-9791.838</v>
      </c>
      <c r="BW309" s="34" t="n">
        <v>-10125.516</v>
      </c>
      <c r="BX309" s="34" t="n">
        <v>-10778.156</v>
      </c>
      <c r="BY309" s="34" t="n">
        <v>-10839.028</v>
      </c>
      <c r="BZ309" s="34" t="n">
        <v>-10869.708</v>
      </c>
      <c r="CA309" s="34" t="n">
        <v>-10869.708</v>
      </c>
      <c r="CB309" s="34" t="n">
        <v>-11235.046</v>
      </c>
      <c r="CC309" s="43"/>
      <c r="CD309" s="43"/>
      <c r="CE309" s="43"/>
      <c r="CF309" s="35" t="n">
        <f aca="false">CA309+CF245</f>
        <v>-11414.418</v>
      </c>
      <c r="CG309" s="35" t="n">
        <f aca="false">CF309+CG245</f>
        <v>-13579.8445229782</v>
      </c>
      <c r="CH309" s="35" t="n">
        <f aca="false">CG309+CH245</f>
        <v>-15573.6324589084</v>
      </c>
      <c r="CI309" s="35" t="n">
        <f aca="false">CH309+CI245</f>
        <v>-17853.3751614084</v>
      </c>
      <c r="CJ309" s="35" t="n">
        <f aca="false">CI309+CJ245</f>
        <v>-20259.4261813017</v>
      </c>
      <c r="CK309" s="23" t="s">
        <v>608</v>
      </c>
    </row>
    <row r="310" customFormat="false" ht="15" hidden="false" customHeight="true" outlineLevel="0" collapsed="false">
      <c r="B310" s="29" t="s">
        <v>609</v>
      </c>
      <c r="C310" s="34" t="n">
        <v>47.695</v>
      </c>
      <c r="D310" s="34" t="n">
        <v>37.121</v>
      </c>
      <c r="E310" s="34" t="n">
        <v>52.28</v>
      </c>
      <c r="F310" s="34" t="n">
        <v>25.299</v>
      </c>
      <c r="G310" s="34" t="n">
        <v>36.133</v>
      </c>
      <c r="H310" s="34" t="n">
        <v>58.807</v>
      </c>
      <c r="I310" s="34" t="n">
        <v>36.663</v>
      </c>
      <c r="J310" s="34" t="n">
        <v>44.015</v>
      </c>
      <c r="K310" s="34" t="n">
        <v>46.168</v>
      </c>
      <c r="L310" s="34" t="n">
        <v>38.448</v>
      </c>
      <c r="M310" s="34" t="n">
        <v>38.123</v>
      </c>
      <c r="N310" s="34" t="n">
        <v>38.123</v>
      </c>
      <c r="O310" s="34" t="n">
        <v>37.951</v>
      </c>
      <c r="P310" s="34" t="n">
        <v>40.286</v>
      </c>
      <c r="Q310" s="34" t="n">
        <v>35.552</v>
      </c>
      <c r="R310" s="34" t="n">
        <v>28.428</v>
      </c>
      <c r="S310" s="34" t="n">
        <v>28.428</v>
      </c>
      <c r="T310" s="34" t="n">
        <v>26.818</v>
      </c>
      <c r="U310" s="34" t="n">
        <v>17.51</v>
      </c>
      <c r="V310" s="34" t="n">
        <v>-4.263</v>
      </c>
      <c r="W310" s="34" t="n">
        <v>-8.471</v>
      </c>
      <c r="X310" s="34" t="n">
        <v>-8.471</v>
      </c>
      <c r="Y310" s="34" t="n">
        <v>-20.004</v>
      </c>
      <c r="Z310" s="34" t="n">
        <v>-17.68</v>
      </c>
      <c r="AA310" s="34" t="n">
        <v>-33.674</v>
      </c>
      <c r="AB310" s="34" t="n">
        <v>-24.874</v>
      </c>
      <c r="AC310" s="34" t="n">
        <v>-24.874</v>
      </c>
      <c r="AD310" s="34" t="n">
        <v>-36.412</v>
      </c>
      <c r="AE310" s="34" t="n">
        <v>-17.286</v>
      </c>
      <c r="AF310" s="34" t="n">
        <v>-11.941</v>
      </c>
      <c r="AG310" s="34" t="n">
        <v>-3.029</v>
      </c>
      <c r="AH310" s="34" t="n">
        <v>-3.029</v>
      </c>
      <c r="AI310" s="34" t="n">
        <v>32.003</v>
      </c>
      <c r="AJ310" s="34" t="n">
        <v>20.437</v>
      </c>
      <c r="AK310" s="34" t="n">
        <v>22.517</v>
      </c>
      <c r="AL310" s="34" t="n">
        <v>16.343</v>
      </c>
      <c r="AM310" s="34" t="n">
        <v>16.343</v>
      </c>
      <c r="AN310" s="34" t="n">
        <v>9.861</v>
      </c>
      <c r="AO310" s="34" t="n">
        <v>3.865</v>
      </c>
      <c r="AP310" s="34" t="n">
        <v>0.412</v>
      </c>
      <c r="AQ310" s="34" t="n">
        <v>-39.152</v>
      </c>
      <c r="AR310" s="34" t="n">
        <v>-39.152</v>
      </c>
      <c r="AS310" s="34" t="n">
        <v>-60.651</v>
      </c>
      <c r="AT310" s="34" t="n">
        <v>-36.835</v>
      </c>
      <c r="AU310" s="34" t="n">
        <v>-94.814</v>
      </c>
      <c r="AV310" s="34" t="n">
        <v>-153.38</v>
      </c>
      <c r="AW310" s="34" t="n">
        <v>-153.38</v>
      </c>
      <c r="AX310" s="34" t="n">
        <v>-115.95</v>
      </c>
      <c r="AY310" s="34" t="n">
        <v>-97.407</v>
      </c>
      <c r="AZ310" s="34" t="n">
        <v>-12.968</v>
      </c>
      <c r="BA310" s="34" t="n">
        <v>30.888</v>
      </c>
      <c r="BB310" s="34" t="n">
        <v>30.888</v>
      </c>
      <c r="BC310" s="34" t="n">
        <v>-30.266</v>
      </c>
      <c r="BD310" s="34" t="n">
        <v>-27.258</v>
      </c>
      <c r="BE310" s="34" t="n">
        <v>12.147</v>
      </c>
      <c r="BF310" s="34" t="n">
        <v>107.917</v>
      </c>
      <c r="BG310" s="34" t="n">
        <v>107.917</v>
      </c>
      <c r="BH310" s="34" t="n">
        <v>88.124</v>
      </c>
      <c r="BI310" s="34" t="n">
        <v>84.096</v>
      </c>
      <c r="BJ310" s="34" t="n">
        <v>76.104</v>
      </c>
      <c r="BK310" s="34" t="n">
        <v>77.778</v>
      </c>
      <c r="BL310" s="34" t="n">
        <v>77.778</v>
      </c>
      <c r="BM310" s="34" t="n">
        <v>87.169</v>
      </c>
      <c r="BN310" s="34" t="n">
        <v>93.339</v>
      </c>
      <c r="BO310" s="34" t="n">
        <v>86.323</v>
      </c>
      <c r="BP310" s="34" t="n">
        <v>91.201</v>
      </c>
      <c r="BQ310" s="34" t="n">
        <v>91.201</v>
      </c>
      <c r="BR310" s="34" t="n">
        <v>83.378</v>
      </c>
      <c r="BS310" s="34" t="n">
        <v>68.525</v>
      </c>
      <c r="BT310" s="34" t="n">
        <v>57.05</v>
      </c>
      <c r="BU310" s="34" t="n">
        <v>84.389</v>
      </c>
      <c r="BV310" s="34" t="n">
        <v>84.389</v>
      </c>
      <c r="BW310" s="34" t="n">
        <v>79.889</v>
      </c>
      <c r="BX310" s="34" t="n">
        <v>67.726</v>
      </c>
      <c r="BY310" s="34" t="n">
        <v>76.153</v>
      </c>
      <c r="BZ310" s="34" t="n">
        <v>84.467</v>
      </c>
      <c r="CA310" s="34" t="n">
        <v>84.467</v>
      </c>
      <c r="CB310" s="34" t="n">
        <v>90.725</v>
      </c>
      <c r="CC310" s="43"/>
      <c r="CD310" s="43"/>
      <c r="CE310" s="43"/>
      <c r="CF310" s="35" t="n">
        <f aca="false">CA310</f>
        <v>84.467</v>
      </c>
      <c r="CG310" s="35" t="n">
        <f aca="false">CF310</f>
        <v>84.467</v>
      </c>
      <c r="CH310" s="35" t="n">
        <f aca="false">CG310</f>
        <v>84.467</v>
      </c>
      <c r="CI310" s="35" t="n">
        <f aca="false">CH310</f>
        <v>84.467</v>
      </c>
      <c r="CJ310" s="35" t="n">
        <f aca="false">CI310</f>
        <v>84.467</v>
      </c>
      <c r="CK310" s="23"/>
    </row>
    <row r="311" customFormat="false" ht="15" hidden="false" customHeight="true" outlineLevel="0" collapsed="false">
      <c r="B311" s="55" t="s">
        <v>610</v>
      </c>
      <c r="C311" s="56" t="n">
        <f aca="false">SUM(C307,C308,C309,C310)</f>
        <v>2093.274</v>
      </c>
      <c r="D311" s="56" t="n">
        <f aca="false">SUM(D307,D308,D309,D310)</f>
        <v>2167.738</v>
      </c>
      <c r="E311" s="56" t="n">
        <f aca="false">SUM(E307,E308,E309,E310)</f>
        <v>2254.131</v>
      </c>
      <c r="F311" s="56" t="n">
        <f aca="false">SUM(F307,F308,F309,F310)</f>
        <v>2367.409</v>
      </c>
      <c r="G311" s="56" t="n">
        <f aca="false">SUM(G307,G308,G309,G310)</f>
        <v>2534.029</v>
      </c>
      <c r="H311" s="56" t="n">
        <f aca="false">SUM(H307,H308,H309,H310)</f>
        <v>2302.649</v>
      </c>
      <c r="I311" s="56" t="n">
        <f aca="false">SUM(I307,I308,I309,I310)</f>
        <v>2139.135</v>
      </c>
      <c r="J311" s="56" t="n">
        <f aca="false">SUM(J307,J308,J309,J310)</f>
        <v>2154.415</v>
      </c>
      <c r="K311" s="56" t="n">
        <f aca="false">SUM(K307,K308,K309,K310)</f>
        <v>2080.644</v>
      </c>
      <c r="L311" s="56" t="n">
        <f aca="false">SUM(L307,L308,L309,L310)</f>
        <v>2130.246</v>
      </c>
      <c r="M311" s="56" t="n">
        <f aca="false">SUM(M307,M308,M309,M310)</f>
        <v>2201.492</v>
      </c>
      <c r="N311" s="56" t="n">
        <f aca="false">SUM(N307,N308,N309,N310)</f>
        <v>2201.492</v>
      </c>
      <c r="O311" s="56" t="n">
        <f aca="false">SUM(O307,O308,O309,O310)</f>
        <v>2196.011</v>
      </c>
      <c r="P311" s="56" t="n">
        <f aca="false">SUM(P307,P308,P309,P310)</f>
        <v>2147.972</v>
      </c>
      <c r="Q311" s="56" t="n">
        <f aca="false">SUM(Q307,Q308,Q309,Q310)</f>
        <v>2244.033</v>
      </c>
      <c r="R311" s="56" t="n">
        <f aca="false">SUM(R307,R308,R309,R310)</f>
        <v>2192.858</v>
      </c>
      <c r="S311" s="56" t="n">
        <f aca="false">SUM(S307,S308,S309,S310)</f>
        <v>2192.858</v>
      </c>
      <c r="T311" s="56" t="n">
        <f aca="false">SUM(T307,T308,T309,T310)</f>
        <v>2271.974</v>
      </c>
      <c r="U311" s="56" t="n">
        <f aca="false">SUM(U307,U308,U309,U310)</f>
        <v>2203.334</v>
      </c>
      <c r="V311" s="56" t="n">
        <f aca="false">SUM(V307,V308,V309,V310)</f>
        <v>2047.666</v>
      </c>
      <c r="W311" s="56" t="n">
        <f aca="false">SUM(W307,W308,W309,W310)</f>
        <v>1932.455</v>
      </c>
      <c r="X311" s="56" t="n">
        <f aca="false">SUM(X307,X308,X309,X310)</f>
        <v>1932.455</v>
      </c>
      <c r="Y311" s="56" t="n">
        <f aca="false">SUM(Y307,Y308,Y309,Y310)</f>
        <v>1848.669</v>
      </c>
      <c r="Z311" s="56" t="n">
        <f aca="false">SUM(Z307,Z308,Z309,Z310)</f>
        <v>1924.528</v>
      </c>
      <c r="AA311" s="56" t="n">
        <f aca="false">SUM(AA307,AA308,AA309,AA310)</f>
        <v>1950.106</v>
      </c>
      <c r="AB311" s="56" t="n">
        <f aca="false">SUM(AB307,AB308,AB309,AB310)</f>
        <v>1842.659</v>
      </c>
      <c r="AC311" s="56" t="n">
        <f aca="false">SUM(AC307,AC308,AC309,AC310)</f>
        <v>1842.659</v>
      </c>
      <c r="AD311" s="56" t="n">
        <f aca="false">SUM(AD307,AD308,AD309,AD310)</f>
        <v>1987.402</v>
      </c>
      <c r="AE311" s="56" t="n">
        <f aca="false">SUM(AE307,AE308,AE309,AE310)</f>
        <v>2025.705</v>
      </c>
      <c r="AF311" s="56" t="n">
        <f aca="false">SUM(AF307,AF308,AF309,AF310)</f>
        <v>2178.258</v>
      </c>
      <c r="AG311" s="56" t="n">
        <f aca="false">SUM(AG307,AG308,AG309,AG310)</f>
        <v>2302.793</v>
      </c>
      <c r="AH311" s="56" t="n">
        <f aca="false">SUM(AH307,AH308,AH309,AH310)</f>
        <v>2302.793</v>
      </c>
      <c r="AI311" s="56" t="n">
        <f aca="false">SUM(AI307,AI308,AI309,AI310)</f>
        <v>2565.881</v>
      </c>
      <c r="AJ311" s="56" t="n">
        <f aca="false">SUM(AJ307,AJ308,AJ309,AJ310)</f>
        <v>2553.033</v>
      </c>
      <c r="AK311" s="56" t="n">
        <f aca="false">SUM(AK307,AK308,AK309,AK310)</f>
        <v>2893.997</v>
      </c>
      <c r="AL311" s="56" t="n">
        <f aca="false">SUM(AL307,AL308,AL309,AL310)</f>
        <v>3016.526</v>
      </c>
      <c r="AM311" s="56" t="n">
        <f aca="false">SUM(AM307,AM308,AM309,AM310)</f>
        <v>3016.526</v>
      </c>
      <c r="AN311" s="56" t="n">
        <f aca="false">SUM(AN307,AN308,AN309,AN310)</f>
        <v>3345.968</v>
      </c>
      <c r="AO311" s="56" t="n">
        <f aca="false">SUM(AO307,AO308,AO309,AO310)</f>
        <v>3027.244</v>
      </c>
      <c r="AP311" s="56" t="n">
        <f aca="false">SUM(AP307,AP308,AP309,AP310)</f>
        <v>3179.492</v>
      </c>
      <c r="AQ311" s="56" t="n">
        <f aca="false">SUM(AQ307,AQ308,AQ309,AQ310)</f>
        <v>3002.721</v>
      </c>
      <c r="AR311" s="56" t="n">
        <f aca="false">SUM(AR307,AR308,AR309,AR310)</f>
        <v>3002.721</v>
      </c>
      <c r="AS311" s="56" t="n">
        <f aca="false">SUM(AS307,AS308,AS309,AS310)</f>
        <v>3050.706</v>
      </c>
      <c r="AT311" s="56" t="n">
        <f aca="false">SUM(AT307,AT308,AT309,AT310)</f>
        <v>3104.97</v>
      </c>
      <c r="AU311" s="56" t="n">
        <f aca="false">SUM(AU307,AU308,AU309,AU310)</f>
        <v>3324.309</v>
      </c>
      <c r="AV311" s="56" t="n">
        <f aca="false">SUM(AV307,AV308,AV309,AV310)</f>
        <v>3235.202</v>
      </c>
      <c r="AW311" s="56" t="n">
        <f aca="false">SUM(AW307,AW308,AW309,AW310)</f>
        <v>3235.202</v>
      </c>
      <c r="AX311" s="56" t="n">
        <f aca="false">SUM(AX307,AX308,AX309,AX310)</f>
        <v>3604.804</v>
      </c>
      <c r="AY311" s="56" t="n">
        <f aca="false">SUM(AY307,AY308,AY309,AY310)</f>
        <v>3597.96</v>
      </c>
      <c r="AZ311" s="56" t="n">
        <f aca="false">SUM(AZ307,AZ308,AZ309,AZ310)</f>
        <v>3816.51</v>
      </c>
      <c r="BA311" s="56" t="n">
        <f aca="false">SUM(BA307,BA308,BA309,BA310)</f>
        <v>3687.847</v>
      </c>
      <c r="BB311" s="56" t="n">
        <f aca="false">SUM(BB307,BB308,BB309,BB310)</f>
        <v>3687.847</v>
      </c>
      <c r="BC311" s="56" t="n">
        <f aca="false">SUM(BC307,BC308,BC309,BC310)</f>
        <v>3309.203</v>
      </c>
      <c r="BD311" s="56" t="n">
        <f aca="false">SUM(BD307,BD308,BD309,BD310)</f>
        <v>3563.127</v>
      </c>
      <c r="BE311" s="56" t="n">
        <f aca="false">SUM(BE307,BE308,BE309,BE310)</f>
        <v>3293.9</v>
      </c>
      <c r="BF311" s="56" t="n">
        <f aca="false">SUM(BF307,BF308,BF309,BF310)</f>
        <v>3308.196</v>
      </c>
      <c r="BG311" s="56" t="n">
        <f aca="false">SUM(BG307,BG308,BG309,BG310)</f>
        <v>3308.196</v>
      </c>
      <c r="BH311" s="56" t="n">
        <f aca="false">SUM(BH307,BH308,BH309,BH310)</f>
        <v>3229.626</v>
      </c>
      <c r="BI311" s="56" t="n">
        <f aca="false">SUM(BI307,BI308,BI309,BI310)</f>
        <v>3430.538</v>
      </c>
      <c r="BJ311" s="56" t="n">
        <f aca="false">SUM(BJ307,BJ308,BJ309,BJ310)</f>
        <v>3633.256</v>
      </c>
      <c r="BK311" s="56" t="n">
        <f aca="false">SUM(BK307,BK308,BK309,BK310)</f>
        <v>3863.986</v>
      </c>
      <c r="BL311" s="56" t="n">
        <f aca="false">SUM(BL307,BL308,BL309,BL310)</f>
        <v>3863.986</v>
      </c>
      <c r="BM311" s="56" t="n">
        <f aca="false">SUM(BM307,BM308,BM309,BM310)</f>
        <v>4077.635</v>
      </c>
      <c r="BN311" s="56" t="n">
        <f aca="false">SUM(BN307,BN308,BN309,BN310)</f>
        <v>3994.481</v>
      </c>
      <c r="BO311" s="56" t="n">
        <f aca="false">SUM(BO307,BO308,BO309,BO310)</f>
        <v>4234.083</v>
      </c>
      <c r="BP311" s="56" t="n">
        <f aca="false">SUM(BP307,BP308,BP309,BP310)</f>
        <v>4316.372</v>
      </c>
      <c r="BQ311" s="56" t="n">
        <f aca="false">SUM(BQ307,BQ308,BQ309,BQ310)</f>
        <v>4316.372</v>
      </c>
      <c r="BR311" s="56" t="n">
        <f aca="false">SUM(BR307,BR308,BR309,BR310)</f>
        <v>4021.423</v>
      </c>
      <c r="BS311" s="56" t="n">
        <f aca="false">SUM(BS307,BS308,BS309,BS310)</f>
        <v>4293.106</v>
      </c>
      <c r="BT311" s="56" t="n">
        <f aca="false">SUM(BT307,BT308,BT309,BT310)</f>
        <v>4592.248</v>
      </c>
      <c r="BU311" s="56" t="n">
        <f aca="false">SUM(BU307,BU308,BU309,BU310)</f>
        <v>4684.481</v>
      </c>
      <c r="BV311" s="56" t="n">
        <f aca="false">SUM(BV307,BV308,BV309,BV310)</f>
        <v>4684.481</v>
      </c>
      <c r="BW311" s="56" t="n">
        <f aca="false">SUM(BW307,BW308,BW309,BW310)</f>
        <v>4755.7</v>
      </c>
      <c r="BX311" s="56" t="n">
        <f aca="false">SUM(BX307,BX308,BX309,BX310)</f>
        <v>4455.347</v>
      </c>
      <c r="BY311" s="56" t="n">
        <f aca="false">SUM(BY307,BY308,BY309,BY310)</f>
        <v>4788.383</v>
      </c>
      <c r="BZ311" s="56" t="n">
        <f aca="false">SUM(BZ307,BZ308,BZ309,BZ310)</f>
        <v>5139.887</v>
      </c>
      <c r="CA311" s="56" t="n">
        <f aca="false">SUM(CA307,CA308,CA309,CA310)</f>
        <v>5139.887</v>
      </c>
      <c r="CB311" s="56" t="n">
        <f aca="false">SUM(CB307,CB308,CB309,CB310)</f>
        <v>5204.532</v>
      </c>
      <c r="CC311" s="62"/>
      <c r="CD311" s="62"/>
      <c r="CE311" s="62"/>
      <c r="CF311" s="56" t="n">
        <f aca="false">SUM(CF307,CF308,CF309,CF310)</f>
        <v>8489.98807246719</v>
      </c>
      <c r="CG311" s="56" t="n">
        <f aca="false">SUM(CG307,CG308,CG309,CG310)</f>
        <v>7942.81415079304</v>
      </c>
      <c r="CH311" s="56" t="n">
        <f aca="false">SUM(CH307,CH308,CH309,CH310)</f>
        <v>7856.39261446676</v>
      </c>
      <c r="CI311" s="56" t="n">
        <f aca="false">SUM(CI307,CI308,CI309,CI310)</f>
        <v>7817.22195022883</v>
      </c>
      <c r="CJ311" s="56" t="n">
        <f aca="false">SUM(CJ307,CJ308,CJ309,CJ310)</f>
        <v>7897.72045399553</v>
      </c>
      <c r="CK311" s="23"/>
      <c r="CM311" s="24" t="n">
        <f aca="false">IFERROR((CJ311/CA311)^(1/5)-1,"n/m")</f>
        <v>0.0897067404504455</v>
      </c>
      <c r="CN311" s="24" t="n">
        <f aca="false">IFERROR((CA311/BB311)^(1/5)-1,"n/m")</f>
        <v>0.0686515875144453</v>
      </c>
      <c r="CO311" s="24" t="n">
        <f aca="false">IFERROR((CA311/AC311)^(1/10)-1,"n/m")</f>
        <v>0.108028318003929</v>
      </c>
      <c r="CP311" s="24" t="n">
        <f aca="false">IFERROR((CA311/C311)^(1/20)-1,"n/m")</f>
        <v>0.0459390426992368</v>
      </c>
    </row>
    <row r="312" customFormat="false" ht="15" hidden="false" customHeight="true" outlineLevel="0" collapsed="false">
      <c r="B312" s="55" t="s">
        <v>611</v>
      </c>
      <c r="C312" s="56" t="n">
        <f aca="false">C305+C311</f>
        <v>3425.237</v>
      </c>
      <c r="D312" s="56" t="n">
        <f aca="false">D305+D311</f>
        <v>3570.48</v>
      </c>
      <c r="E312" s="56" t="n">
        <f aca="false">E305+E311</f>
        <v>3808.601</v>
      </c>
      <c r="F312" s="56" t="n">
        <f aca="false">F305+F311</f>
        <v>3695.439</v>
      </c>
      <c r="G312" s="56" t="n">
        <f aca="false">G305+G311</f>
        <v>3969.736</v>
      </c>
      <c r="H312" s="56" t="n">
        <f aca="false">H305+H311</f>
        <v>4351.94</v>
      </c>
      <c r="I312" s="56" t="n">
        <f aca="false">I305+I311</f>
        <v>4160.906</v>
      </c>
      <c r="J312" s="56" t="n">
        <f aca="false">J305+J311</f>
        <v>4152.235</v>
      </c>
      <c r="K312" s="56" t="n">
        <f aca="false">K305+K311</f>
        <v>4217.882</v>
      </c>
      <c r="L312" s="56" t="n">
        <f aca="false">L305+L311</f>
        <v>4221.299</v>
      </c>
      <c r="M312" s="56" t="n">
        <f aca="false">M305+M311</f>
        <v>4345.632</v>
      </c>
      <c r="N312" s="56" t="n">
        <f aca="false">N305+N311</f>
        <v>4345.632</v>
      </c>
      <c r="O312" s="56" t="n">
        <f aca="false">O305+O311</f>
        <v>4311.177</v>
      </c>
      <c r="P312" s="56" t="n">
        <f aca="false">P305+P311</f>
        <v>4365.398</v>
      </c>
      <c r="Q312" s="56" t="n">
        <f aca="false">Q305+Q311</f>
        <v>4400.441</v>
      </c>
      <c r="R312" s="56" t="n">
        <f aca="false">R305+R311</f>
        <v>4462.452</v>
      </c>
      <c r="S312" s="56" t="n">
        <f aca="false">S305+S311</f>
        <v>4462.452</v>
      </c>
      <c r="T312" s="56" t="n">
        <f aca="false">T305+T311</f>
        <v>4556.27</v>
      </c>
      <c r="U312" s="56" t="n">
        <f aca="false">U305+U311</f>
        <v>4697.571</v>
      </c>
      <c r="V312" s="56" t="n">
        <f aca="false">V305+V311</f>
        <v>4353.34</v>
      </c>
      <c r="W312" s="56" t="n">
        <f aca="false">W305+W311</f>
        <v>4192.46</v>
      </c>
      <c r="X312" s="56" t="n">
        <f aca="false">X305+X311</f>
        <v>4192.46</v>
      </c>
      <c r="Y312" s="56" t="n">
        <f aca="false">Y305+Y311</f>
        <v>4122.949</v>
      </c>
      <c r="Z312" s="56" t="n">
        <f aca="false">Z305+Z311</f>
        <v>4450.792</v>
      </c>
      <c r="AA312" s="56" t="n">
        <f aca="false">AA305+AA311</f>
        <v>4231.21</v>
      </c>
      <c r="AB312" s="56" t="n">
        <f aca="false">AB305+AB311</f>
        <v>4104.393</v>
      </c>
      <c r="AC312" s="56" t="n">
        <f aca="false">AC305+AC311</f>
        <v>4104.393</v>
      </c>
      <c r="AD312" s="56" t="n">
        <f aca="false">AD305+AD311</f>
        <v>4167.145</v>
      </c>
      <c r="AE312" s="56" t="n">
        <f aca="false">AE305+AE311</f>
        <v>4214.579</v>
      </c>
      <c r="AF312" s="56" t="n">
        <f aca="false">AF305+AF311</f>
        <v>4271.164</v>
      </c>
      <c r="AG312" s="56" t="n">
        <f aca="false">AG305+AG311</f>
        <v>6844.057</v>
      </c>
      <c r="AH312" s="56" t="n">
        <f aca="false">AH305+AH311</f>
        <v>6844.057</v>
      </c>
      <c r="AI312" s="56" t="n">
        <f aca="false">AI305+AI311</f>
        <v>6851.606</v>
      </c>
      <c r="AJ312" s="56" t="n">
        <f aca="false">AJ305+AJ311</f>
        <v>6978.801</v>
      </c>
      <c r="AK312" s="56" t="n">
        <f aca="false">AK305+AK311</f>
        <v>6919.849</v>
      </c>
      <c r="AL312" s="56" t="n">
        <f aca="false">AL305+AL311</f>
        <v>6958.214</v>
      </c>
      <c r="AM312" s="56" t="n">
        <f aca="false">AM305+AM311</f>
        <v>6958.214</v>
      </c>
      <c r="AN312" s="56" t="n">
        <f aca="false">AN305+AN311</f>
        <v>7287.204</v>
      </c>
      <c r="AO312" s="56" t="n">
        <f aca="false">AO305+AO311</f>
        <v>7405.083</v>
      </c>
      <c r="AP312" s="56" t="n">
        <f aca="false">AP305+AP311</f>
        <v>7433.673</v>
      </c>
      <c r="AQ312" s="56" t="n">
        <f aca="false">AQ305+AQ311</f>
        <v>7436.662</v>
      </c>
      <c r="AR312" s="56" t="n">
        <f aca="false">AR305+AR311</f>
        <v>7436.662</v>
      </c>
      <c r="AS312" s="56" t="n">
        <f aca="false">AS305+AS311</f>
        <v>7661.9</v>
      </c>
      <c r="AT312" s="56" t="n">
        <f aca="false">AT305+AT311</f>
        <v>7887.337</v>
      </c>
      <c r="AU312" s="56" t="n">
        <f aca="false">AU305+AU311</f>
        <v>7901.98</v>
      </c>
      <c r="AV312" s="56" t="n">
        <f aca="false">AV305+AV311</f>
        <v>7669.885</v>
      </c>
      <c r="AW312" s="56" t="n">
        <f aca="false">AW305+AW311</f>
        <v>7669.885</v>
      </c>
      <c r="AX312" s="56" t="n">
        <f aca="false">AX305+AX311</f>
        <v>8043.381</v>
      </c>
      <c r="AY312" s="56" t="n">
        <f aca="false">AY305+AY311</f>
        <v>8454.753</v>
      </c>
      <c r="AZ312" s="56" t="n">
        <f aca="false">AZ305+AZ311</f>
        <v>8347.497</v>
      </c>
      <c r="BA312" s="56" t="n">
        <f aca="false">BA305+BA311</f>
        <v>8236.823</v>
      </c>
      <c r="BB312" s="56" t="n">
        <f aca="false">BB305+BB311</f>
        <v>8236.823</v>
      </c>
      <c r="BC312" s="56" t="n">
        <f aca="false">BC305+BC311</f>
        <v>7857.75</v>
      </c>
      <c r="BD312" s="56" t="n">
        <f aca="false">BD305+BD311</f>
        <v>8017.41</v>
      </c>
      <c r="BE312" s="56" t="n">
        <f aca="false">BE305+BE311</f>
        <v>8168.6</v>
      </c>
      <c r="BF312" s="56" t="n">
        <f aca="false">BF305+BF311</f>
        <v>8147.256</v>
      </c>
      <c r="BG312" s="56" t="n">
        <f aca="false">BG305+BG311</f>
        <v>8147.256</v>
      </c>
      <c r="BH312" s="56" t="n">
        <f aca="false">BH305+BH311</f>
        <v>8261.026</v>
      </c>
      <c r="BI312" s="56" t="n">
        <f aca="false">BI305+BI311</f>
        <v>8427.007</v>
      </c>
      <c r="BJ312" s="56" t="n">
        <f aca="false">BJ305+BJ311</f>
        <v>8466.001</v>
      </c>
      <c r="BK312" s="56" t="n">
        <f aca="false">BK305+BK311</f>
        <v>8546.356</v>
      </c>
      <c r="BL312" s="56" t="n">
        <f aca="false">BL305+BL311</f>
        <v>8546.356</v>
      </c>
      <c r="BM312" s="56" t="n">
        <f aca="false">BM305+BM311</f>
        <v>8719.681</v>
      </c>
      <c r="BN312" s="56" t="n">
        <f aca="false">BN305+BN311</f>
        <v>8813.869</v>
      </c>
      <c r="BO312" s="56" t="n">
        <f aca="false">BO305+BO311</f>
        <v>8978.875</v>
      </c>
      <c r="BP312" s="56" t="n">
        <f aca="false">BP305+BP311</f>
        <v>9168.817</v>
      </c>
      <c r="BQ312" s="56" t="n">
        <f aca="false">BQ305+BQ311</f>
        <v>9168.817</v>
      </c>
      <c r="BR312" s="56" t="n">
        <f aca="false">BR305+BR311</f>
        <v>9068.707</v>
      </c>
      <c r="BS312" s="56" t="n">
        <f aca="false">BS305+BS311</f>
        <v>9366.529</v>
      </c>
      <c r="BT312" s="56" t="n">
        <f aca="false">BT305+BT311</f>
        <v>9611.136</v>
      </c>
      <c r="BU312" s="56" t="n">
        <f aca="false">BU305+BU311</f>
        <v>9825.241</v>
      </c>
      <c r="BV312" s="56" t="n">
        <f aca="false">BV305+BV311</f>
        <v>9825.241</v>
      </c>
      <c r="BW312" s="56" t="n">
        <f aca="false">BW305+BW311</f>
        <v>9837.69</v>
      </c>
      <c r="BX312" s="56" t="n">
        <f aca="false">BX305+BX311</f>
        <v>10132.881</v>
      </c>
      <c r="BY312" s="56" t="n">
        <f aca="false">BY305+BY311</f>
        <v>10233.721</v>
      </c>
      <c r="BZ312" s="56" t="n">
        <f aca="false">BZ305+BZ311</f>
        <v>10529.14</v>
      </c>
      <c r="CA312" s="56" t="n">
        <f aca="false">CA305+CA311</f>
        <v>10529.14</v>
      </c>
      <c r="CB312" s="56" t="n">
        <f aca="false">CB305+CB311</f>
        <v>10652.735</v>
      </c>
      <c r="CC312" s="62"/>
      <c r="CD312" s="62"/>
      <c r="CE312" s="62"/>
      <c r="CF312" s="56" t="n">
        <f aca="false">CF305+CF311</f>
        <v>17890.6545734235</v>
      </c>
      <c r="CG312" s="56" t="n">
        <f aca="false">CG305+CG311</f>
        <v>17779.2182551687</v>
      </c>
      <c r="CH312" s="56" t="n">
        <f aca="false">CH305+CH311</f>
        <v>18467.7008646867</v>
      </c>
      <c r="CI312" s="56" t="n">
        <f aca="false">CI305+CI311</f>
        <v>19257.0712347001</v>
      </c>
      <c r="CJ312" s="56" t="n">
        <f aca="false">CJ305+CJ311</f>
        <v>20110.507029291</v>
      </c>
      <c r="CK312" s="23"/>
    </row>
    <row r="313" customFormat="false" ht="15" hidden="false" customHeight="true" outlineLevel="0" collapsed="false">
      <c r="B313" s="57" t="s">
        <v>612</v>
      </c>
      <c r="C313" s="45" t="n">
        <f aca="false">ROUND(C292-C312,1)</f>
        <v>0</v>
      </c>
      <c r="D313" s="45" t="n">
        <f aca="false">ROUND(D292-D312,1)</f>
        <v>0</v>
      </c>
      <c r="E313" s="45" t="n">
        <f aca="false">ROUND(E292-E312,1)</f>
        <v>0</v>
      </c>
      <c r="F313" s="45" t="n">
        <f aca="false">ROUND(F292-F312,1)</f>
        <v>0</v>
      </c>
      <c r="G313" s="45" t="n">
        <f aca="false">ROUND(G292-G312,1)</f>
        <v>0</v>
      </c>
      <c r="H313" s="45" t="n">
        <f aca="false">ROUND(H292-H312,1)</f>
        <v>0</v>
      </c>
      <c r="I313" s="45" t="n">
        <f aca="false">ROUND(I292-I312,1)</f>
        <v>0</v>
      </c>
      <c r="J313" s="45" t="n">
        <f aca="false">ROUND(J292-J312,1)</f>
        <v>0</v>
      </c>
      <c r="K313" s="45" t="n">
        <f aca="false">ROUND(K292-K312,1)</f>
        <v>0</v>
      </c>
      <c r="L313" s="45" t="n">
        <f aca="false">ROUND(L292-L312,1)</f>
        <v>0</v>
      </c>
      <c r="M313" s="45" t="n">
        <f aca="false">ROUND(M292-M312,1)</f>
        <v>0</v>
      </c>
      <c r="N313" s="45" t="n">
        <f aca="false">ROUND(N292-N312,1)</f>
        <v>0</v>
      </c>
      <c r="O313" s="45" t="n">
        <f aca="false">ROUND(O292-O312,1)</f>
        <v>0</v>
      </c>
      <c r="P313" s="45" t="n">
        <f aca="false">ROUND(P292-P312,1)</f>
        <v>0</v>
      </c>
      <c r="Q313" s="45" t="n">
        <f aca="false">ROUND(Q292-Q312,1)</f>
        <v>0</v>
      </c>
      <c r="R313" s="45" t="n">
        <f aca="false">ROUND(R292-R312,1)</f>
        <v>0</v>
      </c>
      <c r="S313" s="45" t="n">
        <f aca="false">ROUND(S292-S312,1)</f>
        <v>0</v>
      </c>
      <c r="T313" s="45" t="n">
        <f aca="false">ROUND(T292-T312,1)</f>
        <v>0</v>
      </c>
      <c r="U313" s="45" t="n">
        <f aca="false">ROUND(U292-U312,1)</f>
        <v>0</v>
      </c>
      <c r="V313" s="45" t="n">
        <f aca="false">ROUND(V292-V312,1)</f>
        <v>0</v>
      </c>
      <c r="W313" s="45" t="n">
        <f aca="false">ROUND(W292-W312,1)</f>
        <v>0</v>
      </c>
      <c r="X313" s="45" t="n">
        <f aca="false">ROUND(X292-X312,1)</f>
        <v>0</v>
      </c>
      <c r="Y313" s="45" t="n">
        <f aca="false">ROUND(Y292-Y312,1)</f>
        <v>0</v>
      </c>
      <c r="Z313" s="45" t="n">
        <f aca="false">ROUND(Z292-Z312,1)</f>
        <v>0</v>
      </c>
      <c r="AA313" s="45" t="n">
        <f aca="false">ROUND(AA292-AA312,1)</f>
        <v>0</v>
      </c>
      <c r="AB313" s="45" t="n">
        <f aca="false">ROUND(AB292-AB312,1)</f>
        <v>0</v>
      </c>
      <c r="AC313" s="45" t="n">
        <f aca="false">ROUND(AC292-AC312,1)</f>
        <v>0</v>
      </c>
      <c r="AD313" s="45" t="n">
        <f aca="false">ROUND(AD292-AD312,1)</f>
        <v>0</v>
      </c>
      <c r="AE313" s="45" t="n">
        <f aca="false">ROUND(AE292-AE312,1)</f>
        <v>0</v>
      </c>
      <c r="AF313" s="45" t="n">
        <f aca="false">ROUND(AF292-AF312,1)</f>
        <v>0</v>
      </c>
      <c r="AG313" s="45" t="n">
        <f aca="false">ROUND(AG292-AG312,1)</f>
        <v>0</v>
      </c>
      <c r="AH313" s="45" t="n">
        <f aca="false">ROUND(AH292-AH312,1)</f>
        <v>0</v>
      </c>
      <c r="AI313" s="45" t="n">
        <f aca="false">ROUND(AI292-AI312,1)</f>
        <v>0</v>
      </c>
      <c r="AJ313" s="45" t="n">
        <f aca="false">ROUND(AJ292-AJ312,1)</f>
        <v>0</v>
      </c>
      <c r="AK313" s="45" t="n">
        <f aca="false">ROUND(AK292-AK312,1)</f>
        <v>0</v>
      </c>
      <c r="AL313" s="45" t="n">
        <f aca="false">ROUND(AL292-AL312,1)</f>
        <v>0</v>
      </c>
      <c r="AM313" s="45" t="n">
        <f aca="false">ROUND(AM292-AM312,1)</f>
        <v>0</v>
      </c>
      <c r="AN313" s="45" t="n">
        <f aca="false">ROUND(AN292-AN312,1)</f>
        <v>0</v>
      </c>
      <c r="AO313" s="45" t="n">
        <f aca="false">ROUND(AO292-AO312,1)</f>
        <v>0</v>
      </c>
      <c r="AP313" s="45" t="n">
        <f aca="false">ROUND(AP292-AP312,1)</f>
        <v>0</v>
      </c>
      <c r="AQ313" s="45" t="n">
        <f aca="false">ROUND(AQ292-AQ312,1)</f>
        <v>0</v>
      </c>
      <c r="AR313" s="45" t="n">
        <f aca="false">ROUND(AR292-AR312,1)</f>
        <v>0</v>
      </c>
      <c r="AS313" s="45" t="n">
        <f aca="false">ROUND(AS292-AS312,1)</f>
        <v>0</v>
      </c>
      <c r="AT313" s="45" t="n">
        <f aca="false">ROUND(AT292-AT312,1)</f>
        <v>0</v>
      </c>
      <c r="AU313" s="45" t="n">
        <f aca="false">ROUND(AU292-AU312,1)</f>
        <v>0</v>
      </c>
      <c r="AV313" s="45" t="n">
        <f aca="false">ROUND(AV292-AV312,1)</f>
        <v>0</v>
      </c>
      <c r="AW313" s="45" t="n">
        <f aca="false">ROUND(AW292-AW312,1)</f>
        <v>0</v>
      </c>
      <c r="AX313" s="45" t="n">
        <f aca="false">ROUND(AX292-AX312,1)</f>
        <v>0</v>
      </c>
      <c r="AY313" s="45" t="n">
        <f aca="false">ROUND(AY292-AY312,1)</f>
        <v>0</v>
      </c>
      <c r="AZ313" s="45" t="n">
        <f aca="false">ROUND(AZ292-AZ312,1)</f>
        <v>0</v>
      </c>
      <c r="BA313" s="45" t="n">
        <f aca="false">ROUND(BA292-BA312,1)</f>
        <v>0</v>
      </c>
      <c r="BB313" s="45" t="n">
        <f aca="false">ROUND(BB292-BB312,1)</f>
        <v>0</v>
      </c>
      <c r="BC313" s="45" t="n">
        <f aca="false">ROUND(BC292-BC312,1)</f>
        <v>0</v>
      </c>
      <c r="BD313" s="45" t="n">
        <f aca="false">ROUND(BD292-BD312,1)</f>
        <v>0</v>
      </c>
      <c r="BE313" s="45" t="n">
        <f aca="false">ROUND(BE292-BE312,1)</f>
        <v>0</v>
      </c>
      <c r="BF313" s="45" t="n">
        <f aca="false">ROUND(BF292-BF312,1)</f>
        <v>0</v>
      </c>
      <c r="BG313" s="45" t="n">
        <f aca="false">ROUND(BG292-BG312,1)</f>
        <v>0</v>
      </c>
      <c r="BH313" s="45" t="n">
        <f aca="false">ROUND(BH292-BH312,1)</f>
        <v>0</v>
      </c>
      <c r="BI313" s="45" t="n">
        <f aca="false">ROUND(BI292-BI312,1)</f>
        <v>0</v>
      </c>
      <c r="BJ313" s="45" t="n">
        <f aca="false">ROUND(BJ292-BJ312,1)</f>
        <v>0</v>
      </c>
      <c r="BK313" s="45" t="n">
        <f aca="false">ROUND(BK292-BK312,1)</f>
        <v>0</v>
      </c>
      <c r="BL313" s="45" t="n">
        <f aca="false">ROUND(BL292-BL312,1)</f>
        <v>0</v>
      </c>
      <c r="BM313" s="45" t="n">
        <f aca="false">ROUND(BM292-BM312,1)</f>
        <v>0</v>
      </c>
      <c r="BN313" s="45" t="n">
        <f aca="false">ROUND(BN292-BN312,1)</f>
        <v>0</v>
      </c>
      <c r="BO313" s="45" t="n">
        <f aca="false">ROUND(BO292-BO312,1)</f>
        <v>0</v>
      </c>
      <c r="BP313" s="45" t="n">
        <f aca="false">ROUND(BP292-BP312,1)</f>
        <v>0</v>
      </c>
      <c r="BQ313" s="45" t="n">
        <f aca="false">ROUND(BQ292-BQ312,1)</f>
        <v>0</v>
      </c>
      <c r="BR313" s="45" t="n">
        <f aca="false">ROUND(BR292-BR312,1)</f>
        <v>0</v>
      </c>
      <c r="BS313" s="45" t="n">
        <f aca="false">ROUND(BS292-BS312,1)</f>
        <v>0</v>
      </c>
      <c r="BT313" s="45" t="n">
        <f aca="false">ROUND(BT292-BT312,1)</f>
        <v>0</v>
      </c>
      <c r="BU313" s="45" t="n">
        <f aca="false">ROUND(BU292-BU312,1)</f>
        <v>0</v>
      </c>
      <c r="BV313" s="45" t="n">
        <f aca="false">ROUND(BV292-BV312,1)</f>
        <v>0</v>
      </c>
      <c r="BW313" s="45" t="n">
        <f aca="false">ROUND(BW292-BW312,1)</f>
        <v>0</v>
      </c>
      <c r="BX313" s="45" t="n">
        <f aca="false">ROUND(BX292-BX312,1)</f>
        <v>0</v>
      </c>
      <c r="BY313" s="45" t="n">
        <f aca="false">ROUND(BY292-BY312,1)</f>
        <v>0</v>
      </c>
      <c r="BZ313" s="45" t="n">
        <f aca="false">ROUND(BZ292-BZ312,1)</f>
        <v>0</v>
      </c>
      <c r="CA313" s="45" t="n">
        <f aca="false">ROUND(CA292-CA312,1)</f>
        <v>0</v>
      </c>
      <c r="CB313" s="45" t="n">
        <f aca="false">ROUND(CB292-CB312,1)</f>
        <v>0</v>
      </c>
      <c r="CC313" s="58"/>
      <c r="CD313" s="58"/>
      <c r="CE313" s="58"/>
      <c r="CF313" s="35" t="n">
        <f aca="false">ROUND(CF292-CF312,1)</f>
        <v>0</v>
      </c>
      <c r="CG313" s="35" t="n">
        <f aca="false">ROUND(CG292-CG312,1)</f>
        <v>0</v>
      </c>
      <c r="CH313" s="35" t="n">
        <f aca="false">ROUND(CH292-CH312,1)</f>
        <v>0</v>
      </c>
      <c r="CI313" s="35" t="n">
        <f aca="false">ROUND(CI292-CI312,1)</f>
        <v>0</v>
      </c>
      <c r="CJ313" s="35" t="n">
        <f aca="false">ROUND(CJ292-CJ312,1)</f>
        <v>0</v>
      </c>
      <c r="CK313" s="23"/>
    </row>
    <row r="314" customFormat="false" ht="15" hidden="false" customHeight="true" outlineLevel="0" collapsed="false">
      <c r="B314" s="57" t="s">
        <v>613</v>
      </c>
      <c r="C314" s="45" t="n">
        <f aca="false">ROUND(C292-C315,1)</f>
        <v>0</v>
      </c>
      <c r="D314" s="45" t="n">
        <f aca="false">ROUND(D292-D315,1)</f>
        <v>0</v>
      </c>
      <c r="E314" s="45" t="n">
        <f aca="false">ROUND(E292-E315,1)</f>
        <v>0</v>
      </c>
      <c r="F314" s="45" t="n">
        <f aca="false">ROUND(F292-F315,1)</f>
        <v>0</v>
      </c>
      <c r="G314" s="45" t="n">
        <f aca="false">ROUND(G292-G315,1)</f>
        <v>0</v>
      </c>
      <c r="H314" s="45" t="n">
        <f aca="false">ROUND(H292-H315,1)</f>
        <v>0</v>
      </c>
      <c r="I314" s="45" t="n">
        <f aca="false">ROUND(I292-I315,1)</f>
        <v>0</v>
      </c>
      <c r="J314" s="45" t="n">
        <f aca="false">ROUND(J292-J315,1)</f>
        <v>0</v>
      </c>
      <c r="K314" s="45" t="n">
        <f aca="false">ROUND(K292-K315,1)</f>
        <v>0</v>
      </c>
      <c r="L314" s="45" t="n">
        <f aca="false">ROUND(L292-L315,1)</f>
        <v>0</v>
      </c>
      <c r="M314" s="45" t="n">
        <f aca="false">ROUND(M292-M315,1)</f>
        <v>0</v>
      </c>
      <c r="N314" s="45" t="n">
        <f aca="false">ROUND(N292-N315,1)</f>
        <v>0</v>
      </c>
      <c r="O314" s="45" t="n">
        <f aca="false">ROUND(O292-O315,1)</f>
        <v>0</v>
      </c>
      <c r="P314" s="45" t="n">
        <f aca="false">ROUND(P292-P315,1)</f>
        <v>0</v>
      </c>
      <c r="Q314" s="45" t="n">
        <f aca="false">ROUND(Q292-Q315,1)</f>
        <v>0</v>
      </c>
      <c r="R314" s="45" t="n">
        <f aca="false">ROUND(R292-R315,1)</f>
        <v>0</v>
      </c>
      <c r="S314" s="45" t="n">
        <f aca="false">ROUND(S292-S315,1)</f>
        <v>0</v>
      </c>
      <c r="T314" s="45" t="n">
        <f aca="false">ROUND(T292-T315,1)</f>
        <v>0</v>
      </c>
      <c r="U314" s="45" t="n">
        <f aca="false">ROUND(U292-U315,1)</f>
        <v>0</v>
      </c>
      <c r="V314" s="45" t="n">
        <f aca="false">ROUND(V292-V315,1)</f>
        <v>0</v>
      </c>
      <c r="W314" s="45" t="n">
        <f aca="false">ROUND(W292-W315,1)</f>
        <v>0</v>
      </c>
      <c r="X314" s="45" t="n">
        <f aca="false">ROUND(X292-X315,1)</f>
        <v>0</v>
      </c>
      <c r="Y314" s="45" t="n">
        <f aca="false">ROUND(Y292-Y315,1)</f>
        <v>0</v>
      </c>
      <c r="Z314" s="45" t="n">
        <f aca="false">ROUND(Z292-Z315,1)</f>
        <v>0</v>
      </c>
      <c r="AA314" s="45" t="n">
        <f aca="false">ROUND(AA292-AA315,1)</f>
        <v>0</v>
      </c>
      <c r="AB314" s="45" t="n">
        <f aca="false">ROUND(AB292-AB315,1)</f>
        <v>0</v>
      </c>
      <c r="AC314" s="45" t="n">
        <f aca="false">ROUND(AC292-AC315,1)</f>
        <v>0</v>
      </c>
      <c r="AD314" s="45" t="n">
        <f aca="false">ROUND(AD292-AD315,1)</f>
        <v>0</v>
      </c>
      <c r="AE314" s="45" t="n">
        <f aca="false">ROUND(AE292-AE315,1)</f>
        <v>0</v>
      </c>
      <c r="AF314" s="45" t="n">
        <f aca="false">ROUND(AF292-AF315,1)</f>
        <v>0</v>
      </c>
      <c r="AG314" s="45" t="n">
        <f aca="false">ROUND(AG292-AG315,1)</f>
        <v>0</v>
      </c>
      <c r="AH314" s="45" t="n">
        <f aca="false">ROUND(AH292-AH315,1)</f>
        <v>0</v>
      </c>
      <c r="AI314" s="45" t="n">
        <f aca="false">ROUND(AI292-AI315,1)</f>
        <v>0</v>
      </c>
      <c r="AJ314" s="45" t="n">
        <f aca="false">ROUND(AJ292-AJ315,1)</f>
        <v>0</v>
      </c>
      <c r="AK314" s="45" t="n">
        <f aca="false">ROUND(AK292-AK315,1)</f>
        <v>0</v>
      </c>
      <c r="AL314" s="45" t="n">
        <f aca="false">ROUND(AL292-AL315,1)</f>
        <v>0</v>
      </c>
      <c r="AM314" s="45" t="n">
        <f aca="false">ROUND(AM292-AM315,1)</f>
        <v>0</v>
      </c>
      <c r="AN314" s="45" t="n">
        <f aca="false">ROUND(AN292-AN315,1)</f>
        <v>0</v>
      </c>
      <c r="AO314" s="45" t="n">
        <f aca="false">ROUND(AO292-AO315,1)</f>
        <v>0</v>
      </c>
      <c r="AP314" s="45" t="n">
        <f aca="false">ROUND(AP292-AP315,1)</f>
        <v>0</v>
      </c>
      <c r="AQ314" s="45" t="n">
        <f aca="false">ROUND(AQ292-AQ315,1)</f>
        <v>0</v>
      </c>
      <c r="AR314" s="45" t="n">
        <f aca="false">ROUND(AR292-AR315,1)</f>
        <v>0</v>
      </c>
      <c r="AS314" s="45" t="n">
        <f aca="false">ROUND(AS292-AS315,1)</f>
        <v>0</v>
      </c>
      <c r="AT314" s="45" t="n">
        <f aca="false">ROUND(AT292-AT315,1)</f>
        <v>0</v>
      </c>
      <c r="AU314" s="45" t="n">
        <f aca="false">ROUND(AU292-AU315,1)</f>
        <v>0</v>
      </c>
      <c r="AV314" s="45" t="n">
        <f aca="false">ROUND(AV292-AV315,1)</f>
        <v>0</v>
      </c>
      <c r="AW314" s="45" t="n">
        <f aca="false">ROUND(AW292-AW315,1)</f>
        <v>0</v>
      </c>
      <c r="AX314" s="45" t="n">
        <f aca="false">ROUND(AX292-AX315,1)</f>
        <v>0</v>
      </c>
      <c r="AY314" s="45" t="n">
        <f aca="false">ROUND(AY292-AY315,1)</f>
        <v>0</v>
      </c>
      <c r="AZ314" s="45" t="n">
        <f aca="false">ROUND(AZ292-AZ315,1)</f>
        <v>0</v>
      </c>
      <c r="BA314" s="45" t="n">
        <f aca="false">ROUND(BA292-BA315,1)</f>
        <v>0</v>
      </c>
      <c r="BB314" s="45" t="n">
        <f aca="false">ROUND(BB292-BB315,1)</f>
        <v>0</v>
      </c>
      <c r="BC314" s="45" t="n">
        <f aca="false">ROUND(BC292-BC315,1)</f>
        <v>0</v>
      </c>
      <c r="BD314" s="45" t="n">
        <f aca="false">ROUND(BD292-BD315,1)</f>
        <v>0</v>
      </c>
      <c r="BE314" s="45" t="n">
        <f aca="false">ROUND(BE292-BE315,1)</f>
        <v>0</v>
      </c>
      <c r="BF314" s="45" t="n">
        <f aca="false">ROUND(BF292-BF315,1)</f>
        <v>0</v>
      </c>
      <c r="BG314" s="45" t="n">
        <f aca="false">ROUND(BG292-BG315,1)</f>
        <v>0</v>
      </c>
      <c r="BH314" s="45" t="n">
        <f aca="false">ROUND(BH292-BH315,1)</f>
        <v>0</v>
      </c>
      <c r="BI314" s="45" t="n">
        <f aca="false">ROUND(BI292-BI315,1)</f>
        <v>0</v>
      </c>
      <c r="BJ314" s="45" t="n">
        <f aca="false">ROUND(BJ292-BJ315,1)</f>
        <v>0</v>
      </c>
      <c r="BK314" s="45" t="n">
        <f aca="false">ROUND(BK292-BK315,1)</f>
        <v>0</v>
      </c>
      <c r="BL314" s="45" t="n">
        <f aca="false">ROUND(BL292-BL315,1)</f>
        <v>0</v>
      </c>
      <c r="BM314" s="45" t="n">
        <f aca="false">ROUND(BM292-BM315,1)</f>
        <v>0</v>
      </c>
      <c r="BN314" s="45" t="n">
        <f aca="false">ROUND(BN292-BN315,1)</f>
        <v>0</v>
      </c>
      <c r="BO314" s="45" t="n">
        <f aca="false">ROUND(BO292-BO315,1)</f>
        <v>0</v>
      </c>
      <c r="BP314" s="45" t="n">
        <f aca="false">ROUND(BP292-BP315,1)</f>
        <v>0</v>
      </c>
      <c r="BQ314" s="45" t="n">
        <f aca="false">ROUND(BQ292-BQ315,1)</f>
        <v>0</v>
      </c>
      <c r="BR314" s="45" t="n">
        <f aca="false">ROUND(BR292-BR315,1)</f>
        <v>0</v>
      </c>
      <c r="BS314" s="45" t="n">
        <f aca="false">ROUND(BS292-BS315,1)</f>
        <v>0</v>
      </c>
      <c r="BT314" s="45" t="n">
        <f aca="false">ROUND(BT292-BT315,1)</f>
        <v>0</v>
      </c>
      <c r="BU314" s="45" t="n">
        <f aca="false">ROUND(BU292-BU315,1)</f>
        <v>0</v>
      </c>
      <c r="BV314" s="45" t="n">
        <f aca="false">ROUND(BV292-BV315,1)</f>
        <v>0</v>
      </c>
      <c r="BW314" s="45" t="n">
        <f aca="false">ROUND(BW292-BW315,1)</f>
        <v>0</v>
      </c>
      <c r="BX314" s="45" t="n">
        <f aca="false">ROUND(BX292-BX315,1)</f>
        <v>0</v>
      </c>
      <c r="BY314" s="45" t="n">
        <f aca="false">ROUND(BY292-BY315,1)</f>
        <v>0</v>
      </c>
      <c r="BZ314" s="45" t="n">
        <f aca="false">ROUND(BZ292-BZ315,1)</f>
        <v>0</v>
      </c>
      <c r="CA314" s="45" t="n">
        <f aca="false">ROUND(CA292-CA315,1)</f>
        <v>0</v>
      </c>
      <c r="CB314" s="45" t="n">
        <f aca="false">ROUND(CB292-CB315,1)</f>
        <v>0</v>
      </c>
      <c r="CC314" s="58"/>
      <c r="CD314" s="58"/>
      <c r="CE314" s="58"/>
      <c r="CF314" s="58"/>
      <c r="CG314" s="58"/>
      <c r="CH314" s="58"/>
      <c r="CI314" s="58"/>
      <c r="CJ314" s="58"/>
      <c r="CK314" s="23"/>
    </row>
    <row r="315" customFormat="false" ht="15" hidden="false" customHeight="true" outlineLevel="1" collapsed="false">
      <c r="B315" s="42" t="s">
        <v>614</v>
      </c>
      <c r="C315" s="34" t="n">
        <v>3425.237</v>
      </c>
      <c r="D315" s="34" t="n">
        <v>3570.48</v>
      </c>
      <c r="E315" s="34" t="n">
        <v>3808.601</v>
      </c>
      <c r="F315" s="34" t="n">
        <v>3695.439</v>
      </c>
      <c r="G315" s="34" t="n">
        <v>3969.736</v>
      </c>
      <c r="H315" s="34" t="n">
        <v>4351.94</v>
      </c>
      <c r="I315" s="34" t="n">
        <v>4160.906</v>
      </c>
      <c r="J315" s="34" t="n">
        <v>4152.235</v>
      </c>
      <c r="K315" s="34" t="n">
        <v>4217.882</v>
      </c>
      <c r="L315" s="34" t="n">
        <v>4221.299</v>
      </c>
      <c r="M315" s="34" t="n">
        <v>4345.632</v>
      </c>
      <c r="N315" s="34" t="n">
        <v>4345.632</v>
      </c>
      <c r="O315" s="34" t="n">
        <v>4311.177</v>
      </c>
      <c r="P315" s="34" t="n">
        <v>4365.398</v>
      </c>
      <c r="Q315" s="34" t="n">
        <v>4400.441</v>
      </c>
      <c r="R315" s="34" t="n">
        <v>4462.452</v>
      </c>
      <c r="S315" s="34" t="n">
        <v>4462.452</v>
      </c>
      <c r="T315" s="34" t="n">
        <v>4556.27</v>
      </c>
      <c r="U315" s="34" t="n">
        <v>4697.571</v>
      </c>
      <c r="V315" s="34" t="n">
        <v>4353.34</v>
      </c>
      <c r="W315" s="34" t="n">
        <v>4192.46</v>
      </c>
      <c r="X315" s="34" t="n">
        <v>4192.46</v>
      </c>
      <c r="Y315" s="34" t="n">
        <v>4122.949</v>
      </c>
      <c r="Z315" s="34" t="n">
        <v>4450.792</v>
      </c>
      <c r="AA315" s="34" t="n">
        <v>4231.21</v>
      </c>
      <c r="AB315" s="34" t="n">
        <v>4104.393</v>
      </c>
      <c r="AC315" s="34" t="n">
        <v>4104.393</v>
      </c>
      <c r="AD315" s="34" t="n">
        <v>4167.145</v>
      </c>
      <c r="AE315" s="34" t="n">
        <v>4214.579</v>
      </c>
      <c r="AF315" s="34" t="n">
        <v>4271.164</v>
      </c>
      <c r="AG315" s="34" t="n">
        <v>6844.057</v>
      </c>
      <c r="AH315" s="34" t="n">
        <v>6844.057</v>
      </c>
      <c r="AI315" s="34" t="n">
        <v>6851.606</v>
      </c>
      <c r="AJ315" s="34" t="n">
        <v>6978.801</v>
      </c>
      <c r="AK315" s="34" t="n">
        <v>6919.849</v>
      </c>
      <c r="AL315" s="34" t="n">
        <v>6958.214</v>
      </c>
      <c r="AM315" s="34" t="n">
        <v>6958.214</v>
      </c>
      <c r="AN315" s="34" t="n">
        <v>7287.204</v>
      </c>
      <c r="AO315" s="34" t="n">
        <v>7405.083</v>
      </c>
      <c r="AP315" s="34" t="n">
        <v>7433.673</v>
      </c>
      <c r="AQ315" s="34" t="n">
        <v>7436.662</v>
      </c>
      <c r="AR315" s="34" t="n">
        <v>7436.662</v>
      </c>
      <c r="AS315" s="34" t="n">
        <v>7661.9</v>
      </c>
      <c r="AT315" s="34" t="n">
        <v>7887.337</v>
      </c>
      <c r="AU315" s="34" t="n">
        <v>7901.98</v>
      </c>
      <c r="AV315" s="34" t="n">
        <v>7669.885</v>
      </c>
      <c r="AW315" s="34" t="n">
        <v>7669.885</v>
      </c>
      <c r="AX315" s="34" t="n">
        <v>8043.381</v>
      </c>
      <c r="AY315" s="34" t="n">
        <v>8454.753</v>
      </c>
      <c r="AZ315" s="34" t="n">
        <v>8347.497</v>
      </c>
      <c r="BA315" s="34" t="n">
        <v>8236.823</v>
      </c>
      <c r="BB315" s="34" t="n">
        <v>8236.823</v>
      </c>
      <c r="BC315" s="34" t="n">
        <v>7857.75</v>
      </c>
      <c r="BD315" s="34" t="n">
        <v>8017.41</v>
      </c>
      <c r="BE315" s="34" t="n">
        <v>8168.6</v>
      </c>
      <c r="BF315" s="34" t="n">
        <v>8147.256</v>
      </c>
      <c r="BG315" s="34" t="n">
        <v>8147.256</v>
      </c>
      <c r="BH315" s="34" t="n">
        <v>8261.026</v>
      </c>
      <c r="BI315" s="34" t="n">
        <v>8427.007</v>
      </c>
      <c r="BJ315" s="34" t="n">
        <v>8466.001</v>
      </c>
      <c r="BK315" s="34" t="n">
        <v>8546.356</v>
      </c>
      <c r="BL315" s="34" t="n">
        <v>8546.356</v>
      </c>
      <c r="BM315" s="34" t="n">
        <v>8719.681</v>
      </c>
      <c r="BN315" s="34" t="n">
        <v>8813.869</v>
      </c>
      <c r="BO315" s="34" t="n">
        <v>8978.875</v>
      </c>
      <c r="BP315" s="34" t="n">
        <v>9168.817</v>
      </c>
      <c r="BQ315" s="34" t="n">
        <v>9168.817</v>
      </c>
      <c r="BR315" s="34" t="n">
        <v>9068.707</v>
      </c>
      <c r="BS315" s="34" t="n">
        <v>9366.529</v>
      </c>
      <c r="BT315" s="34" t="n">
        <v>9611.136</v>
      </c>
      <c r="BU315" s="34" t="n">
        <v>9825.241</v>
      </c>
      <c r="BV315" s="34" t="n">
        <v>9825.241</v>
      </c>
      <c r="BW315" s="34" t="n">
        <v>9837.69</v>
      </c>
      <c r="BX315" s="34" t="n">
        <v>10132.881</v>
      </c>
      <c r="BY315" s="34" t="n">
        <v>10233.721</v>
      </c>
      <c r="BZ315" s="34" t="n">
        <v>10529.14</v>
      </c>
      <c r="CA315" s="34" t="n">
        <v>10529.14</v>
      </c>
      <c r="CB315" s="34" t="n">
        <v>10652.735</v>
      </c>
      <c r="CC315" s="43"/>
      <c r="CD315" s="43"/>
      <c r="CE315" s="43"/>
      <c r="CF315" s="43"/>
      <c r="CG315" s="43"/>
      <c r="CH315" s="43"/>
      <c r="CI315" s="43"/>
      <c r="CJ315" s="43"/>
      <c r="CK315" s="23"/>
    </row>
    <row r="316" customFormat="false" ht="15" hidden="false" customHeight="true" outlineLevel="0" collapsed="false">
      <c r="B316" s="42" t="s">
        <v>615</v>
      </c>
      <c r="E316" s="34" t="n">
        <v>614.764412</v>
      </c>
      <c r="H316" s="34" t="n">
        <v>550.335536</v>
      </c>
      <c r="I316" s="34" t="n">
        <v>506.079032</v>
      </c>
      <c r="J316" s="34" t="n">
        <v>500.470032</v>
      </c>
      <c r="K316" s="34" t="n">
        <v>492.915108</v>
      </c>
      <c r="L316" s="34" t="n">
        <v>490.895584</v>
      </c>
      <c r="M316" s="34" t="n">
        <v>489.126028</v>
      </c>
      <c r="N316" s="34" t="n">
        <v>489.126028</v>
      </c>
      <c r="O316" s="34" t="n">
        <v>483.114516</v>
      </c>
      <c r="P316" s="34" t="n">
        <v>479.268016</v>
      </c>
      <c r="Q316" s="34" t="n">
        <v>480.212296</v>
      </c>
      <c r="R316" s="34" t="n">
        <v>468.151136</v>
      </c>
      <c r="S316" s="34" t="n">
        <v>468.151136</v>
      </c>
      <c r="T316" s="34" t="n">
        <v>467.966296</v>
      </c>
      <c r="U316" s="34" t="n">
        <v>469.132152</v>
      </c>
      <c r="V316" s="34" t="n">
        <v>457.379876</v>
      </c>
      <c r="W316" s="34" t="n">
        <v>446.811796</v>
      </c>
      <c r="X316" s="34" t="n">
        <v>446.811796</v>
      </c>
      <c r="Y316" s="34" t="n">
        <v>440.086668</v>
      </c>
      <c r="Z316" s="34" t="n">
        <v>432.412336</v>
      </c>
      <c r="AA316" s="34" t="n">
        <v>428.25694</v>
      </c>
      <c r="AB316" s="34" t="n">
        <v>416.853916</v>
      </c>
      <c r="AC316" s="34" t="n">
        <v>416.853916</v>
      </c>
      <c r="AD316" s="34" t="n">
        <v>419.623228</v>
      </c>
      <c r="AE316" s="34" t="n">
        <v>420.038968</v>
      </c>
      <c r="AF316" s="34" t="n">
        <v>420.765192</v>
      </c>
      <c r="AG316" s="34" t="n">
        <v>421.602516</v>
      </c>
      <c r="AH316" s="34" t="n">
        <v>421.602516</v>
      </c>
      <c r="AI316" s="34" t="n">
        <v>424.718296</v>
      </c>
      <c r="AJ316" s="34" t="n">
        <v>425.880292</v>
      </c>
      <c r="AK316" s="34" t="n">
        <v>426.725668</v>
      </c>
      <c r="AL316" s="34" t="n">
        <v>425.305532</v>
      </c>
      <c r="AM316" s="34" t="n">
        <v>425.305532</v>
      </c>
      <c r="AN316" s="34" t="n">
        <v>427.879632</v>
      </c>
      <c r="AO316" s="34" t="n">
        <v>420.494052</v>
      </c>
      <c r="AP316" s="34" t="n">
        <v>419.728116</v>
      </c>
      <c r="AQ316" s="34" t="n">
        <v>413.137604</v>
      </c>
      <c r="AR316" s="34" t="n">
        <v>413.137604</v>
      </c>
      <c r="AS316" s="34" t="n">
        <v>413.45818</v>
      </c>
      <c r="AT316" s="34" t="n">
        <v>414.8107</v>
      </c>
      <c r="AU316" s="34" t="n">
        <v>416.106304</v>
      </c>
      <c r="AV316" s="34" t="n">
        <v>413.661472</v>
      </c>
      <c r="AW316" s="34" t="n">
        <v>413.661472</v>
      </c>
      <c r="AX316" s="34" t="n">
        <v>418.19216</v>
      </c>
      <c r="AY316" s="34" t="n">
        <v>419.942928</v>
      </c>
      <c r="AZ316" s="34" t="n">
        <v>420.156696</v>
      </c>
      <c r="BA316" s="34" t="n">
        <v>416.245564</v>
      </c>
      <c r="BB316" s="34" t="n">
        <v>416.245564</v>
      </c>
      <c r="BC316" s="34" t="n">
        <v>413.316872</v>
      </c>
      <c r="BD316" s="34" t="n">
        <v>414.657756</v>
      </c>
      <c r="BE316" s="34" t="n">
        <v>409.663884</v>
      </c>
      <c r="BF316" s="34" t="n">
        <v>406.84486</v>
      </c>
      <c r="BG316" s="34" t="n">
        <v>406.84486</v>
      </c>
      <c r="BH316" s="34" t="n">
        <v>406.130568</v>
      </c>
      <c r="BI316" s="34" t="n">
        <v>406.404128</v>
      </c>
      <c r="BJ316" s="34" t="n">
        <v>406.689332</v>
      </c>
      <c r="BK316" s="34" t="n">
        <v>406.928592</v>
      </c>
      <c r="BL316" s="34" t="n">
        <v>406.928592</v>
      </c>
      <c r="BM316" s="34" t="n">
        <v>407.709848</v>
      </c>
      <c r="BN316" s="34" t="n">
        <v>405.390412</v>
      </c>
      <c r="BO316" s="34" t="n">
        <v>405.77636</v>
      </c>
      <c r="BP316" s="34" t="n">
        <v>405.007976</v>
      </c>
      <c r="BQ316" s="34" t="n">
        <v>405.007976</v>
      </c>
      <c r="BR316" s="34" t="n">
        <v>403.258456</v>
      </c>
      <c r="BS316" s="34" t="n">
        <v>403.496</v>
      </c>
      <c r="BT316" s="34" t="n">
        <v>403.669</v>
      </c>
      <c r="BU316" s="34" t="n">
        <v>402.948</v>
      </c>
      <c r="BV316" s="34" t="n">
        <v>402.948</v>
      </c>
      <c r="BW316" s="34" t="n">
        <v>402.95</v>
      </c>
      <c r="BX316" s="34" t="n">
        <v>399.855</v>
      </c>
      <c r="BY316" s="34" t="n">
        <v>400.015</v>
      </c>
      <c r="BZ316" s="34" t="n">
        <v>400.147</v>
      </c>
      <c r="CA316" s="34" t="n">
        <v>400.147</v>
      </c>
      <c r="CB316" s="34" t="n">
        <v>399.517</v>
      </c>
      <c r="CC316" s="43"/>
      <c r="CD316" s="43"/>
      <c r="CE316" s="43"/>
      <c r="CF316" s="35" t="n">
        <f aca="false">CF274</f>
        <v>412.680075898467</v>
      </c>
      <c r="CG316" s="35" t="n">
        <f aca="false">CG274</f>
        <v>403.802043436476</v>
      </c>
      <c r="CH316" s="35" t="n">
        <f aca="false">CH274</f>
        <v>396.410177153881</v>
      </c>
      <c r="CI316" s="35" t="n">
        <f aca="false">CI274</f>
        <v>388.513754643325</v>
      </c>
      <c r="CJ316" s="35" t="n">
        <f aca="false">CJ274</f>
        <v>380.824489365753</v>
      </c>
      <c r="CK316" s="23"/>
    </row>
    <row r="317" customFormat="false" ht="15" hidden="false" customHeight="true" outlineLevel="0" collapsed="false"/>
    <row r="318" customFormat="false" ht="15" hidden="false" customHeight="true" outlineLevel="0" collapsed="false">
      <c r="B318" s="12" t="s">
        <v>616</v>
      </c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2" t="s">
        <v>617</v>
      </c>
    </row>
    <row r="319" customFormat="false" ht="15" hidden="false" customHeight="true" outlineLevel="0" collapsed="false">
      <c r="B319" s="29" t="s">
        <v>618</v>
      </c>
      <c r="C319" s="45" t="n">
        <f aca="false">C132</f>
        <v>3403.608</v>
      </c>
      <c r="D319" s="45" t="n">
        <f aca="false">D132</f>
        <v>3706.9</v>
      </c>
      <c r="E319" s="45" t="n">
        <f aca="false">E132</f>
        <v>3937.9</v>
      </c>
      <c r="F319" s="45" t="n">
        <f aca="false">F132</f>
        <v>3774.685</v>
      </c>
      <c r="G319" s="45" t="n">
        <f aca="false">G132</f>
        <v>3547.339</v>
      </c>
      <c r="H319" s="45" t="n">
        <f aca="false">H132</f>
        <v>3810.384</v>
      </c>
      <c r="I319" s="45" t="n">
        <f aca="false">I132</f>
        <v>4102</v>
      </c>
      <c r="J319" s="45" t="n">
        <f aca="false">J132</f>
        <v>1051.325</v>
      </c>
      <c r="K319" s="45" t="n">
        <f aca="false">K132</f>
        <v>1060.386</v>
      </c>
      <c r="L319" s="45" t="n">
        <f aca="false">L132</f>
        <v>1075.674</v>
      </c>
      <c r="M319" s="45" t="n">
        <f aca="false">M132</f>
        <v>1129.086</v>
      </c>
      <c r="N319" s="45" t="n">
        <f aca="false">N132</f>
        <v>4316.471</v>
      </c>
      <c r="O319" s="45" t="n">
        <f aca="false">O132</f>
        <v>1120.343</v>
      </c>
      <c r="P319" s="45" t="n">
        <f aca="false">P132</f>
        <v>1143.753</v>
      </c>
      <c r="Q319" s="45" t="n">
        <f aca="false">Q132</f>
        <v>1130.237</v>
      </c>
      <c r="R319" s="45" t="n">
        <f aca="false">R132</f>
        <v>1157.479</v>
      </c>
      <c r="S319" s="45" t="n">
        <f aca="false">S132</f>
        <v>4551.812</v>
      </c>
      <c r="T319" s="45" t="n">
        <f aca="false">T132</f>
        <v>1102.077</v>
      </c>
      <c r="U319" s="45" t="n">
        <f aca="false">U132</f>
        <v>1123.379</v>
      </c>
      <c r="V319" s="45" t="n">
        <f aca="false">V132</f>
        <v>1108.847</v>
      </c>
      <c r="W319" s="45" t="n">
        <f aca="false">W132</f>
        <v>1142.583</v>
      </c>
      <c r="X319" s="45" t="n">
        <f aca="false">X132</f>
        <v>4476.886</v>
      </c>
      <c r="Y319" s="45" t="n">
        <f aca="false">Y132</f>
        <v>1198.89</v>
      </c>
      <c r="Z319" s="45" t="n">
        <f aca="false">Z132</f>
        <v>1219.08</v>
      </c>
      <c r="AA319" s="45" t="n">
        <f aca="false">AA132</f>
        <v>1216.083</v>
      </c>
      <c r="AB319" s="45" t="n">
        <f aca="false">AB132</f>
        <v>1271.405</v>
      </c>
      <c r="AC319" s="45" t="n">
        <f aca="false">AC132</f>
        <v>4905.458</v>
      </c>
      <c r="AD319" s="45" t="n">
        <f aca="false">AD132</f>
        <v>1294.13</v>
      </c>
      <c r="AE319" s="45" t="n">
        <f aca="false">AE132</f>
        <v>1296.923</v>
      </c>
      <c r="AF319" s="45" t="n">
        <f aca="false">AF132</f>
        <v>1281.135</v>
      </c>
      <c r="AG319" s="45" t="n">
        <f aca="false">AG132</f>
        <v>1530.287</v>
      </c>
      <c r="AH319" s="45" t="n">
        <f aca="false">AH132</f>
        <v>5323.381</v>
      </c>
      <c r="AI319" s="45" t="n">
        <f aca="false">AI132</f>
        <v>1611.503</v>
      </c>
      <c r="AJ319" s="45" t="n">
        <f aca="false">AJ132</f>
        <v>1606.441</v>
      </c>
      <c r="AK319" s="45" t="n">
        <f aca="false">AK132</f>
        <v>1589.138</v>
      </c>
      <c r="AL319" s="45" t="n">
        <f aca="false">AL132</f>
        <v>1669.55</v>
      </c>
      <c r="AM319" s="45" t="n">
        <f aca="false">AM132</f>
        <v>6476.632</v>
      </c>
      <c r="AN319" s="45" t="n">
        <f aca="false">AN132</f>
        <v>1697.975</v>
      </c>
      <c r="AO319" s="45" t="n">
        <f aca="false">AO132</f>
        <v>1718.268</v>
      </c>
      <c r="AP319" s="45" t="n">
        <f aca="false">AP132</f>
        <v>1682.33</v>
      </c>
      <c r="AQ319" s="45" t="n">
        <f aca="false">AQ132</f>
        <v>1793.73</v>
      </c>
      <c r="AR319" s="45" t="n">
        <f aca="false">AR132</f>
        <v>6892.303</v>
      </c>
      <c r="AS319" s="45" t="n">
        <f aca="false">AS132</f>
        <v>1811.139</v>
      </c>
      <c r="AT319" s="45" t="n">
        <f aca="false">AT132</f>
        <v>1843.749</v>
      </c>
      <c r="AU319" s="45" t="n">
        <f aca="false">AU132</f>
        <v>1810.648</v>
      </c>
      <c r="AV319" s="45" t="n">
        <f aca="false">AV132</f>
        <v>1619.584</v>
      </c>
      <c r="AW319" s="45" t="n">
        <f aca="false">AW132</f>
        <v>7085.12</v>
      </c>
      <c r="AX319" s="45" t="n">
        <f aca="false">AX132</f>
        <v>1746.575</v>
      </c>
      <c r="AY319" s="45" t="n">
        <f aca="false">AY132</f>
        <v>1757.048</v>
      </c>
      <c r="AZ319" s="45" t="n">
        <f aca="false">AZ132</f>
        <v>1777.056</v>
      </c>
      <c r="BA319" s="45" t="n">
        <f aca="false">BA132</f>
        <v>1835.661</v>
      </c>
      <c r="BB319" s="45" t="n">
        <f aca="false">BB132</f>
        <v>7116.34</v>
      </c>
      <c r="BC319" s="45" t="n">
        <f aca="false">BC132</f>
        <v>1896.95</v>
      </c>
      <c r="BD319" s="45" t="n">
        <f aca="false">BD132</f>
        <v>1922.281</v>
      </c>
      <c r="BE319" s="45" t="n">
        <f aca="false">BE132</f>
        <v>1960.542</v>
      </c>
      <c r="BF319" s="45" t="n">
        <f aca="false">BF132</f>
        <v>2074.686</v>
      </c>
      <c r="BG319" s="45" t="n">
        <f aca="false">BG132</f>
        <v>7854.459</v>
      </c>
      <c r="BH319" s="45" t="n">
        <f aca="false">BH132</f>
        <v>2166.454</v>
      </c>
      <c r="BI319" s="45" t="n">
        <f aca="false">BI132</f>
        <v>2174.858</v>
      </c>
      <c r="BJ319" s="45" t="n">
        <f aca="false">BJ132</f>
        <v>2189.986</v>
      </c>
      <c r="BK319" s="45" t="n">
        <f aca="false">BK132</f>
        <v>2284.471</v>
      </c>
      <c r="BL319" s="45" t="n">
        <f aca="false">BL132</f>
        <v>8815.769</v>
      </c>
      <c r="BM319" s="45" t="n">
        <f aca="false">BM132</f>
        <v>2342.33</v>
      </c>
      <c r="BN319" s="45" t="n">
        <f aca="false">BN132</f>
        <v>2377.177</v>
      </c>
      <c r="BO319" s="45" t="n">
        <f aca="false">BO132</f>
        <v>2406.173</v>
      </c>
      <c r="BP319" s="45" t="n">
        <f aca="false">BP132</f>
        <v>2470.935</v>
      </c>
      <c r="BQ319" s="45" t="n">
        <f aca="false">BQ132</f>
        <v>9596.615</v>
      </c>
      <c r="BR319" s="45" t="n">
        <f aca="false">BR132</f>
        <v>2501.587</v>
      </c>
      <c r="BS319" s="45" t="n">
        <f aca="false">BS132</f>
        <v>2561.783</v>
      </c>
      <c r="BT319" s="45" t="n">
        <f aca="false">BT132</f>
        <v>2609.159</v>
      </c>
      <c r="BU319" s="45" t="n">
        <f aca="false">BU132</f>
        <v>2667.652</v>
      </c>
      <c r="BV319" s="45" t="n">
        <f aca="false">BV132</f>
        <v>10340.181</v>
      </c>
      <c r="BW319" s="45" t="n">
        <f aca="false">BW132</f>
        <v>2718.122</v>
      </c>
      <c r="BX319" s="45" t="n">
        <f aca="false">BX132</f>
        <v>2799.992</v>
      </c>
      <c r="BY319" s="45" t="n">
        <f aca="false">BY132</f>
        <v>2841.444</v>
      </c>
      <c r="BZ319" s="45" t="n">
        <f aca="false">BZ132</f>
        <v>2905.203</v>
      </c>
      <c r="CA319" s="45" t="n">
        <f aca="false">CA132</f>
        <v>11264.761</v>
      </c>
      <c r="CB319" s="45" t="n">
        <f aca="false">CB132</f>
        <v>3013.981</v>
      </c>
      <c r="CC319" s="43"/>
      <c r="CD319" s="43"/>
      <c r="CE319" s="43"/>
      <c r="CF319" s="35" t="n">
        <f aca="false">CF132+CF65*(365-CF64)/365*CF63</f>
        <v>14777.45216</v>
      </c>
      <c r="CG319" s="35" t="n">
        <f aca="false">CG132</f>
        <v>15890.8933967931</v>
      </c>
      <c r="CH319" s="35" t="n">
        <f aca="false">CH132</f>
        <v>17114.1420594658</v>
      </c>
      <c r="CI319" s="35" t="n">
        <f aca="false">CI132</f>
        <v>18430.8581387138</v>
      </c>
      <c r="CJ319" s="35" t="n">
        <f aca="false">CJ132</f>
        <v>19766.8375623451</v>
      </c>
      <c r="CK319" s="23" t="s">
        <v>619</v>
      </c>
    </row>
    <row r="320" customFormat="false" ht="15" hidden="false" customHeight="true" outlineLevel="0" collapsed="false">
      <c r="B320" s="29" t="s">
        <v>620</v>
      </c>
      <c r="C320" s="45" t="n">
        <f aca="false">C133</f>
        <v>2568.776</v>
      </c>
      <c r="D320" s="45" t="n">
        <f aca="false">D133</f>
        <v>2734.629</v>
      </c>
      <c r="E320" s="45" t="n">
        <f aca="false">E133</f>
        <v>2834.568</v>
      </c>
      <c r="F320" s="45" t="n">
        <f aca="false">F133</f>
        <v>2755.015</v>
      </c>
      <c r="G320" s="45" t="n">
        <f aca="false">G133</f>
        <v>2569.357</v>
      </c>
      <c r="H320" s="45" t="n">
        <f aca="false">H133</f>
        <v>2692.248</v>
      </c>
      <c r="I320" s="45" t="n">
        <f aca="false">I133</f>
        <v>2912.261</v>
      </c>
      <c r="J320" s="45" t="n">
        <f aca="false">J133</f>
        <v>754.843</v>
      </c>
      <c r="K320" s="45" t="n">
        <f aca="false">K133</f>
        <v>755.839</v>
      </c>
      <c r="L320" s="45" t="n">
        <f aca="false">L133</f>
        <v>748.887</v>
      </c>
      <c r="M320" s="45" t="n">
        <f aca="false">M133</f>
        <v>785.018</v>
      </c>
      <c r="N320" s="45" t="n">
        <f aca="false">N133</f>
        <v>3044.587</v>
      </c>
      <c r="O320" s="45" t="n">
        <f aca="false">O133</f>
        <v>792.866</v>
      </c>
      <c r="P320" s="45" t="n">
        <f aca="false">P133</f>
        <v>804.316</v>
      </c>
      <c r="Q320" s="45" t="n">
        <f aca="false">Q133</f>
        <v>801.702</v>
      </c>
      <c r="R320" s="45" t="n">
        <f aca="false">R133</f>
        <v>825.046</v>
      </c>
      <c r="S320" s="45" t="n">
        <f aca="false">S133</f>
        <v>3223.93</v>
      </c>
      <c r="T320" s="45" t="n">
        <f aca="false">T133</f>
        <v>856.872</v>
      </c>
      <c r="U320" s="45" t="n">
        <f aca="false">U133</f>
        <v>865.428</v>
      </c>
      <c r="V320" s="45" t="n">
        <f aca="false">V133</f>
        <v>859.52</v>
      </c>
      <c r="W320" s="45" t="n">
        <f aca="false">W133</f>
        <v>873.136</v>
      </c>
      <c r="X320" s="45" t="n">
        <f aca="false">X133</f>
        <v>3454.956</v>
      </c>
      <c r="Y320" s="45" t="n">
        <f aca="false">Y133</f>
        <v>938.408</v>
      </c>
      <c r="Z320" s="45" t="n">
        <f aca="false">Z133</f>
        <v>937.704</v>
      </c>
      <c r="AA320" s="45" t="n">
        <f aca="false">AA133</f>
        <v>936.565</v>
      </c>
      <c r="AB320" s="45" t="n">
        <f aca="false">AB133</f>
        <v>965.124</v>
      </c>
      <c r="AC320" s="45" t="n">
        <f aca="false">AC133</f>
        <v>3777.801</v>
      </c>
      <c r="AD320" s="45" t="n">
        <f aca="false">AD133</f>
        <v>999.596</v>
      </c>
      <c r="AE320" s="45" t="n">
        <f aca="false">AE133</f>
        <v>1005.565</v>
      </c>
      <c r="AF320" s="45" t="n">
        <f aca="false">AF133</f>
        <v>993.398</v>
      </c>
      <c r="AG320" s="45" t="n">
        <f aca="false">AG133</f>
        <v>1220.015</v>
      </c>
      <c r="AH320" s="45" t="n">
        <f aca="false">AH133</f>
        <v>4202.49</v>
      </c>
      <c r="AI320" s="45" t="n">
        <f aca="false">AI133</f>
        <v>1311.784</v>
      </c>
      <c r="AJ320" s="45" t="n">
        <f aca="false">AJ133</f>
        <v>1308.038</v>
      </c>
      <c r="AK320" s="45" t="n">
        <f aca="false">AK133</f>
        <v>1284.516</v>
      </c>
      <c r="AL320" s="45" t="n">
        <f aca="false">AL133</f>
        <v>1342.786</v>
      </c>
      <c r="AM320" s="45" t="n">
        <f aca="false">AM133</f>
        <v>5247.124</v>
      </c>
      <c r="AN320" s="45" t="n">
        <f aca="false">AN133</f>
        <v>1374.938</v>
      </c>
      <c r="AO320" s="45" t="n">
        <f aca="false">AO133</f>
        <v>1390.778</v>
      </c>
      <c r="AP320" s="45" t="n">
        <f aca="false">AP133</f>
        <v>1358.322</v>
      </c>
      <c r="AQ320" s="45" t="n">
        <f aca="false">AQ133</f>
        <v>1428.392</v>
      </c>
      <c r="AR320" s="45" t="n">
        <f aca="false">AR133</f>
        <v>5552.43</v>
      </c>
      <c r="AS320" s="45" t="n">
        <f aca="false">AS133</f>
        <v>1454.527</v>
      </c>
      <c r="AT320" s="45" t="n">
        <f aca="false">AT133</f>
        <v>1469.976</v>
      </c>
      <c r="AU320" s="45" t="n">
        <f aca="false">AU133</f>
        <v>1448.021</v>
      </c>
      <c r="AV320" s="45" t="n">
        <f aca="false">AV133</f>
        <v>1270.97</v>
      </c>
      <c r="AW320" s="45" t="n">
        <f aca="false">AW133</f>
        <v>5643.494</v>
      </c>
      <c r="AX320" s="45" t="n">
        <f aca="false">AX133</f>
        <v>1394.411</v>
      </c>
      <c r="AY320" s="45" t="n">
        <f aca="false">AY133</f>
        <v>1410.488</v>
      </c>
      <c r="AZ320" s="45" t="n">
        <f aca="false">AZ133</f>
        <v>1417.865</v>
      </c>
      <c r="BA320" s="45" t="n">
        <f aca="false">BA133</f>
        <v>1466.868</v>
      </c>
      <c r="BB320" s="45" t="n">
        <f aca="false">BB133</f>
        <v>5689.632</v>
      </c>
      <c r="BC320" s="45" t="n">
        <f aca="false">BC133</f>
        <v>1508.176</v>
      </c>
      <c r="BD320" s="45" t="n">
        <f aca="false">BD133</f>
        <v>1535.271</v>
      </c>
      <c r="BE320" s="45" t="n">
        <f aca="false">BE133</f>
        <v>1553.32</v>
      </c>
      <c r="BF320" s="45" t="n">
        <f aca="false">BF133</f>
        <v>1630.213</v>
      </c>
      <c r="BG320" s="45" t="n">
        <f aca="false">BG133</f>
        <v>6226.98</v>
      </c>
      <c r="BH320" s="45" t="n">
        <f aca="false">BH133</f>
        <v>1697.772</v>
      </c>
      <c r="BI320" s="45" t="n">
        <f aca="false">BI133</f>
        <v>1709.987</v>
      </c>
      <c r="BJ320" s="45" t="n">
        <f aca="false">BJ133</f>
        <v>1716.165</v>
      </c>
      <c r="BK320" s="45" t="n">
        <f aca="false">BK133</f>
        <v>1773.206</v>
      </c>
      <c r="BL320" s="45" t="n">
        <f aca="false">BL133</f>
        <v>6897.13</v>
      </c>
      <c r="BM320" s="45" t="n">
        <f aca="false">BM133</f>
        <v>1826.825</v>
      </c>
      <c r="BN320" s="45" t="n">
        <f aca="false">BN133</f>
        <v>1850.542</v>
      </c>
      <c r="BO320" s="45" t="n">
        <f aca="false">BO133</f>
        <v>1876.642</v>
      </c>
      <c r="BP320" s="45" t="n">
        <f aca="false">BP133</f>
        <v>1911.19</v>
      </c>
      <c r="BQ320" s="45" t="n">
        <f aca="false">BQ133</f>
        <v>7465.199</v>
      </c>
      <c r="BR320" s="45" t="n">
        <f aca="false">BR133</f>
        <v>1933.839</v>
      </c>
      <c r="BS320" s="45" t="n">
        <f aca="false">BS133</f>
        <v>1990.41</v>
      </c>
      <c r="BT320" s="45" t="n">
        <f aca="false">BT133</f>
        <v>2021.144</v>
      </c>
      <c r="BU320" s="45" t="n">
        <f aca="false">BU133</f>
        <v>2030.68</v>
      </c>
      <c r="BV320" s="45" t="n">
        <f aca="false">BV133</f>
        <v>7976.073</v>
      </c>
      <c r="BW320" s="45" t="n">
        <f aca="false">BW133</f>
        <v>2091.066</v>
      </c>
      <c r="BX320" s="45" t="n">
        <f aca="false">BX133</f>
        <v>2155.4</v>
      </c>
      <c r="BY320" s="45" t="n">
        <f aca="false">BY133</f>
        <v>2177.453</v>
      </c>
      <c r="BZ320" s="45" t="n">
        <f aca="false">BZ133</f>
        <v>2197.705</v>
      </c>
      <c r="CA320" s="45" t="n">
        <f aca="false">CA133</f>
        <v>8621.624</v>
      </c>
      <c r="CB320" s="45" t="n">
        <f aca="false">CB133</f>
        <v>2294.736</v>
      </c>
      <c r="CC320" s="43"/>
      <c r="CD320" s="43"/>
      <c r="CE320" s="43"/>
      <c r="CF320" s="35" t="n">
        <f aca="false">CF133+CF65*$CU$33*(365-CF64)/365*CF63</f>
        <v>11684.5607981234</v>
      </c>
      <c r="CG320" s="35" t="n">
        <f aca="false">CG133</f>
        <v>12404.916871912</v>
      </c>
      <c r="CH320" s="35" t="n">
        <f aca="false">CH133</f>
        <v>13135.8689104295</v>
      </c>
      <c r="CI320" s="35" t="n">
        <f aca="false">CI133</f>
        <v>13911.6949669151</v>
      </c>
      <c r="CJ320" s="35" t="n">
        <f aca="false">CJ133</f>
        <v>14679.116987858</v>
      </c>
      <c r="CK320" s="23"/>
    </row>
    <row r="321" customFormat="false" ht="15" hidden="false" customHeight="true" outlineLevel="0" collapsed="false">
      <c r="B321" s="29" t="s">
        <v>621</v>
      </c>
      <c r="C321" s="45" t="n">
        <f aca="false">C135</f>
        <v>1948.816</v>
      </c>
      <c r="D321" s="45" t="n">
        <f aca="false">D135</f>
        <v>2125.545</v>
      </c>
      <c r="E321" s="45" t="n">
        <f aca="false">E135</f>
        <v>2256.3</v>
      </c>
      <c r="F321" s="45" t="n">
        <f aca="false">F135</f>
        <v>2223.814</v>
      </c>
      <c r="G321" s="45" t="n">
        <f aca="false">G135</f>
        <v>2049.522</v>
      </c>
      <c r="H321" s="45" t="n">
        <f aca="false">H135</f>
        <v>2201.097</v>
      </c>
      <c r="I321" s="45" t="n">
        <f aca="false">I135</f>
        <v>2363.392</v>
      </c>
      <c r="J321" s="45" t="n">
        <f aca="false">J135</f>
        <v>605.45</v>
      </c>
      <c r="K321" s="45" t="n">
        <f aca="false">K135</f>
        <v>628.35</v>
      </c>
      <c r="L321" s="45" t="n">
        <f aca="false">L135</f>
        <v>633.733</v>
      </c>
      <c r="M321" s="45" t="n">
        <f aca="false">M135</f>
        <v>661.871</v>
      </c>
      <c r="N321" s="45" t="n">
        <f aca="false">N135</f>
        <v>2529.404</v>
      </c>
      <c r="O321" s="45" t="n">
        <f aca="false">O135</f>
        <v>654.363</v>
      </c>
      <c r="P321" s="45" t="n">
        <f aca="false">P135</f>
        <v>666.834</v>
      </c>
      <c r="Q321" s="45" t="n">
        <f aca="false">Q135</f>
        <v>651.112</v>
      </c>
      <c r="R321" s="45" t="n">
        <f aca="false">R135</f>
        <v>665.117</v>
      </c>
      <c r="S321" s="45" t="n">
        <f aca="false">S135</f>
        <v>2637.426</v>
      </c>
      <c r="T321" s="45" t="n">
        <f aca="false">T135</f>
        <v>624.131</v>
      </c>
      <c r="U321" s="45" t="n">
        <f aca="false">U135</f>
        <v>641.955</v>
      </c>
      <c r="V321" s="45" t="n">
        <f aca="false">V135</f>
        <v>633.54</v>
      </c>
      <c r="W321" s="45" t="n">
        <f aca="false">W135</f>
        <v>655.923</v>
      </c>
      <c r="X321" s="45" t="n">
        <f aca="false">X135</f>
        <v>2555.549</v>
      </c>
      <c r="Y321" s="45" t="n">
        <f aca="false">Y135</f>
        <v>674.746</v>
      </c>
      <c r="Z321" s="45" t="n">
        <f aca="false">Z135</f>
        <v>691.68</v>
      </c>
      <c r="AA321" s="45" t="n">
        <f aca="false">AA135</f>
        <v>691.475</v>
      </c>
      <c r="AB321" s="45" t="n">
        <f aca="false">AB135</f>
        <v>717.687</v>
      </c>
      <c r="AC321" s="45" t="n">
        <f aca="false">AC135</f>
        <v>2775.588</v>
      </c>
      <c r="AD321" s="45" t="n">
        <f aca="false">AD135</f>
        <v>710.356</v>
      </c>
      <c r="AE321" s="45" t="n">
        <f aca="false">AE135</f>
        <v>725.496</v>
      </c>
      <c r="AF321" s="45" t="n">
        <f aca="false">AF135</f>
        <v>714.711</v>
      </c>
      <c r="AG321" s="45" t="n">
        <f aca="false">AG135</f>
        <v>851.561</v>
      </c>
      <c r="AH321" s="45" t="n">
        <f aca="false">AH135</f>
        <v>2943.086</v>
      </c>
      <c r="AI321" s="45" t="n">
        <f aca="false">AI135</f>
        <v>872.15</v>
      </c>
      <c r="AJ321" s="45" t="n">
        <f aca="false">AJ135</f>
        <v>890.072</v>
      </c>
      <c r="AK321" s="45" t="n">
        <f aca="false">AK135</f>
        <v>888.675</v>
      </c>
      <c r="AL321" s="45" t="n">
        <f aca="false">AL135</f>
        <v>917.212</v>
      </c>
      <c r="AM321" s="45" t="n">
        <f aca="false">AM135</f>
        <v>3568.109</v>
      </c>
      <c r="AN321" s="45" t="n">
        <f aca="false">AN135</f>
        <v>923.263</v>
      </c>
      <c r="AO321" s="45" t="n">
        <f aca="false">AO135</f>
        <v>943.11</v>
      </c>
      <c r="AP321" s="45" t="n">
        <f aca="false">AP135</f>
        <v>927.177</v>
      </c>
      <c r="AQ321" s="45" t="n">
        <f aca="false">AQ135</f>
        <v>970.165</v>
      </c>
      <c r="AR321" s="45" t="n">
        <f aca="false">AR135</f>
        <v>3763.715</v>
      </c>
      <c r="AS321" s="45" t="n">
        <f aca="false">AS135</f>
        <v>961.997</v>
      </c>
      <c r="AT321" s="45" t="n">
        <f aca="false">AT135</f>
        <v>991.358</v>
      </c>
      <c r="AU321" s="45" t="n">
        <f aca="false">AU135</f>
        <v>986.253</v>
      </c>
      <c r="AV321" s="45" t="n">
        <f aca="false">AV135</f>
        <v>911.764</v>
      </c>
      <c r="AW321" s="45" t="n">
        <f aca="false">AW135</f>
        <v>3851.372</v>
      </c>
      <c r="AX321" s="45" t="n">
        <f aca="false">AX135</f>
        <v>920.374</v>
      </c>
      <c r="AY321" s="45" t="n">
        <f aca="false">AY135</f>
        <v>937.164</v>
      </c>
      <c r="AZ321" s="45" t="n">
        <f aca="false">AZ135</f>
        <v>967.54</v>
      </c>
      <c r="BA321" s="45" t="n">
        <f aca="false">BA135</f>
        <v>976.611</v>
      </c>
      <c r="BB321" s="45" t="n">
        <f aca="false">BB135</f>
        <v>3801.689</v>
      </c>
      <c r="BC321" s="45" t="n">
        <f aca="false">BC135</f>
        <v>994.194</v>
      </c>
      <c r="BD321" s="45" t="n">
        <f aca="false">BD135</f>
        <v>1037.14</v>
      </c>
      <c r="BE321" s="45" t="n">
        <f aca="false">BE135</f>
        <v>1062.388</v>
      </c>
      <c r="BF321" s="45" t="n">
        <f aca="false">BF135</f>
        <v>1128.491</v>
      </c>
      <c r="BG321" s="45" t="n">
        <f aca="false">BG135</f>
        <v>4222.213</v>
      </c>
      <c r="BH321" s="45" t="n">
        <f aca="false">BH135</f>
        <v>1138.342</v>
      </c>
      <c r="BI321" s="45" t="n">
        <f aca="false">BI135</f>
        <v>1152.411</v>
      </c>
      <c r="BJ321" s="45" t="n">
        <f aca="false">BJ135</f>
        <v>1155.955</v>
      </c>
      <c r="BK321" s="45" t="n">
        <f aca="false">BK135</f>
        <v>1195.693</v>
      </c>
      <c r="BL321" s="45" t="n">
        <f aca="false">BL135</f>
        <v>4642.401</v>
      </c>
      <c r="BM321" s="45" t="n">
        <f aca="false">BM135</f>
        <v>1200.759</v>
      </c>
      <c r="BN321" s="45" t="n">
        <f aca="false">BN135</f>
        <v>1235.629</v>
      </c>
      <c r="BO321" s="45" t="n">
        <f aca="false">BO135</f>
        <v>1218.325</v>
      </c>
      <c r="BP321" s="45" t="n">
        <f aca="false">BP135</f>
        <v>1255.486</v>
      </c>
      <c r="BQ321" s="45" t="n">
        <f aca="false">BQ135</f>
        <v>4910.199</v>
      </c>
      <c r="BR321" s="45" t="n">
        <f aca="false">BR135</f>
        <v>1249.456</v>
      </c>
      <c r="BS321" s="45" t="n">
        <f aca="false">BS135</f>
        <v>1285.08</v>
      </c>
      <c r="BT321" s="45" t="n">
        <f aca="false">BT135</f>
        <v>1289.818</v>
      </c>
      <c r="BU321" s="45" t="n">
        <f aca="false">BU135</f>
        <v>1341.663</v>
      </c>
      <c r="BV321" s="45" t="n">
        <f aca="false">BV135</f>
        <v>5166.017</v>
      </c>
      <c r="BW321" s="45" t="n">
        <f aca="false">BW135</f>
        <v>1351.561</v>
      </c>
      <c r="BX321" s="45" t="n">
        <f aca="false">BX135</f>
        <v>1387.507</v>
      </c>
      <c r="BY321" s="45" t="n">
        <f aca="false">BY135</f>
        <v>1392.988</v>
      </c>
      <c r="BZ321" s="45" t="n">
        <f aca="false">BZ135</f>
        <v>1424.912</v>
      </c>
      <c r="CA321" s="45" t="n">
        <f aca="false">CA135</f>
        <v>5556.968</v>
      </c>
      <c r="CB321" s="45" t="n">
        <f aca="false">CB135</f>
        <v>1460.438</v>
      </c>
      <c r="CC321" s="43"/>
      <c r="CD321" s="43"/>
      <c r="CE321" s="43"/>
      <c r="CF321" s="35" t="n">
        <f aca="false">CF135+CF65*(1-CF68)*(365-CF64)/365*CF63</f>
        <v>7730.79526440208</v>
      </c>
      <c r="CG321" s="35" t="n">
        <f aca="false">CG135</f>
        <v>8134.89016794176</v>
      </c>
      <c r="CH321" s="35" t="n">
        <f aca="false">CH135</f>
        <v>8633.15163404788</v>
      </c>
      <c r="CI321" s="35" t="n">
        <f aca="false">CI135</f>
        <v>9175.51010270016</v>
      </c>
      <c r="CJ321" s="35" t="n">
        <f aca="false">CJ135</f>
        <v>9763.21879843986</v>
      </c>
      <c r="CK321" s="23"/>
    </row>
    <row r="322" customFormat="false" ht="15" hidden="false" customHeight="true" outlineLevel="0" collapsed="false">
      <c r="B322" s="29" t="s">
        <v>622</v>
      </c>
      <c r="C322" s="77" t="n">
        <f aca="false">IFERROR(C281/C319*365,"n/a")</f>
        <v>41.8130774754319</v>
      </c>
      <c r="D322" s="77" t="n">
        <f aca="false">IFERROR(D281/D319*365,"n/a")</f>
        <v>40.2593946424236</v>
      </c>
      <c r="E322" s="77" t="n">
        <f aca="false">IFERROR(E281/E319*365,"n/a")</f>
        <v>39.8634983112827</v>
      </c>
      <c r="F322" s="77" t="n">
        <f aca="false">IFERROR(F281/F319*365,"n/a")</f>
        <v>34.5863217725453</v>
      </c>
      <c r="G322" s="77" t="n">
        <f aca="false">IFERROR(G281/G319*365,"n/a")</f>
        <v>37.6901855165238</v>
      </c>
      <c r="H322" s="77" t="n">
        <f aca="false">IFERROR(H281/H319*365,"n/a")</f>
        <v>41.1068320148311</v>
      </c>
      <c r="I322" s="77" t="n">
        <f aca="false">IFERROR(I281/I319*365,"n/a")</f>
        <v>40.1180558264261</v>
      </c>
      <c r="N322" s="77" t="n">
        <f aca="false">IFERROR(N281/N319*365,"n/a")</f>
        <v>41.9458129105929</v>
      </c>
      <c r="S322" s="77" t="n">
        <f aca="false">IFERROR(S281/S319*365,"n/a")</f>
        <v>40.7696660143257</v>
      </c>
      <c r="X322" s="77" t="n">
        <f aca="false">IFERROR(X281/X319*365,"n/a")</f>
        <v>40.4494217632524</v>
      </c>
      <c r="AC322" s="77" t="n">
        <f aca="false">IFERROR(AC281/AC319*365,"n/a")</f>
        <v>41.9043379843432</v>
      </c>
      <c r="AH322" s="77" t="n">
        <f aca="false">IFERROR(AH281/AH319*365,"n/a")</f>
        <v>50.4647178174923</v>
      </c>
      <c r="AM322" s="77" t="n">
        <f aca="false">IFERROR(AM281/AM319*365,"n/a")</f>
        <v>45.3434431661394</v>
      </c>
      <c r="AR322" s="77" t="n">
        <f aca="false">IFERROR(AR281/AR319*365,"n/a")</f>
        <v>48.1977939739446</v>
      </c>
      <c r="AW322" s="77" t="n">
        <f aca="false">IFERROR(AW281/AW319*365,"n/a")</f>
        <v>44.8382927882661</v>
      </c>
      <c r="BB322" s="77" t="n">
        <f aca="false">IFERROR(BB281/BB319*365,"n/a")</f>
        <v>46.2490760700023</v>
      </c>
      <c r="BG322" s="77" t="n">
        <f aca="false">IFERROR(BG281/BG319*365,"n/a")</f>
        <v>46.759464910314</v>
      </c>
      <c r="BL322" s="77" t="n">
        <f aca="false">IFERROR(BL281/BL319*365,"n/a")</f>
        <v>47.7374628350629</v>
      </c>
      <c r="BQ322" s="77" t="n">
        <f aca="false">IFERROR(BQ281/BQ319*365,"n/a")</f>
        <v>47.3215222242426</v>
      </c>
      <c r="BV322" s="77" t="n">
        <f aca="false">IFERROR(BV281/BV319*365,"n/a")</f>
        <v>50.0323993361431</v>
      </c>
      <c r="CA322" s="77" t="n">
        <f aca="false">IFERROR(CA281/CA319*365,"n/a")</f>
        <v>50.3911578772066</v>
      </c>
      <c r="CC322" s="78"/>
      <c r="CD322" s="78"/>
      <c r="CE322" s="78"/>
      <c r="CF322" s="79" t="n">
        <f aca="false">$CU$54</f>
        <v>50.3911578772066</v>
      </c>
      <c r="CG322" s="79" t="n">
        <f aca="false">CF322</f>
        <v>50.3911578772066</v>
      </c>
      <c r="CH322" s="79" t="n">
        <f aca="false">CG322</f>
        <v>50.3911578772066</v>
      </c>
      <c r="CI322" s="79" t="n">
        <f aca="false">CH322</f>
        <v>50.3911578772066</v>
      </c>
      <c r="CJ322" s="79" t="n">
        <f aca="false">CI322</f>
        <v>50.3911578772066</v>
      </c>
      <c r="CK322" s="23"/>
    </row>
    <row r="323" customFormat="false" ht="15" hidden="false" customHeight="true" outlineLevel="0" collapsed="false">
      <c r="B323" s="29" t="s">
        <v>623</v>
      </c>
      <c r="C323" s="77" t="n">
        <f aca="false">IFERROR(C282/C321*365,"n/a")</f>
        <v>37.0840551391204</v>
      </c>
      <c r="D323" s="77" t="n">
        <f aca="false">IFERROR(D282/D321*365,"n/a")</f>
        <v>39.794718531012</v>
      </c>
      <c r="E323" s="77" t="n">
        <f aca="false">IFERROR(E282/E321*365,"n/a")</f>
        <v>38.6093094889864</v>
      </c>
      <c r="F323" s="77" t="n">
        <f aca="false">IFERROR(F282/F321*365,"n/a")</f>
        <v>33.212361735289</v>
      </c>
      <c r="G323" s="77" t="n">
        <f aca="false">IFERROR(G282/G321*365,"n/a")</f>
        <v>30.1834574110451</v>
      </c>
      <c r="H323" s="77" t="n">
        <f aca="false">IFERROR(H282/H321*365,"n/a")</f>
        <v>41.3998883284108</v>
      </c>
      <c r="I323" s="77" t="n">
        <f aca="false">IFERROR(I282/I321*365,"n/a")</f>
        <v>38.7958599335193</v>
      </c>
      <c r="N323" s="77" t="n">
        <f aca="false">IFERROR(N282/N321*365,"n/a")</f>
        <v>34.6961576719259</v>
      </c>
      <c r="S323" s="77" t="n">
        <f aca="false">IFERROR(S282/S321*365,"n/a")</f>
        <v>34.7695954313031</v>
      </c>
      <c r="X323" s="77" t="n">
        <f aca="false">IFERROR(X282/X321*365,"n/a")</f>
        <v>32.308914835912</v>
      </c>
      <c r="AC323" s="77" t="n">
        <f aca="false">IFERROR(AC282/AC321*365,"n/a")</f>
        <v>32.7920174031593</v>
      </c>
      <c r="AH323" s="77" t="n">
        <f aca="false">IFERROR(AH282/AH321*365,"n/a")</f>
        <v>34.5044521294995</v>
      </c>
      <c r="AM323" s="77" t="n">
        <f aca="false">IFERROR(AM282/AM321*365,"n/a")</f>
        <v>28.6781191381766</v>
      </c>
      <c r="AR323" s="77" t="n">
        <f aca="false">IFERROR(AR282/AR321*365,"n/a")</f>
        <v>32.4479895528753</v>
      </c>
      <c r="AW323" s="77" t="n">
        <f aca="false">IFERROR(AW282/AW321*365,"n/a")</f>
        <v>38.7518447971269</v>
      </c>
      <c r="BB323" s="77" t="n">
        <f aca="false">IFERROR(BB282/BB321*365,"n/a")</f>
        <v>46.2573095800314</v>
      </c>
      <c r="BG323" s="77" t="n">
        <f aca="false">IFERROR(BG282/BG321*365,"n/a")</f>
        <v>40.8162141512046</v>
      </c>
      <c r="BL323" s="77" t="n">
        <f aca="false">IFERROR(BL282/BL321*365,"n/a")</f>
        <v>39.8307815287822</v>
      </c>
      <c r="BQ323" s="77" t="n">
        <f aca="false">IFERROR(BQ282/BQ321*365,"n/a")</f>
        <v>30.4923211869824</v>
      </c>
      <c r="BV323" s="77" t="n">
        <f aca="false">IFERROR(BV282/BV321*365,"n/a")</f>
        <v>31.6111851741874</v>
      </c>
      <c r="CA323" s="77" t="n">
        <f aca="false">IFERROR(CA282/CA321*365,"n/a")</f>
        <v>29.3233243380203</v>
      </c>
      <c r="CC323" s="78"/>
      <c r="CD323" s="78"/>
      <c r="CE323" s="78"/>
      <c r="CF323" s="79" t="n">
        <f aca="false">$CU$55</f>
        <v>29.3233243380203</v>
      </c>
      <c r="CG323" s="79" t="n">
        <f aca="false">CF323</f>
        <v>29.3233243380203</v>
      </c>
      <c r="CH323" s="79" t="n">
        <f aca="false">CG323</f>
        <v>29.3233243380203</v>
      </c>
      <c r="CI323" s="79" t="n">
        <f aca="false">CH323</f>
        <v>29.3233243380203</v>
      </c>
      <c r="CJ323" s="79" t="n">
        <f aca="false">CI323</f>
        <v>29.3233243380203</v>
      </c>
      <c r="CK323" s="23"/>
    </row>
    <row r="324" customFormat="false" ht="15" hidden="false" customHeight="true" outlineLevel="0" collapsed="false">
      <c r="B324" s="29" t="s">
        <v>624</v>
      </c>
      <c r="C324" s="37" t="n">
        <f aca="false">IFERROR(C283/C320,"n/a")</f>
        <v>0.131380470698885</v>
      </c>
      <c r="D324" s="37" t="n">
        <f aca="false">IFERROR(D283/D320,"n/a")</f>
        <v>0.12613447747391</v>
      </c>
      <c r="E324" s="37" t="n">
        <f aca="false">IFERROR(E283/E320,"n/a")</f>
        <v>0.130678113913655</v>
      </c>
      <c r="F324" s="37" t="n">
        <f aca="false">IFERROR(F283/F320,"n/a")</f>
        <v>0.121758683709526</v>
      </c>
      <c r="G324" s="37" t="n">
        <f aca="false">IFERROR(G283/G320,"n/a")</f>
        <v>0.129256463776735</v>
      </c>
      <c r="H324" s="37" t="n">
        <f aca="false">IFERROR(H283/H320,"n/a")</f>
        <v>0.146281471840633</v>
      </c>
      <c r="I324" s="37" t="n">
        <f aca="false">IFERROR(I283/I320,"n/a")</f>
        <v>0.155475419270457</v>
      </c>
      <c r="N324" s="37" t="n">
        <f aca="false">IFERROR(N283/N320,"n/a")</f>
        <v>0.163159075434533</v>
      </c>
      <c r="S324" s="37" t="n">
        <f aca="false">IFERROR(S283/S320,"n/a")</f>
        <v>0.157117865462339</v>
      </c>
      <c r="X324" s="37" t="n">
        <f aca="false">IFERROR(X283/X320,"n/a")</f>
        <v>0.154562026260248</v>
      </c>
      <c r="AC324" s="37" t="n">
        <f aca="false">IFERROR(AC283/AC320,"n/a")</f>
        <v>0.142928650820941</v>
      </c>
      <c r="AH324" s="37" t="n">
        <f aca="false">IFERROR(AH283/AH320,"n/a")</f>
        <v>0.151267938769634</v>
      </c>
      <c r="AM324" s="37" t="n">
        <f aca="false">IFERROR(AM283/AM320,"n/a")</f>
        <v>0.133837317357089</v>
      </c>
      <c r="AR324" s="37" t="n">
        <f aca="false">IFERROR(AR283/AR320,"n/a")</f>
        <v>0.141223392280497</v>
      </c>
      <c r="AW324" s="37" t="n">
        <f aca="false">IFERROR(AW283/AW320,"n/a")</f>
        <v>0.136513124670638</v>
      </c>
      <c r="BB324" s="37" t="n">
        <f aca="false">IFERROR(BB283/BB320,"n/a")</f>
        <v>0.142382495036586</v>
      </c>
      <c r="BG324" s="37" t="n">
        <f aca="false">IFERROR(BG283/BG320,"n/a")</f>
        <v>0.147215182961885</v>
      </c>
      <c r="BL324" s="37" t="n">
        <f aca="false">IFERROR(BL283/BL320,"n/a")</f>
        <v>0.146715807879509</v>
      </c>
      <c r="BQ324" s="37" t="n">
        <f aca="false">IFERROR(BQ283/BQ320,"n/a")</f>
        <v>0.139332387522422</v>
      </c>
      <c r="BV324" s="37" t="n">
        <f aca="false">IFERROR(BV283/BV320,"n/a")</f>
        <v>0.142596613646841</v>
      </c>
      <c r="CA324" s="37" t="n">
        <f aca="false">IFERROR(CA283/CA320,"n/a")</f>
        <v>0.14802014098504</v>
      </c>
      <c r="CC324" s="33"/>
      <c r="CD324" s="33"/>
      <c r="CE324" s="33"/>
      <c r="CF324" s="28" t="n">
        <f aca="false">$CU$56</f>
        <v>0.14802014098504</v>
      </c>
      <c r="CG324" s="28" t="n">
        <f aca="false">CF324</f>
        <v>0.14802014098504</v>
      </c>
      <c r="CH324" s="28" t="n">
        <f aca="false">CG324</f>
        <v>0.14802014098504</v>
      </c>
      <c r="CI324" s="28" t="n">
        <f aca="false">CH324</f>
        <v>0.14802014098504</v>
      </c>
      <c r="CJ324" s="28" t="n">
        <f aca="false">CI324</f>
        <v>0.14802014098504</v>
      </c>
      <c r="CK324" s="23"/>
    </row>
    <row r="325" customFormat="false" ht="15" hidden="false" customHeight="true" outlineLevel="0" collapsed="false">
      <c r="B325" s="29" t="s">
        <v>625</v>
      </c>
      <c r="C325" s="37" t="n">
        <f aca="false">IFERROR(C284/C319,"n/a")</f>
        <v>0.00327975489539336</v>
      </c>
      <c r="D325" s="37" t="n">
        <f aca="false">IFERROR(D284/D319,"n/a")</f>
        <v>0.00425719603981764</v>
      </c>
      <c r="E325" s="37" t="n">
        <f aca="false">IFERROR(E284/E319,"n/a")</f>
        <v>0.0130724497828792</v>
      </c>
      <c r="F325" s="37" t="n">
        <f aca="false">IFERROR(F284/F319,"n/a")</f>
        <v>0.0262662977175579</v>
      </c>
      <c r="G325" s="37" t="n">
        <f aca="false">IFERROR(G284/G319,"n/a")</f>
        <v>0.02564344710218</v>
      </c>
      <c r="H325" s="37" t="n">
        <f aca="false">IFERROR(H284/H319,"n/a")</f>
        <v>0.0269883560292086</v>
      </c>
      <c r="I325" s="37" t="n">
        <f aca="false">IFERROR(I284/I319,"n/a")</f>
        <v>0.0114314968308142</v>
      </c>
      <c r="N325" s="37" t="n">
        <f aca="false">IFERROR(N284/N319,"n/a")</f>
        <v>0.0077915500880233</v>
      </c>
      <c r="S325" s="37" t="n">
        <f aca="false">IFERROR(S284/S319,"n/a")</f>
        <v>0.00575375257150339</v>
      </c>
      <c r="X325" s="37" t="n">
        <f aca="false">IFERROR(X284/X319,"n/a")</f>
        <v>0.0103435736357817</v>
      </c>
      <c r="AC325" s="37" t="n">
        <f aca="false">IFERROR(AC284/AC319,"n/a")</f>
        <v>0.00566246821397717</v>
      </c>
      <c r="AH325" s="37" t="n">
        <f aca="false">IFERROR(AH284/AH319,"n/a")</f>
        <v>0.0212393214011922</v>
      </c>
      <c r="AM325" s="37" t="n">
        <f aca="false">IFERROR(AM284/AM319,"n/a")</f>
        <v>0.00803148920611824</v>
      </c>
      <c r="AR325" s="37" t="n">
        <f aca="false">IFERROR(AR284/AR319,"n/a")</f>
        <v>0.0160748881759841</v>
      </c>
      <c r="AW325" s="37" t="n">
        <f aca="false">IFERROR(AW284/AW319,"n/a")</f>
        <v>0.016177425364708</v>
      </c>
      <c r="BB325" s="37" t="n">
        <f aca="false">IFERROR(BB284/BB319,"n/a")</f>
        <v>0.0219295311915957</v>
      </c>
      <c r="BG325" s="37" t="n">
        <f aca="false">IFERROR(BG284/BG319,"n/a")</f>
        <v>0.018643677432144</v>
      </c>
      <c r="BL325" s="37" t="n">
        <f aca="false">IFERROR(BL284/BL319,"n/a")</f>
        <v>0.016197679408342</v>
      </c>
      <c r="BQ325" s="37" t="n">
        <f aca="false">IFERROR(BQ284/BQ319,"n/a")</f>
        <v>0.0154913998321283</v>
      </c>
      <c r="BV325" s="37" t="n">
        <f aca="false">IFERROR(BV284/BV319,"n/a")</f>
        <v>0.0164451666755156</v>
      </c>
      <c r="CA325" s="37" t="n">
        <f aca="false">IFERROR(CA284/CA319,"n/a")</f>
        <v>0.0254088835084917</v>
      </c>
      <c r="CC325" s="33"/>
      <c r="CD325" s="33"/>
      <c r="CE325" s="33"/>
      <c r="CF325" s="28" t="n">
        <f aca="false">$CU$57</f>
        <v>0.0254088835084917</v>
      </c>
      <c r="CG325" s="28" t="n">
        <f aca="false">CF325</f>
        <v>0.0254088835084917</v>
      </c>
      <c r="CH325" s="28" t="n">
        <f aca="false">CG325</f>
        <v>0.0254088835084917</v>
      </c>
      <c r="CI325" s="28" t="n">
        <f aca="false">CH325</f>
        <v>0.0254088835084917</v>
      </c>
      <c r="CJ325" s="28" t="n">
        <f aca="false">CI325</f>
        <v>0.0254088835084917</v>
      </c>
      <c r="CK325" s="23"/>
    </row>
    <row r="326" customFormat="false" ht="15" hidden="false" customHeight="true" outlineLevel="0" collapsed="false">
      <c r="B326" s="29" t="s">
        <v>626</v>
      </c>
      <c r="C326" s="77" t="n">
        <f aca="false">IFERROR(C294/C321*365,"n/a")</f>
        <v>13.4167489388429</v>
      </c>
      <c r="D326" s="77" t="n">
        <f aca="false">IFERROR(D294/D321*365,"n/a")</f>
        <v>11.09693278665</v>
      </c>
      <c r="E326" s="77" t="n">
        <f aca="false">IFERROR(E294/E321*365,"n/a")</f>
        <v>15.3284470150246</v>
      </c>
      <c r="F326" s="77" t="n">
        <f aca="false">IFERROR(F294/F321*365,"n/a")</f>
        <v>11.4835256006123</v>
      </c>
      <c r="G326" s="77" t="n">
        <f aca="false">IFERROR(G294/G321*365,"n/a")</f>
        <v>12.7774451799005</v>
      </c>
      <c r="H326" s="77" t="n">
        <f aca="false">IFERROR(H294/H321*365,"n/a")</f>
        <v>18.2871699884194</v>
      </c>
      <c r="I326" s="77" t="n">
        <f aca="false">IFERROR(I294/I321*365,"n/a")</f>
        <v>14.6469988897314</v>
      </c>
      <c r="N326" s="77" t="n">
        <f aca="false">IFERROR(N294/N321*365,"n/a")</f>
        <v>17.4648197757258</v>
      </c>
      <c r="S326" s="77" t="n">
        <f aca="false">IFERROR(S294/S321*365,"n/a")</f>
        <v>20.7685637435894</v>
      </c>
      <c r="X326" s="77" t="n">
        <f aca="false">IFERROR(X294/X321*365,"n/a")</f>
        <v>15.654779070955</v>
      </c>
      <c r="AC326" s="77" t="n">
        <f aca="false">IFERROR(AC294/AC321*365,"n/a")</f>
        <v>15.059010919488</v>
      </c>
      <c r="AH326" s="77" t="n">
        <f aca="false">IFERROR(AH294/AH321*365,"n/a")</f>
        <v>21.9577732353047</v>
      </c>
      <c r="AM326" s="77" t="n">
        <f aca="false">IFERROR(AM294/AM321*365,"n/a")</f>
        <v>22.0010123009135</v>
      </c>
      <c r="AR326" s="77" t="n">
        <f aca="false">IFERROR(AR294/AR321*365,"n/a")</f>
        <v>21.9191144919315</v>
      </c>
      <c r="AW326" s="77" t="n">
        <f aca="false">IFERROR(AW294/AW321*365,"n/a")</f>
        <v>21.8917245594557</v>
      </c>
      <c r="BB326" s="77" t="n">
        <f aca="false">IFERROR(BB294/BB321*365,"n/a")</f>
        <v>22.1577540929834</v>
      </c>
      <c r="BG326" s="77" t="n">
        <f aca="false">IFERROR(BG294/BG321*365,"n/a")</f>
        <v>21.7419064362693</v>
      </c>
      <c r="BL326" s="77" t="n">
        <f aca="false">IFERROR(BL294/BL321*365,"n/a")</f>
        <v>23.7671368759398</v>
      </c>
      <c r="BQ326" s="77" t="n">
        <f aca="false">IFERROR(BQ294/BQ321*365,"n/a")</f>
        <v>25.2119292924788</v>
      </c>
      <c r="BV326" s="77" t="n">
        <f aca="false">IFERROR(BV294/BV321*365,"n/a")</f>
        <v>34.2749133423293</v>
      </c>
      <c r="CA326" s="77" t="n">
        <f aca="false">IFERROR(CA294/CA321*365,"n/a")</f>
        <v>30.2903138905965</v>
      </c>
      <c r="CC326" s="78"/>
      <c r="CD326" s="78"/>
      <c r="CE326" s="78"/>
      <c r="CF326" s="79" t="n">
        <f aca="false">$CU$58</f>
        <v>30.2903138905965</v>
      </c>
      <c r="CG326" s="79" t="n">
        <f aca="false">CF326</f>
        <v>30.2903138905965</v>
      </c>
      <c r="CH326" s="79" t="n">
        <f aca="false">CG326</f>
        <v>30.2903138905965</v>
      </c>
      <c r="CI326" s="79" t="n">
        <f aca="false">CH326</f>
        <v>30.2903138905965</v>
      </c>
      <c r="CJ326" s="79" t="n">
        <f aca="false">CI326</f>
        <v>30.2903138905965</v>
      </c>
      <c r="CK326" s="23"/>
    </row>
    <row r="327" customFormat="false" ht="15" hidden="false" customHeight="true" outlineLevel="0" collapsed="false">
      <c r="B327" s="29" t="s">
        <v>627</v>
      </c>
      <c r="C327" s="37" t="n">
        <f aca="false">IFERROR(C295/C319,"n/a")</f>
        <v>0.0151647898347871</v>
      </c>
      <c r="D327" s="37" t="n">
        <f aca="false">IFERROR(D295/D319,"n/a")</f>
        <v>0.0169483935363781</v>
      </c>
      <c r="E327" s="37" t="n">
        <f aca="false">IFERROR(E295/E319,"n/a")</f>
        <v>0.0128507580182331</v>
      </c>
      <c r="F327" s="37" t="n">
        <f aca="false">IFERROR(F295/F319,"n/a")</f>
        <v>0.0128259709088308</v>
      </c>
      <c r="G327" s="37" t="n">
        <f aca="false">IFERROR(G295/G319,"n/a")</f>
        <v>0.0188659724937481</v>
      </c>
      <c r="H327" s="37" t="n">
        <f aca="false">IFERROR(H295/H319,"n/a")</f>
        <v>0.0209516941074705</v>
      </c>
      <c r="I327" s="37" t="n">
        <f aca="false">IFERROR(I295/I319,"n/a")</f>
        <v>0.022236470014627</v>
      </c>
      <c r="N327" s="37" t="n">
        <f aca="false">IFERROR(N295/N319,"n/a")</f>
        <v>0.0180819007008271</v>
      </c>
      <c r="S327" s="37" t="n">
        <f aca="false">IFERROR(S295/S319,"n/a")</f>
        <v>0.018679593972686</v>
      </c>
      <c r="X327" s="37" t="n">
        <f aca="false">IFERROR(X295/X319,"n/a")</f>
        <v>0.019751005498018</v>
      </c>
      <c r="AC327" s="37" t="n">
        <f aca="false">IFERROR(AC295/AC319,"n/a")</f>
        <v>0.0207882729808307</v>
      </c>
      <c r="AH327" s="37" t="n">
        <f aca="false">IFERROR(AH295/AH319,"n/a")</f>
        <v>0.0281090156800725</v>
      </c>
      <c r="AM327" s="37" t="n">
        <f aca="false">IFERROR(AM295/AM319,"n/a")</f>
        <v>0.0217171517541833</v>
      </c>
      <c r="AR327" s="37" t="n">
        <f aca="false">IFERROR(AR295/AR319,"n/a")</f>
        <v>0.0225627050929131</v>
      </c>
      <c r="AW327" s="37" t="n">
        <f aca="false">IFERROR(AW295/AW319,"n/a")</f>
        <v>0.0179837462174247</v>
      </c>
      <c r="BB327" s="37" t="n">
        <f aca="false">IFERROR(BB295/BB319,"n/a")</f>
        <v>0.0339316277749517</v>
      </c>
      <c r="BG327" s="37" t="n">
        <f aca="false">IFERROR(BG295/BG319,"n/a")</f>
        <v>0.0301729247042985</v>
      </c>
      <c r="BL327" s="37" t="n">
        <f aca="false">IFERROR(BL295/BL319,"n/a")</f>
        <v>0.0271202659688565</v>
      </c>
      <c r="BQ327" s="37" t="n">
        <f aca="false">IFERROR(BQ295/BQ319,"n/a")</f>
        <v>0.022313076016908</v>
      </c>
      <c r="BV327" s="37" t="n">
        <f aca="false">IFERROR(BV295/BV319,"n/a")</f>
        <v>0.0221986442983928</v>
      </c>
      <c r="CA327" s="37" t="n">
        <f aca="false">IFERROR(CA295/CA319,"n/a")</f>
        <v>0.0210427899890641</v>
      </c>
      <c r="CC327" s="33"/>
      <c r="CD327" s="33"/>
      <c r="CE327" s="33"/>
      <c r="CF327" s="28" t="n">
        <f aca="false">$CU$59</f>
        <v>0.0210427899890641</v>
      </c>
      <c r="CG327" s="28" t="n">
        <f aca="false">CF327</f>
        <v>0.0210427899890641</v>
      </c>
      <c r="CH327" s="28" t="n">
        <f aca="false">CG327</f>
        <v>0.0210427899890641</v>
      </c>
      <c r="CI327" s="28" t="n">
        <f aca="false">CH327</f>
        <v>0.0210427899890641</v>
      </c>
      <c r="CJ327" s="28" t="n">
        <f aca="false">CI327</f>
        <v>0.0210427899890641</v>
      </c>
      <c r="CK327" s="23"/>
    </row>
    <row r="328" customFormat="false" ht="15" hidden="false" customHeight="true" outlineLevel="0" collapsed="false">
      <c r="B328" s="29" t="s">
        <v>628</v>
      </c>
      <c r="C328" s="37" t="n">
        <f aca="false">IFERROR(C296/C319,"n/a")</f>
        <v>0.0555078610697824</v>
      </c>
      <c r="D328" s="37" t="n">
        <f aca="false">IFERROR(D296/D319,"n/a")</f>
        <v>0.0541384984758154</v>
      </c>
      <c r="E328" s="37" t="n">
        <f aca="false">IFERROR(E296/E319,"n/a")</f>
        <v>0.0528009852967318</v>
      </c>
      <c r="F328" s="37" t="n">
        <f aca="false">IFERROR(F296/F319,"n/a")</f>
        <v>0.0525839904521834</v>
      </c>
      <c r="G328" s="37" t="n">
        <f aca="false">IFERROR(G296/G319,"n/a")</f>
        <v>0.0688972776495283</v>
      </c>
      <c r="H328" s="37" t="n">
        <f aca="false">IFERROR(H296/H319,"n/a")</f>
        <v>0.0636920058450802</v>
      </c>
      <c r="I328" s="37" t="n">
        <f aca="false">IFERROR(I296/I319,"n/a")</f>
        <v>0.0625650901999025</v>
      </c>
      <c r="N328" s="37" t="n">
        <f aca="false">IFERROR(N296/N319,"n/a")</f>
        <v>0.0629729702805834</v>
      </c>
      <c r="S328" s="37" t="n">
        <f aca="false">IFERROR(S296/S319,"n/a")</f>
        <v>0.065847842573463</v>
      </c>
      <c r="X328" s="37" t="n">
        <f aca="false">IFERROR(X296/X319,"n/a")</f>
        <v>0.0692300407023989</v>
      </c>
      <c r="AC328" s="37" t="n">
        <f aca="false">IFERROR(AC296/AC319,"n/a")</f>
        <v>0.0711584932538409</v>
      </c>
      <c r="AH328" s="37" t="n">
        <f aca="false">IFERROR(AH296/AH319,"n/a")</f>
        <v>0.0807398531121481</v>
      </c>
      <c r="AM328" s="37" t="n">
        <f aca="false">IFERROR(AM296/AM319,"n/a")</f>
        <v>0.0648684377929764</v>
      </c>
      <c r="AR328" s="37" t="n">
        <f aca="false">IFERROR(AR296/AR319,"n/a")</f>
        <v>0.0629600875063096</v>
      </c>
      <c r="AW328" s="37" t="n">
        <f aca="false">IFERROR(AW296/AW319,"n/a")</f>
        <v>0.0644524016530419</v>
      </c>
      <c r="BB328" s="37" t="n">
        <f aca="false">IFERROR(BB296/BB319,"n/a")</f>
        <v>0.0729181011587417</v>
      </c>
      <c r="BG328" s="37" t="n">
        <f aca="false">IFERROR(BG296/BG319,"n/a")</f>
        <v>0.074982630885208</v>
      </c>
      <c r="BL328" s="37" t="n">
        <f aca="false">IFERROR(BL296/BL319,"n/a")</f>
        <v>0.0717468890121781</v>
      </c>
      <c r="BQ328" s="37" t="n">
        <f aca="false">IFERROR(BQ296/BQ319,"n/a")</f>
        <v>0.0793282839834671</v>
      </c>
      <c r="BV328" s="37" t="n">
        <f aca="false">IFERROR(BV296/BV319,"n/a")</f>
        <v>0.0846287893799925</v>
      </c>
      <c r="CA328" s="37" t="n">
        <f aca="false">IFERROR(CA296/CA319,"n/a")</f>
        <v>0.0789362508445585</v>
      </c>
      <c r="CC328" s="33"/>
      <c r="CD328" s="33"/>
      <c r="CE328" s="33"/>
      <c r="CF328" s="28" t="n">
        <f aca="false">$CU$60</f>
        <v>0.0789362508445585</v>
      </c>
      <c r="CG328" s="28" t="n">
        <f aca="false">CF328</f>
        <v>0.0789362508445585</v>
      </c>
      <c r="CH328" s="28" t="n">
        <f aca="false">CG328</f>
        <v>0.0789362508445585</v>
      </c>
      <c r="CI328" s="28" t="n">
        <f aca="false">CH328</f>
        <v>0.0789362508445585</v>
      </c>
      <c r="CJ328" s="28" t="n">
        <f aca="false">CI328</f>
        <v>0.0789362508445585</v>
      </c>
      <c r="CK328" s="23" t="s">
        <v>629</v>
      </c>
    </row>
    <row r="329" customFormat="false" ht="15" hidden="false" customHeight="true" outlineLevel="0" collapsed="false">
      <c r="B329" s="29" t="s">
        <v>630</v>
      </c>
      <c r="C329" s="45" t="n">
        <f aca="false">C281+C282+C283+C284-C294-C295-C296-C297</f>
        <v>528.341</v>
      </c>
      <c r="D329" s="45" t="n">
        <f aca="false">D281+D282+D283+D284-D294-D295-D296-D297</f>
        <v>602.426</v>
      </c>
      <c r="E329" s="45" t="n">
        <f aca="false">E281+E282+E283+E284-E294-E295-E296-E297</f>
        <v>724.469</v>
      </c>
      <c r="F329" s="45" t="n">
        <f aca="false">F281+F282+F283+F284-F294-F295-F296-F297</f>
        <v>703.268</v>
      </c>
      <c r="G329" s="45" t="n">
        <f aca="false">G281+G282+G283+G284-G294-G295-G296-G297</f>
        <v>575.784</v>
      </c>
      <c r="H329" s="45" t="n">
        <f aca="false">H281+H282+H283+H284-H294-H295-H296-H297</f>
        <v>742.647</v>
      </c>
      <c r="I329" s="45" t="n">
        <f aca="false">I281+I282+I283+I284-I294-I295-I296-I297</f>
        <v>756.488</v>
      </c>
      <c r="J329" s="45" t="n">
        <f aca="false">J281+J282+J283+J284-J294-J295-J296-J297</f>
        <v>810.237</v>
      </c>
      <c r="K329" s="45" t="n">
        <f aca="false">K281+K282+K283+K284-K294-K295-K296-K297</f>
        <v>688.795</v>
      </c>
      <c r="L329" s="45" t="n">
        <f aca="false">L281+L282+L283+L284-L294-L295-L296-L297</f>
        <v>763.688</v>
      </c>
      <c r="M329" s="45" t="n">
        <f aca="false">M281+M282+M283+M284-M294-M295-M296-M297</f>
        <v>718.804</v>
      </c>
      <c r="N329" s="45" t="n">
        <f aca="false">N281+N282+N283+N284-N294-N295-N296-N297</f>
        <v>718.804</v>
      </c>
      <c r="O329" s="45" t="n">
        <f aca="false">O281+O282+O283+O284-O294-O295-O296-O297</f>
        <v>781.935</v>
      </c>
      <c r="P329" s="45" t="n">
        <f aca="false">P281+P282+P283+P284-P294-P295-P296-P297</f>
        <v>691.445</v>
      </c>
      <c r="Q329" s="45" t="n">
        <f aca="false">Q281+Q282+Q283+Q284-Q294-Q295-Q296-Q297</f>
        <v>759.041</v>
      </c>
      <c r="R329" s="45" t="n">
        <f aca="false">R281+R282+R283+R284-R294-R295-R296-R297</f>
        <v>662.765</v>
      </c>
      <c r="S329" s="45" t="n">
        <f aca="false">S281+S282+S283+S284-S294-S295-S296-S297</f>
        <v>662.765</v>
      </c>
      <c r="T329" s="45" t="n">
        <f aca="false">T281+T282+T283+T284-T294-T295-T296-T297</f>
        <v>795.485</v>
      </c>
      <c r="U329" s="45" t="n">
        <f aca="false">U281+U282+U283+U284-U294-U295-U296-U297</f>
        <v>467.492</v>
      </c>
      <c r="V329" s="45" t="n">
        <f aca="false">V281+V282+V283+V284-V294-V295-V296-V297</f>
        <v>640.706</v>
      </c>
      <c r="W329" s="45" t="n">
        <f aca="false">W281+W282+W283+W284-W294-W295-W296-W297</f>
        <v>681.595</v>
      </c>
      <c r="X329" s="45" t="n">
        <f aca="false">X281+X282+X283+X284-X294-X295-X296-X297</f>
        <v>681.595</v>
      </c>
      <c r="Y329" s="45" t="n">
        <f aca="false">Y281+Y282+Y283+Y284-Y294-Y295-Y296-Y297</f>
        <v>824.412</v>
      </c>
      <c r="Z329" s="45" t="n">
        <f aca="false">Z281+Z282+Z283+Z284-Z294-Z295-Z296-Z297</f>
        <v>489.688</v>
      </c>
      <c r="AA329" s="45" t="n">
        <f aca="false">AA281+AA282+AA283+AA284-AA294-AA295-AA296-AA297</f>
        <v>763.201</v>
      </c>
      <c r="AB329" s="45" t="n">
        <f aca="false">AB281+AB282+AB283+AB284-AB294-AB295-AB296-AB297</f>
        <v>814.718</v>
      </c>
      <c r="AC329" s="45" t="n">
        <f aca="false">AC281+AC282+AC283+AC284-AC294-AC295-AC296-AC297</f>
        <v>814.718</v>
      </c>
      <c r="AD329" s="45" t="n">
        <f aca="false">AD281+AD282+AD283+AD284-AD294-AD295-AD296-AD297</f>
        <v>883.922</v>
      </c>
      <c r="AE329" s="45" t="n">
        <f aca="false">AE281+AE282+AE283+AE284-AE294-AE295-AE296-AE297</f>
        <v>774.332</v>
      </c>
      <c r="AF329" s="45" t="n">
        <f aca="false">AF281+AF282+AF283+AF284-AF294-AF295-AF296-AF297</f>
        <v>938.08</v>
      </c>
      <c r="AG329" s="45" t="n">
        <f aca="false">AG281+AG282+AG283+AG284-AG294-AG295-AG296-AG297</f>
        <v>995.041</v>
      </c>
      <c r="AH329" s="45" t="n">
        <f aca="false">AH281+AH282+AH283+AH284-AH294-AH295-AH296-AH297</f>
        <v>995.041</v>
      </c>
      <c r="AI329" s="45" t="n">
        <f aca="false">AI281+AI282+AI283+AI284-AI294-AI295-AI296-AI297</f>
        <v>974.168</v>
      </c>
      <c r="AJ329" s="45" t="n">
        <f aca="false">AJ281+AJ282+AJ283+AJ284-AJ294-AJ295-AJ296-AJ297</f>
        <v>930.344</v>
      </c>
      <c r="AK329" s="45" t="n">
        <f aca="false">AK281+AK282+AK283+AK284-AK294-AK295-AK296-AK297</f>
        <v>1054.503</v>
      </c>
      <c r="AL329" s="45" t="n">
        <f aca="false">AL281+AL282+AL283+AL284-AL294-AL295-AL296-AL297</f>
        <v>1063.351</v>
      </c>
      <c r="AM329" s="45" t="n">
        <f aca="false">AM281+AM282+AM283+AM284-AM294-AM295-AM296-AM297</f>
        <v>1063.351</v>
      </c>
      <c r="AN329" s="45" t="n">
        <f aca="false">AN281+AN282+AN283+AN284-AN294-AN295-AN296-AN297</f>
        <v>1306.928</v>
      </c>
      <c r="AO329" s="45" t="n">
        <f aca="false">AO281+AO282+AO283+AO284-AO294-AO295-AO296-AO297</f>
        <v>1186.205</v>
      </c>
      <c r="AP329" s="45" t="n">
        <f aca="false">AP281+AP282+AP283+AP284-AP294-AP295-AP296-AP297</f>
        <v>1366.046</v>
      </c>
      <c r="AQ329" s="45" t="n">
        <f aca="false">AQ281+AQ282+AQ283+AQ284-AQ294-AQ295-AQ296-AQ297</f>
        <v>1324.166</v>
      </c>
      <c r="AR329" s="45" t="n">
        <f aca="false">AR281+AR282+AR283+AR284-AR294-AR295-AR296-AR297</f>
        <v>1324.166</v>
      </c>
      <c r="AS329" s="45" t="n">
        <f aca="false">AS281+AS282+AS283+AS284-AS294-AS295-AS296-AS297</f>
        <v>1446.591</v>
      </c>
      <c r="AT329" s="45" t="n">
        <f aca="false">AT281+AT282+AT283+AT284-AT294-AT295-AT296-AT297</f>
        <v>1210.552</v>
      </c>
      <c r="AU329" s="45" t="n">
        <f aca="false">AU281+AU282+AU283+AU284-AU294-AU295-AU296-AU297</f>
        <v>1440.462</v>
      </c>
      <c r="AV329" s="45" t="n">
        <f aca="false">AV281+AV282+AV283+AV284-AV294-AV295-AV296-AV297</f>
        <v>1322.133</v>
      </c>
      <c r="AW329" s="45" t="n">
        <f aca="false">AW281+AW282+AW283+AW284-AW294-AW295-AW296-AW297</f>
        <v>1322.133</v>
      </c>
      <c r="AX329" s="45" t="n">
        <f aca="false">AX281+AX282+AX283+AX284-AX294-AX295-AX296-AX297</f>
        <v>1444.507</v>
      </c>
      <c r="AY329" s="45" t="n">
        <f aca="false">AY281+AY282+AY283+AY284-AY294-AY295-AY296-AY297</f>
        <v>1183.68</v>
      </c>
      <c r="AZ329" s="45" t="n">
        <f aca="false">AZ281+AZ282+AZ283+AZ284-AZ294-AZ295-AZ296-AZ297</f>
        <v>1448.288</v>
      </c>
      <c r="BA329" s="45" t="n">
        <f aca="false">BA281+BA282+BA283+BA284-BA294-BA295-BA296-BA297</f>
        <v>1358.504</v>
      </c>
      <c r="BB329" s="45" t="n">
        <f aca="false">BB281+BB282+BB283+BB284-BB294-BB295-BB296-BB297</f>
        <v>1358.504</v>
      </c>
      <c r="BC329" s="45" t="n">
        <f aca="false">BC281+BC282+BC283+BC284-BC294-BC295-BC296-BC297</f>
        <v>1447.353</v>
      </c>
      <c r="BD329" s="45" t="n">
        <f aca="false">BD281+BD282+BD283+BD284-BD294-BD295-BD296-BD297</f>
        <v>1524.039</v>
      </c>
      <c r="BE329" s="45" t="n">
        <f aca="false">BE281+BE282+BE283+BE284-BE294-BE295-BE296-BE297</f>
        <v>1532.276</v>
      </c>
      <c r="BF329" s="45" t="n">
        <f aca="false">BF281+BF282+BF283+BF284-BF294-BF295-BF296-BF297</f>
        <v>1464.068</v>
      </c>
      <c r="BG329" s="45" t="n">
        <f aca="false">BG281+BG282+BG283+BG284-BG294-BG295-BG296-BG297</f>
        <v>1464.068</v>
      </c>
      <c r="BH329" s="45" t="n">
        <f aca="false">BH281+BH282+BH283+BH284-BH294-BH295-BH296-BH297</f>
        <v>1624.697</v>
      </c>
      <c r="BI329" s="45" t="n">
        <f aca="false">BI281+BI282+BI283+BI284-BI294-BI295-BI296-BI297</f>
        <v>1727.832</v>
      </c>
      <c r="BJ329" s="45" t="n">
        <f aca="false">BJ281+BJ282+BJ283+BJ284-BJ294-BJ295-BJ296-BJ297</f>
        <v>1725.355</v>
      </c>
      <c r="BK329" s="45" t="n">
        <f aca="false">BK281+BK282+BK283+BK284-BK294-BK295-BK296-BK297</f>
        <v>1627.958</v>
      </c>
      <c r="BL329" s="45" t="n">
        <f aca="false">BL281+BL282+BL283+BL284-BL294-BL295-BL296-BL297</f>
        <v>1627.958</v>
      </c>
      <c r="BM329" s="45" t="n">
        <f aca="false">BM281+BM282+BM283+BM284-BM294-BM295-BM296-BM297</f>
        <v>1774.366</v>
      </c>
      <c r="BN329" s="45" t="n">
        <f aca="false">BN281+BN282+BN283+BN284-BN294-BN295-BN296-BN297</f>
        <v>1847.644</v>
      </c>
      <c r="BO329" s="45" t="n">
        <f aca="false">BO281+BO282+BO283+BO284-BO294-BO295-BO296-BO297</f>
        <v>1673.048</v>
      </c>
      <c r="BP329" s="45" t="n">
        <f aca="false">BP281+BP282+BP283+BP284-BP294-BP295-BP296-BP297</f>
        <v>1509.995</v>
      </c>
      <c r="BQ329" s="45" t="n">
        <f aca="false">BQ281+BQ282+BQ283+BQ284-BQ294-BQ295-BQ296-BQ297</f>
        <v>1509.995</v>
      </c>
      <c r="BR329" s="45" t="n">
        <f aca="false">BR281+BR282+BR283+BR284-BR294-BR295-BR296-BR297</f>
        <v>1619.369</v>
      </c>
      <c r="BS329" s="45" t="n">
        <f aca="false">BS281+BS282+BS283+BS284-BS294-BS295-BS296-BS297</f>
        <v>1717.958</v>
      </c>
      <c r="BT329" s="45" t="n">
        <f aca="false">BT281+BT282+BT283+BT284-BT294-BT295-BT296-BT297</f>
        <v>1655.555</v>
      </c>
      <c r="BU329" s="45" t="n">
        <f aca="false">BU281+BU282+BU283+BU284-BU294-BU295-BU296-BU297</f>
        <v>1578.438</v>
      </c>
      <c r="BV329" s="45" t="n">
        <f aca="false">BV281+BV282+BV283+BV284-BV294-BV295-BV296-BV297</f>
        <v>1578.438</v>
      </c>
      <c r="BW329" s="45" t="n">
        <f aca="false">BW281+BW282+BW283+BW284-BW294-BW295-BW296-BW297</f>
        <v>1781.655</v>
      </c>
      <c r="BX329" s="45" t="n">
        <f aca="false">BX281+BX282+BX283+BX284-BX294-BX295-BX296-BX297</f>
        <v>1866.737</v>
      </c>
      <c r="BY329" s="45" t="n">
        <f aca="false">BY281+BY282+BY283+BY284-BY294-BY295-BY296-BY297</f>
        <v>1886.448</v>
      </c>
      <c r="BZ329" s="45" t="n">
        <f aca="false">BZ281+BZ282+BZ283+BZ284-BZ294-BZ295-BZ296-BZ297</f>
        <v>1932.557</v>
      </c>
      <c r="CA329" s="45" t="n">
        <f aca="false">CA281+CA282+CA283+CA284-CA294-CA295-CA296-CA297</f>
        <v>1932.557</v>
      </c>
      <c r="CB329" s="45" t="n">
        <f aca="false">CB281+CB282+CB283+CB284-CB294-CB295-CB296-CB297</f>
        <v>2041.141</v>
      </c>
      <c r="CC329" s="43"/>
      <c r="CD329" s="43"/>
      <c r="CE329" s="43"/>
      <c r="CF329" s="35" t="n">
        <f aca="false">CF281+CF282+CF283+CF284-CF294-CF295-CF296-CF297</f>
        <v>2603.18731264424</v>
      </c>
      <c r="CG329" s="35" t="n">
        <f aca="false">CG281+CG282+CG283+CG284-CG294-CG295-CG296-CG297</f>
        <v>2779.43390218362</v>
      </c>
      <c r="CH329" s="35" t="n">
        <f aca="false">CH281+CH282+CH283+CH284-CH294-CH295-CH296-CH297</f>
        <v>2963.97086664994</v>
      </c>
      <c r="CI329" s="35" t="n">
        <f aca="false">CI281+CI282+CI283+CI284-CI294-CI295-CI296-CI297</f>
        <v>3160.96730552576</v>
      </c>
      <c r="CJ329" s="35" t="n">
        <f aca="false">CJ281+CJ282+CJ283+CJ284-CJ294-CJ295-CJ296-CJ297</f>
        <v>3357.82261967156</v>
      </c>
      <c r="CK329" s="23"/>
    </row>
    <row r="330" customFormat="false" ht="15" hidden="false" customHeight="true" outlineLevel="0" collapsed="false">
      <c r="B330" s="29" t="s">
        <v>631</v>
      </c>
      <c r="C330" s="37" t="n">
        <f aca="false">IF(AND(ISNUMBER(C329),ISNUMBER(C319)),IFERROR(C329/C319,""),"")</f>
        <v>0.155229685674731</v>
      </c>
      <c r="D330" s="37" t="n">
        <f aca="false">IF(AND(ISNUMBER(D329),ISNUMBER(D319)),IFERROR(D329/D319,""),"")</f>
        <v>0.162514769753703</v>
      </c>
      <c r="E330" s="37" t="n">
        <f aca="false">IF(AND(ISNUMBER(E329),ISNUMBER(E319)),IFERROR(E329/E319,""),"")</f>
        <v>0.183973437619036</v>
      </c>
      <c r="F330" s="37" t="n">
        <f aca="false">IF(AND(ISNUMBER(F329),ISNUMBER(F319)),IFERROR(F329/F319,""),"")</f>
        <v>0.18631170548006</v>
      </c>
      <c r="G330" s="37" t="n">
        <f aca="false">IF(AND(ISNUMBER(G329),ISNUMBER(G319)),IFERROR(G329/G319,""),"")</f>
        <v>0.162314343230235</v>
      </c>
      <c r="H330" s="37" t="n">
        <f aca="false">IF(AND(ISNUMBER(H329),ISNUMBER(H319)),IFERROR(H329/H319,""),"")</f>
        <v>0.194900828892836</v>
      </c>
      <c r="I330" s="37" t="n">
        <f aca="false">IF(AND(ISNUMBER(I329),ISNUMBER(I319)),IFERROR(I329/I319,""),"")</f>
        <v>0.184419307654803</v>
      </c>
      <c r="N330" s="37" t="n">
        <f aca="false">IF(AND(ISNUMBER(N329),ISNUMBER(N319)),IFERROR(N329/N319,""),"")</f>
        <v>0.166525849472868</v>
      </c>
      <c r="S330" s="37" t="n">
        <f aca="false">IF(AND(ISNUMBER(S329),ISNUMBER(S319)),IFERROR(S329/S319,""),"")</f>
        <v>0.145604651510212</v>
      </c>
      <c r="X330" s="37" t="n">
        <f aca="false">IF(AND(ISNUMBER(X329),ISNUMBER(X319)),IFERROR(X329/X319,""),"")</f>
        <v>0.152247566723834</v>
      </c>
      <c r="AC330" s="37" t="n">
        <f aca="false">IF(AND(ISNUMBER(AC329),ISNUMBER(AC319)),IFERROR(AC329/AC319,""),"")</f>
        <v>0.166083982372288</v>
      </c>
      <c r="AH330" s="37" t="n">
        <f aca="false">IF(AND(ISNUMBER(AH329),ISNUMBER(AH319)),IFERROR(AH329/AH319,""),"")</f>
        <v>0.18691899001781</v>
      </c>
      <c r="AM330" s="37" t="n">
        <f aca="false">IF(AND(ISNUMBER(AM329),ISNUMBER(AM319)),IFERROR(AM329/AM319,""),"")</f>
        <v>0.164182711013996</v>
      </c>
      <c r="AR330" s="37" t="n">
        <f aca="false">IF(AND(ISNUMBER(AR329),ISNUMBER(AR319)),IFERROR(AR329/AR319,""),"")</f>
        <v>0.192122429904779</v>
      </c>
      <c r="AW330" s="37" t="n">
        <f aca="false">IF(AND(ISNUMBER(AW329),ISNUMBER(AW319)),IFERROR(AW329/AW319,""),"")</f>
        <v>0.186607001716273</v>
      </c>
      <c r="BB330" s="37" t="n">
        <f aca="false">IF(AND(ISNUMBER(BB329),ISNUMBER(BB319)),IFERROR(BB329/BB319,""),"")</f>
        <v>0.190899254392005</v>
      </c>
      <c r="BG330" s="37" t="n">
        <f aca="false">IF(AND(ISNUMBER(BG329),ISNUMBER(BG319)),IFERROR(BG329/BG319,""),"")</f>
        <v>0.186399597986316</v>
      </c>
      <c r="BL330" s="37" t="n">
        <f aca="false">IF(AND(ISNUMBER(BL329),ISNUMBER(BL319)),IFERROR(BL329/BL319,""),"")</f>
        <v>0.184664321399528</v>
      </c>
      <c r="BQ330" s="37" t="n">
        <f aca="false">IF(AND(ISNUMBER(BQ329),ISNUMBER(BQ319)),IFERROR(BQ329/BQ319,""),"")</f>
        <v>0.157346626909593</v>
      </c>
      <c r="BV330" s="37" t="n">
        <f aca="false">IF(AND(ISNUMBER(BV329),ISNUMBER(BV319)),IFERROR(BV329/BV319,""),"")</f>
        <v>0.152650906207541</v>
      </c>
      <c r="CA330" s="37" t="n">
        <f aca="false">IF(AND(ISNUMBER(CA329),ISNUMBER(CA319)),IFERROR(CA329/CA319,""),"")</f>
        <v>0.171557745432859</v>
      </c>
      <c r="CC330" s="33"/>
      <c r="CD330" s="33"/>
      <c r="CE330" s="33"/>
      <c r="CF330" s="28" t="n">
        <f aca="false">IF(AND(ISNUMBER(CF329),ISNUMBER(CF319)),IFERROR(CF329/CF319,""),"")</f>
        <v>0.176159413981432</v>
      </c>
      <c r="CG330" s="28" t="n">
        <f aca="false">IF(AND(ISNUMBER(CG329),ISNUMBER(CG319)),IFERROR(CG329/CG319,""),"")</f>
        <v>0.174907340498837</v>
      </c>
      <c r="CH330" s="28" t="n">
        <f aca="false">IF(AND(ISNUMBER(CH329),ISNUMBER(CH319)),IFERROR(CH329/CH319,""),"")</f>
        <v>0.173188399181867</v>
      </c>
      <c r="CI330" s="28" t="n">
        <f aca="false">IF(AND(ISNUMBER(CI329),ISNUMBER(CI319)),IFERROR(CI329/CI319,""),"")</f>
        <v>0.171504076572874</v>
      </c>
      <c r="CJ330" s="28" t="n">
        <f aca="false">IF(AND(ISNUMBER(CJ329),ISNUMBER(CJ319)),IFERROR(CJ329/CJ319,""),"")</f>
        <v>0.169871513795817</v>
      </c>
      <c r="CK330" s="23"/>
    </row>
    <row r="331" customFormat="false" ht="15" hidden="false" customHeight="true" outlineLevel="0" collapsed="false">
      <c r="B331" s="29" t="s">
        <v>632</v>
      </c>
      <c r="D331" s="45" t="n">
        <f aca="false">D329-C329</f>
        <v>74.0849999999998</v>
      </c>
      <c r="E331" s="45" t="n">
        <f aca="false">E329-D329</f>
        <v>122.043</v>
      </c>
      <c r="F331" s="45" t="n">
        <f aca="false">F329-E329</f>
        <v>-21.201</v>
      </c>
      <c r="G331" s="45" t="n">
        <f aca="false">G329-F329</f>
        <v>-127.484</v>
      </c>
      <c r="H331" s="45" t="n">
        <f aca="false">H329-G329</f>
        <v>166.863</v>
      </c>
      <c r="I331" s="45" t="n">
        <f aca="false">I329-H329</f>
        <v>13.8410000000004</v>
      </c>
      <c r="N331" s="45" t="n">
        <f aca="false">N329-I329</f>
        <v>-37.6840000000002</v>
      </c>
      <c r="S331" s="45" t="n">
        <f aca="false">S329-N329</f>
        <v>-56.039</v>
      </c>
      <c r="X331" s="45" t="n">
        <f aca="false">X329-S329</f>
        <v>18.83</v>
      </c>
      <c r="AC331" s="45" t="n">
        <f aca="false">AC329-X329</f>
        <v>133.123</v>
      </c>
      <c r="AH331" s="45" t="n">
        <f aca="false">AH329-AC329</f>
        <v>180.323</v>
      </c>
      <c r="AM331" s="45" t="n">
        <f aca="false">AM329-AH329</f>
        <v>68.3099999999994</v>
      </c>
      <c r="AR331" s="45" t="n">
        <f aca="false">AR329-AM329</f>
        <v>260.815000000001</v>
      </c>
      <c r="AW331" s="45" t="n">
        <f aca="false">AW329-AR329</f>
        <v>-2.0329999999999</v>
      </c>
      <c r="BB331" s="45" t="n">
        <f aca="false">BB329-AW329</f>
        <v>36.3709999999996</v>
      </c>
      <c r="BG331" s="45" t="n">
        <f aca="false">BG329-BB329</f>
        <v>105.564</v>
      </c>
      <c r="BL331" s="45" t="n">
        <f aca="false">BL329-BG329</f>
        <v>163.89</v>
      </c>
      <c r="BQ331" s="45" t="n">
        <f aca="false">BQ329-BL329</f>
        <v>-117.963</v>
      </c>
      <c r="BV331" s="45" t="n">
        <f aca="false">BV329-BQ329</f>
        <v>68.4430000000004</v>
      </c>
      <c r="CA331" s="45" t="n">
        <f aca="false">CA329-BV329</f>
        <v>354.119</v>
      </c>
      <c r="CC331" s="43"/>
      <c r="CD331" s="43"/>
      <c r="CE331" s="43"/>
      <c r="CF331" s="35" t="n">
        <f aca="false">CF329-CA329-$CF$349*CF63</f>
        <v>169.424312644244</v>
      </c>
      <c r="CG331" s="35" t="n">
        <f aca="false">CG329-CF329</f>
        <v>176.246589539378</v>
      </c>
      <c r="CH331" s="35" t="n">
        <f aca="false">CH329-CG329</f>
        <v>184.536964466318</v>
      </c>
      <c r="CI331" s="35" t="n">
        <f aca="false">CI329-CH329</f>
        <v>196.996438875821</v>
      </c>
      <c r="CJ331" s="35" t="n">
        <f aca="false">CJ329-CI329</f>
        <v>196.855314145801</v>
      </c>
      <c r="CK331" s="23"/>
    </row>
    <row r="332" customFormat="false" ht="15" hidden="false" customHeight="true" outlineLevel="0" collapsed="false"/>
    <row r="333" customFormat="false" ht="15" hidden="false" customHeight="true" outlineLevel="0" collapsed="false">
      <c r="B333" s="12" t="s">
        <v>633</v>
      </c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2" t="s">
        <v>634</v>
      </c>
    </row>
    <row r="334" customFormat="false" ht="15" hidden="false" customHeight="true" outlineLevel="0" collapsed="false">
      <c r="B334" s="17" t="s">
        <v>635</v>
      </c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9"/>
    </row>
    <row r="335" customFormat="false" ht="15" hidden="false" customHeight="true" outlineLevel="0" collapsed="false">
      <c r="B335" s="80" t="s">
        <v>636</v>
      </c>
      <c r="CC335" s="43"/>
      <c r="CD335" s="43"/>
      <c r="CE335" s="43"/>
      <c r="CF335" s="35" t="n">
        <f aca="false">2825.669</f>
        <v>2825.669</v>
      </c>
      <c r="CG335" s="43"/>
      <c r="CH335" s="43"/>
      <c r="CI335" s="43"/>
      <c r="CJ335" s="43"/>
      <c r="CK335" s="23" t="s">
        <v>637</v>
      </c>
    </row>
    <row r="336" customFormat="false" ht="15" hidden="false" customHeight="true" outlineLevel="0" collapsed="false">
      <c r="B336" s="80" t="s">
        <v>638</v>
      </c>
      <c r="CC336" s="43"/>
      <c r="CD336" s="43"/>
      <c r="CE336" s="43"/>
      <c r="CF336" s="35" t="n">
        <f aca="false">2525.987</f>
        <v>2525.987</v>
      </c>
      <c r="CG336" s="43"/>
      <c r="CH336" s="43"/>
      <c r="CI336" s="43"/>
      <c r="CJ336" s="43"/>
      <c r="CK336" s="23" t="s">
        <v>639</v>
      </c>
    </row>
    <row r="337" customFormat="false" ht="15" hidden="false" customHeight="true" outlineLevel="0" collapsed="false">
      <c r="B337" s="80" t="s">
        <v>640</v>
      </c>
      <c r="CC337" s="43"/>
      <c r="CD337" s="43"/>
      <c r="CE337" s="43"/>
      <c r="CF337" s="35" t="n">
        <f aca="false">73.458</f>
        <v>73.458</v>
      </c>
      <c r="CG337" s="43"/>
      <c r="CH337" s="43"/>
      <c r="CI337" s="43"/>
      <c r="CJ337" s="43"/>
      <c r="CK337" s="23"/>
    </row>
    <row r="338" customFormat="false" ht="15" hidden="false" customHeight="true" outlineLevel="0" collapsed="false">
      <c r="B338" s="80" t="s">
        <v>641</v>
      </c>
      <c r="CC338" s="43"/>
      <c r="CD338" s="43"/>
      <c r="CE338" s="43"/>
      <c r="CF338" s="35" t="n">
        <f aca="false">291.58+147.477+236.251+49.598</f>
        <v>724.906</v>
      </c>
      <c r="CG338" s="43"/>
      <c r="CH338" s="43"/>
      <c r="CI338" s="43"/>
      <c r="CJ338" s="43"/>
      <c r="CK338" s="23" t="s">
        <v>642</v>
      </c>
    </row>
    <row r="339" customFormat="false" ht="15" hidden="false" customHeight="true" outlineLevel="0" collapsed="false">
      <c r="B339" s="80" t="s">
        <v>643</v>
      </c>
      <c r="CC339" s="43"/>
      <c r="CD339" s="43"/>
      <c r="CE339" s="43"/>
      <c r="CF339" s="35" t="n">
        <f aca="false">1194.638</f>
        <v>1194.638</v>
      </c>
      <c r="CG339" s="43"/>
      <c r="CH339" s="43"/>
      <c r="CI339" s="43"/>
      <c r="CJ339" s="43"/>
      <c r="CK339" s="23" t="s">
        <v>644</v>
      </c>
    </row>
    <row r="340" customFormat="false" ht="15" hidden="false" customHeight="true" outlineLevel="0" collapsed="false">
      <c r="B340" s="80" t="s">
        <v>645</v>
      </c>
      <c r="CC340" s="43"/>
      <c r="CD340" s="43"/>
      <c r="CE340" s="43"/>
      <c r="CF340" s="35" t="n">
        <f aca="false">1241+50</f>
        <v>1291</v>
      </c>
      <c r="CG340" s="43"/>
      <c r="CH340" s="43"/>
      <c r="CI340" s="43"/>
      <c r="CJ340" s="43"/>
      <c r="CK340" s="23"/>
    </row>
    <row r="341" customFormat="false" ht="15" hidden="false" customHeight="true" outlineLevel="0" collapsed="false">
      <c r="B341" s="80" t="s">
        <v>646</v>
      </c>
      <c r="CC341" s="43"/>
      <c r="CD341" s="43"/>
      <c r="CE341" s="43"/>
      <c r="CF341" s="35" t="n">
        <f aca="false">77.804</f>
        <v>77.804</v>
      </c>
      <c r="CG341" s="43"/>
      <c r="CH341" s="43"/>
      <c r="CI341" s="43"/>
      <c r="CJ341" s="43"/>
      <c r="CK341" s="23"/>
    </row>
    <row r="342" customFormat="false" ht="15" hidden="false" customHeight="true" outlineLevel="0" collapsed="false">
      <c r="B342" s="80" t="s">
        <v>647</v>
      </c>
      <c r="CC342" s="43"/>
      <c r="CD342" s="43"/>
      <c r="CE342" s="43"/>
      <c r="CF342" s="35" t="n">
        <f aca="false">99.424-50</f>
        <v>49.424</v>
      </c>
      <c r="CG342" s="43"/>
      <c r="CH342" s="43"/>
      <c r="CI342" s="43"/>
      <c r="CJ342" s="43"/>
      <c r="CK342" s="23"/>
    </row>
    <row r="343" customFormat="false" ht="15" hidden="false" customHeight="true" outlineLevel="0" collapsed="false">
      <c r="B343" s="80" t="s">
        <v>583</v>
      </c>
      <c r="CC343" s="43"/>
      <c r="CD343" s="43"/>
      <c r="CE343" s="43"/>
      <c r="CF343" s="35" t="n">
        <f aca="false">2854.275</f>
        <v>2854.275</v>
      </c>
      <c r="CG343" s="43"/>
      <c r="CH343" s="43"/>
      <c r="CI343" s="43"/>
      <c r="CJ343" s="43"/>
      <c r="CK343" s="23" t="s">
        <v>648</v>
      </c>
    </row>
    <row r="344" customFormat="false" ht="15" hidden="false" customHeight="true" outlineLevel="0" collapsed="false">
      <c r="B344" s="80" t="s">
        <v>649</v>
      </c>
      <c r="CC344" s="43"/>
      <c r="CD344" s="43"/>
      <c r="CE344" s="43"/>
      <c r="CF344" s="35" t="n">
        <f aca="false">92.089+72.627+58.954+0.03</f>
        <v>223.7</v>
      </c>
      <c r="CG344" s="43"/>
      <c r="CH344" s="43"/>
      <c r="CI344" s="43"/>
      <c r="CJ344" s="43"/>
      <c r="CK344" s="23"/>
    </row>
    <row r="345" customFormat="false" ht="15" hidden="false" customHeight="true" outlineLevel="0" collapsed="false">
      <c r="B345" s="80" t="s">
        <v>595</v>
      </c>
      <c r="CC345" s="43"/>
      <c r="CD345" s="43"/>
      <c r="CE345" s="43"/>
      <c r="CF345" s="35" t="n">
        <f aca="false">20.225</f>
        <v>20.225</v>
      </c>
      <c r="CG345" s="43"/>
      <c r="CH345" s="43"/>
      <c r="CI345" s="43"/>
      <c r="CJ345" s="43"/>
      <c r="CK345" s="23"/>
    </row>
    <row r="346" customFormat="false" ht="15" hidden="false" customHeight="true" outlineLevel="0" collapsed="false">
      <c r="B346" s="80" t="s">
        <v>517</v>
      </c>
      <c r="CC346" s="43"/>
      <c r="CD346" s="43"/>
      <c r="CE346" s="43"/>
      <c r="CF346" s="35" t="n">
        <f aca="false">415.006</f>
        <v>415.006</v>
      </c>
      <c r="CG346" s="43"/>
      <c r="CH346" s="43"/>
      <c r="CI346" s="43"/>
      <c r="CJ346" s="43"/>
      <c r="CK346" s="23" t="s">
        <v>650</v>
      </c>
    </row>
    <row r="347" customFormat="false" ht="15" hidden="false" customHeight="true" outlineLevel="0" collapsed="false">
      <c r="B347" s="80" t="s">
        <v>651</v>
      </c>
      <c r="CC347" s="43"/>
      <c r="CD347" s="43"/>
      <c r="CE347" s="43"/>
      <c r="CF347" s="35" t="n">
        <f aca="false">59.669</f>
        <v>59.669</v>
      </c>
      <c r="CG347" s="43"/>
      <c r="CH347" s="43"/>
      <c r="CI347" s="43"/>
      <c r="CJ347" s="43"/>
      <c r="CK347" s="23"/>
    </row>
    <row r="348" customFormat="false" ht="15" hidden="false" customHeight="true" outlineLevel="0" collapsed="false">
      <c r="B348" s="80" t="s">
        <v>652</v>
      </c>
      <c r="CC348" s="43"/>
      <c r="CD348" s="43"/>
      <c r="CE348" s="43"/>
      <c r="CF348" s="35" t="n">
        <f aca="false">195.249</f>
        <v>195.249</v>
      </c>
      <c r="CG348" s="43"/>
      <c r="CH348" s="43"/>
      <c r="CI348" s="43"/>
      <c r="CJ348" s="43"/>
      <c r="CK348" s="23"/>
    </row>
    <row r="349" customFormat="false" ht="15" hidden="false" customHeight="true" outlineLevel="0" collapsed="false">
      <c r="B349" s="80" t="s">
        <v>653</v>
      </c>
      <c r="CC349" s="43"/>
      <c r="CD349" s="43"/>
      <c r="CE349" s="43"/>
      <c r="CF349" s="35" t="n">
        <f aca="false">CF338-CF344</f>
        <v>501.206</v>
      </c>
      <c r="CG349" s="43"/>
      <c r="CH349" s="43"/>
      <c r="CI349" s="43"/>
      <c r="CJ349" s="43"/>
      <c r="CK349" s="23" t="s">
        <v>654</v>
      </c>
    </row>
    <row r="350" customFormat="false" ht="15" hidden="false" customHeight="true" outlineLevel="0" collapsed="false">
      <c r="B350" s="57" t="s">
        <v>655</v>
      </c>
      <c r="CC350" s="58"/>
      <c r="CD350" s="58"/>
      <c r="CE350" s="58"/>
      <c r="CF350" s="35" t="n">
        <f aca="false">ROUND(CF337+CF338+CF339+CF340+CF341+CF342+CF343-CF344-CF345-CF346-CF347-CF348-CF335-CF336,1)</f>
        <v>0</v>
      </c>
      <c r="CG350" s="58"/>
      <c r="CH350" s="58"/>
      <c r="CI350" s="58"/>
      <c r="CJ350" s="58"/>
      <c r="CK350" s="23"/>
    </row>
    <row r="351" customFormat="false" ht="15" hidden="false" customHeight="true" outlineLevel="0" collapsed="false">
      <c r="B351" s="17" t="s">
        <v>656</v>
      </c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9"/>
    </row>
    <row r="352" customFormat="false" ht="15" hidden="false" customHeight="true" outlineLevel="0" collapsed="false">
      <c r="B352" s="80" t="s">
        <v>657</v>
      </c>
      <c r="CC352" s="43"/>
      <c r="CD352" s="43"/>
      <c r="CE352" s="43"/>
      <c r="CF352" s="35" t="n">
        <f aca="false">CF127*$CU$62+CF67*CF76+$CU$27*CF63+N(CF88)*0.015</f>
        <v>373.66831284763</v>
      </c>
      <c r="CG352" s="35" t="n">
        <f aca="false">CG127*$CU$62+CG67*CG76+$CU$27*CG63+N(CG88)*0.015</f>
        <v>484.903781375337</v>
      </c>
      <c r="CH352" s="35" t="n">
        <f aca="false">CH127*$CU$62+CH67*CH76+$CU$27*CH63+N(CH88)*0.015</f>
        <v>517.667427941779</v>
      </c>
      <c r="CI352" s="35" t="n">
        <f aca="false">CI127*$CU$62+CI67*CI76+$CU$27*CI63+N(CI88)*0.015</f>
        <v>552.567003336807</v>
      </c>
      <c r="CJ352" s="35" t="n">
        <f aca="false">CJ127*$CU$62+CJ67*CJ76+$CU$27*CJ63+N(CJ88)*0.015</f>
        <v>587.631268857744</v>
      </c>
      <c r="CK352" s="23" t="s">
        <v>658</v>
      </c>
    </row>
    <row r="353" customFormat="false" ht="15" hidden="false" customHeight="true" outlineLevel="0" collapsed="false">
      <c r="B353" s="80" t="s">
        <v>659</v>
      </c>
      <c r="CC353" s="43"/>
      <c r="CD353" s="43"/>
      <c r="CE353" s="43"/>
      <c r="CF353" s="35" t="n">
        <f aca="false">$CU$63</f>
        <v>58</v>
      </c>
      <c r="CG353" s="35" t="n">
        <f aca="false">CF353*0.9</f>
        <v>52.2</v>
      </c>
      <c r="CH353" s="35" t="n">
        <f aca="false">CG353*0.9</f>
        <v>46.98</v>
      </c>
      <c r="CI353" s="35" t="n">
        <f aca="false">CH353*0.9</f>
        <v>42.282</v>
      </c>
      <c r="CJ353" s="35" t="n">
        <f aca="false">CI353*0.9</f>
        <v>38.0538</v>
      </c>
      <c r="CK353" s="23" t="s">
        <v>660</v>
      </c>
    </row>
    <row r="354" customFormat="false" ht="15" hidden="false" customHeight="true" outlineLevel="0" collapsed="false">
      <c r="B354" s="80" t="s">
        <v>661</v>
      </c>
      <c r="CC354" s="43"/>
      <c r="CD354" s="43"/>
      <c r="CE354" s="43"/>
      <c r="CF354" s="35" t="n">
        <f aca="false">CF353+CF73+N(CF96)</f>
        <v>98.9179835616438</v>
      </c>
      <c r="CG354" s="35" t="n">
        <f aca="false">CG353+CG73+N(CG96)</f>
        <v>154.957</v>
      </c>
      <c r="CH354" s="35" t="n">
        <f aca="false">CH353+CH73+N(CH96)</f>
        <v>159.487</v>
      </c>
      <c r="CI354" s="35" t="n">
        <f aca="false">CI353+CI73+N(CI96)</f>
        <v>150.515333333333</v>
      </c>
      <c r="CJ354" s="35" t="n">
        <f aca="false">CJ353+CJ73+N(CJ96)</f>
        <v>159.037133333333</v>
      </c>
      <c r="CK354" s="23"/>
    </row>
    <row r="355" customFormat="false" ht="15" hidden="false" customHeight="true" outlineLevel="0" collapsed="false">
      <c r="B355" s="80" t="s">
        <v>662</v>
      </c>
      <c r="CC355" s="43"/>
      <c r="CD355" s="43"/>
      <c r="CE355" s="43"/>
      <c r="CF355" s="35" t="n">
        <f aca="false">CF157-CF352-CF354</f>
        <v>137.772582208954</v>
      </c>
      <c r="CG355" s="35" t="n">
        <f aca="false">CG157-CG352-CG354</f>
        <v>163.020964760368</v>
      </c>
      <c r="CH355" s="35" t="n">
        <f aca="false">CH157-CH352-CH354</f>
        <v>183.901907241426</v>
      </c>
      <c r="CI355" s="35" t="n">
        <f aca="false">CI157-CI352-CI354</f>
        <v>205.130451185981</v>
      </c>
      <c r="CJ355" s="35" t="n">
        <f aca="false">CJ157-CJ352-CJ354</f>
        <v>225.550609165718</v>
      </c>
      <c r="CK355" s="23" t="s">
        <v>663</v>
      </c>
    </row>
    <row r="356" customFormat="false" ht="15" hidden="false" customHeight="true" outlineLevel="0" collapsed="false">
      <c r="B356" s="17" t="s">
        <v>664</v>
      </c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9"/>
    </row>
    <row r="357" customFormat="false" ht="15" hidden="false" customHeight="true" outlineLevel="0" collapsed="false">
      <c r="B357" s="80" t="s">
        <v>665</v>
      </c>
      <c r="C357" s="34" t="n">
        <v>798.742</v>
      </c>
      <c r="D357" s="34" t="n">
        <v>881.215</v>
      </c>
      <c r="E357" s="34" t="n">
        <v>943.806</v>
      </c>
      <c r="F357" s="34" t="n">
        <v>786.656</v>
      </c>
      <c r="G357" s="34" t="n">
        <v>786.053</v>
      </c>
      <c r="H357" s="34" t="n">
        <v>1286.125</v>
      </c>
      <c r="I357" s="34" t="n">
        <v>1284.802</v>
      </c>
      <c r="J357" s="34" t="n">
        <v>1309.648</v>
      </c>
      <c r="K357" s="34" t="n">
        <v>1309.49</v>
      </c>
      <c r="L357" s="34" t="n">
        <v>1309.33</v>
      </c>
      <c r="M357" s="34" t="n">
        <v>1309.166</v>
      </c>
      <c r="N357" s="34" t="n">
        <v>1309.166</v>
      </c>
      <c r="O357" s="34" t="n">
        <v>1308.999</v>
      </c>
      <c r="P357" s="34" t="n">
        <v>1301.329</v>
      </c>
      <c r="Q357" s="34" t="n">
        <v>1301.156</v>
      </c>
      <c r="R357" s="34" t="n">
        <v>1300.98</v>
      </c>
      <c r="S357" s="34" t="n">
        <v>1300.98</v>
      </c>
      <c r="T357" s="34" t="n">
        <v>1300</v>
      </c>
      <c r="U357" s="34" t="n">
        <v>1300</v>
      </c>
      <c r="V357" s="34" t="n">
        <v>1300</v>
      </c>
      <c r="W357" s="34" t="n">
        <v>1300</v>
      </c>
      <c r="X357" s="34" t="n">
        <v>1300</v>
      </c>
      <c r="Y357" s="34" t="n">
        <v>1300</v>
      </c>
      <c r="Z357" s="34" t="n">
        <v>1300</v>
      </c>
      <c r="AA357" s="34" t="n">
        <v>1300</v>
      </c>
      <c r="AB357" s="34" t="n">
        <v>1300</v>
      </c>
      <c r="AC357" s="34" t="n">
        <v>1300</v>
      </c>
      <c r="AD357" s="34" t="n">
        <v>1208.428</v>
      </c>
      <c r="AE357" s="34" t="n">
        <v>1110.834</v>
      </c>
      <c r="AF357" s="34" t="n">
        <v>1144.54</v>
      </c>
      <c r="AG357" s="34" t="n">
        <v>3133.524</v>
      </c>
      <c r="AH357" s="34" t="n">
        <v>3133.524</v>
      </c>
      <c r="AI357" s="34" t="n">
        <v>2841.122</v>
      </c>
      <c r="AJ357" s="34" t="n">
        <v>2834.222</v>
      </c>
      <c r="AK357" s="34" t="n">
        <v>2722.26</v>
      </c>
      <c r="AL357" s="34" t="n">
        <v>2535.309</v>
      </c>
      <c r="AM357" s="34" t="n">
        <v>2535.309</v>
      </c>
      <c r="AN357" s="34" t="n">
        <v>2535.859</v>
      </c>
      <c r="AO357" s="34" t="n">
        <v>2709.908</v>
      </c>
      <c r="AP357" s="34" t="n">
        <v>2754.458</v>
      </c>
      <c r="AQ357" s="34" t="n">
        <v>2849.771</v>
      </c>
      <c r="AR357" s="34" t="n">
        <v>2849.771</v>
      </c>
      <c r="AS357" s="34" t="n">
        <v>2876.833</v>
      </c>
      <c r="AT357" s="34" t="n">
        <v>2738.394</v>
      </c>
      <c r="AU357" s="34" t="n">
        <v>2738.956</v>
      </c>
      <c r="AV357" s="34" t="n">
        <v>2539.705</v>
      </c>
      <c r="AW357" s="34" t="n">
        <v>2539.705</v>
      </c>
      <c r="AX357" s="34" t="n">
        <v>2540.255</v>
      </c>
      <c r="AY357" s="34" t="n">
        <v>2540.804</v>
      </c>
      <c r="AZ357" s="34" t="n">
        <v>2541.354</v>
      </c>
      <c r="BA357" s="34" t="n">
        <v>2541.903</v>
      </c>
      <c r="BB357" s="34" t="n">
        <v>2541.903</v>
      </c>
      <c r="BC357" s="34" t="n">
        <v>2618.389</v>
      </c>
      <c r="BD357" s="34" t="n">
        <v>2459.874</v>
      </c>
      <c r="BE357" s="34" t="n">
        <v>2852.569</v>
      </c>
      <c r="BF357" s="34" t="n">
        <v>2795.506</v>
      </c>
      <c r="BG357" s="34" t="n">
        <v>2795.506</v>
      </c>
      <c r="BH357" s="34" t="n">
        <v>2992.069</v>
      </c>
      <c r="BI357" s="34" t="n">
        <v>2920.683</v>
      </c>
      <c r="BJ357" s="34" t="n">
        <v>2735.005</v>
      </c>
      <c r="BK357" s="34" t="n">
        <v>2486.405</v>
      </c>
      <c r="BL357" s="34" t="n">
        <v>2486.405</v>
      </c>
      <c r="BM357" s="34" t="n">
        <v>2477.093</v>
      </c>
      <c r="BN357" s="34" t="n">
        <v>2684.287</v>
      </c>
      <c r="BO357" s="34" t="n">
        <v>2474.908</v>
      </c>
      <c r="BP357" s="34" t="n">
        <v>2475.529</v>
      </c>
      <c r="BQ357" s="34" t="n">
        <v>2475.529</v>
      </c>
      <c r="BR357" s="34" t="n">
        <v>2642.15</v>
      </c>
      <c r="BS357" s="34" t="n">
        <v>2657.771</v>
      </c>
      <c r="BT357" s="34" t="n">
        <v>2477.392</v>
      </c>
      <c r="BU357" s="34" t="n">
        <v>2424.999</v>
      </c>
      <c r="BV357" s="34" t="n">
        <v>2424.999</v>
      </c>
      <c r="BW357" s="34" t="n">
        <v>2425.757</v>
      </c>
      <c r="BX357" s="34" t="n">
        <v>2977.279</v>
      </c>
      <c r="BY357" s="34" t="n">
        <v>2656.791</v>
      </c>
      <c r="BZ357" s="34" t="n">
        <v>2428.073</v>
      </c>
      <c r="CA357" s="34" t="n">
        <v>2428.073</v>
      </c>
      <c r="CB357" s="34" t="n">
        <v>2428.845</v>
      </c>
      <c r="CC357" s="43"/>
      <c r="CD357" s="43"/>
      <c r="CE357" s="43"/>
      <c r="CF357" s="35" t="n">
        <f aca="false">CF363+CF366</f>
        <v>5228.073</v>
      </c>
      <c r="CG357" s="35" t="n">
        <f aca="false">CG363+CG366</f>
        <v>5544.74562758183</v>
      </c>
      <c r="CH357" s="35" t="n">
        <f aca="false">CH363+CH366</f>
        <v>6184.22924075182</v>
      </c>
      <c r="CI357" s="35" t="n">
        <f aca="false">CI363+CI366</f>
        <v>6863.2770579386</v>
      </c>
      <c r="CJ357" s="35" t="n">
        <f aca="false">CJ363+CJ366</f>
        <v>7484.21921439141</v>
      </c>
      <c r="CK357" s="23" t="s">
        <v>666</v>
      </c>
    </row>
    <row r="358" customFormat="false" ht="15" hidden="false" customHeight="true" outlineLevel="0" collapsed="false">
      <c r="B358" s="80" t="s">
        <v>667</v>
      </c>
      <c r="CC358" s="43"/>
      <c r="CD358" s="43"/>
      <c r="CE358" s="43"/>
      <c r="CF358" s="35" t="n">
        <f aca="false">$CU$64</f>
        <v>-1000</v>
      </c>
      <c r="CG358" s="35" t="n">
        <f aca="false">$CU$65</f>
        <v>-400</v>
      </c>
      <c r="CH358" s="35" t="n">
        <f aca="false">0</f>
        <v>0</v>
      </c>
      <c r="CI358" s="35" t="n">
        <f aca="false">0</f>
        <v>0</v>
      </c>
      <c r="CJ358" s="35" t="n">
        <f aca="false">0</f>
        <v>0</v>
      </c>
      <c r="CK358" s="23"/>
    </row>
    <row r="359" customFormat="false" ht="15" hidden="false" customHeight="true" outlineLevel="1" collapsed="false">
      <c r="B359" s="80" t="s">
        <v>668</v>
      </c>
      <c r="CC359" s="43"/>
      <c r="CD359" s="43"/>
      <c r="CE359" s="43"/>
      <c r="CF359" s="35" t="n">
        <f aca="false">CG358</f>
        <v>-400</v>
      </c>
      <c r="CG359" s="35" t="n">
        <f aca="false">CH358</f>
        <v>0</v>
      </c>
      <c r="CH359" s="35" t="n">
        <f aca="false">CI358</f>
        <v>0</v>
      </c>
      <c r="CI359" s="35" t="n">
        <f aca="false">CJ358</f>
        <v>0</v>
      </c>
      <c r="CJ359" s="35" t="n">
        <f aca="false">0</f>
        <v>0</v>
      </c>
      <c r="CK359" s="23"/>
    </row>
    <row r="360" customFormat="false" ht="15" hidden="false" customHeight="true" outlineLevel="0" collapsed="false">
      <c r="B360" s="80" t="s">
        <v>669</v>
      </c>
      <c r="CC360" s="33"/>
      <c r="CD360" s="33"/>
      <c r="CE360" s="33"/>
      <c r="CF360" s="28" t="n">
        <f aca="false">$CU$66</f>
        <v>1</v>
      </c>
      <c r="CG360" s="28" t="n">
        <f aca="false">$CU$66</f>
        <v>1</v>
      </c>
      <c r="CH360" s="28" t="n">
        <f aca="false">$CU$66</f>
        <v>1</v>
      </c>
      <c r="CI360" s="28" t="n">
        <f aca="false">$CU$66</f>
        <v>1</v>
      </c>
      <c r="CJ360" s="28" t="n">
        <f aca="false">$CU$66</f>
        <v>1</v>
      </c>
      <c r="CK360" s="23"/>
    </row>
    <row r="361" customFormat="false" ht="15" hidden="false" customHeight="true" outlineLevel="0" collapsed="false">
      <c r="B361" s="80" t="s">
        <v>670</v>
      </c>
      <c r="CC361" s="43"/>
      <c r="CD361" s="43"/>
      <c r="CE361" s="43"/>
      <c r="CF361" s="35" t="n">
        <f aca="false">-CF358*CF360</f>
        <v>1000</v>
      </c>
      <c r="CG361" s="35" t="n">
        <f aca="false">-CG358*CG360</f>
        <v>400</v>
      </c>
      <c r="CH361" s="35" t="n">
        <f aca="false">-CH358*CH360</f>
        <v>-0</v>
      </c>
      <c r="CI361" s="35" t="n">
        <f aca="false">-CI358*CI360</f>
        <v>-0</v>
      </c>
      <c r="CJ361" s="35" t="n">
        <f aca="false">-CJ358*CJ360</f>
        <v>-0</v>
      </c>
      <c r="CK361" s="23"/>
    </row>
    <row r="362" customFormat="false" ht="15" hidden="false" customHeight="true" outlineLevel="0" collapsed="false">
      <c r="B362" s="80" t="s">
        <v>671</v>
      </c>
      <c r="CC362" s="43"/>
      <c r="CD362" s="43"/>
      <c r="CE362" s="43"/>
      <c r="CF362" s="35" t="n">
        <f aca="false">$CU$23*CF63</f>
        <v>2800</v>
      </c>
      <c r="CG362" s="35" t="n">
        <f aca="false">0</f>
        <v>0</v>
      </c>
      <c r="CH362" s="35" t="n">
        <f aca="false">0</f>
        <v>0</v>
      </c>
      <c r="CI362" s="35" t="n">
        <f aca="false">0</f>
        <v>0</v>
      </c>
      <c r="CJ362" s="35" t="n">
        <f aca="false">0</f>
        <v>0</v>
      </c>
      <c r="CK362" s="23" t="s">
        <v>672</v>
      </c>
    </row>
    <row r="363" customFormat="false" ht="15" hidden="false" customHeight="true" outlineLevel="0" collapsed="false">
      <c r="B363" s="80" t="s">
        <v>673</v>
      </c>
      <c r="CC363" s="43"/>
      <c r="CD363" s="43"/>
      <c r="CE363" s="43"/>
      <c r="CF363" s="35" t="n">
        <f aca="false">CA357+CF358+CF361+CF362</f>
        <v>5228.073</v>
      </c>
      <c r="CG363" s="35" t="n">
        <f aca="false">CF363+CG358+CG361+CG362</f>
        <v>5228.073</v>
      </c>
      <c r="CH363" s="35" t="n">
        <f aca="false">CG363+CH358+CH361+CH362</f>
        <v>5228.073</v>
      </c>
      <c r="CI363" s="35" t="n">
        <f aca="false">CH363+CI358+CI361+CI362</f>
        <v>5228.073</v>
      </c>
      <c r="CJ363" s="35" t="n">
        <f aca="false">CI363+CJ358+CJ361+CJ362</f>
        <v>5228.073</v>
      </c>
      <c r="CK363" s="23"/>
    </row>
    <row r="364" customFormat="false" ht="15" hidden="false" customHeight="true" outlineLevel="0" collapsed="false">
      <c r="B364" s="80" t="s">
        <v>674</v>
      </c>
      <c r="CC364" s="43"/>
      <c r="CD364" s="43"/>
      <c r="CE364" s="43"/>
      <c r="CF364" s="35" t="n">
        <f aca="false">CF251+CF236+CF241+CF244+CF245+CF246+CF358+CF361+CF362-CA366</f>
        <v>962.422444731293</v>
      </c>
      <c r="CG364" s="35" t="n">
        <f aca="false">CG251+CG236+CG241+CG244+CG245+CG246+CG358+CG361+CG362-CF366</f>
        <v>-66.672627581826</v>
      </c>
      <c r="CH364" s="35" t="n">
        <f aca="false">CH251+CH236+CH241+CH244+CH245+CH246+CH358+CH361+CH362-CG366</f>
        <v>-706.156240751816</v>
      </c>
      <c r="CI364" s="35" t="n">
        <f aca="false">CI251+CI236+CI241+CI244+CI245+CI246+CI358+CI361+CI362-CH366</f>
        <v>-1385.2040579386</v>
      </c>
      <c r="CJ364" s="35" t="n">
        <f aca="false">CJ251+CJ236+CJ241+CJ244+CJ245+CJ246+CJ358+CJ361+CJ362-CI366</f>
        <v>-2006.14621439141</v>
      </c>
      <c r="CK364" s="23"/>
    </row>
    <row r="365" customFormat="false" ht="15" hidden="false" customHeight="true" outlineLevel="0" collapsed="false">
      <c r="B365" s="80" t="s">
        <v>675</v>
      </c>
      <c r="CC365" s="43"/>
      <c r="CD365" s="43"/>
      <c r="CE365" s="43"/>
      <c r="CF365" s="35" t="n">
        <f aca="false">$CU$67</f>
        <v>250</v>
      </c>
      <c r="CG365" s="35" t="n">
        <f aca="false">$CU$67</f>
        <v>250</v>
      </c>
      <c r="CH365" s="35" t="n">
        <f aca="false">$CU$67</f>
        <v>250</v>
      </c>
      <c r="CI365" s="35" t="n">
        <f aca="false">$CU$67</f>
        <v>250</v>
      </c>
      <c r="CJ365" s="35" t="n">
        <f aca="false">$CU$67</f>
        <v>250</v>
      </c>
      <c r="CK365" s="23"/>
    </row>
    <row r="366" customFormat="false" ht="15" hidden="false" customHeight="true" outlineLevel="0" collapsed="false">
      <c r="B366" s="80" t="s">
        <v>676</v>
      </c>
      <c r="CA366" s="34" t="n">
        <v>0</v>
      </c>
      <c r="CC366" s="43"/>
      <c r="CD366" s="43"/>
      <c r="CE366" s="43"/>
      <c r="CF366" s="35" t="n">
        <f aca="false">MAX(0,CF365-CF364)</f>
        <v>0</v>
      </c>
      <c r="CG366" s="35" t="n">
        <f aca="false">MAX(0,CG365-CG364)</f>
        <v>316.672627581826</v>
      </c>
      <c r="CH366" s="35" t="n">
        <f aca="false">MAX(0,CH365-CH364)</f>
        <v>956.156240751816</v>
      </c>
      <c r="CI366" s="35" t="n">
        <f aca="false">MAX(0,CI365-CI364)</f>
        <v>1635.2040579386</v>
      </c>
      <c r="CJ366" s="35" t="n">
        <f aca="false">MAX(0,CJ365-CJ364)</f>
        <v>2256.14621439141</v>
      </c>
      <c r="CK366" s="23" t="s">
        <v>677</v>
      </c>
    </row>
    <row r="367" customFormat="false" ht="15" hidden="false" customHeight="true" outlineLevel="0" collapsed="false">
      <c r="B367" s="80" t="s">
        <v>678</v>
      </c>
      <c r="CC367" s="43"/>
      <c r="CD367" s="43"/>
      <c r="CE367" s="43"/>
      <c r="CF367" s="35" t="n">
        <f aca="false">CF366-CA366</f>
        <v>0</v>
      </c>
      <c r="CG367" s="35" t="n">
        <f aca="false">CG366-CF366</f>
        <v>316.672627581826</v>
      </c>
      <c r="CH367" s="35" t="n">
        <f aca="false">CH366-CG366</f>
        <v>639.48361316999</v>
      </c>
      <c r="CI367" s="35" t="n">
        <f aca="false">CI366-CH366</f>
        <v>679.047817186779</v>
      </c>
      <c r="CJ367" s="35" t="n">
        <f aca="false">CJ366-CI366</f>
        <v>620.942156452811</v>
      </c>
      <c r="CK367" s="23"/>
    </row>
    <row r="368" customFormat="false" ht="15" hidden="false" customHeight="true" outlineLevel="0" collapsed="false">
      <c r="B368" s="80" t="s">
        <v>679</v>
      </c>
      <c r="CC368" s="33"/>
      <c r="CD368" s="33"/>
      <c r="CE368" s="33"/>
      <c r="CF368" s="33"/>
      <c r="CG368" s="28" t="n">
        <f aca="false">$CU$68</f>
        <v>0.048</v>
      </c>
      <c r="CH368" s="28" t="n">
        <f aca="false">$CU$68</f>
        <v>0.048</v>
      </c>
      <c r="CI368" s="28" t="n">
        <f aca="false">$CU$68</f>
        <v>0.048</v>
      </c>
      <c r="CJ368" s="28" t="n">
        <f aca="false">$CU$68</f>
        <v>0.048</v>
      </c>
      <c r="CK368" s="23" t="s">
        <v>680</v>
      </c>
    </row>
    <row r="369" customFormat="false" ht="15" hidden="false" customHeight="true" outlineLevel="0" collapsed="false">
      <c r="B369" s="80" t="s">
        <v>681</v>
      </c>
      <c r="CC369" s="33"/>
      <c r="CD369" s="33"/>
      <c r="CE369" s="33"/>
      <c r="CF369" s="33"/>
      <c r="CG369" s="28" t="n">
        <f aca="false">$CU$69</f>
        <v>0.045</v>
      </c>
      <c r="CH369" s="28" t="n">
        <f aca="false">$CU$69</f>
        <v>0.045</v>
      </c>
      <c r="CI369" s="28" t="n">
        <f aca="false">$CU$69</f>
        <v>0.045</v>
      </c>
      <c r="CJ369" s="28" t="n">
        <f aca="false">$CU$69</f>
        <v>0.045</v>
      </c>
      <c r="CK369" s="23"/>
    </row>
    <row r="370" customFormat="false" ht="15" hidden="false" customHeight="true" outlineLevel="0" collapsed="false">
      <c r="B370" s="80" t="s">
        <v>682</v>
      </c>
      <c r="CC370" s="33"/>
      <c r="CD370" s="33"/>
      <c r="CE370" s="33"/>
      <c r="CF370" s="33"/>
      <c r="CG370" s="28" t="n">
        <f aca="false">$CU$70</f>
        <v>0.035</v>
      </c>
      <c r="CH370" s="28" t="n">
        <f aca="false">$CU$70</f>
        <v>0.035</v>
      </c>
      <c r="CI370" s="28" t="n">
        <f aca="false">$CU$70</f>
        <v>0.035</v>
      </c>
      <c r="CJ370" s="28" t="n">
        <f aca="false">$CU$70</f>
        <v>0.035</v>
      </c>
      <c r="CK370" s="23"/>
    </row>
    <row r="371" customFormat="false" ht="15" hidden="false" customHeight="true" outlineLevel="0" collapsed="false">
      <c r="B371" s="80" t="s">
        <v>683</v>
      </c>
      <c r="CC371" s="43"/>
      <c r="CD371" s="43"/>
      <c r="CE371" s="43"/>
      <c r="CF371" s="43"/>
      <c r="CG371" s="35" t="n">
        <f aca="false">CF363*CG368+CF366*CG369</f>
        <v>250.947504</v>
      </c>
      <c r="CH371" s="35" t="n">
        <f aca="false">CG363*CH368+CG366*CH369</f>
        <v>265.197772241182</v>
      </c>
      <c r="CI371" s="35" t="n">
        <f aca="false">CH363*CI368+CH366*CI369</f>
        <v>293.974534833832</v>
      </c>
      <c r="CJ371" s="35" t="n">
        <f aca="false">CI363*CJ368+CI366*CJ369</f>
        <v>324.531686607237</v>
      </c>
      <c r="CK371" s="23"/>
    </row>
    <row r="372" customFormat="false" ht="15" hidden="false" customHeight="true" outlineLevel="0" collapsed="false">
      <c r="B372" s="80" t="s">
        <v>684</v>
      </c>
      <c r="CC372" s="43"/>
      <c r="CD372" s="43"/>
      <c r="CE372" s="43"/>
      <c r="CF372" s="43"/>
      <c r="CG372" s="35" t="n">
        <f aca="false">CG251*CG370</f>
        <v>33.6847855655953</v>
      </c>
      <c r="CH372" s="35" t="n">
        <f aca="false">CH251*CH370</f>
        <v>8.75</v>
      </c>
      <c r="CI372" s="35" t="n">
        <f aca="false">CI251*CI370</f>
        <v>8.75</v>
      </c>
      <c r="CJ372" s="35" t="n">
        <f aca="false">CJ251*CJ370</f>
        <v>8.75</v>
      </c>
      <c r="CK372" s="23"/>
    </row>
    <row r="373" customFormat="false" ht="15" hidden="false" customHeight="true" outlineLevel="0" collapsed="false">
      <c r="B373" s="17" t="s">
        <v>685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9"/>
    </row>
    <row r="374" customFormat="false" ht="15" hidden="false" customHeight="true" outlineLevel="0" collapsed="false">
      <c r="B374" s="80" t="s">
        <v>686</v>
      </c>
      <c r="CC374" s="75"/>
      <c r="CD374" s="75"/>
      <c r="CE374" s="75"/>
      <c r="CF374" s="75"/>
      <c r="CG374" s="76" t="n">
        <f aca="false">CHOOSE(MATCH($CK$2,{"Bull","Base","Bear"},0),$CT$138,$CU$138,$CV$138)</f>
        <v>1.25</v>
      </c>
      <c r="CH374" s="76" t="n">
        <f aca="false">CHOOSE(MATCH($CK$2,{"Bull","Base","Bear"},0),$CT$139,$CU$139,$CV$139)</f>
        <v>1.25</v>
      </c>
      <c r="CI374" s="76" t="n">
        <f aca="false">CHOOSE(MATCH($CK$2,{"Bull","Base","Bear"},0),$CT$140,$CU$140,$CV$140)</f>
        <v>1.25</v>
      </c>
      <c r="CJ374" s="76" t="n">
        <f aca="false">CHOOSE(MATCH($CK$2,{"Bull","Base","Bear"},0),$CT$141,$CU$141,$CV$141)</f>
        <v>1.25</v>
      </c>
      <c r="CK374" s="23" t="s">
        <v>687</v>
      </c>
    </row>
    <row r="375" customFormat="false" ht="15" hidden="false" customHeight="true" outlineLevel="0" collapsed="false">
      <c r="B375" s="80" t="s">
        <v>688</v>
      </c>
      <c r="CC375" s="43"/>
      <c r="CD375" s="43"/>
      <c r="CE375" s="43"/>
      <c r="CF375" s="43"/>
      <c r="CG375" s="35" t="n">
        <f aca="false">CF389-(CG236+CG241+CG244+CG246)</f>
        <v>3129.31910460368</v>
      </c>
      <c r="CH375" s="35" t="n">
        <f aca="false">CG389-(CH236+CH241+CH244+CH246)</f>
        <v>3940.44130482157</v>
      </c>
      <c r="CI375" s="35" t="n">
        <f aca="false">CH389-(CI236+CI241+CI244+CI246)</f>
        <v>4333.53435543854</v>
      </c>
      <c r="CJ375" s="35" t="n">
        <f aca="false">CI389-(CJ236+CJ241+CJ244+CJ246)</f>
        <v>4828.16819449811</v>
      </c>
      <c r="CK375" s="23"/>
    </row>
    <row r="376" customFormat="false" ht="15" hidden="false" customHeight="true" outlineLevel="0" collapsed="false">
      <c r="B376" s="80" t="s">
        <v>689</v>
      </c>
      <c r="CC376" s="43"/>
      <c r="CD376" s="43"/>
      <c r="CE376" s="43"/>
      <c r="CF376" s="43"/>
      <c r="CG376" s="35" t="n">
        <f aca="false">CG374*CG185</f>
        <v>5294.74562758183</v>
      </c>
      <c r="CH376" s="35" t="n">
        <f aca="false">CH374*CH185</f>
        <v>5934.22924075182</v>
      </c>
      <c r="CI376" s="35" t="n">
        <f aca="false">CI374*CI185</f>
        <v>6613.2770579386</v>
      </c>
      <c r="CJ376" s="35" t="n">
        <f aca="false">CJ374*CJ185</f>
        <v>7234.21921439141</v>
      </c>
      <c r="CK376" s="23"/>
    </row>
    <row r="377" customFormat="false" ht="15" hidden="false" customHeight="true" outlineLevel="0" collapsed="false">
      <c r="B377" s="80" t="s">
        <v>690</v>
      </c>
      <c r="CC377" s="43"/>
      <c r="CD377" s="43"/>
      <c r="CE377" s="43"/>
      <c r="CF377" s="43"/>
      <c r="CG377" s="35" t="n">
        <f aca="false">MAX(0,CG376-CG375)</f>
        <v>2165.42652297815</v>
      </c>
      <c r="CH377" s="35" t="n">
        <f aca="false">MAX(0,CH376-CH375)</f>
        <v>1993.78793593024</v>
      </c>
      <c r="CI377" s="35" t="n">
        <f aca="false">MAX(0,CI376-CI375)</f>
        <v>2279.74270250005</v>
      </c>
      <c r="CJ377" s="35" t="n">
        <f aca="false">MAX(0,CJ376-CJ375)</f>
        <v>2406.05101989329</v>
      </c>
      <c r="CK377" s="23" t="s">
        <v>691</v>
      </c>
    </row>
    <row r="378" customFormat="false" ht="15" hidden="false" customHeight="true" outlineLevel="0" collapsed="false">
      <c r="B378" s="17" t="s">
        <v>692</v>
      </c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  <c r="CI378" s="18"/>
      <c r="CJ378" s="18"/>
      <c r="CK378" s="19"/>
    </row>
    <row r="379" customFormat="false" ht="15" hidden="false" customHeight="true" outlineLevel="0" collapsed="false">
      <c r="B379" s="80" t="s">
        <v>268</v>
      </c>
      <c r="CC379" s="43"/>
      <c r="CD379" s="43"/>
      <c r="CE379" s="43"/>
      <c r="CF379" s="35" t="n">
        <f aca="false">$CU$71</f>
        <v>4</v>
      </c>
      <c r="CG379" s="35" t="n">
        <f aca="false">$CU$71</f>
        <v>4</v>
      </c>
      <c r="CH379" s="35" t="n">
        <f aca="false">$CU$71</f>
        <v>4</v>
      </c>
      <c r="CI379" s="35" t="n">
        <f aca="false">$CU$71</f>
        <v>4</v>
      </c>
      <c r="CJ379" s="35" t="n">
        <f aca="false">$CU$71</f>
        <v>4</v>
      </c>
      <c r="CK379" s="23"/>
    </row>
    <row r="380" customFormat="false" ht="15" hidden="false" customHeight="true" outlineLevel="0" collapsed="false">
      <c r="B380" s="80" t="s">
        <v>693</v>
      </c>
      <c r="CC380" s="59"/>
      <c r="CD380" s="59"/>
      <c r="CE380" s="59"/>
      <c r="CF380" s="60" t="n">
        <f aca="false">$CU$72</f>
        <v>198.95</v>
      </c>
      <c r="CG380" s="60" t="n">
        <f aca="false">CF380*(1+$CU$73)</f>
        <v>214.866</v>
      </c>
      <c r="CH380" s="60" t="n">
        <f aca="false">CG380*(1+$CU$73)</f>
        <v>232.05528</v>
      </c>
      <c r="CI380" s="60" t="n">
        <f aca="false">CH380*(1+$CU$73)</f>
        <v>250.6197024</v>
      </c>
      <c r="CJ380" s="60" t="n">
        <f aca="false">CI380*(1+$CU$73)</f>
        <v>270.669278592</v>
      </c>
      <c r="CK380" s="23"/>
    </row>
    <row r="381" customFormat="false" ht="15" hidden="false" customHeight="true" outlineLevel="0" collapsed="false"/>
    <row r="382" customFormat="false" ht="15" hidden="false" customHeight="true" outlineLevel="0" collapsed="false">
      <c r="B382" s="12" t="s">
        <v>694</v>
      </c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2" t="s">
        <v>695</v>
      </c>
    </row>
    <row r="383" customFormat="false" ht="15" hidden="false" customHeight="true" outlineLevel="0" collapsed="false">
      <c r="B383" s="67" t="s">
        <v>696</v>
      </c>
    </row>
    <row r="384" customFormat="false" ht="15" hidden="false" customHeight="true" outlineLevel="0" collapsed="false">
      <c r="B384" s="29" t="s">
        <v>697</v>
      </c>
      <c r="C384" s="45" t="n">
        <f aca="false">C192</f>
        <v>546.838</v>
      </c>
      <c r="D384" s="45" t="n">
        <f aca="false">D192</f>
        <v>577.397</v>
      </c>
      <c r="E384" s="45" t="n">
        <f aca="false">E192</f>
        <v>577.455</v>
      </c>
      <c r="F384" s="45" t="n">
        <f aca="false">F192</f>
        <v>495.648</v>
      </c>
      <c r="G384" s="45" t="n">
        <f aca="false">G192</f>
        <v>411.458</v>
      </c>
      <c r="H384" s="45" t="n">
        <f aca="false">H192</f>
        <v>440.343</v>
      </c>
      <c r="I384" s="45" t="n">
        <f aca="false">I192</f>
        <v>539.627</v>
      </c>
      <c r="N384" s="45" t="n">
        <f aca="false">N192</f>
        <v>565.211</v>
      </c>
      <c r="S384" s="45" t="n">
        <f aca="false">S192</f>
        <v>611.634</v>
      </c>
      <c r="X384" s="45" t="n">
        <f aca="false">X192</f>
        <v>696.407000000001</v>
      </c>
      <c r="AC384" s="45" t="n">
        <f aca="false">AC192</f>
        <v>781.747999999999</v>
      </c>
      <c r="AH384" s="45" t="n">
        <f aca="false">AH192</f>
        <v>852.915</v>
      </c>
      <c r="AM384" s="45" t="n">
        <f aca="false">AM192</f>
        <v>1031.731</v>
      </c>
      <c r="AR384" s="45" t="n">
        <f aca="false">AR192</f>
        <v>1147.944</v>
      </c>
      <c r="AW384" s="45" t="n">
        <f aca="false">AW192</f>
        <v>1162.696</v>
      </c>
      <c r="BB384" s="45" t="n">
        <f aca="false">BB192</f>
        <v>1363.462</v>
      </c>
      <c r="BG384" s="45" t="n">
        <f aca="false">BG192</f>
        <v>1545.09</v>
      </c>
      <c r="BL384" s="45" t="n">
        <f aca="false">BL192</f>
        <v>1802.664</v>
      </c>
      <c r="BQ384" s="45" t="n">
        <f aca="false">BQ192</f>
        <v>2068.633</v>
      </c>
      <c r="BV384" s="45" t="n">
        <f aca="false">BV192</f>
        <v>2359.726</v>
      </c>
      <c r="CA384" s="45" t="n">
        <f aca="false">CA192</f>
        <v>2621.648</v>
      </c>
      <c r="CC384" s="43"/>
      <c r="CD384" s="43"/>
      <c r="CE384" s="43"/>
      <c r="CF384" s="35" t="n">
        <f aca="false">CF192</f>
        <v>2930.22445351588</v>
      </c>
      <c r="CG384" s="35" t="n">
        <f aca="false">CG192</f>
        <v>3432.91475592976</v>
      </c>
      <c r="CH384" s="35" t="n">
        <f aca="false">CH192</f>
        <v>3886.32705741825</v>
      </c>
      <c r="CI384" s="35" t="n">
        <f aca="false">CI192</f>
        <v>4382.40885849476</v>
      </c>
      <c r="CJ384" s="35" t="n">
        <f aca="false">CJ192</f>
        <v>4815.15636015633</v>
      </c>
      <c r="CK384" s="23"/>
    </row>
    <row r="385" customFormat="false" ht="15" hidden="false" customHeight="true" outlineLevel="0" collapsed="false">
      <c r="B385" s="29" t="s">
        <v>698</v>
      </c>
      <c r="C385" s="37" t="n">
        <f aca="false">C150</f>
        <v>0.37300000958194</v>
      </c>
      <c r="D385" s="37" t="n">
        <f aca="false">D150</f>
        <v>0.372999495832654</v>
      </c>
      <c r="E385" s="37" t="n">
        <f aca="false">E150</f>
        <v>0.367999864331153</v>
      </c>
      <c r="F385" s="37" t="n">
        <f aca="false">F150</f>
        <v>0.374000602887777</v>
      </c>
      <c r="G385" s="37" t="n">
        <f aca="false">G150</f>
        <v>0.373000825840671</v>
      </c>
      <c r="H385" s="37" t="n">
        <f aca="false">H150</f>
        <v>0.37099949321184</v>
      </c>
      <c r="I385" s="37" t="n">
        <f aca="false">I150</f>
        <v>0.367999167629272</v>
      </c>
      <c r="N385" s="37" t="n">
        <f aca="false">N150</f>
        <v>0.368999895980861</v>
      </c>
      <c r="S385" s="37" t="n">
        <f aca="false">S150</f>
        <v>0.383997578381793</v>
      </c>
      <c r="X385" s="37" t="n">
        <f aca="false">X150</f>
        <v>0.371667811070128</v>
      </c>
      <c r="AC385" s="37" t="n">
        <f aca="false">AC150</f>
        <v>0.363700039826102</v>
      </c>
      <c r="AH385" s="37" t="n">
        <f aca="false">AH150</f>
        <v>0.334763836113843</v>
      </c>
      <c r="AM385" s="37" t="n">
        <f aca="false">AM150</f>
        <v>0.0678584210958132</v>
      </c>
      <c r="AR385" s="37" t="n">
        <f aca="false">AR150</f>
        <v>0.199350688815937</v>
      </c>
      <c r="AW385" s="37" t="n">
        <f aca="false">AW150</f>
        <v>0.171910183493954</v>
      </c>
      <c r="BB385" s="37" t="n">
        <f aca="false">BB150</f>
        <v>0.137279081560149</v>
      </c>
      <c r="BG385" s="37" t="n">
        <f aca="false">BG150</f>
        <v>0.175484798180906</v>
      </c>
      <c r="BL385" s="37" t="n">
        <f aca="false">BL150</f>
        <v>0.203843964024409</v>
      </c>
      <c r="BQ385" s="37" t="n">
        <f aca="false">BQ150</f>
        <v>0.203706865757853</v>
      </c>
      <c r="BV385" s="37" t="n">
        <f aca="false">BV150</f>
        <v>0.199593940823301</v>
      </c>
      <c r="CA385" s="37" t="n">
        <f aca="false">CA150</f>
        <v>0.201716018702496</v>
      </c>
      <c r="CC385" s="33"/>
      <c r="CD385" s="33"/>
      <c r="CE385" s="33"/>
      <c r="CF385" s="28" t="n">
        <f aca="false">CF150</f>
        <v>0.202997303548471</v>
      </c>
      <c r="CG385" s="28" t="n">
        <f aca="false">CG150</f>
        <v>0.21</v>
      </c>
      <c r="CH385" s="28" t="n">
        <f aca="false">CH150</f>
        <v>0.21</v>
      </c>
      <c r="CI385" s="28" t="n">
        <f aca="false">CI150</f>
        <v>0.21</v>
      </c>
      <c r="CJ385" s="28" t="n">
        <f aca="false">CJ150</f>
        <v>0.21</v>
      </c>
      <c r="CK385" s="23"/>
    </row>
    <row r="386" customFormat="false" ht="15" hidden="false" customHeight="true" outlineLevel="0" collapsed="false">
      <c r="B386" s="29" t="s">
        <v>699</v>
      </c>
      <c r="C386" s="45" t="n">
        <f aca="false">C384*(1-C385)</f>
        <v>342.867420760231</v>
      </c>
      <c r="D386" s="45" t="n">
        <f aca="false">D384*(1-D385)</f>
        <v>362.028210104713</v>
      </c>
      <c r="E386" s="45" t="n">
        <f aca="false">E384*(1-E385)</f>
        <v>364.951638342654</v>
      </c>
      <c r="F386" s="45" t="n">
        <f aca="false">F384*(1-F385)</f>
        <v>310.275349179879</v>
      </c>
      <c r="G386" s="45" t="n">
        <f aca="false">G384*(1-G385)</f>
        <v>257.983826201249</v>
      </c>
      <c r="H386" s="45" t="n">
        <f aca="false">H384*(1-H385)</f>
        <v>276.975970160619</v>
      </c>
      <c r="I386" s="45" t="n">
        <f aca="false">I384*(1-I385)</f>
        <v>341.044713169719</v>
      </c>
      <c r="N386" s="45" t="n">
        <f aca="false">N384*(1-N385)</f>
        <v>356.648199792761</v>
      </c>
      <c r="S386" s="45" t="n">
        <f aca="false">S384*(1-S385)</f>
        <v>376.76802514403</v>
      </c>
      <c r="X386" s="45" t="n">
        <f aca="false">X384*(1-X385)</f>
        <v>437.574934696085</v>
      </c>
      <c r="AC386" s="45" t="n">
        <f aca="false">AC384*(1-AC385)</f>
        <v>497.426221266024</v>
      </c>
      <c r="AH386" s="45" t="n">
        <f aca="false">AH384*(1-AH385)</f>
        <v>567.389902720962</v>
      </c>
      <c r="AM386" s="45" t="n">
        <f aca="false">AM384*(1-AM385)</f>
        <v>961.719363344395</v>
      </c>
      <c r="AR386" s="45" t="n">
        <f aca="false">AR384*(1-AR385)</f>
        <v>919.100572877878</v>
      </c>
      <c r="AW386" s="45" t="n">
        <f aca="false">AW384*(1-AW385)</f>
        <v>962.816717292314</v>
      </c>
      <c r="BB386" s="45" t="n">
        <f aca="false">BB384*(1-BB385)</f>
        <v>1176.28718889784</v>
      </c>
      <c r="BG386" s="45" t="n">
        <f aca="false">BG384*(1-BG385)</f>
        <v>1273.95019317866</v>
      </c>
      <c r="BL386" s="45" t="n">
        <f aca="false">BL384*(1-BL385)</f>
        <v>1435.2018244359</v>
      </c>
      <c r="BQ386" s="45" t="n">
        <f aca="false">BQ384*(1-BQ385)</f>
        <v>1647.23825516674</v>
      </c>
      <c r="BV386" s="45" t="n">
        <f aca="false">BV384*(1-BV385)</f>
        <v>1888.7389883968</v>
      </c>
      <c r="CA386" s="45" t="n">
        <f aca="false">CA384*(1-CA385)</f>
        <v>2092.81960300064</v>
      </c>
      <c r="CC386" s="43"/>
      <c r="CD386" s="43"/>
      <c r="CE386" s="43"/>
      <c r="CF386" s="35" t="n">
        <f aca="false">CF384*(1-CF385)</f>
        <v>2335.39679066037</v>
      </c>
      <c r="CG386" s="35" t="n">
        <f aca="false">CG384*(1-CG385)</f>
        <v>2712.00265718451</v>
      </c>
      <c r="CH386" s="35" t="n">
        <f aca="false">CH384*(1-CH385)</f>
        <v>3070.19837536042</v>
      </c>
      <c r="CI386" s="35" t="n">
        <f aca="false">CI384*(1-CI385)</f>
        <v>3462.10299821086</v>
      </c>
      <c r="CJ386" s="35" t="n">
        <f aca="false">CJ384*(1-CJ385)</f>
        <v>3803.9735245235</v>
      </c>
      <c r="CK386" s="23"/>
    </row>
    <row r="387" customFormat="false" ht="15" hidden="false" customHeight="true" outlineLevel="0" collapsed="false">
      <c r="B387" s="29" t="s">
        <v>700</v>
      </c>
      <c r="C387" s="45" t="n">
        <f aca="false">C311+C389</f>
        <v>2650.563</v>
      </c>
      <c r="D387" s="45" t="n">
        <f aca="false">D311+D389</f>
        <v>2893.54</v>
      </c>
      <c r="E387" s="45" t="n">
        <f aca="false">E311+E389</f>
        <v>3006.242</v>
      </c>
      <c r="F387" s="45" t="n">
        <f aca="false">F311+F389</f>
        <v>2903.927</v>
      </c>
      <c r="G387" s="45" t="n">
        <f aca="false">G311+G389</f>
        <v>2753.995</v>
      </c>
      <c r="H387" s="45" t="n">
        <f aca="false">H311+H389</f>
        <v>3063.448</v>
      </c>
      <c r="I387" s="45" t="n">
        <f aca="false">I311+I389</f>
        <v>3084.112</v>
      </c>
      <c r="N387" s="45" t="n">
        <f aca="false">N311+N389</f>
        <v>3152.705</v>
      </c>
      <c r="S387" s="45" t="n">
        <f aca="false">S311+S389</f>
        <v>2980.55</v>
      </c>
      <c r="X387" s="45" t="n">
        <f aca="false">X311+X389</f>
        <v>2799.301</v>
      </c>
      <c r="AC387" s="45" t="n">
        <f aca="false">AC311+AC389</f>
        <v>2932.897</v>
      </c>
      <c r="AH387" s="45" t="n">
        <f aca="false">AH311+AH389</f>
        <v>5244.832</v>
      </c>
      <c r="AM387" s="45" t="n">
        <f aca="false">AM311+AM389</f>
        <v>5413.111</v>
      </c>
      <c r="AR387" s="45" t="n">
        <f aca="false">AR311+AR389</f>
        <v>5755.847</v>
      </c>
      <c r="AW387" s="45" t="n">
        <f aca="false">AW311+AW389</f>
        <v>5629.505</v>
      </c>
      <c r="BB387" s="45" t="n">
        <f aca="false">BB311+BB389</f>
        <v>5736.11</v>
      </c>
      <c r="BG387" s="45" t="n">
        <f aca="false">BG311+BG389</f>
        <v>6013.231</v>
      </c>
      <c r="BL387" s="45" t="n">
        <f aca="false">BL311+BL389</f>
        <v>6226.242</v>
      </c>
      <c r="BQ387" s="45" t="n">
        <f aca="false">BQ311+BQ389</f>
        <v>6449.886</v>
      </c>
      <c r="BV387" s="45" t="n">
        <f aca="false">BV311+BV389</f>
        <v>6845.507</v>
      </c>
      <c r="CA387" s="45" t="n">
        <f aca="false">CA311+CA389</f>
        <v>7278.942</v>
      </c>
      <c r="CC387" s="43"/>
      <c r="CD387" s="43"/>
      <c r="CE387" s="43"/>
      <c r="CF387" s="35" t="n">
        <f aca="false">CF311+CF389</f>
        <v>12755.6386277359</v>
      </c>
      <c r="CG387" s="35" t="n">
        <f aca="false">CG311+CG389</f>
        <v>13237.5597783749</v>
      </c>
      <c r="CH387" s="35" t="n">
        <f aca="false">CH311+CH389</f>
        <v>13790.6218552186</v>
      </c>
      <c r="CI387" s="35" t="n">
        <f aca="false">CI311+CI389</f>
        <v>14430.4990081674</v>
      </c>
      <c r="CJ387" s="35" t="n">
        <f aca="false">CJ311+CJ389</f>
        <v>15131.9396683869</v>
      </c>
      <c r="CK387" s="23"/>
    </row>
    <row r="388" customFormat="false" ht="15" hidden="false" customHeight="true" outlineLevel="0" collapsed="false">
      <c r="B388" s="29" t="s">
        <v>701</v>
      </c>
      <c r="C388" s="45" t="n">
        <f aca="false">C311</f>
        <v>2093.274</v>
      </c>
      <c r="D388" s="45" t="n">
        <f aca="false">D311</f>
        <v>2167.738</v>
      </c>
      <c r="E388" s="45" t="n">
        <f aca="false">E311</f>
        <v>2254.131</v>
      </c>
      <c r="F388" s="45" t="n">
        <f aca="false">F311</f>
        <v>2367.409</v>
      </c>
      <c r="G388" s="45" t="n">
        <f aca="false">G311</f>
        <v>2534.029</v>
      </c>
      <c r="H388" s="45" t="n">
        <f aca="false">H311</f>
        <v>2302.649</v>
      </c>
      <c r="I388" s="45" t="n">
        <f aca="false">I311</f>
        <v>2139.135</v>
      </c>
      <c r="N388" s="45" t="n">
        <f aca="false">N311</f>
        <v>2201.492</v>
      </c>
      <c r="S388" s="45" t="n">
        <f aca="false">S311</f>
        <v>2192.858</v>
      </c>
      <c r="X388" s="45" t="n">
        <f aca="false">X311</f>
        <v>1932.455</v>
      </c>
      <c r="AC388" s="45" t="n">
        <f aca="false">AC311</f>
        <v>1842.659</v>
      </c>
      <c r="AH388" s="45" t="n">
        <f aca="false">AH311</f>
        <v>2302.793</v>
      </c>
      <c r="AM388" s="45" t="n">
        <f aca="false">AM311</f>
        <v>3016.526</v>
      </c>
      <c r="AR388" s="45" t="n">
        <f aca="false">AR311</f>
        <v>3002.721</v>
      </c>
      <c r="AW388" s="45" t="n">
        <f aca="false">AW311</f>
        <v>3235.202</v>
      </c>
      <c r="BB388" s="45" t="n">
        <f aca="false">BB311</f>
        <v>3687.847</v>
      </c>
      <c r="BG388" s="45" t="n">
        <f aca="false">BG311</f>
        <v>3308.196</v>
      </c>
      <c r="BL388" s="45" t="n">
        <f aca="false">BL311</f>
        <v>3863.986</v>
      </c>
      <c r="BQ388" s="45" t="n">
        <f aca="false">BQ311</f>
        <v>4316.372</v>
      </c>
      <c r="BV388" s="45" t="n">
        <f aca="false">BV311</f>
        <v>4684.481</v>
      </c>
      <c r="CA388" s="45" t="n">
        <f aca="false">CA311</f>
        <v>5139.887</v>
      </c>
      <c r="CC388" s="43"/>
      <c r="CD388" s="43"/>
      <c r="CE388" s="43"/>
      <c r="CF388" s="35" t="n">
        <f aca="false">CF311</f>
        <v>8489.98807246719</v>
      </c>
      <c r="CG388" s="35" t="n">
        <f aca="false">CG311</f>
        <v>7942.81415079304</v>
      </c>
      <c r="CH388" s="35" t="n">
        <f aca="false">CH311</f>
        <v>7856.39261446676</v>
      </c>
      <c r="CI388" s="35" t="n">
        <f aca="false">CI311</f>
        <v>7817.22195022883</v>
      </c>
      <c r="CJ388" s="35" t="n">
        <f aca="false">CJ311</f>
        <v>7897.72045399553</v>
      </c>
      <c r="CK388" s="23"/>
    </row>
    <row r="389" customFormat="false" ht="15" hidden="false" customHeight="true" outlineLevel="0" collapsed="false">
      <c r="B389" s="29" t="s">
        <v>702</v>
      </c>
      <c r="C389" s="45" t="n">
        <f aca="false">C357-C279-N(C280)</f>
        <v>557.289</v>
      </c>
      <c r="D389" s="45" t="n">
        <f aca="false">D357-D279-N(D280)</f>
        <v>725.802</v>
      </c>
      <c r="E389" s="45" t="n">
        <f aca="false">E357-E279-N(E280)</f>
        <v>752.111</v>
      </c>
      <c r="F389" s="45" t="n">
        <f aca="false">F357-F279-N(F280)</f>
        <v>536.518</v>
      </c>
      <c r="G389" s="45" t="n">
        <f aca="false">G357-G279-N(G280)</f>
        <v>219.966</v>
      </c>
      <c r="H389" s="45" t="n">
        <f aca="false">H357-H279-N(H280)</f>
        <v>760.799</v>
      </c>
      <c r="I389" s="45" t="n">
        <f aca="false">I357-I279-N(I280)</f>
        <v>944.977</v>
      </c>
      <c r="J389" s="45" t="n">
        <f aca="false">J357-J279-N(J280)</f>
        <v>979.483</v>
      </c>
      <c r="K389" s="45" t="n">
        <f aca="false">K357-K279-N(K280)</f>
        <v>1033.141</v>
      </c>
      <c r="L389" s="45" t="n">
        <f aca="false">L357-L279-N(L280)</f>
        <v>1063.644</v>
      </c>
      <c r="M389" s="45" t="n">
        <f aca="false">M357-M279-N(M280)</f>
        <v>951.213</v>
      </c>
      <c r="N389" s="45" t="n">
        <f aca="false">N357-N279-N(N280)</f>
        <v>951.213</v>
      </c>
      <c r="O389" s="45" t="n">
        <f aca="false">O357-O279-N(O280)</f>
        <v>1026.14</v>
      </c>
      <c r="P389" s="45" t="n">
        <f aca="false">P357-P279-N(P280)</f>
        <v>987.839</v>
      </c>
      <c r="Q389" s="45" t="n">
        <f aca="false">Q357-Q279-N(Q280)</f>
        <v>947.457</v>
      </c>
      <c r="R389" s="45" t="n">
        <f aca="false">R357-R279-N(R280)</f>
        <v>787.692</v>
      </c>
      <c r="S389" s="45" t="n">
        <f aca="false">S357-S279-N(S280)</f>
        <v>787.692</v>
      </c>
      <c r="T389" s="45" t="n">
        <f aca="false">T357-T279-N(T280)</f>
        <v>718.547</v>
      </c>
      <c r="U389" s="45" t="n">
        <f aca="false">U357-U279-N(U280)</f>
        <v>473.276</v>
      </c>
      <c r="V389" s="45" t="n">
        <f aca="false">V357-V279-N(V280)</f>
        <v>809.812</v>
      </c>
      <c r="W389" s="45" t="n">
        <f aca="false">W357-W279-N(W280)</f>
        <v>866.846</v>
      </c>
      <c r="X389" s="45" t="n">
        <f aca="false">X357-X279-N(X280)</f>
        <v>866.846</v>
      </c>
      <c r="Y389" s="45" t="n">
        <f aca="false">Y357-Y279-N(Y280)</f>
        <v>1099.786</v>
      </c>
      <c r="Z389" s="45" t="n">
        <f aca="false">Z357-Z279-N(Z280)</f>
        <v>627.389</v>
      </c>
      <c r="AA389" s="45" t="n">
        <f aca="false">AA357-AA279-N(AA280)</f>
        <v>913.181</v>
      </c>
      <c r="AB389" s="45" t="n">
        <f aca="false">AB357-AB279-N(AB280)</f>
        <v>1090.238</v>
      </c>
      <c r="AC389" s="45" t="n">
        <f aca="false">AC357-AC279-N(AC280)</f>
        <v>1090.238</v>
      </c>
      <c r="AD389" s="45" t="n">
        <f aca="false">AD357-AD279-N(AD280)</f>
        <v>1044.661</v>
      </c>
      <c r="AE389" s="45" t="n">
        <f aca="false">AE357-AE279-N(AE280)</f>
        <v>967.261</v>
      </c>
      <c r="AF389" s="45" t="n">
        <f aca="false">AF357-AF279-N(AF280)</f>
        <v>997.296</v>
      </c>
      <c r="AG389" s="45" t="n">
        <f aca="false">AG357-AG279-N(AG280)</f>
        <v>2942.039</v>
      </c>
      <c r="AH389" s="45" t="n">
        <f aca="false">AH357-AH279-N(AH280)</f>
        <v>2942.039</v>
      </c>
      <c r="AI389" s="45" t="n">
        <f aca="false">AI357-AI279-N(AI280)</f>
        <v>2628.082</v>
      </c>
      <c r="AJ389" s="45" t="n">
        <f aca="false">AJ357-AJ279-N(AJ280)</f>
        <v>2575.488</v>
      </c>
      <c r="AK389" s="45" t="n">
        <f aca="false">AK357-AK279-N(AK280)</f>
        <v>2536.004</v>
      </c>
      <c r="AL389" s="45" t="n">
        <f aca="false">AL357-AL279-N(AL280)</f>
        <v>2396.585</v>
      </c>
      <c r="AM389" s="45" t="n">
        <f aca="false">AM357-AM279-N(AM280)</f>
        <v>2396.585</v>
      </c>
      <c r="AN389" s="45" t="n">
        <f aca="false">AN357-AN279-N(AN280)</f>
        <v>2417.503</v>
      </c>
      <c r="AO389" s="45" t="n">
        <f aca="false">AO357-AO279-N(AO280)</f>
        <v>2621.429</v>
      </c>
      <c r="AP389" s="45" t="n">
        <f aca="false">AP357-AP279-N(AP280)</f>
        <v>2673.599</v>
      </c>
      <c r="AQ389" s="45" t="n">
        <f aca="false">AQ357-AQ279-N(AQ280)</f>
        <v>2753.126</v>
      </c>
      <c r="AR389" s="45" t="n">
        <f aca="false">AR357-AR279-N(AR280)</f>
        <v>2753.126</v>
      </c>
      <c r="AS389" s="45" t="n">
        <f aca="false">AS357-AS279-N(AS280)</f>
        <v>2774.702</v>
      </c>
      <c r="AT389" s="45" t="n">
        <f aca="false">AT357-AT279-N(AT280)</f>
        <v>2511.859</v>
      </c>
      <c r="AU389" s="45" t="n">
        <f aca="false">AU357-AU279-N(AU280)</f>
        <v>2504.515</v>
      </c>
      <c r="AV389" s="45" t="n">
        <f aca="false">AV357-AV279-N(AV280)</f>
        <v>2394.303</v>
      </c>
      <c r="AW389" s="45" t="n">
        <f aca="false">AW357-AW279-N(AW280)</f>
        <v>2394.303</v>
      </c>
      <c r="AX389" s="45" t="n">
        <f aca="false">AX357-AX279-N(AX280)</f>
        <v>2118.713</v>
      </c>
      <c r="AY389" s="45" t="n">
        <f aca="false">AY357-AY279-N(AY280)</f>
        <v>1837.629</v>
      </c>
      <c r="AZ389" s="45" t="n">
        <f aca="false">AZ357-AZ279-N(AZ280)</f>
        <v>1987.743</v>
      </c>
      <c r="BA389" s="45" t="n">
        <f aca="false">BA357-BA279-N(BA280)</f>
        <v>2048.263</v>
      </c>
      <c r="BB389" s="45" t="n">
        <f aca="false">BB357-BB279-N(BB280)</f>
        <v>2048.263</v>
      </c>
      <c r="BC389" s="45" t="n">
        <f aca="false">BC357-BC279-N(BC280)</f>
        <v>2538.64</v>
      </c>
      <c r="BD389" s="45" t="n">
        <f aca="false">BD357-BD279-N(BD280)</f>
        <v>2346.704</v>
      </c>
      <c r="BE389" s="45" t="n">
        <f aca="false">BE357-BE279-N(BE280)</f>
        <v>2768.433</v>
      </c>
      <c r="BF389" s="45" t="n">
        <f aca="false">BF357-BF279-N(BF280)</f>
        <v>2705.035</v>
      </c>
      <c r="BG389" s="45" t="n">
        <f aca="false">BG357-BG279-N(BG280)</f>
        <v>2705.035</v>
      </c>
      <c r="BH389" s="45" t="n">
        <f aca="false">BH357-BH279-N(BH280)</f>
        <v>2917.511</v>
      </c>
      <c r="BI389" s="45" t="n">
        <f aca="false">BI357-BI279-N(BI280)</f>
        <v>2830.884</v>
      </c>
      <c r="BJ389" s="45" t="n">
        <f aca="false">BJ357-BJ279-N(BJ280)</f>
        <v>2646.442</v>
      </c>
      <c r="BK389" s="45" t="n">
        <f aca="false">BK357-BK279-N(BK280)</f>
        <v>2362.256</v>
      </c>
      <c r="BL389" s="45" t="n">
        <f aca="false">BL357-BL279-N(BL280)</f>
        <v>2362.256</v>
      </c>
      <c r="BM389" s="45" t="n">
        <f aca="false">BM357-BM279-N(BM280)</f>
        <v>2388.967</v>
      </c>
      <c r="BN389" s="45" t="n">
        <f aca="false">BN357-BN279-N(BN280)</f>
        <v>2598.731</v>
      </c>
      <c r="BO389" s="45" t="n">
        <f aca="false">BO357-BO279-N(BO280)</f>
        <v>2346.425</v>
      </c>
      <c r="BP389" s="45" t="n">
        <f aca="false">BP357-BP279-N(BP280)</f>
        <v>2133.514</v>
      </c>
      <c r="BQ389" s="45" t="n">
        <f aca="false">BQ357-BQ279-N(BQ280)</f>
        <v>2133.514</v>
      </c>
      <c r="BR389" s="45" t="n">
        <f aca="false">BR357-BR279-N(BR280)</f>
        <v>2540.777</v>
      </c>
      <c r="BS389" s="45" t="n">
        <f aca="false">BS357-BS279-N(BS280)</f>
        <v>2535.376</v>
      </c>
      <c r="BT389" s="45" t="n">
        <f aca="false">BT357-BT279-N(BT280)</f>
        <v>2233.964</v>
      </c>
      <c r="BU389" s="45" t="n">
        <f aca="false">BU357-BU279-N(BU280)</f>
        <v>2161.026</v>
      </c>
      <c r="BV389" s="45" t="n">
        <f aca="false">BV357-BV279-N(BV280)</f>
        <v>2161.026</v>
      </c>
      <c r="BW389" s="45" t="n">
        <f aca="false">BW357-BW279-N(BW280)</f>
        <v>2287.614</v>
      </c>
      <c r="BX389" s="45" t="n">
        <f aca="false">BX357-BX279-N(BX280)</f>
        <v>2776.437</v>
      </c>
      <c r="BY389" s="45" t="n">
        <f aca="false">BY357-BY279-N(BY280)</f>
        <v>2473.587</v>
      </c>
      <c r="BZ389" s="45" t="n">
        <f aca="false">BZ357-BZ279-N(BZ280)</f>
        <v>2139.055</v>
      </c>
      <c r="CA389" s="45" t="n">
        <f aca="false">CA357-CA279-N(CA280)</f>
        <v>2139.055</v>
      </c>
      <c r="CB389" s="45" t="n">
        <f aca="false">CB357-CB279-N(CB280)</f>
        <v>2185.246</v>
      </c>
      <c r="CC389" s="43"/>
      <c r="CD389" s="43"/>
      <c r="CE389" s="43"/>
      <c r="CF389" s="35" t="n">
        <f aca="false">CF357-CF279-N(CF280)</f>
        <v>4265.65055526871</v>
      </c>
      <c r="CG389" s="35" t="n">
        <f aca="false">CG357-CG279-N(CG280)</f>
        <v>5294.74562758183</v>
      </c>
      <c r="CH389" s="35" t="n">
        <f aca="false">CH357-CH279-N(CH280)</f>
        <v>5934.22924075182</v>
      </c>
      <c r="CI389" s="35" t="n">
        <f aca="false">CI357-CI279-N(CI280)</f>
        <v>6613.2770579386</v>
      </c>
      <c r="CJ389" s="35" t="n">
        <f aca="false">CJ357-CJ279-N(CJ280)</f>
        <v>7234.21921439141</v>
      </c>
      <c r="CK389" s="23"/>
    </row>
    <row r="390" customFormat="false" ht="15" hidden="false" customHeight="true" outlineLevel="0" collapsed="false">
      <c r="B390" s="55" t="s">
        <v>703</v>
      </c>
      <c r="C390" s="81" t="n">
        <f aca="false">IFERROR(C386/C387,"")</f>
        <v>0.129356450218399</v>
      </c>
      <c r="D390" s="81" t="n">
        <f aca="false">IFERROR(D386/D387,"")</f>
        <v>0.125116020550852</v>
      </c>
      <c r="E390" s="81" t="n">
        <f aca="false">IFERROR(E386/E387,"")</f>
        <v>0.12139795743079</v>
      </c>
      <c r="F390" s="81" t="n">
        <f aca="false">IFERROR(F386/F387,"")</f>
        <v>0.10684681439302</v>
      </c>
      <c r="G390" s="81" t="n">
        <f aca="false">IFERROR(G386/G387,"")</f>
        <v>0.0936762144452874</v>
      </c>
      <c r="H390" s="81" t="n">
        <f aca="false">IFERROR(H386/H387,"")</f>
        <v>0.0904131456321826</v>
      </c>
      <c r="I390" s="81" t="n">
        <f aca="false">IFERROR(I386/I387,"")</f>
        <v>0.110581169934723</v>
      </c>
      <c r="N390" s="81" t="n">
        <f aca="false">IFERROR(N386/N387,"")</f>
        <v>0.113124507301749</v>
      </c>
      <c r="S390" s="81" t="n">
        <f aca="false">IFERROR(S386/S387,"")</f>
        <v>0.126408892702364</v>
      </c>
      <c r="X390" s="81" t="n">
        <f aca="false">IFERROR(X386/X387,"")</f>
        <v>0.156315785510771</v>
      </c>
      <c r="AC390" s="81" t="n">
        <f aca="false">IFERROR(AC386/AC387,"")</f>
        <v>0.169602349235593</v>
      </c>
      <c r="AH390" s="81" t="n">
        <f aca="false">IFERROR(AH386/AH387,"")</f>
        <v>0.108180758262793</v>
      </c>
      <c r="AM390" s="81" t="n">
        <f aca="false">IFERROR(AM386/AM387,"")</f>
        <v>0.177664814806937</v>
      </c>
      <c r="AR390" s="81" t="n">
        <f aca="false">IFERROR(AR386/AR387,"")</f>
        <v>0.159681202936401</v>
      </c>
      <c r="AW390" s="81" t="n">
        <f aca="false">IFERROR(AW386/AW387,"")</f>
        <v>0.171030440028442</v>
      </c>
      <c r="BB390" s="81" t="n">
        <f aca="false">IFERROR(BB386/BB387,"")</f>
        <v>0.205067055704622</v>
      </c>
      <c r="BG390" s="81" t="n">
        <f aca="false">IFERROR(BG386/BG387,"")</f>
        <v>0.211857850326832</v>
      </c>
      <c r="BL390" s="81" t="n">
        <f aca="false">IFERROR(BL386/BL387,"")</f>
        <v>0.230508519334119</v>
      </c>
      <c r="BQ390" s="81" t="n">
        <f aca="false">IFERROR(BQ386/BQ387,"")</f>
        <v>0.255390289869734</v>
      </c>
      <c r="BV390" s="81" t="n">
        <f aca="false">IFERROR(BV386/BV387,"")</f>
        <v>0.27590929180217</v>
      </c>
      <c r="CA390" s="81" t="n">
        <f aca="false">IFERROR(CA386/CA387,"")</f>
        <v>0.287517004943938</v>
      </c>
      <c r="CC390" s="82"/>
      <c r="CD390" s="82"/>
      <c r="CE390" s="82"/>
      <c r="CF390" s="81" t="n">
        <f aca="false">IFERROR(CF386/CF387,"")</f>
        <v>0.183087406190881</v>
      </c>
      <c r="CG390" s="81" t="n">
        <f aca="false">IFERROR(CG386/CG387,"")</f>
        <v>0.204871796810685</v>
      </c>
      <c r="CH390" s="81" t="n">
        <f aca="false">IFERROR(CH386/CH387,"")</f>
        <v>0.222629436699304</v>
      </c>
      <c r="CI390" s="81" t="n">
        <f aca="false">IFERROR(CI386/CI387,"")</f>
        <v>0.239915681103707</v>
      </c>
      <c r="CJ390" s="81" t="n">
        <f aca="false">IFERROR(CJ386/CJ387,"")</f>
        <v>0.251387040120879</v>
      </c>
      <c r="CK390" s="23"/>
    </row>
    <row r="391" customFormat="false" ht="15" hidden="false" customHeight="true" outlineLevel="0" collapsed="false">
      <c r="B391" s="29" t="s">
        <v>704</v>
      </c>
      <c r="C391" s="37" t="n">
        <f aca="false">IFERROR(C384/C132,"")</f>
        <v>0.160664212800064</v>
      </c>
      <c r="D391" s="37" t="n">
        <f aca="false">IFERROR(D384/D132,"")</f>
        <v>0.15576276673231</v>
      </c>
      <c r="E391" s="37" t="n">
        <f aca="false">IFERROR(E384/E132,"")</f>
        <v>0.146640341298662</v>
      </c>
      <c r="F391" s="37" t="n">
        <f aca="false">IFERROR(F384/F132,"")</f>
        <v>0.13130844030694</v>
      </c>
      <c r="G391" s="37" t="n">
        <f aca="false">IFERROR(G384/G132,"")</f>
        <v>0.115990605916153</v>
      </c>
      <c r="H391" s="37" t="n">
        <f aca="false">IFERROR(H384/H132,"")</f>
        <v>0.115563943161634</v>
      </c>
      <c r="I391" s="37" t="n">
        <f aca="false">IFERROR(I384/I132,"")</f>
        <v>0.13155216967333</v>
      </c>
      <c r="N391" s="37" t="n">
        <f aca="false">IFERROR(N384/N132,"")</f>
        <v>0.130942846598529</v>
      </c>
      <c r="S391" s="37" t="n">
        <f aca="false">IFERROR(S384/S132,"")</f>
        <v>0.134371542585678</v>
      </c>
      <c r="X391" s="37" t="n">
        <f aca="false">IFERROR(X384/X132,"")</f>
        <v>0.155556116461308</v>
      </c>
      <c r="AC391" s="37" t="n">
        <f aca="false">IFERROR(AC384/AC132,"")</f>
        <v>0.159362897409375</v>
      </c>
      <c r="AH391" s="37" t="n">
        <f aca="false">IFERROR(AH384/AH132,"")</f>
        <v>0.160220544048979</v>
      </c>
      <c r="AM391" s="37" t="n">
        <f aca="false">IFERROR(AM384/AM132,"")</f>
        <v>0.159300543862921</v>
      </c>
      <c r="AR391" s="37" t="n">
        <f aca="false">IFERROR(AR384/AR132,"")</f>
        <v>0.166554488390891</v>
      </c>
      <c r="AW391" s="37" t="n">
        <f aca="false">IFERROR(AW384/AW132,"")</f>
        <v>0.16410392484531</v>
      </c>
      <c r="BB391" s="37" t="n">
        <f aca="false">IFERROR(BB384/BB132,"")</f>
        <v>0.191595960845041</v>
      </c>
      <c r="BG391" s="37" t="n">
        <f aca="false">IFERROR(BG384/BG132,"")</f>
        <v>0.196715012453436</v>
      </c>
      <c r="BL391" s="37" t="n">
        <f aca="false">IFERROR(BL384/BL132,"")</f>
        <v>0.204481764438247</v>
      </c>
      <c r="BQ391" s="37" t="n">
        <f aca="false">IFERROR(BQ384/BQ132,"")</f>
        <v>0.215558611031077</v>
      </c>
      <c r="BV391" s="37" t="n">
        <f aca="false">IFERROR(BV384/BV132,"")</f>
        <v>0.228209351461062</v>
      </c>
      <c r="CA391" s="37" t="n">
        <f aca="false">IFERROR(CA384/CA132,"")</f>
        <v>0.232730015310578</v>
      </c>
      <c r="CC391" s="33"/>
      <c r="CD391" s="33"/>
      <c r="CE391" s="33"/>
      <c r="CF391" s="28" t="n">
        <f aca="false">IFERROR(CF384/CF132,"")</f>
        <v>0.220662964677241</v>
      </c>
      <c r="CG391" s="28" t="n">
        <f aca="false">IFERROR(CG384/CG132,"")</f>
        <v>0.216030318133185</v>
      </c>
      <c r="CH391" s="28" t="n">
        <f aca="false">IFERROR(CH384/CH132,"")</f>
        <v>0.227082785915566</v>
      </c>
      <c r="CI391" s="28" t="n">
        <f aca="false">IFERROR(CI384/CI132,"")</f>
        <v>0.237775627456518</v>
      </c>
      <c r="CJ391" s="28" t="n">
        <f aca="false">IFERROR(CJ384/CJ132,"")</f>
        <v>0.243597709799012</v>
      </c>
      <c r="CK391" s="23"/>
    </row>
    <row r="392" customFormat="false" ht="15" hidden="false" customHeight="true" outlineLevel="0" collapsed="false">
      <c r="B392" s="29" t="s">
        <v>705</v>
      </c>
      <c r="C392" s="74" t="n">
        <f aca="false">IFERROR(C132/C387,"")</f>
        <v>1.28410756507202</v>
      </c>
      <c r="D392" s="74" t="n">
        <f aca="false">IFERROR(D132/D387,"")</f>
        <v>1.28109512914976</v>
      </c>
      <c r="E392" s="74" t="n">
        <f aca="false">IFERROR(E132/E387,"")</f>
        <v>1.30990785172983</v>
      </c>
      <c r="F392" s="74" t="n">
        <f aca="false">IFERROR(F132/F387,"")</f>
        <v>1.29985533382898</v>
      </c>
      <c r="G392" s="74" t="n">
        <f aca="false">IFERROR(G132/G387,"")</f>
        <v>1.28807023977894</v>
      </c>
      <c r="H392" s="74" t="n">
        <f aca="false">IFERROR(H132/H387,"")</f>
        <v>1.2438219940407</v>
      </c>
      <c r="I392" s="74" t="n">
        <f aca="false">IFERROR(I132/I387,"")</f>
        <v>1.33004248872933</v>
      </c>
      <c r="N392" s="74" t="n">
        <f aca="false">IFERROR(N132/N387,"")</f>
        <v>1.36913253856609</v>
      </c>
      <c r="S392" s="74" t="n">
        <f aca="false">IFERROR(S132/S387,"")</f>
        <v>1.52717183070239</v>
      </c>
      <c r="X392" s="74" t="n">
        <f aca="false">IFERROR(X132/X387,"")</f>
        <v>1.59928710774583</v>
      </c>
      <c r="AC392" s="74" t="n">
        <f aca="false">IFERROR(AC132/AC387,"")</f>
        <v>1.67256402117088</v>
      </c>
      <c r="AH392" s="74" t="n">
        <f aca="false">IFERROR(AH132/AH387,"")</f>
        <v>1.01497645682455</v>
      </c>
      <c r="AM392" s="74" t="n">
        <f aca="false">IFERROR(AM132/AM387,"")</f>
        <v>1.19647130827356</v>
      </c>
      <c r="AR392" s="74" t="n">
        <f aca="false">IFERROR(AR132/AR387,"")</f>
        <v>1.19744374720176</v>
      </c>
      <c r="AW392" s="74" t="n">
        <f aca="false">IFERROR(AW132/AW387,"")</f>
        <v>1.25856891502894</v>
      </c>
      <c r="BB392" s="74" t="n">
        <f aca="false">IFERROR(BB132/BB387,"")</f>
        <v>1.2406212572632</v>
      </c>
      <c r="BG392" s="74" t="n">
        <f aca="false">IFERROR(BG132/BG387,"")</f>
        <v>1.30619611985636</v>
      </c>
      <c r="BL392" s="74" t="n">
        <f aca="false">IFERROR(BL132/BL387,"")</f>
        <v>1.41590529247016</v>
      </c>
      <c r="BQ392" s="74" t="n">
        <f aca="false">IFERROR(BQ132/BQ387,"")</f>
        <v>1.48787358412226</v>
      </c>
      <c r="BV392" s="74" t="n">
        <f aca="false">IFERROR(BV132/BV387,"")</f>
        <v>1.5105062342351</v>
      </c>
      <c r="CA392" s="74" t="n">
        <f aca="false">IFERROR(CA132/CA387,"")</f>
        <v>1.54758218982924</v>
      </c>
      <c r="CC392" s="75"/>
      <c r="CD392" s="75"/>
      <c r="CE392" s="75"/>
      <c r="CF392" s="76" t="n">
        <f aca="false">IFERROR(CF132/CF387,"")</f>
        <v>1.04104435258669</v>
      </c>
      <c r="CG392" s="76" t="n">
        <f aca="false">IFERROR(CG132/CG387,"")</f>
        <v>1.20043978367922</v>
      </c>
      <c r="CH392" s="76" t="n">
        <f aca="false">IFERROR(CH132/CH387,"")</f>
        <v>1.24099857418609</v>
      </c>
      <c r="CI392" s="76" t="n">
        <f aca="false">IFERROR(CI132/CI387,"")</f>
        <v>1.27721557849678</v>
      </c>
      <c r="CJ392" s="76" t="n">
        <f aca="false">IFERROR(CJ132/CJ387,"")</f>
        <v>1.30629899375301</v>
      </c>
      <c r="CK392" s="23"/>
    </row>
    <row r="393" customFormat="false" ht="15" hidden="false" customHeight="true" outlineLevel="0" collapsed="false">
      <c r="B393" s="29" t="s">
        <v>706</v>
      </c>
      <c r="C393" s="37" t="n">
        <f aca="false">1-C385</f>
        <v>0.62699999041806</v>
      </c>
      <c r="D393" s="37" t="n">
        <f aca="false">1-D385</f>
        <v>0.627000504167346</v>
      </c>
      <c r="E393" s="37" t="n">
        <f aca="false">1-E385</f>
        <v>0.632000135668847</v>
      </c>
      <c r="F393" s="37" t="n">
        <f aca="false">1-F385</f>
        <v>0.625999397112223</v>
      </c>
      <c r="G393" s="37" t="n">
        <f aca="false">1-G385</f>
        <v>0.626999174159329</v>
      </c>
      <c r="H393" s="37" t="n">
        <f aca="false">1-H385</f>
        <v>0.62900050678816</v>
      </c>
      <c r="I393" s="37" t="n">
        <f aca="false">1-I385</f>
        <v>0.632000832370728</v>
      </c>
      <c r="N393" s="37" t="n">
        <f aca="false">1-N385</f>
        <v>0.631000104019139</v>
      </c>
      <c r="S393" s="37" t="n">
        <f aca="false">1-S385</f>
        <v>0.616002421618207</v>
      </c>
      <c r="X393" s="37" t="n">
        <f aca="false">1-X385</f>
        <v>0.628332188929872</v>
      </c>
      <c r="AC393" s="37" t="n">
        <f aca="false">1-AC385</f>
        <v>0.636299960173898</v>
      </c>
      <c r="AH393" s="37" t="n">
        <f aca="false">1-AH385</f>
        <v>0.665236163886157</v>
      </c>
      <c r="AM393" s="37" t="n">
        <f aca="false">1-AM385</f>
        <v>0.932141578904187</v>
      </c>
      <c r="AR393" s="37" t="n">
        <f aca="false">1-AR385</f>
        <v>0.800649311184063</v>
      </c>
      <c r="AW393" s="37" t="n">
        <f aca="false">1-AW385</f>
        <v>0.828089816506046</v>
      </c>
      <c r="BB393" s="37" t="n">
        <f aca="false">1-BB385</f>
        <v>0.862720918439851</v>
      </c>
      <c r="BG393" s="37" t="n">
        <f aca="false">1-BG385</f>
        <v>0.824515201819094</v>
      </c>
      <c r="BL393" s="37" t="n">
        <f aca="false">1-BL385</f>
        <v>0.796156035975591</v>
      </c>
      <c r="BQ393" s="37" t="n">
        <f aca="false">1-BQ385</f>
        <v>0.796293134242147</v>
      </c>
      <c r="BV393" s="37" t="n">
        <f aca="false">1-BV385</f>
        <v>0.800406059176699</v>
      </c>
      <c r="CA393" s="37" t="n">
        <f aca="false">1-CA385</f>
        <v>0.798283981297504</v>
      </c>
      <c r="CC393" s="33"/>
      <c r="CD393" s="33"/>
      <c r="CE393" s="33"/>
      <c r="CF393" s="28" t="n">
        <f aca="false">1-CF385</f>
        <v>0.797002696451529</v>
      </c>
      <c r="CG393" s="28" t="n">
        <f aca="false">1-CG385</f>
        <v>0.79</v>
      </c>
      <c r="CH393" s="28" t="n">
        <f aca="false">1-CH385</f>
        <v>0.79</v>
      </c>
      <c r="CI393" s="28" t="n">
        <f aca="false">1-CI385</f>
        <v>0.79</v>
      </c>
      <c r="CJ393" s="28" t="n">
        <f aca="false">1-CJ385</f>
        <v>0.79</v>
      </c>
      <c r="CK393" s="23"/>
    </row>
    <row r="394" customFormat="false" ht="15" hidden="false" customHeight="true" outlineLevel="0" collapsed="false">
      <c r="B394" s="57" t="s">
        <v>707</v>
      </c>
      <c r="C394" s="68" t="n">
        <f aca="false">IFERROR(ROUND(C391*C392*C393-C390,4),"")</f>
        <v>0</v>
      </c>
      <c r="D394" s="68" t="n">
        <f aca="false">IFERROR(ROUND(D391*D392*D393-D390,4),"")</f>
        <v>0</v>
      </c>
      <c r="E394" s="68" t="n">
        <f aca="false">IFERROR(ROUND(E391*E392*E393-E390,4),"")</f>
        <v>0</v>
      </c>
      <c r="F394" s="68" t="n">
        <f aca="false">IFERROR(ROUND(F391*F392*F393-F390,4),"")</f>
        <v>0</v>
      </c>
      <c r="G394" s="68" t="n">
        <f aca="false">IFERROR(ROUND(G391*G392*G393-G390,4),"")</f>
        <v>0</v>
      </c>
      <c r="H394" s="68" t="n">
        <f aca="false">IFERROR(ROUND(H391*H392*H393-H390,4),"")</f>
        <v>0</v>
      </c>
      <c r="I394" s="68" t="n">
        <f aca="false">IFERROR(ROUND(I391*I392*I393-I390,4),"")</f>
        <v>0</v>
      </c>
      <c r="N394" s="68" t="n">
        <f aca="false">IFERROR(ROUND(N391*N392*N393-N390,4),"")</f>
        <v>0</v>
      </c>
      <c r="S394" s="68" t="n">
        <f aca="false">IFERROR(ROUND(S391*S392*S393-S390,4),"")</f>
        <v>0</v>
      </c>
      <c r="X394" s="68" t="n">
        <f aca="false">IFERROR(ROUND(X391*X392*X393-X390,4),"")</f>
        <v>0</v>
      </c>
      <c r="AC394" s="68" t="n">
        <f aca="false">IFERROR(ROUND(AC391*AC392*AC393-AC390,4),"")</f>
        <v>0</v>
      </c>
      <c r="AH394" s="68" t="n">
        <f aca="false">IFERROR(ROUND(AH391*AH392*AH393-AH390,4),"")</f>
        <v>0</v>
      </c>
      <c r="AM394" s="68" t="n">
        <f aca="false">IFERROR(ROUND(AM391*AM392*AM393-AM390,4),"")</f>
        <v>0</v>
      </c>
      <c r="AR394" s="68" t="n">
        <f aca="false">IFERROR(ROUND(AR391*AR392*AR393-AR390,4),"")</f>
        <v>0</v>
      </c>
      <c r="AW394" s="68" t="n">
        <f aca="false">IFERROR(ROUND(AW391*AW392*AW393-AW390,4),"")</f>
        <v>0</v>
      </c>
      <c r="BB394" s="68" t="n">
        <f aca="false">IFERROR(ROUND(BB391*BB392*BB393-BB390,4),"")</f>
        <v>0</v>
      </c>
      <c r="BG394" s="68" t="n">
        <f aca="false">IFERROR(ROUND(BG391*BG392*BG393-BG390,4),"")</f>
        <v>0</v>
      </c>
      <c r="BL394" s="68" t="n">
        <f aca="false">IFERROR(ROUND(BL391*BL392*BL393-BL390,4),"")</f>
        <v>0</v>
      </c>
      <c r="BQ394" s="68" t="n">
        <f aca="false">IFERROR(ROUND(BQ391*BQ392*BQ393-BQ390,4),"")</f>
        <v>0</v>
      </c>
      <c r="BV394" s="68" t="n">
        <f aca="false">IFERROR(ROUND(BV391*BV392*BV393-BV390,4),"")</f>
        <v>0</v>
      </c>
      <c r="CA394" s="68" t="n">
        <f aca="false">IFERROR(ROUND(CA391*CA392*CA393-CA390,4),"")</f>
        <v>0</v>
      </c>
      <c r="CC394" s="73"/>
      <c r="CD394" s="73"/>
      <c r="CE394" s="73"/>
      <c r="CF394" s="60" t="n">
        <f aca="false">IFERROR(ROUND(CF391*CF392*CF393-CF390,4),"")</f>
        <v>0</v>
      </c>
      <c r="CG394" s="60" t="n">
        <f aca="false">IFERROR(ROUND(CG391*CG392*CG393-CG390,4),"")</f>
        <v>0</v>
      </c>
      <c r="CH394" s="60" t="n">
        <f aca="false">IFERROR(ROUND(CH391*CH392*CH393-CH390,4),"")</f>
        <v>0</v>
      </c>
      <c r="CI394" s="60" t="n">
        <f aca="false">IFERROR(ROUND(CI391*CI392*CI393-CI390,4),"")</f>
        <v>0</v>
      </c>
      <c r="CJ394" s="60" t="n">
        <f aca="false">IFERROR(ROUND(CJ391*CJ392*CJ393-CJ390,4),"")</f>
        <v>0</v>
      </c>
      <c r="CK394" s="23"/>
    </row>
    <row r="395" customFormat="false" ht="15" hidden="false" customHeight="true" outlineLevel="0" collapsed="false">
      <c r="B395" s="67" t="s">
        <v>708</v>
      </c>
    </row>
    <row r="396" customFormat="false" ht="15" hidden="false" customHeight="true" outlineLevel="0" collapsed="false">
      <c r="B396" s="29" t="s">
        <v>699</v>
      </c>
      <c r="C396" s="45" t="n">
        <f aca="false">C386</f>
        <v>342.867420760231</v>
      </c>
      <c r="D396" s="45" t="n">
        <f aca="false">D386</f>
        <v>362.028210104713</v>
      </c>
      <c r="E396" s="45" t="n">
        <f aca="false">E386</f>
        <v>364.951638342654</v>
      </c>
      <c r="F396" s="45" t="n">
        <f aca="false">F386</f>
        <v>310.275349179879</v>
      </c>
      <c r="G396" s="45" t="n">
        <f aca="false">G386</f>
        <v>257.983826201249</v>
      </c>
      <c r="H396" s="45" t="n">
        <f aca="false">H386</f>
        <v>276.975970160619</v>
      </c>
      <c r="I396" s="45" t="n">
        <f aca="false">I386</f>
        <v>341.044713169719</v>
      </c>
      <c r="N396" s="45" t="n">
        <f aca="false">N386</f>
        <v>356.648199792761</v>
      </c>
      <c r="S396" s="45" t="n">
        <f aca="false">S386</f>
        <v>376.76802514403</v>
      </c>
      <c r="X396" s="45" t="n">
        <f aca="false">X386</f>
        <v>437.574934696085</v>
      </c>
      <c r="AC396" s="45" t="n">
        <f aca="false">AC386</f>
        <v>497.426221266024</v>
      </c>
      <c r="AH396" s="45" t="n">
        <f aca="false">AH386</f>
        <v>567.389902720962</v>
      </c>
      <c r="AM396" s="45" t="n">
        <f aca="false">AM386</f>
        <v>961.719363344395</v>
      </c>
      <c r="AR396" s="45" t="n">
        <f aca="false">AR386</f>
        <v>919.100572877878</v>
      </c>
      <c r="AW396" s="45" t="n">
        <f aca="false">AW386</f>
        <v>962.816717292314</v>
      </c>
      <c r="BB396" s="45" t="n">
        <f aca="false">BB386</f>
        <v>1176.28718889784</v>
      </c>
      <c r="BG396" s="45" t="n">
        <f aca="false">BG386</f>
        <v>1273.95019317866</v>
      </c>
      <c r="BL396" s="45" t="n">
        <f aca="false">BL386</f>
        <v>1435.2018244359</v>
      </c>
      <c r="BQ396" s="45" t="n">
        <f aca="false">BQ386</f>
        <v>1647.23825516674</v>
      </c>
      <c r="BV396" s="45" t="n">
        <f aca="false">BV386</f>
        <v>1888.7389883968</v>
      </c>
      <c r="CA396" s="45" t="n">
        <f aca="false">CA386</f>
        <v>2092.81960300064</v>
      </c>
      <c r="CC396" s="43"/>
      <c r="CD396" s="43"/>
      <c r="CE396" s="43"/>
      <c r="CF396" s="35" t="n">
        <f aca="false">CF386</f>
        <v>2335.39679066037</v>
      </c>
      <c r="CG396" s="35" t="n">
        <f aca="false">CG386</f>
        <v>2712.00265718451</v>
      </c>
      <c r="CH396" s="35" t="n">
        <f aca="false">CH386</f>
        <v>3070.19837536042</v>
      </c>
      <c r="CI396" s="35" t="n">
        <f aca="false">CI386</f>
        <v>3462.10299821086</v>
      </c>
      <c r="CJ396" s="35" t="n">
        <f aca="false">CJ386</f>
        <v>3803.9735245235</v>
      </c>
      <c r="CK396" s="23"/>
    </row>
    <row r="397" customFormat="false" ht="15" hidden="false" customHeight="true" outlineLevel="0" collapsed="false">
      <c r="B397" s="29" t="s">
        <v>709</v>
      </c>
      <c r="C397" s="45" t="n">
        <f aca="false">C292</f>
        <v>3425.237</v>
      </c>
      <c r="D397" s="45" t="n">
        <f aca="false">D292</f>
        <v>3570.48</v>
      </c>
      <c r="E397" s="45" t="n">
        <f aca="false">E292</f>
        <v>3808.601</v>
      </c>
      <c r="F397" s="45" t="n">
        <f aca="false">F292</f>
        <v>3695.439</v>
      </c>
      <c r="G397" s="45" t="n">
        <f aca="false">G292</f>
        <v>3969.736</v>
      </c>
      <c r="H397" s="45" t="n">
        <f aca="false">H292</f>
        <v>4351.94</v>
      </c>
      <c r="I397" s="45" t="n">
        <f aca="false">I292</f>
        <v>4160.906</v>
      </c>
      <c r="N397" s="45" t="n">
        <f aca="false">N292</f>
        <v>4345.632</v>
      </c>
      <c r="S397" s="45" t="n">
        <f aca="false">S292</f>
        <v>4462.452</v>
      </c>
      <c r="X397" s="45" t="n">
        <f aca="false">X292</f>
        <v>4192.46</v>
      </c>
      <c r="AC397" s="45" t="n">
        <f aca="false">AC292</f>
        <v>4104.393</v>
      </c>
      <c r="AH397" s="45" t="n">
        <f aca="false">AH292</f>
        <v>6844.057</v>
      </c>
      <c r="AM397" s="45" t="n">
        <f aca="false">AM292</f>
        <v>6958.214</v>
      </c>
      <c r="AR397" s="45" t="n">
        <f aca="false">AR292</f>
        <v>7436.662</v>
      </c>
      <c r="AW397" s="45" t="n">
        <f aca="false">AW292</f>
        <v>7669.885</v>
      </c>
      <c r="BB397" s="45" t="n">
        <f aca="false">BB292</f>
        <v>8236.823</v>
      </c>
      <c r="BG397" s="45" t="n">
        <f aca="false">BG292</f>
        <v>8147.256</v>
      </c>
      <c r="BL397" s="45" t="n">
        <f aca="false">BL292</f>
        <v>8546.356</v>
      </c>
      <c r="BQ397" s="45" t="n">
        <f aca="false">BQ292</f>
        <v>9168.817</v>
      </c>
      <c r="BV397" s="45" t="n">
        <f aca="false">BV292</f>
        <v>9825.241</v>
      </c>
      <c r="CA397" s="45" t="n">
        <f aca="false">CA292</f>
        <v>10529.14</v>
      </c>
      <c r="CC397" s="43"/>
      <c r="CD397" s="43"/>
      <c r="CE397" s="43"/>
      <c r="CF397" s="35" t="n">
        <f aca="false">CF292</f>
        <v>17890.6545734235</v>
      </c>
      <c r="CG397" s="35" t="n">
        <f aca="false">CG292</f>
        <v>17779.2182551687</v>
      </c>
      <c r="CH397" s="35" t="n">
        <f aca="false">CH292</f>
        <v>18467.7008646867</v>
      </c>
      <c r="CI397" s="35" t="n">
        <f aca="false">CI292</f>
        <v>19257.0712347001</v>
      </c>
      <c r="CJ397" s="35" t="n">
        <f aca="false">CJ292</f>
        <v>20110.507029291</v>
      </c>
      <c r="CK397" s="23"/>
    </row>
    <row r="398" customFormat="false" ht="15" hidden="false" customHeight="true" outlineLevel="0" collapsed="false">
      <c r="B398" s="29" t="s">
        <v>710</v>
      </c>
      <c r="C398" s="45" t="n">
        <f aca="false">-(C288+C289)</f>
        <v>-1316.14</v>
      </c>
      <c r="D398" s="45" t="n">
        <f aca="false">-(D288+D289)</f>
        <v>-1417.238</v>
      </c>
      <c r="E398" s="45" t="n">
        <f aca="false">-(E288+E289)</f>
        <v>-1468.326</v>
      </c>
      <c r="F398" s="45" t="n">
        <f aca="false">-(F288+F289)</f>
        <v>-1455.718</v>
      </c>
      <c r="G398" s="45" t="n">
        <f aca="false">-(G288+G289)</f>
        <v>-1460.37</v>
      </c>
      <c r="H398" s="45" t="n">
        <f aca="false">-(H288+H289)</f>
        <v>-1590.194</v>
      </c>
      <c r="I398" s="45" t="n">
        <f aca="false">-(I288+I289)</f>
        <v>-1562.197</v>
      </c>
      <c r="N398" s="45" t="n">
        <f aca="false">-(N288+N289)</f>
        <v>-1609.713</v>
      </c>
      <c r="S398" s="45" t="n">
        <f aca="false">-(S288+S289)</f>
        <v>-1323.086</v>
      </c>
      <c r="X398" s="45" t="n">
        <f aca="false">-(X288+X289)</f>
        <v>-1238.046</v>
      </c>
      <c r="AC398" s="45" t="n">
        <f aca="false">-(AC288+AC289)</f>
        <v>-1375.308</v>
      </c>
      <c r="AH398" s="45" t="n">
        <f aca="false">-(AH288+AH289)</f>
        <v>-3369.323</v>
      </c>
      <c r="AM398" s="45" t="n">
        <f aca="false">-(AM288+AM289)</f>
        <v>-3392.656</v>
      </c>
      <c r="AR398" s="45" t="n">
        <f aca="false">-(AR288+AR289)</f>
        <v>-3337.036</v>
      </c>
      <c r="AW398" s="45" t="n">
        <f aca="false">-(AW288+AW289)</f>
        <v>-3321.549</v>
      </c>
      <c r="BB398" s="45" t="n">
        <f aca="false">-(BB288+BB289)</f>
        <v>-3321.514</v>
      </c>
      <c r="BG398" s="45" t="n">
        <f aca="false">-(BG288+BG289)</f>
        <v>-3434.614</v>
      </c>
      <c r="BL398" s="45" t="n">
        <f aca="false">-(BL288+BL289)</f>
        <v>-3402.775</v>
      </c>
      <c r="BQ398" s="45" t="n">
        <f aca="false">-(BQ288+BQ289)</f>
        <v>-3534.326</v>
      </c>
      <c r="BV398" s="45" t="n">
        <f aca="false">-(BV288+BV289)</f>
        <v>-3710.055</v>
      </c>
      <c r="CA398" s="45" t="n">
        <f aca="false">-(CA288+CA289)</f>
        <v>-3832.081</v>
      </c>
      <c r="CC398" s="43"/>
      <c r="CD398" s="43"/>
      <c r="CE398" s="43"/>
      <c r="CF398" s="35" t="n">
        <f aca="false">-(CF288+CF289)</f>
        <v>-7878.43801643836</v>
      </c>
      <c r="CG398" s="35" t="n">
        <f aca="false">-(CG288+CG289)</f>
        <v>-8023.48101643836</v>
      </c>
      <c r="CH398" s="35" t="n">
        <f aca="false">-(CH288+CH289)</f>
        <v>-8213.99401643836</v>
      </c>
      <c r="CI398" s="35" t="n">
        <f aca="false">-(CI288+CI289)</f>
        <v>-8463.47868310502</v>
      </c>
      <c r="CJ398" s="35" t="n">
        <f aca="false">-(CJ288+CJ289)</f>
        <v>-8754.44154977169</v>
      </c>
      <c r="CK398" s="23"/>
    </row>
    <row r="399" customFormat="false" ht="15" hidden="false" customHeight="true" outlineLevel="0" collapsed="false">
      <c r="B399" s="29" t="s">
        <v>711</v>
      </c>
      <c r="C399" s="45" t="n">
        <f aca="false">-(C300-C299)</f>
        <v>-408.214</v>
      </c>
      <c r="D399" s="45" t="n">
        <f aca="false">-(D300-D299)</f>
        <v>-398.897</v>
      </c>
      <c r="E399" s="45" t="n">
        <f aca="false">-(E300-E299)</f>
        <v>-366.172</v>
      </c>
      <c r="F399" s="45" t="n">
        <f aca="false">-(F300-F299)</f>
        <v>-291.355</v>
      </c>
      <c r="G399" s="45" t="n">
        <f aca="false">-(G300-G299)</f>
        <v>-383.073</v>
      </c>
      <c r="H399" s="45" t="n">
        <f aca="false">-(H300-H299)</f>
        <v>-432.804</v>
      </c>
      <c r="I399" s="45" t="n">
        <f aca="false">-(I300-I299)</f>
        <v>-445.255</v>
      </c>
      <c r="N399" s="45" t="n">
        <f aca="false">-(N300-N299)</f>
        <v>-548.069</v>
      </c>
      <c r="S399" s="45" t="n">
        <f aca="false">-(S300-S299)</f>
        <v>-629.628</v>
      </c>
      <c r="X399" s="45" t="n">
        <f aca="false">-(X300-X299)</f>
        <v>-621.058</v>
      </c>
      <c r="AC399" s="45" t="n">
        <f aca="false">-(AC300-AC299)</f>
        <v>-565.555</v>
      </c>
      <c r="AH399" s="45" t="n">
        <f aca="false">-(AH300-AH299)</f>
        <v>-767.952</v>
      </c>
      <c r="AM399" s="45" t="n">
        <f aca="false">-(AM300-AM299)</f>
        <v>-775.857</v>
      </c>
      <c r="AR399" s="45" t="n">
        <f aca="false">-(AR300-AR299)</f>
        <v>-815.469</v>
      </c>
      <c r="AW399" s="45" t="n">
        <f aca="false">-(AW300-AW299)</f>
        <v>-885.195</v>
      </c>
      <c r="BB399" s="45" t="n">
        <f aca="false">-(BB300-BB299)</f>
        <v>-1035.015</v>
      </c>
      <c r="BG399" s="45" t="n">
        <f aca="false">-(BG300-BG299)</f>
        <v>-1121.316</v>
      </c>
      <c r="BL399" s="45" t="n">
        <f aca="false">-(BL300-BL299)</f>
        <v>-1230.062</v>
      </c>
      <c r="BQ399" s="45" t="n">
        <f aca="false">-(BQ300-BQ299)</f>
        <v>-1378.924</v>
      </c>
      <c r="BV399" s="45" t="n">
        <f aca="false">-(BV300-BV299)</f>
        <v>-1644.502</v>
      </c>
      <c r="CA399" s="45" t="n">
        <f aca="false">-(CA300-CA299)</f>
        <v>-1687.972</v>
      </c>
      <c r="CC399" s="43"/>
      <c r="CD399" s="43"/>
      <c r="CE399" s="43"/>
      <c r="CF399" s="35" t="n">
        <f aca="false">-(CF300-CF299)</f>
        <v>-2239.79224684668</v>
      </c>
      <c r="CG399" s="35" t="n">
        <f aca="false">-(CG300-CG299)</f>
        <v>-2384.64772268424</v>
      </c>
      <c r="CH399" s="35" t="n">
        <f aca="false">-(CH300-CH299)</f>
        <v>-2548.29625535856</v>
      </c>
      <c r="CI399" s="35" t="n">
        <f aca="false">-(CI300-CI299)</f>
        <v>-2724.94905575637</v>
      </c>
      <c r="CJ399" s="35" t="n">
        <f aca="false">-(CJ300-CJ299)</f>
        <v>-2907.29127346116</v>
      </c>
      <c r="CK399" s="23"/>
    </row>
    <row r="400" customFormat="false" ht="15" hidden="false" customHeight="true" outlineLevel="0" collapsed="false">
      <c r="B400" s="29" t="s">
        <v>712</v>
      </c>
      <c r="C400" s="45" t="n">
        <f aca="false">SUM(C397,C398,C399)</f>
        <v>1700.883</v>
      </c>
      <c r="D400" s="45" t="n">
        <f aca="false">SUM(D397,D398,D399)</f>
        <v>1754.345</v>
      </c>
      <c r="E400" s="45" t="n">
        <f aca="false">SUM(E397,E398,E399)</f>
        <v>1974.103</v>
      </c>
      <c r="F400" s="45" t="n">
        <f aca="false">SUM(F397,F398,F399)</f>
        <v>1948.366</v>
      </c>
      <c r="G400" s="45" t="n">
        <f aca="false">SUM(G397,G398,G399)</f>
        <v>2126.293</v>
      </c>
      <c r="H400" s="45" t="n">
        <f aca="false">SUM(H397,H398,H399)</f>
        <v>2328.942</v>
      </c>
      <c r="I400" s="45" t="n">
        <f aca="false">SUM(I397,I398,I399)</f>
        <v>2153.454</v>
      </c>
      <c r="N400" s="45" t="n">
        <f aca="false">SUM(N397,N398,N399)</f>
        <v>2187.85</v>
      </c>
      <c r="S400" s="45" t="n">
        <f aca="false">SUM(S397,S398,S399)</f>
        <v>2509.738</v>
      </c>
      <c r="X400" s="45" t="n">
        <f aca="false">SUM(X397,X398,X399)</f>
        <v>2333.356</v>
      </c>
      <c r="AC400" s="45" t="n">
        <f aca="false">SUM(AC397,AC398,AC399)</f>
        <v>2163.53</v>
      </c>
      <c r="AH400" s="45" t="n">
        <f aca="false">SUM(AH397,AH398,AH399)</f>
        <v>2706.782</v>
      </c>
      <c r="AM400" s="45" t="n">
        <f aca="false">SUM(AM397,AM398,AM399)</f>
        <v>2789.701</v>
      </c>
      <c r="AR400" s="45" t="n">
        <f aca="false">SUM(AR397,AR398,AR399)</f>
        <v>3284.157</v>
      </c>
      <c r="AW400" s="45" t="n">
        <f aca="false">SUM(AW397,AW398,AW399)</f>
        <v>3463.141</v>
      </c>
      <c r="BB400" s="45" t="n">
        <f aca="false">SUM(BB397,BB398,BB399)</f>
        <v>3880.294</v>
      </c>
      <c r="BG400" s="45" t="n">
        <f aca="false">SUM(BG397,BG398,BG399)</f>
        <v>3591.326</v>
      </c>
      <c r="BL400" s="45" t="n">
        <f aca="false">SUM(BL397,BL398,BL399)</f>
        <v>3913.519</v>
      </c>
      <c r="BQ400" s="45" t="n">
        <f aca="false">SUM(BQ397,BQ398,BQ399)</f>
        <v>4255.567</v>
      </c>
      <c r="BV400" s="45" t="n">
        <f aca="false">SUM(BV397,BV398,BV399)</f>
        <v>4470.684</v>
      </c>
      <c r="CA400" s="45" t="n">
        <f aca="false">SUM(CA397,CA398,CA399)</f>
        <v>5009.087</v>
      </c>
      <c r="CC400" s="43"/>
      <c r="CD400" s="43"/>
      <c r="CE400" s="43"/>
      <c r="CF400" s="35" t="n">
        <f aca="false">SUM(CF397,CF398,CF399)</f>
        <v>7772.42431013843</v>
      </c>
      <c r="CG400" s="35" t="n">
        <f aca="false">SUM(CG397,CG398,CG399)</f>
        <v>7371.08951604611</v>
      </c>
      <c r="CH400" s="35" t="n">
        <f aca="false">SUM(CH397,CH398,CH399)</f>
        <v>7705.41059288981</v>
      </c>
      <c r="CI400" s="35" t="n">
        <f aca="false">SUM(CI397,CI398,CI399)</f>
        <v>8068.64349583866</v>
      </c>
      <c r="CJ400" s="35" t="n">
        <f aca="false">SUM(CJ397,CJ398,CJ399)</f>
        <v>8448.77420605818</v>
      </c>
      <c r="CK400" s="23"/>
    </row>
    <row r="401" customFormat="false" ht="15" hidden="false" customHeight="true" outlineLevel="0" collapsed="false">
      <c r="B401" s="55" t="s">
        <v>713</v>
      </c>
      <c r="C401" s="81" t="n">
        <f aca="false">IFERROR(C396/C400,"")</f>
        <v>0.201582014024616</v>
      </c>
      <c r="D401" s="81" t="n">
        <f aca="false">IFERROR(D396/D400,"")</f>
        <v>0.206360898286662</v>
      </c>
      <c r="E401" s="81" t="n">
        <f aca="false">IFERROR(E396/E400,"")</f>
        <v>0.184869603228734</v>
      </c>
      <c r="F401" s="81" t="n">
        <f aca="false">IFERROR(F396/F400,"")</f>
        <v>0.159249006182555</v>
      </c>
      <c r="G401" s="81" t="n">
        <f aca="false">IFERROR(G396/G400,"")</f>
        <v>0.121330327570683</v>
      </c>
      <c r="H401" s="81" t="n">
        <f aca="false">IFERROR(H396/H400,"")</f>
        <v>0.118927809348888</v>
      </c>
      <c r="I401" s="81" t="n">
        <f aca="false">IFERROR(I396/I400,"")</f>
        <v>0.158371023095789</v>
      </c>
      <c r="N401" s="81" t="n">
        <f aca="false">IFERROR(N396/N400,"")</f>
        <v>0.163013094952927</v>
      </c>
      <c r="S401" s="81" t="n">
        <f aca="false">IFERROR(S396/S400,"")</f>
        <v>0.150122453078381</v>
      </c>
      <c r="X401" s="81" t="n">
        <f aca="false">IFERROR(X396/X400,"")</f>
        <v>0.187530293146903</v>
      </c>
      <c r="AC401" s="81" t="n">
        <f aca="false">IFERROR(AC396/AC400,"")</f>
        <v>0.229914177878755</v>
      </c>
      <c r="AH401" s="81" t="n">
        <f aca="false">IFERROR(AH396/AH400,"")</f>
        <v>0.209617879356728</v>
      </c>
      <c r="AM401" s="81" t="n">
        <f aca="false">IFERROR(AM396/AM400,"")</f>
        <v>0.344739225940126</v>
      </c>
      <c r="AR401" s="81" t="n">
        <f aca="false">IFERROR(AR396/AR400,"")</f>
        <v>0.279858902262553</v>
      </c>
      <c r="AW401" s="81" t="n">
        <f aca="false">IFERROR(AW396/AW400,"")</f>
        <v>0.278018341526468</v>
      </c>
      <c r="BB401" s="81" t="n">
        <f aca="false">IFERROR(BB396/BB400,"")</f>
        <v>0.303143831085437</v>
      </c>
      <c r="BG401" s="81" t="n">
        <f aca="false">IFERROR(BG396/BG400,"")</f>
        <v>0.354729755298924</v>
      </c>
      <c r="BL401" s="81" t="n">
        <f aca="false">IFERROR(BL396/BL400,"")</f>
        <v>0.366729233826616</v>
      </c>
      <c r="BQ401" s="81" t="n">
        <f aca="false">IFERROR(BQ396/BQ400,"")</f>
        <v>0.387078444580179</v>
      </c>
      <c r="BV401" s="81" t="n">
        <f aca="false">IFERROR(BV396/BV400,"")</f>
        <v>0.422472039714011</v>
      </c>
      <c r="CA401" s="81" t="n">
        <f aca="false">IFERROR(CA396/CA400,"")</f>
        <v>0.417804602515516</v>
      </c>
      <c r="CC401" s="82"/>
      <c r="CD401" s="82"/>
      <c r="CE401" s="82"/>
      <c r="CF401" s="81" t="n">
        <f aca="false">IFERROR(CF396/CF400,"")</f>
        <v>0.300472117510884</v>
      </c>
      <c r="CG401" s="81" t="n">
        <f aca="false">IFERROR(CG396/CG400,"")</f>
        <v>0.367924260216994</v>
      </c>
      <c r="CH401" s="81" t="n">
        <f aca="false">IFERROR(CH396/CH400,"")</f>
        <v>0.398447083169514</v>
      </c>
      <c r="CI401" s="81" t="n">
        <f aca="false">IFERROR(CI396/CI400,"")</f>
        <v>0.429081170830811</v>
      </c>
      <c r="CJ401" s="81" t="n">
        <f aca="false">IFERROR(CJ396/CJ400,"")</f>
        <v>0.450239695338984</v>
      </c>
      <c r="CK401" s="23"/>
    </row>
    <row r="402" customFormat="false" ht="15" hidden="false" customHeight="true" outlineLevel="0" collapsed="false">
      <c r="B402" s="67" t="s">
        <v>714</v>
      </c>
    </row>
    <row r="403" customFormat="false" ht="15" hidden="false" customHeight="true" outlineLevel="0" collapsed="false">
      <c r="B403" s="29" t="s">
        <v>411</v>
      </c>
      <c r="C403" s="45" t="n">
        <f aca="false">C154</f>
        <v>327.178</v>
      </c>
      <c r="D403" s="45" t="n">
        <f aca="false">D154</f>
        <v>334.538</v>
      </c>
      <c r="E403" s="45" t="n">
        <f aca="false">E154</f>
        <v>335.405</v>
      </c>
      <c r="F403" s="45" t="n">
        <f aca="false">F154</f>
        <v>226.357</v>
      </c>
      <c r="G403" s="45" t="n">
        <f aca="false">G154</f>
        <v>215.62</v>
      </c>
      <c r="H403" s="45" t="n">
        <f aca="false">H154</f>
        <v>246.989</v>
      </c>
      <c r="I403" s="45" t="n">
        <f aca="false">I154</f>
        <v>297.637</v>
      </c>
      <c r="N403" s="45" t="n">
        <f aca="false">N154</f>
        <v>315.442</v>
      </c>
      <c r="S403" s="45" t="n">
        <f aca="false">S154</f>
        <v>374.442</v>
      </c>
      <c r="X403" s="45" t="n">
        <f aca="false">X154</f>
        <v>430.618000000001</v>
      </c>
      <c r="AC403" s="45" t="n">
        <f aca="false">AC154</f>
        <v>693.519999999999</v>
      </c>
      <c r="AH403" s="45" t="n">
        <f aca="false">AH154</f>
        <v>480.708</v>
      </c>
      <c r="AM403" s="45" t="n">
        <f aca="false">AM154</f>
        <v>842.586</v>
      </c>
      <c r="AR403" s="45" t="n">
        <f aca="false">AR154</f>
        <v>884.981</v>
      </c>
      <c r="AW403" s="45" t="n">
        <f aca="false">AW154</f>
        <v>876.037</v>
      </c>
      <c r="BB403" s="45" t="n">
        <f aca="false">BB154</f>
        <v>1110.968</v>
      </c>
      <c r="BG403" s="45" t="n">
        <f aca="false">BG154</f>
        <v>1235.757</v>
      </c>
      <c r="BL403" s="45" t="n">
        <f aca="false">BL154</f>
        <v>1348.01</v>
      </c>
      <c r="BQ403" s="45" t="n">
        <f aca="false">BQ154</f>
        <v>1571.592</v>
      </c>
      <c r="BV403" s="45" t="n">
        <f aca="false">BV154</f>
        <v>1812.281</v>
      </c>
      <c r="CA403" s="45" t="n">
        <f aca="false">CA154</f>
        <v>1999.968</v>
      </c>
      <c r="CC403" s="43"/>
      <c r="CD403" s="43"/>
      <c r="CE403" s="43"/>
      <c r="CF403" s="35" t="n">
        <f aca="false">CF154</f>
        <v>2071.65794258768</v>
      </c>
      <c r="CG403" s="35" t="n">
        <f aca="false">CG154</f>
        <v>2415.94010962133</v>
      </c>
      <c r="CH403" s="35" t="n">
        <f aca="false">CH154</f>
        <v>2784.65463528988</v>
      </c>
      <c r="CI403" s="35" t="n">
        <f aca="false">CI154</f>
        <v>3209.12561569213</v>
      </c>
      <c r="CJ403" s="35" t="n">
        <f aca="false">CJ154</f>
        <v>3554.50599210378</v>
      </c>
      <c r="CK403" s="23"/>
    </row>
    <row r="404" customFormat="false" ht="15" hidden="false" customHeight="true" outlineLevel="0" collapsed="false">
      <c r="B404" s="29" t="s">
        <v>715</v>
      </c>
      <c r="C404" s="45" t="n">
        <f aca="false">C311</f>
        <v>2093.274</v>
      </c>
      <c r="D404" s="45" t="n">
        <f aca="false">D311</f>
        <v>2167.738</v>
      </c>
      <c r="E404" s="45" t="n">
        <f aca="false">E311</f>
        <v>2254.131</v>
      </c>
      <c r="F404" s="45" t="n">
        <f aca="false">F311</f>
        <v>2367.409</v>
      </c>
      <c r="G404" s="45" t="n">
        <f aca="false">G311</f>
        <v>2534.029</v>
      </c>
      <c r="H404" s="45" t="n">
        <f aca="false">H311</f>
        <v>2302.649</v>
      </c>
      <c r="I404" s="45" t="n">
        <f aca="false">I311</f>
        <v>2139.135</v>
      </c>
      <c r="N404" s="45" t="n">
        <f aca="false">N311</f>
        <v>2201.492</v>
      </c>
      <c r="S404" s="45" t="n">
        <f aca="false">S311</f>
        <v>2192.858</v>
      </c>
      <c r="X404" s="45" t="n">
        <f aca="false">X311</f>
        <v>1932.455</v>
      </c>
      <c r="AC404" s="45" t="n">
        <f aca="false">AC311</f>
        <v>1842.659</v>
      </c>
      <c r="AH404" s="45" t="n">
        <f aca="false">AH311</f>
        <v>2302.793</v>
      </c>
      <c r="AM404" s="45" t="n">
        <f aca="false">AM311</f>
        <v>3016.526</v>
      </c>
      <c r="AR404" s="45" t="n">
        <f aca="false">AR311</f>
        <v>3002.721</v>
      </c>
      <c r="AW404" s="45" t="n">
        <f aca="false">AW311</f>
        <v>3235.202</v>
      </c>
      <c r="BB404" s="45" t="n">
        <f aca="false">BB311</f>
        <v>3687.847</v>
      </c>
      <c r="BG404" s="45" t="n">
        <f aca="false">BG311</f>
        <v>3308.196</v>
      </c>
      <c r="BL404" s="45" t="n">
        <f aca="false">BL311</f>
        <v>3863.986</v>
      </c>
      <c r="BQ404" s="45" t="n">
        <f aca="false">BQ311</f>
        <v>4316.372</v>
      </c>
      <c r="BV404" s="45" t="n">
        <f aca="false">BV311</f>
        <v>4684.481</v>
      </c>
      <c r="CA404" s="45" t="n">
        <f aca="false">CA311</f>
        <v>5139.887</v>
      </c>
      <c r="CC404" s="43"/>
      <c r="CD404" s="43"/>
      <c r="CE404" s="43"/>
      <c r="CF404" s="35" t="n">
        <f aca="false">CF311</f>
        <v>8489.98807246719</v>
      </c>
      <c r="CG404" s="35" t="n">
        <f aca="false">CG311</f>
        <v>7942.81415079304</v>
      </c>
      <c r="CH404" s="35" t="n">
        <f aca="false">CH311</f>
        <v>7856.39261446676</v>
      </c>
      <c r="CI404" s="35" t="n">
        <f aca="false">CI311</f>
        <v>7817.22195022883</v>
      </c>
      <c r="CJ404" s="35" t="n">
        <f aca="false">CJ311</f>
        <v>7897.72045399553</v>
      </c>
      <c r="CK404" s="23"/>
    </row>
    <row r="405" customFormat="false" ht="15" hidden="false" customHeight="true" outlineLevel="0" collapsed="false">
      <c r="B405" s="55" t="s">
        <v>716</v>
      </c>
      <c r="C405" s="81" t="n">
        <f aca="false">IFERROR(C403/C404,"")</f>
        <v>0.156299653079339</v>
      </c>
      <c r="D405" s="81" t="n">
        <f aca="false">IFERROR(D403/D404,"")</f>
        <v>0.154325845651089</v>
      </c>
      <c r="E405" s="81" t="n">
        <f aca="false">IFERROR(E403/E404,"")</f>
        <v>0.148795699983719</v>
      </c>
      <c r="F405" s="81" t="n">
        <f aca="false">IFERROR(F403/F404,"")</f>
        <v>0.0956138123999698</v>
      </c>
      <c r="G405" s="81" t="n">
        <f aca="false">IFERROR(G403/G404,"")</f>
        <v>0.0850897917900703</v>
      </c>
      <c r="H405" s="81" t="n">
        <f aca="false">IFERROR(H403/H404,"")</f>
        <v>0.107262982764633</v>
      </c>
      <c r="I405" s="81" t="n">
        <f aca="false">IFERROR(I403/I404,"")</f>
        <v>0.139138951024596</v>
      </c>
      <c r="N405" s="81" t="n">
        <f aca="false">IFERROR(N403/N404,"")</f>
        <v>0.143285553615457</v>
      </c>
      <c r="S405" s="81" t="n">
        <f aca="false">IFERROR(S403/S404,"")</f>
        <v>0.170755242701534</v>
      </c>
      <c r="X405" s="81" t="n">
        <f aca="false">IFERROR(X403/X404,"")</f>
        <v>0.222834684378162</v>
      </c>
      <c r="AC405" s="81" t="n">
        <f aca="false">IFERROR(AC403/AC404,"")</f>
        <v>0.376369149148051</v>
      </c>
      <c r="AH405" s="81" t="n">
        <f aca="false">IFERROR(AH403/AH404,"")</f>
        <v>0.208749983172608</v>
      </c>
      <c r="AM405" s="81" t="n">
        <f aca="false">IFERROR(AM403/AM404,"")</f>
        <v>0.279323301042325</v>
      </c>
      <c r="AR405" s="81" t="n">
        <f aca="false">IFERROR(AR403/AR404,"")</f>
        <v>0.294726349867337</v>
      </c>
      <c r="AW405" s="81" t="n">
        <f aca="false">IFERROR(AW403/AW404,"")</f>
        <v>0.270782782651593</v>
      </c>
      <c r="BB405" s="81" t="n">
        <f aca="false">IFERROR(BB403/BB404,"")</f>
        <v>0.30125110938713</v>
      </c>
      <c r="BG405" s="81" t="n">
        <f aca="false">IFERROR(BG403/BG404,"")</f>
        <v>0.373544070544792</v>
      </c>
      <c r="BL405" s="81" t="n">
        <f aca="false">IFERROR(BL403/BL404,"")</f>
        <v>0.348865135639726</v>
      </c>
      <c r="BQ405" s="81" t="n">
        <f aca="false">IFERROR(BQ403/BQ404,"")</f>
        <v>0.364100221204289</v>
      </c>
      <c r="BV405" s="81" t="n">
        <f aca="false">IFERROR(BV403/BV404,"")</f>
        <v>0.386869111007175</v>
      </c>
      <c r="CA405" s="81" t="n">
        <f aca="false">IFERROR(CA403/CA404,"")</f>
        <v>0.389107386991193</v>
      </c>
      <c r="CC405" s="82"/>
      <c r="CD405" s="82"/>
      <c r="CE405" s="82"/>
      <c r="CF405" s="81" t="n">
        <f aca="false">IFERROR(CF403/CF404,"")</f>
        <v>0.244011879039738</v>
      </c>
      <c r="CG405" s="81" t="n">
        <f aca="false">IFERROR(CG403/CG404,"")</f>
        <v>0.304166768069238</v>
      </c>
      <c r="CH405" s="81" t="n">
        <f aca="false">IFERROR(CH403/CH404,"")</f>
        <v>0.354444434225731</v>
      </c>
      <c r="CI405" s="81" t="n">
        <f aca="false">IFERROR(CI403/CI404,"")</f>
        <v>0.410519956593812</v>
      </c>
      <c r="CJ405" s="81" t="n">
        <f aca="false">IFERROR(CJ403/CJ404,"")</f>
        <v>0.450067334341459</v>
      </c>
      <c r="CK405" s="23"/>
    </row>
    <row r="406" customFormat="false" ht="15" hidden="false" customHeight="true" outlineLevel="0" collapsed="false">
      <c r="B406" s="67" t="s">
        <v>717</v>
      </c>
    </row>
    <row r="407" customFormat="false" ht="15" hidden="false" customHeight="true" outlineLevel="0" collapsed="false">
      <c r="B407" s="29" t="s">
        <v>718</v>
      </c>
      <c r="C407" s="45" t="n">
        <f aca="false">C389</f>
        <v>557.289</v>
      </c>
      <c r="D407" s="45" t="n">
        <f aca="false">D389</f>
        <v>725.802</v>
      </c>
      <c r="E407" s="45" t="n">
        <f aca="false">E389</f>
        <v>752.111</v>
      </c>
      <c r="F407" s="45" t="n">
        <f aca="false">F389</f>
        <v>536.518</v>
      </c>
      <c r="G407" s="45" t="n">
        <f aca="false">G389</f>
        <v>219.966</v>
      </c>
      <c r="H407" s="45" t="n">
        <f aca="false">H389</f>
        <v>760.799</v>
      </c>
      <c r="I407" s="45" t="n">
        <f aca="false">I389</f>
        <v>944.977</v>
      </c>
      <c r="N407" s="45" t="n">
        <f aca="false">N389</f>
        <v>951.213</v>
      </c>
      <c r="S407" s="45" t="n">
        <f aca="false">S389</f>
        <v>787.692</v>
      </c>
      <c r="X407" s="45" t="n">
        <f aca="false">X389</f>
        <v>866.846</v>
      </c>
      <c r="AC407" s="45" t="n">
        <f aca="false">AC389</f>
        <v>1090.238</v>
      </c>
      <c r="AH407" s="45" t="n">
        <f aca="false">AH389</f>
        <v>2942.039</v>
      </c>
      <c r="AM407" s="45" t="n">
        <f aca="false">AM389</f>
        <v>2396.585</v>
      </c>
      <c r="AR407" s="45" t="n">
        <f aca="false">AR389</f>
        <v>2753.126</v>
      </c>
      <c r="AW407" s="45" t="n">
        <f aca="false">AW389</f>
        <v>2394.303</v>
      </c>
      <c r="BB407" s="45" t="n">
        <f aca="false">BB389</f>
        <v>2048.263</v>
      </c>
      <c r="BG407" s="45" t="n">
        <f aca="false">BG389</f>
        <v>2705.035</v>
      </c>
      <c r="BL407" s="45" t="n">
        <f aca="false">BL389</f>
        <v>2362.256</v>
      </c>
      <c r="BQ407" s="45" t="n">
        <f aca="false">BQ389</f>
        <v>2133.514</v>
      </c>
      <c r="BV407" s="45" t="n">
        <f aca="false">BV389</f>
        <v>2161.026</v>
      </c>
      <c r="CA407" s="45" t="n">
        <f aca="false">CA389</f>
        <v>2139.055</v>
      </c>
      <c r="CC407" s="43"/>
      <c r="CD407" s="43"/>
      <c r="CE407" s="43"/>
      <c r="CF407" s="35" t="n">
        <f aca="false">CF389</f>
        <v>4265.65055526871</v>
      </c>
      <c r="CG407" s="35" t="n">
        <f aca="false">CG389</f>
        <v>5294.74562758183</v>
      </c>
      <c r="CH407" s="35" t="n">
        <f aca="false">CH389</f>
        <v>5934.22924075182</v>
      </c>
      <c r="CI407" s="35" t="n">
        <f aca="false">CI389</f>
        <v>6613.2770579386</v>
      </c>
      <c r="CJ407" s="35" t="n">
        <f aca="false">CJ389</f>
        <v>7234.21921439141</v>
      </c>
      <c r="CK407" s="23"/>
    </row>
    <row r="408" customFormat="false" ht="15" hidden="false" customHeight="true" outlineLevel="0" collapsed="false">
      <c r="B408" s="29" t="s">
        <v>719</v>
      </c>
      <c r="C408" s="45" t="n">
        <f aca="false">C194</f>
        <v>707.491</v>
      </c>
      <c r="D408" s="45" t="n">
        <f aca="false">D194</f>
        <v>753.323</v>
      </c>
      <c r="E408" s="45" t="n">
        <f aca="false">E194</f>
        <v>769.358</v>
      </c>
      <c r="F408" s="45" t="n">
        <f aca="false">F194</f>
        <v>695.754</v>
      </c>
      <c r="G408" s="45" t="n">
        <f aca="false">G194</f>
        <v>604.599</v>
      </c>
      <c r="H408" s="45" t="n">
        <f aca="false">H194</f>
        <v>633.81</v>
      </c>
      <c r="I408" s="45" t="n">
        <f aca="false">I194</f>
        <v>733.792</v>
      </c>
      <c r="N408" s="45" t="n">
        <f aca="false">N194</f>
        <v>754.588</v>
      </c>
      <c r="S408" s="45" t="n">
        <f aca="false">S194</f>
        <v>802.496</v>
      </c>
      <c r="X408" s="45" t="n">
        <f aca="false">X194</f>
        <v>851.489000000001</v>
      </c>
      <c r="AC408" s="45" t="n">
        <f aca="false">AC194</f>
        <v>947.026999999999</v>
      </c>
      <c r="AH408" s="45" t="n">
        <f aca="false">AH194</f>
        <v>1049.51</v>
      </c>
      <c r="AM408" s="45" t="n">
        <f aca="false">AM194</f>
        <v>1311.147</v>
      </c>
      <c r="AR408" s="45" t="n">
        <f aca="false">AR194</f>
        <v>1508.037</v>
      </c>
      <c r="AW408" s="45" t="n">
        <f aca="false">AW194</f>
        <v>1541.749</v>
      </c>
      <c r="BB408" s="45" t="n">
        <f aca="false">BB194</f>
        <v>1751.413</v>
      </c>
      <c r="BG408" s="45" t="n">
        <f aca="false">BG194</f>
        <v>1944.791</v>
      </c>
      <c r="BL408" s="45" t="n">
        <f aca="false">BL194</f>
        <v>2211.826</v>
      </c>
      <c r="BQ408" s="45" t="n">
        <f aca="false">BQ194</f>
        <v>2511.017</v>
      </c>
      <c r="BV408" s="45" t="n">
        <f aca="false">BV194</f>
        <v>2853.909</v>
      </c>
      <c r="CA408" s="45" t="n">
        <f aca="false">CA194</f>
        <v>3134.494</v>
      </c>
      <c r="CC408" s="43"/>
      <c r="CD408" s="43"/>
      <c r="CE408" s="43"/>
      <c r="CF408" s="35" t="n">
        <f aca="false">CF194</f>
        <v>3717.37879128326</v>
      </c>
      <c r="CG408" s="35" t="n">
        <f aca="false">CG194</f>
        <v>4235.79650206546</v>
      </c>
      <c r="CH408" s="35" t="n">
        <f aca="false">CH194</f>
        <v>4747.38339260145</v>
      </c>
      <c r="CI408" s="35" t="n">
        <f aca="false">CI194</f>
        <v>5290.62164635088</v>
      </c>
      <c r="CJ408" s="35" t="n">
        <f aca="false">CJ194</f>
        <v>5787.37537151313</v>
      </c>
      <c r="CK408" s="23"/>
    </row>
    <row r="409" customFormat="false" ht="15" hidden="false" customHeight="true" outlineLevel="0" collapsed="false">
      <c r="B409" s="55" t="s">
        <v>720</v>
      </c>
      <c r="C409" s="83" t="n">
        <f aca="false">IFERROR(C407/C408,"n/a")</f>
        <v>0.787697652690988</v>
      </c>
      <c r="D409" s="83" t="n">
        <f aca="false">IFERROR(D407/D408,"n/a")</f>
        <v>0.963467198001389</v>
      </c>
      <c r="E409" s="83" t="n">
        <f aca="false">IFERROR(E407/E408,"n/a")</f>
        <v>0.977582607836664</v>
      </c>
      <c r="F409" s="83" t="n">
        <f aca="false">IFERROR(F407/F408,"n/a")</f>
        <v>0.771131750590007</v>
      </c>
      <c r="G409" s="83" t="n">
        <f aca="false">IFERROR(G407/G408,"n/a")</f>
        <v>0.363821309661445</v>
      </c>
      <c r="H409" s="83" t="n">
        <f aca="false">IFERROR(H407/H408,"n/a")</f>
        <v>1.20035815149651</v>
      </c>
      <c r="I409" s="83" t="n">
        <f aca="false">IFERROR(I407/I408,"n/a")</f>
        <v>1.28779953992412</v>
      </c>
      <c r="N409" s="83" t="n">
        <f aca="false">IFERROR(N407/N408,"n/a")</f>
        <v>1.26057265686706</v>
      </c>
      <c r="S409" s="83" t="n">
        <f aca="false">IFERROR(S407/S408,"n/a")</f>
        <v>0.981552556025201</v>
      </c>
      <c r="X409" s="83" t="n">
        <f aca="false">IFERROR(X407/X408,"n/a")</f>
        <v>1.01803546493261</v>
      </c>
      <c r="AC409" s="83" t="n">
        <f aca="false">IFERROR(AC407/AC408,"n/a")</f>
        <v>1.15122166527459</v>
      </c>
      <c r="AH409" s="83" t="n">
        <f aca="false">IFERROR(AH407/AH408,"n/a")</f>
        <v>2.80325008813637</v>
      </c>
      <c r="AM409" s="83" t="n">
        <f aca="false">IFERROR(AM407/AM408,"n/a")</f>
        <v>1.82785377993467</v>
      </c>
      <c r="AR409" s="83" t="n">
        <f aca="false">IFERROR(AR407/AR408,"n/a")</f>
        <v>1.82563557790691</v>
      </c>
      <c r="AW409" s="83" t="n">
        <f aca="false">IFERROR(AW407/AW408,"n/a")</f>
        <v>1.55297846796074</v>
      </c>
      <c r="BB409" s="83" t="n">
        <f aca="false">IFERROR(BB407/BB408,"n/a")</f>
        <v>1.16949171897205</v>
      </c>
      <c r="BG409" s="83" t="n">
        <f aca="false">IFERROR(BG407/BG408,"n/a")</f>
        <v>1.3909129567136</v>
      </c>
      <c r="BL409" s="83" t="n">
        <f aca="false">IFERROR(BL407/BL408,"n/a")</f>
        <v>1.06801167903804</v>
      </c>
      <c r="BQ409" s="83" t="n">
        <f aca="false">IFERROR(BQ407/BQ408,"n/a")</f>
        <v>0.849661312527952</v>
      </c>
      <c r="BV409" s="83" t="n">
        <f aca="false">IFERROR(BV407/BV408,"n/a")</f>
        <v>0.757216155105156</v>
      </c>
      <c r="CA409" s="83" t="n">
        <f aca="false">IFERROR(CA407/CA408,"n/a")</f>
        <v>0.682424340260342</v>
      </c>
      <c r="CC409" s="84"/>
      <c r="CD409" s="84"/>
      <c r="CE409" s="84"/>
      <c r="CF409" s="83" t="n">
        <f aca="false">IFERROR(CF407/CF408,"n/a")</f>
        <v>1.14748880723995</v>
      </c>
      <c r="CG409" s="83" t="n">
        <f aca="false">IFERROR(CG407/CG408,"n/a")</f>
        <v>1.25</v>
      </c>
      <c r="CH409" s="83" t="n">
        <f aca="false">IFERROR(CH407/CH408,"n/a")</f>
        <v>1.25</v>
      </c>
      <c r="CI409" s="83" t="n">
        <f aca="false">IFERROR(CI407/CI408,"n/a")</f>
        <v>1.25</v>
      </c>
      <c r="CJ409" s="83" t="n">
        <f aca="false">IFERROR(CJ407/CJ408,"n/a")</f>
        <v>1.25</v>
      </c>
      <c r="CK409" s="23"/>
    </row>
    <row r="410" customFormat="false" ht="15" hidden="false" customHeight="true" outlineLevel="0" collapsed="false"/>
    <row r="411" customFormat="false" ht="15" hidden="false" customHeight="true" outlineLevel="0" collapsed="false">
      <c r="B411" s="12" t="s">
        <v>721</v>
      </c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2" t="s">
        <v>722</v>
      </c>
    </row>
    <row r="412" customFormat="false" ht="15" hidden="false" customHeight="true" outlineLevel="0" collapsed="false">
      <c r="B412" s="80" t="s">
        <v>723</v>
      </c>
      <c r="CC412" s="59"/>
      <c r="CD412" s="59"/>
      <c r="CE412" s="59"/>
      <c r="CF412" s="60" t="n">
        <f aca="false">$CF$380</f>
        <v>198.95</v>
      </c>
      <c r="CG412" s="60" t="n">
        <f aca="false">$CF$380</f>
        <v>198.95</v>
      </c>
      <c r="CH412" s="60" t="n">
        <f aca="false">$CF$380</f>
        <v>198.95</v>
      </c>
      <c r="CI412" s="60" t="n">
        <f aca="false">$CF$380</f>
        <v>198.95</v>
      </c>
      <c r="CJ412" s="60" t="n">
        <f aca="false">$CF$380</f>
        <v>198.95</v>
      </c>
      <c r="CK412" s="23"/>
    </row>
    <row r="413" customFormat="false" ht="15" hidden="false" customHeight="true" outlineLevel="0" collapsed="false">
      <c r="B413" s="29" t="s">
        <v>724</v>
      </c>
      <c r="CC413" s="43"/>
      <c r="CD413" s="43"/>
      <c r="CE413" s="43"/>
      <c r="CF413" s="35" t="n">
        <f aca="false">CF274+CF379</f>
        <v>416.680075898467</v>
      </c>
      <c r="CG413" s="35" t="n">
        <f aca="false">CG274+CG379</f>
        <v>407.802043436476</v>
      </c>
      <c r="CH413" s="35" t="n">
        <f aca="false">CH274+CH379</f>
        <v>400.410177153881</v>
      </c>
      <c r="CI413" s="35" t="n">
        <f aca="false">CI274+CI379</f>
        <v>392.513754643325</v>
      </c>
      <c r="CJ413" s="35" t="n">
        <f aca="false">CJ274+CJ379</f>
        <v>384.824489365753</v>
      </c>
      <c r="CK413" s="23"/>
    </row>
    <row r="414" customFormat="false" ht="15" hidden="false" customHeight="true" outlineLevel="0" collapsed="false">
      <c r="B414" s="29" t="s">
        <v>725</v>
      </c>
      <c r="CC414" s="85"/>
      <c r="CD414" s="85"/>
      <c r="CE414" s="85"/>
      <c r="CF414" s="47" t="n">
        <f aca="false">CF412*CF413</f>
        <v>82898.5011</v>
      </c>
      <c r="CG414" s="47" t="n">
        <f aca="false">CG412*CG413</f>
        <v>81132.2165416869</v>
      </c>
      <c r="CH414" s="47" t="n">
        <f aca="false">CH412*CH413</f>
        <v>79661.6047447645</v>
      </c>
      <c r="CI414" s="47" t="n">
        <f aca="false">CI412*CI413</f>
        <v>78090.6114862895</v>
      </c>
      <c r="CJ414" s="47" t="n">
        <f aca="false">CJ412*CJ413</f>
        <v>76560.8321593166</v>
      </c>
      <c r="CK414" s="23"/>
    </row>
    <row r="415" customFormat="false" ht="15" hidden="false" customHeight="true" outlineLevel="0" collapsed="false">
      <c r="B415" s="29" t="s">
        <v>726</v>
      </c>
      <c r="CC415" s="85"/>
      <c r="CD415" s="85"/>
      <c r="CE415" s="85"/>
      <c r="CF415" s="47" t="n">
        <f aca="false">CF389</f>
        <v>4265.65055526871</v>
      </c>
      <c r="CG415" s="47" t="n">
        <f aca="false">CG389</f>
        <v>5294.74562758183</v>
      </c>
      <c r="CH415" s="47" t="n">
        <f aca="false">CH389</f>
        <v>5934.22924075182</v>
      </c>
      <c r="CI415" s="47" t="n">
        <f aca="false">CI389</f>
        <v>6613.2770579386</v>
      </c>
      <c r="CJ415" s="47" t="n">
        <f aca="false">CJ389</f>
        <v>7234.21921439141</v>
      </c>
      <c r="CK415" s="23"/>
    </row>
    <row r="416" customFormat="false" ht="15" hidden="false" customHeight="true" outlineLevel="0" collapsed="false">
      <c r="B416" s="55" t="s">
        <v>727</v>
      </c>
      <c r="CC416" s="86"/>
      <c r="CD416" s="86"/>
      <c r="CE416" s="86"/>
      <c r="CF416" s="87" t="n">
        <f aca="false">CF414+CF415</f>
        <v>87164.1516552687</v>
      </c>
      <c r="CG416" s="87" t="n">
        <f aca="false">CG414+CG415</f>
        <v>86426.9621692687</v>
      </c>
      <c r="CH416" s="87" t="n">
        <f aca="false">CH414+CH415</f>
        <v>85595.8339855163</v>
      </c>
      <c r="CI416" s="87" t="n">
        <f aca="false">CI414+CI415</f>
        <v>84703.8885442281</v>
      </c>
      <c r="CJ416" s="87" t="n">
        <f aca="false">CJ414+CJ415</f>
        <v>83795.051373708</v>
      </c>
      <c r="CK416" s="23"/>
    </row>
    <row r="417" customFormat="false" ht="15" hidden="false" customHeight="true" outlineLevel="0" collapsed="false">
      <c r="B417" s="67" t="s">
        <v>728</v>
      </c>
    </row>
    <row r="418" customFormat="false" ht="15" hidden="false" customHeight="true" outlineLevel="0" collapsed="false">
      <c r="B418" s="29" t="s">
        <v>729</v>
      </c>
      <c r="CC418" s="52"/>
      <c r="CD418" s="52"/>
      <c r="CE418" s="52"/>
      <c r="CF418" s="53" t="n">
        <f aca="false">IFERROR(CF416/CF319,"n/a")</f>
        <v>5.89845602012551</v>
      </c>
      <c r="CG418" s="53" t="n">
        <f aca="false">IFERROR(CG416/CG319,"n/a")</f>
        <v>5.43877301365008</v>
      </c>
      <c r="CH418" s="53" t="n">
        <f aca="false">IFERROR(CH416/CH319,"n/a")</f>
        <v>5.0014680074584</v>
      </c>
      <c r="CI418" s="53" t="n">
        <f aca="false">IFERROR(CI416/CI319,"n/a")</f>
        <v>4.59576477159837</v>
      </c>
      <c r="CJ418" s="53" t="n">
        <f aca="false">IFERROR(CJ416/CJ319,"n/a")</f>
        <v>4.23917336849744</v>
      </c>
      <c r="CK418" s="23"/>
    </row>
    <row r="419" customFormat="false" ht="15" hidden="false" customHeight="true" outlineLevel="0" collapsed="false">
      <c r="B419" s="29" t="s">
        <v>730</v>
      </c>
      <c r="CC419" s="52"/>
      <c r="CD419" s="52"/>
      <c r="CE419" s="52"/>
      <c r="CF419" s="53" t="n">
        <f aca="false">IFERROR(CF416/CF194,"n/a")</f>
        <v>23.4477454543122</v>
      </c>
      <c r="CG419" s="53" t="n">
        <f aca="false">IFERROR(CG416/CG194,"n/a")</f>
        <v>20.4039457814192</v>
      </c>
      <c r="CH419" s="53" t="n">
        <f aca="false">IFERROR(CH416/CH194,"n/a")</f>
        <v>18.0301077260608</v>
      </c>
      <c r="CI419" s="53" t="n">
        <f aca="false">IFERROR(CI416/CI194,"n/a")</f>
        <v>16.0101958155808</v>
      </c>
      <c r="CJ419" s="53" t="n">
        <f aca="false">IFERROR(CJ416/CJ194,"n/a")</f>
        <v>14.4789383778643</v>
      </c>
      <c r="CK419" s="23"/>
    </row>
    <row r="420" customFormat="false" ht="15" hidden="false" customHeight="true" outlineLevel="0" collapsed="false">
      <c r="B420" s="29" t="s">
        <v>731</v>
      </c>
      <c r="CC420" s="52"/>
      <c r="CD420" s="52"/>
      <c r="CE420" s="52"/>
      <c r="CF420" s="53" t="n">
        <f aca="false">IFERROR(CF416/CF192,"n/a")</f>
        <v>29.7465784747934</v>
      </c>
      <c r="CG420" s="53" t="n">
        <f aca="false">IFERROR(CG416/CG192,"n/a")</f>
        <v>25.1759709500451</v>
      </c>
      <c r="CH420" s="53" t="n">
        <f aca="false">IFERROR(CH416/CH192,"n/a")</f>
        <v>22.0248663380326</v>
      </c>
      <c r="CI420" s="53" t="n">
        <f aca="false">IFERROR(CI416/CI192,"n/a")</f>
        <v>19.3281574766901</v>
      </c>
      <c r="CJ420" s="53" t="n">
        <f aca="false">IFERROR(CJ416/CJ192,"n/a")</f>
        <v>17.4023531337594</v>
      </c>
      <c r="CK420" s="23"/>
    </row>
    <row r="421" customFormat="false" ht="15" hidden="false" customHeight="true" outlineLevel="0" collapsed="false">
      <c r="B421" s="29" t="s">
        <v>732</v>
      </c>
      <c r="CC421" s="52"/>
      <c r="CD421" s="52"/>
      <c r="CE421" s="52"/>
      <c r="CF421" s="53" t="n">
        <f aca="false">IFERROR(CF416/CF387,"n/a")</f>
        <v>6.83338202022584</v>
      </c>
      <c r="CG421" s="53" t="n">
        <f aca="false">IFERROR(CG416/CG387,"n/a")</f>
        <v>6.5289194999865</v>
      </c>
      <c r="CH421" s="53" t="n">
        <f aca="false">IFERROR(CH416/CH387,"n/a")</f>
        <v>6.20681466609322</v>
      </c>
      <c r="CI421" s="53" t="n">
        <f aca="false">IFERROR(CI416/CI387,"n/a")</f>
        <v>5.86978236139215</v>
      </c>
      <c r="CJ421" s="53" t="n">
        <f aca="false">IFERROR(CJ416/CJ387,"n/a")</f>
        <v>5.53762790561275</v>
      </c>
      <c r="CK421" s="23"/>
    </row>
    <row r="422" customFormat="false" ht="15" hidden="false" customHeight="true" outlineLevel="0" collapsed="false">
      <c r="B422" s="29" t="s">
        <v>733</v>
      </c>
      <c r="CC422" s="52"/>
      <c r="CD422" s="52"/>
      <c r="CE422" s="52"/>
      <c r="CF422" s="53" t="n">
        <f aca="false">IFERROR(CF412/CF164,"n/a")</f>
        <v>39.2446533278947</v>
      </c>
      <c r="CG422" s="53" t="n">
        <f aca="false">IFERROR(CG412/CG164,"n/a")</f>
        <v>33.9475960079567</v>
      </c>
      <c r="CH422" s="53" t="n">
        <f aca="false">IFERROR(CH412/CH164,"n/a")</f>
        <v>28.8714117809645</v>
      </c>
      <c r="CI422" s="53" t="n">
        <f aca="false">IFERROR(CI412/CI164,"n/a")</f>
        <v>24.5786913824236</v>
      </c>
      <c r="CJ422" s="53" t="n">
        <f aca="false">IFERROR(CJ412/CJ164,"n/a")</f>
        <v>21.7542809027695</v>
      </c>
      <c r="CK422" s="23"/>
    </row>
    <row r="423" customFormat="false" ht="15" hidden="false" customHeight="true" outlineLevel="0" collapsed="false">
      <c r="B423" s="29" t="s">
        <v>734</v>
      </c>
      <c r="CC423" s="52"/>
      <c r="CD423" s="52"/>
      <c r="CE423" s="52"/>
      <c r="CF423" s="53" t="n">
        <f aca="false">IFERROR(CF412/CF206,"n/a")</f>
        <v>36.97426897289</v>
      </c>
      <c r="CG423" s="53" t="n">
        <f aca="false">IFERROR(CG412/CG206,"n/a")</f>
        <v>32.3651347826257</v>
      </c>
      <c r="CH423" s="53" t="n">
        <f aca="false">IFERROR(CH412/CH206,"n/a")</f>
        <v>28.0773837034341</v>
      </c>
      <c r="CI423" s="53" t="n">
        <f aca="false">IFERROR(CI412/CI206,"n/a")</f>
        <v>24.3792738416412</v>
      </c>
      <c r="CJ423" s="53" t="n">
        <f aca="false">IFERROR(CJ412/CJ206,"n/a")</f>
        <v>21.7542809027695</v>
      </c>
      <c r="CK423" s="23"/>
    </row>
    <row r="424" customFormat="false" ht="15" hidden="false" customHeight="true" outlineLevel="0" collapsed="false">
      <c r="B424" s="29" t="s">
        <v>735</v>
      </c>
      <c r="CC424" s="33"/>
      <c r="CD424" s="33"/>
      <c r="CE424" s="33"/>
      <c r="CF424" s="28" t="n">
        <f aca="false">IFERROR(CF256/CF414,"n/a")</f>
        <v>0.0242458922424508</v>
      </c>
      <c r="CG424" s="28" t="n">
        <f aca="false">IFERROR(CG256/CG414,"n/a")</f>
        <v>0.0295531301581798</v>
      </c>
      <c r="CH424" s="28" t="n">
        <f aca="false">IFERROR(CH256/CH414,"n/a")</f>
        <v>0.0346200059719218</v>
      </c>
      <c r="CI424" s="28" t="n">
        <f aca="false">IFERROR(CI256/CI414,"n/a")</f>
        <v>0.0404543460540617</v>
      </c>
      <c r="CJ424" s="28" t="n">
        <f aca="false">IFERROR(CJ256/CJ414,"n/a")</f>
        <v>0.0458025769419943</v>
      </c>
      <c r="CK424" s="23"/>
    </row>
    <row r="425" customFormat="false" ht="15" hidden="false" customHeight="true" outlineLevel="0" collapsed="false">
      <c r="B425" s="29" t="s">
        <v>736</v>
      </c>
      <c r="CC425" s="33"/>
      <c r="CD425" s="33"/>
      <c r="CE425" s="33"/>
      <c r="CF425" s="28" t="n">
        <f aca="false">IFERROR(CF168/CF412,"n/a")</f>
        <v>0.010454888162855</v>
      </c>
      <c r="CG425" s="28" t="n">
        <f aca="false">IFERROR(CG168/CG412,"n/a")</f>
        <v>0.0117094747423976</v>
      </c>
      <c r="CH425" s="28" t="n">
        <f aca="false">IFERROR(CH168/CH412,"n/a")</f>
        <v>0.0131146117114853</v>
      </c>
      <c r="CI425" s="28" t="n">
        <f aca="false">IFERROR(CI168/CI412,"n/a")</f>
        <v>0.0146883651168635</v>
      </c>
      <c r="CJ425" s="28" t="n">
        <f aca="false">IFERROR(CJ168/CJ412,"n/a")</f>
        <v>0.0164509689308872</v>
      </c>
      <c r="CK425" s="23"/>
    </row>
    <row r="426" customFormat="false" ht="15" hidden="false" customHeight="true" outlineLevel="0" collapsed="false"/>
  </sheetData>
  <dataValidations count="1">
    <dataValidation allowBlank="false" errorStyle="stop" operator="between" showDropDown="false" showErrorMessage="false" showInputMessage="false" sqref="CK2" type="list">
      <formula1>"Bull,Base,Bear"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5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H26" activeCellId="0" sqref="H26"/>
    </sheetView>
  </sheetViews>
  <sheetFormatPr defaultColWidth="8.5703125" defaultRowHeight="15" zeroHeight="false" outlineLevelRow="0" outlineLevelCol="0"/>
  <cols>
    <col collapsed="false" customWidth="true" hidden="false" outlineLevel="0" max="1" min="1" style="1" width="2.15"/>
    <col collapsed="false" customWidth="true" hidden="false" outlineLevel="0" max="2" min="2" style="1" width="63.85"/>
    <col collapsed="false" customWidth="true" hidden="false" outlineLevel="0" max="8" min="3" style="1" width="11.85"/>
    <col collapsed="false" customWidth="true" hidden="false" outlineLevel="0" max="9" min="9" style="1" width="13.29"/>
    <col collapsed="false" customWidth="true" hidden="false" outlineLevel="0" max="12" min="10" style="1" width="12.57"/>
    <col collapsed="false" customWidth="true" hidden="false" outlineLevel="0" max="13" min="13" style="1" width="3.86"/>
    <col collapsed="false" customWidth="true" hidden="false" outlineLevel="0" max="14" min="14" style="1" width="63.85"/>
    <col collapsed="false" customWidth="true" hidden="false" outlineLevel="0" max="20" min="15" style="1" width="11.85"/>
    <col collapsed="false" customWidth="true" hidden="false" outlineLevel="0" max="21" min="21" style="1" width="13.29"/>
    <col collapsed="false" customWidth="true" hidden="false" outlineLevel="0" max="24" min="22" style="1" width="12.57"/>
    <col collapsed="false" customWidth="true" hidden="false" outlineLevel="0" max="25" min="25" style="1" width="3.86"/>
    <col collapsed="false" customWidth="true" hidden="false" outlineLevel="0" max="26" min="26" style="1" width="63.85"/>
    <col collapsed="false" customWidth="true" hidden="false" outlineLevel="0" max="32" min="27" style="1" width="11.85"/>
    <col collapsed="false" customWidth="true" hidden="false" outlineLevel="0" max="33" min="33" style="1" width="13.29"/>
    <col collapsed="false" customWidth="true" hidden="false" outlineLevel="0" max="36" min="34" style="1" width="12.57"/>
  </cols>
  <sheetData>
    <row r="2" customFormat="false" ht="19.5" hidden="false" customHeight="true" outlineLevel="0" collapsed="false">
      <c r="B2" s="88" t="s">
        <v>737</v>
      </c>
      <c r="J2" s="89" t="s">
        <v>738</v>
      </c>
      <c r="K2" s="90" t="n">
        <f aca="false">Model!$CF$380</f>
        <v>198.95</v>
      </c>
    </row>
    <row r="3" customFormat="false" ht="15" hidden="false" customHeight="true" outlineLevel="0" collapsed="false">
      <c r="B3" s="91" t="s">
        <v>739</v>
      </c>
      <c r="J3" s="89" t="s">
        <v>740</v>
      </c>
      <c r="K3" s="92" t="n">
        <f aca="true">TODAY()</f>
        <v>46301</v>
      </c>
    </row>
    <row r="5" customFormat="false" ht="15" hidden="false" customHeight="true" outlineLevel="0" collapsed="false">
      <c r="B5" s="93" t="s">
        <v>741</v>
      </c>
      <c r="C5" s="94" t="str">
        <f aca="false">Model!$CK$2</f>
        <v>Base</v>
      </c>
      <c r="N5" s="95" t="s">
        <v>741</v>
      </c>
      <c r="O5" s="96" t="s">
        <v>105</v>
      </c>
      <c r="P5" s="91" t="s">
        <v>742</v>
      </c>
      <c r="Z5" s="95" t="s">
        <v>741</v>
      </c>
      <c r="AA5" s="96" t="s">
        <v>106</v>
      </c>
      <c r="AB5" s="91" t="s">
        <v>743</v>
      </c>
    </row>
    <row r="7" customFormat="false" ht="31.5" hidden="false" customHeight="true" outlineLevel="0" collapsed="false">
      <c r="B7" s="97" t="s">
        <v>744</v>
      </c>
      <c r="C7" s="98" t="s">
        <v>745</v>
      </c>
      <c r="D7" s="98" t="s">
        <v>89</v>
      </c>
      <c r="E7" s="98" t="s">
        <v>90</v>
      </c>
      <c r="F7" s="98" t="s">
        <v>91</v>
      </c>
      <c r="G7" s="98" t="s">
        <v>92</v>
      </c>
      <c r="H7" s="98" t="s">
        <v>93</v>
      </c>
      <c r="I7" s="98" t="s">
        <v>746</v>
      </c>
      <c r="J7" s="99" t="s">
        <v>747</v>
      </c>
      <c r="K7" s="99" t="s">
        <v>748</v>
      </c>
      <c r="L7" s="99" t="s">
        <v>749</v>
      </c>
      <c r="N7" s="97" t="s">
        <v>744</v>
      </c>
      <c r="O7" s="98" t="s">
        <v>745</v>
      </c>
      <c r="P7" s="98" t="s">
        <v>89</v>
      </c>
      <c r="Q7" s="98" t="s">
        <v>90</v>
      </c>
      <c r="R7" s="98" t="s">
        <v>91</v>
      </c>
      <c r="S7" s="98" t="s">
        <v>92</v>
      </c>
      <c r="T7" s="98" t="s">
        <v>93</v>
      </c>
      <c r="U7" s="98" t="s">
        <v>746</v>
      </c>
      <c r="V7" s="99" t="s">
        <v>747</v>
      </c>
      <c r="W7" s="99" t="s">
        <v>748</v>
      </c>
      <c r="X7" s="99" t="s">
        <v>749</v>
      </c>
      <c r="Z7" s="97" t="s">
        <v>744</v>
      </c>
      <c r="AA7" s="98" t="s">
        <v>745</v>
      </c>
      <c r="AB7" s="98" t="s">
        <v>89</v>
      </c>
      <c r="AC7" s="98" t="s">
        <v>90</v>
      </c>
      <c r="AD7" s="98" t="s">
        <v>91</v>
      </c>
      <c r="AE7" s="98" t="s">
        <v>92</v>
      </c>
      <c r="AF7" s="98" t="s">
        <v>93</v>
      </c>
      <c r="AG7" s="98" t="s">
        <v>746</v>
      </c>
      <c r="AH7" s="99" t="s">
        <v>747</v>
      </c>
      <c r="AI7" s="99" t="s">
        <v>748</v>
      </c>
      <c r="AJ7" s="99" t="s">
        <v>749</v>
      </c>
    </row>
    <row r="9" customFormat="false" ht="15" hidden="false" customHeight="true" outlineLevel="0" collapsed="false">
      <c r="B9" s="100" t="s">
        <v>750</v>
      </c>
      <c r="C9" s="101" t="n">
        <f aca="false">Model!CA132</f>
        <v>11264.761</v>
      </c>
      <c r="D9" s="102" t="n">
        <f aca="false">Model!CF132</f>
        <v>13279.1855570411</v>
      </c>
      <c r="E9" s="102" t="n">
        <f aca="false">Model!CG132</f>
        <v>15890.8933967931</v>
      </c>
      <c r="F9" s="102" t="n">
        <f aca="false">Model!CH132</f>
        <v>17114.1420594658</v>
      </c>
      <c r="G9" s="102" t="n">
        <f aca="false">Model!CI132</f>
        <v>18430.8581387138</v>
      </c>
      <c r="H9" s="102" t="n">
        <f aca="false">Model!CJ132</f>
        <v>19766.8375623451</v>
      </c>
      <c r="I9" s="103" t="n">
        <f aca="false">IFERROR((H9/C9)^(1/5)-1,"n/m")</f>
        <v>0.119033382236509</v>
      </c>
      <c r="N9" s="100" t="s">
        <v>750</v>
      </c>
      <c r="O9" s="101" t="n">
        <v>11264.761</v>
      </c>
      <c r="P9" s="102" t="n">
        <v>13354.7562204932</v>
      </c>
      <c r="Q9" s="102" t="n">
        <v>16298.0102165215</v>
      </c>
      <c r="R9" s="102" t="n">
        <v>17933.1496788194</v>
      </c>
      <c r="S9" s="102" t="n">
        <v>19718.6240193631</v>
      </c>
      <c r="T9" s="102" t="n">
        <v>21580.1396361115</v>
      </c>
      <c r="U9" s="103" t="n">
        <v>0.138849810111262</v>
      </c>
      <c r="Z9" s="100" t="s">
        <v>750</v>
      </c>
      <c r="AA9" s="101" t="n">
        <v>11264.761</v>
      </c>
      <c r="AB9" s="102" t="n">
        <v>13193.2344512877</v>
      </c>
      <c r="AC9" s="102" t="n">
        <v>15361.1344505404</v>
      </c>
      <c r="AD9" s="102" t="n">
        <v>16077.6739912792</v>
      </c>
      <c r="AE9" s="102" t="n">
        <v>16836.294666853</v>
      </c>
      <c r="AF9" s="102" t="n">
        <v>17566.4726945251</v>
      </c>
      <c r="AG9" s="103" t="n">
        <v>0.0929304264875055</v>
      </c>
    </row>
    <row r="10" customFormat="false" ht="15" hidden="false" customHeight="true" outlineLevel="0" collapsed="false">
      <c r="B10" s="104" t="s">
        <v>751</v>
      </c>
      <c r="C10" s="105"/>
      <c r="D10" s="106" t="n">
        <f aca="false">IFERROR(D9/C9-1,"")</f>
        <v>0.178825325902706</v>
      </c>
      <c r="E10" s="106" t="n">
        <f aca="false">IFERROR(E9/D9-1,"")</f>
        <v>0.196676808870046</v>
      </c>
      <c r="F10" s="106" t="n">
        <f aca="false">IFERROR(F9/E9-1,"")</f>
        <v>0.0769779666962904</v>
      </c>
      <c r="G10" s="106" t="n">
        <f aca="false">IFERROR(G9/F9-1,"")</f>
        <v>0.0769373115329368</v>
      </c>
      <c r="H10" s="106" t="n">
        <f aca="false">IFERROR(H9/G9-1,"")</f>
        <v>0.0724860130535647</v>
      </c>
      <c r="N10" s="104" t="s">
        <v>751</v>
      </c>
      <c r="O10" s="105"/>
      <c r="P10" s="106" t="n">
        <v>0.185533915943104</v>
      </c>
      <c r="Q10" s="106" t="n">
        <v>0.220389945532053</v>
      </c>
      <c r="R10" s="106" t="n">
        <v>0.10032755168115</v>
      </c>
      <c r="S10" s="106" t="n">
        <v>0.0995627858196306</v>
      </c>
      <c r="T10" s="106" t="n">
        <v>0.0944039307672004</v>
      </c>
      <c r="Z10" s="104" t="s">
        <v>751</v>
      </c>
      <c r="AA10" s="105"/>
      <c r="AB10" s="106" t="n">
        <v>0.171195238965804</v>
      </c>
      <c r="AC10" s="106" t="n">
        <v>0.164319068781585</v>
      </c>
      <c r="AD10" s="106" t="n">
        <v>0.0466462645090391</v>
      </c>
      <c r="AE10" s="106" t="n">
        <v>0.0471847280884832</v>
      </c>
      <c r="AF10" s="106" t="n">
        <v>0.0433692829758825</v>
      </c>
    </row>
    <row r="11" customFormat="false" ht="15" hidden="false" customHeight="true" outlineLevel="0" collapsed="false">
      <c r="B11" s="100" t="s">
        <v>752</v>
      </c>
      <c r="C11" s="107" t="n">
        <f aca="false">Model!CA214</f>
        <v>0.083</v>
      </c>
      <c r="D11" s="108" t="n">
        <f aca="false">Model!CF214</f>
        <v>0.0800648955626975</v>
      </c>
      <c r="E11" s="108" t="n">
        <f aca="false">Model!CG214</f>
        <v>0.0787401860764241</v>
      </c>
      <c r="F11" s="108" t="n">
        <f aca="false">Model!CH214</f>
        <v>0.0727668073530623</v>
      </c>
      <c r="G11" s="108" t="n">
        <f aca="false">Model!CI214</f>
        <v>0.0715973986097975</v>
      </c>
      <c r="H11" s="108" t="n">
        <f aca="false">Model!CJ214</f>
        <v>0.0654452025438541</v>
      </c>
      <c r="N11" s="100" t="s">
        <v>753</v>
      </c>
      <c r="O11" s="107" t="n">
        <v>0.083</v>
      </c>
      <c r="P11" s="108" t="n">
        <v>0.0853912402583375</v>
      </c>
      <c r="Q11" s="108" t="n">
        <v>0.0962469499365508</v>
      </c>
      <c r="R11" s="108" t="n">
        <v>0.0904424184469892</v>
      </c>
      <c r="S11" s="108" t="n">
        <v>0.0894131506704785</v>
      </c>
      <c r="T11" s="108" t="n">
        <v>0.0833794977256908</v>
      </c>
      <c r="Z11" s="100" t="s">
        <v>753</v>
      </c>
      <c r="AA11" s="107" t="n">
        <v>0.083</v>
      </c>
      <c r="AB11" s="108" t="n">
        <v>0.0747385508670578</v>
      </c>
      <c r="AC11" s="108" t="n">
        <v>0.0550183879621724</v>
      </c>
      <c r="AD11" s="108" t="n">
        <v>0.0488835846629865</v>
      </c>
      <c r="AE11" s="108" t="n">
        <v>0.0475985079398473</v>
      </c>
      <c r="AF11" s="108" t="n">
        <v>0.0413684167562234</v>
      </c>
    </row>
    <row r="12" customFormat="false" ht="15" hidden="false" customHeight="true" outlineLevel="0" collapsed="false">
      <c r="B12" s="100" t="s">
        <v>754</v>
      </c>
      <c r="C12" s="101" t="n">
        <f aca="false">Model!CA185</f>
        <v>3134.494</v>
      </c>
      <c r="D12" s="102" t="n">
        <f aca="false">Model!CF185</f>
        <v>3540.58333213411</v>
      </c>
      <c r="E12" s="102" t="n">
        <f aca="false">Model!CG185</f>
        <v>4235.79650206546</v>
      </c>
      <c r="F12" s="102" t="n">
        <f aca="false">Model!CH185</f>
        <v>4747.38339260145</v>
      </c>
      <c r="G12" s="102" t="n">
        <f aca="false">Model!CI185</f>
        <v>5290.62164635088</v>
      </c>
      <c r="H12" s="102" t="n">
        <f aca="false">Model!CJ185</f>
        <v>5787.37537151313</v>
      </c>
      <c r="I12" s="103" t="n">
        <f aca="false">IFERROR((H12/C12)^(1/5)-1,"n/m")</f>
        <v>0.130479891720314</v>
      </c>
      <c r="N12" s="100" t="s">
        <v>755</v>
      </c>
      <c r="O12" s="101" t="n">
        <v>3134.494</v>
      </c>
      <c r="P12" s="102" t="n">
        <v>3583.42740664841</v>
      </c>
      <c r="Q12" s="102" t="n">
        <v>4551.22503676477</v>
      </c>
      <c r="R12" s="102" t="n">
        <v>5185.96329256629</v>
      </c>
      <c r="S12" s="102" t="n">
        <v>5871.04066887106</v>
      </c>
      <c r="T12" s="102" t="n">
        <v>6490.21095066146</v>
      </c>
      <c r="U12" s="103" t="n">
        <v>0.15669344384217</v>
      </c>
      <c r="Z12" s="100" t="s">
        <v>755</v>
      </c>
      <c r="AA12" s="101" t="n">
        <v>3134.494</v>
      </c>
      <c r="AB12" s="102" t="n">
        <v>3480.89792707209</v>
      </c>
      <c r="AC12" s="102" t="n">
        <v>3792.55245291051</v>
      </c>
      <c r="AD12" s="102" t="n">
        <v>4161.17230226108</v>
      </c>
      <c r="AE12" s="102" t="n">
        <v>4544.27240809099</v>
      </c>
      <c r="AF12" s="102" t="n">
        <v>4865.77249810538</v>
      </c>
      <c r="AG12" s="103" t="n">
        <v>0.0919352126307955</v>
      </c>
    </row>
    <row r="13" customFormat="false" ht="15" hidden="false" customHeight="true" outlineLevel="0" collapsed="false">
      <c r="B13" s="104" t="s">
        <v>756</v>
      </c>
      <c r="C13" s="109" t="n">
        <f aca="false">IFERROR(C12/C9,"")</f>
        <v>0.278256591506913</v>
      </c>
      <c r="D13" s="110" t="n">
        <f aca="false">IFERROR(D12/D9,"")</f>
        <v>0.266626542488276</v>
      </c>
      <c r="E13" s="110" t="n">
        <f aca="false">IFERROR(E12/E9,"")</f>
        <v>0.266554963040673</v>
      </c>
      <c r="F13" s="110" t="n">
        <f aca="false">IFERROR(F12/F9,"")</f>
        <v>0.277395348017208</v>
      </c>
      <c r="G13" s="110" t="n">
        <f aca="false">IFERROR(G12/G9,"")</f>
        <v>0.287052377406019</v>
      </c>
      <c r="H13" s="110" t="n">
        <f aca="false">IFERROR(H12/H9,"")</f>
        <v>0.29278205748692</v>
      </c>
      <c r="J13" s="111" t="n">
        <f aca="false">IFERROR(AVERAGE(Model!C186,Model!D186,Model!E186,Model!F186,Model!G186,Model!H186,Model!I186,Model!N186,Model!S186,Model!X186,Model!AC186,Model!AH186,Model!AM186,Model!AR186,Model!AW186,Model!BB186,Model!BG186,Model!BL186,Model!BQ186,Model!BV186,Model!CA186),"")</f>
        <v>0.21130165258322</v>
      </c>
      <c r="K13" s="111" t="n">
        <f aca="false">IFERROR(MIN(Model!C186,Model!D186,Model!E186,Model!F186,Model!G186,Model!H186,Model!I186,Model!N186,Model!S186,Model!X186,Model!AC186,Model!AH186,Model!AM186,Model!AR186,Model!AW186,Model!BB186,Model!BG186,Model!BL186,Model!BQ186,Model!BV186,Model!CA186),"")</f>
        <v>0.166337565977602</v>
      </c>
      <c r="L13" s="111" t="n">
        <f aca="false">IFERROR(MAX(Model!C186,Model!D186,Model!E186,Model!F186,Model!G186,Model!H186,Model!I186,Model!N186,Model!S186,Model!X186,Model!AC186,Model!AH186,Model!AM186,Model!AR186,Model!AW186,Model!BB186,Model!BG186,Model!BL186,Model!BQ186,Model!BV186,Model!CA186),"")</f>
        <v>0.278256591506913</v>
      </c>
      <c r="N13" s="104" t="s">
        <v>756</v>
      </c>
      <c r="O13" s="109" t="n">
        <v>0.278256591506913</v>
      </c>
      <c r="P13" s="110" t="n">
        <v>0.268325931786727</v>
      </c>
      <c r="Q13" s="110" t="n">
        <v>0.279250348742029</v>
      </c>
      <c r="R13" s="110" t="n">
        <v>0.289183070762597</v>
      </c>
      <c r="S13" s="110" t="n">
        <v>0.297740890191215</v>
      </c>
      <c r="T13" s="110" t="n">
        <v>0.300749256496976</v>
      </c>
      <c r="V13" s="111" t="n">
        <v>0.21130165258322</v>
      </c>
      <c r="W13" s="111" t="n">
        <v>0.166337565977602</v>
      </c>
      <c r="X13" s="111" t="n">
        <v>0.278256591506913</v>
      </c>
      <c r="Z13" s="104" t="s">
        <v>756</v>
      </c>
      <c r="AA13" s="109" t="n">
        <v>0.278256591506913</v>
      </c>
      <c r="AB13" s="110" t="n">
        <v>0.26383961718594</v>
      </c>
      <c r="AC13" s="110" t="n">
        <v>0.246892732117001</v>
      </c>
      <c r="AD13" s="110" t="n">
        <v>0.258816810473839</v>
      </c>
      <c r="AE13" s="110" t="n">
        <v>0.269909294058489</v>
      </c>
      <c r="AF13" s="110" t="n">
        <v>0.276992005322838</v>
      </c>
      <c r="AH13" s="111" t="n">
        <v>0.21130165258322</v>
      </c>
      <c r="AI13" s="111" t="n">
        <v>0.166337565977602</v>
      </c>
      <c r="AJ13" s="111" t="n">
        <v>0.278256591506913</v>
      </c>
    </row>
    <row r="15" customFormat="false" ht="15" hidden="false" customHeight="true" outlineLevel="0" collapsed="false">
      <c r="B15" s="100" t="s">
        <v>757</v>
      </c>
      <c r="C15" s="101" t="n">
        <f aca="false">Model!CA143</f>
        <v>2606.512</v>
      </c>
      <c r="D15" s="102" t="n">
        <f aca="false">Model!CF143</f>
        <v>2760.61245351588</v>
      </c>
      <c r="E15" s="102" t="n">
        <f aca="false">Model!CG143</f>
        <v>3275.41475592976</v>
      </c>
      <c r="F15" s="102" t="n">
        <f aca="false">Model!CH143</f>
        <v>3781.32705741825</v>
      </c>
      <c r="G15" s="102" t="n">
        <f aca="false">Model!CI143</f>
        <v>4347.40885849476</v>
      </c>
      <c r="H15" s="102" t="n">
        <f aca="false">Model!CJ143</f>
        <v>4815.15636015633</v>
      </c>
      <c r="I15" s="103" t="n">
        <f aca="false">IFERROR((H15/C15)^(1/5)-1,"n/m")</f>
        <v>0.130602999008649</v>
      </c>
      <c r="N15" s="100" t="s">
        <v>758</v>
      </c>
      <c r="O15" s="101" t="n">
        <v>2606.512</v>
      </c>
      <c r="P15" s="102" t="n">
        <v>2800.14328743905</v>
      </c>
      <c r="Q15" s="102" t="n">
        <v>3571.19417646875</v>
      </c>
      <c r="R15" s="102" t="n">
        <v>4179.32871434218</v>
      </c>
      <c r="S15" s="102" t="n">
        <v>4864.17480356848</v>
      </c>
      <c r="T15" s="102" t="n">
        <v>5429.11559888188</v>
      </c>
      <c r="U15" s="103" t="n">
        <v>0.158067495464761</v>
      </c>
      <c r="Z15" s="100" t="s">
        <v>758</v>
      </c>
      <c r="AA15" s="101" t="n">
        <v>2606.512</v>
      </c>
      <c r="AB15" s="102" t="n">
        <v>2704.75931116006</v>
      </c>
      <c r="AC15" s="102" t="n">
        <v>2857.43804427967</v>
      </c>
      <c r="AD15" s="102" t="n">
        <v>3245.6334571059</v>
      </c>
      <c r="AE15" s="102" t="n">
        <v>3678.8188769175</v>
      </c>
      <c r="AF15" s="102" t="n">
        <v>4000.40246652034</v>
      </c>
      <c r="AG15" s="103" t="n">
        <v>0.0894537335313617</v>
      </c>
    </row>
    <row r="16" customFormat="false" ht="15" hidden="false" customHeight="true" outlineLevel="0" collapsed="false">
      <c r="B16" s="104" t="s">
        <v>759</v>
      </c>
      <c r="C16" s="105"/>
      <c r="D16" s="106" t="n">
        <f aca="false">IFERROR(D15/C15-1,"")</f>
        <v>0.0591213290082235</v>
      </c>
      <c r="E16" s="106" t="n">
        <f aca="false">IFERROR(E15/D15-1,"")</f>
        <v>0.186481192518793</v>
      </c>
      <c r="F16" s="106" t="n">
        <f aca="false">IFERROR(F15/E15-1,"")</f>
        <v>0.154457477659157</v>
      </c>
      <c r="G16" s="106" t="n">
        <f aca="false">IFERROR(G15/F15-1,"")</f>
        <v>0.149704532953838</v>
      </c>
      <c r="H16" s="106" t="n">
        <f aca="false">IFERROR(H15/G15-1,"")</f>
        <v>0.107592250208444</v>
      </c>
      <c r="N16" s="104" t="s">
        <v>760</v>
      </c>
      <c r="O16" s="105"/>
      <c r="P16" s="106" t="n">
        <v>0.0742875104503831</v>
      </c>
      <c r="Q16" s="106" t="n">
        <v>0.275361226151711</v>
      </c>
      <c r="R16" s="106" t="n">
        <v>0.170288846761831</v>
      </c>
      <c r="S16" s="106" t="n">
        <v>0.163865093184971</v>
      </c>
      <c r="T16" s="106" t="n">
        <v>0.1161431934763</v>
      </c>
      <c r="Z16" s="104" t="s">
        <v>760</v>
      </c>
      <c r="AA16" s="105"/>
      <c r="AB16" s="106" t="n">
        <v>0.0376930208493425</v>
      </c>
      <c r="AC16" s="106" t="n">
        <v>0.0564481772886942</v>
      </c>
      <c r="AD16" s="106" t="n">
        <v>0.135854358628478</v>
      </c>
      <c r="AE16" s="106" t="n">
        <v>0.133467141479947</v>
      </c>
      <c r="AF16" s="106" t="n">
        <v>0.0874149014567118</v>
      </c>
    </row>
    <row r="17" customFormat="false" ht="15" hidden="false" customHeight="true" outlineLevel="0" collapsed="false">
      <c r="B17" s="104" t="s">
        <v>761</v>
      </c>
      <c r="C17" s="109" t="n">
        <f aca="false">IFERROR(C15/C9,"")</f>
        <v>0.231386356088691</v>
      </c>
      <c r="D17" s="110" t="n">
        <f aca="false">IFERROR(D15/D9,"")</f>
        <v>0.207890193390069</v>
      </c>
      <c r="E17" s="110" t="n">
        <f aca="false">IFERROR(E15/E9,"")</f>
        <v>0.206118981113469</v>
      </c>
      <c r="F17" s="110" t="n">
        <f aca="false">IFERROR(F15/F9,"")</f>
        <v>0.22094750904132</v>
      </c>
      <c r="G17" s="110" t="n">
        <f aca="false">IFERROR(G15/G9,"")</f>
        <v>0.235876638286476</v>
      </c>
      <c r="H17" s="110" t="n">
        <f aca="false">IFERROR(H15/H9,"")</f>
        <v>0.243597709799012</v>
      </c>
      <c r="J17" s="111" t="n">
        <f aca="false">IFERROR(AVERAGE(Model!C223,Model!D223,Model!E223,Model!F223,Model!G223,Model!H223,Model!I223,Model!N223,Model!S223,Model!X223,Model!AC223,Model!AH223,Model!AM223,Model!AR223,Model!AW223,Model!BB223,Model!BG223,Model!BL223,Model!BQ223,Model!BV223,Model!CA223),"")</f>
        <v>0.161720985505143</v>
      </c>
      <c r="K17" s="111" t="n">
        <f aca="false">IFERROR(MIN(Model!C223,Model!D223,Model!E223,Model!F223,Model!G223,Model!H223,Model!I223,Model!N223,Model!S223,Model!X223,Model!AC223,Model!AH223,Model!AM223,Model!AR223,Model!AW223,Model!BB223,Model!BG223,Model!BL223,Model!BQ223,Model!BV223,Model!CA223),"")</f>
        <v>0.108370632251433</v>
      </c>
      <c r="L17" s="111" t="n">
        <f aca="false">IFERROR(MAX(Model!C223,Model!D223,Model!E223,Model!F223,Model!G223,Model!H223,Model!I223,Model!N223,Model!S223,Model!X223,Model!AC223,Model!AH223,Model!AM223,Model!AR223,Model!AW223,Model!BB223,Model!BG223,Model!BL223,Model!BQ223,Model!BV223,Model!CA223),"")</f>
        <v>0.231386356088691</v>
      </c>
      <c r="N17" s="104" t="s">
        <v>761</v>
      </c>
      <c r="O17" s="109" t="n">
        <v>0.231386356088691</v>
      </c>
      <c r="P17" s="110" t="n">
        <v>0.209673860099533</v>
      </c>
      <c r="Q17" s="110" t="n">
        <v>0.219118415624049</v>
      </c>
      <c r="R17" s="110" t="n">
        <v>0.233050456232924</v>
      </c>
      <c r="S17" s="110" t="n">
        <v>0.246679220557784</v>
      </c>
      <c r="T17" s="110" t="n">
        <v>0.251579261785543</v>
      </c>
      <c r="V17" s="111" t="n">
        <v>0.161720985505143</v>
      </c>
      <c r="W17" s="111" t="n">
        <v>0.108370632251433</v>
      </c>
      <c r="X17" s="111" t="n">
        <v>0.231386356088691</v>
      </c>
      <c r="Z17" s="104" t="s">
        <v>761</v>
      </c>
      <c r="AA17" s="109" t="n">
        <v>0.231386356088691</v>
      </c>
      <c r="AB17" s="110" t="n">
        <v>0.205011085124473</v>
      </c>
      <c r="AC17" s="110" t="n">
        <v>0.186017383903514</v>
      </c>
      <c r="AD17" s="110" t="n">
        <v>0.201872077942766</v>
      </c>
      <c r="AE17" s="110" t="n">
        <v>0.218505256038331</v>
      </c>
      <c r="AF17" s="110" t="n">
        <v>0.227729410228562</v>
      </c>
      <c r="AH17" s="111" t="n">
        <v>0.161720985505143</v>
      </c>
      <c r="AI17" s="111" t="n">
        <v>0.108370632251433</v>
      </c>
      <c r="AJ17" s="111" t="n">
        <v>0.231386356088691</v>
      </c>
    </row>
    <row r="19" customFormat="false" ht="15" hidden="false" customHeight="true" outlineLevel="0" collapsed="false">
      <c r="B19" s="100" t="s">
        <v>762</v>
      </c>
      <c r="C19" s="101" t="n">
        <f aca="false">Model!CA204</f>
        <v>2006.61282634092</v>
      </c>
      <c r="D19" s="102" t="n">
        <f aca="false">Model!CF204</f>
        <v>2198.86694258768</v>
      </c>
      <c r="E19" s="102" t="n">
        <f aca="false">Model!CG204</f>
        <v>2534.06510962133</v>
      </c>
      <c r="F19" s="102" t="n">
        <f aca="false">Model!CH204</f>
        <v>2863.40463528988</v>
      </c>
      <c r="G19" s="102" t="n">
        <f aca="false">Model!CI204</f>
        <v>3235.37561569213</v>
      </c>
      <c r="H19" s="102" t="n">
        <f aca="false">Model!CJ204</f>
        <v>3554.50599210378</v>
      </c>
      <c r="I19" s="103" t="n">
        <f aca="false">IFERROR((H19/C19)^(1/5)-1,"n/m")</f>
        <v>0.12114848228078</v>
      </c>
      <c r="N19" s="100" t="s">
        <v>763</v>
      </c>
      <c r="O19" s="101" t="n">
        <v>2006.61282634092</v>
      </c>
      <c r="P19" s="102" t="n">
        <v>2230.33348639052</v>
      </c>
      <c r="Q19" s="102" t="n">
        <v>2768.10876392863</v>
      </c>
      <c r="R19" s="102" t="n">
        <v>3082.91106372059</v>
      </c>
      <c r="S19" s="102" t="n">
        <v>3531.95082047032</v>
      </c>
      <c r="T19" s="102" t="n">
        <v>3909.38367249454</v>
      </c>
      <c r="U19" s="103" t="n">
        <v>0.142691356109709</v>
      </c>
      <c r="Z19" s="100" t="s">
        <v>763</v>
      </c>
      <c r="AA19" s="101" t="n">
        <v>2006.61282634092</v>
      </c>
      <c r="AB19" s="102" t="n">
        <v>2154.40784127245</v>
      </c>
      <c r="AC19" s="102" t="n">
        <v>2203.25983691949</v>
      </c>
      <c r="AD19" s="102" t="n">
        <v>2499.99270276812</v>
      </c>
      <c r="AE19" s="102" t="n">
        <v>2792.53229243669</v>
      </c>
      <c r="AF19" s="102" t="n">
        <v>3012.38878977828</v>
      </c>
      <c r="AG19" s="103" t="n">
        <v>0.0846496682661302</v>
      </c>
    </row>
    <row r="21" customFormat="false" ht="15" hidden="false" customHeight="true" outlineLevel="0" collapsed="false">
      <c r="B21" s="100" t="s">
        <v>764</v>
      </c>
      <c r="C21" s="112" t="n">
        <f aca="false">Model!CA161</f>
        <v>406.197</v>
      </c>
      <c r="D21" s="113" t="n">
        <f aca="false">Model!CF161</f>
        <v>408.652916666667</v>
      </c>
      <c r="E21" s="113" t="n">
        <f aca="false">Model!CG161</f>
        <v>412.241059667471</v>
      </c>
      <c r="F21" s="113" t="n">
        <f aca="false">Model!CH161</f>
        <v>404.106110295178</v>
      </c>
      <c r="G21" s="113" t="n">
        <f aca="false">Model!CI161</f>
        <v>396.461965898603</v>
      </c>
      <c r="H21" s="113" t="n">
        <f aca="false">Model!CJ161</f>
        <v>388.669122004539</v>
      </c>
      <c r="I21" s="103" t="n">
        <f aca="false">IFERROR((H21/C21)^(1/5)-1,"n/m")</f>
        <v>-0.00878317417779395</v>
      </c>
      <c r="N21" s="100" t="s">
        <v>764</v>
      </c>
      <c r="O21" s="112" t="n">
        <v>406.197</v>
      </c>
      <c r="P21" s="113" t="n">
        <v>408.652916666667</v>
      </c>
      <c r="Q21" s="113" t="n">
        <v>406.018685156069</v>
      </c>
      <c r="R21" s="113" t="n">
        <v>390.641373522992</v>
      </c>
      <c r="S21" s="113" t="n">
        <v>380.770913144027</v>
      </c>
      <c r="T21" s="113" t="n">
        <v>370.636707027374</v>
      </c>
      <c r="U21" s="103" t="n">
        <v>-0.0181563325496498</v>
      </c>
      <c r="Z21" s="100" t="s">
        <v>764</v>
      </c>
      <c r="AA21" s="112" t="n">
        <v>406.197</v>
      </c>
      <c r="AB21" s="113" t="n">
        <v>408.652916666667</v>
      </c>
      <c r="AC21" s="113" t="n">
        <v>417.280075898467</v>
      </c>
      <c r="AD21" s="113" t="n">
        <v>416.051830088914</v>
      </c>
      <c r="AE21" s="113" t="n">
        <v>411.48675553242</v>
      </c>
      <c r="AF21" s="113" t="n">
        <v>406.206505150422</v>
      </c>
      <c r="AG21" s="103" t="n">
        <v>4.68002543296819E-006</v>
      </c>
    </row>
    <row r="23" customFormat="false" ht="15" hidden="false" customHeight="true" outlineLevel="0" collapsed="false">
      <c r="B23" s="100" t="s">
        <v>765</v>
      </c>
      <c r="C23" s="114" t="n">
        <f aca="false">Model!CA206</f>
        <v>4.93999912934098</v>
      </c>
      <c r="D23" s="115" t="n">
        <f aca="false">Model!CF206</f>
        <v>5.38076899223816</v>
      </c>
      <c r="E23" s="115" t="n">
        <f aca="false">Model!CG206</f>
        <v>6.14704685570476</v>
      </c>
      <c r="F23" s="115" t="n">
        <f aca="false">Model!CH206</f>
        <v>7.08577416262851</v>
      </c>
      <c r="G23" s="115" t="n">
        <f aca="false">Model!CI206</f>
        <v>8.16062042258953</v>
      </c>
      <c r="H23" s="115" t="n">
        <f aca="false">Model!CJ206</f>
        <v>9.14532642513925</v>
      </c>
      <c r="I23" s="103" t="n">
        <f aca="false">IFERROR((H23/C23)^(1/5)-1,"n/m")</f>
        <v>0.131082981113437</v>
      </c>
      <c r="N23" s="100" t="s">
        <v>765</v>
      </c>
      <c r="O23" s="114" t="n">
        <v>4.93999912934098</v>
      </c>
      <c r="P23" s="115" t="n">
        <v>5.45776965103563</v>
      </c>
      <c r="Q23" s="115" t="n">
        <v>6.81768811419258</v>
      </c>
      <c r="R23" s="115" t="n">
        <v>7.89192152361492</v>
      </c>
      <c r="S23" s="115" t="n">
        <v>9.2757894538398</v>
      </c>
      <c r="T23" s="115" t="n">
        <v>10.5477509333845</v>
      </c>
      <c r="U23" s="103" t="n">
        <v>0.163822097133902</v>
      </c>
      <c r="Z23" s="100" t="s">
        <v>765</v>
      </c>
      <c r="AA23" s="114" t="n">
        <v>4.93999912934098</v>
      </c>
      <c r="AB23" s="115" t="n">
        <v>5.27197470862486</v>
      </c>
      <c r="AC23" s="115" t="n">
        <v>5.28005041260487</v>
      </c>
      <c r="AD23" s="115" t="n">
        <v>6.0088491912987</v>
      </c>
      <c r="AE23" s="115" t="n">
        <v>6.78644514043581</v>
      </c>
      <c r="AF23" s="115" t="n">
        <v>7.41590484540065</v>
      </c>
      <c r="AG23" s="103" t="n">
        <v>0.0846445921018533</v>
      </c>
    </row>
    <row r="24" customFormat="false" ht="15" hidden="false" customHeight="true" outlineLevel="0" collapsed="false">
      <c r="B24" s="104" t="s">
        <v>766</v>
      </c>
      <c r="C24" s="105"/>
      <c r="D24" s="106" t="n">
        <f aca="false">IFERROR(D23/C23-1,"")</f>
        <v>0.0892246843282285</v>
      </c>
      <c r="E24" s="106" t="n">
        <f aca="false">IFERROR(E23/D23-1,"")</f>
        <v>0.142410474148206</v>
      </c>
      <c r="F24" s="106" t="n">
        <f aca="false">IFERROR(F23/E23-1,"")</f>
        <v>0.152711916625879</v>
      </c>
      <c r="G24" s="106" t="n">
        <f aca="false">IFERROR(G23/F23-1,"")</f>
        <v>0.151690730651553</v>
      </c>
      <c r="H24" s="106" t="n">
        <f aca="false">IFERROR(H23/G23-1,"")</f>
        <v>0.120665580747261</v>
      </c>
      <c r="N24" s="104" t="s">
        <v>766</v>
      </c>
      <c r="O24" s="105"/>
      <c r="P24" s="106" t="n">
        <v>0.104811864969643</v>
      </c>
      <c r="Q24" s="106" t="n">
        <v>0.249171099205131</v>
      </c>
      <c r="R24" s="106" t="n">
        <v>0.157565642697278</v>
      </c>
      <c r="S24" s="106" t="n">
        <v>0.175352469748204</v>
      </c>
      <c r="T24" s="106" t="n">
        <v>0.137127032246098</v>
      </c>
      <c r="Z24" s="104" t="s">
        <v>766</v>
      </c>
      <c r="AA24" s="105"/>
      <c r="AB24" s="106" t="n">
        <v>0.0672015461120468</v>
      </c>
      <c r="AC24" s="106" t="n">
        <v>0.00153181766346311</v>
      </c>
      <c r="AD24" s="106" t="n">
        <v>0.138028753845608</v>
      </c>
      <c r="AE24" s="106" t="n">
        <v>0.129408464812718</v>
      </c>
      <c r="AF24" s="106" t="n">
        <v>0.0927524929383596</v>
      </c>
    </row>
    <row r="26" customFormat="false" ht="15" hidden="false" customHeight="true" outlineLevel="0" collapsed="false">
      <c r="B26" s="104" t="s">
        <v>767</v>
      </c>
      <c r="C26" s="116"/>
      <c r="D26" s="116"/>
      <c r="E26" s="116"/>
      <c r="F26" s="116" t="n">
        <v>35</v>
      </c>
      <c r="G26" s="116" t="n">
        <v>35</v>
      </c>
      <c r="H26" s="116" t="n">
        <v>35</v>
      </c>
      <c r="N26" s="104" t="s">
        <v>768</v>
      </c>
      <c r="O26" s="116"/>
      <c r="P26" s="116"/>
      <c r="Q26" s="116"/>
      <c r="R26" s="116" t="n">
        <v>35</v>
      </c>
      <c r="S26" s="116" t="n">
        <v>35</v>
      </c>
      <c r="T26" s="116" t="n">
        <v>35</v>
      </c>
      <c r="Z26" s="104" t="s">
        <v>768</v>
      </c>
      <c r="AA26" s="116"/>
      <c r="AB26" s="116"/>
      <c r="AC26" s="116"/>
      <c r="AD26" s="116" t="n">
        <v>35</v>
      </c>
      <c r="AE26" s="116" t="n">
        <v>35</v>
      </c>
      <c r="AF26" s="116" t="n">
        <v>35</v>
      </c>
    </row>
    <row r="27" customFormat="false" ht="15" hidden="false" customHeight="true" outlineLevel="0" collapsed="false">
      <c r="B27" s="93" t="s">
        <v>769</v>
      </c>
      <c r="C27" s="117"/>
      <c r="D27" s="117"/>
      <c r="E27" s="117"/>
      <c r="F27" s="117" t="n">
        <f aca="false">F26*F23</f>
        <v>248.002095691998</v>
      </c>
      <c r="G27" s="117" t="n">
        <f aca="false">G26*G23</f>
        <v>285.621714790633</v>
      </c>
      <c r="H27" s="117" t="n">
        <f aca="false">H26*H23</f>
        <v>320.086424879874</v>
      </c>
      <c r="N27" s="93" t="s">
        <v>769</v>
      </c>
      <c r="O27" s="117"/>
      <c r="P27" s="117"/>
      <c r="Q27" s="117"/>
      <c r="R27" s="117" t="n">
        <v>276.217253326522</v>
      </c>
      <c r="S27" s="117" t="n">
        <v>324.652630884393</v>
      </c>
      <c r="T27" s="117" t="n">
        <v>369.171282668458</v>
      </c>
      <c r="Z27" s="93" t="s">
        <v>769</v>
      </c>
      <c r="AA27" s="117"/>
      <c r="AB27" s="117"/>
      <c r="AC27" s="117"/>
      <c r="AD27" s="117" t="n">
        <v>210.309721695455</v>
      </c>
      <c r="AE27" s="117" t="n">
        <v>237.525579915253</v>
      </c>
      <c r="AF27" s="117" t="n">
        <v>259.556669589023</v>
      </c>
    </row>
    <row r="28" customFormat="false" ht="15" hidden="false" customHeight="true" outlineLevel="0" collapsed="false">
      <c r="B28" s="1" t="s">
        <v>770</v>
      </c>
      <c r="E28" s="118"/>
      <c r="F28" s="118" t="n">
        <f aca="false">IFERROR(F27/$K$2-1,"")</f>
        <v>0.246554891641106</v>
      </c>
      <c r="G28" s="118" t="n">
        <f aca="false">IFERROR(G27/$K$2-1,"")</f>
        <v>0.435645713951412</v>
      </c>
      <c r="H28" s="118" t="n">
        <f aca="false">IFERROR(H27/$K$2-1,"")</f>
        <v>0.608878737772676</v>
      </c>
      <c r="N28" s="1" t="s">
        <v>770</v>
      </c>
      <c r="O28" s="118"/>
      <c r="P28" s="118"/>
      <c r="Q28" s="118"/>
      <c r="R28" s="118" t="n">
        <v>0.388375236624892</v>
      </c>
      <c r="S28" s="118" t="n">
        <v>0.631830263304313</v>
      </c>
      <c r="T28" s="118" t="n">
        <v>0.855598304440602</v>
      </c>
      <c r="Z28" s="1" t="s">
        <v>770</v>
      </c>
      <c r="AA28" s="118"/>
      <c r="AB28" s="118"/>
      <c r="AC28" s="118"/>
      <c r="AD28" s="118" t="n">
        <v>0.0570983749457381</v>
      </c>
      <c r="AE28" s="118" t="n">
        <v>0.193895852803485</v>
      </c>
      <c r="AF28" s="118" t="n">
        <v>0.304632669459777</v>
      </c>
    </row>
    <row r="29" customFormat="false" ht="15" hidden="false" customHeight="true" outlineLevel="0" collapsed="false">
      <c r="B29" s="94" t="s">
        <v>771</v>
      </c>
      <c r="C29" s="119"/>
      <c r="D29" s="119"/>
      <c r="E29" s="119"/>
      <c r="F29" s="119" t="n">
        <f aca="false">IFERROR((F27/$K$2)^(1/((DATE(2029-1,5,31)-$K$3)/365.25))-1,"")</f>
        <v>0.142811091998724</v>
      </c>
      <c r="G29" s="119" t="n">
        <f aca="false">IFERROR((G27/$K$2)^(1/((DATE(2030-1,5,31)-$K$3)/365.25))-1,"")</f>
        <v>0.146193040334502</v>
      </c>
      <c r="H29" s="119" t="n">
        <f aca="false">IFERROR((H27/$K$2)^(1/((DATE(2031-1,5,31)-$K$3)/365.25))-1,"")</f>
        <v>0.139170230039199</v>
      </c>
      <c r="N29" s="94" t="s">
        <v>772</v>
      </c>
      <c r="O29" s="119"/>
      <c r="P29" s="119"/>
      <c r="Q29" s="119"/>
      <c r="R29" s="119" t="n">
        <v>0.219886578415597</v>
      </c>
      <c r="S29" s="119" t="n">
        <v>0.202949666776649</v>
      </c>
      <c r="T29" s="119" t="n">
        <v>0.184584970682934</v>
      </c>
      <c r="Z29" s="94" t="s">
        <v>772</v>
      </c>
      <c r="AA29" s="119"/>
      <c r="AB29" s="119"/>
      <c r="AC29" s="119"/>
      <c r="AD29" s="119" t="n">
        <v>0.0342063900728735</v>
      </c>
      <c r="AE29" s="119" t="n">
        <v>0.0691565861881458</v>
      </c>
      <c r="AF29" s="119" t="n">
        <v>0.0755843474359481</v>
      </c>
    </row>
    <row r="31" customFormat="false" ht="15" hidden="false" customHeight="true" outlineLevel="0" collapsed="false">
      <c r="B31" s="100" t="s">
        <v>773</v>
      </c>
      <c r="C31" s="101" t="n">
        <f aca="false">Model!CA256</f>
        <v>1881.175</v>
      </c>
      <c r="D31" s="102" t="n">
        <f aca="false">Model!CF256</f>
        <v>2009.94812473129</v>
      </c>
      <c r="E31" s="102" t="n">
        <f aca="false">Model!CG256</f>
        <v>2397.7109554781</v>
      </c>
      <c r="F31" s="102" t="n">
        <f aca="false">Model!CH256</f>
        <v>2757.88523199662</v>
      </c>
      <c r="G31" s="102" t="n">
        <f aca="false">Model!CI256</f>
        <v>3159.10462063964</v>
      </c>
      <c r="H31" s="102" t="n">
        <f aca="false">Model!CJ256</f>
        <v>3506.68340572021</v>
      </c>
      <c r="I31" s="103" t="n">
        <f aca="false">IFERROR((H31/C31)^(1/5)-1,"n/m")</f>
        <v>0.132644112690134</v>
      </c>
      <c r="N31" s="100" t="s">
        <v>773</v>
      </c>
      <c r="O31" s="101" t="n">
        <v>1881.175</v>
      </c>
      <c r="P31" s="102" t="n">
        <v>2023.61583111471</v>
      </c>
      <c r="Q31" s="102" t="n">
        <v>2588.09850587197</v>
      </c>
      <c r="R31" s="102" t="n">
        <v>2927.49374127073</v>
      </c>
      <c r="S31" s="102" t="n">
        <v>3401.59828508899</v>
      </c>
      <c r="T31" s="102" t="n">
        <v>3803.21145059201</v>
      </c>
      <c r="U31" s="103" t="n">
        <v>0.151182700778602</v>
      </c>
      <c r="Z31" s="100" t="s">
        <v>773</v>
      </c>
      <c r="AA31" s="101" t="n">
        <v>1881.175</v>
      </c>
      <c r="AB31" s="102" t="n">
        <v>1988.1155569819</v>
      </c>
      <c r="AC31" s="102" t="n">
        <v>2125.88184535221</v>
      </c>
      <c r="AD31" s="102" t="n">
        <v>2458.95210606292</v>
      </c>
      <c r="AE31" s="102" t="n">
        <v>2784.00094327823</v>
      </c>
      <c r="AF31" s="102" t="n">
        <v>3035.24450420274</v>
      </c>
      <c r="AG31" s="103" t="n">
        <v>0.100405865330518</v>
      </c>
    </row>
    <row r="32" customFormat="false" ht="15" hidden="false" customHeight="true" outlineLevel="0" collapsed="false">
      <c r="B32" s="104" t="s">
        <v>774</v>
      </c>
      <c r="C32" s="109" t="n">
        <f aca="false">IFERROR(C31/C9,"")</f>
        <v>0.166996441380336</v>
      </c>
      <c r="D32" s="110" t="n">
        <f aca="false">IFERROR(D31/D9,"")</f>
        <v>0.151360798152681</v>
      </c>
      <c r="E32" s="110" t="n">
        <f aca="false">IFERROR(E31/E9,"")</f>
        <v>0.150885849876884</v>
      </c>
      <c r="F32" s="110" t="n">
        <f aca="false">IFERROR(F31/F9,"")</f>
        <v>0.161146566530412</v>
      </c>
      <c r="G32" s="110" t="n">
        <f aca="false">IFERROR(G31/G9,"")</f>
        <v>0.171403013189276</v>
      </c>
      <c r="H32" s="110" t="n">
        <f aca="false">IFERROR(H31/H9,"")</f>
        <v>0.177402348486957</v>
      </c>
      <c r="J32" s="111" t="n">
        <f aca="false">IFERROR(AVERAGE(Model!C260,Model!D260,Model!E260,Model!F260,Model!G260,Model!H260,Model!I260,Model!N260,Model!S260,Model!X260,Model!AC260,Model!AH260,Model!AM260,Model!AR260,Model!AW260,Model!BB260,Model!BG260,Model!BL260,Model!BQ260,Model!BV260,Model!CA260),"")</f>
        <v>0.111935423508975</v>
      </c>
      <c r="K32" s="111" t="n">
        <f aca="false">IFERROR(MIN(Model!C260,Model!D260,Model!E260,Model!F260,Model!G260,Model!H260,Model!I260,Model!N260,Model!S260,Model!X260,Model!AC260,Model!AH260,Model!AM260,Model!AR260,Model!AW260,Model!BB260,Model!BG260,Model!BL260,Model!BQ260,Model!BV260,Model!CA260),"")</f>
        <v>0.0388261401891526</v>
      </c>
      <c r="L32" s="111" t="n">
        <f aca="false">IFERROR(MAX(Model!C260,Model!D260,Model!E260,Model!F260,Model!G260,Model!H260,Model!I260,Model!N260,Model!S260,Model!X260,Model!AC260,Model!AH260,Model!AM260,Model!AR260,Model!AW260,Model!BB260,Model!BG260,Model!BL260,Model!BQ260,Model!BV260,Model!CA260),"")</f>
        <v>0.174052204865987</v>
      </c>
      <c r="N32" s="104" t="s">
        <v>774</v>
      </c>
      <c r="O32" s="109" t="n">
        <v>0.166996441380336</v>
      </c>
      <c r="P32" s="110" t="n">
        <v>0.151527725231661</v>
      </c>
      <c r="Q32" s="110" t="n">
        <v>0.158798434378719</v>
      </c>
      <c r="R32" s="110" t="n">
        <v>0.163244817207339</v>
      </c>
      <c r="S32" s="110" t="n">
        <v>0.172506878864809</v>
      </c>
      <c r="T32" s="110" t="n">
        <v>0.176236646969042</v>
      </c>
      <c r="V32" s="111" t="n">
        <v>0.111935423508975</v>
      </c>
      <c r="W32" s="111" t="n">
        <v>0.0388261401891526</v>
      </c>
      <c r="X32" s="111" t="n">
        <v>0.174052204865987</v>
      </c>
      <c r="Z32" s="104" t="s">
        <v>774</v>
      </c>
      <c r="AA32" s="109" t="n">
        <v>0.166996441380336</v>
      </c>
      <c r="AB32" s="110" t="n">
        <v>0.150692050863074</v>
      </c>
      <c r="AC32" s="110" t="n">
        <v>0.138393544578175</v>
      </c>
      <c r="AD32" s="110" t="n">
        <v>0.152942030507442</v>
      </c>
      <c r="AE32" s="110" t="n">
        <v>0.165357104895493</v>
      </c>
      <c r="AF32" s="110" t="n">
        <v>0.172786225042705</v>
      </c>
      <c r="AH32" s="111" t="n">
        <v>0.111935423508975</v>
      </c>
      <c r="AI32" s="111" t="n">
        <v>0.0388261401891526</v>
      </c>
      <c r="AJ32" s="111" t="n">
        <v>0.174052204865987</v>
      </c>
    </row>
    <row r="33" customFormat="false" ht="15" hidden="false" customHeight="true" outlineLevel="0" collapsed="false">
      <c r="B33" s="104" t="s">
        <v>775</v>
      </c>
      <c r="C33" s="120" t="n">
        <f aca="false">IFERROR(C31/C21,"")</f>
        <v>4.63118880740134</v>
      </c>
      <c r="D33" s="121" t="n">
        <f aca="false">IFERROR(D31/D21,"")</f>
        <v>4.91847248057398</v>
      </c>
      <c r="E33" s="121" t="n">
        <f aca="false">IFERROR(E31/E21,"")</f>
        <v>5.81628369918362</v>
      </c>
      <c r="F33" s="121" t="n">
        <f aca="false">IFERROR(F31/F21,"")</f>
        <v>6.82465610327478</v>
      </c>
      <c r="G33" s="121" t="n">
        <f aca="false">IFERROR(G31/G21,"")</f>
        <v>7.96824132544306</v>
      </c>
      <c r="H33" s="121" t="n">
        <f aca="false">IFERROR(H31/H21,"")</f>
        <v>9.02228452734987</v>
      </c>
      <c r="N33" s="104" t="s">
        <v>775</v>
      </c>
      <c r="O33" s="120" t="n">
        <v>4.63118880740134</v>
      </c>
      <c r="P33" s="121" t="n">
        <v>4.95191823814962</v>
      </c>
      <c r="Q33" s="121" t="n">
        <v>6.37433349865938</v>
      </c>
      <c r="R33" s="121" t="n">
        <v>7.4940698545809</v>
      </c>
      <c r="S33" s="121" t="n">
        <v>8.93345097450322</v>
      </c>
      <c r="T33" s="121" t="n">
        <v>10.261291929488</v>
      </c>
      <c r="Z33" s="104" t="s">
        <v>775</v>
      </c>
      <c r="AA33" s="120" t="n">
        <v>4.63118880740134</v>
      </c>
      <c r="AB33" s="121" t="n">
        <v>4.86504678150524</v>
      </c>
      <c r="AC33" s="121" t="n">
        <v>5.09461622574445</v>
      </c>
      <c r="AD33" s="121" t="n">
        <v>5.91020620084143</v>
      </c>
      <c r="AE33" s="121" t="n">
        <v>6.76571215439495</v>
      </c>
      <c r="AF33" s="121" t="n">
        <v>7.47217108962535</v>
      </c>
    </row>
    <row r="34" customFormat="false" ht="15" hidden="false" customHeight="true" outlineLevel="0" collapsed="false">
      <c r="B34" s="104" t="s">
        <v>776</v>
      </c>
      <c r="E34" s="122"/>
      <c r="F34" s="122" t="n">
        <f aca="false">IFERROR(F33/F$27,"")</f>
        <v>0.0275185420680902</v>
      </c>
      <c r="G34" s="122" t="n">
        <f aca="false">IFERROR(G33/G$27,"")</f>
        <v>0.0278978835040044</v>
      </c>
      <c r="H34" s="122" t="n">
        <f aca="false">IFERROR(H33/H$27,"")</f>
        <v>0.0281870264592941</v>
      </c>
      <c r="N34" s="104" t="s">
        <v>776</v>
      </c>
      <c r="Q34" s="122"/>
      <c r="R34" s="122" t="n">
        <v>0.0271310707941984</v>
      </c>
      <c r="S34" s="122" t="n">
        <v>0.0275169523504782</v>
      </c>
      <c r="T34" s="122" t="n">
        <v>0.0277954770894339</v>
      </c>
      <c r="Z34" s="104" t="s">
        <v>776</v>
      </c>
      <c r="AC34" s="122"/>
      <c r="AD34" s="122" t="n">
        <v>0.0281023918114441</v>
      </c>
      <c r="AE34" s="122" t="n">
        <v>0.0284841411893779</v>
      </c>
      <c r="AF34" s="122" t="n">
        <v>0.0287882068353576</v>
      </c>
    </row>
    <row r="35" customFormat="false" ht="15" hidden="false" customHeight="true" outlineLevel="0" collapsed="false">
      <c r="B35" s="100" t="s">
        <v>777</v>
      </c>
      <c r="C35" s="101" t="n">
        <f aca="false">Model!CA194</f>
        <v>3134.494</v>
      </c>
      <c r="D35" s="102" t="n">
        <f aca="false">Model!CF194</f>
        <v>3717.37879128326</v>
      </c>
      <c r="E35" s="102" t="n">
        <f aca="false">Model!CG194</f>
        <v>4235.79650206546</v>
      </c>
      <c r="F35" s="102" t="n">
        <f aca="false">Model!CH194</f>
        <v>4747.38339260145</v>
      </c>
      <c r="G35" s="102" t="n">
        <f aca="false">Model!CI194</f>
        <v>5290.62164635088</v>
      </c>
      <c r="H35" s="102" t="n">
        <f aca="false">Model!CJ194</f>
        <v>5787.37537151313</v>
      </c>
      <c r="I35" s="103" t="n">
        <f aca="false">IFERROR((H35/C35)^(1/5)-1,"n/m")</f>
        <v>0.130479891720314</v>
      </c>
      <c r="N35" s="100" t="s">
        <v>778</v>
      </c>
      <c r="O35" s="101" t="n">
        <v>3134.494</v>
      </c>
      <c r="P35" s="102" t="n">
        <v>3762.79755695022</v>
      </c>
      <c r="Q35" s="102" t="n">
        <v>4551.22503676477</v>
      </c>
      <c r="R35" s="102" t="n">
        <v>5185.96329256629</v>
      </c>
      <c r="S35" s="102" t="n">
        <v>5871.04066887106</v>
      </c>
      <c r="T35" s="102" t="n">
        <v>6490.21095066146</v>
      </c>
      <c r="U35" s="103" t="n">
        <v>0.15669344384217</v>
      </c>
      <c r="Z35" s="100" t="s">
        <v>778</v>
      </c>
      <c r="AA35" s="101" t="n">
        <v>3134.494</v>
      </c>
      <c r="AB35" s="102" t="n">
        <v>3653.40223430015</v>
      </c>
      <c r="AC35" s="102" t="n">
        <v>3792.55245291051</v>
      </c>
      <c r="AD35" s="102" t="n">
        <v>4161.17230226108</v>
      </c>
      <c r="AE35" s="102" t="n">
        <v>4544.27240809099</v>
      </c>
      <c r="AF35" s="102" t="n">
        <v>4865.77249810538</v>
      </c>
      <c r="AG35" s="103" t="n">
        <v>0.0919352126307955</v>
      </c>
    </row>
    <row r="36" customFormat="false" ht="15" hidden="false" customHeight="true" outlineLevel="0" collapsed="false">
      <c r="B36" s="104" t="s">
        <v>779</v>
      </c>
      <c r="C36" s="109" t="n">
        <f aca="false">IFERROR(C35/C9,"")</f>
        <v>0.278256591506913</v>
      </c>
      <c r="D36" s="110" t="n">
        <f aca="false">IFERROR(D35/D9,"")</f>
        <v>0.279940270080207</v>
      </c>
      <c r="E36" s="110" t="n">
        <f aca="false">IFERROR(E35/E9,"")</f>
        <v>0.266554963040673</v>
      </c>
      <c r="F36" s="110" t="n">
        <f aca="false">IFERROR(F35/F9,"")</f>
        <v>0.277395348017208</v>
      </c>
      <c r="G36" s="110" t="n">
        <f aca="false">IFERROR(G35/G9,"")</f>
        <v>0.287052377406019</v>
      </c>
      <c r="H36" s="110" t="n">
        <f aca="false">IFERROR(H35/H9,"")</f>
        <v>0.29278205748692</v>
      </c>
      <c r="J36" s="111" t="n">
        <f aca="false">IFERROR(AVERAGE(Model!C221,Model!D221,Model!E221,Model!F221,Model!G221,Model!H221,Model!I221,Model!N221,Model!S221,Model!X221,Model!AC221,Model!AH221,Model!AM221,Model!AR221,Model!AW221,Model!BB221,Model!BG221,Model!BL221,Model!BQ221,Model!BV221,Model!CA221),"")</f>
        <v>0.21130165258322</v>
      </c>
      <c r="K36" s="111" t="n">
        <f aca="false">IFERROR(MIN(Model!C221,Model!D221,Model!E221,Model!F221,Model!G221,Model!H221,Model!I221,Model!N221,Model!S221,Model!X221,Model!AC221,Model!AH221,Model!AM221,Model!AR221,Model!AW221,Model!BB221,Model!BG221,Model!BL221,Model!BQ221,Model!BV221,Model!CA221),"")</f>
        <v>0.166337565977602</v>
      </c>
      <c r="L36" s="111" t="n">
        <f aca="false">IFERROR(MAX(Model!C221,Model!D221,Model!E221,Model!F221,Model!G221,Model!H221,Model!I221,Model!N221,Model!S221,Model!X221,Model!AC221,Model!AH221,Model!AM221,Model!AR221,Model!AW221,Model!BB221,Model!BG221,Model!BL221,Model!BQ221,Model!BV221,Model!CA221),"")</f>
        <v>0.278256591506913</v>
      </c>
      <c r="N36" s="104" t="s">
        <v>779</v>
      </c>
      <c r="O36" s="109" t="n">
        <v>0.278256591506913</v>
      </c>
      <c r="P36" s="110" t="n">
        <v>0.281757112958462</v>
      </c>
      <c r="Q36" s="110" t="n">
        <v>0.279250348742029</v>
      </c>
      <c r="R36" s="110" t="n">
        <v>0.289183070762597</v>
      </c>
      <c r="S36" s="110" t="n">
        <v>0.297740890191215</v>
      </c>
      <c r="T36" s="110" t="n">
        <v>0.300749256496976</v>
      </c>
      <c r="V36" s="111" t="n">
        <v>0.21130165258322</v>
      </c>
      <c r="W36" s="111" t="n">
        <v>0.166337565977602</v>
      </c>
      <c r="X36" s="111" t="n">
        <v>0.278256591506913</v>
      </c>
      <c r="Z36" s="104" t="s">
        <v>779</v>
      </c>
      <c r="AA36" s="109" t="n">
        <v>0.278256591506913</v>
      </c>
      <c r="AB36" s="110" t="n">
        <v>0.27691482689778</v>
      </c>
      <c r="AC36" s="110" t="n">
        <v>0.246892732117001</v>
      </c>
      <c r="AD36" s="110" t="n">
        <v>0.258816810473839</v>
      </c>
      <c r="AE36" s="110" t="n">
        <v>0.269909294058489</v>
      </c>
      <c r="AF36" s="110" t="n">
        <v>0.276992005322838</v>
      </c>
      <c r="AH36" s="111" t="n">
        <v>0.21130165258322</v>
      </c>
      <c r="AI36" s="111" t="n">
        <v>0.166337565977602</v>
      </c>
      <c r="AJ36" s="111" t="n">
        <v>0.278256591506913</v>
      </c>
    </row>
    <row r="38" customFormat="false" ht="15" hidden="false" customHeight="true" outlineLevel="0" collapsed="false">
      <c r="B38" s="100" t="s">
        <v>780</v>
      </c>
      <c r="C38" s="101" t="n">
        <f aca="false">Model!CA389</f>
        <v>2139.055</v>
      </c>
      <c r="D38" s="102" t="n">
        <f aca="false">Model!CF389</f>
        <v>4265.65055526871</v>
      </c>
      <c r="E38" s="102" t="n">
        <f aca="false">Model!CG389</f>
        <v>5294.74562758183</v>
      </c>
      <c r="F38" s="102" t="n">
        <f aca="false">Model!CH389</f>
        <v>5934.22924075182</v>
      </c>
      <c r="G38" s="102" t="n">
        <f aca="false">Model!CI389</f>
        <v>6613.2770579386</v>
      </c>
      <c r="H38" s="102" t="n">
        <f aca="false">Model!CJ389</f>
        <v>7234.21921439141</v>
      </c>
      <c r="N38" s="100" t="s">
        <v>780</v>
      </c>
      <c r="O38" s="101" t="n">
        <v>2139.055</v>
      </c>
      <c r="P38" s="102" t="n">
        <v>4251.98284888529</v>
      </c>
      <c r="Q38" s="102" t="n">
        <v>7964.64381433835</v>
      </c>
      <c r="R38" s="102" t="n">
        <v>9075.43576199101</v>
      </c>
      <c r="S38" s="102" t="n">
        <v>10274.3211705243</v>
      </c>
      <c r="T38" s="102" t="n">
        <v>11357.8691636576</v>
      </c>
      <c r="Z38" s="100" t="s">
        <v>780</v>
      </c>
      <c r="AA38" s="101" t="n">
        <v>2139.055</v>
      </c>
      <c r="AB38" s="102" t="n">
        <v>4287.4831230181</v>
      </c>
      <c r="AC38" s="102" t="n">
        <v>3222.98078247897</v>
      </c>
      <c r="AD38" s="102" t="n">
        <v>3120.87922669581</v>
      </c>
      <c r="AE38" s="102" t="n">
        <v>3408.20430606824</v>
      </c>
      <c r="AF38" s="102" t="n">
        <v>3649.32937357904</v>
      </c>
    </row>
    <row r="39" customFormat="false" ht="15" hidden="false" customHeight="true" outlineLevel="0" collapsed="false">
      <c r="B39" s="104" t="s">
        <v>781</v>
      </c>
      <c r="C39" s="123" t="n">
        <f aca="false">IFERROR(C38/C35,"")</f>
        <v>0.682424340260342</v>
      </c>
      <c r="D39" s="124" t="n">
        <f aca="false">IFERROR(D38/D35,"")</f>
        <v>1.14748880723995</v>
      </c>
      <c r="E39" s="124" t="n">
        <f aca="false">IFERROR(E38/E35,"")</f>
        <v>1.25</v>
      </c>
      <c r="F39" s="124" t="n">
        <f aca="false">IFERROR(F38/F35,"")</f>
        <v>1.25</v>
      </c>
      <c r="G39" s="124" t="n">
        <f aca="false">IFERROR(G38/G35,"")</f>
        <v>1.25</v>
      </c>
      <c r="H39" s="124" t="n">
        <f aca="false">IFERROR(H38/H35,"")</f>
        <v>1.25</v>
      </c>
      <c r="N39" s="104" t="s">
        <v>781</v>
      </c>
      <c r="O39" s="123" t="n">
        <v>0.682424340260342</v>
      </c>
      <c r="P39" s="124" t="n">
        <v>1.13000574294291</v>
      </c>
      <c r="Q39" s="124" t="n">
        <v>1.75</v>
      </c>
      <c r="R39" s="124" t="n">
        <v>1.75</v>
      </c>
      <c r="S39" s="124" t="n">
        <v>1.75</v>
      </c>
      <c r="T39" s="124" t="n">
        <v>1.75</v>
      </c>
      <c r="Z39" s="104" t="s">
        <v>781</v>
      </c>
      <c r="AA39" s="123" t="n">
        <v>0.682424340260342</v>
      </c>
      <c r="AB39" s="124" t="n">
        <v>1.17355901377758</v>
      </c>
      <c r="AC39" s="124" t="n">
        <v>0.849818380232437</v>
      </c>
      <c r="AD39" s="124" t="n">
        <v>0.75</v>
      </c>
      <c r="AE39" s="124" t="n">
        <v>0.75</v>
      </c>
      <c r="AF39" s="124" t="n">
        <v>0.75</v>
      </c>
    </row>
    <row r="40" customFormat="false" ht="15" hidden="false" customHeight="true" outlineLevel="0" collapsed="false">
      <c r="B40" s="125" t="s">
        <v>782</v>
      </c>
      <c r="C40" s="123"/>
      <c r="D40" s="126" t="n">
        <f aca="false">Model!CF269</f>
        <v>544.71</v>
      </c>
      <c r="E40" s="126" t="n">
        <f aca="false">Model!CG269</f>
        <v>2165.42652297815</v>
      </c>
      <c r="F40" s="126" t="n">
        <f aca="false">Model!CH269</f>
        <v>1993.78793593024</v>
      </c>
      <c r="G40" s="126" t="n">
        <f aca="false">Model!CI269</f>
        <v>2279.74270250005</v>
      </c>
      <c r="H40" s="126" t="n">
        <f aca="false">Model!CJ269</f>
        <v>2406.05101989329</v>
      </c>
      <c r="N40" s="125" t="s">
        <v>782</v>
      </c>
      <c r="O40" s="123"/>
      <c r="P40" s="126" t="n">
        <v>544.71</v>
      </c>
      <c r="Q40" s="126" t="n">
        <v>4839.37996651196</v>
      </c>
      <c r="R40" s="126" t="n">
        <v>2467.17502148937</v>
      </c>
      <c r="S40" s="126" t="n">
        <v>2884.40194800544</v>
      </c>
      <c r="T40" s="126" t="n">
        <v>3020.48868216939</v>
      </c>
      <c r="Z40" s="104"/>
      <c r="AA40" s="123"/>
      <c r="AB40" s="124" t="n">
        <v>544.71</v>
      </c>
      <c r="AC40" s="124" t="n">
        <v>0</v>
      </c>
      <c r="AD40" s="124" t="n">
        <v>1126.97452248913</v>
      </c>
      <c r="AE40" s="124" t="n">
        <v>1672.55005503664</v>
      </c>
      <c r="AF40" s="124" t="n">
        <v>1701.65533254202</v>
      </c>
    </row>
    <row r="41" customFormat="false" ht="15" hidden="false" customHeight="true" outlineLevel="0" collapsed="false">
      <c r="B41" s="125" t="s">
        <v>783</v>
      </c>
      <c r="C41" s="123"/>
      <c r="D41" s="127" t="n">
        <f aca="false">Model!CF268</f>
        <v>198.95</v>
      </c>
      <c r="E41" s="127" t="n">
        <f aca="false">Model!CG268</f>
        <v>214.866</v>
      </c>
      <c r="F41" s="127" t="n">
        <f aca="false">Model!CH268</f>
        <v>232.05528</v>
      </c>
      <c r="G41" s="127" t="n">
        <f aca="false">Model!CI268</f>
        <v>250.6197024</v>
      </c>
      <c r="H41" s="127" t="n">
        <f aca="false">Model!CJ268</f>
        <v>270.669278592</v>
      </c>
      <c r="N41" s="125" t="s">
        <v>783</v>
      </c>
      <c r="O41" s="123"/>
      <c r="P41" s="127" t="n">
        <v>198.95</v>
      </c>
      <c r="Q41" s="127" t="n">
        <v>214.866</v>
      </c>
      <c r="R41" s="127" t="n">
        <v>232.05528</v>
      </c>
      <c r="S41" s="127" t="n">
        <v>250.6197024</v>
      </c>
      <c r="T41" s="127" t="n">
        <v>270.669278592</v>
      </c>
      <c r="Z41" s="104"/>
      <c r="AA41" s="123"/>
      <c r="AB41" s="124" t="n">
        <v>198.95</v>
      </c>
      <c r="AC41" s="124" t="n">
        <v>214.866</v>
      </c>
      <c r="AD41" s="124" t="n">
        <v>232.05528</v>
      </c>
      <c r="AE41" s="124" t="n">
        <v>250.6197024</v>
      </c>
      <c r="AF41" s="124" t="n">
        <v>270.669278592</v>
      </c>
    </row>
    <row r="42" customFormat="false" ht="15" hidden="false" customHeight="true" outlineLevel="0" collapsed="false">
      <c r="B42" s="125" t="s">
        <v>784</v>
      </c>
      <c r="C42" s="123"/>
      <c r="D42" s="128" t="n">
        <f aca="false">Model!CF270</f>
        <v>2.73792410153305</v>
      </c>
      <c r="E42" s="128" t="n">
        <f aca="false">Model!CG270</f>
        <v>10.078032461991</v>
      </c>
      <c r="F42" s="128" t="n">
        <f aca="false">Model!CH270</f>
        <v>8.59186628259543</v>
      </c>
      <c r="G42" s="128" t="n">
        <f aca="false">Model!CI270</f>
        <v>9.09642251055539</v>
      </c>
      <c r="H42" s="128" t="n">
        <f aca="false">Model!CJ270</f>
        <v>8.88926527757187</v>
      </c>
      <c r="N42" s="125" t="s">
        <v>784</v>
      </c>
      <c r="O42" s="123"/>
      <c r="P42" s="128" t="n">
        <v>2.73792410153305</v>
      </c>
      <c r="Q42" s="128" t="n">
        <v>22.522781484795</v>
      </c>
      <c r="R42" s="128" t="n">
        <v>10.6318417813608</v>
      </c>
      <c r="S42" s="128" t="n">
        <v>11.5090789765675</v>
      </c>
      <c r="T42" s="128" t="n">
        <v>11.1593332567395</v>
      </c>
      <c r="Z42" s="104"/>
      <c r="AA42" s="123"/>
      <c r="AB42" s="124" t="n">
        <v>2.73792410153305</v>
      </c>
      <c r="AC42" s="124" t="n">
        <v>0</v>
      </c>
      <c r="AD42" s="124" t="n">
        <v>4.8564916191053</v>
      </c>
      <c r="AE42" s="124" t="n">
        <v>6.67365749388362</v>
      </c>
      <c r="AF42" s="124" t="n">
        <v>6.2868432701114</v>
      </c>
    </row>
    <row r="44" customFormat="false" ht="15" hidden="false" customHeight="true" outlineLevel="0" collapsed="false">
      <c r="B44" s="100" t="s">
        <v>785</v>
      </c>
      <c r="C44" s="107" t="n">
        <f aca="false">Model!CA390</f>
        <v>0.287517004943938</v>
      </c>
      <c r="D44" s="108" t="n">
        <f aca="false">Model!CF390</f>
        <v>0.183087406190881</v>
      </c>
      <c r="E44" s="108" t="n">
        <f aca="false">Model!CG390</f>
        <v>0.204871796810685</v>
      </c>
      <c r="F44" s="108" t="n">
        <f aca="false">Model!CH390</f>
        <v>0.222629436699304</v>
      </c>
      <c r="G44" s="108" t="n">
        <f aca="false">Model!CI390</f>
        <v>0.239915681103707</v>
      </c>
      <c r="H44" s="108" t="n">
        <f aca="false">Model!CJ390</f>
        <v>0.251387040120879</v>
      </c>
      <c r="J44" s="111" t="n">
        <f aca="false">IFERROR(AVERAGE(Model!C390,Model!D390,Model!E390,Model!F390,Model!G390,Model!H390,Model!I390,Model!N390,Model!S390,Model!X390,Model!AC390,Model!AH390,Model!AM390,Model!AR390,Model!AW390,Model!BB390,Model!BG390,Model!BL390,Model!BQ390,Model!BV390,Model!CA390),"")</f>
        <v>0.163126025493891</v>
      </c>
      <c r="K44" s="111" t="n">
        <f aca="false">IFERROR(MIN(Model!C390,Model!D390,Model!E390,Model!F390,Model!G390,Model!H390,Model!I390,Model!N390,Model!S390,Model!X390,Model!AC390,Model!AH390,Model!AM390,Model!AR390,Model!AW390,Model!BB390,Model!BG390,Model!BL390,Model!BQ390,Model!BV390,Model!CA390),"")</f>
        <v>0.0904131456321826</v>
      </c>
      <c r="L44" s="111" t="n">
        <f aca="false">IFERROR(MAX(Model!C390,Model!D390,Model!E390,Model!F390,Model!G390,Model!H390,Model!I390,Model!N390,Model!S390,Model!X390,Model!AC390,Model!AH390,Model!AM390,Model!AR390,Model!AW390,Model!BB390,Model!BG390,Model!BL390,Model!BQ390,Model!BV390,Model!CA390),"")</f>
        <v>0.287517004943938</v>
      </c>
      <c r="N44" s="100" t="s">
        <v>785</v>
      </c>
      <c r="O44" s="107" t="n">
        <v>0.287517004943938</v>
      </c>
      <c r="P44" s="108" t="n">
        <v>0.185284042407414</v>
      </c>
      <c r="Q44" s="108" t="n">
        <v>0.218133239129123</v>
      </c>
      <c r="R44" s="108" t="n">
        <v>0.236432345081402</v>
      </c>
      <c r="S44" s="108" t="n">
        <v>0.254250010216454</v>
      </c>
      <c r="T44" s="108" t="n">
        <v>0.264735575593138</v>
      </c>
      <c r="V44" s="111" t="n">
        <v>0.163126025493891</v>
      </c>
      <c r="W44" s="111" t="n">
        <v>0.0904131456321826</v>
      </c>
      <c r="X44" s="111" t="n">
        <v>0.287517004943938</v>
      </c>
      <c r="Z44" s="100" t="s">
        <v>785</v>
      </c>
      <c r="AA44" s="107" t="n">
        <v>0.287517004943938</v>
      </c>
      <c r="AB44" s="108" t="n">
        <v>0.179934195394028</v>
      </c>
      <c r="AC44" s="108" t="n">
        <v>0.183928334403726</v>
      </c>
      <c r="AD44" s="108" t="n">
        <v>0.200113110834882</v>
      </c>
      <c r="AE44" s="108" t="n">
        <v>0.215995475513145</v>
      </c>
      <c r="AF44" s="108" t="n">
        <v>0.22587688497202</v>
      </c>
      <c r="AH44" s="111" t="n">
        <v>0.163126025493891</v>
      </c>
      <c r="AI44" s="111" t="n">
        <v>0.0904131456321826</v>
      </c>
      <c r="AJ44" s="111" t="n">
        <v>0.287517004943938</v>
      </c>
    </row>
    <row r="45" customFormat="false" ht="15" hidden="false" customHeight="true" outlineLevel="0" collapsed="false">
      <c r="B45" s="100" t="s">
        <v>786</v>
      </c>
      <c r="C45" s="107" t="n">
        <f aca="false">Model!CA401</f>
        <v>0.417804602515516</v>
      </c>
      <c r="D45" s="108" t="n">
        <f aca="false">Model!CF401</f>
        <v>0.300472117510884</v>
      </c>
      <c r="E45" s="108" t="n">
        <f aca="false">Model!CG401</f>
        <v>0.367924260216994</v>
      </c>
      <c r="F45" s="108" t="n">
        <f aca="false">Model!CH401</f>
        <v>0.398447083169514</v>
      </c>
      <c r="G45" s="108" t="n">
        <f aca="false">Model!CI401</f>
        <v>0.429081170830811</v>
      </c>
      <c r="H45" s="108" t="n">
        <f aca="false">Model!CJ401</f>
        <v>0.450239695338984</v>
      </c>
      <c r="J45" s="111" t="n">
        <f aca="false">IFERROR(AVERAGE(Model!C401,Model!D401,Model!E401,Model!F401,Model!G401,Model!H401,Model!I401,Model!N401,Model!S401,Model!X401,Model!AC401,Model!AH401,Model!AM401,Model!AR401,Model!AW401,Model!BB401,Model!BG401,Model!BL401,Model!BQ401,Model!BV401,Model!CA401),"")</f>
        <v>0.24978395032864</v>
      </c>
      <c r="K45" s="111" t="n">
        <f aca="false">IFERROR(MIN(Model!C401,Model!D401,Model!E401,Model!F401,Model!G401,Model!H401,Model!I401,Model!N401,Model!S401,Model!X401,Model!AC401,Model!AH401,Model!AM401,Model!AR401,Model!AW401,Model!BB401,Model!BG401,Model!BL401,Model!BQ401,Model!BV401,Model!CA401),"")</f>
        <v>0.118927809348888</v>
      </c>
      <c r="L45" s="111" t="n">
        <f aca="false">IFERROR(MAX(Model!C401,Model!D401,Model!E401,Model!F401,Model!G401,Model!H401,Model!I401,Model!N401,Model!S401,Model!X401,Model!AC401,Model!AH401,Model!AM401,Model!AR401,Model!AW401,Model!BB401,Model!BG401,Model!BL401,Model!BQ401,Model!BV401,Model!CA401),"")</f>
        <v>0.422472039714011</v>
      </c>
      <c r="N45" s="100" t="s">
        <v>786</v>
      </c>
      <c r="O45" s="107" t="n">
        <v>0.417804602515516</v>
      </c>
      <c r="P45" s="108" t="n">
        <v>0.303261838628104</v>
      </c>
      <c r="Q45" s="108" t="n">
        <v>0.395935591877054</v>
      </c>
      <c r="R45" s="108" t="n">
        <v>0.431757281900551</v>
      </c>
      <c r="S45" s="108" t="n">
        <v>0.467376790017954</v>
      </c>
      <c r="T45" s="108" t="n">
        <v>0.489952580615625</v>
      </c>
      <c r="V45" s="111" t="n">
        <v>0.24978395032864</v>
      </c>
      <c r="W45" s="111" t="n">
        <v>0.118927809348888</v>
      </c>
      <c r="X45" s="111" t="n">
        <v>0.422472039714011</v>
      </c>
      <c r="Z45" s="100" t="s">
        <v>786</v>
      </c>
      <c r="AA45" s="107" t="n">
        <v>0.417804602515516</v>
      </c>
      <c r="AB45" s="108" t="n">
        <v>0.296482633405111</v>
      </c>
      <c r="AC45" s="108" t="n">
        <v>0.263590591407083</v>
      </c>
      <c r="AD45" s="108" t="n">
        <v>0.281880556277648</v>
      </c>
      <c r="AE45" s="108" t="n">
        <v>0.313084841263296</v>
      </c>
      <c r="AF45" s="108" t="n">
        <v>0.336171572474625</v>
      </c>
      <c r="AH45" s="111" t="n">
        <v>0.24978395032864</v>
      </c>
      <c r="AI45" s="111" t="n">
        <v>0.118927809348888</v>
      </c>
      <c r="AJ45" s="111" t="n">
        <v>0.422472039714011</v>
      </c>
    </row>
    <row r="47" customFormat="false" ht="15" hidden="false" customHeight="true" outlineLevel="0" collapsed="false">
      <c r="B47" s="104" t="s">
        <v>787</v>
      </c>
      <c r="E47" s="129"/>
      <c r="F47" s="129" t="n">
        <f aca="false">F27*F21</f>
        <v>100219.162235146</v>
      </c>
      <c r="G47" s="129" t="n">
        <f aca="false">G27*G21</f>
        <v>113238.146549225</v>
      </c>
      <c r="H47" s="129" t="n">
        <f aca="false">H27*H21</f>
        <v>124407.709723632</v>
      </c>
      <c r="N47" s="104" t="s">
        <v>787</v>
      </c>
      <c r="Q47" s="129"/>
      <c r="R47" s="129" t="n">
        <v>107901.887230221</v>
      </c>
      <c r="S47" s="129" t="n">
        <v>123618.278716461</v>
      </c>
      <c r="T47" s="129" t="n">
        <v>136828.428537309</v>
      </c>
      <c r="Z47" s="104" t="s">
        <v>787</v>
      </c>
      <c r="AC47" s="129"/>
      <c r="AD47" s="129" t="n">
        <v>87499.7445968841</v>
      </c>
      <c r="AE47" s="129" t="n">
        <v>97738.6302352841</v>
      </c>
      <c r="AF47" s="129" t="n">
        <v>105433.60764224</v>
      </c>
    </row>
    <row r="48" customFormat="false" ht="15" hidden="false" customHeight="true" outlineLevel="0" collapsed="false">
      <c r="B48" s="104" t="s">
        <v>788</v>
      </c>
      <c r="E48" s="129"/>
      <c r="F48" s="129" t="n">
        <f aca="false">F38</f>
        <v>5934.22924075182</v>
      </c>
      <c r="G48" s="129" t="n">
        <f aca="false">G38</f>
        <v>6613.2770579386</v>
      </c>
      <c r="H48" s="129" t="n">
        <f aca="false">H38</f>
        <v>7234.21921439141</v>
      </c>
      <c r="N48" s="104" t="s">
        <v>789</v>
      </c>
      <c r="Q48" s="129"/>
      <c r="R48" s="129" t="n">
        <v>9075.43576199101</v>
      </c>
      <c r="S48" s="129" t="n">
        <v>10274.3211705243</v>
      </c>
      <c r="T48" s="129" t="n">
        <v>11357.8691636576</v>
      </c>
      <c r="Z48" s="104" t="s">
        <v>789</v>
      </c>
      <c r="AC48" s="129"/>
      <c r="AD48" s="129" t="n">
        <v>3120.87922669581</v>
      </c>
      <c r="AE48" s="129" t="n">
        <v>3408.20430606824</v>
      </c>
      <c r="AF48" s="129" t="n">
        <v>3649.32937357904</v>
      </c>
    </row>
    <row r="49" customFormat="false" ht="15" hidden="false" customHeight="true" outlineLevel="0" collapsed="false">
      <c r="B49" s="104" t="s">
        <v>790</v>
      </c>
      <c r="E49" s="129"/>
      <c r="F49" s="129" t="n">
        <f aca="false">F47+F48</f>
        <v>106153.391475898</v>
      </c>
      <c r="G49" s="129" t="n">
        <f aca="false">G47+G48</f>
        <v>119851.423607163</v>
      </c>
      <c r="H49" s="129" t="n">
        <f aca="false">H47+H48</f>
        <v>131641.928938024</v>
      </c>
      <c r="N49" s="104" t="s">
        <v>790</v>
      </c>
      <c r="Q49" s="129"/>
      <c r="R49" s="129" t="n">
        <v>116977.322992212</v>
      </c>
      <c r="S49" s="129" t="n">
        <v>133892.599886986</v>
      </c>
      <c r="T49" s="129" t="n">
        <v>148186.297700967</v>
      </c>
      <c r="Z49" s="104" t="s">
        <v>790</v>
      </c>
      <c r="AC49" s="129"/>
      <c r="AD49" s="129" t="n">
        <v>90620.6238235799</v>
      </c>
      <c r="AE49" s="129" t="n">
        <v>101146.834541352</v>
      </c>
      <c r="AF49" s="129" t="n">
        <v>109082.937015819</v>
      </c>
    </row>
    <row r="50" customFormat="false" ht="15" hidden="false" customHeight="true" outlineLevel="0" collapsed="false">
      <c r="B50" s="104" t="s">
        <v>791</v>
      </c>
      <c r="E50" s="130"/>
      <c r="F50" s="130" t="n">
        <f aca="false">IFERROR(F49/F35,"")</f>
        <v>22.3603999713468</v>
      </c>
      <c r="G50" s="130" t="n">
        <f aca="false">IFERROR(G49/G35,"")</f>
        <v>22.6535616452235</v>
      </c>
      <c r="H50" s="130" t="n">
        <f aca="false">IFERROR(H49/H35,"")</f>
        <v>22.746395470734</v>
      </c>
      <c r="N50" s="104" t="s">
        <v>791</v>
      </c>
      <c r="Q50" s="130"/>
      <c r="R50" s="130" t="n">
        <v>22.5565273784121</v>
      </c>
      <c r="S50" s="130" t="n">
        <v>22.8055991158262</v>
      </c>
      <c r="T50" s="130" t="n">
        <v>22.8322775372754</v>
      </c>
      <c r="Z50" s="104" t="s">
        <v>791</v>
      </c>
      <c r="AC50" s="130"/>
      <c r="AD50" s="130" t="n">
        <v>21.7776667825888</v>
      </c>
      <c r="AE50" s="130" t="n">
        <v>22.2580922660495</v>
      </c>
      <c r="AF50" s="130" t="n">
        <v>22.4184211362724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0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D61" activeCellId="0" sqref="D61"/>
    </sheetView>
  </sheetViews>
  <sheetFormatPr defaultColWidth="8.5703125" defaultRowHeight="1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1" width="55.29"/>
    <col collapsed="false" customWidth="true" hidden="false" outlineLevel="0" max="14" min="3" style="1" width="12.57"/>
    <col collapsed="false" customWidth="true" hidden="false" outlineLevel="0" max="15" min="15" style="1" width="2.29"/>
    <col collapsed="false" customWidth="true" hidden="false" outlineLevel="0" max="17" min="16" style="1" width="14.86"/>
  </cols>
  <sheetData>
    <row r="1" customFormat="false" ht="15" hidden="false" customHeight="false" outlineLevel="0" collapsed="false">
      <c r="A1" s="131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</row>
    <row r="2" customFormat="false" ht="24" hidden="false" customHeight="true" outlineLevel="0" collapsed="false">
      <c r="A2" s="131"/>
      <c r="B2" s="132" t="s">
        <v>792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1"/>
      <c r="P2" s="131"/>
      <c r="Q2" s="131"/>
    </row>
    <row r="3" customFormat="false" ht="15" hidden="false" customHeight="true" outlineLevel="0" collapsed="false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</row>
    <row r="4" customFormat="false" ht="15.75" hidden="false" customHeight="true" outlineLevel="0" collapsed="false">
      <c r="A4" s="131"/>
      <c r="B4" s="19" t="s">
        <v>793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31"/>
      <c r="P4" s="131"/>
      <c r="Q4" s="131"/>
    </row>
    <row r="5" customFormat="false" ht="15.75" hidden="false" customHeight="true" outlineLevel="0" collapsed="false">
      <c r="A5" s="131"/>
      <c r="B5" s="134" t="s">
        <v>794</v>
      </c>
      <c r="C5" s="135" t="n">
        <v>0.045</v>
      </c>
      <c r="D5" s="136" t="s">
        <v>795</v>
      </c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customFormat="false" ht="15.75" hidden="false" customHeight="true" outlineLevel="0" collapsed="false">
      <c r="A6" s="131"/>
      <c r="B6" s="134" t="s">
        <v>796</v>
      </c>
      <c r="C6" s="135" t="n">
        <v>0.05</v>
      </c>
      <c r="D6" s="136" t="s">
        <v>797</v>
      </c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customFormat="false" ht="15.75" hidden="false" customHeight="true" outlineLevel="0" collapsed="false">
      <c r="A7" s="131"/>
      <c r="B7" s="134" t="s">
        <v>798</v>
      </c>
      <c r="C7" s="137" t="n">
        <v>0.95</v>
      </c>
      <c r="D7" s="136" t="s">
        <v>799</v>
      </c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</row>
    <row r="8" customFormat="false" ht="15.75" hidden="false" customHeight="true" outlineLevel="0" collapsed="false">
      <c r="A8" s="131"/>
      <c r="B8" s="134" t="s">
        <v>800</v>
      </c>
      <c r="C8" s="138" t="n">
        <f aca="false">C5+C7*C6</f>
        <v>0.0925</v>
      </c>
      <c r="D8" s="136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</row>
    <row r="9" customFormat="false" ht="15.75" hidden="false" customHeight="true" outlineLevel="0" collapsed="false">
      <c r="A9" s="131"/>
      <c r="B9" s="134" t="s">
        <v>801</v>
      </c>
      <c r="C9" s="135" t="n">
        <v>0.05</v>
      </c>
      <c r="D9" s="136" t="s">
        <v>802</v>
      </c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</row>
    <row r="10" customFormat="false" ht="15.75" hidden="false" customHeight="true" outlineLevel="0" collapsed="false">
      <c r="A10" s="131"/>
      <c r="B10" s="134" t="s">
        <v>803</v>
      </c>
      <c r="C10" s="135" t="n">
        <v>0.21</v>
      </c>
      <c r="D10" s="136" t="s">
        <v>804</v>
      </c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</row>
    <row r="11" customFormat="false" ht="15.75" hidden="false" customHeight="true" outlineLevel="0" collapsed="false">
      <c r="A11" s="131"/>
      <c r="B11" s="134" t="s">
        <v>805</v>
      </c>
      <c r="C11" s="138" t="n">
        <f aca="false">C9*(1-C10)</f>
        <v>0.0395</v>
      </c>
      <c r="D11" s="136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</row>
    <row r="12" customFormat="false" ht="15.75" hidden="false" customHeight="true" outlineLevel="0" collapsed="false">
      <c r="A12" s="131"/>
      <c r="B12" s="134" t="s">
        <v>806</v>
      </c>
      <c r="C12" s="135" t="n">
        <v>0.06</v>
      </c>
      <c r="D12" s="136" t="s">
        <v>807</v>
      </c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</row>
    <row r="13" customFormat="false" ht="15.75" hidden="false" customHeight="true" outlineLevel="0" collapsed="false">
      <c r="A13" s="131"/>
      <c r="B13" s="139" t="s">
        <v>808</v>
      </c>
      <c r="C13" s="140" t="n">
        <f aca="false">C8*(1-C12)+C11*C12</f>
        <v>0.08932</v>
      </c>
      <c r="D13" s="136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</row>
    <row r="14" customFormat="false" ht="15" hidden="false" customHeight="true" outlineLevel="0" collapsed="false">
      <c r="A14" s="131"/>
      <c r="B14" s="131"/>
      <c r="C14" s="131"/>
      <c r="D14" s="136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</row>
    <row r="15" customFormat="false" ht="15.75" hidden="false" customHeight="true" outlineLevel="0" collapsed="false">
      <c r="A15" s="131"/>
      <c r="B15" s="134" t="s">
        <v>809</v>
      </c>
      <c r="C15" s="141" t="n">
        <f aca="true">TODAY()</f>
        <v>46301</v>
      </c>
      <c r="D15" s="136" t="s">
        <v>810</v>
      </c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</row>
    <row r="16" customFormat="false" ht="15.75" hidden="false" customHeight="true" outlineLevel="0" collapsed="false">
      <c r="A16" s="131"/>
      <c r="B16" s="19" t="s">
        <v>811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31"/>
      <c r="P16" s="142"/>
      <c r="Q16" s="142"/>
    </row>
    <row r="17" customFormat="false" ht="15.75" hidden="false" customHeight="true" outlineLevel="0" collapsed="false">
      <c r="A17" s="131"/>
      <c r="B17" s="133"/>
      <c r="C17" s="133"/>
      <c r="D17" s="10" t="s">
        <v>89</v>
      </c>
      <c r="E17" s="10" t="s">
        <v>90</v>
      </c>
      <c r="F17" s="10" t="s">
        <v>91</v>
      </c>
      <c r="G17" s="10" t="s">
        <v>92</v>
      </c>
      <c r="H17" s="10" t="s">
        <v>93</v>
      </c>
      <c r="I17" s="10" t="s">
        <v>812</v>
      </c>
      <c r="J17" s="10" t="s">
        <v>813</v>
      </c>
      <c r="K17" s="10" t="s">
        <v>814</v>
      </c>
      <c r="L17" s="10" t="s">
        <v>815</v>
      </c>
      <c r="M17" s="10" t="s">
        <v>816</v>
      </c>
      <c r="N17" s="10" t="s">
        <v>817</v>
      </c>
      <c r="O17" s="131"/>
      <c r="P17" s="143" t="s">
        <v>818</v>
      </c>
      <c r="Q17" s="143" t="s">
        <v>819</v>
      </c>
    </row>
    <row r="18" customFormat="false" ht="15.75" hidden="false" customHeight="true" outlineLevel="0" collapsed="false">
      <c r="A18" s="131"/>
      <c r="B18" s="134" t="s">
        <v>820</v>
      </c>
      <c r="C18" s="131"/>
      <c r="D18" s="144" t="n">
        <f aca="false">Model!CF192-Model!CF141</f>
        <v>2760.61245351588</v>
      </c>
      <c r="E18" s="144" t="n">
        <f aca="false">Model!CG192-Model!CG141</f>
        <v>3275.41475592976</v>
      </c>
      <c r="F18" s="144" t="n">
        <f aca="false">Model!CH192-Model!CH141</f>
        <v>3781.32705741825</v>
      </c>
      <c r="G18" s="144" t="n">
        <f aca="false">Model!CI192-Model!CI141</f>
        <v>4347.40885849476</v>
      </c>
      <c r="H18" s="144" t="n">
        <f aca="false">Model!CJ192-Model!CJ141</f>
        <v>4815.15636015633</v>
      </c>
      <c r="I18" s="145" t="n">
        <f aca="false">H18*(1+I$26)</f>
        <v>5152.21730536727</v>
      </c>
      <c r="J18" s="145" t="n">
        <f aca="false">I18*(1+J$26)</f>
        <v>5487.11143021615</v>
      </c>
      <c r="K18" s="145" t="n">
        <f aca="false">J18*(1+K$26)</f>
        <v>5816.33811602912</v>
      </c>
      <c r="L18" s="145" t="n">
        <f aca="false">K18*(1+L$26)</f>
        <v>6136.23671241072</v>
      </c>
      <c r="M18" s="145" t="n">
        <f aca="false">L18*(1+M$26)</f>
        <v>6443.04854803125</v>
      </c>
      <c r="N18" s="131"/>
      <c r="O18" s="131"/>
      <c r="P18" s="146" t="n">
        <f aca="false">(H18/D18)^(1/(COLUMNS(D18:H18)-1))-1</f>
        <v>0.149214872819594</v>
      </c>
      <c r="Q18" s="146" t="n">
        <f aca="false">(M18/D18)^(1/(COLUMNS(D18:M18)-1))-1</f>
        <v>0.0987488666298304</v>
      </c>
    </row>
    <row r="19" customFormat="false" ht="15.75" hidden="false" customHeight="true" outlineLevel="0" collapsed="false">
      <c r="A19" s="131"/>
      <c r="B19" s="134" t="s">
        <v>821</v>
      </c>
      <c r="C19" s="131"/>
      <c r="D19" s="147" t="n">
        <f aca="false">1-$C$10</f>
        <v>0.79</v>
      </c>
      <c r="E19" s="147" t="n">
        <f aca="false">1-$C$10</f>
        <v>0.79</v>
      </c>
      <c r="F19" s="147" t="n">
        <f aca="false">1-$C$10</f>
        <v>0.79</v>
      </c>
      <c r="G19" s="147" t="n">
        <f aca="false">1-$C$10</f>
        <v>0.79</v>
      </c>
      <c r="H19" s="147" t="n">
        <f aca="false">1-$C$10</f>
        <v>0.79</v>
      </c>
      <c r="I19" s="147" t="n">
        <f aca="false">1-$C$10</f>
        <v>0.79</v>
      </c>
      <c r="J19" s="147" t="n">
        <f aca="false">1-$C$10</f>
        <v>0.79</v>
      </c>
      <c r="K19" s="147" t="n">
        <f aca="false">1-$C$10</f>
        <v>0.79</v>
      </c>
      <c r="L19" s="147" t="n">
        <f aca="false">1-$C$10</f>
        <v>0.79</v>
      </c>
      <c r="M19" s="147" t="n">
        <f aca="false">1-$C$10</f>
        <v>0.79</v>
      </c>
      <c r="N19" s="131"/>
      <c r="O19" s="131"/>
      <c r="P19" s="146"/>
      <c r="Q19" s="146"/>
    </row>
    <row r="20" customFormat="false" ht="15.75" hidden="false" customHeight="true" outlineLevel="0" collapsed="false">
      <c r="A20" s="131"/>
      <c r="B20" s="139" t="s">
        <v>822</v>
      </c>
      <c r="C20" s="131"/>
      <c r="D20" s="145" t="n">
        <f aca="false">D18*D19</f>
        <v>2180.88383827755</v>
      </c>
      <c r="E20" s="145" t="n">
        <f aca="false">E18*E19</f>
        <v>2587.57765718451</v>
      </c>
      <c r="F20" s="145" t="n">
        <f aca="false">F18*F19</f>
        <v>2987.24837536042</v>
      </c>
      <c r="G20" s="145" t="n">
        <f aca="false">G18*G19</f>
        <v>3434.45299821086</v>
      </c>
      <c r="H20" s="145" t="n">
        <f aca="false">H18*H19</f>
        <v>3803.9735245235</v>
      </c>
      <c r="I20" s="145" t="n">
        <f aca="false">I18*I19</f>
        <v>4070.25167124015</v>
      </c>
      <c r="J20" s="145" t="n">
        <f aca="false">J18*J19</f>
        <v>4334.81802987076</v>
      </c>
      <c r="K20" s="145" t="n">
        <f aca="false">K18*K19</f>
        <v>4594.907111663</v>
      </c>
      <c r="L20" s="145" t="n">
        <f aca="false">L18*L19</f>
        <v>4847.62700280447</v>
      </c>
      <c r="M20" s="145" t="n">
        <f aca="false">M18*M19</f>
        <v>5090.00835294469</v>
      </c>
      <c r="N20" s="131"/>
      <c r="O20" s="131"/>
      <c r="P20" s="146"/>
      <c r="Q20" s="146"/>
    </row>
    <row r="21" customFormat="false" ht="15.75" hidden="false" customHeight="true" outlineLevel="0" collapsed="false">
      <c r="A21" s="131"/>
      <c r="B21" s="134" t="s">
        <v>823</v>
      </c>
      <c r="C21" s="131"/>
      <c r="D21" s="144" t="n">
        <f aca="false">Model!CF157</f>
        <v>610.358878618228</v>
      </c>
      <c r="E21" s="144" t="n">
        <f aca="false">Model!CG157</f>
        <v>802.881746135705</v>
      </c>
      <c r="F21" s="144" t="n">
        <f aca="false">Model!CH157</f>
        <v>861.056335183205</v>
      </c>
      <c r="G21" s="144" t="n">
        <f aca="false">Model!CI157</f>
        <v>908.212787856121</v>
      </c>
      <c r="H21" s="144" t="n">
        <f aca="false">Model!CJ157</f>
        <v>972.219011356796</v>
      </c>
      <c r="I21" s="145" t="n">
        <f aca="false">H21*(1+I$26)</f>
        <v>1040.27434215177</v>
      </c>
      <c r="J21" s="145" t="n">
        <f aca="false">I21*(1+J$26)</f>
        <v>1107.89217439164</v>
      </c>
      <c r="K21" s="145" t="n">
        <f aca="false">J21*(1+K$26)</f>
        <v>1174.36570485514</v>
      </c>
      <c r="L21" s="145" t="n">
        <f aca="false">K21*(1+L$26)</f>
        <v>1238.95581862217</v>
      </c>
      <c r="M21" s="145" t="n">
        <f aca="false">L21*(1+M$26)</f>
        <v>1300.90360955328</v>
      </c>
      <c r="N21" s="131"/>
      <c r="O21" s="131"/>
      <c r="P21" s="146"/>
      <c r="Q21" s="146"/>
    </row>
    <row r="22" customFormat="false" ht="15.75" hidden="false" customHeight="true" outlineLevel="0" collapsed="false">
      <c r="A22" s="131"/>
      <c r="B22" s="134" t="s">
        <v>824</v>
      </c>
      <c r="C22" s="131"/>
      <c r="D22" s="144" t="n">
        <f aca="false">Model!CF237</f>
        <v>-491.32986561052</v>
      </c>
      <c r="E22" s="144" t="n">
        <f aca="false">Model!CG237+Model!CG238</f>
        <v>-919.744842474932</v>
      </c>
      <c r="F22" s="144" t="n">
        <f aca="false">Model!CH237+Model!CH238</f>
        <v>-1017.45154031917</v>
      </c>
      <c r="G22" s="144" t="n">
        <f aca="false">Model!CI237+Model!CI238</f>
        <v>-1118.80346740984</v>
      </c>
      <c r="H22" s="144" t="n">
        <f aca="false">Model!CJ237+Model!CJ238</f>
        <v>-1220.90666493146</v>
      </c>
      <c r="I22" s="145" t="n">
        <f aca="false">Model!CJ237*(1+I$26)</f>
        <v>-824.870131476659</v>
      </c>
      <c r="J22" s="145" t="n">
        <f aca="false">I22*(1+J$26)</f>
        <v>-878.486690022642</v>
      </c>
      <c r="K22" s="145" t="n">
        <f aca="false">J22*(1+K$26)</f>
        <v>-931.195891424</v>
      </c>
      <c r="L22" s="145" t="n">
        <f aca="false">K22*(1+L$26)</f>
        <v>-982.41166545232</v>
      </c>
      <c r="M22" s="145" t="n">
        <f aca="false">L22*(1+M$26)</f>
        <v>-1031.53224872494</v>
      </c>
      <c r="N22" s="131"/>
      <c r="O22" s="131"/>
      <c r="P22" s="146"/>
      <c r="Q22" s="146"/>
    </row>
    <row r="23" customFormat="false" ht="15.75" hidden="false" customHeight="true" outlineLevel="0" collapsed="false">
      <c r="A23" s="131"/>
      <c r="B23" s="134" t="s">
        <v>825</v>
      </c>
      <c r="C23" s="131"/>
      <c r="D23" s="144" t="n">
        <f aca="false">Model!CF235</f>
        <v>-307.196894853198</v>
      </c>
      <c r="E23" s="144" t="n">
        <f aca="false">Model!CG235</f>
        <v>-339.267554299746</v>
      </c>
      <c r="F23" s="144" t="n">
        <f aca="false">Model!CH235</f>
        <v>-368.438871707744</v>
      </c>
      <c r="G23" s="144" t="n">
        <f aca="false">Model!CI235</f>
        <v>-402.126890061801</v>
      </c>
      <c r="H23" s="144" t="n">
        <f aca="false">Model!CJ235</f>
        <v>-422.40592331152</v>
      </c>
      <c r="I23" s="145" t="n">
        <f aca="false">H23*(1+I$26)</f>
        <v>-451.974337943326</v>
      </c>
      <c r="J23" s="145" t="n">
        <f aca="false">I23*(1+J$26)</f>
        <v>-481.352669909642</v>
      </c>
      <c r="K23" s="145" t="n">
        <f aca="false">J23*(1+K$26)</f>
        <v>-510.233830104221</v>
      </c>
      <c r="L23" s="145" t="n">
        <f aca="false">K23*(1+L$26)</f>
        <v>-538.296690759953</v>
      </c>
      <c r="M23" s="145" t="n">
        <f aca="false">L23*(1+M$26)</f>
        <v>-565.211525297951</v>
      </c>
      <c r="N23" s="131"/>
      <c r="O23" s="131"/>
      <c r="P23" s="146"/>
      <c r="Q23" s="146"/>
    </row>
    <row r="24" customFormat="false" ht="15.75" hidden="false" customHeight="true" outlineLevel="0" collapsed="false">
      <c r="A24" s="131"/>
      <c r="B24" s="148" t="s">
        <v>826</v>
      </c>
      <c r="C24" s="149"/>
      <c r="D24" s="150" t="n">
        <f aca="false">D20+D21+D22+D23</f>
        <v>1992.71595643206</v>
      </c>
      <c r="E24" s="150" t="n">
        <f aca="false">E20+E21+E22+E23</f>
        <v>2131.44700654553</v>
      </c>
      <c r="F24" s="150" t="n">
        <f aca="false">F20+F21+F22+F23</f>
        <v>2462.41429851671</v>
      </c>
      <c r="G24" s="150" t="n">
        <f aca="false">G20+G21+G22+G23</f>
        <v>2821.73542859534</v>
      </c>
      <c r="H24" s="150" t="n">
        <f aca="false">H20+H21+H22+H23</f>
        <v>3132.87994763732</v>
      </c>
      <c r="I24" s="150" t="n">
        <f aca="false">I20+I21+I22+I23</f>
        <v>3833.68154397193</v>
      </c>
      <c r="J24" s="150" t="n">
        <f aca="false">J20+J21+J22+J23</f>
        <v>4082.87084433011</v>
      </c>
      <c r="K24" s="150" t="n">
        <f aca="false">K20+K21+K22+K23</f>
        <v>4327.84309498992</v>
      </c>
      <c r="L24" s="150" t="n">
        <f aca="false">L20+L21+L22+L23</f>
        <v>4565.87446521436</v>
      </c>
      <c r="M24" s="150" t="n">
        <f aca="false">M20+M21+M22+M23</f>
        <v>4794.16818847508</v>
      </c>
      <c r="N24" s="150" t="n">
        <f aca="false">M24*(1+$C$27)</f>
        <v>4985.93491601408</v>
      </c>
      <c r="O24" s="131"/>
      <c r="P24" s="151" t="n">
        <f aca="false">(H24/D24)^(1/(COLUMNS(D24:H24)-1))-1</f>
        <v>0.119759069364222</v>
      </c>
      <c r="Q24" s="151" t="n">
        <f aca="false">(M24/D24)^(1/(COLUMNS(D24:M24)-1))-1</f>
        <v>0.102460647944703</v>
      </c>
    </row>
    <row r="25" customFormat="false" ht="15.75" hidden="false" customHeight="true" outlineLevel="0" collapsed="false">
      <c r="A25" s="131"/>
      <c r="B25" s="139" t="s">
        <v>827</v>
      </c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52" t="n">
        <f aca="false">N24/($C$13-$C$27)</f>
        <v>101093.570884308</v>
      </c>
      <c r="O25" s="131"/>
      <c r="P25" s="131"/>
      <c r="Q25" s="131"/>
    </row>
    <row r="26" customFormat="false" ht="15.75" hidden="false" customHeight="true" outlineLevel="0" collapsed="false">
      <c r="A26" s="131"/>
      <c r="B26" s="134" t="s">
        <v>828</v>
      </c>
      <c r="C26" s="131"/>
      <c r="D26" s="131"/>
      <c r="E26" s="131"/>
      <c r="F26" s="131"/>
      <c r="G26" s="131"/>
      <c r="H26" s="131"/>
      <c r="I26" s="153" t="n">
        <v>0.07</v>
      </c>
      <c r="J26" s="154" t="n">
        <f aca="false">I26+($M$26-$I$26)/4</f>
        <v>0.065</v>
      </c>
      <c r="K26" s="154" t="n">
        <f aca="false">J26+($M$26-$I$26)/4</f>
        <v>0.06</v>
      </c>
      <c r="L26" s="154" t="n">
        <f aca="false">K26+($M$26-$I$26)/4</f>
        <v>0.055</v>
      </c>
      <c r="M26" s="153" t="n">
        <v>0.05</v>
      </c>
      <c r="N26" s="131"/>
      <c r="O26" s="131"/>
      <c r="P26" s="131"/>
      <c r="Q26" s="131"/>
    </row>
    <row r="27" customFormat="false" ht="15.75" hidden="false" customHeight="true" outlineLevel="0" collapsed="false">
      <c r="A27" s="131"/>
      <c r="B27" s="134" t="s">
        <v>829</v>
      </c>
      <c r="C27" s="155" t="n">
        <v>0.04</v>
      </c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</row>
    <row r="28" customFormat="false" ht="15" hidden="false" customHeight="true" outlineLevel="0" collapsed="false">
      <c r="A28" s="131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</row>
    <row r="29" customFormat="false" ht="15.75" hidden="false" customHeight="true" outlineLevel="0" collapsed="false">
      <c r="A29" s="131"/>
      <c r="B29" s="134" t="s">
        <v>830</v>
      </c>
      <c r="C29" s="131"/>
      <c r="D29" s="147" t="n">
        <f aca="false">(DATE(2027,5,31)-$C$15)/365.25</f>
        <v>0.648870636550308</v>
      </c>
      <c r="E29" s="147" t="n">
        <f aca="false">(DATE(2028,5,31)-$C$15)/365.25</f>
        <v>1.65092402464066</v>
      </c>
      <c r="F29" s="147" t="n">
        <f aca="false">(DATE(2029,5,31)-$C$15)/365.25</f>
        <v>2.65023956194387</v>
      </c>
      <c r="G29" s="147" t="n">
        <f aca="false">(DATE(2030,5,31)-$C$15)/365.25</f>
        <v>3.64955509924709</v>
      </c>
      <c r="H29" s="147" t="n">
        <f aca="false">(DATE(2031,5,31)-$C$15)/365.25</f>
        <v>4.64887063655031</v>
      </c>
      <c r="I29" s="147" t="n">
        <f aca="false">(DATE(2032,5,31)-$C$15)/365.25</f>
        <v>5.65092402464066</v>
      </c>
      <c r="J29" s="147" t="n">
        <f aca="false">(DATE(2033,5,31)-$C$15)/365.25</f>
        <v>6.65023956194387</v>
      </c>
      <c r="K29" s="147" t="n">
        <f aca="false">(DATE(2034,5,31)-$C$15)/365.25</f>
        <v>7.64955509924709</v>
      </c>
      <c r="L29" s="147" t="n">
        <f aca="false">(DATE(2035,5,31)-$C$15)/365.25</f>
        <v>8.64887063655031</v>
      </c>
      <c r="M29" s="147" t="n">
        <f aca="false">(DATE(2036,5,31)-$C$15)/365.25</f>
        <v>9.65092402464066</v>
      </c>
      <c r="N29" s="147" t="n">
        <f aca="false">M29</f>
        <v>9.65092402464066</v>
      </c>
      <c r="O29" s="131"/>
      <c r="P29" s="131"/>
      <c r="Q29" s="131"/>
    </row>
    <row r="30" customFormat="false" ht="15.75" hidden="false" customHeight="true" outlineLevel="0" collapsed="false">
      <c r="A30" s="131"/>
      <c r="B30" s="134" t="s">
        <v>831</v>
      </c>
      <c r="C30" s="131"/>
      <c r="D30" s="156" t="n">
        <f aca="false">1/(1+$C$13)^D29</f>
        <v>0.945999488842725</v>
      </c>
      <c r="E30" s="156" t="n">
        <f aca="false">1/(1+$C$13)^E29</f>
        <v>0.868278664789142</v>
      </c>
      <c r="F30" s="156" t="n">
        <f aca="false">1/(1+$C$13)^F29</f>
        <v>0.797129871097376</v>
      </c>
      <c r="G30" s="156" t="n">
        <f aca="false">1/(1+$C$13)^G29</f>
        <v>0.731811176714825</v>
      </c>
      <c r="H30" s="156" t="n">
        <f aca="false">1/(1+$C$13)^H29</f>
        <v>0.671844849607091</v>
      </c>
      <c r="I30" s="156" t="n">
        <f aca="false">1/(1+$C$13)^I29</f>
        <v>0.616647847955963</v>
      </c>
      <c r="J30" s="156" t="n">
        <f aca="false">1/(1+$C$13)^J29</f>
        <v>0.566118274566819</v>
      </c>
      <c r="K30" s="156" t="n">
        <f aca="false">1/(1+$C$13)^K29</f>
        <v>0.519729213133328</v>
      </c>
      <c r="L30" s="156" t="n">
        <f aca="false">1/(1+$C$13)^L29</f>
        <v>0.47714138037829</v>
      </c>
      <c r="M30" s="156" t="n">
        <f aca="false">1/(1+$C$13)^M29</f>
        <v>0.437940702459922</v>
      </c>
      <c r="N30" s="156" t="n">
        <f aca="false">1/(1+$C$13)^N29</f>
        <v>0.437940702459922</v>
      </c>
      <c r="O30" s="131"/>
      <c r="P30" s="131"/>
      <c r="Q30" s="131"/>
    </row>
    <row r="31" customFormat="false" ht="15.75" hidden="false" customHeight="true" outlineLevel="0" collapsed="false">
      <c r="A31" s="131"/>
      <c r="B31" s="157" t="s">
        <v>832</v>
      </c>
      <c r="C31" s="158"/>
      <c r="D31" s="159" t="n">
        <f aca="false">D24*D30</f>
        <v>1885.10827619347</v>
      </c>
      <c r="E31" s="159" t="n">
        <f aca="false">E24*E30</f>
        <v>1850.68996091217</v>
      </c>
      <c r="F31" s="159" t="n">
        <f aca="false">F24*F30</f>
        <v>1962.86399236496</v>
      </c>
      <c r="G31" s="159" t="n">
        <f aca="false">G24*G30</f>
        <v>2064.97752437826</v>
      </c>
      <c r="H31" s="159" t="n">
        <f aca="false">H24*H30</f>
        <v>2104.80925725747</v>
      </c>
      <c r="I31" s="159" t="n">
        <f aca="false">I24*I30</f>
        <v>2364.03147383879</v>
      </c>
      <c r="J31" s="159" t="n">
        <f aca="false">J24*J30</f>
        <v>2311.38779767133</v>
      </c>
      <c r="K31" s="159" t="n">
        <f aca="false">K24*K30</f>
        <v>2249.30648632362</v>
      </c>
      <c r="L31" s="159" t="n">
        <f aca="false">L24*L30</f>
        <v>2178.56764496637</v>
      </c>
      <c r="M31" s="159" t="n">
        <f aca="false">M24*M30</f>
        <v>2099.56138417179</v>
      </c>
      <c r="N31" s="159" t="n">
        <f aca="false">N25*N30</f>
        <v>44272.9894472559</v>
      </c>
      <c r="O31" s="131"/>
      <c r="P31" s="131"/>
      <c r="Q31" s="131"/>
    </row>
    <row r="32" customFormat="false" ht="15" hidden="false" customHeight="true" outlineLevel="0" collapsed="false">
      <c r="A32" s="131"/>
      <c r="B32" s="131"/>
      <c r="C32" s="131"/>
      <c r="D32" s="136" t="s">
        <v>833</v>
      </c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</row>
    <row r="33" customFormat="false" ht="15.75" hidden="false" customHeight="true" outlineLevel="0" collapsed="false">
      <c r="A33" s="131"/>
      <c r="B33" s="19" t="s">
        <v>834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31"/>
      <c r="P33" s="131"/>
      <c r="Q33" s="131"/>
    </row>
    <row r="34" customFormat="false" ht="15.75" hidden="false" customHeight="true" outlineLevel="0" collapsed="false">
      <c r="A34" s="131"/>
      <c r="B34" s="134" t="s">
        <v>835</v>
      </c>
      <c r="C34" s="131"/>
      <c r="D34" s="144" t="n">
        <f aca="false">Model!CA387+Model!CF335+Model!CF336</f>
        <v>12630.598</v>
      </c>
      <c r="E34" s="145" t="n">
        <f aca="false">D38</f>
        <v>12818.7658818455</v>
      </c>
      <c r="F34" s="145" t="n">
        <f aca="false">E38</f>
        <v>13274.8965324845</v>
      </c>
      <c r="G34" s="145" t="n">
        <f aca="false">F38</f>
        <v>13799.7306093282</v>
      </c>
      <c r="H34" s="145" t="n">
        <f aca="false">G38</f>
        <v>14412.4481789437</v>
      </c>
      <c r="I34" s="145" t="n">
        <f aca="false">H38</f>
        <v>15083.5417558299</v>
      </c>
      <c r="J34" s="145" t="n">
        <f aca="false">I38</f>
        <v>15320.1118830981</v>
      </c>
      <c r="K34" s="145" t="n">
        <f aca="false">J38</f>
        <v>15572.0590686387</v>
      </c>
      <c r="L34" s="145" t="n">
        <f aca="false">K38</f>
        <v>15839.1230853118</v>
      </c>
      <c r="M34" s="145" t="n">
        <f aca="false">L38</f>
        <v>16120.8756229019</v>
      </c>
      <c r="N34" s="145"/>
      <c r="O34" s="131"/>
      <c r="P34" s="131"/>
      <c r="Q34" s="131"/>
    </row>
    <row r="35" customFormat="false" ht="15.75" hidden="false" customHeight="true" outlineLevel="0" collapsed="false">
      <c r="A35" s="131"/>
      <c r="B35" s="134" t="s">
        <v>836</v>
      </c>
      <c r="C35" s="131"/>
      <c r="D35" s="145" t="n">
        <f aca="false">-D22</f>
        <v>491.32986561052</v>
      </c>
      <c r="E35" s="145" t="n">
        <f aca="false">-E22</f>
        <v>919.744842474932</v>
      </c>
      <c r="F35" s="145" t="n">
        <f aca="false">-F22</f>
        <v>1017.45154031917</v>
      </c>
      <c r="G35" s="145" t="n">
        <f aca="false">-G22</f>
        <v>1118.80346740984</v>
      </c>
      <c r="H35" s="145" t="n">
        <f aca="false">-H22</f>
        <v>1220.90666493146</v>
      </c>
      <c r="I35" s="145" t="n">
        <f aca="false">-I22</f>
        <v>824.870131476659</v>
      </c>
      <c r="J35" s="145" t="n">
        <f aca="false">-J22</f>
        <v>878.486690022642</v>
      </c>
      <c r="K35" s="145" t="n">
        <f aca="false">-K22</f>
        <v>931.195891424</v>
      </c>
      <c r="L35" s="145" t="n">
        <f aca="false">-L22</f>
        <v>982.41166545232</v>
      </c>
      <c r="M35" s="145" t="n">
        <f aca="false">-M22</f>
        <v>1031.53224872494</v>
      </c>
      <c r="N35" s="145"/>
      <c r="O35" s="131"/>
      <c r="P35" s="131"/>
      <c r="Q35" s="131"/>
    </row>
    <row r="36" customFormat="false" ht="15.75" hidden="false" customHeight="true" outlineLevel="0" collapsed="false">
      <c r="A36" s="131"/>
      <c r="B36" s="134" t="s">
        <v>837</v>
      </c>
      <c r="C36" s="131"/>
      <c r="D36" s="145" t="n">
        <f aca="false">-D21</f>
        <v>-610.358878618228</v>
      </c>
      <c r="E36" s="145" t="n">
        <f aca="false">-E21</f>
        <v>-802.881746135705</v>
      </c>
      <c r="F36" s="145" t="n">
        <f aca="false">-F21</f>
        <v>-861.056335183205</v>
      </c>
      <c r="G36" s="145" t="n">
        <f aca="false">-G21</f>
        <v>-908.212787856121</v>
      </c>
      <c r="H36" s="145" t="n">
        <f aca="false">-H21</f>
        <v>-972.219011356796</v>
      </c>
      <c r="I36" s="145" t="n">
        <f aca="false">-I21</f>
        <v>-1040.27434215177</v>
      </c>
      <c r="J36" s="145" t="n">
        <f aca="false">-J21</f>
        <v>-1107.89217439164</v>
      </c>
      <c r="K36" s="145" t="n">
        <f aca="false">-K21</f>
        <v>-1174.36570485514</v>
      </c>
      <c r="L36" s="145" t="n">
        <f aca="false">-L21</f>
        <v>-1238.95581862217</v>
      </c>
      <c r="M36" s="145" t="n">
        <f aca="false">-M21</f>
        <v>-1300.90360955328</v>
      </c>
      <c r="N36" s="145"/>
      <c r="O36" s="131"/>
      <c r="P36" s="131"/>
      <c r="Q36" s="131"/>
    </row>
    <row r="37" customFormat="false" ht="15.75" hidden="false" customHeight="true" outlineLevel="0" collapsed="false">
      <c r="A37" s="131"/>
      <c r="B37" s="134" t="s">
        <v>838</v>
      </c>
      <c r="C37" s="131"/>
      <c r="D37" s="145" t="n">
        <f aca="false">-D23</f>
        <v>307.196894853198</v>
      </c>
      <c r="E37" s="145" t="n">
        <f aca="false">-E23</f>
        <v>339.267554299746</v>
      </c>
      <c r="F37" s="145" t="n">
        <f aca="false">-F23</f>
        <v>368.438871707744</v>
      </c>
      <c r="G37" s="145" t="n">
        <f aca="false">-G23</f>
        <v>402.126890061801</v>
      </c>
      <c r="H37" s="145" t="n">
        <f aca="false">-H23</f>
        <v>422.40592331152</v>
      </c>
      <c r="I37" s="145" t="n">
        <f aca="false">-I23</f>
        <v>451.974337943326</v>
      </c>
      <c r="J37" s="145" t="n">
        <f aca="false">-J23</f>
        <v>481.352669909642</v>
      </c>
      <c r="K37" s="145" t="n">
        <f aca="false">-K23</f>
        <v>510.233830104221</v>
      </c>
      <c r="L37" s="145" t="n">
        <f aca="false">-L23</f>
        <v>538.296690759953</v>
      </c>
      <c r="M37" s="145" t="n">
        <f aca="false">-M23</f>
        <v>565.211525297951</v>
      </c>
      <c r="N37" s="145"/>
      <c r="O37" s="131"/>
      <c r="P37" s="131"/>
      <c r="Q37" s="131"/>
    </row>
    <row r="38" customFormat="false" ht="15.75" hidden="false" customHeight="true" outlineLevel="0" collapsed="false">
      <c r="A38" s="131"/>
      <c r="B38" s="160" t="s">
        <v>839</v>
      </c>
      <c r="C38" s="160"/>
      <c r="D38" s="161" t="n">
        <f aca="false">SUM(D34:D37)</f>
        <v>12818.7658818455</v>
      </c>
      <c r="E38" s="161" t="n">
        <f aca="false">SUM(E34:E37)</f>
        <v>13274.8965324845</v>
      </c>
      <c r="F38" s="161" t="n">
        <f aca="false">SUM(F34:F37)</f>
        <v>13799.7306093282</v>
      </c>
      <c r="G38" s="161" t="n">
        <f aca="false">SUM(G34:G37)</f>
        <v>14412.4481789437</v>
      </c>
      <c r="H38" s="161" t="n">
        <f aca="false">SUM(H34:H37)</f>
        <v>15083.5417558299</v>
      </c>
      <c r="I38" s="161" t="n">
        <f aca="false">SUM(I34:I37)</f>
        <v>15320.1118830981</v>
      </c>
      <c r="J38" s="161" t="n">
        <f aca="false">SUM(J34:J37)</f>
        <v>15572.0590686387</v>
      </c>
      <c r="K38" s="161" t="n">
        <f aca="false">SUM(K34:K37)</f>
        <v>15839.1230853118</v>
      </c>
      <c r="L38" s="161" t="n">
        <f aca="false">SUM(L34:L37)</f>
        <v>16120.8756229019</v>
      </c>
      <c r="M38" s="161" t="n">
        <f aca="false">SUM(M34:M37)</f>
        <v>16416.7157873715</v>
      </c>
      <c r="N38" s="162"/>
      <c r="O38" s="131"/>
      <c r="P38" s="131"/>
      <c r="Q38" s="131"/>
    </row>
    <row r="39" customFormat="false" ht="15.75" hidden="false" customHeight="true" outlineLevel="0" collapsed="false">
      <c r="A39" s="131"/>
      <c r="B39" s="134" t="s">
        <v>840</v>
      </c>
      <c r="C39" s="131"/>
      <c r="D39" s="145" t="n">
        <f aca="false">D20</f>
        <v>2180.88383827755</v>
      </c>
      <c r="E39" s="145" t="n">
        <f aca="false">E20</f>
        <v>2587.57765718451</v>
      </c>
      <c r="F39" s="145" t="n">
        <f aca="false">F20</f>
        <v>2987.24837536042</v>
      </c>
      <c r="G39" s="145" t="n">
        <f aca="false">G20</f>
        <v>3434.45299821086</v>
      </c>
      <c r="H39" s="145" t="n">
        <f aca="false">H20</f>
        <v>3803.9735245235</v>
      </c>
      <c r="I39" s="145" t="n">
        <f aca="false">I20</f>
        <v>4070.25167124015</v>
      </c>
      <c r="J39" s="145" t="n">
        <f aca="false">J20</f>
        <v>4334.81802987076</v>
      </c>
      <c r="K39" s="145" t="n">
        <f aca="false">K20</f>
        <v>4594.907111663</v>
      </c>
      <c r="L39" s="145" t="n">
        <f aca="false">L20</f>
        <v>4847.62700280447</v>
      </c>
      <c r="M39" s="145" t="n">
        <f aca="false">M20</f>
        <v>5090.00835294469</v>
      </c>
      <c r="N39" s="145"/>
      <c r="O39" s="131"/>
      <c r="P39" s="131"/>
      <c r="Q39" s="131"/>
    </row>
    <row r="40" customFormat="false" ht="15.75" hidden="false" customHeight="true" outlineLevel="0" collapsed="false">
      <c r="A40" s="131"/>
      <c r="B40" s="163" t="s">
        <v>841</v>
      </c>
      <c r="C40" s="163"/>
      <c r="D40" s="164" t="n">
        <f aca="false">IFERROR(D39/AVERAGE(D34,D38),"")</f>
        <v>0.171390047185682</v>
      </c>
      <c r="E40" s="164" t="n">
        <f aca="false">IFERROR(E39/AVERAGE(E34,E38),"")</f>
        <v>0.198329971170584</v>
      </c>
      <c r="F40" s="164" t="n">
        <f aca="false">IFERROR(F39/AVERAGE(F34,F38),"")</f>
        <v>0.220667738817874</v>
      </c>
      <c r="G40" s="164" t="n">
        <f aca="false">IFERROR(G39/AVERAGE(G34,G38),"")</f>
        <v>0.243473077636854</v>
      </c>
      <c r="H40" s="164" t="n">
        <f aca="false">IFERROR(H39/AVERAGE(H34,H38),"")</f>
        <v>0.257931571914384</v>
      </c>
      <c r="I40" s="164" t="n">
        <f aca="false">IFERROR(I39/AVERAGE(I34,I38),"")</f>
        <v>0.267747535844094</v>
      </c>
      <c r="J40" s="164" t="n">
        <f aca="false">IFERROR(J39/AVERAGE(J34,J38),"")</f>
        <v>0.280641851726322</v>
      </c>
      <c r="K40" s="164" t="n">
        <f aca="false">IFERROR(K39/AVERAGE(K34,K38),"")</f>
        <v>0.292565054644727</v>
      </c>
      <c r="L40" s="164" t="n">
        <f aca="false">IFERROR(L39/AVERAGE(L34,L38),"")</f>
        <v>0.303355894789734</v>
      </c>
      <c r="M40" s="164" t="n">
        <f aca="false">IFERROR(M39/AVERAGE(M34,M38),"")</f>
        <v>0.312869400120229</v>
      </c>
      <c r="N40" s="164"/>
      <c r="O40" s="131"/>
      <c r="P40" s="131"/>
      <c r="Q40" s="131"/>
    </row>
    <row r="41" customFormat="false" ht="15.75" hidden="false" customHeight="true" outlineLevel="0" collapsed="false">
      <c r="A41" s="131"/>
      <c r="B41" s="134" t="s">
        <v>842</v>
      </c>
      <c r="C41" s="131"/>
      <c r="D41" s="51" t="n">
        <f aca="false">IFERROR(SUM(D35:D37)/D39,"")</f>
        <v>0.0862805613682314</v>
      </c>
      <c r="E41" s="51" t="n">
        <f aca="false">IFERROR(SUM(E35:E37)/E39,"")</f>
        <v>0.176277086553329</v>
      </c>
      <c r="F41" s="51" t="n">
        <f aca="false">IFERROR(SUM(F35:F37)/F39,"")</f>
        <v>0.175691476200195</v>
      </c>
      <c r="G41" s="51" t="n">
        <f aca="false">IFERROR(SUM(G35:G37)/G39,"")</f>
        <v>0.178403247892666</v>
      </c>
      <c r="H41" s="51" t="n">
        <f aca="false">IFERROR(SUM(H35:H37)/H39,"")</f>
        <v>0.176419097703958</v>
      </c>
      <c r="I41" s="51" t="n">
        <f aca="false">IFERROR(SUM(I35:I37)/I39,"")</f>
        <v>0.0581217443972289</v>
      </c>
      <c r="J41" s="51" t="n">
        <f aca="false">IFERROR(SUM(J35:J37)/J39,"")</f>
        <v>0.0581217443972289</v>
      </c>
      <c r="K41" s="51" t="n">
        <f aca="false">IFERROR(SUM(K35:K37)/K39,"")</f>
        <v>0.0581217443972289</v>
      </c>
      <c r="L41" s="51" t="n">
        <f aca="false">IFERROR(SUM(L35:L37)/L39,"")</f>
        <v>0.0581217443972289</v>
      </c>
      <c r="M41" s="51" t="n">
        <f aca="false">IFERROR(SUM(M35:M37)/M39,"")</f>
        <v>0.0581217443972289</v>
      </c>
      <c r="N41" s="51"/>
      <c r="O41" s="131"/>
      <c r="P41" s="131"/>
      <c r="Q41" s="131"/>
    </row>
    <row r="42" customFormat="false" ht="15.75" hidden="false" customHeight="true" outlineLevel="0" collapsed="false">
      <c r="A42" s="131"/>
      <c r="B42" s="134" t="s">
        <v>843</v>
      </c>
      <c r="C42" s="13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 t="n">
        <f aca="false">IFERROR($C$27/M41,"")</f>
        <v>0.688210589940709</v>
      </c>
      <c r="O42" s="131"/>
      <c r="P42" s="131"/>
      <c r="Q42" s="131"/>
    </row>
    <row r="43" customFormat="false" ht="15" hidden="false" customHeight="true" outlineLevel="0" collapsed="false">
      <c r="A43" s="131"/>
      <c r="B43" s="131"/>
      <c r="C43" s="131"/>
      <c r="D43" s="136" t="s">
        <v>844</v>
      </c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</row>
    <row r="44" customFormat="false" ht="15.75" hidden="false" customHeight="true" outlineLevel="0" collapsed="false">
      <c r="A44" s="131"/>
      <c r="B44" s="19" t="s">
        <v>845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31"/>
      <c r="P44" s="131"/>
      <c r="Q44" s="131"/>
    </row>
    <row r="45" customFormat="false" ht="15.75" hidden="false" customHeight="true" outlineLevel="0" collapsed="false">
      <c r="A45" s="131"/>
      <c r="B45" s="134" t="s">
        <v>846</v>
      </c>
      <c r="C45" s="145" t="n">
        <f aca="false">SUM(D31:M31)</f>
        <v>21071.3037980782</v>
      </c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</row>
    <row r="46" customFormat="false" ht="15.75" hidden="false" customHeight="true" outlineLevel="0" collapsed="false">
      <c r="A46" s="131"/>
      <c r="B46" s="134" t="s">
        <v>847</v>
      </c>
      <c r="C46" s="145" t="n">
        <f aca="false">N31</f>
        <v>44272.9894472559</v>
      </c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</row>
    <row r="47" customFormat="false" ht="15.75" hidden="false" customHeight="true" outlineLevel="0" collapsed="false">
      <c r="A47" s="131"/>
      <c r="B47" s="139" t="s">
        <v>848</v>
      </c>
      <c r="C47" s="150" t="n">
        <f aca="false">C45+C46</f>
        <v>65344.2932453341</v>
      </c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</row>
    <row r="48" customFormat="false" ht="15.75" hidden="false" customHeight="true" outlineLevel="0" collapsed="false">
      <c r="A48" s="131"/>
      <c r="B48" s="134" t="s">
        <v>849</v>
      </c>
      <c r="C48" s="144" t="n">
        <f aca="false">Model!CF389</f>
        <v>4265.65055526871</v>
      </c>
      <c r="D48" s="136" t="s">
        <v>850</v>
      </c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</row>
    <row r="49" customFormat="false" ht="15.75" hidden="false" customHeight="true" outlineLevel="0" collapsed="false">
      <c r="A49" s="131"/>
      <c r="B49" s="139" t="s">
        <v>851</v>
      </c>
      <c r="C49" s="162" t="n">
        <f aca="false">C47-C48</f>
        <v>61078.6426900654</v>
      </c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</row>
    <row r="50" customFormat="false" ht="15.75" hidden="false" customHeight="true" outlineLevel="0" collapsed="false">
      <c r="A50" s="131"/>
      <c r="B50" s="134" t="s">
        <v>852</v>
      </c>
      <c r="C50" s="165" t="n">
        <f aca="false">Model!CF413</f>
        <v>416.680075898467</v>
      </c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</row>
    <row r="51" customFormat="false" ht="15.75" hidden="false" customHeight="true" outlineLevel="0" collapsed="false">
      <c r="A51" s="131"/>
      <c r="B51" s="139" t="s">
        <v>853</v>
      </c>
      <c r="C51" s="166" t="n">
        <f aca="false">C49/C50</f>
        <v>146.584025066148</v>
      </c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</row>
    <row r="52" customFormat="false" ht="15.75" hidden="false" customHeight="true" outlineLevel="0" collapsed="false">
      <c r="A52" s="131"/>
      <c r="B52" s="134" t="s">
        <v>854</v>
      </c>
      <c r="C52" s="167" t="n">
        <f aca="false">Model!CF412</f>
        <v>198.95</v>
      </c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</row>
    <row r="53" customFormat="false" ht="15.75" hidden="false" customHeight="true" outlineLevel="0" collapsed="false">
      <c r="A53" s="131"/>
      <c r="B53" s="139" t="s">
        <v>855</v>
      </c>
      <c r="C53" s="168" t="n">
        <f aca="false">C51/C52-1</f>
        <v>-0.263211736284754</v>
      </c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</row>
    <row r="54" customFormat="false" ht="15.75" hidden="false" customHeight="true" outlineLevel="0" collapsed="false">
      <c r="A54" s="131"/>
      <c r="B54" s="134" t="s">
        <v>856</v>
      </c>
      <c r="C54" s="51" t="n">
        <f aca="false">1-((1+C13)/(1+H54))^H55</f>
        <v>0.150090054913409</v>
      </c>
      <c r="D54" s="169" t="s">
        <v>857</v>
      </c>
      <c r="E54" s="170" t="s">
        <v>858</v>
      </c>
      <c r="F54" s="131"/>
      <c r="G54" s="131"/>
      <c r="H54" s="153" t="n">
        <v>0.15</v>
      </c>
      <c r="I54" s="131"/>
      <c r="J54" s="131"/>
      <c r="K54" s="131"/>
      <c r="L54" s="131"/>
      <c r="M54" s="131"/>
      <c r="N54" s="131"/>
      <c r="O54" s="131"/>
      <c r="P54" s="131"/>
      <c r="Q54" s="131"/>
    </row>
    <row r="55" customFormat="false" ht="15.75" hidden="false" customHeight="true" outlineLevel="0" collapsed="false">
      <c r="A55" s="131"/>
      <c r="B55" s="139" t="s">
        <v>859</v>
      </c>
      <c r="C55" s="171" t="n">
        <f aca="false">C51*(1-C54)</f>
        <v>124.583220694541</v>
      </c>
      <c r="D55" s="51" t="n">
        <f aca="false">C55/C52-1</f>
        <v>-0.373796327245331</v>
      </c>
      <c r="E55" s="170" t="s">
        <v>860</v>
      </c>
      <c r="F55" s="131"/>
      <c r="G55" s="131"/>
      <c r="H55" s="172" t="n">
        <v>3</v>
      </c>
      <c r="I55" s="131"/>
      <c r="J55" s="131"/>
      <c r="K55" s="131"/>
      <c r="L55" s="131"/>
      <c r="M55" s="131"/>
      <c r="N55" s="131"/>
      <c r="O55" s="131"/>
      <c r="P55" s="131"/>
      <c r="Q55" s="131"/>
    </row>
    <row r="56" customFormat="false" ht="15" hidden="false" customHeight="true" outlineLevel="0" collapsed="false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</row>
    <row r="57" customFormat="false" ht="15" hidden="false" customHeight="true" outlineLevel="0" collapsed="false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</row>
    <row r="58" customFormat="false" ht="15.75" hidden="false" customHeight="true" outlineLevel="0" collapsed="false">
      <c r="A58" s="131"/>
      <c r="B58" s="19" t="s">
        <v>861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31"/>
      <c r="P58" s="131"/>
      <c r="Q58" s="131"/>
    </row>
    <row r="59" customFormat="false" ht="15" hidden="false" customHeight="true" outlineLevel="0" collapsed="false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</row>
    <row r="60" customFormat="false" ht="15.75" hidden="false" customHeight="true" outlineLevel="0" collapsed="false">
      <c r="A60" s="131"/>
      <c r="B60" s="139"/>
      <c r="C60" s="131"/>
      <c r="D60" s="173" t="s">
        <v>862</v>
      </c>
      <c r="E60" s="173"/>
      <c r="F60" s="173"/>
      <c r="G60" s="173"/>
      <c r="H60" s="173"/>
      <c r="I60" s="131"/>
      <c r="J60" s="131"/>
      <c r="K60" s="131"/>
      <c r="L60" s="131"/>
      <c r="M60" s="131"/>
      <c r="N60" s="131"/>
      <c r="O60" s="131"/>
      <c r="P60" s="131"/>
      <c r="Q60" s="131"/>
    </row>
    <row r="61" customFormat="false" ht="15.75" hidden="false" customHeight="true" outlineLevel="0" collapsed="false">
      <c r="A61" s="131"/>
      <c r="B61" s="174" t="s">
        <v>863</v>
      </c>
      <c r="C61" s="175"/>
      <c r="D61" s="176" t="n">
        <f aca="false">F61-0.01</f>
        <v>0.07932</v>
      </c>
      <c r="E61" s="176" t="n">
        <f aca="false">F61-0.005</f>
        <v>0.08432</v>
      </c>
      <c r="F61" s="176" t="n">
        <f aca="false">$C$13</f>
        <v>0.08932</v>
      </c>
      <c r="G61" s="176" t="n">
        <f aca="false">F61+0.005</f>
        <v>0.09432</v>
      </c>
      <c r="H61" s="177" t="n">
        <f aca="false">F61+0.01</f>
        <v>0.09932</v>
      </c>
      <c r="I61" s="131"/>
      <c r="J61" s="131"/>
      <c r="K61" s="131"/>
      <c r="L61" s="131"/>
      <c r="M61" s="131"/>
      <c r="N61" s="131"/>
      <c r="O61" s="131"/>
      <c r="P61" s="131"/>
      <c r="Q61" s="131"/>
    </row>
    <row r="62" customFormat="false" ht="15.75" hidden="false" customHeight="true" outlineLevel="0" collapsed="false">
      <c r="A62" s="131"/>
      <c r="B62" s="178" t="n">
        <f aca="false">B64-0.01</f>
        <v>0.03</v>
      </c>
      <c r="C62" s="131"/>
      <c r="D62" s="179" t="n">
        <f aca="false" t="array" ref="D62:D62">IFERROR((SUMPRODUCT($D$24:$M$24/(1+D$61)^$D$29:$M$29)+($M$24*(1+$B62)/(D$61-$B62))/(1+D$61)^$M$29-$C$48)/$C$50,"")</f>
        <v>157.912734485654</v>
      </c>
      <c r="E62" s="179" t="n">
        <f aca="false" t="array" ref="E62:E62">IFERROR((SUMPRODUCT($D$24:$M$24/(1+E$61)^$D$29:$M$29)+($M$24*(1+$B62)/(E$61-$B62))/(1+E$61)^$M$29-$C$48)/$C$50,"")</f>
        <v>141.468379486471</v>
      </c>
      <c r="F62" s="179" t="n">
        <f aca="false" t="array" ref="F62:F62">IFERROR((SUMPRODUCT($D$24:$M$24/(1+F$61)^$D$29:$M$29)+($M$24*(1+$B62)/(F$61-$B62))/(1+F$61)^$M$29-$C$48)/$C$50,"")</f>
        <v>127.822976444122</v>
      </c>
      <c r="G62" s="179" t="n">
        <f aca="false" t="array" ref="G62:G62">IFERROR((SUMPRODUCT($D$24:$M$24/(1+G$61)^$D$29:$M$29)+($M$24*(1+$B62)/(G$61-$B62))/(1+G$61)^$M$29-$C$48)/$C$50,"")</f>
        <v>116.322937523356</v>
      </c>
      <c r="H62" s="180" t="n">
        <f aca="false" t="array" ref="H62:H62">IFERROR((SUMPRODUCT($D$24:$M$24/(1+H$61)^$D$29:$M$29)+($M$24*(1+$B62)/(H$61-$B62))/(1+H$61)^$M$29-$C$48)/$C$50,"")</f>
        <v>106.503277881244</v>
      </c>
      <c r="I62" s="131"/>
      <c r="J62" s="131"/>
      <c r="K62" s="131"/>
      <c r="L62" s="131"/>
      <c r="M62" s="131"/>
      <c r="N62" s="131"/>
      <c r="O62" s="131"/>
      <c r="P62" s="131"/>
      <c r="Q62" s="131"/>
    </row>
    <row r="63" customFormat="false" ht="15.75" hidden="false" customHeight="true" outlineLevel="0" collapsed="false">
      <c r="A63" s="131"/>
      <c r="B63" s="178" t="n">
        <f aca="false">B64-0.005</f>
        <v>0.035</v>
      </c>
      <c r="C63" s="131"/>
      <c r="D63" s="179" t="n">
        <f aca="false" t="array" ref="D63:D63">IFERROR((SUMPRODUCT($D$24:$M$24/(1+D$61)^$D$29:$M$29)+($M$24*(1+$B63)/(D$61-$B63))/(1+D$61)^$M$29-$C$48)/$C$50,"")</f>
        <v>171.510816014751</v>
      </c>
      <c r="E63" s="179" t="n">
        <f aca="false" t="array" ref="E63:E63">IFERROR((SUMPRODUCT($D$24:$M$24/(1+E$61)^$D$29:$M$29)+($M$24*(1+$B63)/(E$61-$B63))/(1+E$61)^$M$29-$C$48)/$C$50,"")</f>
        <v>152.128279207579</v>
      </c>
      <c r="F63" s="179" t="n">
        <f aca="false" t="array" ref="F63:F63">IFERROR((SUMPRODUCT($D$24:$M$24/(1+F$61)^$D$29:$M$29)+($M$24*(1+$B63)/(F$61-$B63))/(1+F$61)^$M$29-$C$48)/$C$50,"")</f>
        <v>136.340050431957</v>
      </c>
      <c r="G63" s="179" t="n">
        <f aca="false" t="array" ref="G63:G63">IFERROR((SUMPRODUCT($D$24:$M$24/(1+G$61)^$D$29:$M$29)+($M$24*(1+$B63)/(G$61-$B63))/(1+G$61)^$M$29-$C$48)/$C$50,"")</f>
        <v>123.236448807808</v>
      </c>
      <c r="H63" s="180" t="n">
        <f aca="false" t="array" ref="H63:H63">IFERROR((SUMPRODUCT($D$24:$M$24/(1+H$61)^$D$29:$M$29)+($M$24*(1+$B63)/(H$61-$B63))/(1+H$61)^$M$29-$C$48)/$C$50,"")</f>
        <v>112.190683839122</v>
      </c>
      <c r="I63" s="131"/>
      <c r="J63" s="131"/>
      <c r="K63" s="131"/>
      <c r="L63" s="131"/>
      <c r="M63" s="131"/>
      <c r="N63" s="131"/>
      <c r="O63" s="131"/>
      <c r="P63" s="131"/>
      <c r="Q63" s="131"/>
    </row>
    <row r="64" customFormat="false" ht="15.75" hidden="false" customHeight="true" outlineLevel="0" collapsed="false">
      <c r="A64" s="131"/>
      <c r="B64" s="178" t="n">
        <f aca="false">$C$27</f>
        <v>0.04</v>
      </c>
      <c r="C64" s="131"/>
      <c r="D64" s="179" t="n">
        <f aca="false" t="array" ref="D64:D64">IFERROR((SUMPRODUCT($D$24:$M$24/(1+D$61)^$D$29:$M$29)+($M$24*(1+$B64)/(D$61-$B64))/(1+D$61)^$M$29-$C$48)/$C$50,"")</f>
        <v>188.567209224697</v>
      </c>
      <c r="E64" s="179" t="n">
        <f aca="false" t="array" ref="E64:E64">IFERROR((SUMPRODUCT($D$24:$M$24/(1+E$61)^$D$29:$M$29)+($M$24*(1+$B64)/(E$61-$B64))/(1+E$61)^$M$29-$C$48)/$C$50,"")</f>
        <v>165.193390959624</v>
      </c>
      <c r="F64" s="181" t="n">
        <f aca="false" t="array" ref="F64:F64">IFERROR((SUMPRODUCT($D$24:$M$24/(1+F$61)^$D$29:$M$29)+($M$24*(1+$B64)/(F$61-$B64))/(1+F$61)^$M$29-$C$48)/$C$50,"")</f>
        <v>146.584025066148</v>
      </c>
      <c r="G64" s="179" t="n">
        <f aca="false" t="array" ref="G64:G64">IFERROR((SUMPRODUCT($D$24:$M$24/(1+G$61)^$D$29:$M$29)+($M$24*(1+$B64)/(G$61-$B64))/(1+G$61)^$M$29-$C$48)/$C$50,"")</f>
        <v>131.422697810312</v>
      </c>
      <c r="H64" s="180" t="n">
        <f aca="false" t="array" ref="H64:H64">IFERROR((SUMPRODUCT($D$24:$M$24/(1+H$61)^$D$29:$M$29)+($M$24*(1+$B64)/(H$61-$B64))/(1+H$61)^$M$29-$C$48)/$C$50,"")</f>
        <v>118.836856816198</v>
      </c>
      <c r="I64" s="131"/>
      <c r="J64" s="131"/>
      <c r="K64" s="131"/>
      <c r="L64" s="131"/>
      <c r="M64" s="131"/>
      <c r="N64" s="131"/>
      <c r="O64" s="131"/>
      <c r="P64" s="131"/>
      <c r="Q64" s="131"/>
    </row>
    <row r="65" customFormat="false" ht="15.75" hidden="false" customHeight="true" outlineLevel="0" collapsed="false">
      <c r="A65" s="131"/>
      <c r="B65" s="178" t="n">
        <f aca="false">B64+0.005</f>
        <v>0.045</v>
      </c>
      <c r="C65" s="131"/>
      <c r="D65" s="179" t="n">
        <f aca="false" t="array" ref="D65:D65">IFERROR((SUMPRODUCT($D$24:$M$24/(1+D$61)^$D$29:$M$29)+($M$24*(1+$B65)/(D$61-$B65))/(1+D$61)^$M$29-$C$48)/$C$50,"")</f>
        <v>210.593413976002</v>
      </c>
      <c r="E65" s="179" t="n">
        <f aca="false" t="array" ref="E65:E65">IFERROR((SUMPRODUCT($D$24:$M$24/(1+E$61)^$D$29:$M$29)+($M$24*(1+$B65)/(E$61-$B65))/(1+E$61)^$M$29-$C$48)/$C$50,"")</f>
        <v>181.581267653694</v>
      </c>
      <c r="F65" s="179" t="n">
        <f aca="false" t="array" ref="F65:F65">IFERROR((SUMPRODUCT($D$24:$M$24/(1+F$61)^$D$29:$M$29)+($M$24*(1+$B65)/(F$61-$B65))/(1+F$61)^$M$29-$C$48)/$C$50,"")</f>
        <v>159.139365818163</v>
      </c>
      <c r="G65" s="179" t="n">
        <f aca="false" t="array" ref="G65:G65">IFERROR((SUMPRODUCT($D$24:$M$24/(1+G$61)^$D$29:$M$29)+($M$24*(1+$B65)/(G$61-$B65))/(1+G$61)^$M$29-$C$48)/$C$50,"")</f>
        <v>141.268770211538</v>
      </c>
      <c r="H65" s="180" t="n">
        <f aca="false" t="array" ref="H65:H65">IFERROR((SUMPRODUCT($D$24:$M$24/(1+H$61)^$D$29:$M$29)+($M$24*(1+$B65)/(H$61-$B65))/(1+H$61)^$M$29-$C$48)/$C$50,"")</f>
        <v>126.706552064458</v>
      </c>
      <c r="I65" s="131"/>
      <c r="J65" s="131"/>
      <c r="K65" s="131"/>
      <c r="L65" s="131"/>
      <c r="M65" s="131"/>
      <c r="N65" s="131"/>
      <c r="O65" s="131"/>
      <c r="P65" s="131"/>
      <c r="Q65" s="131"/>
    </row>
    <row r="66" customFormat="false" ht="15.75" hidden="false" customHeight="true" outlineLevel="0" collapsed="false">
      <c r="A66" s="131"/>
      <c r="B66" s="182" t="n">
        <f aca="false">B64+0.01</f>
        <v>0.05</v>
      </c>
      <c r="C66" s="183"/>
      <c r="D66" s="184" t="n">
        <f aca="false" t="array" ref="D66:D66">IFERROR((SUMPRODUCT($D$24:$M$24/(1+D$61)^$D$29:$M$29)+($M$24*(1+$B66)/(D$61-$B66))/(1+D$61)^$M$29-$C$48)/$C$50,"")</f>
        <v>240.131966868952</v>
      </c>
      <c r="E66" s="184" t="n">
        <f aca="false" t="array" ref="E66:E66">IFERROR((SUMPRODUCT($D$24:$M$24/(1+E$61)^$D$29:$M$29)+($M$24*(1+$B66)/(E$61-$B66))/(1+E$61)^$M$29-$C$48)/$C$50,"")</f>
        <v>202.744166694522</v>
      </c>
      <c r="F66" s="184" t="n">
        <f aca="false" t="array" ref="F66:F66">IFERROR((SUMPRODUCT($D$24:$M$24/(1+F$61)^$D$29:$M$29)+($M$24*(1+$B66)/(F$61-$B66))/(1+F$61)^$M$29-$C$48)/$C$50,"")</f>
        <v>174.887824767536</v>
      </c>
      <c r="G66" s="184" t="n">
        <f aca="false" t="array" ref="G66:G66">IFERROR((SUMPRODUCT($D$24:$M$24/(1+G$61)^$D$29:$M$29)+($M$24*(1+$B66)/(G$61-$B66))/(1+G$61)^$M$29-$C$48)/$C$50,"")</f>
        <v>153.336429345894</v>
      </c>
      <c r="H66" s="185" t="n">
        <f aca="false" t="array" ref="H66:H66">IFERROR((SUMPRODUCT($D$24:$M$24/(1+H$61)^$D$29:$M$29)+($M$24*(1+$B66)/(H$61-$B66))/(1+H$61)^$M$29-$C$48)/$C$50,"")</f>
        <v>136.171887062974</v>
      </c>
      <c r="I66" s="131"/>
      <c r="J66" s="131"/>
      <c r="K66" s="131"/>
      <c r="L66" s="131"/>
      <c r="M66" s="131"/>
      <c r="N66" s="131"/>
      <c r="O66" s="131"/>
      <c r="P66" s="131"/>
      <c r="Q66" s="131"/>
    </row>
    <row r="67" customFormat="false" ht="15" hidden="false" customHeight="true" outlineLevel="0" collapsed="false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</row>
    <row r="68" customFormat="false" ht="15" hidden="false" customHeight="true" outlineLevel="0" collapsed="false">
      <c r="A68" s="131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</row>
    <row r="69" customFormat="false" ht="15.75" hidden="false" customHeight="true" outlineLevel="0" collapsed="false">
      <c r="A69" s="131"/>
      <c r="B69" s="19" t="s">
        <v>864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31"/>
      <c r="P69" s="131"/>
      <c r="Q69" s="131"/>
    </row>
    <row r="70" customFormat="false" ht="15" hidden="false" customHeight="true" outlineLevel="0" collapsed="false">
      <c r="A70" s="131"/>
      <c r="B70" s="136" t="s">
        <v>865</v>
      </c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</row>
    <row r="71" customFormat="false" ht="15" hidden="false" customHeight="true" outlineLevel="0" collapsed="false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</row>
    <row r="72" customFormat="false" ht="15.75" hidden="false" customHeight="true" outlineLevel="0" collapsed="false">
      <c r="A72" s="131"/>
      <c r="B72" s="19" t="s">
        <v>866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31"/>
      <c r="P72" s="131"/>
      <c r="Q72" s="131"/>
    </row>
    <row r="73" customFormat="false" ht="15" hidden="false" customHeight="true" outlineLevel="0" collapsed="false">
      <c r="A73" s="131"/>
      <c r="B73" s="136" t="s">
        <v>867</v>
      </c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</row>
    <row r="74" customFormat="false" ht="15" hidden="false" customHeight="true" outlineLevel="0" collapsed="false">
      <c r="A74" s="131"/>
      <c r="B74" s="136" t="s">
        <v>868</v>
      </c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</row>
    <row r="75" customFormat="false" ht="15" hidden="false" customHeight="true" outlineLevel="0" collapsed="false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</row>
    <row r="76" customFormat="false" ht="15.75" hidden="false" customHeight="true" outlineLevel="0" collapsed="false">
      <c r="A76" s="131"/>
      <c r="B76" s="19" t="s">
        <v>869</v>
      </c>
      <c r="C76" s="186" t="s">
        <v>870</v>
      </c>
      <c r="D76" s="19" t="s">
        <v>871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31"/>
      <c r="P76" s="131"/>
      <c r="Q76" s="131"/>
    </row>
    <row r="77" customFormat="false" ht="15.75" hidden="false" customHeight="true" outlineLevel="0" collapsed="false">
      <c r="A77" s="131"/>
      <c r="B77" s="134" t="s">
        <v>872</v>
      </c>
      <c r="C77" s="187" t="n">
        <f aca="false">$C$13</f>
        <v>0.08932</v>
      </c>
      <c r="D77" s="136" t="s">
        <v>873</v>
      </c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</row>
    <row r="78" customFormat="false" ht="15.75" hidden="false" customHeight="true" outlineLevel="0" collapsed="false">
      <c r="A78" s="131"/>
      <c r="B78" s="134" t="s">
        <v>874</v>
      </c>
      <c r="C78" s="188" t="n">
        <v>0.1</v>
      </c>
      <c r="D78" s="136" t="s">
        <v>875</v>
      </c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</row>
    <row r="79" customFormat="false" ht="15.75" hidden="false" customHeight="true" outlineLevel="0" collapsed="false">
      <c r="A79" s="131"/>
      <c r="B79" s="134" t="s">
        <v>876</v>
      </c>
      <c r="C79" s="188" t="n">
        <v>0.25</v>
      </c>
      <c r="D79" s="136" t="s">
        <v>877</v>
      </c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</row>
    <row r="80" customFormat="false" ht="15.75" hidden="false" customHeight="true" outlineLevel="0" collapsed="false">
      <c r="A80" s="131"/>
      <c r="B80" s="134" t="s">
        <v>878</v>
      </c>
      <c r="C80" s="189" t="n">
        <v>15</v>
      </c>
      <c r="D80" s="136" t="s">
        <v>879</v>
      </c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</row>
    <row r="81" customFormat="false" ht="15" hidden="false" customHeight="true" outlineLevel="0" collapsed="false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</row>
    <row r="82" customFormat="false" ht="15.75" hidden="false" customHeight="true" outlineLevel="0" collapsed="false">
      <c r="A82" s="131"/>
      <c r="B82" s="19" t="s">
        <v>880</v>
      </c>
      <c r="C82" s="186" t="s">
        <v>870</v>
      </c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</row>
    <row r="83" customFormat="false" ht="15.75" hidden="false" customHeight="true" outlineLevel="0" collapsed="false">
      <c r="A83" s="131"/>
      <c r="B83" s="134" t="s">
        <v>881</v>
      </c>
      <c r="C83" s="190" t="n">
        <f aca="false">1/C77</f>
        <v>11.1957008508733</v>
      </c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</row>
    <row r="84" customFormat="false" ht="15.75" hidden="false" customHeight="true" outlineLevel="0" collapsed="false">
      <c r="A84" s="131"/>
      <c r="B84" s="134" t="s">
        <v>882</v>
      </c>
      <c r="C84" s="191" t="n">
        <f aca="false">1-C77/C79</f>
        <v>0.64272</v>
      </c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</row>
    <row r="85" customFormat="false" ht="15.75" hidden="false" customHeight="true" outlineLevel="0" collapsed="false">
      <c r="A85" s="131"/>
      <c r="B85" s="134" t="s">
        <v>883</v>
      </c>
      <c r="C85" s="191" t="n">
        <f aca="false">C78*C84/(C77*(C77-C78))</f>
        <v>-67.3754761317721</v>
      </c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</row>
    <row r="86" customFormat="false" ht="15.75" hidden="false" customHeight="true" outlineLevel="0" collapsed="false">
      <c r="A86" s="131"/>
      <c r="B86" s="134" t="s">
        <v>884</v>
      </c>
      <c r="C86" s="192" t="n">
        <f aca="false">1-((1+C78)/(1+C77))^C80</f>
        <v>-0.157598929729686</v>
      </c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</row>
    <row r="87" customFormat="false" ht="15.75" hidden="false" customHeight="true" outlineLevel="0" collapsed="false">
      <c r="A87" s="131"/>
      <c r="B87" s="134" t="s">
        <v>885</v>
      </c>
      <c r="C87" s="190" t="n">
        <f aca="false">C85*C86</f>
        <v>10.6183029283953</v>
      </c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</row>
    <row r="88" customFormat="false" ht="15.75" hidden="false" customHeight="true" outlineLevel="0" collapsed="false">
      <c r="A88" s="131"/>
      <c r="B88" s="12" t="s">
        <v>886</v>
      </c>
      <c r="C88" s="193" t="n">
        <f aca="false">C83+C87</f>
        <v>21.8140037792686</v>
      </c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</row>
    <row r="89" customFormat="false" ht="15" hidden="false" customHeight="true" outlineLevel="0" collapsed="false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</row>
    <row r="90" customFormat="false" ht="15.75" hidden="false" customHeight="true" outlineLevel="0" collapsed="false">
      <c r="A90" s="131"/>
      <c r="B90" s="19" t="s">
        <v>887</v>
      </c>
      <c r="C90" s="186" t="s">
        <v>888</v>
      </c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</row>
    <row r="91" customFormat="false" ht="15.75" hidden="false" customHeight="true" outlineLevel="0" collapsed="false">
      <c r="A91" s="131"/>
      <c r="B91" s="134" t="s">
        <v>889</v>
      </c>
      <c r="C91" s="194" t="n">
        <f aca="false">Model!CH192-Model!CH141</f>
        <v>3781.32705741825</v>
      </c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</row>
    <row r="92" customFormat="false" ht="15.75" hidden="false" customHeight="true" outlineLevel="0" collapsed="false">
      <c r="A92" s="131"/>
      <c r="B92" s="134" t="s">
        <v>890</v>
      </c>
      <c r="C92" s="195" t="n">
        <f aca="false">$C$10</f>
        <v>0.21</v>
      </c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</row>
    <row r="93" customFormat="false" ht="15.75" hidden="false" customHeight="true" outlineLevel="0" collapsed="false">
      <c r="A93" s="131"/>
      <c r="B93" s="134" t="s">
        <v>891</v>
      </c>
      <c r="C93" s="196" t="n">
        <f aca="false">C91*(1-C92)</f>
        <v>2987.24837536042</v>
      </c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</row>
    <row r="94" customFormat="false" ht="15.75" hidden="false" customHeight="true" outlineLevel="0" collapsed="false">
      <c r="A94" s="131"/>
      <c r="B94" s="134" t="s">
        <v>892</v>
      </c>
      <c r="C94" s="197" t="n">
        <f aca="false">C88</f>
        <v>21.8140037792686</v>
      </c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</row>
    <row r="95" customFormat="false" ht="15.75" hidden="false" customHeight="true" outlineLevel="0" collapsed="false">
      <c r="A95" s="131"/>
      <c r="B95" s="134" t="s">
        <v>893</v>
      </c>
      <c r="C95" s="196" t="n">
        <f aca="false">C93*C94</f>
        <v>65163.847349726</v>
      </c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</row>
    <row r="96" customFormat="false" ht="15.75" hidden="false" customHeight="true" outlineLevel="0" collapsed="false">
      <c r="A96" s="131"/>
      <c r="B96" s="134" t="s">
        <v>894</v>
      </c>
      <c r="C96" s="194" t="n">
        <f aca="false">Model!CG389</f>
        <v>5294.74562758183</v>
      </c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</row>
    <row r="97" customFormat="false" ht="15.75" hidden="false" customHeight="true" outlineLevel="0" collapsed="false">
      <c r="A97" s="131"/>
      <c r="B97" s="134" t="s">
        <v>895</v>
      </c>
      <c r="C97" s="196" t="n">
        <f aca="false">C95-C96</f>
        <v>59869.1017221442</v>
      </c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</row>
    <row r="98" customFormat="false" ht="15.75" hidden="false" customHeight="true" outlineLevel="0" collapsed="false">
      <c r="A98" s="131"/>
      <c r="B98" s="134" t="s">
        <v>896</v>
      </c>
      <c r="C98" s="198" t="n">
        <f aca="false">Model!CH413</f>
        <v>400.410177153881</v>
      </c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</row>
    <row r="99" customFormat="false" ht="15.75" hidden="false" customHeight="true" outlineLevel="0" collapsed="false">
      <c r="A99" s="131"/>
      <c r="B99" s="12" t="s">
        <v>897</v>
      </c>
      <c r="C99" s="199" t="n">
        <f aca="false">C97/C98</f>
        <v>149.519430669056</v>
      </c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</row>
    <row r="100" customFormat="false" ht="15" hidden="false" customHeight="true" outlineLevel="0" collapsed="false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</row>
    <row r="101" customFormat="false" ht="15.75" hidden="false" customHeight="true" outlineLevel="0" collapsed="false">
      <c r="A101" s="131"/>
      <c r="B101" s="134" t="s">
        <v>854</v>
      </c>
      <c r="C101" s="200" t="n">
        <f aca="false">C52</f>
        <v>198.95</v>
      </c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</row>
    <row r="102" customFormat="false" ht="15.75" hidden="false" customHeight="true" outlineLevel="0" collapsed="false">
      <c r="A102" s="131"/>
      <c r="B102" s="139" t="s">
        <v>855</v>
      </c>
      <c r="C102" s="201" t="n">
        <f aca="false">C99/C101-1</f>
        <v>-0.248457247202532</v>
      </c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</row>
    <row r="103" customFormat="false" ht="15" hidden="false" customHeight="true" outlineLevel="0" collapsed="false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</row>
    <row r="104" customFormat="false" ht="15.75" hidden="false" customHeight="true" outlineLevel="0" collapsed="false">
      <c r="A104" s="131"/>
      <c r="B104" s="19" t="s">
        <v>898</v>
      </c>
      <c r="C104" s="186" t="s">
        <v>888</v>
      </c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</row>
    <row r="105" customFormat="false" ht="15.75" hidden="false" customHeight="true" outlineLevel="0" collapsed="false">
      <c r="A105" s="131"/>
      <c r="B105" s="134" t="s">
        <v>899</v>
      </c>
      <c r="C105" s="196" t="n">
        <f aca="false">C52*C50</f>
        <v>82898.5011</v>
      </c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</row>
    <row r="106" customFormat="false" ht="15.75" hidden="false" customHeight="true" outlineLevel="0" collapsed="false">
      <c r="A106" s="131"/>
      <c r="B106" s="134" t="s">
        <v>900</v>
      </c>
      <c r="C106" s="196" t="n">
        <f aca="false">C48</f>
        <v>4265.65055526871</v>
      </c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</row>
    <row r="107" customFormat="false" ht="15.75" hidden="false" customHeight="true" outlineLevel="0" collapsed="false">
      <c r="A107" s="131"/>
      <c r="B107" s="134" t="s">
        <v>901</v>
      </c>
      <c r="C107" s="196" t="n">
        <f aca="false">C105+C106</f>
        <v>87164.1516552687</v>
      </c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</row>
    <row r="108" customFormat="false" ht="15.75" hidden="false" customHeight="true" outlineLevel="0" collapsed="false">
      <c r="A108" s="131"/>
      <c r="B108" s="12" t="s">
        <v>902</v>
      </c>
      <c r="C108" s="202" t="n">
        <f aca="false">C107/C93</f>
        <v>29.1787426764446</v>
      </c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</row>
    <row r="109" customFormat="false" ht="15" hidden="false" customHeight="true" outlineLevel="0" collapsed="false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</row>
    <row r="110" customFormat="false" ht="15.75" hidden="false" customHeight="true" outlineLevel="0" collapsed="false">
      <c r="A110" s="131"/>
      <c r="B110" s="139" t="s">
        <v>903</v>
      </c>
      <c r="C110" s="203" t="n">
        <f aca="false">C88-C108</f>
        <v>-7.364738897176</v>
      </c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</row>
    <row r="111" customFormat="false" ht="15.75" hidden="false" customHeight="true" outlineLevel="0" collapsed="false">
      <c r="A111" s="131"/>
      <c r="B111" s="134" t="s">
        <v>904</v>
      </c>
      <c r="C111" s="37" t="n">
        <f aca="false">C88/C108-1</f>
        <v>-0.252400830935098</v>
      </c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</row>
    <row r="112" customFormat="false" ht="15" hidden="false" customHeight="true" outlineLevel="0" collapsed="false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</row>
    <row r="113" customFormat="false" ht="15" hidden="false" customHeight="true" outlineLevel="0" collapsed="false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</row>
    <row r="114" customFormat="false" ht="15" hidden="false" customHeight="true" outlineLevel="0" collapsed="false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</row>
    <row r="115" customFormat="false" ht="15" hidden="false" customHeight="true" outlineLevel="0" collapsed="false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</row>
    <row r="116" customFormat="false" ht="15" hidden="false" customHeight="false" outlineLevel="0" collapsed="false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</row>
    <row r="117" customFormat="false" ht="15" hidden="false" customHeight="true" outlineLevel="0" collapsed="false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</row>
    <row r="118" customFormat="false" ht="15" hidden="false" customHeight="true" outlineLevel="0" collapsed="false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</row>
    <row r="119" customFormat="false" ht="15" hidden="false" customHeight="false" outlineLevel="0" collapsed="false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</row>
    <row r="120" customFormat="false" ht="15" hidden="false" customHeight="false" outlineLevel="0" collapsed="false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</row>
    <row r="121" customFormat="false" ht="15" hidden="false" customHeight="false" outlineLevel="0" collapsed="false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</row>
    <row r="122" customFormat="false" ht="15" hidden="false" customHeight="false" outlineLevel="0" collapsed="false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</row>
    <row r="123" customFormat="false" ht="15" hidden="false" customHeight="false" outlineLevel="0" collapsed="false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</row>
    <row r="124" customFormat="false" ht="15" hidden="false" customHeight="false" outlineLevel="0" collapsed="false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</row>
    <row r="125" customFormat="false" ht="15" hidden="false" customHeight="false" outlineLevel="0" collapsed="false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</row>
    <row r="126" customFormat="false" ht="15" hidden="false" customHeight="false" outlineLevel="0" collapsed="false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</row>
    <row r="127" customFormat="false" ht="15" hidden="false" customHeight="false" outlineLevel="0" collapsed="false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</row>
    <row r="128" customFormat="false" ht="15" hidden="false" customHeight="false" outlineLevel="0" collapsed="false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</row>
    <row r="129" customFormat="false" ht="15" hidden="false" customHeight="false" outlineLevel="0" collapsed="false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</row>
    <row r="130" customFormat="false" ht="15" hidden="false" customHeight="false" outlineLevel="0" collapsed="false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</row>
  </sheetData>
  <mergeCells count="1">
    <mergeCell ref="D60:H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2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703125" defaultRowHeight="15" zeroHeight="false" outlineLevelRow="0" outlineLevelCol="0"/>
  <cols>
    <col collapsed="false" customWidth="true" hidden="false" outlineLevel="0" max="2" min="2" style="1" width="30"/>
    <col collapsed="false" customWidth="true" hidden="false" outlineLevel="0" max="23" min="22" style="1" width="13"/>
  </cols>
  <sheetData>
    <row r="2" customFormat="false" ht="17.25" hidden="false" customHeight="true" outlineLevel="0" collapsed="false">
      <c r="B2" s="204" t="s">
        <v>905</v>
      </c>
    </row>
    <row r="3" customFormat="false" ht="15" hidden="false" customHeight="true" outlineLevel="0" collapsed="false">
      <c r="B3" s="91" t="s">
        <v>906</v>
      </c>
    </row>
    <row r="7" customFormat="false" ht="15" hidden="false" customHeight="true" outlineLevel="0" collapsed="false">
      <c r="C7" s="93" t="s">
        <v>8</v>
      </c>
      <c r="D7" s="93" t="s">
        <v>9</v>
      </c>
      <c r="E7" s="93" t="s">
        <v>10</v>
      </c>
      <c r="F7" s="93" t="s">
        <v>11</v>
      </c>
      <c r="G7" s="93" t="s">
        <v>12</v>
      </c>
      <c r="H7" s="93" t="s">
        <v>13</v>
      </c>
      <c r="I7" s="93" t="s">
        <v>14</v>
      </c>
      <c r="J7" s="93" t="s">
        <v>19</v>
      </c>
      <c r="K7" s="93" t="s">
        <v>24</v>
      </c>
      <c r="L7" s="93" t="s">
        <v>29</v>
      </c>
      <c r="M7" s="93" t="s">
        <v>34</v>
      </c>
      <c r="N7" s="93" t="s">
        <v>39</v>
      </c>
      <c r="O7" s="93" t="s">
        <v>44</v>
      </c>
      <c r="P7" s="93" t="s">
        <v>49</v>
      </c>
      <c r="Q7" s="93" t="s">
        <v>54</v>
      </c>
      <c r="R7" s="93" t="s">
        <v>59</v>
      </c>
      <c r="S7" s="93" t="s">
        <v>64</v>
      </c>
      <c r="T7" s="93" t="s">
        <v>69</v>
      </c>
      <c r="U7" s="93" t="s">
        <v>74</v>
      </c>
      <c r="V7" s="93" t="s">
        <v>79</v>
      </c>
      <c r="W7" s="93" t="s">
        <v>84</v>
      </c>
    </row>
    <row r="8" customFormat="false" ht="15" hidden="false" customHeight="true" outlineLevel="0" collapsed="false">
      <c r="B8" s="1" t="s">
        <v>907</v>
      </c>
      <c r="C8" s="205" t="n">
        <f aca="false">IF(ISNUMBER(Model!C108),Model!C108,IF(ISNUMBER(Model!C106),Model!C106,0))</f>
        <v>0</v>
      </c>
      <c r="D8" s="205" t="n">
        <f aca="false">IF(ISNUMBER(Model!D108),Model!D108,IF(ISNUMBER(Model!D106),Model!D106,0))</f>
        <v>0.0891089690704687</v>
      </c>
      <c r="E8" s="205" t="n">
        <f aca="false">IF(ISNUMBER(Model!E108),Model!E108,IF(ISNUMBER(Model!E106),Model!E106,0))</f>
        <v>0.0623162211011896</v>
      </c>
      <c r="F8" s="205" t="n">
        <f aca="false">IF(ISNUMBER(Model!F108),Model!F108,IF(ISNUMBER(Model!F106),Model!F106,0))</f>
        <v>-0.0414472180603875</v>
      </c>
      <c r="G8" s="205" t="n">
        <f aca="false">IF(ISNUMBER(Model!G108),Model!G108,IF(ISNUMBER(Model!G106),Model!G106,0))</f>
        <v>-0.064</v>
      </c>
      <c r="H8" s="205" t="n">
        <f aca="false">IF(ISNUMBER(Model!H108),Model!H108,IF(ISNUMBER(Model!H106),Model!H106,0))</f>
        <v>0.051</v>
      </c>
      <c r="I8" s="205" t="n">
        <f aca="false">IF(ISNUMBER(Model!I108),Model!I108,IF(ISNUMBER(Model!I106),Model!I106,0))</f>
        <v>0.061</v>
      </c>
      <c r="J8" s="205" t="n">
        <f aca="false">IF(ISNUMBER(Model!N108),Model!N108,IF(ISNUMBER(Model!N106),Model!N106,0))</f>
        <v>0.049</v>
      </c>
      <c r="K8" s="205" t="n">
        <f aca="false">IF(ISNUMBER(Model!S108),Model!S108,IF(ISNUMBER(Model!S106),Model!S106,0))</f>
        <v>0.059</v>
      </c>
      <c r="L8" s="205" t="n">
        <f aca="false">IF(ISNUMBER(Model!X108),Model!X108,IF(ISNUMBER(Model!X106),Model!X106,0))</f>
        <v>0.071</v>
      </c>
      <c r="M8" s="205" t="n">
        <f aca="false">IF(ISNUMBER(Model!AC108),Model!AC108,IF(ISNUMBER(Model!AC106),Model!AC106,0))</f>
        <v>0.067</v>
      </c>
      <c r="N8" s="205" t="n">
        <f aca="false">IF(ISNUMBER(Model!AH108),Model!AH108,IF(ISNUMBER(Model!AH106),Model!AH106,0))</f>
        <v>0.067</v>
      </c>
      <c r="O8" s="205" t="n">
        <f aca="false">IF(ISNUMBER(Model!AM108),Model!AM108,IF(ISNUMBER(Model!AM106),Model!AM106,0))</f>
        <v>0.071</v>
      </c>
      <c r="P8" s="205" t="n">
        <f aca="false">IF(ISNUMBER(Model!AR108),Model!AR108,IF(ISNUMBER(Model!AR106),Model!AR106,0))</f>
        <v>0.065</v>
      </c>
      <c r="Q8" s="205" t="n">
        <f aca="false">IF(ISNUMBER(Model!AW108),Model!AW108,IF(ISNUMBER(Model!AW106),Model!AW106,0))</f>
        <v>0.031</v>
      </c>
      <c r="R8" s="205" t="n">
        <f aca="false">IF(ISNUMBER(Model!BB108),Model!BB108,IF(ISNUMBER(Model!BB106),Model!BB106,0))</f>
        <v>0.002</v>
      </c>
      <c r="S8" s="205" t="n">
        <f aca="false">IF(ISNUMBER(Model!BG108),Model!BG108,IF(ISNUMBER(Model!BG106),Model!BG106,0))</f>
        <v>0.102</v>
      </c>
      <c r="T8" s="205" t="n">
        <f aca="false">IF(ISNUMBER(Model!BL108),Model!BL108,IF(ISNUMBER(Model!BL106),Model!BL106,0))</f>
        <v>0.122</v>
      </c>
      <c r="U8" s="205" t="n">
        <f aca="false">IF(ISNUMBER(Model!BQ108),Model!BQ108,IF(ISNUMBER(Model!BQ106),Model!BQ106,0))</f>
        <v>0.08</v>
      </c>
      <c r="V8" s="205" t="n">
        <f aca="false">IF(ISNUMBER(Model!BV108),Model!BV108,IF(ISNUMBER(Model!BV106),Model!BV106,0))</f>
        <v>0.08</v>
      </c>
      <c r="W8" s="205" t="n">
        <f aca="false">IF(ISNUMBER(Model!CA108),Model!CA108,IF(ISNUMBER(Model!CA106),Model!CA106,0))</f>
        <v>0.083</v>
      </c>
    </row>
    <row r="9" customFormat="false" ht="15" hidden="false" customHeight="true" outlineLevel="0" collapsed="false">
      <c r="B9" s="1" t="s">
        <v>908</v>
      </c>
      <c r="C9" s="205" t="n">
        <f aca="false">IF(ISNUMBER(Model!C107),Model!C107,0)</f>
        <v>0</v>
      </c>
      <c r="D9" s="205" t="n">
        <f aca="false">IF(ISNUMBER(Model!D107),Model!D107,0)</f>
        <v>0</v>
      </c>
      <c r="E9" s="205" t="n">
        <f aca="false">IF(ISNUMBER(Model!E107),Model!E107,0)</f>
        <v>0</v>
      </c>
      <c r="F9" s="205" t="n">
        <f aca="false">IF(ISNUMBER(Model!F107),Model!F107,0)</f>
        <v>0</v>
      </c>
      <c r="G9" s="205" t="n">
        <f aca="false">IF(ISNUMBER(Model!G107),Model!G107,0)</f>
        <v>0.00377086829761958</v>
      </c>
      <c r="H9" s="205" t="n">
        <f aca="false">IF(ISNUMBER(Model!H107),Model!H107,0)</f>
        <v>0.0231527663411927</v>
      </c>
      <c r="I9" s="205" t="n">
        <f aca="false">IF(ISNUMBER(Model!I107),Model!I107,0)</f>
        <v>0.0155319190926688</v>
      </c>
      <c r="J9" s="205" t="n">
        <f aca="false">IF(ISNUMBER(Model!N107),Model!N107,0)</f>
        <v>0.00328449536811297</v>
      </c>
      <c r="K9" s="205" t="n">
        <f aca="false">IF(ISNUMBER(Model!S107),Model!S107,0)</f>
        <v>-0.00447837805466539</v>
      </c>
      <c r="L9" s="205" t="n">
        <f aca="false">IF(ISNUMBER(Model!X107),Model!X107,0)</f>
        <v>-0.0874606974101741</v>
      </c>
      <c r="M9" s="205" t="n">
        <f aca="false">IF(ISNUMBER(Model!AC107),Model!AC107,0)</f>
        <v>0.0287299337083854</v>
      </c>
      <c r="N9" s="205" t="n">
        <f aca="false">IF(ISNUMBER(Model!AH107),Model!AH107,0)</f>
        <v>0.0181955107963418</v>
      </c>
      <c r="O9" s="205" t="n">
        <f aca="false">IF(ISNUMBER(Model!AM107),Model!AM107,0)</f>
        <v>0.14563882408567</v>
      </c>
      <c r="P9" s="205" t="n">
        <f aca="false">IF(ISNUMBER(Model!AR107),Model!AR107,0)</f>
        <v>-0.000819882926805182</v>
      </c>
      <c r="Q9" s="205" t="n">
        <f aca="false">IF(ISNUMBER(Model!AW107),Model!AW107,0)</f>
        <v>-0.00302430015047225</v>
      </c>
      <c r="R9" s="205" t="n">
        <f aca="false">IF(ISNUMBER(Model!BB107),Model!BB107,0)</f>
        <v>0.0024064179576353</v>
      </c>
      <c r="S9" s="205" t="n">
        <f aca="false">IF(ISNUMBER(Model!BG107),Model!BG107,0)</f>
        <v>0.00172171650033591</v>
      </c>
      <c r="T9" s="205" t="n">
        <f aca="false">IF(ISNUMBER(Model!BL107),Model!BL107,0)</f>
        <v>0.000390351773432163</v>
      </c>
      <c r="U9" s="205" t="n">
        <f aca="false">IF(ISNUMBER(Model!BQ107),Model!BQ107,0)</f>
        <v>0.00857378182209619</v>
      </c>
      <c r="V9" s="205" t="n">
        <f aca="false">IF(ISNUMBER(Model!BV107),Model!BV107,0)</f>
        <v>-0.00251788781773558</v>
      </c>
      <c r="W9" s="205" t="n">
        <f aca="false">IF(ISNUMBER(Model!CA107),Model!CA107,0)</f>
        <v>0.00641622975458552</v>
      </c>
    </row>
    <row r="11" customFormat="false" ht="15" hidden="false" customHeight="true" outlineLevel="0" collapsed="false">
      <c r="C11" s="93" t="str">
        <f aca="false">C7</f>
        <v>FY2006</v>
      </c>
      <c r="D11" s="93" t="str">
        <f aca="false">D7</f>
        <v>FY2007</v>
      </c>
      <c r="E11" s="93" t="str">
        <f aca="false">E7</f>
        <v>FY2008</v>
      </c>
      <c r="F11" s="93" t="str">
        <f aca="false">F7</f>
        <v>FY2009</v>
      </c>
      <c r="G11" s="93" t="str">
        <f aca="false">G7</f>
        <v>FY2010</v>
      </c>
      <c r="H11" s="93" t="str">
        <f aca="false">H7</f>
        <v>FY2011</v>
      </c>
      <c r="I11" s="93" t="str">
        <f aca="false">I7</f>
        <v>FY2012</v>
      </c>
      <c r="J11" s="93" t="str">
        <f aca="false">J7</f>
        <v>FY2013</v>
      </c>
      <c r="K11" s="93" t="str">
        <f aca="false">K7</f>
        <v>FY2014</v>
      </c>
      <c r="L11" s="93" t="str">
        <f aca="false">L7</f>
        <v>FY2015</v>
      </c>
      <c r="M11" s="93" t="str">
        <f aca="false">M7</f>
        <v>FY2016</v>
      </c>
      <c r="N11" s="93" t="str">
        <f aca="false">N7</f>
        <v>FY2017</v>
      </c>
      <c r="O11" s="93" t="str">
        <f aca="false">O7</f>
        <v>FY2018</v>
      </c>
      <c r="P11" s="93" t="str">
        <f aca="false">P7</f>
        <v>FY2019</v>
      </c>
      <c r="Q11" s="93" t="str">
        <f aca="false">Q7</f>
        <v>FY2020</v>
      </c>
      <c r="R11" s="93" t="str">
        <f aca="false">R7</f>
        <v>FY2021</v>
      </c>
      <c r="S11" s="93" t="str">
        <f aca="false">S7</f>
        <v>FY2022</v>
      </c>
      <c r="T11" s="93" t="str">
        <f aca="false">T7</f>
        <v>FY2023</v>
      </c>
      <c r="U11" s="93" t="str">
        <f aca="false">U7</f>
        <v>FY2024</v>
      </c>
      <c r="V11" s="93" t="str">
        <f aca="false">V7</f>
        <v>FY2025</v>
      </c>
      <c r="W11" s="93" t="str">
        <f aca="false">W7</f>
        <v>FY2026</v>
      </c>
    </row>
    <row r="12" customFormat="false" ht="15" hidden="false" customHeight="true" outlineLevel="0" collapsed="false">
      <c r="B12" s="1" t="s">
        <v>909</v>
      </c>
      <c r="C12" s="206" t="n">
        <f aca="false">Model!C185</f>
        <v>707.491</v>
      </c>
      <c r="D12" s="206" t="n">
        <f aca="false">Model!D185</f>
        <v>753.323</v>
      </c>
      <c r="E12" s="206" t="n">
        <f aca="false">Model!E185</f>
        <v>769.358</v>
      </c>
      <c r="F12" s="206" t="n">
        <f aca="false">Model!F185</f>
        <v>695.754</v>
      </c>
      <c r="G12" s="206" t="n">
        <f aca="false">Model!G185</f>
        <v>604.599</v>
      </c>
      <c r="H12" s="206" t="n">
        <f aca="false">Model!H185</f>
        <v>633.81</v>
      </c>
      <c r="I12" s="206" t="n">
        <f aca="false">Model!I185</f>
        <v>733.792</v>
      </c>
      <c r="J12" s="206" t="n">
        <f aca="false">Model!N185</f>
        <v>754.588</v>
      </c>
      <c r="K12" s="206" t="n">
        <f aca="false">Model!S185</f>
        <v>802.496</v>
      </c>
      <c r="L12" s="206" t="n">
        <f aca="false">Model!X185</f>
        <v>851.489000000001</v>
      </c>
      <c r="M12" s="206" t="n">
        <f aca="false">Model!AC185</f>
        <v>947.026999999999</v>
      </c>
      <c r="N12" s="206" t="n">
        <f aca="false">Model!AH185</f>
        <v>1049.51</v>
      </c>
      <c r="O12" s="206" t="n">
        <f aca="false">Model!AM185</f>
        <v>1311.147</v>
      </c>
      <c r="P12" s="206" t="n">
        <f aca="false">Model!AR185</f>
        <v>1508.037</v>
      </c>
      <c r="Q12" s="206" t="n">
        <f aca="false">Model!AW185</f>
        <v>1541.749</v>
      </c>
      <c r="R12" s="206" t="n">
        <f aca="false">Model!BB185</f>
        <v>1751.413</v>
      </c>
      <c r="S12" s="206" t="n">
        <f aca="false">Model!BG185</f>
        <v>1944.791</v>
      </c>
      <c r="T12" s="206" t="n">
        <f aca="false">Model!BL185</f>
        <v>2211.826</v>
      </c>
      <c r="U12" s="206" t="n">
        <f aca="false">Model!BQ185</f>
        <v>2511.017</v>
      </c>
      <c r="V12" s="206" t="n">
        <f aca="false">Model!BV185</f>
        <v>2853.909</v>
      </c>
      <c r="W12" s="206" t="n">
        <f aca="false">Model!CA185</f>
        <v>3134.494</v>
      </c>
    </row>
    <row r="13" customFormat="false" ht="15" hidden="false" customHeight="true" outlineLevel="0" collapsed="false">
      <c r="B13" s="1" t="s">
        <v>757</v>
      </c>
      <c r="C13" s="206" t="n">
        <f aca="false">Model!C143</f>
        <v>546.838</v>
      </c>
      <c r="D13" s="206" t="n">
        <f aca="false">Model!D143</f>
        <v>577.397</v>
      </c>
      <c r="E13" s="206" t="n">
        <f aca="false">Model!E143</f>
        <v>577.455</v>
      </c>
      <c r="F13" s="206" t="n">
        <f aca="false">Model!F143</f>
        <v>409.065</v>
      </c>
      <c r="G13" s="206" t="n">
        <f aca="false">Model!G143</f>
        <v>390.809</v>
      </c>
      <c r="H13" s="206" t="n">
        <f aca="false">Model!H143</f>
        <v>440.343</v>
      </c>
      <c r="I13" s="206" t="n">
        <f aca="false">Model!I143</f>
        <v>539.627</v>
      </c>
      <c r="J13" s="206" t="n">
        <f aca="false">Model!N143</f>
        <v>565.211</v>
      </c>
      <c r="K13" s="206" t="n">
        <f aca="false">Model!S143</f>
        <v>567.01</v>
      </c>
      <c r="L13" s="206" t="n">
        <f aca="false">Model!X143</f>
        <v>696.407</v>
      </c>
      <c r="M13" s="206" t="n">
        <f aca="false">Model!AC143</f>
        <v>781.747999999999</v>
      </c>
      <c r="N13" s="206" t="n">
        <f aca="false">Model!AH143</f>
        <v>773.691</v>
      </c>
      <c r="O13" s="206" t="n">
        <f aca="false">Model!AM143</f>
        <v>949.834</v>
      </c>
      <c r="P13" s="206" t="n">
        <f aca="false">Model!AR143</f>
        <v>1133.534</v>
      </c>
      <c r="Q13" s="206" t="n">
        <f aca="false">Model!AW143</f>
        <v>1162.696</v>
      </c>
      <c r="R13" s="206" t="n">
        <f aca="false">Model!BB143</f>
        <v>1385.492</v>
      </c>
      <c r="S13" s="206" t="n">
        <f aca="false">Model!BG143</f>
        <v>1587.37</v>
      </c>
      <c r="T13" s="206" t="n">
        <f aca="false">Model!BL143</f>
        <v>1802.664</v>
      </c>
      <c r="U13" s="206" t="n">
        <f aca="false">Model!BQ143</f>
        <v>2068.633</v>
      </c>
      <c r="V13" s="206" t="n">
        <f aca="false">Model!BV143</f>
        <v>2359.726</v>
      </c>
      <c r="W13" s="206" t="n">
        <f aca="false">Model!CA143</f>
        <v>2606.512</v>
      </c>
    </row>
    <row r="14" customFormat="false" ht="15" hidden="false" customHeight="true" outlineLevel="0" collapsed="false">
      <c r="B14" s="1" t="s">
        <v>910</v>
      </c>
      <c r="C14" s="205" t="n">
        <f aca="false">Model!C221</f>
        <v>0.207865006781039</v>
      </c>
      <c r="D14" s="205" t="n">
        <f aca="false">Model!D221</f>
        <v>0.203221829561089</v>
      </c>
      <c r="E14" s="205" t="n">
        <f aca="false">Model!E221</f>
        <v>0.195372660555118</v>
      </c>
      <c r="F14" s="205" t="n">
        <f aca="false">Model!F221</f>
        <v>0.184321075798378</v>
      </c>
      <c r="G14" s="205" t="n">
        <f aca="false">Model!G221</f>
        <v>0.170437333449101</v>
      </c>
      <c r="H14" s="205" t="n">
        <f aca="false">Model!H221</f>
        <v>0.166337565977602</v>
      </c>
      <c r="I14" s="205" t="n">
        <f aca="false">Model!I221</f>
        <v>0.178886396879571</v>
      </c>
      <c r="J14" s="205" t="n">
        <f aca="false">Model!N221</f>
        <v>0.174815954978036</v>
      </c>
      <c r="K14" s="205" t="n">
        <f aca="false">Model!S221</f>
        <v>0.17630253622074</v>
      </c>
      <c r="L14" s="205" t="n">
        <f aca="false">Model!X221</f>
        <v>0.190196712625696</v>
      </c>
      <c r="M14" s="205" t="n">
        <f aca="false">Model!AC221</f>
        <v>0.193055775831737</v>
      </c>
      <c r="N14" s="205" t="n">
        <f aca="false">Model!AH221</f>
        <v>0.197151021127363</v>
      </c>
      <c r="O14" s="205" t="n">
        <f aca="false">Model!AM221</f>
        <v>0.202442720228662</v>
      </c>
      <c r="P14" s="205" t="n">
        <f aca="false">Model!AR221</f>
        <v>0.218800160120645</v>
      </c>
      <c r="Q14" s="205" t="n">
        <f aca="false">Model!AW221</f>
        <v>0.217603794995709</v>
      </c>
      <c r="R14" s="205" t="n">
        <f aca="false">Model!BB221</f>
        <v>0.24611148427422</v>
      </c>
      <c r="S14" s="205" t="n">
        <f aca="false">Model!BG221</f>
        <v>0.247603431375732</v>
      </c>
      <c r="T14" s="205" t="n">
        <f aca="false">Model!BL221</f>
        <v>0.250894278196264</v>
      </c>
      <c r="U14" s="205" t="n">
        <f aca="false">Model!BQ221</f>
        <v>0.261656532016758</v>
      </c>
      <c r="V14" s="205" t="n">
        <f aca="false">Model!BV221</f>
        <v>0.276001841747258</v>
      </c>
      <c r="W14" s="205" t="n">
        <f aca="false">Model!CA221</f>
        <v>0.278256591506913</v>
      </c>
    </row>
    <row r="15" customFormat="false" ht="15" hidden="false" customHeight="true" outlineLevel="0" collapsed="false">
      <c r="B15" s="1" t="s">
        <v>911</v>
      </c>
      <c r="C15" s="205" t="n">
        <f aca="false">Model!C223</f>
        <v>0.160664212800064</v>
      </c>
      <c r="D15" s="205" t="n">
        <f aca="false">Model!D223</f>
        <v>0.15576276673231</v>
      </c>
      <c r="E15" s="205" t="n">
        <f aca="false">Model!E223</f>
        <v>0.146640341298662</v>
      </c>
      <c r="F15" s="205" t="n">
        <f aca="false">Model!F223</f>
        <v>0.108370632251433</v>
      </c>
      <c r="G15" s="205" t="n">
        <f aca="false">Model!G223</f>
        <v>0.110169622920166</v>
      </c>
      <c r="H15" s="205" t="n">
        <f aca="false">Model!H223</f>
        <v>0.115563943161634</v>
      </c>
      <c r="I15" s="205" t="n">
        <f aca="false">Model!I223</f>
        <v>0.13155216967333</v>
      </c>
      <c r="J15" s="205" t="n">
        <f aca="false">Model!N223</f>
        <v>0.130942846598529</v>
      </c>
      <c r="K15" s="205" t="n">
        <f aca="false">Model!S223</f>
        <v>0.124567974248497</v>
      </c>
      <c r="L15" s="205" t="n">
        <f aca="false">Model!X223</f>
        <v>0.155556116461308</v>
      </c>
      <c r="M15" s="205" t="n">
        <f aca="false">Model!AC223</f>
        <v>0.159362897409375</v>
      </c>
      <c r="N15" s="205" t="n">
        <f aca="false">Model!AH223</f>
        <v>0.145338272800688</v>
      </c>
      <c r="O15" s="205" t="n">
        <f aca="false">Model!AM223</f>
        <v>0.146655545660152</v>
      </c>
      <c r="P15" s="205" t="n">
        <f aca="false">Model!AR223</f>
        <v>0.164463750360366</v>
      </c>
      <c r="Q15" s="205" t="n">
        <f aca="false">Model!AW223</f>
        <v>0.16410392484531</v>
      </c>
      <c r="R15" s="205" t="n">
        <f aca="false">Model!BB223</f>
        <v>0.194691653293688</v>
      </c>
      <c r="S15" s="205" t="n">
        <f aca="false">Model!BG223</f>
        <v>0.202097942073413</v>
      </c>
      <c r="T15" s="205" t="n">
        <f aca="false">Model!BL223</f>
        <v>0.204481764438247</v>
      </c>
      <c r="U15" s="205" t="n">
        <f aca="false">Model!BQ223</f>
        <v>0.215558611031077</v>
      </c>
      <c r="V15" s="205" t="n">
        <f aca="false">Model!BV223</f>
        <v>0.228209351461062</v>
      </c>
      <c r="W15" s="205" t="n">
        <f aca="false">Model!CA223</f>
        <v>0.231386356088691</v>
      </c>
    </row>
    <row r="17" customFormat="false" ht="15" hidden="false" customHeight="true" outlineLevel="0" collapsed="false">
      <c r="C17" s="93" t="str">
        <f aca="false">C7</f>
        <v>FY2006</v>
      </c>
      <c r="D17" s="93" t="str">
        <f aca="false">D7</f>
        <v>FY2007</v>
      </c>
      <c r="E17" s="93" t="str">
        <f aca="false">E7</f>
        <v>FY2008</v>
      </c>
      <c r="F17" s="93" t="str">
        <f aca="false">F7</f>
        <v>FY2009</v>
      </c>
      <c r="G17" s="93" t="str">
        <f aca="false">G7</f>
        <v>FY2010</v>
      </c>
      <c r="H17" s="93" t="str">
        <f aca="false">H7</f>
        <v>FY2011</v>
      </c>
      <c r="I17" s="93" t="str">
        <f aca="false">I7</f>
        <v>FY2012</v>
      </c>
      <c r="J17" s="93" t="str">
        <f aca="false">J7</f>
        <v>FY2013</v>
      </c>
      <c r="K17" s="93" t="str">
        <f aca="false">K7</f>
        <v>FY2014</v>
      </c>
      <c r="L17" s="93" t="str">
        <f aca="false">L7</f>
        <v>FY2015</v>
      </c>
      <c r="M17" s="93" t="str">
        <f aca="false">M7</f>
        <v>FY2016</v>
      </c>
      <c r="N17" s="93" t="str">
        <f aca="false">N7</f>
        <v>FY2017</v>
      </c>
      <c r="O17" s="93" t="str">
        <f aca="false">O7</f>
        <v>FY2018</v>
      </c>
      <c r="P17" s="93" t="str">
        <f aca="false">P7</f>
        <v>FY2019</v>
      </c>
      <c r="Q17" s="93" t="str">
        <f aca="false">Q7</f>
        <v>FY2020</v>
      </c>
      <c r="R17" s="93" t="str">
        <f aca="false">R7</f>
        <v>FY2021</v>
      </c>
      <c r="S17" s="93" t="str">
        <f aca="false">S7</f>
        <v>FY2022</v>
      </c>
      <c r="T17" s="93" t="str">
        <f aca="false">T7</f>
        <v>FY2023</v>
      </c>
      <c r="U17" s="93" t="str">
        <f aca="false">U7</f>
        <v>FY2024</v>
      </c>
      <c r="V17" s="93" t="str">
        <f aca="false">V7</f>
        <v>FY2025</v>
      </c>
      <c r="W17" s="93" t="str">
        <f aca="false">W7</f>
        <v>FY2026</v>
      </c>
    </row>
    <row r="18" customFormat="false" ht="15" hidden="false" customHeight="true" outlineLevel="0" collapsed="false">
      <c r="B18" s="1" t="s">
        <v>785</v>
      </c>
      <c r="C18" s="205" t="n">
        <f aca="false">IFERROR(Model!C390+0,NA())</f>
        <v>0.129356450218399</v>
      </c>
      <c r="D18" s="205" t="n">
        <f aca="false">IFERROR(Model!D390+0,NA())</f>
        <v>0.125116020550852</v>
      </c>
      <c r="E18" s="205" t="n">
        <f aca="false">IFERROR(Model!E390+0,NA())</f>
        <v>0.12139795743079</v>
      </c>
      <c r="F18" s="205" t="n">
        <f aca="false">IFERROR(Model!F390+0,NA())</f>
        <v>0.10684681439302</v>
      </c>
      <c r="G18" s="205" t="n">
        <f aca="false">IFERROR(Model!G390+0,NA())</f>
        <v>0.0936762144452874</v>
      </c>
      <c r="H18" s="205" t="n">
        <f aca="false">IFERROR(Model!H390+0,NA())</f>
        <v>0.0904131456321826</v>
      </c>
      <c r="I18" s="205" t="n">
        <f aca="false">IFERROR(Model!I390+0,NA())</f>
        <v>0.110581169934723</v>
      </c>
      <c r="J18" s="205" t="n">
        <f aca="false">IFERROR(Model!N390+0,NA())</f>
        <v>0.113124507301749</v>
      </c>
      <c r="K18" s="205" t="n">
        <f aca="false">IFERROR(Model!S390+0,NA())</f>
        <v>0.126408892702364</v>
      </c>
      <c r="L18" s="205" t="n">
        <f aca="false">IFERROR(Model!X390+0,NA())</f>
        <v>0.156315785510771</v>
      </c>
      <c r="M18" s="205" t="n">
        <f aca="false">IFERROR(Model!AC390+0,NA())</f>
        <v>0.169602349235593</v>
      </c>
      <c r="N18" s="205" t="n">
        <f aca="false">IFERROR(Model!AH390+0,NA())</f>
        <v>0.108180758262793</v>
      </c>
      <c r="O18" s="205" t="n">
        <f aca="false">IFERROR(Model!AM390+0,NA())</f>
        <v>0.177664814806937</v>
      </c>
      <c r="P18" s="205" t="n">
        <f aca="false">IFERROR(Model!AR390+0,NA())</f>
        <v>0.159681202936401</v>
      </c>
      <c r="Q18" s="205" t="n">
        <f aca="false">IFERROR(Model!AW390+0,NA())</f>
        <v>0.171030440028442</v>
      </c>
      <c r="R18" s="205" t="n">
        <f aca="false">IFERROR(Model!BB390+0,NA())</f>
        <v>0.205067055704622</v>
      </c>
      <c r="S18" s="205" t="n">
        <f aca="false">IFERROR(Model!BG390+0,NA())</f>
        <v>0.211857850326832</v>
      </c>
      <c r="T18" s="205" t="n">
        <f aca="false">IFERROR(Model!BL390+0,NA())</f>
        <v>0.230508519334119</v>
      </c>
      <c r="U18" s="205" t="n">
        <f aca="false">IFERROR(Model!BQ390+0,NA())</f>
        <v>0.255390289869734</v>
      </c>
      <c r="V18" s="205" t="n">
        <f aca="false">IFERROR(Model!BV390+0,NA())</f>
        <v>0.27590929180217</v>
      </c>
      <c r="W18" s="205" t="n">
        <f aca="false">IFERROR(Model!CA390+0,NA())</f>
        <v>0.287517004943938</v>
      </c>
    </row>
    <row r="19" customFormat="false" ht="15" hidden="false" customHeight="true" outlineLevel="0" collapsed="false">
      <c r="B19" s="1" t="s">
        <v>786</v>
      </c>
      <c r="C19" s="205" t="n">
        <f aca="false">IFERROR(Model!C401+0,NA())</f>
        <v>0.201582014024616</v>
      </c>
      <c r="D19" s="205" t="n">
        <f aca="false">IFERROR(Model!D401+0,NA())</f>
        <v>0.206360898286662</v>
      </c>
      <c r="E19" s="205" t="n">
        <f aca="false">IFERROR(Model!E401+0,NA())</f>
        <v>0.184869603228734</v>
      </c>
      <c r="F19" s="205" t="n">
        <f aca="false">IFERROR(Model!F401+0,NA())</f>
        <v>0.159249006182555</v>
      </c>
      <c r="G19" s="205" t="n">
        <f aca="false">IFERROR(Model!G401+0,NA())</f>
        <v>0.121330327570683</v>
      </c>
      <c r="H19" s="205" t="n">
        <f aca="false">IFERROR(Model!H401+0,NA())</f>
        <v>0.118927809348888</v>
      </c>
      <c r="I19" s="205" t="n">
        <f aca="false">IFERROR(Model!I401+0,NA())</f>
        <v>0.158371023095789</v>
      </c>
      <c r="J19" s="205" t="n">
        <f aca="false">IFERROR(Model!N401+0,NA())</f>
        <v>0.163013094952927</v>
      </c>
      <c r="K19" s="205" t="n">
        <f aca="false">IFERROR(Model!S401+0,NA())</f>
        <v>0.150122453078381</v>
      </c>
      <c r="L19" s="205" t="n">
        <f aca="false">IFERROR(Model!X401+0,NA())</f>
        <v>0.187530293146903</v>
      </c>
      <c r="M19" s="205" t="n">
        <f aca="false">IFERROR(Model!AC401+0,NA())</f>
        <v>0.229914177878755</v>
      </c>
      <c r="N19" s="205" t="n">
        <f aca="false">IFERROR(Model!AH401+0,NA())</f>
        <v>0.209617879356728</v>
      </c>
      <c r="O19" s="205" t="n">
        <f aca="false">IFERROR(Model!AM401+0,NA())</f>
        <v>0.344739225940126</v>
      </c>
      <c r="P19" s="205" t="n">
        <f aca="false">IFERROR(Model!AR401+0,NA())</f>
        <v>0.279858902262553</v>
      </c>
      <c r="Q19" s="205" t="n">
        <f aca="false">IFERROR(Model!AW401+0,NA())</f>
        <v>0.278018341526468</v>
      </c>
      <c r="R19" s="205" t="n">
        <f aca="false">IFERROR(Model!BB401+0,NA())</f>
        <v>0.303143831085437</v>
      </c>
      <c r="S19" s="205" t="n">
        <f aca="false">IFERROR(Model!BG401+0,NA())</f>
        <v>0.354729755298924</v>
      </c>
      <c r="T19" s="205" t="n">
        <f aca="false">IFERROR(Model!BL401+0,NA())</f>
        <v>0.366729233826616</v>
      </c>
      <c r="U19" s="205" t="n">
        <f aca="false">IFERROR(Model!BQ401+0,NA())</f>
        <v>0.387078444580179</v>
      </c>
      <c r="V19" s="205" t="n">
        <f aca="false">IFERROR(Model!BV401+0,NA())</f>
        <v>0.422472039714011</v>
      </c>
      <c r="W19" s="205" t="n">
        <f aca="false">IFERROR(Model!CA401+0,NA())</f>
        <v>0.417804602515516</v>
      </c>
    </row>
    <row r="20" customFormat="false" ht="15" hidden="false" customHeight="true" outlineLevel="0" collapsed="false">
      <c r="B20" s="1" t="s">
        <v>912</v>
      </c>
      <c r="C20" s="205" t="n">
        <f aca="false">IFERROR(Model!C221+0,NA())</f>
        <v>0.207865006781039</v>
      </c>
      <c r="D20" s="205" t="n">
        <f aca="false">IFERROR(Model!D221+0,NA())</f>
        <v>0.203221829561089</v>
      </c>
      <c r="E20" s="205" t="n">
        <f aca="false">IFERROR(Model!E221+0,NA())</f>
        <v>0.195372660555118</v>
      </c>
      <c r="F20" s="205" t="n">
        <f aca="false">IFERROR(Model!F221+0,NA())</f>
        <v>0.184321075798378</v>
      </c>
      <c r="G20" s="205" t="n">
        <f aca="false">IFERROR(Model!G221+0,NA())</f>
        <v>0.170437333449101</v>
      </c>
      <c r="H20" s="205" t="n">
        <f aca="false">IFERROR(Model!H221+0,NA())</f>
        <v>0.166337565977602</v>
      </c>
      <c r="I20" s="205" t="n">
        <f aca="false">IFERROR(Model!I221+0,NA())</f>
        <v>0.178886396879571</v>
      </c>
      <c r="J20" s="205" t="n">
        <f aca="false">IFERROR(Model!N221+0,NA())</f>
        <v>0.174815954978036</v>
      </c>
      <c r="K20" s="205" t="n">
        <f aca="false">IFERROR(Model!S221+0,NA())</f>
        <v>0.17630253622074</v>
      </c>
      <c r="L20" s="205" t="n">
        <f aca="false">IFERROR(Model!X221+0,NA())</f>
        <v>0.190196712625696</v>
      </c>
      <c r="M20" s="205" t="n">
        <f aca="false">IFERROR(Model!AC221+0,NA())</f>
        <v>0.193055775831737</v>
      </c>
      <c r="N20" s="205" t="n">
        <f aca="false">IFERROR(Model!AH221+0,NA())</f>
        <v>0.197151021127363</v>
      </c>
      <c r="O20" s="205" t="n">
        <f aca="false">IFERROR(Model!AM221+0,NA())</f>
        <v>0.202442720228662</v>
      </c>
      <c r="P20" s="205" t="n">
        <f aca="false">IFERROR(Model!AR221+0,NA())</f>
        <v>0.218800160120645</v>
      </c>
      <c r="Q20" s="205" t="n">
        <f aca="false">IFERROR(Model!AW221+0,NA())</f>
        <v>0.217603794995709</v>
      </c>
      <c r="R20" s="205" t="n">
        <f aca="false">IFERROR(Model!BB221+0,NA())</f>
        <v>0.24611148427422</v>
      </c>
      <c r="S20" s="205" t="n">
        <f aca="false">IFERROR(Model!BG221+0,NA())</f>
        <v>0.247603431375732</v>
      </c>
      <c r="T20" s="205" t="n">
        <f aca="false">IFERROR(Model!BL221+0,NA())</f>
        <v>0.250894278196264</v>
      </c>
      <c r="U20" s="205" t="n">
        <f aca="false">IFERROR(Model!BQ221+0,NA())</f>
        <v>0.261656532016758</v>
      </c>
      <c r="V20" s="205" t="n">
        <f aca="false">IFERROR(Model!BV221+0,NA())</f>
        <v>0.276001841747258</v>
      </c>
      <c r="W20" s="205" t="n">
        <f aca="false">IFERROR(Model!CA221+0,NA())</f>
        <v>0.278256591506913</v>
      </c>
    </row>
    <row r="21" customFormat="false" ht="15" hidden="false" customHeight="true" outlineLevel="0" collapsed="false">
      <c r="B21" s="1" t="s">
        <v>913</v>
      </c>
      <c r="C21" s="205" t="n">
        <f aca="false">IFERROR(Model!C260+0,NA())</f>
        <v>0.089685416181887</v>
      </c>
      <c r="D21" s="205" t="n">
        <f aca="false">IFERROR(Model!D260+0,NA())</f>
        <v>0.072450565162265</v>
      </c>
      <c r="E21" s="205" t="n">
        <f aca="false">IFERROR(Model!E260+0,NA())</f>
        <v>0.0899489575662155</v>
      </c>
      <c r="F21" s="205" t="n">
        <f aca="false">IFERROR(Model!F260+0,NA())</f>
        <v>0.0962808817159578</v>
      </c>
      <c r="G21" s="205" t="n">
        <f aca="false">IFERROR(Model!G260+0,NA())</f>
        <v>0.126994910833163</v>
      </c>
      <c r="H21" s="205" t="n">
        <f aca="false">IFERROR(Model!H260+0,NA())</f>
        <v>0.041542794636971</v>
      </c>
      <c r="I21" s="205" t="n">
        <f aca="false">IFERROR(Model!I260+0,NA())</f>
        <v>0.07534373476353</v>
      </c>
      <c r="J21" s="205" t="n">
        <f aca="false">IFERROR(Model!N260+0,NA())</f>
        <v>0.0825354786352092</v>
      </c>
      <c r="K21" s="205" t="n">
        <f aca="false">IFERROR(Model!S260+0,NA())</f>
        <v>0.101583501251809</v>
      </c>
      <c r="L21" s="205" t="n">
        <f aca="false">IFERROR(Model!X260+0,NA())</f>
        <v>0.0809839696610546</v>
      </c>
      <c r="M21" s="205" t="n">
        <f aca="false">IFERROR(Model!AC260+0,NA())</f>
        <v>0.0388261401891526</v>
      </c>
      <c r="N21" s="205" t="n">
        <f aca="false">IFERROR(Model!AH260+0,NA())</f>
        <v>0.0921538398247279</v>
      </c>
      <c r="O21" s="205" t="n">
        <f aca="false">IFERROR(Model!AM260+0,NA())</f>
        <v>0.10691683578749</v>
      </c>
      <c r="P21" s="205" t="n">
        <f aca="false">IFERROR(Model!AR260+0,NA())</f>
        <v>0.114786450914883</v>
      </c>
      <c r="Q21" s="205" t="n">
        <f aca="false">IFERROR(Model!AW260+0,NA())</f>
        <v>0.14977784427081</v>
      </c>
      <c r="R21" s="205" t="n">
        <f aca="false">IFERROR(Model!BB260+0,NA())</f>
        <v>0.171052816475885</v>
      </c>
      <c r="S21" s="205" t="n">
        <f aca="false">IFERROR(Model!BG260+0,NA())</f>
        <v>0.165123148519841</v>
      </c>
      <c r="T21" s="205" t="n">
        <f aca="false">IFERROR(Model!BL260+0,NA())</f>
        <v>0.143686273993795</v>
      </c>
      <c r="U21" s="205" t="n">
        <f aca="false">IFERROR(Model!BQ260+0,NA())</f>
        <v>0.174052204865987</v>
      </c>
      <c r="V21" s="205" t="n">
        <f aca="false">IFERROR(Model!BV260+0,NA())</f>
        <v>0.169921687057509</v>
      </c>
      <c r="W21" s="205" t="n">
        <f aca="false">IFERROR(Model!CA260+0,NA())</f>
        <v>0.166996441380336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2026-10-04T02:35:31Z</dcterms:created>
  <dc:creator>openpyxl</dc:creator>
  <dc:description/>
  <dc:language>en-US</dc:language>
  <cp:lastModifiedBy>Payton Liske</cp:lastModifiedBy>
  <dcterms:modified xsi:type="dcterms:W3CDTF">2026-10-06T18:24:49Z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