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WT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/>
      <c r="BA12" s="291" t="n"/>
      <c r="BB12" s="291" t="n"/>
      <c r="BC12" s="291" t="n"/>
      <c r="BD12" s="291" t="n"/>
      <c r="BE12" s="868" t="n"/>
      <c r="BF12" s="743" t="n"/>
      <c r="BG12" s="743" t="n"/>
      <c r="BH12" s="743" t="n"/>
      <c r="BI12" s="291">
        <f>BJ12-SUM(BF12:BH12)</f>
        <v/>
      </c>
      <c r="BJ12" s="868" t="n"/>
      <c r="BK12" s="743" t="n"/>
      <c r="BL12" s="743" t="n"/>
      <c r="BM12" s="743" t="n"/>
      <c r="BN12" s="291">
        <f>BO12-SUM(BK12:BM12)</f>
        <v/>
      </c>
      <c r="BO12" s="868" t="n"/>
      <c r="BP12" s="743" t="n"/>
      <c r="BQ12" s="743" t="n"/>
      <c r="BR12" s="743" t="n"/>
      <c r="BS12" s="291" t="n"/>
      <c r="BT12" s="864" t="n"/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/>
      <c r="BA13" s="291" t="n"/>
      <c r="BB13" s="291" t="n"/>
      <c r="BC13" s="291" t="n"/>
      <c r="BD13" s="291" t="n"/>
      <c r="BE13" s="868" t="n"/>
      <c r="BF13" s="743" t="n"/>
      <c r="BG13" s="743" t="n"/>
      <c r="BH13" s="743" t="n"/>
      <c r="BI13" s="291">
        <f>BJ13-SUM(BF13:BH13)</f>
        <v/>
      </c>
      <c r="BJ13" s="868" t="n"/>
      <c r="BK13" s="743" t="n"/>
      <c r="BL13" s="743" t="n"/>
      <c r="BM13" s="743" t="n"/>
      <c r="BN13" s="291">
        <f>BO13-SUM(BK13:BM13)</f>
        <v/>
      </c>
      <c r="BO13" s="868" t="n"/>
      <c r="BP13" s="743" t="n"/>
      <c r="BQ13" s="743" t="n"/>
      <c r="BR13" s="743" t="n"/>
      <c r="BS13" s="291" t="n"/>
      <c r="BT13" s="864" t="n"/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 t="n"/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 t="n"/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 t="n"/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/>
      <c r="BA20" s="291" t="n"/>
      <c r="BB20" s="291" t="n"/>
      <c r="BC20" s="291" t="n"/>
      <c r="BD20" s="291" t="n"/>
      <c r="BE20" s="868" t="n"/>
      <c r="BF20" s="743" t="n"/>
      <c r="BG20" s="743" t="n"/>
      <c r="BH20" s="743" t="n"/>
      <c r="BI20" s="291">
        <f>BJ20-SUM(BF20:BH20)</f>
        <v/>
      </c>
      <c r="BJ20" s="868" t="n"/>
      <c r="BK20" s="743" t="n"/>
      <c r="BL20" s="743" t="n"/>
      <c r="BM20" s="743" t="n"/>
      <c r="BN20" s="291">
        <f>BO20-SUM(BK20:BM20)</f>
        <v/>
      </c>
      <c r="BO20" s="868" t="n"/>
      <c r="BP20" s="743" t="n"/>
      <c r="BQ20" s="743" t="n"/>
      <c r="BR20" s="743" t="n"/>
      <c r="BS20" s="291" t="n"/>
      <c r="BT20" s="864" t="n"/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/>
      <c r="BA21" s="291" t="n"/>
      <c r="BB21" s="291" t="n"/>
      <c r="BC21" s="291" t="n"/>
      <c r="BD21" s="291" t="n"/>
      <c r="BE21" s="868" t="n"/>
      <c r="BF21" s="743" t="n"/>
      <c r="BG21" s="743" t="n"/>
      <c r="BH21" s="743" t="n"/>
      <c r="BI21" s="291">
        <f>BJ21-SUM(BF21:BH21)</f>
        <v/>
      </c>
      <c r="BJ21" s="868" t="n"/>
      <c r="BK21" s="743" t="n"/>
      <c r="BL21" s="743" t="n"/>
      <c r="BM21" s="743" t="n"/>
      <c r="BN21" s="291">
        <f>BO21-SUM(BK21:BM21)</f>
        <v/>
      </c>
      <c r="BO21" s="868" t="n"/>
      <c r="BP21" s="743" t="n"/>
      <c r="BQ21" s="743" t="n"/>
      <c r="BR21" s="743" t="n"/>
      <c r="BS21" s="291" t="n"/>
      <c r="BT21" s="864" t="n"/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 t="n"/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 t="n"/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 t="n"/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/>
      <c r="BA27" s="291" t="n"/>
      <c r="BB27" s="291" t="n"/>
      <c r="BC27" s="291" t="n"/>
      <c r="BD27" s="291" t="n"/>
      <c r="BE27" s="868" t="n"/>
      <c r="BF27" s="743" t="n"/>
      <c r="BG27" s="743" t="n"/>
      <c r="BH27" s="743" t="n"/>
      <c r="BI27" s="291">
        <f>BJ27-SUM(BF27:BH27)</f>
        <v/>
      </c>
      <c r="BJ27" s="868" t="n"/>
      <c r="BK27" s="743" t="n"/>
      <c r="BL27" s="743" t="n"/>
      <c r="BM27" s="743" t="n"/>
      <c r="BN27" s="291">
        <f>BO27-SUM(BK27:BM27)</f>
        <v/>
      </c>
      <c r="BO27" s="868" t="n"/>
      <c r="BP27" s="743" t="n"/>
      <c r="BQ27" s="743" t="n"/>
      <c r="BR27" s="743" t="n"/>
      <c r="BS27" s="291" t="n"/>
      <c r="BT27" s="864" t="n"/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/>
      <c r="BA28" s="291" t="n"/>
      <c r="BB28" s="291" t="n"/>
      <c r="BC28" s="291" t="n"/>
      <c r="BD28" s="291" t="n"/>
      <c r="BE28" s="868" t="n"/>
      <c r="BF28" s="743" t="n"/>
      <c r="BG28" s="743" t="n"/>
      <c r="BH28" s="743" t="n"/>
      <c r="BI28" s="291">
        <f>BJ28-SUM(BF28:BH28)</f>
        <v/>
      </c>
      <c r="BJ28" s="868" t="n"/>
      <c r="BK28" s="743" t="n"/>
      <c r="BL28" s="743" t="n"/>
      <c r="BM28" s="743" t="n"/>
      <c r="BN28" s="291">
        <f>BO28-SUM(BK28:BM28)</f>
        <v/>
      </c>
      <c r="BO28" s="868" t="n"/>
      <c r="BP28" s="743" t="n"/>
      <c r="BQ28" s="743" t="n"/>
      <c r="BR28" s="743" t="n"/>
      <c r="BS28" s="291" t="n"/>
      <c r="BT28" s="864" t="n"/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 t="n"/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 t="n"/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 t="n"/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/>
      <c r="BA34" s="291" t="n"/>
      <c r="BB34" s="291" t="n"/>
      <c r="BC34" s="291" t="n"/>
      <c r="BD34" s="291" t="n"/>
      <c r="BE34" s="868" t="n"/>
      <c r="BF34" s="743" t="n"/>
      <c r="BG34" s="743" t="n"/>
      <c r="BH34" s="743" t="n"/>
      <c r="BI34" s="743" t="n"/>
      <c r="BJ34" s="868" t="n"/>
      <c r="BK34" s="291" t="n"/>
      <c r="BL34" s="291" t="n"/>
      <c r="BM34" s="291" t="n"/>
      <c r="BN34" s="291" t="n"/>
      <c r="BO34" s="864" t="n"/>
      <c r="BP34" s="291" t="n"/>
      <c r="BQ34" s="291" t="n"/>
      <c r="BR34" s="291" t="n"/>
      <c r="BS34" s="291" t="n"/>
      <c r="BT34" s="864" t="n"/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/>
      <c r="BA35" s="291" t="n"/>
      <c r="BB35" s="291" t="n"/>
      <c r="BC35" s="291" t="n"/>
      <c r="BD35" s="291" t="n"/>
      <c r="BE35" s="868" t="n"/>
      <c r="BF35" s="743" t="n"/>
      <c r="BG35" s="743" t="n"/>
      <c r="BH35" s="743" t="n"/>
      <c r="BI35" s="743" t="n"/>
      <c r="BJ35" s="868" t="n"/>
      <c r="BK35" s="291" t="n"/>
      <c r="BL35" s="291" t="n"/>
      <c r="BM35" s="291" t="n"/>
      <c r="BN35" s="291" t="n"/>
      <c r="BO35" s="864" t="n"/>
      <c r="BP35" s="291" t="n"/>
      <c r="BQ35" s="291" t="n"/>
      <c r="BR35" s="291" t="n"/>
      <c r="BS35" s="291" t="n"/>
      <c r="BT35" s="864" t="n"/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 t="n"/>
      <c r="BF36" s="974" t="n"/>
      <c r="BG36" s="974" t="n"/>
      <c r="BH36" s="974" t="n"/>
      <c r="BI36" s="974" t="n"/>
      <c r="BJ36" s="975" t="n"/>
      <c r="BK36" s="974" t="n"/>
      <c r="BL36" s="974" t="n"/>
      <c r="BM36" s="974" t="n"/>
      <c r="BN36" s="974" t="n"/>
      <c r="BO36" s="975" t="n"/>
      <c r="BP36" s="974" t="n"/>
      <c r="BQ36" s="974" t="n"/>
      <c r="BR36" s="974" t="n"/>
      <c r="BS36" s="974" t="n"/>
      <c r="BT36" s="975" t="n"/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 t="n"/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 t="n"/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 t="n"/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 t="n"/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Package and Courier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/>
      <c r="BZ54" s="743" t="n"/>
      <c r="CA54" s="743" t="n"/>
      <c r="CB54" s="743" t="n"/>
      <c r="CC54" s="291">
        <f>CD54-BZ54-CA54-CB54</f>
        <v/>
      </c>
      <c r="CD54" s="868" t="n"/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IFERROR(BY54/BT54-1,"")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/>
      <c r="BZ56" s="977" t="n"/>
      <c r="CA56" s="977" t="n"/>
      <c r="CB56" s="977" t="n"/>
      <c r="CC56" s="978">
        <f>CD56-BZ56-CA56-CB56</f>
        <v/>
      </c>
      <c r="CD56" s="982" t="n"/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IFERROR(BY56/BT56-1,"")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IFERROR((BY56-BT56)/(BY54-BT54),"")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Less-Than-Truckload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/>
      <c r="BZ65" s="743" t="n"/>
      <c r="CA65" s="743" t="n"/>
      <c r="CB65" s="743" t="n"/>
      <c r="CC65" s="291">
        <f>CD65-BZ65-CA65-CB65</f>
        <v/>
      </c>
      <c r="CD65" s="868" t="n"/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IFERROR(BY65/BT65-1,"")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/>
      <c r="BZ67" s="743" t="n"/>
      <c r="CA67" s="743" t="n"/>
      <c r="CB67" s="743" t="n"/>
      <c r="CC67" s="291">
        <f>CD67-BZ67-CA67-CB67</f>
        <v/>
      </c>
      <c r="CD67" s="868" t="n"/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IFERROR(BY67/BT67-1,"")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IFERROR((BY67-BT67)/(BY65-BT65),"")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Truckload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/>
      <c r="BZ76" s="743" t="n"/>
      <c r="CA76" s="743" t="n"/>
      <c r="CB76" s="743" t="n"/>
      <c r="CC76" s="291">
        <f>CD76-BZ76-CA76-CB76</f>
        <v/>
      </c>
      <c r="CD76" s="868" t="n"/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IFERROR(BY76/BT76-1,"")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/>
      <c r="BZ78" s="743" t="n"/>
      <c r="CA78" s="743" t="n"/>
      <c r="CB78" s="743" t="n"/>
      <c r="CC78" s="291">
        <f>CD78-BZ78-CA78-CB78</f>
        <v/>
      </c>
      <c r="CD78" s="868" t="n"/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IFERROR(BY78/BT78-1,"")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IFERROR((BY78-BT78)/(BY76-BT76),"")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Logistics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BE114</f>
        <v/>
      </c>
      <c r="BF98" s="291" t="n"/>
      <c r="BG98" s="291" t="n"/>
      <c r="BH98" s="291" t="n"/>
      <c r="BI98" s="291" t="n"/>
      <c r="BJ98" s="864">
        <f>BJ114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BO114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BT54+BT65+BT76+BT87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 t="n"/>
      <c r="BF102" s="974" t="n"/>
      <c r="BG102" s="974" t="n"/>
      <c r="BH102" s="974" t="n"/>
      <c r="BI102" s="974" t="n"/>
      <c r="BJ102" s="975" t="n"/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BO56+BO67+BO78+BO89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BT56+BT67+BT78+BT89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IFERROR((BY102-BT102)/(BY98-BT98),"")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/>
      <c r="BA114" s="291" t="n"/>
      <c r="BB114" s="291" t="n"/>
      <c r="BC114" s="291" t="n"/>
      <c r="BD114" s="291" t="n"/>
      <c r="BE114" s="868" t="n"/>
      <c r="BF114" s="743" t="n"/>
      <c r="BG114" s="743" t="n"/>
      <c r="BH114" s="743" t="n"/>
      <c r="BI114" s="743" t="n"/>
      <c r="BJ114" s="864">
        <f>SUM(BF114:BI114)</f>
        <v/>
      </c>
      <c r="BK114" s="743" t="n"/>
      <c r="BL114" s="743" t="n"/>
      <c r="BM114" s="743" t="n"/>
      <c r="BN114" s="743" t="n"/>
      <c r="BO114" s="864">
        <f>SUM(BK114:BN114)</f>
        <v/>
      </c>
      <c r="BP114" s="743" t="n"/>
      <c r="BQ114" s="743" t="n"/>
      <c r="BR114" s="743" t="n"/>
      <c r="BS114" s="743" t="n"/>
      <c r="BT114" s="864">
        <f>SUM(BP114:BS114)</f>
        <v/>
      </c>
      <c r="BU114" s="743" t="n"/>
      <c r="BV114" s="743" t="n"/>
      <c r="BW114" s="743" t="n"/>
      <c r="BX114" s="743" t="n"/>
      <c r="BY114" s="864">
        <f>SUM(BU114:BX114)</f>
        <v/>
      </c>
      <c r="BZ114" s="743" t="n"/>
      <c r="CA114" s="743" t="n"/>
      <c r="CB114" s="743" t="n"/>
      <c r="CC114" s="743" t="n"/>
      <c r="CD114" s="864">
        <f>SUM(BZ114:CC114)</f>
        <v/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  <c r="NVU114" t="n">
        <v>3781.134</v>
      </c>
      <c r="NVZ114" t="n">
        <v>7220.429</v>
      </c>
      <c r="NWE114" t="n">
        <v>8812.491</v>
      </c>
      <c r="NWJ114" t="n">
        <v>7521.167</v>
      </c>
      <c r="NWO114" t="n">
        <v>8396.83</v>
      </c>
      <c r="NWT114" t="n">
        <v>7884.671</v>
      </c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>
        <f>37.839+0+0+121.324+20.707</f>
        <v/>
      </c>
      <c r="BF125" s="825" t="n"/>
      <c r="BG125" s="825" t="n"/>
      <c r="BH125" s="825" t="n"/>
      <c r="BI125" s="825" t="n"/>
      <c r="BJ125" s="878">
        <f>SUM(BF125:BI125)</f>
        <v/>
      </c>
      <c r="BK125" s="825" t="n"/>
      <c r="BL125" s="825" t="n"/>
      <c r="BM125" s="825" t="n"/>
      <c r="BN125" s="825" t="n"/>
      <c r="BO125" s="878">
        <f>SUM(BK125:BN125)</f>
        <v/>
      </c>
      <c r="BP125" s="825" t="n"/>
      <c r="BQ125" s="825" t="n"/>
      <c r="BR125" s="825" t="n"/>
      <c r="BS125" s="825" t="n"/>
      <c r="BT125" s="878">
        <f>SUM(BP125:BS125)</f>
        <v/>
      </c>
      <c r="BU125" s="825" t="n"/>
      <c r="BV125" s="825" t="n"/>
      <c r="BW125" s="825" t="n"/>
      <c r="BX125" s="825" t="n"/>
      <c r="BY125" s="878">
        <f>SUM(BU125:BX125)</f>
        <v/>
      </c>
      <c r="BZ125" s="825" t="n"/>
      <c r="CA125" s="825" t="n"/>
      <c r="CB125" s="825" t="n"/>
      <c r="CC125" s="825" t="n"/>
      <c r="CD125" s="878">
        <f>SUM(BZ125:CC125)</f>
        <v/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  <c r="NVU125" t="n">
        <v>-150.572</v>
      </c>
      <c r="NVZ125" t="n">
        <v>-380.342</v>
      </c>
      <c r="NWE125" t="n">
        <v>-492.291</v>
      </c>
      <c r="NWJ125" t="n">
        <v>-434.751</v>
      </c>
      <c r="NWO125" t="n">
        <v>-435.486</v>
      </c>
      <c r="NWT125" t="n">
        <v>-416.642</v>
      </c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>
        <f>AZ116-AZ117-AZ118-IFERROR(AZ119,0)-IFERROR(AZ121,0)-IFERROR(AZ122,0)-IFERROR(AZ123,0)-IFERROR(AZ124,0)-IFERROR(AZ125,0)</f>
        <v/>
      </c>
      <c r="BA126" s="274" t="n"/>
      <c r="BB126" s="274" t="n"/>
      <c r="BC126" s="274" t="n"/>
      <c r="BD126" s="274" t="n"/>
      <c r="BE126" s="871">
        <f>BE116-BE117-BE118-IFERROR(BE119,0)-IFERROR(BE121,0)-IFERROR(BE122,0)-IFERROR(BE123,0)-IFERROR(BE124,0)-IFERROR(BE125,0)</f>
        <v/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>
        <f>BJ116-BJ117-BJ118-IFERROR(BJ119,0)-IFERROR(BJ121,0)-IFERROR(BJ122,0)-IFERROR(BJ123,0)-IFERROR(BJ124,0)-IFERROR(BJ125,0)</f>
        <v/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>
        <f>BO116-BO117-BO118-IFERROR(BO119,0)-IFERROR(BO121,0)-IFERROR(BO122,0)-IFERROR(BO123,0)-IFERROR(BO124,0)-IFERROR(BO125,0)</f>
        <v/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>
        <f>BT116-BT117-BT118-IFERROR(BT119,0)-IFERROR(BT121,0)-IFERROR(BT122,0)-IFERROR(BT123,0)-IFERROR(BT124,0)-IFERROR(BT125,0)</f>
        <v/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>
        <f>BY116-BY117-BY118-IFERROR(BY119,0)-IFERROR(BY121,0)-IFERROR(BY122,0)-IFERROR(BY123,0)-IFERROR(BY124,0)-IFERROR(BY125,0)</f>
        <v/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>
        <f>CD116-CD117-CD118-IFERROR(CD119,0)-IFERROR(CD121,0)-IFERROR(CD122,0)-IFERROR(CD123,0)-IFERROR(CD124,0)-IFERROR(CD125,0)</f>
        <v/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  <c r="NVU126" t="n">
        <v>416.567</v>
      </c>
      <c r="NVZ126" t="n">
        <v>979.229</v>
      </c>
      <c r="NWE126" t="n">
        <v>1146.038</v>
      </c>
      <c r="NWJ126" t="n">
        <v>757.635</v>
      </c>
      <c r="NWO126" t="n">
        <v>718.962</v>
      </c>
      <c r="NWT126" t="n">
        <v>565.316</v>
      </c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/>
      <c r="BA127" s="291" t="n"/>
      <c r="BB127" s="291" t="n"/>
      <c r="BC127" s="291" t="n"/>
      <c r="BD127" s="291" t="n"/>
      <c r="BE127" s="868" t="n"/>
      <c r="BF127" s="743" t="n"/>
      <c r="BG127" s="743" t="n"/>
      <c r="BH127" s="743" t="n"/>
      <c r="BI127" s="743" t="n"/>
      <c r="BJ127" s="864">
        <f>SUM(BF127:BI127)</f>
        <v/>
      </c>
      <c r="BK127" s="743" t="n"/>
      <c r="BL127" s="743" t="n"/>
      <c r="BM127" s="743" t="n"/>
      <c r="BN127" s="743" t="n"/>
      <c r="BO127" s="864">
        <f>SUM(BK127:BN127)</f>
        <v/>
      </c>
      <c r="BP127" s="743" t="n"/>
      <c r="BQ127" s="743" t="n"/>
      <c r="BR127" s="743" t="n"/>
      <c r="BS127" s="743" t="n"/>
      <c r="BT127" s="864">
        <f>SUM(BP127:BS127)</f>
        <v/>
      </c>
      <c r="BU127" s="743" t="n"/>
      <c r="BV127" s="743" t="n"/>
      <c r="BW127" s="743" t="n"/>
      <c r="BX127" s="743" t="n"/>
      <c r="BY127" s="864">
        <f>SUM(BU127:BX127)</f>
        <v/>
      </c>
      <c r="BZ127" s="743" t="n"/>
      <c r="CA127" s="743" t="n"/>
      <c r="CB127" s="743" t="n"/>
      <c r="CC127" s="743" t="n"/>
      <c r="CD127" s="864">
        <f>SUM(BZ127:CC127)</f>
        <v/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  <c r="NVU127" t="n">
        <v>56.686</v>
      </c>
      <c r="NVZ127" t="n">
        <v>78.145</v>
      </c>
      <c r="NWE127" t="n">
        <v>82.14700000000001</v>
      </c>
      <c r="NWJ127" t="n">
        <v>89.483</v>
      </c>
      <c r="NWO127" t="n">
        <v>171.999</v>
      </c>
      <c r="NWT127" t="n">
        <v>162.268</v>
      </c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/>
      <c r="BA128" s="291" t="n"/>
      <c r="BB128" s="291" t="n"/>
      <c r="BC128" s="291" t="n"/>
      <c r="BD128" s="291" t="n"/>
      <c r="BE128" s="868" t="n"/>
      <c r="BF128" s="291" t="n"/>
      <c r="BG128" s="291" t="n"/>
      <c r="BH128" s="291" t="n"/>
      <c r="BI128" s="291" t="n"/>
      <c r="BJ128" s="868" t="n"/>
      <c r="BK128" s="291" t="n"/>
      <c r="BL128" s="291" t="n"/>
      <c r="BM128" s="291" t="n"/>
      <c r="BN128" s="291" t="n"/>
      <c r="BO128" s="868" t="n"/>
      <c r="BP128" s="291" t="n"/>
      <c r="BQ128" s="291" t="n"/>
      <c r="BR128" s="291" t="n"/>
      <c r="BS128" s="291" t="n"/>
      <c r="BT128" s="868" t="n"/>
      <c r="BU128" s="291" t="n"/>
      <c r="BV128" s="291" t="n"/>
      <c r="BW128" s="291" t="n"/>
      <c r="BX128" s="291" t="n"/>
      <c r="BY128" s="868" t="n"/>
      <c r="BZ128" s="291" t="n"/>
      <c r="CA128" s="291" t="n"/>
      <c r="CB128" s="291" t="n"/>
      <c r="CC128" s="291" t="n"/>
      <c r="CD128" s="868" t="n"/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  <c r="NVU128" t="n">
        <v>2.776</v>
      </c>
      <c r="NVZ128" t="n">
        <v>5.127</v>
      </c>
      <c r="NWE128" t="n">
        <v>1.75</v>
      </c>
      <c r="NWJ128" t="n">
        <v>8.612</v>
      </c>
      <c r="NWO128" t="n">
        <v>13.76</v>
      </c>
      <c r="NWT128" t="n">
        <v>2.312</v>
      </c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>
        <f>AZ126-AZ127+AZ128+AZ129</f>
        <v/>
      </c>
      <c r="BA130" s="678" t="n"/>
      <c r="BB130" s="678" t="n"/>
      <c r="BC130" s="678" t="n"/>
      <c r="BD130" s="678" t="n"/>
      <c r="BE130" s="870">
        <f>BE126-BE127+BE128+BE129</f>
        <v/>
      </c>
      <c r="BF130" s="775" t="n"/>
      <c r="BG130" s="775" t="n"/>
      <c r="BH130" s="775" t="n"/>
      <c r="BI130" s="775" t="n"/>
      <c r="BJ130" s="870">
        <f>SUM(BF130:BI130)</f>
        <v/>
      </c>
      <c r="BK130" s="775" t="n"/>
      <c r="BL130" s="775" t="n"/>
      <c r="BM130" s="775" t="n"/>
      <c r="BN130" s="775" t="n"/>
      <c r="BO130" s="870">
        <f>SUM(BK130:BN130)</f>
        <v/>
      </c>
      <c r="BP130" s="775" t="n"/>
      <c r="BQ130" s="775" t="n"/>
      <c r="BR130" s="775" t="n"/>
      <c r="BS130" s="775" t="n"/>
      <c r="BT130" s="870">
        <f>SUM(BP130:BS130)</f>
        <v/>
      </c>
      <c r="BU130" s="775" t="n"/>
      <c r="BV130" s="775" t="n"/>
      <c r="BW130" s="775" t="n"/>
      <c r="BX130" s="775" t="n"/>
      <c r="BY130" s="870">
        <f>SUM(BU130:BX130)</f>
        <v/>
      </c>
      <c r="BZ130" s="775" t="n"/>
      <c r="CA130" s="775" t="n"/>
      <c r="CB130" s="775" t="n"/>
      <c r="CC130" s="775" t="n"/>
      <c r="CD130" s="870">
        <f>SUM(BZ130:CC130)</f>
        <v/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  <c r="NVU130" t="n">
        <v>362.657</v>
      </c>
      <c r="NVZ130" t="n">
        <v>906.211</v>
      </c>
      <c r="NWE130" t="n">
        <v>1065.641</v>
      </c>
      <c r="NWJ130" t="n">
        <v>676.764</v>
      </c>
      <c r="NWO130" t="n">
        <v>560.723</v>
      </c>
      <c r="NWT130" t="n">
        <v>405.36</v>
      </c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/>
      <c r="BA131" s="291" t="n"/>
      <c r="BB131" s="291" t="n"/>
      <c r="BC131" s="291" t="n"/>
      <c r="BD131" s="291" t="n"/>
      <c r="BE131" s="868" t="n"/>
      <c r="BF131" s="743" t="n"/>
      <c r="BG131" s="743" t="n"/>
      <c r="BH131" s="743" t="n"/>
      <c r="BI131" s="743" t="n"/>
      <c r="BJ131" s="864">
        <f>SUM(BF131:BI131)</f>
        <v/>
      </c>
      <c r="BK131" s="743" t="n"/>
      <c r="BL131" s="743" t="n"/>
      <c r="BM131" s="743" t="n"/>
      <c r="BN131" s="743" t="n"/>
      <c r="BO131" s="864">
        <f>SUM(BK131:BN131)</f>
        <v/>
      </c>
      <c r="BP131" s="743" t="n"/>
      <c r="BQ131" s="743" t="n"/>
      <c r="BR131" s="743" t="n"/>
      <c r="BS131" s="743" t="n"/>
      <c r="BT131" s="864">
        <f>SUM(BP131:BS131)</f>
        <v/>
      </c>
      <c r="BU131" s="743" t="n"/>
      <c r="BV131" s="743" t="n"/>
      <c r="BW131" s="743" t="n"/>
      <c r="BX131" s="743" t="n"/>
      <c r="BY131" s="864">
        <f>SUM(BU131:BX131)</f>
        <v/>
      </c>
      <c r="BZ131" s="743" t="n"/>
      <c r="CA131" s="743" t="n"/>
      <c r="CB131" s="743" t="n"/>
      <c r="CC131" s="743" t="n"/>
      <c r="CD131" s="864">
        <f>SUM(BZ131:CC131)</f>
        <v/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  <c r="NVU131" t="n">
        <v>86.982</v>
      </c>
      <c r="NVZ131" t="n">
        <v>151.806</v>
      </c>
      <c r="NWE131" t="n">
        <v>242.409</v>
      </c>
      <c r="NWJ131" t="n">
        <v>171.887</v>
      </c>
      <c r="NWO131" t="n">
        <v>138.239</v>
      </c>
      <c r="NWT131" t="n">
        <v>94.807</v>
      </c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>
        <f>AZ130-AZ131</f>
        <v/>
      </c>
      <c r="BA133" s="274" t="n"/>
      <c r="BB133" s="274" t="n"/>
      <c r="BC133" s="274" t="n"/>
      <c r="BD133" s="274" t="n"/>
      <c r="BE133" s="871">
        <f>BE130-BE131</f>
        <v/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>
        <f>BJ130-BJ131</f>
        <v/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>
        <f>BO130-BO131</f>
        <v/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>
        <f>BT130-BT131</f>
        <v/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>
        <f>BY130-BY131</f>
        <v/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>
        <f>CD130-CD131</f>
        <v/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  <c r="NVU133" t="n">
        <v>275.675</v>
      </c>
      <c r="NVZ133" t="n">
        <v>754.405</v>
      </c>
      <c r="NWE133" t="n">
        <v>823.232</v>
      </c>
      <c r="NWJ133" t="n">
        <v>504.877</v>
      </c>
      <c r="NWO133" t="n">
        <v>422.484</v>
      </c>
      <c r="NWT133" t="n">
        <v>310.553</v>
      </c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>
        <f>IFERROR(AZ133/AZ138*1000,"")</f>
        <v/>
      </c>
      <c r="BA136" s="1005" t="n"/>
      <c r="BB136" s="1005" t="n"/>
      <c r="BC136" s="1005" t="n"/>
      <c r="BD136" s="1005" t="n"/>
      <c r="BE136" s="1004">
        <f>IFERROR(BE133/BE138*1000,"")</f>
        <v/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>
        <f>IFERROR(BJ133/BJ138*1000,"")</f>
        <v/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>
        <f>IFERROR(BO133/BO138*1000,"")</f>
        <v/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>
        <f>IFERROR(BT133/BT138*1000,"")</f>
        <v/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>
        <f>IFERROR(BY133/BY138*1000,"")</f>
        <v/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>
        <f>IFERROR(CD133/CD138*1000,"")</f>
        <v/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  <c r="NVU136" t="n">
        <v>3.09</v>
      </c>
      <c r="NVZ136" t="n">
        <v>8.109999999999999</v>
      </c>
      <c r="NWE136" t="n">
        <v>9.210000000000001</v>
      </c>
      <c r="NWJ136" t="n">
        <v>5.88</v>
      </c>
      <c r="NWO136" t="n">
        <v>5</v>
      </c>
      <c r="NWT136" t="n">
        <v>3.74</v>
      </c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>
        <f>IFERROR(AZ133/AZ139*1000,"")</f>
        <v/>
      </c>
      <c r="BA137" s="1011" t="n"/>
      <c r="BB137" s="1011" t="n"/>
      <c r="BC137" s="1011" t="n"/>
      <c r="BD137" s="1011" t="n"/>
      <c r="BE137" s="1010">
        <f>IFERROR(BE133/BE139*1000,"")</f>
        <v/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>
        <f>IFERROR(BJ133/BJ139*1000,"")</f>
        <v/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>
        <f>IFERROR(BO133/BO139*1000,"")</f>
        <v/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>
        <f>IFERROR(BT133/BT139*1000,"")</f>
        <v/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>
        <f>IFERROR(BY133/BY139*1000,"")</f>
        <v/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>
        <f>IFERROR(CD133/CD139*1000,"")</f>
        <v/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  <c r="NVU137" t="n">
        <v>3.03</v>
      </c>
      <c r="NVZ137" t="n">
        <v>7.91</v>
      </c>
      <c r="NWE137" t="n">
        <v>9.02</v>
      </c>
      <c r="NWJ137" t="n">
        <v>5.8</v>
      </c>
      <c r="NWO137" t="n">
        <v>4.96</v>
      </c>
      <c r="NWT137" t="n">
        <v>3.72</v>
      </c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/>
      <c r="BA138" s="743" t="n"/>
      <c r="BB138" s="743" t="n"/>
      <c r="BC138" s="743" t="n"/>
      <c r="BD138" s="743" t="n"/>
      <c r="BE138" s="868" t="n"/>
      <c r="BF138" s="743" t="n"/>
      <c r="BG138" s="743" t="n"/>
      <c r="BH138" s="743" t="n"/>
      <c r="BI138" s="291">
        <f>BJ138</f>
        <v/>
      </c>
      <c r="BJ138" s="1013" t="n"/>
      <c r="BK138" s="1014" t="n"/>
      <c r="BL138" s="1014" t="n"/>
      <c r="BM138" s="1014" t="n"/>
      <c r="BN138" s="1015">
        <f>BO138</f>
        <v/>
      </c>
      <c r="BO138" s="1013" t="n"/>
      <c r="BP138" s="1014" t="n"/>
      <c r="BQ138" s="1014" t="n"/>
      <c r="BR138" s="1014" t="n"/>
      <c r="BS138" s="1015">
        <f>BT138</f>
        <v/>
      </c>
      <c r="BT138" s="1013" t="n"/>
      <c r="BU138" s="1014" t="n"/>
      <c r="BV138" s="1014" t="n"/>
      <c r="BW138" s="1014" t="n"/>
      <c r="BX138" s="1015">
        <f>BY138</f>
        <v/>
      </c>
      <c r="BY138" s="1013" t="n"/>
      <c r="BZ138" s="1014" t="n"/>
      <c r="CA138" s="1014" t="n"/>
      <c r="CB138" s="1014" t="n"/>
      <c r="CC138" s="1015">
        <f>CD138</f>
        <v/>
      </c>
      <c r="CD138" s="1013" t="n"/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  <c r="NVU138" t="n">
        <v>89113.35400000001</v>
      </c>
      <c r="NVZ138" t="n">
        <v>93054.245</v>
      </c>
      <c r="NWE138" t="n">
        <v>89359.58199999999</v>
      </c>
      <c r="NWJ138" t="n">
        <v>85907.746</v>
      </c>
      <c r="NWO138" t="n">
        <v>84551.576</v>
      </c>
      <c r="NWT138" t="n">
        <v>83067.25199999999</v>
      </c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/>
      <c r="BA139" s="743" t="n"/>
      <c r="BB139" s="743" t="n"/>
      <c r="BC139" s="743" t="n"/>
      <c r="BD139" s="743" t="n"/>
      <c r="BE139" s="868" t="n"/>
      <c r="BF139" s="743" t="n"/>
      <c r="BG139" s="743" t="n"/>
      <c r="BH139" s="743" t="n"/>
      <c r="BI139" s="291">
        <f>BJ139</f>
        <v/>
      </c>
      <c r="BJ139" s="1013" t="n"/>
      <c r="BK139" s="1014" t="n"/>
      <c r="BL139" s="1014" t="n"/>
      <c r="BM139" s="1014" t="n"/>
      <c r="BN139" s="1015">
        <f>BO139</f>
        <v/>
      </c>
      <c r="BO139" s="1013" t="n"/>
      <c r="BP139" s="1014" t="n"/>
      <c r="BQ139" s="1014" t="n"/>
      <c r="BR139" s="1014" t="n"/>
      <c r="BS139" s="1015">
        <f>BT139</f>
        <v/>
      </c>
      <c r="BT139" s="1013" t="n"/>
      <c r="BU139" s="1014" t="n"/>
      <c r="BV139" s="1014" t="n"/>
      <c r="BW139" s="1014" t="n"/>
      <c r="BX139" s="1015">
        <f>BY139</f>
        <v/>
      </c>
      <c r="BY139" s="1013" t="n"/>
      <c r="BZ139" s="1014" t="n"/>
      <c r="CA139" s="1014" t="n"/>
      <c r="CB139" s="1014" t="n"/>
      <c r="CC139" s="1015">
        <f>CD139</f>
        <v/>
      </c>
      <c r="CD139" s="1013" t="n"/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  <c r="NVU139" t="n">
        <v>90934.806</v>
      </c>
      <c r="NVZ139" t="n">
        <v>95336.023</v>
      </c>
      <c r="NWE139" t="n">
        <v>91257.679</v>
      </c>
      <c r="NWJ139" t="n">
        <v>87054.769</v>
      </c>
      <c r="NWO139" t="n">
        <v>85243.10799999999</v>
      </c>
      <c r="NWT139" t="n">
        <v>83414.31</v>
      </c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BE148/BE114</f>
        <v/>
      </c>
      <c r="BF168" s="974" t="n"/>
      <c r="BG168" s="974" t="n"/>
      <c r="BH168" s="974" t="n"/>
      <c r="BI168" s="974" t="n"/>
      <c r="BJ168" s="975">
        <f>BJ148/BJ114</f>
        <v/>
      </c>
      <c r="BK168" s="974" t="n"/>
      <c r="BL168" s="974" t="n"/>
      <c r="BM168" s="974" t="n"/>
      <c r="BN168" s="974" t="n"/>
      <c r="BO168" s="975">
        <f>BO148/BO114</f>
        <v/>
      </c>
      <c r="BP168" s="974" t="n"/>
      <c r="BQ168" s="974" t="n"/>
      <c r="BR168" s="974" t="n"/>
      <c r="BS168" s="974" t="n"/>
      <c r="BT168" s="975">
        <f>BT148/BT114</f>
        <v/>
      </c>
      <c r="BU168" s="974" t="n"/>
      <c r="BV168" s="974" t="n"/>
      <c r="BW168" s="974" t="n"/>
      <c r="BX168" s="974" t="n"/>
      <c r="BY168" s="975">
        <f>BY148/BY114</f>
        <v/>
      </c>
      <c r="BZ168" s="974" t="n"/>
      <c r="CA168" s="974" t="n"/>
      <c r="CB168" s="974" t="n"/>
      <c r="CC168" s="974" t="n"/>
      <c r="CD168" s="975">
        <f>CD148/CD114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(BE148-AZ148)/(BE114-AZ114)</f>
        <v/>
      </c>
      <c r="BF170" s="974" t="n"/>
      <c r="BG170" s="974" t="n"/>
      <c r="BH170" s="974" t="n"/>
      <c r="BI170" s="974" t="n"/>
      <c r="BJ170" s="975">
        <f>(BJ148-BE148)/(BJ114-BE114)</f>
        <v/>
      </c>
      <c r="BK170" s="974" t="n"/>
      <c r="BL170" s="974" t="n"/>
      <c r="BM170" s="974" t="n"/>
      <c r="BN170" s="974" t="n"/>
      <c r="BO170" s="975">
        <f>(BO148-BJ148)/(BO114-BJ114)</f>
        <v/>
      </c>
      <c r="BP170" s="974" t="n"/>
      <c r="BQ170" s="974" t="n"/>
      <c r="BR170" s="974" t="n"/>
      <c r="BS170" s="974" t="n"/>
      <c r="BT170" s="975">
        <f>(BT148-BO148)/(BT114-BO114)</f>
        <v/>
      </c>
      <c r="BU170" s="974" t="n"/>
      <c r="BV170" s="974" t="n"/>
      <c r="BW170" s="974" t="n"/>
      <c r="BX170" s="974" t="n"/>
      <c r="BY170" s="975">
        <f>(BY148-BT148)/(BY114-BT114)</f>
        <v/>
      </c>
      <c r="BZ170" s="974" t="n"/>
      <c r="CA170" s="974" t="n"/>
      <c r="CB170" s="974" t="n"/>
      <c r="CC170" s="974" t="n"/>
      <c r="CD170" s="975">
        <f>(CD148-BY148)/(CD114-BY114)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/>
      <c r="BA175" s="291" t="n"/>
      <c r="BB175" s="291" t="n"/>
      <c r="BC175" s="291" t="n"/>
      <c r="BD175" s="291" t="n"/>
      <c r="BE175" s="864">
        <f>BE133</f>
        <v/>
      </c>
      <c r="BF175" s="743" t="n"/>
      <c r="BG175" s="743" t="n"/>
      <c r="BH175" s="743" t="n"/>
      <c r="BI175" s="291" t="n"/>
      <c r="BJ175" s="868" t="n"/>
      <c r="BK175" s="743" t="n"/>
      <c r="BL175" s="743" t="n"/>
      <c r="BM175" s="743" t="n"/>
      <c r="BN175" s="291">
        <f>BO175-BK175-BL175-BM175</f>
        <v/>
      </c>
      <c r="BO175" s="868" t="n"/>
      <c r="BP175" s="743" t="n"/>
      <c r="BQ175" s="743" t="n"/>
      <c r="BR175" s="743" t="n"/>
      <c r="BS175" s="291">
        <f>BT175-BP175-BQ175-BR175</f>
        <v/>
      </c>
      <c r="BT175" s="868" t="n"/>
      <c r="BU175" s="743" t="n"/>
      <c r="BV175" s="743" t="n"/>
      <c r="BW175" s="743" t="n"/>
      <c r="BX175" s="291">
        <f>BY175-BU175-BV175-BW175</f>
        <v/>
      </c>
      <c r="BY175" s="868" t="n"/>
      <c r="BZ175" s="743" t="n"/>
      <c r="CA175" s="743" t="n"/>
      <c r="CB175" s="743" t="n"/>
      <c r="CC175" s="291">
        <f>CD175-BZ175-CA175-CB175</f>
        <v/>
      </c>
      <c r="CD175" s="868" t="n"/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  <c r="NVU175" t="n">
        <v>275.675</v>
      </c>
      <c r="NVZ175" t="n">
        <v>754.405</v>
      </c>
      <c r="NWE175" t="n">
        <v>823.232</v>
      </c>
      <c r="NWJ175" t="n">
        <v>504.877</v>
      </c>
      <c r="NWO175" t="n">
        <v>422.484</v>
      </c>
      <c r="NWT175" t="n">
        <v>310.553</v>
      </c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/>
      <c r="BA176" s="291" t="n"/>
      <c r="BB176" s="291" t="n"/>
      <c r="BC176" s="291" t="n"/>
      <c r="BD176" s="291" t="n"/>
      <c r="BE176" s="868" t="n"/>
      <c r="BF176" s="743" t="n"/>
      <c r="BG176" s="743" t="n"/>
      <c r="BH176" s="743" t="n"/>
      <c r="BI176" s="291" t="n"/>
      <c r="BJ176" s="868" t="n"/>
      <c r="BK176" s="743" t="n"/>
      <c r="BL176" s="743" t="n"/>
      <c r="BM176" s="743" t="n"/>
      <c r="BN176" s="291">
        <f>BO176-BK176-BL176-BM176</f>
        <v/>
      </c>
      <c r="BO176" s="868" t="n"/>
      <c r="BP176" s="743" t="n"/>
      <c r="BQ176" s="743" t="n"/>
      <c r="BR176" s="743" t="n"/>
      <c r="BS176" s="291">
        <f>BT176-BP176-BQ176-BR176</f>
        <v/>
      </c>
      <c r="BT176" s="868" t="n"/>
      <c r="BU176" s="743" t="n"/>
      <c r="BV176" s="743" t="n"/>
      <c r="BW176" s="743" t="n"/>
      <c r="BX176" s="291">
        <f>BY176-BU176-BV176-BW176</f>
        <v/>
      </c>
      <c r="BY176" s="868" t="n"/>
      <c r="BZ176" s="743" t="n"/>
      <c r="CA176" s="743" t="n"/>
      <c r="CB176" s="743" t="n"/>
      <c r="CC176" s="291">
        <f>CD176-BZ176-CA176-CB176</f>
        <v/>
      </c>
      <c r="CD176" s="868" t="n"/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  <c r="NVU176" t="n">
        <v>170.52</v>
      </c>
      <c r="NVZ176" t="n">
        <v>225.007</v>
      </c>
      <c r="NWE176" t="n">
        <v>248.638</v>
      </c>
      <c r="NWJ176" t="n">
        <v>249.835</v>
      </c>
      <c r="NWO176" t="n">
        <v>332.58</v>
      </c>
      <c r="NWT176" t="n">
        <v>350.902</v>
      </c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/>
      <c r="BA177" s="291" t="n"/>
      <c r="BB177" s="291" t="n"/>
      <c r="BC177" s="291" t="n"/>
      <c r="BD177" s="291" t="n"/>
      <c r="BE177" s="868" t="n"/>
      <c r="BF177" s="743" t="n"/>
      <c r="BG177" s="743" t="n"/>
      <c r="BH177" s="743" t="n"/>
      <c r="BI177" s="291" t="n"/>
      <c r="BJ177" s="868" t="n"/>
      <c r="BK177" s="743" t="n"/>
      <c r="BL177" s="743" t="n"/>
      <c r="BM177" s="743" t="n"/>
      <c r="BN177" s="291">
        <f>BO177-BK177-BL177-BM177</f>
        <v/>
      </c>
      <c r="BO177" s="868" t="n"/>
      <c r="BP177" s="743" t="n"/>
      <c r="BQ177" s="743" t="n"/>
      <c r="BR177" s="743" t="n"/>
      <c r="BS177" s="291">
        <f>BT177-BP177-BQ177-BR177</f>
        <v/>
      </c>
      <c r="BT177" s="868" t="n"/>
      <c r="BU177" s="743" t="n"/>
      <c r="BV177" s="743" t="n"/>
      <c r="BW177" s="743" t="n"/>
      <c r="BX177" s="291">
        <f>BY177-BU177-BV177-BW177</f>
        <v/>
      </c>
      <c r="BY177" s="868" t="n"/>
      <c r="BZ177" s="743" t="n"/>
      <c r="CA177" s="743" t="n"/>
      <c r="CB177" s="743" t="n"/>
      <c r="CC177" s="291">
        <f>CD177-BZ177-CA177-CB177</f>
        <v/>
      </c>
      <c r="CD177" s="868" t="n"/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  <c r="NVU177" t="n">
        <v>48.213</v>
      </c>
      <c r="NVZ177" t="n">
        <v>55.243</v>
      </c>
      <c r="NWE177" t="n">
        <v>55.679</v>
      </c>
      <c r="NWJ177" t="n">
        <v>60.028</v>
      </c>
      <c r="NWO177" t="n">
        <v>79.98399999999999</v>
      </c>
      <c r="NWT177" t="n">
        <v>86.84</v>
      </c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/>
      <c r="BA178" s="291" t="n"/>
      <c r="BB178" s="291" t="n"/>
      <c r="BC178" s="291" t="n"/>
      <c r="BD178" s="291" t="n"/>
      <c r="BE178" s="868" t="n"/>
      <c r="BF178" s="743" t="n"/>
      <c r="BG178" s="743" t="n"/>
      <c r="BH178" s="743" t="n"/>
      <c r="BI178" s="291" t="n"/>
      <c r="BJ178" s="868" t="n"/>
      <c r="BK178" s="743" t="n"/>
      <c r="BL178" s="743" t="n"/>
      <c r="BM178" s="743" t="n"/>
      <c r="BN178" s="291">
        <f>BO178-BK178-BL178-BM178</f>
        <v/>
      </c>
      <c r="BO178" s="868" t="n"/>
      <c r="BP178" s="743" t="n"/>
      <c r="BQ178" s="743" t="n"/>
      <c r="BR178" s="743" t="n"/>
      <c r="BS178" s="291">
        <f>BT178-BP178-BQ178-BR178</f>
        <v/>
      </c>
      <c r="BT178" s="868" t="n"/>
      <c r="BU178" s="743" t="n"/>
      <c r="BV178" s="743" t="n"/>
      <c r="BW178" s="743" t="n"/>
      <c r="BX178" s="291">
        <f>BY178-BU178-BV178-BW178</f>
        <v/>
      </c>
      <c r="BY178" s="868" t="n"/>
      <c r="BZ178" s="743" t="n"/>
      <c r="CA178" s="743" t="n"/>
      <c r="CB178" s="743" t="n"/>
      <c r="CC178" s="291">
        <f>CD178-BZ178-CA178-CB178</f>
        <v/>
      </c>
      <c r="CD178" s="868" t="n"/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  <c r="NVU178" t="n">
        <v>7.046</v>
      </c>
      <c r="NVZ178" t="n">
        <v>15.424</v>
      </c>
      <c r="NWE178" t="n">
        <v>14.648</v>
      </c>
      <c r="NWJ178" t="n">
        <v>13.451</v>
      </c>
      <c r="NWO178" t="n">
        <v>11.074</v>
      </c>
      <c r="NWT178" t="n">
        <v>15.148</v>
      </c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/>
      <c r="BA180" s="291" t="n"/>
      <c r="BB180" s="291" t="n"/>
      <c r="BC180" s="291" t="n"/>
      <c r="BD180" s="291" t="n"/>
      <c r="BE180" s="868" t="n"/>
      <c r="BF180" s="743" t="n"/>
      <c r="BG180" s="743" t="n"/>
      <c r="BH180" s="743" t="n"/>
      <c r="BI180" s="291" t="n"/>
      <c r="BJ180" s="868" t="n"/>
      <c r="BK180" s="743" t="n"/>
      <c r="BL180" s="743" t="n"/>
      <c r="BM180" s="743" t="n"/>
      <c r="BN180" s="291">
        <f>BO180-BK180-BL180-BM180</f>
        <v/>
      </c>
      <c r="BO180" s="868" t="n"/>
      <c r="BP180" s="743" t="n"/>
      <c r="BQ180" s="743" t="n"/>
      <c r="BR180" s="743" t="n"/>
      <c r="BS180" s="291">
        <f>BT180-BP180-BQ180-BR180</f>
        <v/>
      </c>
      <c r="BT180" s="868" t="n"/>
      <c r="BU180" s="743" t="n"/>
      <c r="BV180" s="743" t="n"/>
      <c r="BW180" s="743" t="n"/>
      <c r="BX180" s="291">
        <f>BY180-BU180-BV180-BW180</f>
        <v/>
      </c>
      <c r="BY180" s="868" t="n"/>
      <c r="BZ180" s="743" t="n"/>
      <c r="CA180" s="743" t="n"/>
      <c r="CB180" s="743" t="n"/>
      <c r="CC180" s="291">
        <f>CD180-BZ180-CA180-CB180</f>
        <v/>
      </c>
      <c r="CD180" s="868" t="n"/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  <c r="NVU180" t="n">
        <v>-16.399</v>
      </c>
      <c r="NVZ180" t="n">
        <v>101.664</v>
      </c>
      <c r="NWE180" t="n">
        <v>59.105</v>
      </c>
      <c r="NWJ180" t="n">
        <v>-224.121</v>
      </c>
      <c r="NWO180" t="n">
        <v>-145.432</v>
      </c>
      <c r="NWT180" t="n">
        <v>-129.284</v>
      </c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/>
      <c r="BA181" s="291" t="n"/>
      <c r="BB181" s="291" t="n"/>
      <c r="BC181" s="291" t="n"/>
      <c r="BD181" s="291" t="n"/>
      <c r="BE181" s="868" t="n"/>
      <c r="BF181" s="743" t="n"/>
      <c r="BG181" s="743" t="n"/>
      <c r="BH181" s="743" t="n"/>
      <c r="BI181" s="291" t="n"/>
      <c r="BJ181" s="868" t="n"/>
      <c r="BK181" s="743" t="n"/>
      <c r="BL181" s="743" t="n"/>
      <c r="BM181" s="743" t="n"/>
      <c r="BN181" s="291">
        <f>BO181-BK181-BL181-BM181</f>
        <v/>
      </c>
      <c r="BO181" s="868" t="n"/>
      <c r="BP181" s="743" t="n"/>
      <c r="BQ181" s="743" t="n"/>
      <c r="BR181" s="743" t="n"/>
      <c r="BS181" s="291">
        <f>BT181-BP181-BQ181-BR181</f>
        <v/>
      </c>
      <c r="BT181" s="868" t="n"/>
      <c r="BU181" s="743" t="n"/>
      <c r="BV181" s="743" t="n"/>
      <c r="BW181" s="743" t="n"/>
      <c r="BX181" s="291">
        <f>BY181-BU181-BV181-BW181</f>
        <v/>
      </c>
      <c r="BY181" s="868" t="n"/>
      <c r="BZ181" s="743" t="n"/>
      <c r="CA181" s="743" t="n"/>
      <c r="CB181" s="743" t="n"/>
      <c r="CC181" s="291">
        <f>CD181-BZ181-CA181-CB181</f>
        <v/>
      </c>
      <c r="CD181" s="868" t="n"/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  <c r="NVU181" t="n">
        <v>2.2</v>
      </c>
      <c r="NVZ181" t="n">
        <v>1.233</v>
      </c>
      <c r="NWE181" t="n">
        <v>1.498</v>
      </c>
      <c r="NWJ181" t="n">
        <v>-6.533</v>
      </c>
      <c r="NWO181" t="n">
        <v>-8.101000000000001</v>
      </c>
      <c r="NWT181" t="n">
        <v>0.305</v>
      </c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/>
      <c r="BA182" s="291" t="n"/>
      <c r="BB182" s="291" t="n"/>
      <c r="BC182" s="291" t="n"/>
      <c r="BD182" s="291" t="n"/>
      <c r="BE182" s="868" t="n"/>
      <c r="BF182" s="743" t="n"/>
      <c r="BG182" s="743" t="n"/>
      <c r="BH182" s="743" t="n"/>
      <c r="BI182" s="291" t="n"/>
      <c r="BJ182" s="868" t="n"/>
      <c r="BK182" s="743" t="n"/>
      <c r="BL182" s="743" t="n"/>
      <c r="BM182" s="743" t="n"/>
      <c r="BN182" s="291">
        <f>BO182-BK182-BL182-BM182</f>
        <v/>
      </c>
      <c r="BO182" s="868" t="n"/>
      <c r="BP182" s="743" t="n"/>
      <c r="BQ182" s="743" t="n"/>
      <c r="BR182" s="743" t="n"/>
      <c r="BS182" s="291">
        <f>BT182-BP182-BQ182-BR182</f>
        <v/>
      </c>
      <c r="BT182" s="868" t="n"/>
      <c r="BU182" s="743" t="n"/>
      <c r="BV182" s="743" t="n"/>
      <c r="BW182" s="743" t="n"/>
      <c r="BX182" s="291">
        <f>BY182-BU182-BV182-BW182</f>
        <v/>
      </c>
      <c r="BY182" s="868" t="n"/>
      <c r="BZ182" s="743" t="n"/>
      <c r="CA182" s="743" t="n"/>
      <c r="CB182" s="743" t="n"/>
      <c r="CC182" s="291">
        <f>CD182-BZ182-CA182-CB182</f>
        <v/>
      </c>
      <c r="CD182" s="868" t="n"/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  <c r="NVU182" t="n">
        <v>47.668</v>
      </c>
      <c r="NVZ182" t="n">
        <v>-154.292</v>
      </c>
      <c r="NWE182" t="n">
        <v>96.774</v>
      </c>
      <c r="NWJ182" t="n">
        <v>112.375</v>
      </c>
      <c r="NWO182" t="n">
        <v>154.092</v>
      </c>
      <c r="NWT182" t="n">
        <v>-3.651</v>
      </c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>
        <f>SUM(AZ175:AZ185)</f>
        <v/>
      </c>
      <c r="BA186" s="678" t="n"/>
      <c r="BB186" s="678" t="n"/>
      <c r="BC186" s="678" t="n"/>
      <c r="BD186" s="678" t="n"/>
      <c r="BE186" s="870">
        <f>SUM(BE175:BE185)</f>
        <v/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/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>
        <f>SUM(BO175:BO185)</f>
        <v/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>
        <f>SUM(BT175:BT185)</f>
        <v/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>
        <f>SUM(BY175:BY185)</f>
        <v/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>
        <f>SUM(CD175:CD185)</f>
        <v/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  <c r="NVU186" t="n">
        <v>610.862</v>
      </c>
      <c r="NVZ186" t="n">
        <v>855.351</v>
      </c>
      <c r="NWE186" t="n">
        <v>971.645</v>
      </c>
      <c r="NWJ186" t="n">
        <v>1013.839</v>
      </c>
      <c r="NWO186" t="n">
        <v>1062.651</v>
      </c>
      <c r="NWT186" t="n">
        <v>977.788</v>
      </c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/>
      <c r="BA189" s="291" t="n"/>
      <c r="BB189" s="291" t="n"/>
      <c r="BC189" s="291" t="n"/>
      <c r="BD189" s="291" t="n"/>
      <c r="BE189" s="868" t="n"/>
      <c r="BF189" s="743" t="n"/>
      <c r="BG189" s="743" t="n"/>
      <c r="BH189" s="743" t="n"/>
      <c r="BI189" s="291" t="n"/>
      <c r="BJ189" s="868" t="n"/>
      <c r="BK189" s="743" t="n"/>
      <c r="BL189" s="743" t="n"/>
      <c r="BM189" s="743" t="n"/>
      <c r="BN189" s="291">
        <f>BO189-BK189-BL189-BM189</f>
        <v/>
      </c>
      <c r="BO189" s="868" t="n"/>
      <c r="BP189" s="743" t="n"/>
      <c r="BQ189" s="743" t="n"/>
      <c r="BR189" s="743" t="n"/>
      <c r="BS189" s="291">
        <f>BT189-BP189-BQ189-BR189</f>
        <v/>
      </c>
      <c r="BT189" s="868" t="n"/>
      <c r="BU189" s="743" t="n"/>
      <c r="BV189" s="743" t="n"/>
      <c r="BW189" s="743" t="n"/>
      <c r="BX189" s="291">
        <f>BY189-BU189-BV189-BW189</f>
        <v/>
      </c>
      <c r="BY189" s="868" t="n"/>
      <c r="BZ189" s="743" t="n"/>
      <c r="CA189" s="743" t="n"/>
      <c r="CB189" s="743" t="n"/>
      <c r="CC189" s="291">
        <f>CD189-BZ189-CA189-CB189</f>
        <v/>
      </c>
      <c r="CD189" s="868" t="n"/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  <c r="NVU189" t="n">
        <v>-142.71</v>
      </c>
      <c r="NVZ189" t="n">
        <v>-268.656</v>
      </c>
      <c r="NWE189" t="n">
        <v>-350.824</v>
      </c>
      <c r="NWJ189" t="n">
        <v>-361.563</v>
      </c>
      <c r="NWO189" t="n">
        <v>-392.819</v>
      </c>
      <c r="NWT189" t="n">
        <v>-273.22</v>
      </c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/>
      <c r="BA190" s="291" t="n"/>
      <c r="BB190" s="291" t="n"/>
      <c r="BC190" s="291" t="n"/>
      <c r="BD190" s="291" t="n"/>
      <c r="BE190" s="868" t="n"/>
      <c r="BF190" s="743" t="n"/>
      <c r="BG190" s="743" t="n"/>
      <c r="BH190" s="743" t="n"/>
      <c r="BI190" s="291" t="n"/>
      <c r="BJ190" s="868" t="n"/>
      <c r="BK190" s="743" t="n"/>
      <c r="BL190" s="743" t="n"/>
      <c r="BM190" s="743" t="n"/>
      <c r="BN190" s="291">
        <f>BO190-BK190-BL190-BM190</f>
        <v/>
      </c>
      <c r="BO190" s="868" t="n"/>
      <c r="BP190" s="291" t="n"/>
      <c r="BQ190" s="743" t="n"/>
      <c r="BR190" s="743" t="n"/>
      <c r="BS190" s="291">
        <f>BT190-BP190-BQ190-BR190</f>
        <v/>
      </c>
      <c r="BT190" s="868" t="n"/>
      <c r="BU190" s="743" t="n"/>
      <c r="BV190" s="743" t="n"/>
      <c r="BW190" s="743" t="n"/>
      <c r="BX190" s="291">
        <f>BY190-BU190-BV190-BW190</f>
        <v/>
      </c>
      <c r="BY190" s="868" t="n"/>
      <c r="BZ190" s="743" t="n"/>
      <c r="CA190" s="743" t="n"/>
      <c r="CB190" s="743" t="n"/>
      <c r="CC190" s="291">
        <f>CD190-BZ190-CA190-CB190</f>
        <v/>
      </c>
      <c r="CD190" s="868" t="n"/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  <c r="NVU190" t="n">
        <v>-327.65</v>
      </c>
      <c r="NVZ190" t="n">
        <v>-1008.131</v>
      </c>
      <c r="NWE190" t="n">
        <v>-158.251</v>
      </c>
      <c r="NWJ190" t="n">
        <v>-628.701</v>
      </c>
      <c r="NWO190" t="n">
        <v>-957.963</v>
      </c>
      <c r="NWT190" t="n">
        <v>-201.258</v>
      </c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>
        <f>SUM(AZ189:AZ192)</f>
        <v/>
      </c>
      <c r="BA193" s="678" t="n"/>
      <c r="BB193" s="678" t="n"/>
      <c r="BC193" s="678" t="n"/>
      <c r="BD193" s="678" t="n"/>
      <c r="BE193" s="870">
        <f>SUM(BE189:BE192)</f>
        <v/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/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>
        <f>SUM(BO189:BO192)</f>
        <v/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>
        <f>SUM(BT189:BT192)</f>
        <v/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>
        <f>SUM(BY189:BY192)</f>
        <v/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>
        <f>SUM(CD189:CD192)</f>
        <v/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  <c r="NVU193" t="n">
        <v>-378.481</v>
      </c>
      <c r="NVZ193" t="n">
        <v>-1162.657</v>
      </c>
      <c r="NWE193" t="n">
        <v>223.422</v>
      </c>
      <c r="NWJ193" t="n">
        <v>-797.332</v>
      </c>
      <c r="NWO193" t="n">
        <v>-1244.615</v>
      </c>
      <c r="NWT193" t="n">
        <v>-361.877</v>
      </c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/>
      <c r="BA198" s="291" t="n"/>
      <c r="BB198" s="291" t="n"/>
      <c r="BC198" s="291" t="n"/>
      <c r="BD198" s="291" t="n"/>
      <c r="BE198" s="868" t="n"/>
      <c r="BF198" s="743" t="n"/>
      <c r="BG198" s="743" t="n"/>
      <c r="BH198" s="743" t="n"/>
      <c r="BI198" s="291" t="n"/>
      <c r="BJ198" s="868" t="n"/>
      <c r="BK198" s="743" t="n"/>
      <c r="BL198" s="743" t="n"/>
      <c r="BM198" s="743" t="n"/>
      <c r="BN198" s="291">
        <f>BO198-BK198-BL198-BM198</f>
        <v/>
      </c>
      <c r="BO198" s="868" t="n"/>
      <c r="BP198" s="743" t="n"/>
      <c r="BQ198" s="743" t="n"/>
      <c r="BR198" s="743" t="n"/>
      <c r="BS198" s="291">
        <f>BT198-BP198-BQ198-BR198</f>
        <v/>
      </c>
      <c r="BT198" s="868" t="n"/>
      <c r="BU198" s="743" t="n"/>
      <c r="BV198" s="743" t="n"/>
      <c r="BW198" s="743" t="n"/>
      <c r="BX198" s="291">
        <f>BY198-BU198-BV198-BW198</f>
        <v/>
      </c>
      <c r="BY198" s="868" t="n"/>
      <c r="BZ198" s="743" t="n"/>
      <c r="CA198" s="743" t="n"/>
      <c r="CB198" s="743" t="n"/>
      <c r="CC198" s="291">
        <f>CD198-BZ198-CA198-CB198</f>
        <v/>
      </c>
      <c r="CD198" s="868" t="n"/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  <c r="NVU198" t="n">
        <v>-67.604</v>
      </c>
      <c r="NVZ198" t="n">
        <v>-85.386</v>
      </c>
      <c r="NWE198" t="n">
        <v>-97.321</v>
      </c>
      <c r="NWJ198" t="n">
        <v>-121.095</v>
      </c>
      <c r="NWO198" t="n">
        <v>-133.928</v>
      </c>
      <c r="NWT198" t="n">
        <v>-151.091</v>
      </c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/>
      <c r="BA199" s="291" t="n"/>
      <c r="BB199" s="291" t="n"/>
      <c r="BC199" s="291" t="n"/>
      <c r="BD199" s="291" t="n"/>
      <c r="BE199" s="864">
        <f>-232.29-6.774</f>
        <v/>
      </c>
      <c r="BF199" s="743" t="n"/>
      <c r="BG199" s="743" t="n"/>
      <c r="BH199" s="743" t="n"/>
      <c r="BI199" s="291" t="n"/>
      <c r="BJ199" s="868" t="n"/>
      <c r="BK199" s="743" t="n"/>
      <c r="BL199" s="743" t="n"/>
      <c r="BM199" s="743" t="n"/>
      <c r="BN199" s="291">
        <f>BO199-BK199-BL199-BM199</f>
        <v/>
      </c>
      <c r="BO199" s="868" t="n"/>
      <c r="BP199" s="743" t="n"/>
      <c r="BQ199" s="743" t="n"/>
      <c r="BR199" s="743" t="n"/>
      <c r="BS199" s="291">
        <f>BT199-BP199-BQ199-BR199</f>
        <v/>
      </c>
      <c r="BT199" s="868" t="n"/>
      <c r="BU199" s="743" t="n"/>
      <c r="BV199" s="743" t="n"/>
      <c r="BW199" s="743" t="n"/>
      <c r="BX199" s="291">
        <f>BY199-BU199-BV199-BW199</f>
        <v/>
      </c>
      <c r="BY199" s="868" t="n"/>
      <c r="BZ199" s="743" t="n"/>
      <c r="CA199" s="743" t="n"/>
      <c r="CB199" s="743" t="n"/>
      <c r="CC199" s="291">
        <f>CD199-BZ199-CA199-CB199</f>
        <v/>
      </c>
      <c r="CD199" s="868" t="n"/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  <c r="NVU199" t="n">
        <v>-38.021</v>
      </c>
      <c r="NVZ199" t="n">
        <v>-198.153</v>
      </c>
      <c r="NWE199" t="n">
        <v>-567.9829999999999</v>
      </c>
      <c r="NWJ199" t="n">
        <v>-288.024</v>
      </c>
      <c r="NWO199" t="n">
        <v>-76.616</v>
      </c>
      <c r="NWT199" t="n">
        <v>-225.815</v>
      </c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>
        <f>SUM(AZ196:AZ201)</f>
        <v/>
      </c>
      <c r="BA202" s="678" t="n"/>
      <c r="BB202" s="678" t="n"/>
      <c r="BC202" s="678" t="n"/>
      <c r="BD202" s="678" t="n"/>
      <c r="BE202" s="870">
        <f>SUM(BE196:BE201)</f>
        <v/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/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>
        <f>SUM(BO196:BO201)</f>
        <v/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>
        <f>SUM(BT196:BT201)</f>
        <v/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>
        <f>SUM(BY196:BY201)</f>
        <v/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>
        <f>SUM(CD196:CD201)</f>
        <v/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  <c r="NVU202" t="n">
        <v>-228.084</v>
      </c>
      <c r="NVZ202" t="n">
        <v>322.301</v>
      </c>
      <c r="NWE202" t="n">
        <v>-1067.242</v>
      </c>
      <c r="NWJ202" t="n">
        <v>-21.731</v>
      </c>
      <c r="NWO202" t="n">
        <v>-164.439</v>
      </c>
      <c r="NWT202" t="n">
        <v>-402.504</v>
      </c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>
        <f>BE186+BE193+BE202+BE204</f>
        <v/>
      </c>
      <c r="BF205" s="291" t="n"/>
      <c r="BG205" s="291" t="n"/>
      <c r="BH205" s="291" t="n"/>
      <c r="BI205" s="291" t="n"/>
      <c r="BJ205" s="868" t="n"/>
      <c r="BK205" s="291" t="n"/>
      <c r="BL205" s="291" t="n"/>
      <c r="BM205" s="291" t="n"/>
      <c r="BN205" s="291">
        <f>BO205-BK205-BL205-BM205</f>
        <v/>
      </c>
      <c r="BO205" s="868" t="n"/>
      <c r="BP205" s="291" t="n"/>
      <c r="BQ205" s="291" t="n"/>
      <c r="BR205" s="291" t="n"/>
      <c r="BS205" s="291">
        <f>BT205-BP205-BQ205-BR205</f>
        <v/>
      </c>
      <c r="BT205" s="868" t="n"/>
      <c r="BU205" s="291" t="n"/>
      <c r="BV205" s="291" t="n"/>
      <c r="BW205" s="291" t="n"/>
      <c r="BX205" s="291">
        <f>BY205-BU205-BV205-BW205</f>
        <v/>
      </c>
      <c r="BY205" s="868" t="n"/>
      <c r="BZ205" s="291" t="n"/>
      <c r="CA205" s="291" t="n"/>
      <c r="CB205" s="291" t="n"/>
      <c r="CC205" s="291">
        <f>CD205-BZ205-CA205-CB205</f>
        <v/>
      </c>
      <c r="CD205" s="868" t="n"/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  <c r="NVU205" t="n">
        <v>4.297</v>
      </c>
      <c r="NVZ205" t="n">
        <v>14.995</v>
      </c>
      <c r="NWE205" t="n">
        <v>127.825</v>
      </c>
      <c r="NWJ205" t="n">
        <v>194.776</v>
      </c>
      <c r="NWO205" t="n">
        <v>-346.403</v>
      </c>
      <c r="NWT205" t="n">
        <v>213.407</v>
      </c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/>
      <c r="BA226" s="790" t="n"/>
      <c r="BB226" s="790" t="n"/>
      <c r="BC226" s="790" t="n"/>
      <c r="BD226" s="790" t="n"/>
      <c r="BE226" s="921">
        <f>BE207</f>
        <v/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>
        <f>BJ207</f>
        <v/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>
        <f>BO207</f>
        <v/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>
        <f>BT207</f>
        <v/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/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>
        <f>CD207</f>
        <v/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  <c r="NVU226" t="n">
        <v>4.297</v>
      </c>
      <c r="NVZ226" t="n">
        <v>19.292</v>
      </c>
      <c r="NWE226" t="n">
        <v>147.117</v>
      </c>
      <c r="NWJ226" t="n">
        <v>335.556</v>
      </c>
      <c r="NWO226" t="n">
        <v>0</v>
      </c>
      <c r="NWT226" t="n">
        <v>210.186</v>
      </c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/>
      <c r="BA227" s="790" t="n"/>
      <c r="BB227" s="790" t="n"/>
      <c r="BC227" s="790" t="n"/>
      <c r="BD227" s="790" t="n"/>
      <c r="BE227" s="888" t="n"/>
      <c r="BF227" s="742" t="n"/>
      <c r="BG227" s="742" t="n"/>
      <c r="BH227" s="742" t="n"/>
      <c r="BI227" s="742" t="n"/>
      <c r="BJ227" s="888" t="n"/>
      <c r="BK227" s="742" t="n"/>
      <c r="BL227" s="742" t="n"/>
      <c r="BM227" s="742" t="n"/>
      <c r="BN227" s="741">
        <f>BO227</f>
        <v/>
      </c>
      <c r="BO227" s="888" t="n"/>
      <c r="BP227" s="742" t="n"/>
      <c r="BQ227" s="742" t="n"/>
      <c r="BR227" s="742" t="n"/>
      <c r="BS227" s="741">
        <f>BT227</f>
        <v/>
      </c>
      <c r="BT227" s="888" t="n"/>
      <c r="BU227" s="742" t="n"/>
      <c r="BV227" s="742" t="n"/>
      <c r="BW227" s="742" t="n"/>
      <c r="BX227" s="741">
        <f>BY227</f>
        <v/>
      </c>
      <c r="BY227" s="888" t="n"/>
      <c r="BZ227" s="742" t="n"/>
      <c r="CA227" s="742" t="n"/>
      <c r="CB227" s="742" t="n"/>
      <c r="CC227" s="741">
        <f>CD227</f>
        <v/>
      </c>
      <c r="CD227" s="888" t="n"/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  <c r="NVU227" t="n">
        <v>597.873</v>
      </c>
      <c r="NVZ227" t="n">
        <v>1056.023</v>
      </c>
      <c r="NWE227" t="n">
        <v>1030.726</v>
      </c>
      <c r="NWJ227" t="n">
        <v>894.771</v>
      </c>
      <c r="NWO227" t="n">
        <v>927.654</v>
      </c>
      <c r="NWT227" t="n">
        <v>881.432</v>
      </c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/>
      <c r="BA228" s="291" t="n"/>
      <c r="BB228" s="291" t="n"/>
      <c r="BC228" s="291" t="n"/>
      <c r="BD228" s="291" t="n"/>
      <c r="BE228" s="868" t="n"/>
      <c r="BF228" s="743" t="n"/>
      <c r="BG228" s="743" t="n"/>
      <c r="BH228" s="743" t="n"/>
      <c r="BI228" s="291" t="n"/>
      <c r="BJ228" s="868" t="n"/>
      <c r="BK228" s="743" t="n"/>
      <c r="BL228" s="743" t="n"/>
      <c r="BM228" s="743" t="n"/>
      <c r="BN228" s="291">
        <f>BO228</f>
        <v/>
      </c>
      <c r="BO228" s="868" t="n"/>
      <c r="BP228" s="743" t="n"/>
      <c r="BQ228" s="743" t="n"/>
      <c r="BR228" s="743" t="n"/>
      <c r="BS228" s="291">
        <f>BT228</f>
        <v/>
      </c>
      <c r="BT228" s="868" t="n"/>
      <c r="BU228" s="743" t="n"/>
      <c r="BV228" s="743" t="n"/>
      <c r="BW228" s="743" t="n"/>
      <c r="BX228" s="291">
        <f>BY228</f>
        <v/>
      </c>
      <c r="BY228" s="868" t="n"/>
      <c r="BZ228" s="743" t="n"/>
      <c r="CA228" s="743" t="n"/>
      <c r="CB228" s="743" t="n"/>
      <c r="CC228" s="291">
        <f>CD228</f>
        <v/>
      </c>
      <c r="CD228" s="868" t="n"/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  <c r="NVU228" t="n">
        <v>8.760999999999999</v>
      </c>
      <c r="NVZ228" t="n">
        <v>24.402</v>
      </c>
      <c r="NWE228" t="n">
        <v>24.181</v>
      </c>
      <c r="NWJ228" t="n">
        <v>23.964</v>
      </c>
      <c r="NWO228" t="n">
        <v>17.962</v>
      </c>
      <c r="NWT228" t="n">
        <v>19.529</v>
      </c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>
        <f>SUM(AZ221:AZ229)</f>
        <v/>
      </c>
      <c r="BA230" s="678" t="n"/>
      <c r="BB230" s="678" t="n"/>
      <c r="BC230" s="678" t="n"/>
      <c r="BD230" s="678" t="n"/>
      <c r="BE230" s="870">
        <f>SUM(BE226:BE229)</f>
        <v/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>
        <f>SUM(BJ226:BJ229)</f>
        <v/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>
        <f>SUM(BO226:BO229)</f>
        <v/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>
        <f>SUM(BT226:BT229)</f>
        <v/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>
        <f>SUM(BY226:BY229)</f>
        <v/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>
        <f>SUM(CD226:CD229)</f>
        <v/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  <c r="NVU230" t="n">
        <v>652.772</v>
      </c>
      <c r="NVZ230" t="n">
        <v>1162.258</v>
      </c>
      <c r="NWE230" t="n">
        <v>1263.563</v>
      </c>
      <c r="NWJ230" t="n">
        <v>1335.999</v>
      </c>
      <c r="NWO230" t="n">
        <v>1037.049</v>
      </c>
      <c r="NWT230" t="n">
        <v>1209.162</v>
      </c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/>
      <c r="BA231" s="291" t="n"/>
      <c r="BB231" s="291" t="n"/>
      <c r="BC231" s="291" t="n"/>
      <c r="BD231" s="291" t="n"/>
      <c r="BE231" s="868" t="n"/>
      <c r="BF231" s="743" t="n"/>
      <c r="BG231" s="743" t="n"/>
      <c r="BH231" s="743" t="n"/>
      <c r="BI231" s="291" t="n"/>
      <c r="BJ231" s="868" t="n"/>
      <c r="BK231" s="743" t="n"/>
      <c r="BL231" s="743" t="n"/>
      <c r="BM231" s="743" t="n"/>
      <c r="BN231" s="291">
        <f>BO231</f>
        <v/>
      </c>
      <c r="BO231" s="868" t="n"/>
      <c r="BP231" s="743" t="n"/>
      <c r="BQ231" s="743" t="n"/>
      <c r="BR231" s="743" t="n"/>
      <c r="BS231" s="291">
        <f>BT231</f>
        <v/>
      </c>
      <c r="BT231" s="868" t="n"/>
      <c r="BU231" s="743" t="n"/>
      <c r="BV231" s="743" t="n"/>
      <c r="BW231" s="743" t="n"/>
      <c r="BX231" s="291">
        <f>BY231</f>
        <v/>
      </c>
      <c r="BY231" s="868" t="n"/>
      <c r="BZ231" s="743" t="n"/>
      <c r="CA231" s="743" t="n"/>
      <c r="CB231" s="743" t="n"/>
      <c r="CC231" s="291">
        <f>CD231</f>
        <v/>
      </c>
      <c r="CD231" s="868" t="n"/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  <c r="NVU231" t="n">
        <v>1074.428</v>
      </c>
      <c r="NVZ231" t="n">
        <v>2455.141</v>
      </c>
      <c r="NWE231" t="n">
        <v>2131.955</v>
      </c>
      <c r="NWJ231" t="n">
        <v>2415.472</v>
      </c>
      <c r="NWO231" t="n">
        <v>2891.087</v>
      </c>
      <c r="NWT231" t="n">
        <v>2779.326</v>
      </c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/>
      <c r="BA232" s="291" t="n"/>
      <c r="BB232" s="291" t="n"/>
      <c r="BC232" s="291" t="n"/>
      <c r="BD232" s="291" t="n"/>
      <c r="BE232" s="868" t="n"/>
      <c r="BF232" s="743" t="n"/>
      <c r="BG232" s="743" t="n"/>
      <c r="BH232" s="743" t="n"/>
      <c r="BI232" s="291" t="n"/>
      <c r="BJ232" s="868" t="n"/>
      <c r="BK232" s="743" t="n"/>
      <c r="BL232" s="743" t="n"/>
      <c r="BM232" s="743" t="n"/>
      <c r="BN232" s="291">
        <f>BO232</f>
        <v/>
      </c>
      <c r="BO232" s="868" t="n"/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  <c r="NVU232" t="n">
        <v>173.323</v>
      </c>
      <c r="NVZ232" t="n">
        <v>49.221</v>
      </c>
      <c r="NWE232" t="n">
        <v>59.188</v>
      </c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/>
      <c r="BA233" s="291" t="n"/>
      <c r="BB233" s="291" t="n"/>
      <c r="BC233" s="291" t="n"/>
      <c r="BD233" s="291" t="n"/>
      <c r="BE233" s="868" t="n"/>
      <c r="BF233" s="743" t="n"/>
      <c r="BG233" s="743" t="n"/>
      <c r="BH233" s="743" t="n"/>
      <c r="BI233" s="291" t="n"/>
      <c r="BJ233" s="868" t="n"/>
      <c r="BK233" s="743" t="n"/>
      <c r="BL233" s="743" t="n"/>
      <c r="BM233" s="743" t="n"/>
      <c r="BN233" s="291">
        <f>BO233</f>
        <v/>
      </c>
      <c r="BO233" s="868" t="n"/>
      <c r="BP233" s="743" t="n"/>
      <c r="BQ233" s="743" t="n"/>
      <c r="BR233" s="743" t="n"/>
      <c r="BS233" s="291">
        <f>BT233</f>
        <v/>
      </c>
      <c r="BT233" s="868" t="n"/>
      <c r="BU233" s="743" t="n"/>
      <c r="BV233" s="743" t="n"/>
      <c r="BW233" s="743" t="n"/>
      <c r="BX233" s="291">
        <f>BY233</f>
        <v/>
      </c>
      <c r="BY233" s="868" t="n"/>
      <c r="BZ233" s="743" t="n"/>
      <c r="CA233" s="743" t="n"/>
      <c r="CB233" s="743" t="n"/>
      <c r="CC233" s="291">
        <f>CD233</f>
        <v/>
      </c>
      <c r="CD233" s="868" t="n"/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  <c r="NVU233" t="n">
        <v>1747.663</v>
      </c>
      <c r="NVZ233" t="n">
        <v>1792.921</v>
      </c>
      <c r="NWE233" t="n">
        <v>1592.11</v>
      </c>
      <c r="NWJ233" t="n">
        <v>2019.301</v>
      </c>
      <c r="NWO233" t="n">
        <v>2642.933</v>
      </c>
      <c r="NWT233" t="n">
        <v>2864.436</v>
      </c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/>
      <c r="BA234" s="291" t="n"/>
      <c r="BB234" s="291" t="n"/>
      <c r="BC234" s="291" t="n"/>
      <c r="BD234" s="291" t="n"/>
      <c r="BE234" s="868" t="n"/>
      <c r="BF234" s="743" t="n"/>
      <c r="BG234" s="743" t="n"/>
      <c r="BH234" s="743" t="n"/>
      <c r="BI234" s="291" t="n"/>
      <c r="BJ234" s="868" t="n"/>
      <c r="BK234" s="743" t="n"/>
      <c r="BL234" s="743" t="n"/>
      <c r="BM234" s="743" t="n"/>
      <c r="BN234" s="291">
        <f>BO234</f>
        <v/>
      </c>
      <c r="BO234" s="868" t="n"/>
      <c r="BP234" s="743" t="n"/>
      <c r="BQ234" s="743" t="n"/>
      <c r="BR234" s="743" t="n"/>
      <c r="BS234" s="291">
        <f>BT234</f>
        <v/>
      </c>
      <c r="BT234" s="868" t="n"/>
      <c r="BU234" s="743" t="n"/>
      <c r="BV234" s="743" t="n"/>
      <c r="BW234" s="743" t="n"/>
      <c r="BX234" s="291">
        <f>BY234</f>
        <v/>
      </c>
      <c r="BY234" s="868" t="n"/>
      <c r="BZ234" s="743" t="n"/>
      <c r="CA234" s="743" t="n"/>
      <c r="CB234" s="743" t="n"/>
      <c r="CC234" s="291">
        <f>CD234</f>
        <v/>
      </c>
      <c r="CD234" s="868" t="n"/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  <c r="NVU234" t="n">
        <v>337.285</v>
      </c>
      <c r="NVZ234" t="n">
        <v>398.533</v>
      </c>
      <c r="NWE234" t="n">
        <v>381.64</v>
      </c>
      <c r="NWJ234" t="n">
        <v>425.63</v>
      </c>
      <c r="NWO234" t="n">
        <v>536.748</v>
      </c>
      <c r="NWT234" t="n">
        <v>590.216</v>
      </c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/>
      <c r="BA235" s="291" t="n"/>
      <c r="BB235" s="291" t="n"/>
      <c r="BC235" s="291" t="n"/>
      <c r="BD235" s="291" t="n"/>
      <c r="BE235" s="868" t="n"/>
      <c r="BF235" s="743" t="n"/>
      <c r="BG235" s="743" t="n"/>
      <c r="BH235" s="743" t="n"/>
      <c r="BI235" s="291" t="n"/>
      <c r="BJ235" s="868" t="n"/>
      <c r="BK235" s="743" t="n"/>
      <c r="BL235" s="743" t="n"/>
      <c r="BM235" s="743" t="n"/>
      <c r="BN235" s="291">
        <f>BO235</f>
        <v/>
      </c>
      <c r="BO235" s="868" t="n"/>
      <c r="BP235" s="743" t="n"/>
      <c r="BQ235" s="743" t="n"/>
      <c r="BR235" s="743" t="n"/>
      <c r="BS235" s="291">
        <f>BT235</f>
        <v/>
      </c>
      <c r="BT235" s="868" t="n"/>
      <c r="BU235" s="743" t="n"/>
      <c r="BV235" s="743" t="n"/>
      <c r="BW235" s="743" t="n"/>
      <c r="BX235" s="291">
        <f>BY235</f>
        <v/>
      </c>
      <c r="BY235" s="868" t="n"/>
      <c r="BZ235" s="743" t="n"/>
      <c r="CA235" s="743" t="n"/>
      <c r="CB235" s="743" t="n"/>
      <c r="CC235" s="291">
        <f>CD235</f>
        <v/>
      </c>
      <c r="CD235" s="868" t="n"/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  <c r="NVU235" t="n">
        <v>11.207</v>
      </c>
      <c r="NVZ235" t="n">
        <v>29.695</v>
      </c>
      <c r="NWE235" t="n">
        <v>27.047</v>
      </c>
      <c r="NWJ235" t="n">
        <v>20.615</v>
      </c>
      <c r="NWO235" t="n">
        <v>13.724</v>
      </c>
      <c r="NWT235" t="n">
        <v>10.412</v>
      </c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/>
      <c r="BA236" s="291" t="n"/>
      <c r="BB236" s="291" t="n"/>
      <c r="BC236" s="291" t="n"/>
      <c r="BD236" s="291" t="n"/>
      <c r="BE236" s="868" t="n"/>
      <c r="BF236" s="743" t="n"/>
      <c r="BG236" s="743" t="n"/>
      <c r="BH236" s="743" t="n"/>
      <c r="BI236" s="291" t="n"/>
      <c r="BJ236" s="868" t="n"/>
      <c r="BK236" s="743" t="n"/>
      <c r="BL236" s="743" t="n"/>
      <c r="BM236" s="743" t="n"/>
      <c r="BN236" s="291">
        <f>BO236</f>
        <v/>
      </c>
      <c r="BO236" s="868" t="n"/>
      <c r="BP236" s="743" t="n"/>
      <c r="BQ236" s="743" t="n"/>
      <c r="BR236" s="743" t="n"/>
      <c r="BS236" s="291">
        <f>BT236</f>
        <v/>
      </c>
      <c r="BT236" s="868" t="n"/>
      <c r="BU236" s="743" t="n"/>
      <c r="BV236" s="743" t="n"/>
      <c r="BW236" s="743" t="n"/>
      <c r="BX236" s="291">
        <f>BY236</f>
        <v/>
      </c>
      <c r="BY236" s="868" t="n"/>
      <c r="BZ236" s="743" t="n"/>
      <c r="CA236" s="743" t="n"/>
      <c r="CB236" s="743" t="n"/>
      <c r="CC236" s="291">
        <f>CD236</f>
        <v/>
      </c>
      <c r="CD236" s="868" t="n"/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  <c r="NVU236" t="n">
        <v>23.899</v>
      </c>
      <c r="NVZ236" t="n">
        <v>13.724</v>
      </c>
      <c r="NWE236" t="n">
        <v>19.192</v>
      </c>
      <c r="NWJ236" t="n">
        <v>16.394</v>
      </c>
      <c r="NWO236" t="n">
        <v>22.188</v>
      </c>
      <c r="NWT236" t="n">
        <v>30.729</v>
      </c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>
        <f>AZ230+SUM(AZ231:AZ236)</f>
        <v/>
      </c>
      <c r="BA237" s="819" t="n"/>
      <c r="BB237" s="819" t="n"/>
      <c r="BC237" s="819" t="n"/>
      <c r="BD237" s="819" t="n"/>
      <c r="BE237" s="880">
        <f>BE230+SUM(BE231:BE236)</f>
        <v/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>
        <f>BJ230+SUM(BJ231:BJ236)</f>
        <v/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>
        <f>BO230+SUM(BO231:BO236)</f>
        <v/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>
        <f>BT230+SUM(BT231:BT236)</f>
        <v/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>
        <f>BY230+SUM(BY231:BY236)</f>
        <v/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>
        <f>CD230+SUM(CD231:CD236)</f>
        <v/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  <c r="NVU237" t="n">
        <v>3847.254</v>
      </c>
      <c r="NVZ237" t="n">
        <v>5883.663</v>
      </c>
      <c r="NWE237" t="n">
        <v>5505.83</v>
      </c>
      <c r="NWJ237" t="n">
        <v>6283.62</v>
      </c>
      <c r="NWO237" t="n">
        <v>7165.826</v>
      </c>
      <c r="NWT237" t="n">
        <v>7509.235</v>
      </c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/>
      <c r="BA241" s="291" t="n"/>
      <c r="BB241" s="291" t="n"/>
      <c r="BC241" s="291" t="n"/>
      <c r="BD241" s="291" t="n"/>
      <c r="BE241" s="868" t="n"/>
      <c r="BF241" s="743" t="n"/>
      <c r="BG241" s="743" t="n"/>
      <c r="BH241" s="743" t="n"/>
      <c r="BI241" s="291" t="n"/>
      <c r="BJ241" s="868" t="n"/>
      <c r="BK241" s="743" t="n"/>
      <c r="BL241" s="743" t="n"/>
      <c r="BM241" s="743" t="n"/>
      <c r="BN241" s="291">
        <f>BO241</f>
        <v/>
      </c>
      <c r="BO241" s="868" t="n"/>
      <c r="BP241" s="743" t="n"/>
      <c r="BQ241" s="743" t="n"/>
      <c r="BR241" s="743" t="n"/>
      <c r="BS241" s="291">
        <f>BT241</f>
        <v/>
      </c>
      <c r="BT241" s="868" t="n"/>
      <c r="BU241" s="291" t="n"/>
      <c r="BV241" s="291" t="n"/>
      <c r="BW241" s="291" t="n"/>
      <c r="BX241" s="291">
        <f>BY241</f>
        <v/>
      </c>
      <c r="BY241" s="868" t="n"/>
      <c r="BZ241" s="291" t="n"/>
      <c r="CA241" s="291" t="n"/>
      <c r="CB241" s="291" t="n"/>
      <c r="CC241" s="291">
        <f>CD241</f>
        <v/>
      </c>
      <c r="CD241" s="868" t="n"/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  <c r="NVU241" t="n">
        <v>42.997</v>
      </c>
      <c r="NVZ241" t="n">
        <v>363.586</v>
      </c>
      <c r="NWE241" t="n">
        <v>37.087</v>
      </c>
      <c r="NWJ241" t="n">
        <v>174.351</v>
      </c>
      <c r="NWO241" t="n">
        <v>93.453</v>
      </c>
      <c r="NWT241" t="n">
        <v>222.498</v>
      </c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/>
      <c r="BA243" s="291" t="n"/>
      <c r="BB243" s="291" t="n"/>
      <c r="BC243" s="291" t="n"/>
      <c r="BD243" s="291" t="n"/>
      <c r="BE243" s="868" t="n"/>
      <c r="BF243" s="743" t="n"/>
      <c r="BG243" s="743" t="n"/>
      <c r="BH243" s="743" t="n"/>
      <c r="BI243" s="291" t="n"/>
      <c r="BJ243" s="868" t="n"/>
      <c r="BK243" s="743" t="n"/>
      <c r="BL243" s="743" t="n"/>
      <c r="BM243" s="743" t="n"/>
      <c r="BN243" s="291">
        <f>BO243</f>
        <v/>
      </c>
      <c r="BO243" s="868" t="n"/>
      <c r="BP243" s="743" t="n"/>
      <c r="BQ243" s="743" t="n"/>
      <c r="BR243" s="743" t="n"/>
      <c r="BS243" s="291">
        <f>BT243</f>
        <v/>
      </c>
      <c r="BT243" s="868" t="n"/>
      <c r="BU243" s="743" t="n"/>
      <c r="BV243" s="743" t="n"/>
      <c r="BW243" s="743" t="n"/>
      <c r="BX243" s="291">
        <f>BY243</f>
        <v/>
      </c>
      <c r="BY243" s="868" t="n"/>
      <c r="BZ243" s="743" t="n"/>
      <c r="CA243" s="743" t="n"/>
      <c r="CB243" s="743" t="n"/>
      <c r="CC243" s="291">
        <f>CD243</f>
        <v/>
      </c>
      <c r="CD243" s="868" t="n"/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  <c r="NVU243" t="n">
        <v>468.238</v>
      </c>
      <c r="NVZ243" t="n">
        <v>861.908</v>
      </c>
      <c r="NWE243" t="n">
        <v>708.768</v>
      </c>
      <c r="NWJ243" t="n">
        <v>671.936</v>
      </c>
      <c r="NWO243" t="n">
        <v>639.1900000000001</v>
      </c>
      <c r="NWT243" t="n">
        <v>667.246</v>
      </c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>
        <f>SUM(AZ241:AZ246)</f>
        <v/>
      </c>
      <c r="BA247" s="678" t="n"/>
      <c r="BB247" s="678" t="n"/>
      <c r="BC247" s="678" t="n"/>
      <c r="BD247" s="678" t="n"/>
      <c r="BE247" s="870">
        <f>SUM(BE241:BE246)</f>
        <v/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>
        <f>SUM(BJ241:BJ246)</f>
        <v/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>
        <f>SUM(BO241:BO246)</f>
        <v/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>
        <f>SUM(BT241:BT246)</f>
        <v/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>
        <f>SUM(BY241:BY246)</f>
        <v/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>
        <f>SUM(CD241:CD246)</f>
        <v/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  <c r="NVU247" t="n">
        <v>654.46</v>
      </c>
      <c r="NVZ247" t="n">
        <v>1406.968</v>
      </c>
      <c r="NWE247" t="n">
        <v>966.681</v>
      </c>
      <c r="NWJ247" t="n">
        <v>1066.111</v>
      </c>
      <c r="NWO247" t="n">
        <v>1018.624</v>
      </c>
      <c r="NWT247" t="n">
        <v>1170.477</v>
      </c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/>
      <c r="BA248" s="291" t="n"/>
      <c r="BB248" s="291" t="n"/>
      <c r="BC248" s="291" t="n"/>
      <c r="BD248" s="291" t="n"/>
      <c r="BE248" s="868" t="n"/>
      <c r="BF248" s="743" t="n"/>
      <c r="BG248" s="743" t="n"/>
      <c r="BH248" s="743" t="n"/>
      <c r="BI248" s="291" t="n"/>
      <c r="BJ248" s="868" t="n"/>
      <c r="BK248" s="743" t="n"/>
      <c r="BL248" s="743" t="n"/>
      <c r="BM248" s="743" t="n"/>
      <c r="BN248" s="291">
        <f>BO248</f>
        <v/>
      </c>
      <c r="BO248" s="868" t="n"/>
      <c r="BP248" s="743" t="n"/>
      <c r="BQ248" s="743" t="n"/>
      <c r="BR248" s="743" t="n"/>
      <c r="BS248" s="291">
        <f>BT248</f>
        <v/>
      </c>
      <c r="BT248" s="868" t="n"/>
      <c r="BU248" s="743" t="n"/>
      <c r="BV248" s="743" t="n"/>
      <c r="BW248" s="743" t="n"/>
      <c r="BX248" s="291">
        <f>BY248</f>
        <v/>
      </c>
      <c r="BY248" s="868" t="n"/>
      <c r="BZ248" s="743" t="n"/>
      <c r="CA248" s="743" t="n"/>
      <c r="CB248" s="743" t="n"/>
      <c r="CC248" s="291">
        <f>CD248</f>
        <v/>
      </c>
      <c r="CD248" s="868" t="n"/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  <c r="NVU248" t="n">
        <v>829.547</v>
      </c>
      <c r="NVZ248" t="n">
        <v>1244.508</v>
      </c>
      <c r="NWE248" t="n">
        <v>1278.67</v>
      </c>
      <c r="NWJ248" t="n">
        <v>1709.831</v>
      </c>
      <c r="NWO248" t="n">
        <v>2309.428</v>
      </c>
      <c r="NWT248" t="n">
        <v>2355.477</v>
      </c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/>
      <c r="BA249" s="291" t="n"/>
      <c r="BB249" s="291" t="n"/>
      <c r="BC249" s="291" t="n"/>
      <c r="BD249" s="291" t="n"/>
      <c r="BE249" s="868" t="n"/>
      <c r="BF249" s="291" t="n"/>
      <c r="BG249" s="291" t="n"/>
      <c r="BH249" s="291" t="n"/>
      <c r="BI249" s="291" t="n"/>
      <c r="BJ249" s="868" t="n"/>
      <c r="BK249" s="291" t="n"/>
      <c r="BL249" s="291" t="n"/>
      <c r="BM249" s="291" t="n"/>
      <c r="BN249" s="291" t="n"/>
      <c r="BO249" s="868" t="n"/>
      <c r="BP249" s="291" t="n"/>
      <c r="BQ249" s="291" t="n"/>
      <c r="BR249" s="291" t="n"/>
      <c r="BS249" s="291" t="n"/>
      <c r="BT249" s="868" t="n"/>
      <c r="BU249" s="291" t="n"/>
      <c r="BV249" s="291" t="n"/>
      <c r="BW249" s="291" t="n"/>
      <c r="BX249" s="291" t="n"/>
      <c r="BY249" s="868" t="n"/>
      <c r="BZ249" s="291" t="n"/>
      <c r="CA249" s="291" t="n"/>
      <c r="CB249" s="291" t="n"/>
      <c r="CC249" s="291" t="n"/>
      <c r="CD249" s="868" t="n"/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  <c r="NVU249" t="n">
        <v>267.464</v>
      </c>
      <c r="NVZ249" t="n">
        <v>313.862</v>
      </c>
      <c r="NWE249" t="n">
        <v>297.105</v>
      </c>
      <c r="NWJ249" t="n">
        <v>332.761</v>
      </c>
      <c r="NWO249" t="n">
        <v>421.213</v>
      </c>
      <c r="NWT249" t="n">
        <v>472.473</v>
      </c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/>
      <c r="BA251" s="291" t="n"/>
      <c r="BB251" s="291" t="n"/>
      <c r="BC251" s="291" t="n"/>
      <c r="BD251" s="291" t="n"/>
      <c r="BE251" s="868" t="n"/>
      <c r="BF251" s="743" t="n"/>
      <c r="BG251" s="743" t="n"/>
      <c r="BH251" s="743" t="n"/>
      <c r="BI251" s="291" t="n"/>
      <c r="BJ251" s="868" t="n"/>
      <c r="BK251" s="743" t="n"/>
      <c r="BL251" s="743" t="n"/>
      <c r="BM251" s="743" t="n"/>
      <c r="BN251" s="291">
        <f>BO251</f>
        <v/>
      </c>
      <c r="BO251" s="868" t="n"/>
      <c r="BP251" s="743" t="n"/>
      <c r="BQ251" s="743" t="n"/>
      <c r="BR251" s="743" t="n"/>
      <c r="BS251" s="291">
        <f>BT251</f>
        <v/>
      </c>
      <c r="BT251" s="868" t="n"/>
      <c r="BU251" s="743" t="n"/>
      <c r="BV251" s="743" t="n"/>
      <c r="BW251" s="743" t="n"/>
      <c r="BX251" s="291">
        <f>BY251</f>
        <v/>
      </c>
      <c r="BY251" s="868" t="n"/>
      <c r="BZ251" s="743" t="n"/>
      <c r="CA251" s="743" t="n"/>
      <c r="CB251" s="743" t="n"/>
      <c r="CC251" s="291">
        <f>CD251</f>
        <v/>
      </c>
      <c r="CD251" s="868" t="n"/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  <c r="NVU251" t="n">
        <v>232.167</v>
      </c>
      <c r="NVZ251" t="n">
        <v>423.755</v>
      </c>
      <c r="NWE251" t="n">
        <v>368.186</v>
      </c>
      <c r="NWJ251" t="n">
        <v>433.242</v>
      </c>
      <c r="NWO251" t="n">
        <v>508.428</v>
      </c>
      <c r="NWT251" t="n">
        <v>546.751</v>
      </c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>
        <f>AZ247+SUM(AZ248:AZ252)</f>
        <v/>
      </c>
      <c r="BA253" s="819" t="n"/>
      <c r="BB253" s="819" t="n"/>
      <c r="BC253" s="819" t="n"/>
      <c r="BD253" s="819" t="n"/>
      <c r="BE253" s="880">
        <f>BE247+SUM(BE248:BE252)</f>
        <v/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>
        <f>BJ247+SUM(BJ248:BJ252)</f>
        <v/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>
        <f>BO247+SUM(BO248:BO252)</f>
        <v/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>
        <f>BT247+SUM(BT248:BT252)</f>
        <v/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>
        <f>BY247+SUM(BY248:BY252)</f>
        <v/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>
        <f>CD247+SUM(CD248:CD252)</f>
        <v/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  <c r="NVU253" t="n">
        <v>2058.642</v>
      </c>
      <c r="NVZ253" t="n">
        <v>3573.308</v>
      </c>
      <c r="NWE253" t="n">
        <v>3042.76</v>
      </c>
      <c r="NWJ253" t="n">
        <v>3692.21</v>
      </c>
      <c r="NWO253" t="n">
        <v>4492.551</v>
      </c>
      <c r="NWT253" t="n">
        <v>4831.608</v>
      </c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/>
      <c r="BA260" s="818" t="n"/>
      <c r="BB260" s="818" t="n"/>
      <c r="BC260" s="818" t="n"/>
      <c r="BD260" s="818" t="n"/>
      <c r="BE260" s="925">
        <f>SUM(BE255:BE259)</f>
        <v/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>
        <f>SUM(BJ255:BJ259)</f>
        <v/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>
        <f>SUM(BO255:BO259)</f>
        <v/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>
        <f>SUM(BT255:BT259)</f>
        <v/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>
        <f>SUM(BY255:BY259)</f>
        <v/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>
        <f>SUM(CD255:CD259)</f>
        <v/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  <c r="NVU260" t="n">
        <v>1788.612</v>
      </c>
      <c r="NVZ260" t="n">
        <v>2310.355</v>
      </c>
      <c r="NWE260" t="n">
        <v>2463.07</v>
      </c>
      <c r="NWJ260" t="n">
        <v>2591.41</v>
      </c>
      <c r="NWO260" t="n">
        <v>2673.275</v>
      </c>
      <c r="NWT260" t="n">
        <v>2677.627</v>
      </c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>
        <f>AZ253+AZ260</f>
        <v/>
      </c>
      <c r="BA261" s="819" t="n"/>
      <c r="BB261" s="819" t="n"/>
      <c r="BC261" s="819" t="n"/>
      <c r="BD261" s="819" t="n"/>
      <c r="BE261" s="880">
        <f>BE253+BE260</f>
        <v/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>
        <f>BJ253+BJ260</f>
        <v/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>
        <f>BO253+BO260</f>
        <v/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>
        <f>BT253+BT260</f>
        <v/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>
        <f>BY253+BY260</f>
        <v/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>
        <f>CD253+CD260</f>
        <v/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  <c r="NVU261" t="n">
        <v>3847.254</v>
      </c>
      <c r="NVZ261" t="n">
        <v>5883.663</v>
      </c>
      <c r="NWE261" t="n">
        <v>5505.83</v>
      </c>
      <c r="NWJ261" t="n">
        <v>6283.62</v>
      </c>
      <c r="NWO261" t="n">
        <v>7165.826</v>
      </c>
      <c r="NWT261" t="n">
        <v>7509.235</v>
      </c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>
      <c r="CI394" s="717" t="n"/>
      <c r="CJ394" s="717" t="n"/>
      <c r="CK394" s="717" t="n"/>
      <c r="CL394" s="717" t="n"/>
      <c r="CM394" s="717" t="n"/>
    </row>
    <row r="399">
      <c r="CK399" s="289" t="n"/>
    </row>
    <row r="400">
      <c r="CK400" s="307" t="n"/>
    </row>
    <row r="401">
      <c r="CK401" s="308" t="n"/>
    </row>
    <row r="402">
      <c r="CK402" s="289" t="n"/>
    </row>
    <row r="403">
      <c r="CK403" s="289" t="n"/>
    </row>
    <row r="404">
      <c r="CK404" s="289" t="n"/>
    </row>
    <row r="405">
      <c r="CK405" s="289" t="n"/>
    </row>
    <row r="406">
      <c r="CK406" s="289" t="n"/>
    </row>
    <row r="407">
      <c r="CK407" s="289" t="n"/>
    </row>
    <row r="408">
      <c r="CK408" s="289" t="n"/>
    </row>
    <row r="409">
      <c r="CK409" s="289" t="n"/>
    </row>
    <row r="410">
      <c r="CK410" s="289" t="n"/>
    </row>
    <row r="411">
      <c r="CK411" s="289" t="n"/>
    </row>
    <row r="412">
      <c r="CK412" s="289" t="n"/>
    </row>
    <row r="413">
      <c r="CK413" s="289" t="n"/>
    </row>
    <row r="414">
      <c r="CK414" s="289" t="n"/>
    </row>
    <row r="415" ht="21.95" customHeight="1">
      <c r="CK415" s="289" t="n"/>
    </row>
    <row r="416">
      <c r="CK416" s="289" t="n"/>
    </row>
    <row r="417">
      <c r="CK417" s="289" t="n"/>
    </row>
    <row r="418">
      <c r="CK418" s="289" t="n"/>
    </row>
    <row r="419">
      <c r="CK419" s="289" t="n"/>
    </row>
    <row r="420">
      <c r="CK420" s="289" t="n"/>
    </row>
    <row r="421">
      <c r="CK421" s="289" t="n"/>
    </row>
    <row r="422">
      <c r="CK422" s="289" t="n"/>
    </row>
    <row r="423">
      <c r="CK423" s="289" t="n"/>
    </row>
    <row r="424">
      <c r="CK424" s="289" t="n"/>
    </row>
    <row r="425">
      <c r="CK425" s="289" t="n"/>
    </row>
    <row r="426"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2026-05-28T15:07:58Z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