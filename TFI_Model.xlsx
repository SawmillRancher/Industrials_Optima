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WT489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/>
      <c r="BA12" s="291" t="n"/>
      <c r="BB12" s="291" t="n"/>
      <c r="BC12" s="291" t="n"/>
      <c r="BD12" s="291" t="n"/>
      <c r="BE12" s="868" t="n"/>
      <c r="BF12" s="743" t="n"/>
      <c r="BG12" s="743" t="n"/>
      <c r="BH12" s="743" t="n"/>
      <c r="BI12" s="291">
        <f>BJ12-SUM(BF12:BH12)</f>
        <v/>
      </c>
      <c r="BJ12" s="868" t="n"/>
      <c r="BK12" s="743" t="n"/>
      <c r="BL12" s="743" t="n"/>
      <c r="BM12" s="743" t="n"/>
      <c r="BN12" s="291">
        <f>BO12-SUM(BK12:BM12)</f>
        <v/>
      </c>
      <c r="BO12" s="868" t="n"/>
      <c r="BP12" s="743" t="n"/>
      <c r="BQ12" s="743" t="n"/>
      <c r="BR12" s="743" t="n"/>
      <c r="BS12" s="291" t="n"/>
      <c r="BT12" s="864" t="n"/>
      <c r="BU12" s="291" t="n"/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  <c r="NVU12" t="n">
        <v>529.155</v>
      </c>
      <c r="NVZ12" t="n">
        <v>641.449</v>
      </c>
      <c r="NWE12" t="n">
        <v>650.8440000000001</v>
      </c>
      <c r="NWJ12" t="n">
        <v>583.198</v>
      </c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/>
      <c r="BA13" s="291" t="n"/>
      <c r="BB13" s="291" t="n"/>
      <c r="BC13" s="291" t="n"/>
      <c r="BD13" s="291" t="n"/>
      <c r="BE13" s="868" t="n"/>
      <c r="BF13" s="743" t="n"/>
      <c r="BG13" s="743" t="n"/>
      <c r="BH13" s="743" t="n"/>
      <c r="BI13" s="291">
        <f>BJ13-SUM(BF13:BH13)</f>
        <v/>
      </c>
      <c r="BJ13" s="868" t="n"/>
      <c r="BK13" s="743" t="n"/>
      <c r="BL13" s="743" t="n"/>
      <c r="BM13" s="743" t="n"/>
      <c r="BN13" s="291">
        <f>BO13-SUM(BK13:BM13)</f>
        <v/>
      </c>
      <c r="BO13" s="868" t="n"/>
      <c r="BP13" s="743" t="n"/>
      <c r="BQ13" s="743" t="n"/>
      <c r="BR13" s="743" t="n"/>
      <c r="BS13" s="291" t="n"/>
      <c r="BT13" s="864" t="n"/>
      <c r="BU13" s="291" t="n"/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  <c r="NVU13" t="n">
        <v>78.753</v>
      </c>
      <c r="NVZ13" t="n">
        <v>108.44</v>
      </c>
      <c r="NWE13" t="n">
        <v>134.306</v>
      </c>
      <c r="NWJ13" t="n">
        <v>114.36</v>
      </c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 t="n"/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 t="n"/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 t="n"/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/>
      <c r="BA20" s="291" t="n"/>
      <c r="BB20" s="291" t="n"/>
      <c r="BC20" s="291" t="n"/>
      <c r="BD20" s="291" t="n"/>
      <c r="BE20" s="868" t="n"/>
      <c r="BF20" s="743" t="n"/>
      <c r="BG20" s="743" t="n"/>
      <c r="BH20" s="743" t="n"/>
      <c r="BI20" s="291">
        <f>BJ20-SUM(BF20:BH20)</f>
        <v/>
      </c>
      <c r="BJ20" s="868" t="n"/>
      <c r="BK20" s="743" t="n"/>
      <c r="BL20" s="743" t="n"/>
      <c r="BM20" s="743" t="n"/>
      <c r="BN20" s="291">
        <f>BO20-SUM(BK20:BM20)</f>
        <v/>
      </c>
      <c r="BO20" s="868" t="n"/>
      <c r="BP20" s="743" t="n"/>
      <c r="BQ20" s="743" t="n"/>
      <c r="BR20" s="743" t="n"/>
      <c r="BS20" s="291" t="n"/>
      <c r="BT20" s="864" t="n"/>
      <c r="BU20" s="291" t="n"/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  <c r="NVU20" t="n">
        <v>589.235</v>
      </c>
      <c r="NVZ20" t="n">
        <v>2815.39</v>
      </c>
      <c r="NWE20" t="n">
        <v>4023.163</v>
      </c>
      <c r="NWJ20" t="n">
        <v>3368.567</v>
      </c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/>
      <c r="BA21" s="291" t="n"/>
      <c r="BB21" s="291" t="n"/>
      <c r="BC21" s="291" t="n"/>
      <c r="BD21" s="291" t="n"/>
      <c r="BE21" s="868" t="n"/>
      <c r="BF21" s="743" t="n"/>
      <c r="BG21" s="743" t="n"/>
      <c r="BH21" s="743" t="n"/>
      <c r="BI21" s="291">
        <f>BJ21-SUM(BF21:BH21)</f>
        <v/>
      </c>
      <c r="BJ21" s="868" t="n"/>
      <c r="BK21" s="743" t="n"/>
      <c r="BL21" s="743" t="n"/>
      <c r="BM21" s="743" t="n"/>
      <c r="BN21" s="291">
        <f>BO21-SUM(BK21:BM21)</f>
        <v/>
      </c>
      <c r="BO21" s="868" t="n"/>
      <c r="BP21" s="743" t="n"/>
      <c r="BQ21" s="743" t="n"/>
      <c r="BR21" s="743" t="n"/>
      <c r="BS21" s="291" t="n"/>
      <c r="BT21" s="864" t="n"/>
      <c r="BU21" s="291" t="n"/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  <c r="NVU21" t="n">
        <v>87.95</v>
      </c>
      <c r="NVZ21" t="n">
        <v>482.754</v>
      </c>
      <c r="NWE21" t="n">
        <v>470.807</v>
      </c>
      <c r="NWJ21" t="n">
        <v>310.429</v>
      </c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 t="n"/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 t="n"/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 t="n"/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/>
      <c r="BA27" s="291" t="n"/>
      <c r="BB27" s="291" t="n"/>
      <c r="BC27" s="291" t="n"/>
      <c r="BD27" s="291" t="n"/>
      <c r="BE27" s="868" t="n"/>
      <c r="BF27" s="743" t="n"/>
      <c r="BG27" s="743" t="n"/>
      <c r="BH27" s="743" t="n"/>
      <c r="BI27" s="291">
        <f>BJ27-SUM(BF27:BH27)</f>
        <v/>
      </c>
      <c r="BJ27" s="868" t="n"/>
      <c r="BK27" s="743" t="n"/>
      <c r="BL27" s="743" t="n"/>
      <c r="BM27" s="743" t="n"/>
      <c r="BN27" s="291">
        <f>BO27-SUM(BK27:BM27)</f>
        <v/>
      </c>
      <c r="BO27" s="868" t="n"/>
      <c r="BP27" s="743" t="n"/>
      <c r="BQ27" s="743" t="n"/>
      <c r="BR27" s="743" t="n"/>
      <c r="BS27" s="291" t="n"/>
      <c r="BT27" s="864" t="n"/>
      <c r="BU27" s="291" t="n"/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  <c r="NVU27" t="n">
        <v>1748.359</v>
      </c>
      <c r="NVZ27" t="n">
        <v>2162.752</v>
      </c>
      <c r="NWE27" t="n">
        <v>2451.038</v>
      </c>
      <c r="NWJ27" t="n">
        <v>1936.038</v>
      </c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/>
      <c r="BA28" s="291" t="n"/>
      <c r="BB28" s="291" t="n"/>
      <c r="BC28" s="291" t="n"/>
      <c r="BD28" s="291" t="n"/>
      <c r="BE28" s="868" t="n"/>
      <c r="BF28" s="743" t="n"/>
      <c r="BG28" s="743" t="n"/>
      <c r="BH28" s="743" t="n"/>
      <c r="BI28" s="291">
        <f>BJ28-SUM(BF28:BH28)</f>
        <v/>
      </c>
      <c r="BJ28" s="868" t="n"/>
      <c r="BK28" s="743" t="n"/>
      <c r="BL28" s="743" t="n"/>
      <c r="BM28" s="743" t="n"/>
      <c r="BN28" s="291">
        <f>BO28-SUM(BK28:BM28)</f>
        <v/>
      </c>
      <c r="BO28" s="868" t="n"/>
      <c r="BP28" s="743" t="n"/>
      <c r="BQ28" s="743" t="n"/>
      <c r="BR28" s="743" t="n"/>
      <c r="BS28" s="291" t="n"/>
      <c r="BT28" s="864" t="n"/>
      <c r="BU28" s="291" t="n"/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  <c r="NVU28" t="n">
        <v>206.346</v>
      </c>
      <c r="NVZ28" t="n">
        <v>230.189</v>
      </c>
      <c r="NWE28" t="n">
        <v>366.868</v>
      </c>
      <c r="NWJ28" t="n">
        <v>237.393</v>
      </c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 t="n"/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 t="n"/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 t="n"/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/>
      <c r="BA34" s="291" t="n"/>
      <c r="BB34" s="291" t="n"/>
      <c r="BC34" s="291" t="n"/>
      <c r="BD34" s="291" t="n"/>
      <c r="BE34" s="868" t="n"/>
      <c r="BF34" s="743" t="n"/>
      <c r="BG34" s="743" t="n"/>
      <c r="BH34" s="743" t="n"/>
      <c r="BI34" s="743" t="n"/>
      <c r="BJ34" s="868" t="n"/>
      <c r="BK34" s="291" t="n"/>
      <c r="BL34" s="291" t="n"/>
      <c r="BM34" s="291" t="n"/>
      <c r="BN34" s="291" t="n"/>
      <c r="BO34" s="864" t="n"/>
      <c r="BP34" s="291" t="n"/>
      <c r="BQ34" s="291" t="n"/>
      <c r="BR34" s="291" t="n"/>
      <c r="BS34" s="291" t="n"/>
      <c r="BT34" s="864" t="n"/>
      <c r="BU34" s="291" t="n"/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  <c r="NVU34" t="n">
        <v>945.13</v>
      </c>
      <c r="NVZ34" t="n">
        <v>1662.072</v>
      </c>
      <c r="NWE34" t="n">
        <v>1763.28</v>
      </c>
      <c r="NWJ34" t="n">
        <v>1697.016</v>
      </c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/>
      <c r="BA35" s="291" t="n"/>
      <c r="BB35" s="291" t="n"/>
      <c r="BC35" s="291" t="n"/>
      <c r="BD35" s="291" t="n"/>
      <c r="BE35" s="868" t="n"/>
      <c r="BF35" s="743" t="n"/>
      <c r="BG35" s="743" t="n"/>
      <c r="BH35" s="743" t="n"/>
      <c r="BI35" s="743" t="n"/>
      <c r="BJ35" s="868" t="n"/>
      <c r="BK35" s="291" t="n"/>
      <c r="BL35" s="291" t="n"/>
      <c r="BM35" s="291" t="n"/>
      <c r="BN35" s="291" t="n"/>
      <c r="BO35" s="864" t="n"/>
      <c r="BP35" s="291" t="n"/>
      <c r="BQ35" s="291" t="n"/>
      <c r="BR35" s="291" t="n"/>
      <c r="BS35" s="291" t="n"/>
      <c r="BT35" s="864" t="n"/>
      <c r="BU35" s="291" t="n"/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  <c r="NVU35" t="n">
        <v>84.459</v>
      </c>
      <c r="NVZ35" t="n">
        <v>142.794</v>
      </c>
      <c r="NWE35" t="n">
        <v>140.446</v>
      </c>
      <c r="NWJ35" t="n">
        <v>160.112</v>
      </c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 t="n"/>
      <c r="BF36" s="974" t="n"/>
      <c r="BG36" s="974" t="n"/>
      <c r="BH36" s="974" t="n"/>
      <c r="BI36" s="974" t="n"/>
      <c r="BJ36" s="975" t="n"/>
      <c r="BK36" s="974" t="n"/>
      <c r="BL36" s="974" t="n"/>
      <c r="BM36" s="974" t="n"/>
      <c r="BN36" s="974" t="n"/>
      <c r="BO36" s="975" t="n"/>
      <c r="BP36" s="974" t="n"/>
      <c r="BQ36" s="974" t="n"/>
      <c r="BR36" s="974" t="n"/>
      <c r="BS36" s="974" t="n"/>
      <c r="BT36" s="975" t="n"/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 t="n"/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 t="n"/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 t="n"/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 t="n"/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/>
      <c r="BW54" s="743" t="n"/>
      <c r="BX54" s="291">
        <f>BY54-BU54-BV54-BW54</f>
        <v/>
      </c>
      <c r="BY54" s="868" t="n"/>
      <c r="BZ54" s="743" t="n"/>
      <c r="CA54" s="743" t="n"/>
      <c r="CB54" s="743" t="n"/>
      <c r="CC54" s="291">
        <f>CD54-BZ54-CA54-CB54</f>
        <v/>
      </c>
      <c r="CD54" s="868" t="n"/>
      <c r="CE54" s="743" t="n"/>
      <c r="CF54" s="743" t="n"/>
      <c r="CG54" s="291">
        <f>CB54*(1+CG55)</f>
        <v/>
      </c>
      <c r="CH54" s="291">
        <f>CI54-CE54-CF54-CG54</f>
        <v/>
      </c>
      <c r="CI54" s="749">
        <f>888*(1+CI55)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 TABLES</t>
        </is>
      </c>
      <c r="NWO54" t="n">
        <v>3702.935</v>
      </c>
      <c r="NWT54" t="n">
        <v>3270.514</v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IFERROR(BY54/BT54-1,"")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 t="n"/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/>
      <c r="BW56" s="977" t="n"/>
      <c r="BX56" s="978">
        <f>BY56-BU56-BV56-BW56</f>
        <v/>
      </c>
      <c r="BY56" s="982" t="n"/>
      <c r="BZ56" s="977" t="n"/>
      <c r="CA56" s="977" t="n"/>
      <c r="CB56" s="977" t="n"/>
      <c r="CC56" s="978">
        <f>CD56-BZ56-CA56-CB56</f>
        <v/>
      </c>
      <c r="CD56" s="982" t="n"/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  <c r="NWO56" t="n">
        <v>361.235</v>
      </c>
      <c r="NWT56" t="n">
        <v>259.953</v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IFERROR(BY56/BT56-1,"")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 t="n"/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>[Segment 1] sales y/y %</t>
        </is>
      </c>
      <c r="CU58" s="984" t="n"/>
      <c r="CV58" s="984" t="n"/>
      <c r="CW58" s="984" t="n"/>
      <c r="CX58" s="984" t="n"/>
      <c r="CY58" s="984" t="n"/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IFERROR((BY56-BT56)/(BY54-BT54),"")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>[Segment 1] EBIT margin %</t>
        </is>
      </c>
      <c r="CU59" s="984" t="n"/>
      <c r="CV59" s="984" t="n"/>
      <c r="CW59" s="984" t="n"/>
      <c r="CX59" s="984" t="n"/>
      <c r="CY59" s="984" t="n"/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>[Segment 2] sales y/y %</t>
        </is>
      </c>
      <c r="CU60" s="984" t="n"/>
      <c r="CV60" s="984" t="n"/>
      <c r="CW60" s="984" t="n"/>
      <c r="CX60" s="984" t="n"/>
      <c r="CY60" s="984" t="n"/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>
        <f>IFERROR(BK60/BF60-1,"")</f>
        <v/>
      </c>
      <c r="BL61" s="991">
        <f>IFERROR(BL60/BG60-1,"")</f>
        <v/>
      </c>
      <c r="BM61" s="991">
        <f>IFERROR(BM60/BH60-1,"")</f>
        <v/>
      </c>
      <c r="BN61" s="991">
        <f>IFERROR(BN60/BI60-1,"")</f>
        <v/>
      </c>
      <c r="BO61" s="992">
        <f>IFERROR(BO60/BJ60-1,"")</f>
        <v/>
      </c>
      <c r="BP61" s="991">
        <f>IFERROR(BP60/BK60-1,"")</f>
        <v/>
      </c>
      <c r="BQ61" s="991">
        <f>IFERROR(BQ60/BL60-1,"")</f>
        <v/>
      </c>
      <c r="BR61" s="991">
        <f>IFERROR(BR60/BM60-1,"")</f>
        <v/>
      </c>
      <c r="BS61" s="991">
        <f>IFERROR(BS60/BN60-1,"")</f>
        <v/>
      </c>
      <c r="BT61" s="992">
        <f>IFERROR(BT60/BO60-1,"")</f>
        <v/>
      </c>
      <c r="BU61" s="991">
        <f>IFERROR(BU60/BP60-1,"")</f>
        <v/>
      </c>
      <c r="BV61" s="991">
        <f>IFERROR(BV60/BQ60-1,"")</f>
        <v/>
      </c>
      <c r="BW61" s="991">
        <f>IFERROR(BW60/BR60-1,"")</f>
        <v/>
      </c>
      <c r="BX61" s="991">
        <f>IFERROR(BX60/BS60-1,"")</f>
        <v/>
      </c>
      <c r="BY61" s="992">
        <f>IFERROR(BY60/BT60-1,"")</f>
        <v/>
      </c>
      <c r="BZ61" s="991">
        <f>IFERROR(BZ60/BU60-1,"")</f>
        <v/>
      </c>
      <c r="CA61" s="991">
        <f>IFERROR(CA60/BV60-1,"")</f>
        <v/>
      </c>
      <c r="CB61" s="991">
        <f>IFERROR(CB60/BW60-1,"")</f>
        <v/>
      </c>
      <c r="CC61" s="991">
        <f>IFERROR(CC60/BX60-1,"")</f>
        <v/>
      </c>
      <c r="CD61" s="992">
        <f>IFERROR(CD60/BY60-1,"")</f>
        <v/>
      </c>
      <c r="CE61" s="991" t="n"/>
      <c r="CF61" s="991" t="n"/>
      <c r="CG61" s="991" t="n"/>
      <c r="CH61" s="991" t="n"/>
      <c r="CI61" s="976">
        <f>IFERROR(CI60/CD60-1,"")</f>
        <v/>
      </c>
      <c r="CJ61" s="976">
        <f>IFERROR(CJ60/CI60-1,"")</f>
        <v/>
      </c>
      <c r="CK61" s="976">
        <f>IFERROR(CK60/CJ60-1,"")</f>
        <v/>
      </c>
      <c r="CL61" s="976">
        <f>IFERROR(CL60/CK60-1,"")</f>
        <v/>
      </c>
      <c r="CM61" s="976">
        <f>IFERROR(CM60/CL60-1,"")</f>
        <v/>
      </c>
      <c r="CN61" s="974" t="n"/>
      <c r="CO61" s="766" t="n"/>
      <c r="CP61" s="974" t="n"/>
      <c r="CQ61" s="693" t="n"/>
      <c r="CT61" t="inlineStr">
        <is>
          <t>[Segment 2] EBIT margin %</t>
        </is>
      </c>
      <c r="CU61" s="984" t="n"/>
      <c r="CV61" s="984" t="n"/>
      <c r="CW61" s="984" t="n"/>
      <c r="CX61" s="984" t="n"/>
      <c r="CY61" s="984" t="n"/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>
        <f>IFERROR((BK54+BK60-BF60)/BK54,"")</f>
        <v/>
      </c>
      <c r="BL62" s="763">
        <f>IFERROR((BL54+BL60-BG60)/BL54,"")</f>
        <v/>
      </c>
      <c r="BM62" s="763">
        <f>IFERROR((BM54+BM60-BH60)/BM54,"")</f>
        <v/>
      </c>
      <c r="BN62" s="763">
        <f>IFERROR((BN54+BN60-BI60)/BN54,"")</f>
        <v/>
      </c>
      <c r="BO62" s="934">
        <f>IFERROR((BO54+BO60-BJ60)/BO54,"")</f>
        <v/>
      </c>
      <c r="BP62" s="763">
        <f>IFERROR((BP54+BP60-BK60)/BP54,"")</f>
        <v/>
      </c>
      <c r="BQ62" s="763">
        <f>IFERROR((BQ54+BQ60-BL60)/BQ54,"")</f>
        <v/>
      </c>
      <c r="BR62" s="763">
        <f>IFERROR((BR54+BR60-BM60)/BR54,"")</f>
        <v/>
      </c>
      <c r="BS62" s="763">
        <f>IFERROR((BS54+BS60-BN60)/BS54,"")</f>
        <v/>
      </c>
      <c r="BT62" s="934">
        <f>IFERROR((BT54+BT60-BO60)/BT54,"")</f>
        <v/>
      </c>
      <c r="BU62" s="763">
        <f>IFERROR((BU54+BU60-BP60)/BU54,"")</f>
        <v/>
      </c>
      <c r="BV62" s="763">
        <f>IFERROR((BV54+BV60-BQ60)/BV54,"")</f>
        <v/>
      </c>
      <c r="BW62" s="763">
        <f>IFERROR((BW54+BW60-BR60)/BW54,"")</f>
        <v/>
      </c>
      <c r="BX62" s="763">
        <f>IFERROR((BX54+BX60-BS60)/BX54,"")</f>
        <v/>
      </c>
      <c r="BY62" s="934">
        <f>IFERROR((BY54+BY60-BT60)/BY54,"")</f>
        <v/>
      </c>
      <c r="BZ62" s="763">
        <f>IFERROR((BZ54+BZ60-BU60)/BZ54,"")</f>
        <v/>
      </c>
      <c r="CA62" s="763">
        <f>IFERROR((CA54+CA60-BV60)/CA54,"")</f>
        <v/>
      </c>
      <c r="CB62" s="763">
        <f>IFERROR((CB54+CB60-BW60)/CB54,"")</f>
        <v/>
      </c>
      <c r="CC62" s="763">
        <f>IFERROR((CC54+CC60-BX60)/CC54,"")</f>
        <v/>
      </c>
      <c r="CD62" s="934">
        <f>IFERROR((CD54+CD60-BY60)/CD54,"")</f>
        <v/>
      </c>
      <c r="CE62" s="763" t="n"/>
      <c r="CF62" s="763" t="n"/>
      <c r="CG62" s="763" t="n"/>
      <c r="CH62" s="763" t="n"/>
      <c r="CI62" s="764">
        <f>IFERROR((CI54+CI60-CD60)/CI54,"")</f>
        <v/>
      </c>
      <c r="CJ62" s="764">
        <f>IFERROR((CJ54+CJ60-CI60)/CJ54,"")</f>
        <v/>
      </c>
      <c r="CK62" s="764">
        <f>IFERROR((CK54+CK60-CJ60)/CK54,"")</f>
        <v/>
      </c>
      <c r="CL62" s="764">
        <f>IFERROR((CL54+CL60-CK60)/CL54,"")</f>
        <v/>
      </c>
      <c r="CM62" s="764">
        <f>IFERROR((CM54+CM60-CL60)/CM54,"")</f>
        <v/>
      </c>
      <c r="CN62" s="974" t="n"/>
      <c r="CO62" s="766" t="n"/>
      <c r="CP62" s="974" t="n"/>
      <c r="CQ62" s="693" t="n"/>
      <c r="CT62" t="inlineStr">
        <is>
          <t>Space &amp; Defense sales y/y %</t>
        </is>
      </c>
      <c r="CU62" s="984" t="n"/>
      <c r="CV62" s="984" t="n"/>
      <c r="CW62" s="984" t="n"/>
      <c r="CX62" s="984" t="n"/>
      <c r="CY62" s="984" t="n"/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>Space &amp; Defense EBIT margin %</t>
        </is>
      </c>
      <c r="CU63" s="984" t="n"/>
      <c r="CV63" s="984" t="n"/>
      <c r="CW63" s="984" t="n"/>
      <c r="CX63" s="984" t="n"/>
      <c r="CY63" s="984" t="n"/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/>
      <c r="BW65" s="743" t="n"/>
      <c r="BX65" s="291">
        <f>BY65-BU65-BV65-BW65</f>
        <v/>
      </c>
      <c r="BY65" s="868" t="n"/>
      <c r="BZ65" s="743" t="n"/>
      <c r="CA65" s="743" t="n"/>
      <c r="CB65" s="743" t="n"/>
      <c r="CC65" s="291">
        <f>CD65-BZ65-CA65-CB65</f>
        <v/>
      </c>
      <c r="CD65" s="868" t="n"/>
      <c r="CE65" s="743" t="n"/>
      <c r="CF65" s="743" t="n"/>
      <c r="CG65" s="291">
        <f>CB65*(1+CG66)</f>
        <v/>
      </c>
      <c r="CH65" s="291">
        <f>CI65-CE65-CF65-CG65</f>
        <v/>
      </c>
      <c r="CI65" s="749">
        <f>904*(1+CI66)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  <c r="NWO65" t="n">
        <v>2937.305</v>
      </c>
      <c r="NWT65" t="n">
        <v>3097.231</v>
      </c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IFERROR(BY65/BT65-1,"")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 t="n"/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/>
      <c r="BW67" s="743" t="n"/>
      <c r="BX67" s="291">
        <f>BY67-BU67-BV67-BW67</f>
        <v/>
      </c>
      <c r="BY67" s="868" t="n"/>
      <c r="BZ67" s="743" t="n"/>
      <c r="CA67" s="743" t="n"/>
      <c r="CB67" s="743" t="n"/>
      <c r="CC67" s="291">
        <f>CD67-BZ67-CA67-CB67</f>
        <v/>
      </c>
      <c r="CD67" s="868" t="n"/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  <c r="NWO67" t="n">
        <v>252.434</v>
      </c>
      <c r="NWT67" t="n">
        <v>220.145</v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IFERROR(BY67/BT67-1,"")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>[Segment 1] sales y/y %</t>
        </is>
      </c>
      <c r="CU68" s="984" t="n"/>
      <c r="CV68" s="984" t="n"/>
      <c r="CW68" s="984" t="n"/>
      <c r="CX68" s="984" t="n"/>
      <c r="CY68" s="984" t="n"/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 t="n"/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>[Segment 1] EBIT margin %</t>
        </is>
      </c>
      <c r="CU69" s="984" t="n"/>
      <c r="CV69" s="984" t="n"/>
      <c r="CW69" s="984" t="n"/>
      <c r="CX69" s="984" t="n"/>
      <c r="CY69" s="984" t="n"/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IFERROR((BY67-BT67)/(BY65-BT65),"")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>[Segment 2] sales y/y %</t>
        </is>
      </c>
      <c r="CU70" s="984" t="n"/>
      <c r="CV70" s="984" t="n"/>
      <c r="CW70" s="984" t="n"/>
      <c r="CX70" s="984" t="n"/>
      <c r="CY70" s="984" t="n"/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>[Segment 2] EBIT margin %</t>
        </is>
      </c>
      <c r="CU71" s="984" t="n"/>
      <c r="CV71" s="984" t="n"/>
      <c r="CW71" s="984" t="n"/>
      <c r="CX71" s="984" t="n"/>
      <c r="CY71" s="984" t="n"/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>
        <f>IFERROR(BK71/BF71-1,"")</f>
        <v/>
      </c>
      <c r="BL72" s="991">
        <f>IFERROR(BL71/BG71-1,"")</f>
        <v/>
      </c>
      <c r="BM72" s="991">
        <f>IFERROR(BM71/BH71-1,"")</f>
        <v/>
      </c>
      <c r="BN72" s="991">
        <f>IFERROR(BN71/BI71-1,"")</f>
        <v/>
      </c>
      <c r="BO72" s="992">
        <f>IFERROR(BO71/BJ71-1,"")</f>
        <v/>
      </c>
      <c r="BP72" s="991">
        <f>IFERROR(BP71/BK71-1,"")</f>
        <v/>
      </c>
      <c r="BQ72" s="991">
        <f>IFERROR(BQ71/BL71-1,"")</f>
        <v/>
      </c>
      <c r="BR72" s="991">
        <f>IFERROR(BR71/BM71-1,"")</f>
        <v/>
      </c>
      <c r="BS72" s="991">
        <f>IFERROR(BS71/BN71-1,"")</f>
        <v/>
      </c>
      <c r="BT72" s="992">
        <f>IFERROR(BT71/BO71-1,"")</f>
        <v/>
      </c>
      <c r="BU72" s="991">
        <f>IFERROR(BU71/BP71-1,"")</f>
        <v/>
      </c>
      <c r="BV72" s="991">
        <f>IFERROR(BV71/BQ71-1,"")</f>
        <v/>
      </c>
      <c r="BW72" s="991">
        <f>IFERROR(BW71/BR71-1,"")</f>
        <v/>
      </c>
      <c r="BX72" s="991">
        <f>IFERROR(BX71/BS71-1,"")</f>
        <v/>
      </c>
      <c r="BY72" s="992">
        <f>IFERROR(BY71/BT71-1,"")</f>
        <v/>
      </c>
      <c r="BZ72" s="991">
        <f>IFERROR(BZ71/BU71-1,"")</f>
        <v/>
      </c>
      <c r="CA72" s="991">
        <f>IFERROR(CA71/BV71-1,"")</f>
        <v/>
      </c>
      <c r="CB72" s="991">
        <f>IFERROR(CB71/BW71-1,"")</f>
        <v/>
      </c>
      <c r="CC72" s="991">
        <f>IFERROR(CC71/BX71-1,"")</f>
        <v/>
      </c>
      <c r="CD72" s="992">
        <f>IFERROR(CD71/BY71-1,"")</f>
        <v/>
      </c>
      <c r="CE72" s="991" t="n"/>
      <c r="CF72" s="991" t="n"/>
      <c r="CG72" s="991" t="n"/>
      <c r="CH72" s="991" t="n"/>
      <c r="CI72" s="976">
        <f>IFERROR(CI71/CD71-1,"")</f>
        <v/>
      </c>
      <c r="CJ72" s="976">
        <f>IFERROR(CJ71/CI71-1,"")</f>
        <v/>
      </c>
      <c r="CK72" s="976">
        <f>IFERROR(CK71/CJ71-1,"")</f>
        <v/>
      </c>
      <c r="CL72" s="976">
        <f>IFERROR(CL71/CK71-1,"")</f>
        <v/>
      </c>
      <c r="CM72" s="976">
        <f>IFERROR(CM71/CL71-1,"")</f>
        <v/>
      </c>
      <c r="CN72" s="974" t="n"/>
      <c r="CO72" s="766" t="n"/>
      <c r="CP72" s="974" t="n"/>
      <c r="CQ72" s="693" t="n"/>
      <c r="CT72" t="inlineStr">
        <is>
          <t>Space &amp; Defense sales y/y %</t>
        </is>
      </c>
      <c r="CU72" s="984" t="n"/>
      <c r="CV72" s="984" t="n"/>
      <c r="CW72" s="984" t="n"/>
      <c r="CX72" s="984" t="n"/>
      <c r="CY72" s="984" t="n"/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>
        <f>IFERROR((BK65+BK71-BF71)/BK65,"")</f>
        <v/>
      </c>
      <c r="BL73" s="763">
        <f>IFERROR((BL65+BL71-BG71)/BL65,"")</f>
        <v/>
      </c>
      <c r="BM73" s="763">
        <f>IFERROR((BM65+BM71-BH71)/BM65,"")</f>
        <v/>
      </c>
      <c r="BN73" s="763">
        <f>IFERROR((BN65+BN71-BI71)/BN65,"")</f>
        <v/>
      </c>
      <c r="BO73" s="934">
        <f>IFERROR((BO65+BO71-BJ71)/BO65,"")</f>
        <v/>
      </c>
      <c r="BP73" s="763">
        <f>IFERROR((BP65+BP71-BK71)/BP65,"")</f>
        <v/>
      </c>
      <c r="BQ73" s="763">
        <f>IFERROR((BQ65+BQ71-BL71)/BQ65,"")</f>
        <v/>
      </c>
      <c r="BR73" s="763">
        <f>IFERROR((BR65+BR71-BM71)/BR65,"")</f>
        <v/>
      </c>
      <c r="BS73" s="763">
        <f>IFERROR((BS65+BS71-BN71)/BS65,"")</f>
        <v/>
      </c>
      <c r="BT73" s="934">
        <f>IFERROR((BT65+BT71-BO71)/BT65,"")</f>
        <v/>
      </c>
      <c r="BU73" s="763">
        <f>IFERROR((BU65+BU71-BP71)/BU65,"")</f>
        <v/>
      </c>
      <c r="BV73" s="763">
        <f>IFERROR((BV65+BV71-BQ71)/BV65,"")</f>
        <v/>
      </c>
      <c r="BW73" s="763">
        <f>IFERROR((BW65+BW71-BR71)/BW65,"")</f>
        <v/>
      </c>
      <c r="BX73" s="763">
        <f>IFERROR((BX65+BX71-BS71)/BX65,"")</f>
        <v/>
      </c>
      <c r="BY73" s="934">
        <f>IFERROR((BY65+BY71-BT71)/BY65,"")</f>
        <v/>
      </c>
      <c r="BZ73" s="763">
        <f>IFERROR((BZ65+BZ71-BU71)/BZ65,"")</f>
        <v/>
      </c>
      <c r="CA73" s="763">
        <f>IFERROR((CA65+CA71-BV71)/CA65,"")</f>
        <v/>
      </c>
      <c r="CB73" s="763">
        <f>IFERROR((CB65+CB71-BW71)/CB65,"")</f>
        <v/>
      </c>
      <c r="CC73" s="763">
        <f>IFERROR((CC65+CC71-BX71)/CC65,"")</f>
        <v/>
      </c>
      <c r="CD73" s="934">
        <f>IFERROR((CD65+CD71-BY71)/CD65,"")</f>
        <v/>
      </c>
      <c r="CE73" s="763" t="n"/>
      <c r="CF73" s="763" t="n"/>
      <c r="CG73" s="763" t="n"/>
      <c r="CH73" s="763" t="n"/>
      <c r="CI73" s="764">
        <f>IFERROR((CI65+CI71-CD71)/CI65,"")</f>
        <v/>
      </c>
      <c r="CJ73" s="764">
        <f>IFERROR((CJ65+CJ71-CI71)/CJ65,"")</f>
        <v/>
      </c>
      <c r="CK73" s="764">
        <f>IFERROR((CK65+CK71-CJ71)/CK65,"")</f>
        <v/>
      </c>
      <c r="CL73" s="764">
        <f>IFERROR((CL65+CL71-CK71)/CL65,"")</f>
        <v/>
      </c>
      <c r="CM73" s="764">
        <f>IFERROR((CM65+CM71-CL71)/CM65,"")</f>
        <v/>
      </c>
      <c r="CN73" s="974" t="n"/>
      <c r="CO73" s="766" t="n"/>
      <c r="CP73" s="974" t="n"/>
      <c r="CQ73" s="693" t="n"/>
      <c r="CT73" t="inlineStr">
        <is>
          <t>Space &amp; Defense EBIT margin %</t>
        </is>
      </c>
      <c r="CU73" s="984" t="n"/>
      <c r="CV73" s="984" t="n"/>
      <c r="CW73" s="984" t="n"/>
      <c r="CX73" s="984" t="n"/>
      <c r="CY73" s="984" t="n"/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/>
      <c r="BW76" s="743" t="n"/>
      <c r="BX76" s="291">
        <f>BY76-BU76-BV76-BW76</f>
        <v/>
      </c>
      <c r="BY76" s="937" t="n"/>
      <c r="BZ76" s="743" t="n"/>
      <c r="CA76" s="743" t="n"/>
      <c r="CB76" s="743" t="n"/>
      <c r="CC76" s="291">
        <f>CD76-BZ76-CA76-CB76</f>
        <v/>
      </c>
      <c r="CD76" s="868" t="n"/>
      <c r="CE76" s="743" t="n"/>
      <c r="CF76" s="743" t="n"/>
      <c r="CG76" s="291">
        <f>CB76*(1+CG77)</f>
        <v/>
      </c>
      <c r="CH76" s="291">
        <f>CI76-CE76-CF76-CG76</f>
        <v/>
      </c>
      <c r="CI76" s="749">
        <f>1113*(1+CI77)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  <c r="NWO76" t="n">
        <v>1821.711</v>
      </c>
      <c r="NWT76" t="n">
        <v>1581.986</v>
      </c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IFERROR(BY76/BT76-1,"")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 t="n"/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/>
      <c r="BW78" s="743" t="n"/>
      <c r="BX78" s="291">
        <f>BY78-BU78-BV78-BW78</f>
        <v/>
      </c>
      <c r="BY78" s="868" t="n"/>
      <c r="BZ78" s="743" t="n"/>
      <c r="CA78" s="743" t="n"/>
      <c r="CB78" s="743" t="n"/>
      <c r="CC78" s="291">
        <f>CD78-BZ78-CA78-CB78</f>
        <v/>
      </c>
      <c r="CD78" s="868" t="n"/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>[Segment 1] sales y/y %</t>
        </is>
      </c>
      <c r="CU78" s="984" t="n"/>
      <c r="CV78" s="984" t="n"/>
      <c r="CW78" s="984" t="n"/>
      <c r="CX78" s="984" t="n"/>
      <c r="CY78" s="984" t="n"/>
      <c r="NWO78" t="n">
        <v>182.364</v>
      </c>
      <c r="NWT78" t="n">
        <v>131.279</v>
      </c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IFERROR(BY78/BT78-1,"")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>[Segment 1] EBIT margin %</t>
        </is>
      </c>
      <c r="CU79" s="984" t="n"/>
      <c r="CV79" s="984" t="n"/>
      <c r="CW79" s="984" t="n"/>
      <c r="CX79" s="984" t="n"/>
      <c r="CY79" s="984" t="n"/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 t="n"/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>[Segment 2] sales y/y %</t>
        </is>
      </c>
      <c r="CU80" s="984" t="n"/>
      <c r="CV80" s="984" t="n"/>
      <c r="CW80" s="984" t="n"/>
      <c r="CX80" s="984" t="n"/>
      <c r="CY80" s="984" t="n"/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IFERROR((BY78-BT78)/(BY76-BT76),"")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>[Segment 2] EBIT margin %</t>
        </is>
      </c>
      <c r="CU81" s="984" t="n"/>
      <c r="CV81" s="984" t="n"/>
      <c r="CW81" s="984" t="n"/>
      <c r="CX81" s="984" t="n"/>
      <c r="CY81" s="984" t="n"/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>Space &amp; Defense sales y/y %</t>
        </is>
      </c>
      <c r="CU82" s="984" t="n"/>
      <c r="CV82" s="984" t="n"/>
      <c r="CW82" s="984" t="n"/>
      <c r="CX82" s="984" t="n"/>
      <c r="CY82" s="984" t="n"/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>
        <f>IFERROR(BK82/BF82-1,"")</f>
        <v/>
      </c>
      <c r="BL83" s="991">
        <f>IFERROR(BL82/BG82-1,"")</f>
        <v/>
      </c>
      <c r="BM83" s="991">
        <f>IFERROR(BM82/BH82-1,"")</f>
        <v/>
      </c>
      <c r="BN83" s="991">
        <f>IFERROR(BN82/BI82-1,"")</f>
        <v/>
      </c>
      <c r="BO83" s="992">
        <f>IFERROR(BO82/BJ82-1,"")</f>
        <v/>
      </c>
      <c r="BP83" s="991">
        <f>IFERROR(BP82/BK82-1,"")</f>
        <v/>
      </c>
      <c r="BQ83" s="991">
        <f>IFERROR(BQ82/BL82-1,"")</f>
        <v/>
      </c>
      <c r="BR83" s="991">
        <f>IFERROR(BR82/BM82-1,"")</f>
        <v/>
      </c>
      <c r="BS83" s="991">
        <f>IFERROR(BS82/BN82-1,"")</f>
        <v/>
      </c>
      <c r="BT83" s="992">
        <f>IFERROR(BT82/BO82-1,"")</f>
        <v/>
      </c>
      <c r="BU83" s="991">
        <f>IFERROR(BU82/BP82-1,"")</f>
        <v/>
      </c>
      <c r="BV83" s="991">
        <f>IFERROR(BV82/BQ82-1,"")</f>
        <v/>
      </c>
      <c r="BW83" s="991">
        <f>IFERROR(BW82/BR82-1,"")</f>
        <v/>
      </c>
      <c r="BX83" s="991">
        <f>IFERROR(BX82/BS82-1,"")</f>
        <v/>
      </c>
      <c r="BY83" s="992">
        <f>IFERROR(BY82/BT82-1,"")</f>
        <v/>
      </c>
      <c r="BZ83" s="991">
        <f>IFERROR(BZ82/BU82-1,"")</f>
        <v/>
      </c>
      <c r="CA83" s="991">
        <f>IFERROR(CA82/BV82-1,"")</f>
        <v/>
      </c>
      <c r="CB83" s="991">
        <f>IFERROR(CB82/BW82-1,"")</f>
        <v/>
      </c>
      <c r="CC83" s="991">
        <f>IFERROR(CC82/BX82-1,"")</f>
        <v/>
      </c>
      <c r="CD83" s="992">
        <f>IFERROR(CD82/BY82-1,"")</f>
        <v/>
      </c>
      <c r="CE83" s="991" t="n"/>
      <c r="CF83" s="991" t="n"/>
      <c r="CG83" s="991" t="n"/>
      <c r="CH83" s="991" t="n"/>
      <c r="CI83" s="976">
        <f>IFERROR(CI82/CD82-1,"")</f>
        <v/>
      </c>
      <c r="CJ83" s="976">
        <f>IFERROR(CJ82/CI82-1,"")</f>
        <v/>
      </c>
      <c r="CK83" s="976">
        <f>IFERROR(CK82/CJ82-1,"")</f>
        <v/>
      </c>
      <c r="CL83" s="976">
        <f>IFERROR(CL82/CK82-1,"")</f>
        <v/>
      </c>
      <c r="CM83" s="976">
        <f>IFERROR(CM82/CL82-1,"")</f>
        <v/>
      </c>
      <c r="CN83" s="974" t="n"/>
      <c r="CO83" s="766" t="n"/>
      <c r="CP83" s="974" t="n"/>
      <c r="CQ83" s="693" t="n"/>
      <c r="CT83" t="inlineStr">
        <is>
          <t>Space &amp; Defense EBIT margin %</t>
        </is>
      </c>
      <c r="CU83" s="984" t="n"/>
      <c r="CV83" s="984" t="n"/>
      <c r="CW83" s="984" t="n"/>
      <c r="CX83" s="984" t="n"/>
      <c r="CY83" s="984" t="n"/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>
        <f>IFERROR((BK76+BK82-BF82)/BK76,"")</f>
        <v/>
      </c>
      <c r="BL84" s="763">
        <f>IFERROR((BL76+BL82-BG82)/BL76,"")</f>
        <v/>
      </c>
      <c r="BM84" s="763">
        <f>IFERROR((BM76+BM82-BH82)/BM76,"")</f>
        <v/>
      </c>
      <c r="BN84" s="763">
        <f>IFERROR((BN76+BN82-BI82)/BN76,"")</f>
        <v/>
      </c>
      <c r="BO84" s="934">
        <f>IFERROR((BO76+BO82-BJ82)/BO76,"")</f>
        <v/>
      </c>
      <c r="BP84" s="763">
        <f>IFERROR((BP76+BP82-BK82)/BP76,"")</f>
        <v/>
      </c>
      <c r="BQ84" s="763">
        <f>IFERROR((BQ76+BQ82-BL82)/BQ76,"")</f>
        <v/>
      </c>
      <c r="BR84" s="763">
        <f>IFERROR((BR76+BR82-BM82)/BR76,"")</f>
        <v/>
      </c>
      <c r="BS84" s="763">
        <f>IFERROR((BS76+BS82-BN82)/BS76,"")</f>
        <v/>
      </c>
      <c r="BT84" s="934">
        <f>IFERROR((BT76+BT82-BO82)/BT76,"")</f>
        <v/>
      </c>
      <c r="BU84" s="763">
        <f>IFERROR((BU76+BU82-BP82)/BU76,"")</f>
        <v/>
      </c>
      <c r="BV84" s="763">
        <f>IFERROR((BV76+BV82-BQ82)/BV76,"")</f>
        <v/>
      </c>
      <c r="BW84" s="763">
        <f>IFERROR((BW76+BW82-BR82)/BW76,"")</f>
        <v/>
      </c>
      <c r="BX84" s="763">
        <f>IFERROR((BX76+BX82-BS82)/BX76,"")</f>
        <v/>
      </c>
      <c r="BY84" s="934">
        <f>IFERROR((BY76+BY82-BT82)/BY76,"")</f>
        <v/>
      </c>
      <c r="BZ84" s="763">
        <f>IFERROR((BZ76+BZ82-BU82)/BZ76,"")</f>
        <v/>
      </c>
      <c r="CA84" s="763">
        <f>IFERROR((CA76+CA82-BV82)/CA76,"")</f>
        <v/>
      </c>
      <c r="CB84" s="763">
        <f>IFERROR((CB76+CB82-BW82)/CB76,"")</f>
        <v/>
      </c>
      <c r="CC84" s="763">
        <f>IFERROR((CC76+CC82-BX82)/CC76,"")</f>
        <v/>
      </c>
      <c r="CD84" s="934">
        <f>IFERROR((CD76+CD82-BY82)/CD76,"")</f>
        <v/>
      </c>
      <c r="CE84" s="763" t="n"/>
      <c r="CF84" s="763" t="n"/>
      <c r="CG84" s="763" t="n"/>
      <c r="CH84" s="763" t="n"/>
      <c r="CI84" s="764">
        <f>IFERROR((CI76+CI82-CD82)/CI76,"")</f>
        <v/>
      </c>
      <c r="CJ84" s="764">
        <f>IFERROR((CJ76+CJ82-CI82)/CJ76,"")</f>
        <v/>
      </c>
      <c r="CK84" s="764">
        <f>IFERROR((CK76+CK82-CJ82)/CK76,"")</f>
        <v/>
      </c>
      <c r="CL84" s="764">
        <f>IFERROR((CL76+CL82-CK82)/CL76,"")</f>
        <v/>
      </c>
      <c r="CM84" s="764">
        <f>IFERROR((CM76+CM82-CL82)/CM76,"")</f>
        <v/>
      </c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>
        <f>956*(1+CI88)</f>
        <v/>
      </c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>
        <f>IFERROR(BK93/BF93-1,"")</f>
        <v/>
      </c>
      <c r="BL94" s="991">
        <f>IFERROR(BL93/BG93-1,"")</f>
        <v/>
      </c>
      <c r="BM94" s="991">
        <f>IFERROR(BM93/BH93-1,"")</f>
        <v/>
      </c>
      <c r="BN94" s="991">
        <f>IFERROR(BN93/BI93-1,"")</f>
        <v/>
      </c>
      <c r="BO94" s="992">
        <f>IFERROR(BO93/BJ93-1,"")</f>
        <v/>
      </c>
      <c r="BP94" s="991">
        <f>IFERROR(BP93/BK93-1,"")</f>
        <v/>
      </c>
      <c r="BQ94" s="991">
        <f>IFERROR(BQ93/BL93-1,"")</f>
        <v/>
      </c>
      <c r="BR94" s="991">
        <f>IFERROR(BR93/BM93-1,"")</f>
        <v/>
      </c>
      <c r="BS94" s="991">
        <f>IFERROR(BS93/BN93-1,"")</f>
        <v/>
      </c>
      <c r="BT94" s="992">
        <f>IFERROR(BT93/BO93-1,"")</f>
        <v/>
      </c>
      <c r="BU94" s="991">
        <f>IFERROR(BU93/BP93-1,"")</f>
        <v/>
      </c>
      <c r="BV94" s="991">
        <f>IFERROR(BV93/BQ93-1,"")</f>
        <v/>
      </c>
      <c r="BW94" s="991">
        <f>IFERROR(BW93/BR93-1,"")</f>
        <v/>
      </c>
      <c r="BX94" s="991">
        <f>IFERROR(BX93/BS93-1,"")</f>
        <v/>
      </c>
      <c r="BY94" s="992">
        <f>IFERROR(BY93/BT93-1,"")</f>
        <v/>
      </c>
      <c r="BZ94" s="991">
        <f>IFERROR(BZ93/BU93-1,"")</f>
        <v/>
      </c>
      <c r="CA94" s="991">
        <f>IFERROR(CA93/BV93-1,"")</f>
        <v/>
      </c>
      <c r="CB94" s="991">
        <f>IFERROR(CB93/BW93-1,"")</f>
        <v/>
      </c>
      <c r="CC94" s="991">
        <f>IFERROR(CC93/BX93-1,"")</f>
        <v/>
      </c>
      <c r="CD94" s="992">
        <f>IFERROR(CD93/BY93-1,"")</f>
        <v/>
      </c>
      <c r="CE94" s="991" t="n"/>
      <c r="CF94" s="991" t="n"/>
      <c r="CG94" s="991" t="n"/>
      <c r="CH94" s="991" t="n"/>
      <c r="CI94" s="976">
        <f>IFERROR(CI93/CD93-1,"")</f>
        <v/>
      </c>
      <c r="CJ94" s="976">
        <f>IFERROR(CJ93/CI93-1,"")</f>
        <v/>
      </c>
      <c r="CK94" s="976">
        <f>IFERROR(CK93/CJ93-1,"")</f>
        <v/>
      </c>
      <c r="CL94" s="976">
        <f>IFERROR(CL93/CK93-1,"")</f>
        <v/>
      </c>
      <c r="CM94" s="976">
        <f>IFERROR(CM93/CL93-1,"")</f>
        <v/>
      </c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>
        <f>IFERROR((BK87+BK93-BF93)/BK87,"")</f>
        <v/>
      </c>
      <c r="BL95" s="763">
        <f>IFERROR((BL87+BL93-BG93)/BL87,"")</f>
        <v/>
      </c>
      <c r="BM95" s="763">
        <f>IFERROR((BM87+BM93-BH93)/BM87,"")</f>
        <v/>
      </c>
      <c r="BN95" s="763">
        <f>IFERROR((BN87+BN93-BI93)/BN87,"")</f>
        <v/>
      </c>
      <c r="BO95" s="934">
        <f>IFERROR((BO87+BO93-BJ93)/BO87,"")</f>
        <v/>
      </c>
      <c r="BP95" s="763">
        <f>IFERROR((BP87+BP93-BK93)/BP87,"")</f>
        <v/>
      </c>
      <c r="BQ95" s="763">
        <f>IFERROR((BQ87+BQ93-BL93)/BQ87,"")</f>
        <v/>
      </c>
      <c r="BR95" s="763">
        <f>IFERROR((BR87+BR93-BM93)/BR87,"")</f>
        <v/>
      </c>
      <c r="BS95" s="763">
        <f>IFERROR((BS87+BS93-BN93)/BS87,"")</f>
        <v/>
      </c>
      <c r="BT95" s="934">
        <f>IFERROR((BT87+BT93-BO93)/BT87,"")</f>
        <v/>
      </c>
      <c r="BU95" s="763">
        <f>IFERROR((BU87+BU93-BP93)/BU87,"")</f>
        <v/>
      </c>
      <c r="BV95" s="763">
        <f>IFERROR((BV87+BV93-BQ93)/BV87,"")</f>
        <v/>
      </c>
      <c r="BW95" s="763">
        <f>IFERROR((BW87+BW93-BR93)/BW87,"")</f>
        <v/>
      </c>
      <c r="BX95" s="763">
        <f>IFERROR((BX87+BX93-BS93)/BX87,"")</f>
        <v/>
      </c>
      <c r="BY95" s="934">
        <f>IFERROR((BY87+BY93-BT93)/BY87,"")</f>
        <v/>
      </c>
      <c r="BZ95" s="763">
        <f>IFERROR((BZ87+BZ93-BU93)/BZ87,"")</f>
        <v/>
      </c>
      <c r="CA95" s="763">
        <f>IFERROR((CA87+CA93-BV93)/CA87,"")</f>
        <v/>
      </c>
      <c r="CB95" s="763">
        <f>IFERROR((CB87+CB93-BW93)/CB87,"")</f>
        <v/>
      </c>
      <c r="CC95" s="763">
        <f>IFERROR((CC87+CC93-BX93)/CC87,"")</f>
        <v/>
      </c>
      <c r="CD95" s="934">
        <f>IFERROR((CD87+CD93-BY93)/CD87,"")</f>
        <v/>
      </c>
      <c r="CE95" s="763" t="n"/>
      <c r="CF95" s="763" t="n"/>
      <c r="CG95" s="763" t="n"/>
      <c r="CH95" s="763" t="n"/>
      <c r="CI95" s="764">
        <f>IFERROR((CI87+CI93-CD93)/CI87,"")</f>
        <v/>
      </c>
      <c r="CJ95" s="764">
        <f>IFERROR((CJ87+CJ93-CI93)/CJ87,"")</f>
        <v/>
      </c>
      <c r="CK95" s="764">
        <f>IFERROR((CK87+CK93-CJ93)/CK87,"")</f>
        <v/>
      </c>
      <c r="CL95" s="764">
        <f>IFERROR((CL87+CL93-CK93)/CL87,"")</f>
        <v/>
      </c>
      <c r="CM95" s="764">
        <f>IFERROR((CM87+CM93-CL93)/CM87,"")</f>
        <v/>
      </c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BE114</f>
        <v/>
      </c>
      <c r="BF98" s="291" t="n"/>
      <c r="BG98" s="291" t="n"/>
      <c r="BH98" s="291" t="n"/>
      <c r="BI98" s="291" t="n"/>
      <c r="BJ98" s="864">
        <f>BJ114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BO114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BT54+BT65+BT76+BT87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 t="n"/>
      <c r="BF102" s="974" t="n"/>
      <c r="BG102" s="974" t="n"/>
      <c r="BH102" s="974" t="n"/>
      <c r="BI102" s="974" t="n"/>
      <c r="BJ102" s="975" t="n"/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BO56+BO67+BO78+BO89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BT56+BT67+BT78+BT89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IFERROR((BY102-BT102)/(BY98-BT98),"")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>
        <f>ROUND((CE106+CF106+CI106)/3,0)</f>
        <v/>
      </c>
      <c r="CH106" s="770">
        <f>CI106</f>
        <v/>
      </c>
      <c r="CI106" s="752">
        <f>CD106*(1+CI99)</f>
        <v/>
      </c>
      <c r="CJ106" s="752">
        <f>CI106*(1+CJ99)</f>
        <v/>
      </c>
      <c r="CK106" s="752">
        <f>CJ106*(1+CK99)</f>
        <v/>
      </c>
      <c r="CL106" s="752">
        <f>CK106*(1+CL99)</f>
        <v/>
      </c>
      <c r="CM106" s="752">
        <f>CL106*(1+CM99)</f>
        <v/>
      </c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>
        <f>IFERROR(BK106/BF106-1,"")</f>
        <v/>
      </c>
      <c r="BL107" s="974">
        <f>IFERROR(BL106/BG106-1,"")</f>
        <v/>
      </c>
      <c r="BM107" s="974">
        <f>IFERROR(BM106/BH106-1,"")</f>
        <v/>
      </c>
      <c r="BN107" s="974">
        <f>IFERROR(BN106/BI106-1,"")</f>
        <v/>
      </c>
      <c r="BO107" s="975">
        <f>IFERROR(BO106/BJ106-1,"")</f>
        <v/>
      </c>
      <c r="BP107" s="974">
        <f>IFERROR(BP106/BK106-1,"")</f>
        <v/>
      </c>
      <c r="BQ107" s="974">
        <f>IFERROR(BQ106/BL106-1,"")</f>
        <v/>
      </c>
      <c r="BR107" s="974">
        <f>IFERROR(BR106/BM106-1,"")</f>
        <v/>
      </c>
      <c r="BS107" s="974">
        <f>IFERROR(BS106/BN106-1,"")</f>
        <v/>
      </c>
      <c r="BT107" s="975">
        <f>IFERROR(BT106/BO106-1,"")</f>
        <v/>
      </c>
      <c r="BU107" s="974">
        <f>IFERROR(BU106/BP106-1,"")</f>
        <v/>
      </c>
      <c r="BV107" s="974">
        <f>IFERROR(BV106/BQ106-1,"")</f>
        <v/>
      </c>
      <c r="BW107" s="974">
        <f>IFERROR(BW106/BR106-1,"")</f>
        <v/>
      </c>
      <c r="BX107" s="974">
        <f>IFERROR(BX106/BS106-1,"")</f>
        <v/>
      </c>
      <c r="BY107" s="975">
        <f>IFERROR(BY106/BT106-1,"")</f>
        <v/>
      </c>
      <c r="BZ107" s="974">
        <f>IFERROR(BZ106/BU106-1,"")</f>
        <v/>
      </c>
      <c r="CA107" s="974">
        <f>IFERROR(CA106/BV106-1,"")</f>
        <v/>
      </c>
      <c r="CB107" s="974">
        <f>IFERROR(CB106/BW106-1,"")</f>
        <v/>
      </c>
      <c r="CC107" s="974">
        <f>IFERROR(CC106/BX106-1,"")</f>
        <v/>
      </c>
      <c r="CD107" s="975">
        <f>IFERROR(CD106/BY106-1,"")</f>
        <v/>
      </c>
      <c r="CE107" s="974">
        <f>IFERROR(CE106/BZ106-1,"")</f>
        <v/>
      </c>
      <c r="CF107" s="974">
        <f>IFERROR(CF106/CA106-1,"")</f>
        <v/>
      </c>
      <c r="CG107" s="974">
        <f>IFERROR(CG106/CB106-1,"")</f>
        <v/>
      </c>
      <c r="CH107" s="974">
        <f>IFERROR(CH106/CC106-1,"")</f>
        <v/>
      </c>
      <c r="CI107" s="976">
        <f>IFERROR(CI106/CD106-1,"")</f>
        <v/>
      </c>
      <c r="CJ107" s="976">
        <f>IFERROR(CJ106/CI106-1,"")</f>
        <v/>
      </c>
      <c r="CK107" s="976">
        <f>IFERROR(CK106/CJ106-1,"")</f>
        <v/>
      </c>
      <c r="CL107" s="976">
        <f>IFERROR(CL106/CK106-1,"")</f>
        <v/>
      </c>
      <c r="CM107" s="976">
        <f>IFERROR(CM106/CL106-1,"")</f>
        <v/>
      </c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>
        <f>CE106*2</f>
        <v/>
      </c>
      <c r="CF108" s="291">
        <f>CF106*2</f>
        <v/>
      </c>
      <c r="CG108" s="291">
        <f>CG106*2</f>
        <v/>
      </c>
      <c r="CH108" s="291">
        <f>CI108</f>
        <v/>
      </c>
      <c r="CI108" s="749">
        <f>CD108*(1+CI99)</f>
        <v/>
      </c>
      <c r="CJ108" s="749">
        <f>CI108*(1+CJ99)</f>
        <v/>
      </c>
      <c r="CK108" s="749">
        <f>CJ108*(1+CK99)</f>
        <v/>
      </c>
      <c r="CL108" s="749">
        <f>CK108*(1+CL99)</f>
        <v/>
      </c>
      <c r="CM108" s="749">
        <f>CL108*(1+CM99)</f>
        <v/>
      </c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>
        <f>IFERROR(BK108/BF108-1,"")</f>
        <v/>
      </c>
      <c r="BL109" s="974">
        <f>IFERROR(BL108/BG108-1,"")</f>
        <v/>
      </c>
      <c r="BM109" s="974">
        <f>IFERROR(BM108/BH108-1,"")</f>
        <v/>
      </c>
      <c r="BN109" s="974">
        <f>IFERROR(BN108/BI108-1,"")</f>
        <v/>
      </c>
      <c r="BO109" s="975">
        <f>IFERROR(BO108/BJ108-1,"")</f>
        <v/>
      </c>
      <c r="BP109" s="974">
        <f>IFERROR(BP108/BK108-1,"")</f>
        <v/>
      </c>
      <c r="BQ109" s="974">
        <f>IFERROR(BQ108/BL108-1,"")</f>
        <v/>
      </c>
      <c r="BR109" s="974">
        <f>IFERROR(BR108/BM108-1,"")</f>
        <v/>
      </c>
      <c r="BS109" s="974">
        <f>IFERROR(BS108/BN108-1,"")</f>
        <v/>
      </c>
      <c r="BT109" s="975">
        <f>IFERROR(BT108/BO108-1,"")</f>
        <v/>
      </c>
      <c r="BU109" s="974">
        <f>IFERROR(BU108/BP108-1,"")</f>
        <v/>
      </c>
      <c r="BV109" s="974">
        <f>IFERROR(BV108/BQ108-1,"")</f>
        <v/>
      </c>
      <c r="BW109" s="974">
        <f>IFERROR(BW108/BR108-1,"")</f>
        <v/>
      </c>
      <c r="BX109" s="974">
        <f>IFERROR(BX108/BS108-1,"")</f>
        <v/>
      </c>
      <c r="BY109" s="975">
        <f>IFERROR(BY108/BT108-1,"")</f>
        <v/>
      </c>
      <c r="BZ109" s="974">
        <f>IFERROR(BZ108/BU108-1,"")</f>
        <v/>
      </c>
      <c r="CA109" s="974">
        <f>IFERROR(CA108/BV108-1,"")</f>
        <v/>
      </c>
      <c r="CB109" s="974">
        <f>IFERROR(CB108/BW108-1,"")</f>
        <v/>
      </c>
      <c r="CC109" s="974">
        <f>IFERROR(CC108/BX108-1,"")</f>
        <v/>
      </c>
      <c r="CD109" s="975">
        <f>IFERROR(CD108/BY108-1,"")</f>
        <v/>
      </c>
      <c r="CE109" s="974">
        <f>IFERROR(CE108/BZ108-1,"")</f>
        <v/>
      </c>
      <c r="CF109" s="974">
        <f>IFERROR(CF108/CA108-1,"")</f>
        <v/>
      </c>
      <c r="CG109" s="974">
        <f>IFERROR(CG108/CB108-1,"")</f>
        <v/>
      </c>
      <c r="CH109" s="974">
        <f>IFERROR(CH108/CC108-1,"")</f>
        <v/>
      </c>
      <c r="CI109" s="976">
        <f>IFERROR(CI108/CD108-1,"")</f>
        <v/>
      </c>
      <c r="CJ109" s="976">
        <f>IFERROR(CJ108/CI108-1,"")</f>
        <v/>
      </c>
      <c r="CK109" s="976">
        <f>IFERROR(CK108/CJ108-1,"")</f>
        <v/>
      </c>
      <c r="CL109" s="976">
        <f>IFERROR(CL108/CK108-1,"")</f>
        <v/>
      </c>
      <c r="CM109" s="976">
        <f>IFERROR(CM108/CL108-1,"")</f>
        <v/>
      </c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>
        <f>IFERROR((BK98+BK108-BF108)/BK98,"")</f>
        <v/>
      </c>
      <c r="BL110" s="773">
        <f>IFERROR((BL98+BL108-BG108)/BL98,"")</f>
        <v/>
      </c>
      <c r="BM110" s="773">
        <f>IFERROR((BM98+BM108-BH108)/BM98,"")</f>
        <v/>
      </c>
      <c r="BN110" s="773">
        <f>IFERROR((BN98+BN108-BI108)/BN98,"")</f>
        <v/>
      </c>
      <c r="BO110" s="935">
        <f>IFERROR((BO98+BO108-BJ108)/BO98,"")</f>
        <v/>
      </c>
      <c r="BP110" s="773">
        <f>IFERROR((BP98+BP108-BK108)/BP98,"")</f>
        <v/>
      </c>
      <c r="BQ110" s="773">
        <f>IFERROR((BQ98+BQ108-BL108)/BQ98,"")</f>
        <v/>
      </c>
      <c r="BR110" s="773">
        <f>IFERROR((BR98+BR108-BM108)/BR98,"")</f>
        <v/>
      </c>
      <c r="BS110" s="773">
        <f>IFERROR((BS98+BS108-BN108)/BS98,"")</f>
        <v/>
      </c>
      <c r="BT110" s="935">
        <f>IFERROR((BT98+BT108-BO108)/BT98,"")</f>
        <v/>
      </c>
      <c r="BU110" s="773">
        <f>IFERROR((BU98+BU108-BP108)/BU98,"")</f>
        <v/>
      </c>
      <c r="BV110" s="773">
        <f>IFERROR((BV98+BV108-BQ108)/BV98,"")</f>
        <v/>
      </c>
      <c r="BW110" s="773">
        <f>IFERROR((BW98+BW108-BR108)/BW98,"")</f>
        <v/>
      </c>
      <c r="BX110" s="773">
        <f>IFERROR((BX98+BX108-BS108)/BX98,"")</f>
        <v/>
      </c>
      <c r="BY110" s="935">
        <f>IFERROR((BY98+BY108-BT108)/BY98,"")</f>
        <v/>
      </c>
      <c r="BZ110" s="773">
        <f>IFERROR((BZ98+BZ108-BU108)/BZ98,"")</f>
        <v/>
      </c>
      <c r="CA110" s="773">
        <f>IFERROR((CA98+CA108-BV108)/CA98,"")</f>
        <v/>
      </c>
      <c r="CB110" s="773">
        <f>IFERROR((CB98+CB108-BW108)/CB98,"")</f>
        <v/>
      </c>
      <c r="CC110" s="773">
        <f>IFERROR((CC98+CC108-BX108)/CC98,"")</f>
        <v/>
      </c>
      <c r="CD110" s="935">
        <f>IFERROR((CD98+CD108-BY108)/CD98,"")</f>
        <v/>
      </c>
      <c r="CE110" s="773" t="n"/>
      <c r="CF110" s="773" t="n"/>
      <c r="CG110" s="773" t="n"/>
      <c r="CH110" s="773" t="n"/>
      <c r="CI110" s="764">
        <f>IFERROR((CI98+CI108-CD108)/CI98,"")</f>
        <v/>
      </c>
      <c r="CJ110" s="764">
        <f>IFERROR((CJ98+CJ108-CI108)/CJ98,"")</f>
        <v/>
      </c>
      <c r="CK110" s="764">
        <f>IFERROR((CK98+CK108-CJ108)/CK98,"")</f>
        <v/>
      </c>
      <c r="CL110" s="764">
        <f>IFERROR((CL98+CL108-CK108)/CL98,"")</f>
        <v/>
      </c>
      <c r="CM110" s="764">
        <f>IFERROR((CM98+CM108-CL108)/CM98,"")</f>
        <v/>
      </c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/>
      <c r="BA114" s="291" t="n"/>
      <c r="BB114" s="291" t="n"/>
      <c r="BC114" s="291" t="n"/>
      <c r="BD114" s="291" t="n"/>
      <c r="BE114" s="868" t="n"/>
      <c r="BF114" s="743" t="n"/>
      <c r="BG114" s="743" t="n"/>
      <c r="BH114" s="743" t="n"/>
      <c r="BI114" s="743" t="n"/>
      <c r="BJ114" s="864">
        <f>SUM(BF114:BI114)</f>
        <v/>
      </c>
      <c r="BK114" s="743" t="n"/>
      <c r="BL114" s="743" t="n"/>
      <c r="BM114" s="743" t="n"/>
      <c r="BN114" s="743" t="n"/>
      <c r="BO114" s="864">
        <f>SUM(BK114:BN114)</f>
        <v/>
      </c>
      <c r="BP114" s="743" t="n"/>
      <c r="BQ114" s="743" t="n"/>
      <c r="BR114" s="743" t="n"/>
      <c r="BS114" s="743" t="n"/>
      <c r="BT114" s="864">
        <f>SUM(BP114:BS114)</f>
        <v/>
      </c>
      <c r="BU114" s="743" t="n"/>
      <c r="BV114" s="743" t="n"/>
      <c r="BW114" s="743" t="n"/>
      <c r="BX114" s="743" t="n"/>
      <c r="BY114" s="864">
        <f>SUM(BU114:BX114)</f>
        <v/>
      </c>
      <c r="BZ114" s="743" t="n"/>
      <c r="CA114" s="743" t="n"/>
      <c r="CB114" s="743" t="n"/>
      <c r="CC114" s="743" t="n"/>
      <c r="CD114" s="864">
        <f>SUM(BZ114:CC114)</f>
        <v/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  <c r="NVU114" t="n">
        <v>3781.134</v>
      </c>
      <c r="NVZ114" t="n">
        <v>7220.429</v>
      </c>
      <c r="NWE114" t="n">
        <v>8812.491</v>
      </c>
      <c r="NWJ114" t="n">
        <v>7521.167</v>
      </c>
      <c r="NWO114" t="n">
        <v>8396.83</v>
      </c>
      <c r="NWT114" t="n">
        <v>7884.671</v>
      </c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>
        <f>SUM(BF115:BI115)</f>
        <v/>
      </c>
      <c r="BK115" s="825" t="n"/>
      <c r="BL115" s="825" t="n"/>
      <c r="BM115" s="825" t="n"/>
      <c r="BN115" s="825" t="n"/>
      <c r="BO115" s="878">
        <f>SUM(BK115:BN115)</f>
        <v/>
      </c>
      <c r="BP115" s="825" t="n"/>
      <c r="BQ115" s="825" t="n"/>
      <c r="BR115" s="825" t="n"/>
      <c r="BS115" s="825" t="n"/>
      <c r="BT115" s="878">
        <f>SUM(BP115:BS115)</f>
        <v/>
      </c>
      <c r="BU115" s="825" t="n"/>
      <c r="BV115" s="825" t="n"/>
      <c r="BW115" s="825" t="n"/>
      <c r="BX115" s="825" t="n"/>
      <c r="BY115" s="878">
        <f>SUM(BU115:BX115)</f>
        <v/>
      </c>
      <c r="BZ115" s="825" t="n"/>
      <c r="CA115" s="825" t="n"/>
      <c r="CB115" s="825" t="n"/>
      <c r="CC115" s="825" t="n"/>
      <c r="CD115" s="878">
        <f>SUM(BZ115:CC115)</f>
        <v/>
      </c>
      <c r="CE115" s="743" t="n"/>
      <c r="CF115" s="743" t="n"/>
      <c r="CG115" s="291">
        <f>CG114-CG116</f>
        <v/>
      </c>
      <c r="CH115" s="291">
        <f>CH114-CH116</f>
        <v/>
      </c>
      <c r="CI115" s="851">
        <f>CI114*(1-CI165)</f>
        <v/>
      </c>
      <c r="CJ115" s="851">
        <f>CJ114*(1-CJ165)</f>
        <v/>
      </c>
      <c r="CK115" s="851">
        <f>CK114*(1-CK165)</f>
        <v/>
      </c>
      <c r="CL115" s="851">
        <f>CL114*(1-CL165)</f>
        <v/>
      </c>
      <c r="CM115" s="851">
        <f>CM114*(1-CM165)</f>
        <v/>
      </c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>
        <f>G114-G115-IFERROR(G120,0)</f>
        <v/>
      </c>
      <c r="H116" s="678" t="n"/>
      <c r="I116" s="678" t="n"/>
      <c r="J116" s="678" t="n"/>
      <c r="K116" s="678" t="n"/>
      <c r="L116" s="870">
        <f>L114-L115-IFERROR(L120,0)</f>
        <v/>
      </c>
      <c r="M116" s="678" t="n"/>
      <c r="N116" s="678" t="n"/>
      <c r="O116" s="678" t="n"/>
      <c r="P116" s="678" t="n"/>
      <c r="Q116" s="870">
        <f>Q114-Q115-IFERROR(Q120,0)</f>
        <v/>
      </c>
      <c r="R116" s="678" t="n"/>
      <c r="S116" s="678" t="n"/>
      <c r="T116" s="678" t="n"/>
      <c r="U116" s="678" t="n"/>
      <c r="V116" s="870">
        <f>V114-V115-IFERROR(V120,0)</f>
        <v/>
      </c>
      <c r="W116" s="678" t="n"/>
      <c r="X116" s="678" t="n"/>
      <c r="Y116" s="678" t="n"/>
      <c r="Z116" s="678" t="n"/>
      <c r="AA116" s="870">
        <f>AA114-AA115-IFERROR(AA120,0)</f>
        <v/>
      </c>
      <c r="AB116" s="678" t="n"/>
      <c r="AC116" s="678" t="n"/>
      <c r="AD116" s="678" t="n"/>
      <c r="AE116" s="678" t="n"/>
      <c r="AF116" s="870">
        <f>AF114-AF115-IFERROR(AF120,0)</f>
        <v/>
      </c>
      <c r="AG116" s="678" t="n"/>
      <c r="AH116" s="678" t="n"/>
      <c r="AI116" s="678" t="n"/>
      <c r="AJ116" s="678" t="n"/>
      <c r="AK116" s="870">
        <f>AK114-AK115-IFERROR(AK120,0)</f>
        <v/>
      </c>
      <c r="AL116" s="678" t="n"/>
      <c r="AM116" s="678" t="n"/>
      <c r="AN116" s="678" t="n"/>
      <c r="AO116" s="678" t="n"/>
      <c r="AP116" s="870">
        <f>AP114-AP115-IFERROR(AP120,0)</f>
        <v/>
      </c>
      <c r="AQ116" s="678" t="n"/>
      <c r="AR116" s="678" t="n"/>
      <c r="AS116" s="678" t="n"/>
      <c r="AT116" s="678" t="n"/>
      <c r="AU116" s="870">
        <f>AU114-AU115-IFERROR(AU120,0)</f>
        <v/>
      </c>
      <c r="AV116" s="678" t="n"/>
      <c r="AW116" s="678" t="n"/>
      <c r="AX116" s="678" t="n"/>
      <c r="AY116" s="678" t="n"/>
      <c r="AZ116" s="870">
        <f>AZ114-AZ115-IFERROR(AZ120,0)</f>
        <v/>
      </c>
      <c r="BA116" s="678" t="n"/>
      <c r="BB116" s="678" t="n"/>
      <c r="BC116" s="678" t="n"/>
      <c r="BD116" s="678" t="n"/>
      <c r="BE116" s="870">
        <f>BE114-BE115-IFERROR(BE120,0)</f>
        <v/>
      </c>
      <c r="BF116" s="678">
        <f>BF114-BF115-IFERROR(BF120,0)</f>
        <v/>
      </c>
      <c r="BG116" s="678">
        <f>BG114-BG115-IFERROR(BG120,0)</f>
        <v/>
      </c>
      <c r="BH116" s="678">
        <f>BH114-BH115-IFERROR(BH120,0)</f>
        <v/>
      </c>
      <c r="BI116" s="678">
        <f>BI114-BI115-IFERROR(BI120,0)</f>
        <v/>
      </c>
      <c r="BJ116" s="870">
        <f>BJ114-BJ115-IFERROR(BJ120,0)</f>
        <v/>
      </c>
      <c r="BK116" s="678">
        <f>BK114-BK115-IFERROR(BK120,0)</f>
        <v/>
      </c>
      <c r="BL116" s="678">
        <f>BL114-BL115-IFERROR(BL120,0)</f>
        <v/>
      </c>
      <c r="BM116" s="678">
        <f>BM114-BM115-IFERROR(BM120,0)</f>
        <v/>
      </c>
      <c r="BN116" s="678">
        <f>BN114-BN115-IFERROR(BN120,0)</f>
        <v/>
      </c>
      <c r="BO116" s="870">
        <f>BO114-BO115-IFERROR(BO120,0)</f>
        <v/>
      </c>
      <c r="BP116" s="678">
        <f>BP114-BP115-IFERROR(BP120,0)</f>
        <v/>
      </c>
      <c r="BQ116" s="678">
        <f>BQ114-BQ115-IFERROR(BQ120,0)</f>
        <v/>
      </c>
      <c r="BR116" s="678">
        <f>BR114-BR115-IFERROR(BR120,0)</f>
        <v/>
      </c>
      <c r="BS116" s="678">
        <f>BS114-BS115-IFERROR(BS120,0)</f>
        <v/>
      </c>
      <c r="BT116" s="870">
        <f>BT114-BT115-IFERROR(BT120,0)</f>
        <v/>
      </c>
      <c r="BU116" s="678">
        <f>BU114-BU115-IFERROR(BU120,0)</f>
        <v/>
      </c>
      <c r="BV116" s="678">
        <f>BV114-BV115-IFERROR(BV120,0)</f>
        <v/>
      </c>
      <c r="BW116" s="678">
        <f>BW114-BW115-IFERROR(BW120,0)</f>
        <v/>
      </c>
      <c r="BX116" s="678">
        <f>BX114-BX115-IFERROR(BX120,0)</f>
        <v/>
      </c>
      <c r="BY116" s="870">
        <f>BY114-BY115-IFERROR(BY120,0)</f>
        <v/>
      </c>
      <c r="BZ116" s="678">
        <f>BZ114-BZ115-IFERROR(BZ120,0)</f>
        <v/>
      </c>
      <c r="CA116" s="678">
        <f>CA114-CA115-IFERROR(CA120,0)</f>
        <v/>
      </c>
      <c r="CB116" s="678">
        <f>CB114-CB115-IFERROR(CB120,0)</f>
        <v/>
      </c>
      <c r="CC116" s="678">
        <f>CC114-CC115-IFERROR(CC120,0)</f>
        <v/>
      </c>
      <c r="CD116" s="870">
        <f>CD114-CD115-IFERROR(CD120,0)</f>
        <v/>
      </c>
      <c r="CE116" s="678">
        <f>CE114-CE115-IFERROR(CE120,0)</f>
        <v/>
      </c>
      <c r="CF116" s="678">
        <f>CF114-CF115-IFERROR(CF120,0)</f>
        <v/>
      </c>
      <c r="CG116" s="678">
        <f>CG114*((CI116-CE116-CF116)/(CI114-CE114-CF114))</f>
        <v/>
      </c>
      <c r="CH116" s="678">
        <f>CI116-CE116-CF116-CG116</f>
        <v/>
      </c>
      <c r="CI116" s="752">
        <f>CI114-CI115</f>
        <v/>
      </c>
      <c r="CJ116" s="752">
        <f>CJ114-CJ115</f>
        <v/>
      </c>
      <c r="CK116" s="752">
        <f>CK114-CK115</f>
        <v/>
      </c>
      <c r="CL116" s="752">
        <f>CL114-CL115</f>
        <v/>
      </c>
      <c r="CM116" s="752">
        <f>CM114-CM115</f>
        <v/>
      </c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>
        <f>SUM(BF117:BI117)</f>
        <v/>
      </c>
      <c r="BK117" s="743" t="n"/>
      <c r="BL117" s="743" t="n"/>
      <c r="BM117" s="743" t="n"/>
      <c r="BN117" s="743" t="n"/>
      <c r="BO117" s="864">
        <f>SUM(BK117:BN117)</f>
        <v/>
      </c>
      <c r="BP117" s="743" t="n"/>
      <c r="BQ117" s="743" t="n"/>
      <c r="BR117" s="743" t="n"/>
      <c r="BS117" s="743" t="n"/>
      <c r="BT117" s="864">
        <f>SUM(BP117:BS117)</f>
        <v/>
      </c>
      <c r="BU117" s="743" t="n"/>
      <c r="BV117" s="743" t="n"/>
      <c r="BW117" s="743" t="n"/>
      <c r="BX117" s="743" t="n"/>
      <c r="BY117" s="864">
        <f>SUM(BU117:BX117)</f>
        <v/>
      </c>
      <c r="BZ117" s="743" t="n"/>
      <c r="CA117" s="743" t="n"/>
      <c r="CB117" s="743" t="n"/>
      <c r="CC117" s="743" t="n"/>
      <c r="CD117" s="864">
        <f>SUM(BZ117:CC117)</f>
        <v/>
      </c>
      <c r="CE117" s="743" t="n"/>
      <c r="CF117" s="743" t="n"/>
      <c r="CG117" s="291">
        <f>(CI117-CE117-CF117)/2</f>
        <v/>
      </c>
      <c r="CH117" s="291">
        <f>CI117-CE117-CF117-CG117</f>
        <v/>
      </c>
      <c r="CI117" s="749">
        <f>CI114*CI166</f>
        <v/>
      </c>
      <c r="CJ117" s="749">
        <f>CJ114*CJ166</f>
        <v/>
      </c>
      <c r="CK117" s="749">
        <f>CK114*CK166</f>
        <v/>
      </c>
      <c r="CL117" s="749">
        <f>CL114*CL166</f>
        <v/>
      </c>
      <c r="CM117" s="749">
        <f>CM114*CM166</f>
        <v/>
      </c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>
        <f>SUM(BF118:BI118)</f>
        <v/>
      </c>
      <c r="BK118" s="743" t="n"/>
      <c r="BL118" s="743" t="n"/>
      <c r="BM118" s="743" t="n"/>
      <c r="BN118" s="743" t="n"/>
      <c r="BO118" s="864">
        <f>SUM(BK118:BN118)</f>
        <v/>
      </c>
      <c r="BP118" s="743" t="n"/>
      <c r="BQ118" s="743" t="n"/>
      <c r="BR118" s="743" t="n"/>
      <c r="BS118" s="743" t="n"/>
      <c r="BT118" s="864">
        <f>SUM(BP118:BS118)</f>
        <v/>
      </c>
      <c r="BU118" s="743" t="n"/>
      <c r="BV118" s="743" t="n"/>
      <c r="BW118" s="743" t="n"/>
      <c r="BX118" s="743" t="n"/>
      <c r="BY118" s="864">
        <f>SUM(BU118:BX118)</f>
        <v/>
      </c>
      <c r="BZ118" s="743" t="n"/>
      <c r="CA118" s="743" t="n"/>
      <c r="CB118" s="743" t="n"/>
      <c r="CC118" s="743" t="n"/>
      <c r="CD118" s="864">
        <f>SUM(BZ118:CC118)</f>
        <v/>
      </c>
      <c r="CE118" s="743" t="n"/>
      <c r="CF118" s="743" t="n"/>
      <c r="CG118" s="291">
        <f>(CI118-CE118-CF118)/2</f>
        <v/>
      </c>
      <c r="CH118" s="291">
        <f>CI118-CE118-CF118-CG118</f>
        <v/>
      </c>
      <c r="CI118" s="749">
        <f>CI114*CI167</f>
        <v/>
      </c>
      <c r="CJ118" s="749">
        <f>CJ114*CJ167</f>
        <v/>
      </c>
      <c r="CK118" s="749">
        <f>CK114*CK167</f>
        <v/>
      </c>
      <c r="CL118" s="749">
        <f>CL114*CL167</f>
        <v/>
      </c>
      <c r="CM118" s="749">
        <f>CM114*CM167</f>
        <v/>
      </c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>
        <f>SUM(BF119:BI119)</f>
        <v/>
      </c>
      <c r="BK119" s="291" t="n"/>
      <c r="BL119" s="743" t="n"/>
      <c r="BM119" s="743" t="n"/>
      <c r="BN119" s="743" t="n"/>
      <c r="BO119" s="864">
        <f>SUM(BK119:BN119)</f>
        <v/>
      </c>
      <c r="BP119" s="743" t="n"/>
      <c r="BQ119" s="743" t="n"/>
      <c r="BR119" s="743" t="n"/>
      <c r="BS119" s="743" t="n"/>
      <c r="BT119" s="864">
        <f>SUM(BP119:BS119)</f>
        <v/>
      </c>
      <c r="BU119" s="743" t="n"/>
      <c r="BV119" s="743" t="n"/>
      <c r="BW119" s="743" t="n"/>
      <c r="BX119" s="743" t="n"/>
      <c r="BY119" s="864">
        <f>SUM(BU119:BX119)</f>
        <v/>
      </c>
      <c r="BZ119" s="743" t="n"/>
      <c r="CA119" s="743" t="n"/>
      <c r="CB119" s="743" t="n"/>
      <c r="CC119" s="743" t="n"/>
      <c r="CD119" s="864">
        <f>SUM(BZ119:CC119)</f>
        <v/>
      </c>
      <c r="CE119" s="743" t="n"/>
      <c r="CF119" s="743" t="n"/>
      <c r="CG119" s="291">
        <f>(CI119-CE119-CF119)/2</f>
        <v/>
      </c>
      <c r="CH119" s="291">
        <f>CI119-CE119-CF119-CG119</f>
        <v/>
      </c>
      <c r="CI119" s="749">
        <f>CD119*2/3</f>
        <v/>
      </c>
      <c r="CJ119" s="774">
        <f>CI119*2/3</f>
        <v/>
      </c>
      <c r="CK119" s="774">
        <f>CJ119*2/3</f>
        <v/>
      </c>
      <c r="CL119" s="774">
        <f>CK119*2/3</f>
        <v/>
      </c>
      <c r="CM119" s="774">
        <f>CL119*2/3</f>
        <v/>
      </c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>
        <f>SUM(BF120:BI120)</f>
        <v/>
      </c>
      <c r="BK120" s="743" t="n"/>
      <c r="BL120" s="743" t="n"/>
      <c r="BM120" s="743" t="n"/>
      <c r="BN120" s="743" t="n"/>
      <c r="BO120" s="864">
        <f>SUM(BK120:BN120)</f>
        <v/>
      </c>
      <c r="BP120" s="743" t="n"/>
      <c r="BQ120" s="743" t="n"/>
      <c r="BR120" s="743" t="n"/>
      <c r="BS120" s="743" t="n"/>
      <c r="BT120" s="864">
        <f>SUM(BP120:BS120)</f>
        <v/>
      </c>
      <c r="BU120" s="291" t="n"/>
      <c r="BV120" s="743" t="n"/>
      <c r="BW120" s="743" t="n"/>
      <c r="BX120" s="743" t="n"/>
      <c r="BY120" s="864">
        <f>SUM(BU120:BX120)</f>
        <v/>
      </c>
      <c r="BZ120" s="291" t="n"/>
      <c r="CA120" s="743" t="n"/>
      <c r="CB120" s="743" t="n"/>
      <c r="CC120" s="743" t="n"/>
      <c r="CD120" s="864">
        <f>SUM(BZ120:CC120)</f>
        <v/>
      </c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>
        <f>SUM(BF121:BI121)</f>
        <v/>
      </c>
      <c r="BK121" s="291" t="n"/>
      <c r="BL121" s="743" t="n"/>
      <c r="BM121" s="743" t="n"/>
      <c r="BN121" s="743" t="n"/>
      <c r="BO121" s="864">
        <f>SUM(BK121:BN121)</f>
        <v/>
      </c>
      <c r="BP121" s="291" t="n"/>
      <c r="BQ121" s="743" t="n"/>
      <c r="BR121" s="743" t="n"/>
      <c r="BS121" s="743" t="n"/>
      <c r="BT121" s="864">
        <f>SUM(BP121:BS121)</f>
        <v/>
      </c>
      <c r="BU121" s="291" t="n"/>
      <c r="BV121" s="743" t="n"/>
      <c r="BW121" s="743" t="n"/>
      <c r="BX121" s="743" t="n"/>
      <c r="BY121" s="864">
        <f>SUM(BU121:BX121)</f>
        <v/>
      </c>
      <c r="BZ121" s="291" t="n"/>
      <c r="CA121" s="743" t="n"/>
      <c r="CB121" s="743" t="n"/>
      <c r="CC121" s="743" t="n"/>
      <c r="CD121" s="864">
        <f>SUM(BZ121:CC121)</f>
        <v/>
      </c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>
        <f>SUM(BF122:BI122)</f>
        <v/>
      </c>
      <c r="BK122" s="291" t="n"/>
      <c r="BL122" s="291" t="n"/>
      <c r="BM122" s="291" t="n"/>
      <c r="BN122" s="743" t="n"/>
      <c r="BO122" s="864">
        <f>SUM(BK122:BN122)</f>
        <v/>
      </c>
      <c r="BP122" s="291" t="n"/>
      <c r="BQ122" s="291" t="n"/>
      <c r="BR122" s="291" t="n"/>
      <c r="BS122" s="743" t="n"/>
      <c r="BT122" s="864">
        <f>SUM(BP122:BS122)</f>
        <v/>
      </c>
      <c r="BU122" s="291" t="n"/>
      <c r="BV122" s="291" t="n"/>
      <c r="BW122" s="291" t="n"/>
      <c r="BX122" s="743" t="n"/>
      <c r="BY122" s="864">
        <f>SUM(BU122:BX122)</f>
        <v/>
      </c>
      <c r="BZ122" s="291" t="n"/>
      <c r="CA122" s="291" t="n"/>
      <c r="CB122" s="291" t="n"/>
      <c r="CC122" s="743" t="n"/>
      <c r="CD122" s="864">
        <f>SUM(BZ122:CC122)</f>
        <v/>
      </c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>
        <f>SUM(BF123:BI123)</f>
        <v/>
      </c>
      <c r="BK123" s="291" t="n"/>
      <c r="BL123" s="291" t="n"/>
      <c r="BM123" s="291" t="n"/>
      <c r="BN123" s="291" t="n"/>
      <c r="BO123" s="864">
        <f>SUM(BK123:BN123)</f>
        <v/>
      </c>
      <c r="BP123" s="743" t="n"/>
      <c r="BQ123" s="743" t="n"/>
      <c r="BR123" s="743" t="n"/>
      <c r="BS123" s="743" t="n"/>
      <c r="BT123" s="864">
        <f>SUM(BP123:BS123)</f>
        <v/>
      </c>
      <c r="BU123" s="743" t="n"/>
      <c r="BV123" s="743" t="n"/>
      <c r="BW123" s="743" t="n"/>
      <c r="BX123" s="743" t="n"/>
      <c r="BY123" s="864">
        <f>SUM(BU123:BX123)</f>
        <v/>
      </c>
      <c r="BZ123" s="291" t="n"/>
      <c r="CA123" s="291" t="n"/>
      <c r="CB123" s="291" t="n"/>
      <c r="CC123" s="743" t="n"/>
      <c r="CD123" s="864">
        <f>SUM(BZ123:CC123)</f>
        <v/>
      </c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>
        <f>SUM(BF124:BI124)</f>
        <v/>
      </c>
      <c r="BK124" s="291" t="n"/>
      <c r="BL124" s="291" t="n"/>
      <c r="BM124" s="291" t="n"/>
      <c r="BN124" s="743" t="n"/>
      <c r="BO124" s="864">
        <f>SUM(BK124:BN124)</f>
        <v/>
      </c>
      <c r="BP124" s="291" t="n"/>
      <c r="BQ124" s="291" t="n"/>
      <c r="BR124" s="291" t="n"/>
      <c r="BS124" s="743" t="n"/>
      <c r="BT124" s="864">
        <f>SUM(BP124:BS124)</f>
        <v/>
      </c>
      <c r="BU124" s="291" t="n"/>
      <c r="BV124" s="291" t="n"/>
      <c r="BW124" s="291" t="n"/>
      <c r="BX124" s="743" t="n"/>
      <c r="BY124" s="864">
        <f>SUM(BU124:BX124)</f>
        <v/>
      </c>
      <c r="BZ124" s="291" t="n"/>
      <c r="CA124" s="291" t="n"/>
      <c r="CB124" s="291" t="n"/>
      <c r="CC124" s="743" t="n"/>
      <c r="CD124" s="864">
        <f>SUM(BZ124:CC124)</f>
        <v/>
      </c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/>
      <c r="BA125" s="826" t="n"/>
      <c r="BB125" s="826" t="n"/>
      <c r="BC125" s="826" t="n"/>
      <c r="BD125" s="826" t="n"/>
      <c r="BE125" s="878">
        <f>37.839+0+0+121.324+20.707</f>
        <v/>
      </c>
      <c r="BF125" s="825" t="n"/>
      <c r="BG125" s="825" t="n"/>
      <c r="BH125" s="825" t="n"/>
      <c r="BI125" s="825" t="n"/>
      <c r="BJ125" s="878">
        <f>SUM(BF125:BI125)</f>
        <v/>
      </c>
      <c r="BK125" s="825" t="n"/>
      <c r="BL125" s="825" t="n"/>
      <c r="BM125" s="825" t="n"/>
      <c r="BN125" s="825" t="n"/>
      <c r="BO125" s="878">
        <f>SUM(BK125:BN125)</f>
        <v/>
      </c>
      <c r="BP125" s="825" t="n"/>
      <c r="BQ125" s="825" t="n"/>
      <c r="BR125" s="825" t="n"/>
      <c r="BS125" s="825" t="n"/>
      <c r="BT125" s="878">
        <f>SUM(BP125:BS125)</f>
        <v/>
      </c>
      <c r="BU125" s="825" t="n"/>
      <c r="BV125" s="825" t="n"/>
      <c r="BW125" s="825" t="n"/>
      <c r="BX125" s="825" t="n"/>
      <c r="BY125" s="878">
        <f>SUM(BU125:BX125)</f>
        <v/>
      </c>
      <c r="BZ125" s="825" t="n"/>
      <c r="CA125" s="825" t="n"/>
      <c r="CB125" s="825" t="n"/>
      <c r="CC125" s="825" t="n"/>
      <c r="CD125" s="878">
        <f>SUM(BZ125:CC125)</f>
        <v/>
      </c>
      <c r="CE125" s="743" t="n"/>
      <c r="CF125" s="743" t="n"/>
      <c r="CG125" s="291">
        <f>(CI125-CE125-CF125)/2</f>
        <v/>
      </c>
      <c r="CH125" s="291">
        <f>CI125-CE125-CF125-CG125</f>
        <v/>
      </c>
      <c r="CI125" s="851">
        <f>CD125*2/3</f>
        <v/>
      </c>
      <c r="CJ125" s="861">
        <f>CI125*2/3</f>
        <v/>
      </c>
      <c r="CK125" s="861">
        <f>CJ125*2/3</f>
        <v/>
      </c>
      <c r="CL125" s="861">
        <f>CK125*2/3</f>
        <v/>
      </c>
      <c r="CM125" s="861">
        <f>CL125*2/3</f>
        <v/>
      </c>
      <c r="CN125" s="291" t="n"/>
      <c r="CO125" s="766" t="n"/>
      <c r="CP125" s="291" t="n"/>
      <c r="CQ125" s="694" t="n"/>
      <c r="NVU125" t="n">
        <v>-150.572</v>
      </c>
      <c r="NVZ125" t="n">
        <v>-380.342</v>
      </c>
      <c r="NWE125" t="n">
        <v>-492.291</v>
      </c>
      <c r="NWJ125" t="n">
        <v>-434.751</v>
      </c>
      <c r="NWO125" t="n">
        <v>-435.486</v>
      </c>
      <c r="NWT125" t="n">
        <v>-416.642</v>
      </c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>
        <f>AZ116-AZ117-AZ118-IFERROR(AZ119,0)-IFERROR(AZ121,0)-IFERROR(AZ122,0)-IFERROR(AZ123,0)-IFERROR(AZ124,0)-IFERROR(AZ125,0)</f>
        <v/>
      </c>
      <c r="BA126" s="274" t="n"/>
      <c r="BB126" s="274" t="n"/>
      <c r="BC126" s="274" t="n"/>
      <c r="BD126" s="274" t="n"/>
      <c r="BE126" s="871">
        <f>BE116-BE117-BE118-IFERROR(BE119,0)-IFERROR(BE121,0)-IFERROR(BE122,0)-IFERROR(BE123,0)-IFERROR(BE124,0)-IFERROR(BE125,0)</f>
        <v/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>
        <f>BJ116-BJ117-BJ118-IFERROR(BJ119,0)-IFERROR(BJ121,0)-IFERROR(BJ122,0)-IFERROR(BJ123,0)-IFERROR(BJ124,0)-IFERROR(BJ125,0)</f>
        <v/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>
        <f>BO116-BO117-BO118-IFERROR(BO119,0)-IFERROR(BO121,0)-IFERROR(BO122,0)-IFERROR(BO123,0)-IFERROR(BO124,0)-IFERROR(BO125,0)</f>
        <v/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>
        <f>BT116-BT117-BT118-IFERROR(BT119,0)-IFERROR(BT121,0)-IFERROR(BT122,0)-IFERROR(BT123,0)-IFERROR(BT124,0)-IFERROR(BT125,0)</f>
        <v/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>
        <f>BY116-BY117-BY118-IFERROR(BY119,0)-IFERROR(BY121,0)-IFERROR(BY122,0)-IFERROR(BY123,0)-IFERROR(BY124,0)-IFERROR(BY125,0)</f>
        <v/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>
        <f>CD116-CD117-CD118-IFERROR(CD119,0)-IFERROR(CD121,0)-IFERROR(CD122,0)-IFERROR(CD123,0)-IFERROR(CD124,0)-IFERROR(CD125,0)</f>
        <v/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CI116-CI117-CI118-CI119-CI125</f>
        <v/>
      </c>
      <c r="CJ126" s="274">
        <f>CJ116-CJ117-CJ118-CJ119-CJ125</f>
        <v/>
      </c>
      <c r="CK126" s="274">
        <f>CK116-CK117-CK118-CK119-CK125</f>
        <v/>
      </c>
      <c r="CL126" s="274">
        <f>CL116-CL117-CL118-CL119-CL125</f>
        <v/>
      </c>
      <c r="CM126" s="274">
        <f>CM116-CM117-CM118-CM119-CM125</f>
        <v/>
      </c>
      <c r="CN126" s="274" t="n"/>
      <c r="CO126" s="686">
        <f>(CM126/CD126)^(1/5)-1</f>
        <v/>
      </c>
      <c r="CP126" s="274" t="n"/>
      <c r="CQ126" s="694" t="n"/>
      <c r="NVU126" t="n">
        <v>416.567</v>
      </c>
      <c r="NVZ126" t="n">
        <v>979.229</v>
      </c>
      <c r="NWE126" t="n">
        <v>1146.038</v>
      </c>
      <c r="NWJ126" t="n">
        <v>757.635</v>
      </c>
      <c r="NWO126" t="n">
        <v>718.962</v>
      </c>
      <c r="NWT126" t="n">
        <v>565.316</v>
      </c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/>
      <c r="BA127" s="291" t="n"/>
      <c r="BB127" s="291" t="n"/>
      <c r="BC127" s="291" t="n"/>
      <c r="BD127" s="291" t="n"/>
      <c r="BE127" s="868" t="n"/>
      <c r="BF127" s="743" t="n"/>
      <c r="BG127" s="743" t="n"/>
      <c r="BH127" s="743" t="n"/>
      <c r="BI127" s="743" t="n"/>
      <c r="BJ127" s="864">
        <f>SUM(BF127:BI127)</f>
        <v/>
      </c>
      <c r="BK127" s="743" t="n"/>
      <c r="BL127" s="743" t="n"/>
      <c r="BM127" s="743" t="n"/>
      <c r="BN127" s="743" t="n"/>
      <c r="BO127" s="864">
        <f>SUM(BK127:BN127)</f>
        <v/>
      </c>
      <c r="BP127" s="743" t="n"/>
      <c r="BQ127" s="743" t="n"/>
      <c r="BR127" s="743" t="n"/>
      <c r="BS127" s="743" t="n"/>
      <c r="BT127" s="864">
        <f>SUM(BP127:BS127)</f>
        <v/>
      </c>
      <c r="BU127" s="743" t="n"/>
      <c r="BV127" s="743" t="n"/>
      <c r="BW127" s="743" t="n"/>
      <c r="BX127" s="743" t="n"/>
      <c r="BY127" s="864">
        <f>SUM(BU127:BX127)</f>
        <v/>
      </c>
      <c r="BZ127" s="743" t="n"/>
      <c r="CA127" s="743" t="n"/>
      <c r="CB127" s="743" t="n"/>
      <c r="CC127" s="743" t="n"/>
      <c r="CD127" s="864">
        <f>SUM(BZ127:CC127)</f>
        <v/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CI305</f>
        <v/>
      </c>
      <c r="CJ127" s="774">
        <f>CJ305</f>
        <v/>
      </c>
      <c r="CK127" s="774">
        <f>CK305</f>
        <v/>
      </c>
      <c r="CL127" s="774">
        <f>CL305</f>
        <v/>
      </c>
      <c r="CM127" s="774">
        <f>CM305</f>
        <v/>
      </c>
      <c r="CN127" s="291" t="n"/>
      <c r="CO127" s="766" t="n"/>
      <c r="CP127" s="291" t="n"/>
      <c r="CQ127" s="694" t="n"/>
      <c r="NVU127" t="n">
        <v>56.686</v>
      </c>
      <c r="NVZ127" t="n">
        <v>78.145</v>
      </c>
      <c r="NWE127" t="n">
        <v>82.14700000000001</v>
      </c>
      <c r="NWJ127" t="n">
        <v>89.483</v>
      </c>
      <c r="NWO127" t="n">
        <v>171.999</v>
      </c>
      <c r="NWT127" t="n">
        <v>162.268</v>
      </c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/>
      <c r="BA128" s="291" t="n"/>
      <c r="BB128" s="291" t="n"/>
      <c r="BC128" s="291" t="n"/>
      <c r="BD128" s="291" t="n"/>
      <c r="BE128" s="868" t="n"/>
      <c r="BF128" s="291" t="n"/>
      <c r="BG128" s="291" t="n"/>
      <c r="BH128" s="291" t="n"/>
      <c r="BI128" s="291" t="n"/>
      <c r="BJ128" s="868" t="n"/>
      <c r="BK128" s="291" t="n"/>
      <c r="BL128" s="291" t="n"/>
      <c r="BM128" s="291" t="n"/>
      <c r="BN128" s="291" t="n"/>
      <c r="BO128" s="868" t="n"/>
      <c r="BP128" s="291" t="n"/>
      <c r="BQ128" s="291" t="n"/>
      <c r="BR128" s="291" t="n"/>
      <c r="BS128" s="291" t="n"/>
      <c r="BT128" s="868" t="n"/>
      <c r="BU128" s="291" t="n"/>
      <c r="BV128" s="291" t="n"/>
      <c r="BW128" s="291" t="n"/>
      <c r="BX128" s="291" t="n"/>
      <c r="BY128" s="868" t="n"/>
      <c r="BZ128" s="291" t="n"/>
      <c r="CA128" s="291" t="n"/>
      <c r="CB128" s="291" t="n"/>
      <c r="CC128" s="291" t="n"/>
      <c r="CD128" s="868" t="n"/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  <c r="NVU128" t="n">
        <v>2.776</v>
      </c>
      <c r="NVZ128" t="n">
        <v>5.127</v>
      </c>
      <c r="NWE128" t="n">
        <v>1.75</v>
      </c>
      <c r="NWJ128" t="n">
        <v>8.612</v>
      </c>
      <c r="NWO128" t="n">
        <v>13.76</v>
      </c>
      <c r="NWT128" t="n">
        <v>2.312</v>
      </c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>
        <f>AZ126-AZ127+AZ128+AZ129</f>
        <v/>
      </c>
      <c r="BA130" s="678" t="n"/>
      <c r="BB130" s="678" t="n"/>
      <c r="BC130" s="678" t="n"/>
      <c r="BD130" s="678" t="n"/>
      <c r="BE130" s="870">
        <f>BE126-BE127+BE128+BE129</f>
        <v/>
      </c>
      <c r="BF130" s="775" t="n"/>
      <c r="BG130" s="775" t="n"/>
      <c r="BH130" s="775" t="n"/>
      <c r="BI130" s="775" t="n"/>
      <c r="BJ130" s="870">
        <f>SUM(BF130:BI130)</f>
        <v/>
      </c>
      <c r="BK130" s="775" t="n"/>
      <c r="BL130" s="775" t="n"/>
      <c r="BM130" s="775" t="n"/>
      <c r="BN130" s="775" t="n"/>
      <c r="BO130" s="870">
        <f>SUM(BK130:BN130)</f>
        <v/>
      </c>
      <c r="BP130" s="775" t="n"/>
      <c r="BQ130" s="775" t="n"/>
      <c r="BR130" s="775" t="n"/>
      <c r="BS130" s="775" t="n"/>
      <c r="BT130" s="870">
        <f>SUM(BP130:BS130)</f>
        <v/>
      </c>
      <c r="BU130" s="775" t="n"/>
      <c r="BV130" s="775" t="n"/>
      <c r="BW130" s="775" t="n"/>
      <c r="BX130" s="775" t="n"/>
      <c r="BY130" s="870">
        <f>SUM(BU130:BX130)</f>
        <v/>
      </c>
      <c r="BZ130" s="775" t="n"/>
      <c r="CA130" s="775" t="n"/>
      <c r="CB130" s="775" t="n"/>
      <c r="CC130" s="775" t="n"/>
      <c r="CD130" s="870">
        <f>SUM(BZ130:CC130)</f>
        <v/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  <c r="NVU130" t="n">
        <v>362.657</v>
      </c>
      <c r="NVZ130" t="n">
        <v>906.211</v>
      </c>
      <c r="NWE130" t="n">
        <v>1065.641</v>
      </c>
      <c r="NWJ130" t="n">
        <v>676.764</v>
      </c>
      <c r="NWO130" t="n">
        <v>560.723</v>
      </c>
      <c r="NWT130" t="n">
        <v>405.36</v>
      </c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/>
      <c r="BA131" s="291" t="n"/>
      <c r="BB131" s="291" t="n"/>
      <c r="BC131" s="291" t="n"/>
      <c r="BD131" s="291" t="n"/>
      <c r="BE131" s="868" t="n"/>
      <c r="BF131" s="743" t="n"/>
      <c r="BG131" s="743" t="n"/>
      <c r="BH131" s="743" t="n"/>
      <c r="BI131" s="743" t="n"/>
      <c r="BJ131" s="864">
        <f>SUM(BF131:BI131)</f>
        <v/>
      </c>
      <c r="BK131" s="743" t="n"/>
      <c r="BL131" s="743" t="n"/>
      <c r="BM131" s="743" t="n"/>
      <c r="BN131" s="743" t="n"/>
      <c r="BO131" s="864">
        <f>SUM(BK131:BN131)</f>
        <v/>
      </c>
      <c r="BP131" s="743" t="n"/>
      <c r="BQ131" s="743" t="n"/>
      <c r="BR131" s="743" t="n"/>
      <c r="BS131" s="743" t="n"/>
      <c r="BT131" s="864">
        <f>SUM(BP131:BS131)</f>
        <v/>
      </c>
      <c r="BU131" s="743" t="n"/>
      <c r="BV131" s="743" t="n"/>
      <c r="BW131" s="743" t="n"/>
      <c r="BX131" s="743" t="n"/>
      <c r="BY131" s="864">
        <f>SUM(BU131:BX131)</f>
        <v/>
      </c>
      <c r="BZ131" s="743" t="n"/>
      <c r="CA131" s="743" t="n"/>
      <c r="CB131" s="743" t="n"/>
      <c r="CC131" s="743" t="n"/>
      <c r="CD131" s="864">
        <f>SUM(BZ131:CC131)</f>
        <v/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  <c r="NVU131" t="n">
        <v>86.982</v>
      </c>
      <c r="NVZ131" t="n">
        <v>151.806</v>
      </c>
      <c r="NWE131" t="n">
        <v>242.409</v>
      </c>
      <c r="NWJ131" t="n">
        <v>171.887</v>
      </c>
      <c r="NWO131" t="n">
        <v>138.239</v>
      </c>
      <c r="NWT131" t="n">
        <v>94.807</v>
      </c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/>
      <c r="CJ132" s="1001" t="n"/>
      <c r="CK132" s="1001" t="n"/>
      <c r="CL132" s="1001" t="n"/>
      <c r="CM132" s="1001" t="n"/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>
        <f>AZ130-AZ131</f>
        <v/>
      </c>
      <c r="BA133" s="274" t="n"/>
      <c r="BB133" s="274" t="n"/>
      <c r="BC133" s="274" t="n"/>
      <c r="BD133" s="274" t="n"/>
      <c r="BE133" s="871">
        <f>BE130-BE131</f>
        <v/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>
        <f>BJ130-BJ131</f>
        <v/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>
        <f>BO130-BO131</f>
        <v/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>
        <f>BT130-BT131</f>
        <v/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>
        <f>BY130-BY131</f>
        <v/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>
        <f>CD130-CD131</f>
        <v/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  <c r="NVU133" t="n">
        <v>275.675</v>
      </c>
      <c r="NVZ133" t="n">
        <v>754.405</v>
      </c>
      <c r="NWE133" t="n">
        <v>823.232</v>
      </c>
      <c r="NWJ133" t="n">
        <v>504.877</v>
      </c>
      <c r="NWO133" t="n">
        <v>422.484</v>
      </c>
      <c r="NWT133" t="n">
        <v>310.553</v>
      </c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>
        <f>IFERROR(AZ133/AZ138*1000,"")</f>
        <v/>
      </c>
      <c r="BA136" s="1005" t="n"/>
      <c r="BB136" s="1005" t="n"/>
      <c r="BC136" s="1005" t="n"/>
      <c r="BD136" s="1005" t="n"/>
      <c r="BE136" s="1004">
        <f>IFERROR(BE133/BE138*1000,"")</f>
        <v/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>
        <f>IFERROR(BJ133/BJ138*1000,"")</f>
        <v/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>
        <f>IFERROR(BO133/BO138*1000,"")</f>
        <v/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>
        <f>IFERROR(BT133/BT138*1000,"")</f>
        <v/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>
        <f>IFERROR(BY133/BY138*1000,"")</f>
        <v/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>
        <f>IFERROR(CD133/CD138*1000,"")</f>
        <v/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  <c r="NVU136" t="n">
        <v>3.09</v>
      </c>
      <c r="NVZ136" t="n">
        <v>8.109999999999999</v>
      </c>
      <c r="NWE136" t="n">
        <v>9.210000000000001</v>
      </c>
      <c r="NWJ136" t="n">
        <v>5.88</v>
      </c>
      <c r="NWO136" t="n">
        <v>5</v>
      </c>
      <c r="NWT136" t="n">
        <v>3.74</v>
      </c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>
        <f>IFERROR(AZ133/AZ139*1000,"")</f>
        <v/>
      </c>
      <c r="BA137" s="1011" t="n"/>
      <c r="BB137" s="1011" t="n"/>
      <c r="BC137" s="1011" t="n"/>
      <c r="BD137" s="1011" t="n"/>
      <c r="BE137" s="1010">
        <f>IFERROR(BE133/BE139*1000,"")</f>
        <v/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>
        <f>IFERROR(BJ133/BJ139*1000,"")</f>
        <v/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>
        <f>IFERROR(BO133/BO139*1000,"")</f>
        <v/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>
        <f>IFERROR(BT133/BT139*1000,"")</f>
        <v/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>
        <f>IFERROR(BY133/BY139*1000,"")</f>
        <v/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>
        <f>IFERROR(CD133/CD139*1000,"")</f>
        <v/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  <c r="NVU137" t="n">
        <v>3.03</v>
      </c>
      <c r="NVZ137" t="n">
        <v>7.91</v>
      </c>
      <c r="NWE137" t="n">
        <v>9.02</v>
      </c>
      <c r="NWJ137" t="n">
        <v>5.8</v>
      </c>
      <c r="NWO137" t="n">
        <v>4.96</v>
      </c>
      <c r="NWT137" t="n">
        <v>3.72</v>
      </c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/>
      <c r="BA138" s="743" t="n"/>
      <c r="BB138" s="743" t="n"/>
      <c r="BC138" s="743" t="n"/>
      <c r="BD138" s="743" t="n"/>
      <c r="BE138" s="868" t="n"/>
      <c r="BF138" s="743" t="n"/>
      <c r="BG138" s="743" t="n"/>
      <c r="BH138" s="743" t="n"/>
      <c r="BI138" s="291">
        <f>BJ138</f>
        <v/>
      </c>
      <c r="BJ138" s="1013" t="n"/>
      <c r="BK138" s="1014" t="n"/>
      <c r="BL138" s="1014" t="n"/>
      <c r="BM138" s="1014" t="n"/>
      <c r="BN138" s="1015">
        <f>BO138</f>
        <v/>
      </c>
      <c r="BO138" s="1013" t="n"/>
      <c r="BP138" s="1014" t="n"/>
      <c r="BQ138" s="1014" t="n"/>
      <c r="BR138" s="1014" t="n"/>
      <c r="BS138" s="1015">
        <f>BT138</f>
        <v/>
      </c>
      <c r="BT138" s="1013" t="n"/>
      <c r="BU138" s="1014" t="n"/>
      <c r="BV138" s="1014" t="n"/>
      <c r="BW138" s="1014" t="n"/>
      <c r="BX138" s="1015">
        <f>BY138</f>
        <v/>
      </c>
      <c r="BY138" s="1013" t="n"/>
      <c r="BZ138" s="1014" t="n"/>
      <c r="CA138" s="1014" t="n"/>
      <c r="CB138" s="1014" t="n"/>
      <c r="CC138" s="1015">
        <f>CD138</f>
        <v/>
      </c>
      <c r="CD138" s="1013" t="n"/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  <c r="NVU138" t="n">
        <v>89113.35400000001</v>
      </c>
      <c r="NVZ138" t="n">
        <v>93054.245</v>
      </c>
      <c r="NWE138" t="n">
        <v>89359.58199999999</v>
      </c>
      <c r="NWJ138" t="n">
        <v>85907.746</v>
      </c>
      <c r="NWO138" t="n">
        <v>84551.576</v>
      </c>
      <c r="NWT138" t="n">
        <v>83067.25199999999</v>
      </c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/>
      <c r="BA139" s="743" t="n"/>
      <c r="BB139" s="743" t="n"/>
      <c r="BC139" s="743" t="n"/>
      <c r="BD139" s="743" t="n"/>
      <c r="BE139" s="868" t="n"/>
      <c r="BF139" s="743" t="n"/>
      <c r="BG139" s="743" t="n"/>
      <c r="BH139" s="743" t="n"/>
      <c r="BI139" s="291">
        <f>BJ139</f>
        <v/>
      </c>
      <c r="BJ139" s="1013" t="n"/>
      <c r="BK139" s="1014" t="n"/>
      <c r="BL139" s="1014" t="n"/>
      <c r="BM139" s="1014" t="n"/>
      <c r="BN139" s="1015">
        <f>BO139</f>
        <v/>
      </c>
      <c r="BO139" s="1013" t="n"/>
      <c r="BP139" s="1014" t="n"/>
      <c r="BQ139" s="1014" t="n"/>
      <c r="BR139" s="1014" t="n"/>
      <c r="BS139" s="1015">
        <f>BT139</f>
        <v/>
      </c>
      <c r="BT139" s="1013" t="n"/>
      <c r="BU139" s="1014" t="n"/>
      <c r="BV139" s="1014" t="n"/>
      <c r="BW139" s="1014" t="n"/>
      <c r="BX139" s="1015">
        <f>BY139</f>
        <v/>
      </c>
      <c r="BY139" s="1013" t="n"/>
      <c r="BZ139" s="1014" t="n"/>
      <c r="CA139" s="1014" t="n"/>
      <c r="CB139" s="1014" t="n"/>
      <c r="CC139" s="1015">
        <f>CD139</f>
        <v/>
      </c>
      <c r="CD139" s="1013" t="n"/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  <c r="NVU139" t="n">
        <v>90934.806</v>
      </c>
      <c r="NVZ139" t="n">
        <v>95336.023</v>
      </c>
      <c r="NWE139" t="n">
        <v>91257.679</v>
      </c>
      <c r="NWJ139" t="n">
        <v>87054.769</v>
      </c>
      <c r="NWO139" t="n">
        <v>85243.10799999999</v>
      </c>
      <c r="NWT139" t="n">
        <v>83414.31</v>
      </c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inlineStr">
        <is>
          <t>=AE126</t>
        </is>
      </c>
      <c r="AF143" s="910">
        <f>AF126</f>
        <v/>
      </c>
      <c r="AG143" s="775" t="n"/>
      <c r="AH143" s="775" t="n"/>
      <c r="AI143" s="775" t="n"/>
      <c r="AJ143" s="780" t="inlineStr">
        <is>
          <t>=AJ126</t>
        </is>
      </c>
      <c r="AK143" s="910">
        <f>AK126</f>
        <v/>
      </c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>
        <f>CE126</f>
        <v/>
      </c>
      <c r="CF143" s="993">
        <f>CF126</f>
        <v/>
      </c>
      <c r="CG143" s="993">
        <f>CG126</f>
        <v/>
      </c>
      <c r="CH143" s="993">
        <f>CH126</f>
        <v/>
      </c>
      <c r="CI143" s="752">
        <f>CI126</f>
        <v/>
      </c>
      <c r="CJ143" s="752">
        <f>CJ126</f>
        <v/>
      </c>
      <c r="CK143" s="752">
        <f>CK126</f>
        <v/>
      </c>
      <c r="CL143" s="752">
        <f>CL126</f>
        <v/>
      </c>
      <c r="CM143" s="752">
        <f>CM126</f>
        <v/>
      </c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>
        <f>(CI144-CE144-CF144)/2</f>
        <v/>
      </c>
      <c r="CH144" s="978">
        <f>CI144-CE144-CF144-CG144</f>
        <v/>
      </c>
      <c r="CI144" s="749">
        <f>CD144*2/3</f>
        <v/>
      </c>
      <c r="CJ144" s="749">
        <f>CI144*2/3</f>
        <v/>
      </c>
      <c r="CK144" s="749">
        <f>CJ144*2/3</f>
        <v/>
      </c>
      <c r="CL144" s="749">
        <f>CK144*2/3</f>
        <v/>
      </c>
      <c r="CM144" s="749">
        <f>CL144*2/3</f>
        <v/>
      </c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>
        <f>(CI145-CE145-CF145)/2</f>
        <v/>
      </c>
      <c r="CH145" s="978">
        <f>CI145-CE145-CF145-CG145</f>
        <v/>
      </c>
      <c r="CI145" s="749">
        <f>CD145*2/3</f>
        <v/>
      </c>
      <c r="CJ145" s="749">
        <f>CI145*2/3</f>
        <v/>
      </c>
      <c r="CK145" s="749">
        <f>CJ145*2/3</f>
        <v/>
      </c>
      <c r="CL145" s="749">
        <f>CK145*2/3</f>
        <v/>
      </c>
      <c r="CM145" s="749">
        <f>CL145*2/3</f>
        <v/>
      </c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>
        <f>(CI146-CE146-CF146)/2</f>
        <v/>
      </c>
      <c r="CH146" s="978">
        <f>CI146-CE146-CF146-CG146</f>
        <v/>
      </c>
      <c r="CI146" s="749">
        <f>CD146*2/3</f>
        <v/>
      </c>
      <c r="CJ146" s="749">
        <f>CI146*2/3</f>
        <v/>
      </c>
      <c r="CK146" s="749">
        <f>CJ146*2/3</f>
        <v/>
      </c>
      <c r="CL146" s="749">
        <f>CK146*2/3</f>
        <v/>
      </c>
      <c r="CM146" s="749">
        <f>CL146*2/3</f>
        <v/>
      </c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>
        <f>(CI147-CE147-CF147)/2</f>
        <v/>
      </c>
      <c r="CH147" s="978">
        <f>CI147-CE147-CF147-CG147</f>
        <v/>
      </c>
      <c r="CI147" s="749">
        <f>CD147*2/3</f>
        <v/>
      </c>
      <c r="CJ147" s="749">
        <f>CI147*2/3</f>
        <v/>
      </c>
      <c r="CK147" s="749">
        <f>CJ147*2/3</f>
        <v/>
      </c>
      <c r="CL147" s="749">
        <f>CK147*2/3</f>
        <v/>
      </c>
      <c r="CM147" s="749">
        <f>CL147*2/3</f>
        <v/>
      </c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>
        <f>(CI148-CE148-CF148)/2</f>
        <v/>
      </c>
      <c r="CH148" s="978">
        <f>CI148-CE148-CF148-CG148</f>
        <v/>
      </c>
      <c r="CI148" s="749">
        <f>CD148*2/3</f>
        <v/>
      </c>
      <c r="CJ148" s="749">
        <f>CI148*2/3</f>
        <v/>
      </c>
      <c r="CK148" s="749">
        <f>CJ148*2/3</f>
        <v/>
      </c>
      <c r="CL148" s="749">
        <f>CK148*2/3</f>
        <v/>
      </c>
      <c r="CM148" s="749">
        <f>CL148*2/3</f>
        <v/>
      </c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>
        <f>(CI149-CE149-CF149)/2</f>
        <v/>
      </c>
      <c r="CH149" s="978">
        <f>CI149-CE149-CF149-CG149</f>
        <v/>
      </c>
      <c r="CI149" s="1027">
        <f>CD149*2/3</f>
        <v/>
      </c>
      <c r="CJ149" s="1027">
        <f>CI149*2/3</f>
        <v/>
      </c>
      <c r="CK149" s="1027">
        <f>CJ149*2/3</f>
        <v/>
      </c>
      <c r="CL149" s="1027">
        <f>CK149*2/3</f>
        <v/>
      </c>
      <c r="CM149" s="1027">
        <f>CL149*2/3</f>
        <v/>
      </c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>
        <f>IF(COUNT(AF143:AF149)=0,"",SUM(AF143:AF149))</f>
        <v/>
      </c>
      <c r="AG150" s="274" t="n"/>
      <c r="AH150" s="274" t="n"/>
      <c r="AI150" s="274" t="n"/>
      <c r="AJ150" s="274" t="n"/>
      <c r="AK150" s="871">
        <f>IF(COUNT(AK143:AK149)=0,"",SUM(AK143:AK149))</f>
        <v/>
      </c>
      <c r="AL150" s="274" t="n"/>
      <c r="AM150" s="274" t="n"/>
      <c r="AN150" s="274" t="n"/>
      <c r="AO150" s="274" t="n"/>
      <c r="AP150" s="871">
        <f>IF(COUNT(AP143:AP149)=0,"",SUM(AP143:AP149))</f>
        <v/>
      </c>
      <c r="AQ150" s="274" t="n"/>
      <c r="AR150" s="274" t="n"/>
      <c r="AS150" s="274" t="n"/>
      <c r="AT150" s="274" t="n"/>
      <c r="AU150" s="871">
        <f>IF(COUNT(AU143:AU149)=0,"",SUM(AU143:AU149))</f>
        <v/>
      </c>
      <c r="AV150" s="274" t="n"/>
      <c r="AW150" s="274" t="n"/>
      <c r="AX150" s="274" t="n"/>
      <c r="AY150" s="274" t="n"/>
      <c r="AZ150" s="871">
        <f>IF(COUNT(AZ143:AZ149)=0,"",SUM(AZ143:AZ149))</f>
        <v/>
      </c>
      <c r="BA150" s="274" t="n"/>
      <c r="BB150" s="274" t="n"/>
      <c r="BC150" s="274" t="n"/>
      <c r="BD150" s="274" t="n"/>
      <c r="BE150" s="871">
        <f>IF(COUNT(BE143:BE149)=0,"",SUM(BE143:BE149))</f>
        <v/>
      </c>
      <c r="BF150" s="274" t="n"/>
      <c r="BG150" s="274" t="n"/>
      <c r="BH150" s="274" t="n"/>
      <c r="BI150" s="274" t="n"/>
      <c r="BJ150" s="871">
        <f>IF(COUNT(BJ143:BJ149)=0,"",SUM(BJ143:BJ149))</f>
        <v/>
      </c>
      <c r="BK150" s="274" t="n"/>
      <c r="BL150" s="274" t="n"/>
      <c r="BM150" s="274" t="n"/>
      <c r="BN150" s="274" t="n"/>
      <c r="BO150" s="871">
        <f>IF(COUNT(BO143:BO149)=0,"",SUM(BO143:BO149))</f>
        <v/>
      </c>
      <c r="BP150" s="274" t="n"/>
      <c r="BQ150" s="274" t="n"/>
      <c r="BR150" s="274" t="n"/>
      <c r="BS150" s="274" t="n"/>
      <c r="BT150" s="871">
        <f>IF(COUNT(BT143:BT149)=0,"",SUM(BT143:BT149))</f>
        <v/>
      </c>
      <c r="BU150" s="274" t="n"/>
      <c r="BV150" s="274" t="n"/>
      <c r="BW150" s="274" t="n"/>
      <c r="BX150" s="274" t="n"/>
      <c r="BY150" s="871">
        <f>SUM(BY143:BY149)</f>
        <v/>
      </c>
      <c r="BZ150" s="274">
        <f>IF(COUNT(BZ143:BZ149)=0,"",SUM(BZ143:BZ149))</f>
        <v/>
      </c>
      <c r="CA150" s="274">
        <f>IF(COUNT(CA143:CA149)=0,"",SUM(CA143:CA149))</f>
        <v/>
      </c>
      <c r="CB150" s="274">
        <f>IF(COUNT(CB143:CB149)=0,"",SUM(CB143:CB149))</f>
        <v/>
      </c>
      <c r="CC150" s="274">
        <f>SUM(CC143:CC149)</f>
        <v/>
      </c>
      <c r="CD150" s="871">
        <f>SUM(CD143:CD149)</f>
        <v/>
      </c>
      <c r="CE150" s="274">
        <f>SUM(CE143:CE149)</f>
        <v/>
      </c>
      <c r="CF150" s="274">
        <f>SUM(CF143:CF149)</f>
        <v/>
      </c>
      <c r="CG150" s="274">
        <f>SUM(CG143:CG149)</f>
        <v/>
      </c>
      <c r="CH150" s="274">
        <f>SUM(CH143:CH149)</f>
        <v/>
      </c>
      <c r="CI150" s="274">
        <f>SUM(CI143:CI149)</f>
        <v/>
      </c>
      <c r="CJ150" s="274">
        <f>SUM(CJ143:CJ149)</f>
        <v/>
      </c>
      <c r="CK150" s="274">
        <f>SUM(CK143:CK149)</f>
        <v/>
      </c>
      <c r="CL150" s="274">
        <f>SUM(CL143:CL149)</f>
        <v/>
      </c>
      <c r="CM150" s="274">
        <f>SUM(CM143:CM149)</f>
        <v/>
      </c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>
        <f>IFERROR(AE150/AE114,"")</f>
        <v/>
      </c>
      <c r="AF151" s="1028">
        <f>IFERROR(AF150/AF114,"")</f>
        <v/>
      </c>
      <c r="AG151" s="782" t="n"/>
      <c r="AH151" s="782" t="n"/>
      <c r="AI151" s="782" t="n"/>
      <c r="AJ151" s="782">
        <f>IFERROR(AJ150/AJ114,"")</f>
        <v/>
      </c>
      <c r="AK151" s="1028">
        <f>IFERROR(AK150/AK114,"")</f>
        <v/>
      </c>
      <c r="AL151" s="782" t="n"/>
      <c r="AM151" s="782" t="n"/>
      <c r="AN151" s="782" t="n"/>
      <c r="AO151" s="782">
        <f>IFERROR(AO150/AO114,"")</f>
        <v/>
      </c>
      <c r="AP151" s="1028">
        <f>IFERROR(AP150/AP114,"")</f>
        <v/>
      </c>
      <c r="AQ151" s="782" t="n"/>
      <c r="AR151" s="782" t="n"/>
      <c r="AS151" s="782" t="n"/>
      <c r="AT151" s="782">
        <f>IFERROR(AT150/AT114,"")</f>
        <v/>
      </c>
      <c r="AU151" s="1028">
        <f>IFERROR(AU150/AU114,"")</f>
        <v/>
      </c>
      <c r="AV151" s="782" t="n"/>
      <c r="AW151" s="782" t="n"/>
      <c r="AX151" s="782" t="n"/>
      <c r="AY151" s="782">
        <f>IFERROR(AY150/AY114,"")</f>
        <v/>
      </c>
      <c r="AZ151" s="1028">
        <f>IFERROR(AZ150/AZ114,"")</f>
        <v/>
      </c>
      <c r="BA151" s="782" t="n"/>
      <c r="BB151" s="782" t="n"/>
      <c r="BC151" s="782" t="n"/>
      <c r="BD151" s="782">
        <f>IFERROR(BD150/BD114,"")</f>
        <v/>
      </c>
      <c r="BE151" s="1028">
        <f>IFERROR(BE150/BE114,"")</f>
        <v/>
      </c>
      <c r="BF151" s="978" t="n"/>
      <c r="BG151" s="978" t="n"/>
      <c r="BH151" s="978" t="n"/>
      <c r="BJ151" s="1029">
        <f>IFERROR(BJ150/BJ114,0)</f>
        <v/>
      </c>
      <c r="BK151" s="978" t="n"/>
      <c r="BL151" s="978" t="n"/>
      <c r="BM151" s="978" t="n"/>
      <c r="BO151" s="1029">
        <f>IFERROR(BO150/BO114,0)</f>
        <v/>
      </c>
      <c r="BP151" s="978" t="n"/>
      <c r="BQ151" s="978" t="n"/>
      <c r="BR151" s="978" t="n"/>
      <c r="BT151" s="1029">
        <f>IFERROR(BT150/BT114,0)</f>
        <v/>
      </c>
      <c r="BU151" s="978" t="n"/>
      <c r="BV151" s="978" t="n"/>
      <c r="BW151" s="978" t="n"/>
      <c r="BX151" s="978" t="n"/>
      <c r="BY151" s="1029">
        <f>IFERROR(BY150/BY114,0)</f>
        <v/>
      </c>
      <c r="BZ151" s="980">
        <f>IFERROR(IF(BZ150="","",BZ150/BZ114),"")</f>
        <v/>
      </c>
      <c r="CA151" s="980">
        <f>IFERROR(IF(CA150="","",CA150/CA114),"")</f>
        <v/>
      </c>
      <c r="CB151" s="980">
        <f>IFERROR(IF(CB150="","",CB150/CB114),"")</f>
        <v/>
      </c>
      <c r="CC151" s="1030">
        <f>IFERROR(CC150/CC114,0)</f>
        <v/>
      </c>
      <c r="CD151" s="1029">
        <f>IFERROR(CD150/CD114,0)</f>
        <v/>
      </c>
      <c r="CE151" s="1030">
        <f>IFERROR(CE150/CE114,0)</f>
        <v/>
      </c>
      <c r="CF151" s="1030">
        <f>IFERROR(CF150/CF114,0)</f>
        <v/>
      </c>
      <c r="CG151" s="1030">
        <f>IFERROR(CG150/CG114,0)</f>
        <v/>
      </c>
      <c r="CH151" s="1030">
        <f>IFERROR(CH150/CH114,0)</f>
        <v/>
      </c>
      <c r="CI151" s="1031">
        <f>IFERROR(CI150/CI114,0)</f>
        <v/>
      </c>
      <c r="CJ151" s="1031">
        <f>IFERROR(CJ150/CJ114,0)</f>
        <v/>
      </c>
      <c r="CK151" s="1031">
        <f>IFERROR(CK150/CK114,0)</f>
        <v/>
      </c>
      <c r="CL151" s="1031">
        <f>IFERROR(CL150/CL114,0)</f>
        <v/>
      </c>
      <c r="CM151" s="1031">
        <f>IFERROR(CM150/CM114,0)</f>
        <v/>
      </c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>
        <f>IFERROR(IF(AND(ISNUMBER(H150),ISNUMBER(C150),H114&lt;&gt;C114),(H150-C150)/(H114-C114),""),"")</f>
        <v/>
      </c>
      <c r="I152" s="974">
        <f>IFERROR(IF(AND(ISNUMBER(I150),ISNUMBER(D150),I114&lt;&gt;D114),(I150-D150)/(I114-D114),""),"")</f>
        <v/>
      </c>
      <c r="J152" s="974">
        <f>IFERROR(IF(AND(ISNUMBER(J150),ISNUMBER(E150),J114&lt;&gt;E114),(J150-E150)/(J114-E114),""),"")</f>
        <v/>
      </c>
      <c r="K152" s="974">
        <f>IFERROR(IF(AND(ISNUMBER(K150),ISNUMBER(F150),K114&lt;&gt;F114),(K150-F150)/(K114-F114),""),"")</f>
        <v/>
      </c>
      <c r="L152" s="975">
        <f>IFERROR(IF(AND(ISNUMBER(L150),ISNUMBER(G150),L114&lt;&gt;G114),(L150-G150)/(L114-G114),""),"")</f>
        <v/>
      </c>
      <c r="M152" s="974">
        <f>IFERROR(IF(AND(ISNUMBER(M150),ISNUMBER(H150),M114&lt;&gt;H114),(M150-H150)/(M114-H114),""),"")</f>
        <v/>
      </c>
      <c r="N152" s="974">
        <f>IFERROR(IF(AND(ISNUMBER(N150),ISNUMBER(I150),N114&lt;&gt;I114),(N150-I150)/(N114-I114),""),"")</f>
        <v/>
      </c>
      <c r="O152" s="974">
        <f>IFERROR(IF(AND(ISNUMBER(O150),ISNUMBER(J150),O114&lt;&gt;J114),(O150-J150)/(O114-J114),""),"")</f>
        <v/>
      </c>
      <c r="P152" s="974">
        <f>IFERROR(IF(AND(ISNUMBER(P150),ISNUMBER(K150),P114&lt;&gt;K114),(P150-K150)/(P114-K114),""),"")</f>
        <v/>
      </c>
      <c r="Q152" s="975">
        <f>IFERROR(IF(AND(ISNUMBER(Q150),ISNUMBER(L150),Q114&lt;&gt;L114),(Q150-L150)/(Q114-L114),""),"")</f>
        <v/>
      </c>
      <c r="R152" s="974">
        <f>IFERROR(IF(AND(ISNUMBER(R150),ISNUMBER(M150),R114&lt;&gt;M114),(R150-M150)/(R114-M114),""),"")</f>
        <v/>
      </c>
      <c r="S152" s="974">
        <f>IFERROR(IF(AND(ISNUMBER(S150),ISNUMBER(N150),S114&lt;&gt;N114),(S150-N150)/(S114-N114),""),"")</f>
        <v/>
      </c>
      <c r="T152" s="974">
        <f>IFERROR(IF(AND(ISNUMBER(T150),ISNUMBER(O150),T114&lt;&gt;O114),(T150-O150)/(T114-O114),""),"")</f>
        <v/>
      </c>
      <c r="U152" s="974">
        <f>IFERROR(IF(AND(ISNUMBER(U150),ISNUMBER(P150),U114&lt;&gt;P114),(U150-P150)/(U114-P114),""),"")</f>
        <v/>
      </c>
      <c r="V152" s="975">
        <f>IFERROR(IF(AND(ISNUMBER(V150),ISNUMBER(Q150),V114&lt;&gt;Q114),(V150-Q150)/(V114-Q114),""),"")</f>
        <v/>
      </c>
      <c r="W152" s="974">
        <f>IFERROR(IF(AND(ISNUMBER(W150),ISNUMBER(R150),W114&lt;&gt;R114),(W150-R150)/(W114-R114),""),"")</f>
        <v/>
      </c>
      <c r="X152" s="974">
        <f>IFERROR(IF(AND(ISNUMBER(X150),ISNUMBER(S150),X114&lt;&gt;S114),(X150-S150)/(X114-S114),""),"")</f>
        <v/>
      </c>
      <c r="Y152" s="974">
        <f>IFERROR(IF(AND(ISNUMBER(Y150),ISNUMBER(T150),Y114&lt;&gt;T114),(Y150-T150)/(Y114-T114),""),"")</f>
        <v/>
      </c>
      <c r="Z152" s="974">
        <f>IFERROR(IF(AND(ISNUMBER(Z150),ISNUMBER(U150),Z114&lt;&gt;U114),(Z150-U150)/(Z114-U114),""),"")</f>
        <v/>
      </c>
      <c r="AA152" s="975">
        <f>IFERROR(IF(AND(ISNUMBER(AA150),ISNUMBER(V150),AA114&lt;&gt;V114),(AA150-V150)/(AA114-V114),""),"")</f>
        <v/>
      </c>
      <c r="AB152" s="974">
        <f>IFERROR(IF(AND(ISNUMBER(AB150),ISNUMBER(W150),AB114&lt;&gt;W114),(AB150-W150)/(AB114-W114),""),"")</f>
        <v/>
      </c>
      <c r="AC152" s="974">
        <f>IFERROR(IF(AND(ISNUMBER(AC150),ISNUMBER(X150),AC114&lt;&gt;X114),(AC150-X150)/(AC114-X114),""),"")</f>
        <v/>
      </c>
      <c r="AD152" s="974">
        <f>IFERROR(IF(AND(ISNUMBER(AD150),ISNUMBER(Y150),AD114&lt;&gt;Y114),(AD150-Y150)/(AD114-Y114),""),"")</f>
        <v/>
      </c>
      <c r="AE152" s="974">
        <f>IFERROR(IF(AND(ISNUMBER(AE150),ISNUMBER(Z150),AE114&lt;&gt;Z114),(AE150-Z150)/(AE114-Z114),""),"")</f>
        <v/>
      </c>
      <c r="AF152" s="975">
        <f>IFERROR(IF(AND(ISNUMBER(AF150),ISNUMBER(AA150),AF114&lt;&gt;AA114),(AF150-AA150)/(AF114-AA114),""),"")</f>
        <v/>
      </c>
      <c r="AG152" s="974">
        <f>IFERROR(IF(AND(ISNUMBER(AG150),ISNUMBER(AB150),AG114&lt;&gt;AB114),(AG150-AB150)/(AG114-AB114),""),"")</f>
        <v/>
      </c>
      <c r="AH152" s="974">
        <f>IFERROR(IF(AND(ISNUMBER(AH150),ISNUMBER(AC150),AH114&lt;&gt;AC114),(AH150-AC150)/(AH114-AC114),""),"")</f>
        <v/>
      </c>
      <c r="AI152" s="974">
        <f>IFERROR(IF(AND(ISNUMBER(AI150),ISNUMBER(AD150),AI114&lt;&gt;AD114),(AI150-AD150)/(AI114-AD114),""),"")</f>
        <v/>
      </c>
      <c r="AJ152" s="974">
        <f>IFERROR(IF(AND(ISNUMBER(AJ150),ISNUMBER(AE150),AJ114&lt;&gt;AE114),(AJ150-AE150)/(AJ114-AE114),""),"")</f>
        <v/>
      </c>
      <c r="AK152" s="975">
        <f>IFERROR(IF(AND(ISNUMBER(AK150),ISNUMBER(AF150),AK114&lt;&gt;AF114),(AK150-AF150)/(AK114-AF114),""),"")</f>
        <v/>
      </c>
      <c r="AL152" s="974">
        <f>IFERROR(IF(AND(ISNUMBER(AL150),ISNUMBER(AG150),AL114&lt;&gt;AG114),(AL150-AG150)/(AL114-AG114),""),"")</f>
        <v/>
      </c>
      <c r="AM152" s="974">
        <f>IFERROR(IF(AND(ISNUMBER(AM150),ISNUMBER(AH150),AM114&lt;&gt;AH114),(AM150-AH150)/(AM114-AH114),""),"")</f>
        <v/>
      </c>
      <c r="AN152" s="974">
        <f>IFERROR(IF(AND(ISNUMBER(AN150),ISNUMBER(AI150),AN114&lt;&gt;AI114),(AN150-AI150)/(AN114-AI114),""),"")</f>
        <v/>
      </c>
      <c r="AO152" s="974">
        <f>IFERROR(IF(AND(ISNUMBER(AO150),ISNUMBER(AJ150),AO114&lt;&gt;AJ114),(AO150-AJ150)/(AO114-AJ114),""),"")</f>
        <v/>
      </c>
      <c r="AP152" s="975">
        <f>IFERROR(IF(AND(ISNUMBER(AP150),ISNUMBER(AK150),AP114&lt;&gt;AK114),(AP150-AK150)/(AP114-AK114),""),"")</f>
        <v/>
      </c>
      <c r="AQ152" s="974">
        <f>IFERROR(IF(AND(ISNUMBER(AQ150),ISNUMBER(AL150),AQ114&lt;&gt;AL114),(AQ150-AL150)/(AQ114-AL114),""),"")</f>
        <v/>
      </c>
      <c r="AR152" s="974">
        <f>IFERROR(IF(AND(ISNUMBER(AR150),ISNUMBER(AM150),AR114&lt;&gt;AM114),(AR150-AM150)/(AR114-AM114),""),"")</f>
        <v/>
      </c>
      <c r="AS152" s="974">
        <f>IFERROR(IF(AND(ISNUMBER(AS150),ISNUMBER(AN150),AS114&lt;&gt;AN114),(AS150-AN150)/(AS114-AN114),""),"")</f>
        <v/>
      </c>
      <c r="AT152" s="974">
        <f>IFERROR(IF(AND(ISNUMBER(AT150),ISNUMBER(AO150),AT114&lt;&gt;AO114),(AT150-AO150)/(AT114-AO114),""),"")</f>
        <v/>
      </c>
      <c r="AU152" s="975">
        <f>IFERROR(IF(AND(ISNUMBER(AU150),ISNUMBER(AP150),AU114&lt;&gt;AP114),(AU150-AP150)/(AU114-AP114),""),"")</f>
        <v/>
      </c>
      <c r="AV152" s="974">
        <f>IFERROR(IF(AND(ISNUMBER(AV150),ISNUMBER(AQ150),AV114&lt;&gt;AQ114),(AV150-AQ150)/(AV114-AQ114),""),"")</f>
        <v/>
      </c>
      <c r="AW152" s="974">
        <f>IFERROR(IF(AND(ISNUMBER(AW150),ISNUMBER(AR150),AW114&lt;&gt;AR114),(AW150-AR150)/(AW114-AR114),""),"")</f>
        <v/>
      </c>
      <c r="AX152" s="974">
        <f>IFERROR(IF(AND(ISNUMBER(AX150),ISNUMBER(AS150),AX114&lt;&gt;AS114),(AX150-AS150)/(AX114-AS114),""),"")</f>
        <v/>
      </c>
      <c r="AY152" s="974">
        <f>IFERROR(IF(AND(ISNUMBER(AY150),ISNUMBER(AT150),AY114&lt;&gt;AT114),(AY150-AT150)/(AY114-AT114),""),"")</f>
        <v/>
      </c>
      <c r="AZ152" s="975">
        <f>IFERROR(IF(AND(ISNUMBER(AZ150),ISNUMBER(AU150),AZ114&lt;&gt;AU114),(AZ150-AU150)/(AZ114-AU114),""),"")</f>
        <v/>
      </c>
      <c r="BA152" s="974">
        <f>IFERROR(IF(AND(ISNUMBER(BA150),ISNUMBER(AV150),BA114&lt;&gt;AV114),(BA150-AV150)/(BA114-AV114),""),"")</f>
        <v/>
      </c>
      <c r="BB152" s="974">
        <f>IFERROR(IF(AND(ISNUMBER(BB150),ISNUMBER(AW150),BB114&lt;&gt;AW114),(BB150-AW150)/(BB114-AW114),""),"")</f>
        <v/>
      </c>
      <c r="BC152" s="974">
        <f>IFERROR(IF(AND(ISNUMBER(BC150),ISNUMBER(AX150),BC114&lt;&gt;AX114),(BC150-AX150)/(BC114-AX114),""),"")</f>
        <v/>
      </c>
      <c r="BD152" s="974">
        <f>IFERROR(IF(AND(ISNUMBER(BD150),ISNUMBER(AY150),BD114&lt;&gt;AY114),(BD150-AY150)/(BD114-AY114),""),"")</f>
        <v/>
      </c>
      <c r="BE152" s="975">
        <f>IFERROR(IF(AND(ISNUMBER(BE150),ISNUMBER(AZ150),BE114&lt;&gt;AZ114),(BE150-AZ150)/(BE114-AZ114),""),"")</f>
        <v/>
      </c>
      <c r="BF152" s="974">
        <f>IFERROR(IF(AND(ISNUMBER(BF150),ISNUMBER(BA150),BF114&lt;&gt;BA114),(BF150-BA150)/(BF114-BA114),""),"")</f>
        <v/>
      </c>
      <c r="BG152" s="974">
        <f>IFERROR(IF(AND(ISNUMBER(BG150),ISNUMBER(BB150),BG114&lt;&gt;BB114),(BG150-BB150)/(BG114-BB114),""),"")</f>
        <v/>
      </c>
      <c r="BH152" s="974">
        <f>IFERROR(IF(AND(ISNUMBER(BH150),ISNUMBER(BC150),BH114&lt;&gt;BC114),(BH150-BC150)/(BH114-BC114),""),"")</f>
        <v/>
      </c>
      <c r="BI152" s="974">
        <f>IFERROR(IF(AND(ISNUMBER(BI150),ISNUMBER(BD150),BI114&lt;&gt;BD114),(BI150-BD150)/(BI114-BD114),""),"")</f>
        <v/>
      </c>
      <c r="BJ152" s="975">
        <f>IFERROR(IF(AND(ISNUMBER(BJ150),ISNUMBER(BE150),BJ114&lt;&gt;BE114),(BJ150-BE150)/(BJ114-BE114),""),"")</f>
        <v/>
      </c>
      <c r="BK152" s="974">
        <f>IFERROR(IF(AND(ISNUMBER(BK150),ISNUMBER(BF150),BK114&lt;&gt;BF114),(BK150-BF150)/(BK114-BF114),""),"")</f>
        <v/>
      </c>
      <c r="BL152" s="974">
        <f>IFERROR(IF(AND(ISNUMBER(BL150),ISNUMBER(BG150),BL114&lt;&gt;BG114),(BL150-BG150)/(BL114-BG114),""),"")</f>
        <v/>
      </c>
      <c r="BM152" s="974">
        <f>IFERROR(IF(AND(ISNUMBER(BM150),ISNUMBER(BH150),BM114&lt;&gt;BH114),(BM150-BH150)/(BM114-BH114),""),"")</f>
        <v/>
      </c>
      <c r="BN152" s="974">
        <f>IFERROR(IF(AND(ISNUMBER(BN150),ISNUMBER(BI150),BN114&lt;&gt;BI114),(BN150-BI150)/(BN114-BI114),""),"")</f>
        <v/>
      </c>
      <c r="BO152" s="975">
        <f>IFERROR(IF(AND(ISNUMBER(BO150),ISNUMBER(BJ150),BO114&lt;&gt;BJ114),(BO150-BJ150)/(BO114-BJ114),""),"")</f>
        <v/>
      </c>
      <c r="BP152" s="974">
        <f>IFERROR(IF(AND(ISNUMBER(BP150),ISNUMBER(BK150),BP114&lt;&gt;BK114),(BP150-BK150)/(BP114-BK114),""),"")</f>
        <v/>
      </c>
      <c r="BQ152" s="974">
        <f>IFERROR(IF(AND(ISNUMBER(BQ150),ISNUMBER(BL150),BQ114&lt;&gt;BL114),(BQ150-BL150)/(BQ114-BL114),""),"")</f>
        <v/>
      </c>
      <c r="BR152" s="974">
        <f>IFERROR(IF(AND(ISNUMBER(BR150),ISNUMBER(BM150),BR114&lt;&gt;BM114),(BR150-BM150)/(BR114-BM114),""),"")</f>
        <v/>
      </c>
      <c r="BS152" s="974">
        <f>IFERROR(IF(AND(ISNUMBER(BS150),ISNUMBER(BN150),BS114&lt;&gt;BN114),(BS150-BN150)/(BS114-BN114),""),"")</f>
        <v/>
      </c>
      <c r="BT152" s="975">
        <f>IFERROR(IF(AND(ISNUMBER(BT150),ISNUMBER(BO150),BT114&lt;&gt;BO114),(BT150-BO150)/(BT114-BO114),""),"")</f>
        <v/>
      </c>
      <c r="BU152" s="974">
        <f>IFERROR(IF(AND(ISNUMBER(BU150),ISNUMBER(BP150),BU114&lt;&gt;BP114),(BU150-BP150)/(BU114-BP114),""),"")</f>
        <v/>
      </c>
      <c r="BV152" s="974">
        <f>IFERROR(IF(AND(ISNUMBER(BV150),ISNUMBER(BQ150),BV114&lt;&gt;BQ114),(BV150-BQ150)/(BV114-BQ114),""),"")</f>
        <v/>
      </c>
      <c r="BW152" s="974">
        <f>IFERROR(IF(AND(ISNUMBER(BW150),ISNUMBER(BR150),BW114&lt;&gt;BR114),(BW150-BR150)/(BW114-BR114),""),"")</f>
        <v/>
      </c>
      <c r="BX152" s="974">
        <f>IFERROR(IF(AND(ISNUMBER(BX150),ISNUMBER(BS150),BX114&lt;&gt;BS114),(BX150-BS150)/(BX114-BS114),""),"")</f>
        <v/>
      </c>
      <c r="BY152" s="975">
        <f>IFERROR(IF(AND(ISNUMBER(BY150),ISNUMBER(BT150),BY114&lt;&gt;BT114),(BY150-BT150)/(BY114-BT114),""),"")</f>
        <v/>
      </c>
      <c r="BZ152" s="974">
        <f>IFERROR(IF(AND(ISNUMBER(BZ150),ISNUMBER(BU150),BZ114&lt;&gt;BU114),(BZ150-BU150)/(BZ114-BU114),""),"")</f>
        <v/>
      </c>
      <c r="CA152" s="974">
        <f>IFERROR(IF(AND(ISNUMBER(CA150),ISNUMBER(BV150),CA114&lt;&gt;BV114),(CA150-BV150)/(CA114-BV114),""),"")</f>
        <v/>
      </c>
      <c r="CB152" s="974">
        <f>IFERROR(IF(AND(ISNUMBER(CB150),ISNUMBER(BW150),CB114&lt;&gt;BW114),(CB150-BW150)/(CB114-BW114),""),"")</f>
        <v/>
      </c>
      <c r="CC152" s="974">
        <f>IFERROR(IF(AND(ISNUMBER(CC150),ISNUMBER(BX150),CC114&lt;&gt;BX114),(CC150-BX150)/(CC114-BX114),""),"")</f>
        <v/>
      </c>
      <c r="CD152" s="975">
        <f>IFERROR(IF(AND(ISNUMBER(CD150),ISNUMBER(BY150),CD114&lt;&gt;BY114),(CD150-BY150)/(CD114-BY114),""),"")</f>
        <v/>
      </c>
      <c r="CE152" s="974">
        <f>IFERROR(IF(AND(ISNUMBER(CE150),ISNUMBER(BZ150),CE114&lt;&gt;BZ114),(CE150-BZ150)/(CE114-BZ114),""),"")</f>
        <v/>
      </c>
      <c r="CF152" s="974">
        <f>IFERROR(IF(AND(ISNUMBER(CF150),ISNUMBER(CA150),CF114&lt;&gt;CA114),(CF150-CA150)/(CF114-CA114),""),"")</f>
        <v/>
      </c>
      <c r="CG152" s="974">
        <f>IFERROR(IF(AND(ISNUMBER(CG150),ISNUMBER(CB150),CG114&lt;&gt;CB114),(CG150-CB150)/(CG114-CB114),""),"")</f>
        <v/>
      </c>
      <c r="CH152" s="974">
        <f>IFERROR(IF(AND(ISNUMBER(CH150),ISNUMBER(CC150),CH114&lt;&gt;CC114),(CH150-CC150)/(CH114-CC114),""),"")</f>
        <v/>
      </c>
      <c r="CI152" s="976">
        <f>IFERROR(IF(AND(ISNUMBER(CI150),ISNUMBER(CD150),CI114&lt;&gt;CD114),(CI150-CD150)/(CI114-CD114),""),"")</f>
        <v/>
      </c>
      <c r="CJ152" s="976">
        <f>IFERROR(IF(AND(ISNUMBER(CJ150),ISNUMBER(CI150),CJ114&lt;&gt;CI114),(CJ150-CI150)/(CJ114-CI114),""),"")</f>
        <v/>
      </c>
      <c r="CK152" s="976">
        <f>IFERROR(IF(AND(ISNUMBER(CK150),ISNUMBER(CJ150),CK114&lt;&gt;CJ114),(CK150-CJ150)/(CK114-CJ114),""),"")</f>
        <v/>
      </c>
      <c r="CL152" s="976">
        <f>IFERROR(IF(AND(ISNUMBER(CL150),ISNUMBER(CK150),CL114&lt;&gt;CK114),(CL150-CK150)/(CL114-CK114),""),"")</f>
        <v/>
      </c>
      <c r="CM152" s="976">
        <f>IFERROR(IF(AND(ISNUMBER(CM150),ISNUMBER(CL150),CM114&lt;&gt;CL114),(CM150-CL150)/(CM114-CL114),""),"")</f>
        <v/>
      </c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>
        <f>IF(AF133=0,"",AF133)</f>
        <v/>
      </c>
      <c r="AG153" s="678" t="n"/>
      <c r="AH153" s="678" t="n"/>
      <c r="AI153" s="678" t="n"/>
      <c r="AJ153" s="678" t="n"/>
      <c r="AK153" s="870">
        <f>IF(AK133=0,"",AK133)</f>
        <v/>
      </c>
      <c r="AL153" s="678" t="n"/>
      <c r="AM153" s="678" t="n"/>
      <c r="AN153" s="678" t="n"/>
      <c r="AO153" s="678" t="n"/>
      <c r="AP153" s="870">
        <f>IF(AP133=0,"",AP133)</f>
        <v/>
      </c>
      <c r="AQ153" s="678" t="n"/>
      <c r="AR153" s="678" t="n"/>
      <c r="AS153" s="678" t="n"/>
      <c r="AT153" s="678" t="n"/>
      <c r="AU153" s="870">
        <f>IF(AU133=0,"",AU133)</f>
        <v/>
      </c>
      <c r="AV153" s="678" t="n"/>
      <c r="AW153" s="678" t="n"/>
      <c r="AX153" s="678" t="n"/>
      <c r="AY153" s="678" t="n"/>
      <c r="AZ153" s="870">
        <f>IF(AZ133=0,"",AZ133)</f>
        <v/>
      </c>
      <c r="BA153" s="678" t="n"/>
      <c r="BB153" s="678" t="n"/>
      <c r="BC153" s="678" t="n"/>
      <c r="BD153" s="678" t="n"/>
      <c r="BE153" s="870">
        <f>IF(BE133=0,"",BE133)</f>
        <v/>
      </c>
      <c r="BF153" s="678" t="n"/>
      <c r="BG153" s="678" t="n"/>
      <c r="BH153" s="678" t="n"/>
      <c r="BI153" s="678" t="n"/>
      <c r="BJ153" s="870">
        <f>IF(BJ133=0,"",BJ133)</f>
        <v/>
      </c>
      <c r="BK153" s="678" t="n"/>
      <c r="BL153" s="678" t="n"/>
      <c r="BM153" s="678" t="n"/>
      <c r="BN153" s="678" t="n"/>
      <c r="BO153" s="870">
        <f>IF(BO133=0,"",BO133)</f>
        <v/>
      </c>
      <c r="BP153" s="678" t="n"/>
      <c r="BQ153" s="678" t="n"/>
      <c r="BR153" s="678" t="n"/>
      <c r="BS153" s="678" t="n"/>
      <c r="BT153" s="870">
        <f>IF(BT133=0,"",BT133)</f>
        <v/>
      </c>
      <c r="BU153" s="678" t="n"/>
      <c r="BV153" s="678" t="n"/>
      <c r="BW153" s="678" t="n"/>
      <c r="BX153" s="678" t="n"/>
      <c r="BY153" s="870">
        <f>BY133</f>
        <v/>
      </c>
      <c r="BZ153" s="678">
        <f>IF(BZ133=0,"",BZ133)</f>
        <v/>
      </c>
      <c r="CA153" s="678">
        <f>IF(CA133=0,"",CA133)</f>
        <v/>
      </c>
      <c r="CB153" s="678">
        <f>IF(CB133=0,"",CB133)</f>
        <v/>
      </c>
      <c r="CC153" s="678">
        <f>CC133</f>
        <v/>
      </c>
      <c r="CD153" s="870">
        <f>CD133</f>
        <v/>
      </c>
      <c r="CE153" s="678">
        <f>CE133</f>
        <v/>
      </c>
      <c r="CF153" s="678">
        <f>CF133</f>
        <v/>
      </c>
      <c r="CG153" s="678">
        <f>CG133</f>
        <v/>
      </c>
      <c r="CH153" s="678">
        <f>CH133</f>
        <v/>
      </c>
      <c r="CI153" s="752">
        <f>CI133</f>
        <v/>
      </c>
      <c r="CJ153" s="752">
        <f>CJ133</f>
        <v/>
      </c>
      <c r="CK153" s="752">
        <f>CK133</f>
        <v/>
      </c>
      <c r="CL153" s="752">
        <f>CL133</f>
        <v/>
      </c>
      <c r="CM153" s="752">
        <f>CM133</f>
        <v/>
      </c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>
        <f>SUM(CE144:CE149)*(1-CE132)</f>
        <v/>
      </c>
      <c r="CF154" s="993">
        <f>SUM(CF144:CF149)*(1-CF132)</f>
        <v/>
      </c>
      <c r="CG154" s="993">
        <f>SUM(CG144:CG149)*(1-CG132)</f>
        <v/>
      </c>
      <c r="CH154" s="993">
        <f>SUM(CH144:CH149)*(1-CH132)</f>
        <v/>
      </c>
      <c r="CI154" s="1036">
        <f>SUM(CI144:CI149)*(1-CI132)</f>
        <v/>
      </c>
      <c r="CJ154" s="1036">
        <f>SUM(CJ144:CJ149)*(1-CJ132)</f>
        <v/>
      </c>
      <c r="CK154" s="1036">
        <f>SUM(CK144:CK149)*(1-CK132)</f>
        <v/>
      </c>
      <c r="CL154" s="1036">
        <f>SUM(CL144:CL149)*(1-CL132)</f>
        <v/>
      </c>
      <c r="CM154" s="1036">
        <f>SUM(CM144:CM149)*(1-CM132)</f>
        <v/>
      </c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>
        <f>IFERROR(IF(AND(AF153="",AF154=""),"",IF(AF153="",0,AF153)+IF(AF154="",0,AF154)),"")</f>
        <v/>
      </c>
      <c r="AG155" s="818" t="n"/>
      <c r="AH155" s="818" t="n"/>
      <c r="AI155" s="818" t="n"/>
      <c r="AJ155" s="818" t="n"/>
      <c r="AK155" s="915">
        <f>IFERROR(IF(AND(AK153="",AK154=""),"",IF(AK153="",0,AK153)+IF(AK154="",0,AK154)),"")</f>
        <v/>
      </c>
      <c r="AL155" s="818" t="n"/>
      <c r="AM155" s="818" t="n"/>
      <c r="AN155" s="818" t="n"/>
      <c r="AO155" s="818" t="n"/>
      <c r="AP155" s="915">
        <f>IFERROR(IF(AND(AP153="",AP154=""),"",IF(AP153="",0,AP153)+IF(AP154="",0,AP154)),"")</f>
        <v/>
      </c>
      <c r="AQ155" s="818" t="n"/>
      <c r="AR155" s="818" t="n"/>
      <c r="AS155" s="818" t="n"/>
      <c r="AT155" s="818" t="n"/>
      <c r="AU155" s="915">
        <f>IFERROR(IF(AND(AU153="",AU154=""),"",IF(AU153="",0,AU153)+IF(AU154="",0,AU154)),"")</f>
        <v/>
      </c>
      <c r="AV155" s="818" t="n"/>
      <c r="AW155" s="818" t="n"/>
      <c r="AX155" s="818" t="n"/>
      <c r="AY155" s="818" t="n"/>
      <c r="AZ155" s="915">
        <f>IFERROR(IF(AND(AZ153="",AZ154=""),"",IF(AZ153="",0,AZ153)+IF(AZ154="",0,AZ154)),"")</f>
        <v/>
      </c>
      <c r="BA155" s="818" t="n"/>
      <c r="BB155" s="818" t="n"/>
      <c r="BC155" s="818" t="n"/>
      <c r="BD155" s="818" t="n"/>
      <c r="BE155" s="915">
        <f>IFERROR(IF(AND(BE153="",BE154=""),"",IF(BE153="",0,BE153)+IF(BE154="",0,BE154)),"")</f>
        <v/>
      </c>
      <c r="BF155" s="818" t="n"/>
      <c r="BG155" s="818" t="n"/>
      <c r="BH155" s="818" t="n"/>
      <c r="BI155" s="818" t="n"/>
      <c r="BJ155" s="915">
        <f>IFERROR(IF(AND(BJ153="",BJ154=""),"",IF(BJ153="",0,BJ153)+IF(BJ154="",0,BJ154)),"")</f>
        <v/>
      </c>
      <c r="BK155" s="818" t="n"/>
      <c r="BL155" s="818" t="n"/>
      <c r="BM155" s="818" t="n"/>
      <c r="BN155" s="818" t="n"/>
      <c r="BO155" s="915">
        <f>IFERROR(IF(AND(BO153="",BO154=""),"",IF(BO153="",0,BO153)+IF(BO154="",0,BO154)),"")</f>
        <v/>
      </c>
      <c r="BP155" s="818" t="n"/>
      <c r="BQ155" s="818" t="n"/>
      <c r="BR155" s="818" t="n"/>
      <c r="BS155" s="818" t="n"/>
      <c r="BT155" s="915">
        <f>IFERROR(IF(AND(BT153="",BT154=""),"",IF(BT153="",0,BT153)+IF(BT154="",0,BT154)),"")</f>
        <v/>
      </c>
      <c r="BU155" s="818" t="n"/>
      <c r="BV155" s="818" t="n"/>
      <c r="BW155" s="818" t="n"/>
      <c r="BX155" s="818" t="n"/>
      <c r="BY155" s="915">
        <f>BY153+BY154</f>
        <v/>
      </c>
      <c r="BZ155" s="822">
        <f>IFERROR(IF(AND(BZ153="",BZ154=""),"",IF(BZ153="",0,BZ153)+IF(BZ154="",0,BZ154)),"")</f>
        <v/>
      </c>
      <c r="CA155" s="822">
        <f>IFERROR(IF(AND(CA153="",CA154=""),"",IF(CA153="",0,CA153)+IF(CA154="",0,CA154)),"")</f>
        <v/>
      </c>
      <c r="CB155" s="822">
        <f>IFERROR(IF(AND(CB153="",CB154=""),"",IF(CB153="",0,CB153)+IF(CB154="",0,CB154)),"")</f>
        <v/>
      </c>
      <c r="CC155" s="822">
        <f>CC153+CC154</f>
        <v/>
      </c>
      <c r="CD155" s="915">
        <f>CD153+CD154</f>
        <v/>
      </c>
      <c r="CE155" s="814">
        <f>CE153+CE154</f>
        <v/>
      </c>
      <c r="CF155" s="814">
        <f>CF153+CF154</f>
        <v/>
      </c>
      <c r="CG155" s="814">
        <f>CG153+CG154</f>
        <v/>
      </c>
      <c r="CH155" s="814">
        <f>CH153+CH154</f>
        <v/>
      </c>
      <c r="CI155" s="849">
        <f>CI153+CI154</f>
        <v/>
      </c>
      <c r="CJ155" s="849">
        <f>CJ153+CJ154</f>
        <v/>
      </c>
      <c r="CK155" s="849">
        <f>CK153+CK154</f>
        <v/>
      </c>
      <c r="CL155" s="849">
        <f>CL153+CL154</f>
        <v/>
      </c>
      <c r="CM155" s="849">
        <f>CM153+CM154</f>
        <v/>
      </c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>
        <f>IFERROR(IF(OR(AF155="",AF139=0),"",AF155/AF139*1000),"")</f>
        <v/>
      </c>
      <c r="AG156" s="823" t="n"/>
      <c r="AH156" s="823" t="n"/>
      <c r="AI156" s="823" t="n"/>
      <c r="AJ156" s="823" t="n"/>
      <c r="AK156" s="916">
        <f>IFERROR(IF(OR(AK155="",AK139=0),"",AK155/AK139*1000),"")</f>
        <v/>
      </c>
      <c r="AL156" s="823" t="n"/>
      <c r="AM156" s="823" t="n"/>
      <c r="AN156" s="823" t="n"/>
      <c r="AO156" s="823" t="n"/>
      <c r="AP156" s="916">
        <f>IFERROR(IF(OR(AP155="",AP139=0),"",AP155/AP139*1000),"")</f>
        <v/>
      </c>
      <c r="AQ156" s="823" t="n"/>
      <c r="AR156" s="823" t="n"/>
      <c r="AS156" s="823" t="n"/>
      <c r="AT156" s="823" t="n"/>
      <c r="AU156" s="916">
        <f>IFERROR(IF(OR(AU155="",AU139=0),"",AU155/AU139*1000),"")</f>
        <v/>
      </c>
      <c r="AV156" s="823" t="n"/>
      <c r="AW156" s="823" t="n"/>
      <c r="AX156" s="823" t="n"/>
      <c r="AY156" s="823" t="n"/>
      <c r="AZ156" s="916">
        <f>IFERROR(IF(OR(AZ155="",AZ139=0),"",AZ155/AZ139*1000),"")</f>
        <v/>
      </c>
      <c r="BA156" s="823" t="n"/>
      <c r="BB156" s="823" t="n"/>
      <c r="BC156" s="823" t="n"/>
      <c r="BD156" s="823" t="n"/>
      <c r="BE156" s="916">
        <f>IFERROR(IF(OR(BE155="",BE139=0),"",BE155/BE139*1000),"")</f>
        <v/>
      </c>
      <c r="BF156" s="823" t="n"/>
      <c r="BG156" s="823" t="n"/>
      <c r="BH156" s="823" t="n"/>
      <c r="BI156" s="823" t="n"/>
      <c r="BJ156" s="916">
        <f>IFERROR(IF(OR(BJ155="",BJ139=0),"",BJ155/BJ139*1000),"")</f>
        <v/>
      </c>
      <c r="BK156" s="823" t="n"/>
      <c r="BL156" s="823" t="n"/>
      <c r="BM156" s="823" t="n"/>
      <c r="BN156" s="823" t="n"/>
      <c r="BO156" s="916">
        <f>IFERROR(IF(OR(BO155="",BO139=0),"",BO155/BO139*1000),"")</f>
        <v/>
      </c>
      <c r="BP156" s="823" t="n"/>
      <c r="BQ156" s="823" t="n"/>
      <c r="BR156" s="823" t="n"/>
      <c r="BS156" s="823" t="n"/>
      <c r="BT156" s="916">
        <f>IFERROR(IF(OR(BT155="",BT139=0),"",BT155/BT139*1000),"")</f>
        <v/>
      </c>
      <c r="BU156" s="823" t="n"/>
      <c r="BV156" s="823" t="n"/>
      <c r="BW156" s="823" t="n"/>
      <c r="BX156" s="823" t="n"/>
      <c r="BY156" s="916">
        <f>IFERROR(BY155/BY139*1000,0)</f>
        <v/>
      </c>
      <c r="BZ156" s="823">
        <f>IFERROR(IF(OR(BZ155="",BZ139=0),"",BZ155/BZ139*1000),"")</f>
        <v/>
      </c>
      <c r="CA156" s="823">
        <f>IFERROR(IF(OR(CA155="",CA139=0),"",CA155/CA139*1000),"")</f>
        <v/>
      </c>
      <c r="CB156" s="823">
        <f>IFERROR(IF(OR(CB155="",CB139=0),"",CB155/CB139*1000),"")</f>
        <v/>
      </c>
      <c r="CC156" s="823">
        <f>IFERROR(CC155/CC139*1000,0)</f>
        <v/>
      </c>
      <c r="CD156" s="916">
        <f>IFERROR(CD155/CD139*1000,0)</f>
        <v/>
      </c>
      <c r="CE156" s="815">
        <f>IFERROR(CE155/CE139*1000,0)</f>
        <v/>
      </c>
      <c r="CF156" s="815">
        <f>IFERROR(CF155/CF139*1000,0)</f>
        <v/>
      </c>
      <c r="CG156" s="815">
        <f>IFERROR(CG155/CG139*1000,0)</f>
        <v/>
      </c>
      <c r="CH156" s="815">
        <f>IFERROR(CH155/CH139*1000,0)</f>
        <v/>
      </c>
      <c r="CI156" s="823">
        <f>IFERROR(CI155/CI139*1000,0)</f>
        <v/>
      </c>
      <c r="CJ156" s="823">
        <f>IFERROR(CJ155/CJ139*1000,0)</f>
        <v/>
      </c>
      <c r="CK156" s="823">
        <f>IFERROR(CK155/CK139*1000,0)</f>
        <v/>
      </c>
      <c r="CL156" s="823">
        <f>IFERROR(CL155/CL139*1000,0)</f>
        <v/>
      </c>
      <c r="CM156" s="823">
        <f>IFERROR(CM155/CM139*1000,0)</f>
        <v/>
      </c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>
        <f>IFERROR(IF(OR(AK156="",AF156=""),"",AK156/AF156-1),"")</f>
        <v/>
      </c>
      <c r="AL157" s="1039" t="n"/>
      <c r="AM157" s="1039" t="n"/>
      <c r="AN157" s="1039" t="n"/>
      <c r="AO157" s="1039" t="n"/>
      <c r="AP157" s="1038">
        <f>IFERROR(IF(OR(AP156="",AK156=""),"",AP156/AK156-1),"")</f>
        <v/>
      </c>
      <c r="AQ157" s="1039" t="n"/>
      <c r="AR157" s="1039" t="n"/>
      <c r="AS157" s="1039" t="n"/>
      <c r="AT157" s="1039" t="n"/>
      <c r="AU157" s="1038">
        <f>IFERROR(IF(OR(AU156="",AP156=""),"",AU156/AP156-1),"")</f>
        <v/>
      </c>
      <c r="AV157" s="1039" t="n"/>
      <c r="AW157" s="1039" t="n"/>
      <c r="AX157" s="1039" t="n"/>
      <c r="AY157" s="1039" t="n"/>
      <c r="AZ157" s="1038">
        <f>IFERROR(IF(OR(AZ156="",AU156=""),"",AZ156/AU156-1),"")</f>
        <v/>
      </c>
      <c r="BA157" s="1039" t="n"/>
      <c r="BB157" s="1039" t="n"/>
      <c r="BC157" s="1039" t="n"/>
      <c r="BD157" s="1039" t="n"/>
      <c r="BE157" s="1038">
        <f>IFERROR(IF(OR(BE156="",AZ156=""),"",BE156/AZ156-1),"")</f>
        <v/>
      </c>
      <c r="BF157" s="1039" t="n"/>
      <c r="BG157" s="1039" t="n"/>
      <c r="BH157" s="1039" t="n"/>
      <c r="BI157" s="1039" t="n"/>
      <c r="BJ157" s="1038">
        <f>IFERROR(IF(OR(BJ156="",BE156=""),"",BJ156/BE156-1),"")</f>
        <v/>
      </c>
      <c r="BK157" s="1040" t="n"/>
      <c r="BL157" s="1040" t="n"/>
      <c r="BM157" s="1040" t="n"/>
      <c r="BN157" s="1040" t="n"/>
      <c r="BO157" s="1038">
        <f>IFERROR(IF(OR(BO156="",BJ156=""),"",BO156/BJ156-1),"")</f>
        <v/>
      </c>
      <c r="BP157" s="1040" t="n"/>
      <c r="BQ157" s="1040" t="n"/>
      <c r="BR157" s="1040" t="n"/>
      <c r="BS157" s="1040" t="n"/>
      <c r="BT157" s="1038">
        <f>IFERROR(IF(OR(BT156="",BO156=""),"",BT156/BO156-1),"")</f>
        <v/>
      </c>
      <c r="BU157" s="1040" t="n"/>
      <c r="BV157" s="1040" t="n"/>
      <c r="BW157" s="1040" t="n"/>
      <c r="BX157" s="1040" t="n"/>
      <c r="BY157" s="1041">
        <f>IFERROR(IF(OR(BY156="",BT156=""),"",BY156/BT156-1),"")</f>
        <v/>
      </c>
      <c r="BZ157" s="1037" t="n"/>
      <c r="CA157" s="1037" t="n"/>
      <c r="CB157" s="1037" t="n"/>
      <c r="CC157" s="1040" t="n"/>
      <c r="CD157" s="1041">
        <f>IFERROR(CD156/BY156-1,0)</f>
        <v/>
      </c>
      <c r="CE157" s="974">
        <f>IFERROR(CE156/BR156-1,0)</f>
        <v/>
      </c>
      <c r="CF157" s="974">
        <f>IFERROR(CF156/CA156-1,0)</f>
        <v/>
      </c>
      <c r="CG157" s="974">
        <f>IFERROR(CG156/CB156-1,0)</f>
        <v/>
      </c>
      <c r="CH157" s="974">
        <f>IFERROR(CH156/CC156-1,0)</f>
        <v/>
      </c>
      <c r="CI157" s="1042">
        <f>IFERROR(CI156/CD156-1,0)</f>
        <v/>
      </c>
      <c r="CJ157" s="1042">
        <f>IFERROR(CJ156/CI156-1,0)</f>
        <v/>
      </c>
      <c r="CK157" s="1042">
        <f>IFERROR(CK156/CJ156-1,0)</f>
        <v/>
      </c>
      <c r="CL157" s="1042">
        <f>IFERROR(CL156/CK156-1,0)</f>
        <v/>
      </c>
      <c r="CM157" s="1042">
        <f>IFERROR(CM156/CL156-1,0)</f>
        <v/>
      </c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>
        <f>AE156</f>
        <v/>
      </c>
      <c r="AF158" s="1044">
        <f>AF156</f>
        <v/>
      </c>
      <c r="AG158" s="1043" t="n"/>
      <c r="AH158" s="1043" t="n"/>
      <c r="AI158" s="1043" t="n"/>
      <c r="AJ158" s="1043">
        <f>AJ156</f>
        <v/>
      </c>
      <c r="AK158" s="1044">
        <f>AK156</f>
        <v/>
      </c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>
        <f>CG156</f>
        <v/>
      </c>
      <c r="CH158" s="1049">
        <f>CH156</f>
        <v/>
      </c>
      <c r="CI158" s="1046">
        <f>CI156</f>
        <v/>
      </c>
      <c r="CJ158" s="1046">
        <f>CJ156</f>
        <v/>
      </c>
      <c r="CK158" s="1046">
        <f>CK156</f>
        <v/>
      </c>
      <c r="CL158" s="1046">
        <f>CL156</f>
        <v/>
      </c>
      <c r="CM158" s="1046">
        <f>CM156</f>
        <v/>
      </c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>
        <f>IFERROR(IF(OR(AF156="",AF158=""),"",AF156-AF158),"")</f>
        <v/>
      </c>
      <c r="AG159" s="1050" t="n"/>
      <c r="AH159" s="1050" t="n"/>
      <c r="AI159" s="1050" t="n"/>
      <c r="AJ159" s="1050" t="n"/>
      <c r="AK159" s="1052">
        <f>IFERROR(IF(OR(AK156="",AK158=""),"",AK156-AK158),"")</f>
        <v/>
      </c>
      <c r="AL159" s="1053" t="n"/>
      <c r="AM159" s="1053" t="n"/>
      <c r="AN159" s="1053" t="n"/>
      <c r="AO159" s="1053" t="n"/>
      <c r="AP159" s="1052">
        <f>IFERROR(IF(OR(AP156="",AP158=""),"",AP156-AP158),"")</f>
        <v/>
      </c>
      <c r="AQ159" s="1053" t="n"/>
      <c r="AR159" s="1053" t="n"/>
      <c r="AS159" s="1053" t="n"/>
      <c r="AT159" s="1053" t="n"/>
      <c r="AU159" s="1052">
        <f>IFERROR(IF(OR(AU156="",AU158=""),"",AU156-AU158),"")</f>
        <v/>
      </c>
      <c r="AV159" s="1053" t="n"/>
      <c r="AW159" s="1053" t="n"/>
      <c r="AX159" s="1053" t="n"/>
      <c r="AY159" s="1053" t="n"/>
      <c r="AZ159" s="1052">
        <f>IFERROR(IF(OR(AZ156="",AZ158=""),"",AZ156-AZ158),"")</f>
        <v/>
      </c>
      <c r="BA159" s="1053" t="n"/>
      <c r="BB159" s="1053" t="n"/>
      <c r="BC159" s="1053" t="n"/>
      <c r="BD159" s="1053" t="n"/>
      <c r="BE159" s="1052">
        <f>IFERROR(IF(OR(BE156="",BE158=""),"",BE156-BE158),"")</f>
        <v/>
      </c>
      <c r="BF159" s="1054" t="n"/>
      <c r="BG159" s="1054" t="n"/>
      <c r="BH159" s="1054" t="n"/>
      <c r="BI159" s="1054" t="n"/>
      <c r="BJ159" s="1052">
        <f>IFERROR(IF(OR(BJ156="",BJ158=""),"",BJ156-BJ158),"")</f>
        <v/>
      </c>
      <c r="BK159" s="1054" t="n"/>
      <c r="BL159" s="1054" t="n"/>
      <c r="BM159" s="1054" t="n"/>
      <c r="BN159" s="1054" t="n"/>
      <c r="BO159" s="1052">
        <f>IFERROR(IF(OR(BO156="",BO158=""),"",BO156-BO158),"")</f>
        <v/>
      </c>
      <c r="BP159" s="1054" t="n"/>
      <c r="BQ159" s="1054" t="n"/>
      <c r="BR159" s="1054" t="n"/>
      <c r="BS159" s="1054" t="n"/>
      <c r="BT159" s="1052">
        <f>IFERROR(IF(OR(BT156="",BT158=""),"",BT156-BT158),"")</f>
        <v/>
      </c>
      <c r="BU159" s="1054" t="n"/>
      <c r="BV159" s="1054" t="n"/>
      <c r="BW159" s="1054" t="n"/>
      <c r="BX159" s="1054" t="n"/>
      <c r="BY159" s="1052">
        <f>IFERROR(BY156-BY158,"")</f>
        <v/>
      </c>
      <c r="BZ159" s="1055">
        <f>IFERROR(IF(OR(BZ156="",BZ158=""),"",BZ156-BZ158),"")</f>
        <v/>
      </c>
      <c r="CA159" s="1055">
        <f>IFERROR(IF(OR(CA156="",CA158=""),"",CA156-CA158),"")</f>
        <v/>
      </c>
      <c r="CB159" s="1055">
        <f>IFERROR(IF(OR(CB156="",CB158=""),"",CB156-CB158),"")</f>
        <v/>
      </c>
      <c r="CC159" s="1055">
        <f>IFERROR(CC156-CC158,"")</f>
        <v/>
      </c>
      <c r="CD159" s="1052">
        <f>IFERROR(CD156-CD158,"")</f>
        <v/>
      </c>
      <c r="CE159" s="1055">
        <f>IFERROR(CE156-CE158,"")</f>
        <v/>
      </c>
      <c r="CF159" s="1055">
        <f>IFERROR(CF156-CF158,"")</f>
        <v/>
      </c>
      <c r="CG159" s="1055">
        <f>IFERROR(CG156-CG158,"")</f>
        <v/>
      </c>
      <c r="CH159" s="1055">
        <f>IFERROR(CH156-CH158,"")</f>
        <v/>
      </c>
      <c r="CI159" s="1056">
        <f>IFERROR(CI156-CI158,0)</f>
        <v/>
      </c>
      <c r="CJ159" s="1056">
        <f>IFERROR(CJ156-CJ158,0)</f>
        <v/>
      </c>
      <c r="CK159" s="1056">
        <f>IFERROR(CK156-CK158,0)</f>
        <v/>
      </c>
      <c r="CL159" s="1056">
        <f>IFERROR(CL156-CL158,0)</f>
        <v/>
      </c>
      <c r="CM159" s="1056">
        <f>IFERROR(CM156-CM158,0)</f>
        <v/>
      </c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>
        <f>G116/G114</f>
        <v/>
      </c>
      <c r="H165" s="974" t="n"/>
      <c r="I165" s="974" t="n"/>
      <c r="J165" s="974" t="n"/>
      <c r="K165" s="974" t="n"/>
      <c r="L165" s="975">
        <f>L116/L114</f>
        <v/>
      </c>
      <c r="M165" s="974" t="n"/>
      <c r="N165" s="974" t="n"/>
      <c r="O165" s="974" t="n"/>
      <c r="P165" s="974" t="n"/>
      <c r="Q165" s="975">
        <f>Q116/Q114</f>
        <v/>
      </c>
      <c r="R165" s="974" t="n"/>
      <c r="S165" s="974" t="n"/>
      <c r="T165" s="974" t="n"/>
      <c r="U165" s="974" t="n"/>
      <c r="V165" s="975">
        <f>V116/V114</f>
        <v/>
      </c>
      <c r="W165" s="974" t="n"/>
      <c r="X165" s="974" t="n"/>
      <c r="Y165" s="974" t="n"/>
      <c r="Z165" s="974" t="n"/>
      <c r="AA165" s="975">
        <f>AA116/AA114</f>
        <v/>
      </c>
      <c r="AB165" s="974" t="n"/>
      <c r="AC165" s="974" t="n"/>
      <c r="AD165" s="974" t="n"/>
      <c r="AE165" s="974" t="n"/>
      <c r="AF165" s="975">
        <f>AF116/AF114</f>
        <v/>
      </c>
      <c r="AG165" s="974" t="n"/>
      <c r="AH165" s="974" t="n"/>
      <c r="AI165" s="974" t="n"/>
      <c r="AJ165" s="974" t="n"/>
      <c r="AK165" s="975">
        <f>AK116/AK114</f>
        <v/>
      </c>
      <c r="AL165" s="974" t="n"/>
      <c r="AM165" s="974" t="n"/>
      <c r="AN165" s="974" t="n"/>
      <c r="AO165" s="974" t="n"/>
      <c r="AP165" s="975">
        <f>AP116/AP114</f>
        <v/>
      </c>
      <c r="AQ165" s="974" t="n"/>
      <c r="AR165" s="974" t="n"/>
      <c r="AS165" s="974" t="n"/>
      <c r="AT165" s="974" t="n"/>
      <c r="AU165" s="975">
        <f>AU116/AU114</f>
        <v/>
      </c>
      <c r="AV165" s="974" t="n"/>
      <c r="AW165" s="974" t="n"/>
      <c r="AX165" s="974" t="n"/>
      <c r="AY165" s="974" t="n"/>
      <c r="AZ165" s="975">
        <f>AZ116/AZ114</f>
        <v/>
      </c>
      <c r="BA165" s="974" t="n"/>
      <c r="BB165" s="974" t="n"/>
      <c r="BC165" s="974" t="n"/>
      <c r="BD165" s="974" t="n"/>
      <c r="BE165" s="975">
        <f>BE116/BE114</f>
        <v/>
      </c>
      <c r="BF165" s="974" t="n"/>
      <c r="BG165" s="974" t="n"/>
      <c r="BH165" s="974" t="n"/>
      <c r="BI165" s="974" t="n"/>
      <c r="BJ165" s="975">
        <f>BJ116/BJ114</f>
        <v/>
      </c>
      <c r="BK165" s="974" t="n"/>
      <c r="BL165" s="974" t="n"/>
      <c r="BM165" s="974" t="n"/>
      <c r="BN165" s="974" t="n"/>
      <c r="BO165" s="975">
        <f>BO116/BO114</f>
        <v/>
      </c>
      <c r="BP165" s="974" t="n"/>
      <c r="BQ165" s="974" t="n"/>
      <c r="BR165" s="974" t="n"/>
      <c r="BS165" s="974" t="n"/>
      <c r="BT165" s="975">
        <f>BT116/BT114</f>
        <v/>
      </c>
      <c r="BU165" s="974" t="n"/>
      <c r="BV165" s="974" t="n"/>
      <c r="BW165" s="974" t="n"/>
      <c r="BX165" s="974" t="n"/>
      <c r="BY165" s="975">
        <f>BY116/BY114</f>
        <v/>
      </c>
      <c r="BZ165" s="974" t="n"/>
      <c r="CA165" s="974" t="n"/>
      <c r="CB165" s="974" t="n"/>
      <c r="CC165" s="974" t="n"/>
      <c r="CD165" s="975">
        <f>CD116/CD114</f>
        <v/>
      </c>
      <c r="CE165" s="974">
        <f>CE116/CE114</f>
        <v/>
      </c>
      <c r="CF165" s="974">
        <f>CF116/CF114</f>
        <v/>
      </c>
      <c r="CG165" s="974">
        <f>CG116/CG114</f>
        <v/>
      </c>
      <c r="CH165" s="974">
        <f>CH116/CH114</f>
        <v/>
      </c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>
        <f>G117/G114</f>
        <v/>
      </c>
      <c r="H166" s="974" t="n"/>
      <c r="I166" s="974" t="n"/>
      <c r="J166" s="974" t="n"/>
      <c r="K166" s="974" t="n"/>
      <c r="L166" s="975">
        <f>L117/L114</f>
        <v/>
      </c>
      <c r="M166" s="974" t="n"/>
      <c r="N166" s="974" t="n"/>
      <c r="O166" s="974" t="n"/>
      <c r="P166" s="974" t="n"/>
      <c r="Q166" s="975">
        <f>Q117/Q114</f>
        <v/>
      </c>
      <c r="R166" s="974" t="n"/>
      <c r="S166" s="974" t="n"/>
      <c r="T166" s="974" t="n"/>
      <c r="U166" s="974" t="n"/>
      <c r="V166" s="975">
        <f>V117/V114</f>
        <v/>
      </c>
      <c r="W166" s="974" t="n"/>
      <c r="X166" s="974" t="n"/>
      <c r="Y166" s="974" t="n"/>
      <c r="Z166" s="974" t="n"/>
      <c r="AA166" s="975">
        <f>AA117/AA114</f>
        <v/>
      </c>
      <c r="AB166" s="974" t="n"/>
      <c r="AC166" s="974" t="n"/>
      <c r="AD166" s="974" t="n"/>
      <c r="AE166" s="974" t="n"/>
      <c r="AF166" s="975">
        <f>AF117/AF114</f>
        <v/>
      </c>
      <c r="AG166" s="974" t="n"/>
      <c r="AH166" s="974" t="n"/>
      <c r="AI166" s="974" t="n"/>
      <c r="AJ166" s="974" t="n"/>
      <c r="AK166" s="975">
        <f>AK117/AK114</f>
        <v/>
      </c>
      <c r="AL166" s="974" t="n"/>
      <c r="AM166" s="974" t="n"/>
      <c r="AN166" s="974" t="n"/>
      <c r="AO166" s="974" t="n"/>
      <c r="AP166" s="975">
        <f>AP117/AP114</f>
        <v/>
      </c>
      <c r="AQ166" s="974" t="n"/>
      <c r="AR166" s="974" t="n"/>
      <c r="AS166" s="974" t="n"/>
      <c r="AT166" s="974" t="n"/>
      <c r="AU166" s="975">
        <f>AU117/AU114</f>
        <v/>
      </c>
      <c r="AV166" s="974" t="n"/>
      <c r="AW166" s="974" t="n"/>
      <c r="AX166" s="974" t="n"/>
      <c r="AY166" s="974" t="n"/>
      <c r="AZ166" s="975">
        <f>AZ117/AZ114</f>
        <v/>
      </c>
      <c r="BA166" s="974" t="n"/>
      <c r="BB166" s="974" t="n"/>
      <c r="BC166" s="974" t="n"/>
      <c r="BD166" s="974" t="n"/>
      <c r="BE166" s="975">
        <f>BE117/BE114</f>
        <v/>
      </c>
      <c r="BF166" s="974" t="n"/>
      <c r="BG166" s="974" t="n"/>
      <c r="BH166" s="974" t="n"/>
      <c r="BI166" s="974" t="n"/>
      <c r="BJ166" s="975">
        <f>BJ117/BJ114</f>
        <v/>
      </c>
      <c r="BK166" s="974" t="n"/>
      <c r="BL166" s="974" t="n"/>
      <c r="BM166" s="974" t="n"/>
      <c r="BN166" s="974" t="n"/>
      <c r="BO166" s="975">
        <f>BO117/BO114</f>
        <v/>
      </c>
      <c r="BP166" s="974" t="n"/>
      <c r="BQ166" s="974" t="n"/>
      <c r="BR166" s="974" t="n"/>
      <c r="BS166" s="974" t="n"/>
      <c r="BT166" s="975">
        <f>BT117/BT114</f>
        <v/>
      </c>
      <c r="BU166" s="974" t="n"/>
      <c r="BV166" s="974" t="n"/>
      <c r="BW166" s="974" t="n"/>
      <c r="BX166" s="974" t="n"/>
      <c r="BY166" s="975">
        <f>BY117/BY114</f>
        <v/>
      </c>
      <c r="BZ166" s="974" t="n"/>
      <c r="CA166" s="974" t="n"/>
      <c r="CB166" s="974" t="n"/>
      <c r="CC166" s="974" t="n"/>
      <c r="CD166" s="975">
        <f>CD117/CD114</f>
        <v/>
      </c>
      <c r="CE166" s="974">
        <f>CE117/CE114</f>
        <v/>
      </c>
      <c r="CF166" s="974">
        <f>CF117/CF114</f>
        <v/>
      </c>
      <c r="CG166" s="974">
        <f>CG117/CG114</f>
        <v/>
      </c>
      <c r="CH166" s="974">
        <f>CH117/CH114</f>
        <v/>
      </c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>
        <f>G118/G114</f>
        <v/>
      </c>
      <c r="H167" s="974" t="n"/>
      <c r="I167" s="974" t="n"/>
      <c r="J167" s="974" t="n"/>
      <c r="K167" s="974" t="n"/>
      <c r="L167" s="975">
        <f>L118/L114</f>
        <v/>
      </c>
      <c r="M167" s="974" t="n"/>
      <c r="N167" s="974" t="n"/>
      <c r="O167" s="974" t="n"/>
      <c r="P167" s="974" t="n"/>
      <c r="Q167" s="975">
        <f>Q118/Q114</f>
        <v/>
      </c>
      <c r="R167" s="974" t="n"/>
      <c r="S167" s="974" t="n"/>
      <c r="T167" s="974" t="n"/>
      <c r="U167" s="974" t="n"/>
      <c r="V167" s="975">
        <f>V118/V114</f>
        <v/>
      </c>
      <c r="W167" s="974" t="n"/>
      <c r="X167" s="974" t="n"/>
      <c r="Y167" s="974" t="n"/>
      <c r="Z167" s="974" t="n"/>
      <c r="AA167" s="975">
        <f>AA118/AA114</f>
        <v/>
      </c>
      <c r="AB167" s="974" t="n"/>
      <c r="AC167" s="974" t="n"/>
      <c r="AD167" s="974" t="n"/>
      <c r="AE167" s="974" t="n"/>
      <c r="AF167" s="975">
        <f>AF118/AF114</f>
        <v/>
      </c>
      <c r="AG167" s="974" t="n"/>
      <c r="AH167" s="974" t="n"/>
      <c r="AI167" s="974" t="n"/>
      <c r="AJ167" s="974" t="n"/>
      <c r="AK167" s="975">
        <f>AK118/AK114</f>
        <v/>
      </c>
      <c r="AL167" s="974" t="n"/>
      <c r="AM167" s="974" t="n"/>
      <c r="AN167" s="974" t="n"/>
      <c r="AO167" s="974" t="n"/>
      <c r="AP167" s="975">
        <f>AP118/AP114</f>
        <v/>
      </c>
      <c r="AQ167" s="974" t="n"/>
      <c r="AR167" s="974" t="n"/>
      <c r="AS167" s="974" t="n"/>
      <c r="AT167" s="974" t="n"/>
      <c r="AU167" s="975">
        <f>AU118/AU114</f>
        <v/>
      </c>
      <c r="AV167" s="974" t="n"/>
      <c r="AW167" s="974" t="n"/>
      <c r="AX167" s="974" t="n"/>
      <c r="AY167" s="974" t="n"/>
      <c r="AZ167" s="975">
        <f>AZ118/AZ114</f>
        <v/>
      </c>
      <c r="BA167" s="974" t="n"/>
      <c r="BB167" s="974" t="n"/>
      <c r="BC167" s="974" t="n"/>
      <c r="BD167" s="974" t="n"/>
      <c r="BE167" s="975">
        <f>BE118/BE114</f>
        <v/>
      </c>
      <c r="BF167" s="974" t="n"/>
      <c r="BG167" s="974" t="n"/>
      <c r="BH167" s="974" t="n"/>
      <c r="BI167" s="974" t="n"/>
      <c r="BJ167" s="975">
        <f>BJ118/BJ114</f>
        <v/>
      </c>
      <c r="BK167" s="974" t="n"/>
      <c r="BL167" s="974" t="n"/>
      <c r="BM167" s="974" t="n"/>
      <c r="BN167" s="974" t="n"/>
      <c r="BO167" s="975">
        <f>BO118/BO114</f>
        <v/>
      </c>
      <c r="BP167" s="974" t="n"/>
      <c r="BQ167" s="974" t="n"/>
      <c r="BR167" s="974" t="n"/>
      <c r="BS167" s="974" t="n"/>
      <c r="BT167" s="975">
        <f>BT118/BT114</f>
        <v/>
      </c>
      <c r="BU167" s="974" t="n"/>
      <c r="BV167" s="974" t="n"/>
      <c r="BW167" s="974" t="n"/>
      <c r="BX167" s="974" t="n"/>
      <c r="BY167" s="975">
        <f>BY118/BY114</f>
        <v/>
      </c>
      <c r="BZ167" s="974" t="n"/>
      <c r="CA167" s="974" t="n"/>
      <c r="CB167" s="974" t="n"/>
      <c r="CC167" s="974" t="n"/>
      <c r="CD167" s="975">
        <f>CD118/CD114</f>
        <v/>
      </c>
      <c r="CE167" s="974">
        <f>CE118/CE114</f>
        <v/>
      </c>
      <c r="CF167" s="974">
        <f>CF118/CF114</f>
        <v/>
      </c>
      <c r="CG167" s="974">
        <f>CG118/CG114</f>
        <v/>
      </c>
      <c r="CH167" s="974">
        <f>CH118/CH114</f>
        <v/>
      </c>
      <c r="CI167" s="981" t="n"/>
      <c r="CJ167" s="976">
        <f>CI167-0.0025</f>
        <v/>
      </c>
      <c r="CK167" s="976">
        <f>CJ167-0.0025</f>
        <v/>
      </c>
      <c r="CL167" s="976">
        <f>CK167-0.0025</f>
        <v/>
      </c>
      <c r="CM167" s="976">
        <f>CL167-0.0025</f>
        <v/>
      </c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BE148/BE114</f>
        <v/>
      </c>
      <c r="BF168" s="974" t="n"/>
      <c r="BG168" s="974" t="n"/>
      <c r="BH168" s="974" t="n"/>
      <c r="BI168" s="974" t="n"/>
      <c r="BJ168" s="975">
        <f>BJ148/BJ114</f>
        <v/>
      </c>
      <c r="BK168" s="974" t="n"/>
      <c r="BL168" s="974" t="n"/>
      <c r="BM168" s="974" t="n"/>
      <c r="BN168" s="974" t="n"/>
      <c r="BO168" s="975">
        <f>BO148/BO114</f>
        <v/>
      </c>
      <c r="BP168" s="974" t="n"/>
      <c r="BQ168" s="974" t="n"/>
      <c r="BR168" s="974" t="n"/>
      <c r="BS168" s="974" t="n"/>
      <c r="BT168" s="975">
        <f>BT148/BT114</f>
        <v/>
      </c>
      <c r="BU168" s="974" t="n"/>
      <c r="BV168" s="974" t="n"/>
      <c r="BW168" s="974" t="n"/>
      <c r="BX168" s="974" t="n"/>
      <c r="BY168" s="975">
        <f>BY148/BY114</f>
        <v/>
      </c>
      <c r="BZ168" s="974" t="n"/>
      <c r="CA168" s="974" t="n"/>
      <c r="CB168" s="974" t="n"/>
      <c r="CC168" s="974" t="n"/>
      <c r="CD168" s="975">
        <f>CD148/CD114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(BE148-AZ148)/(BE114-AZ114)</f>
        <v/>
      </c>
      <c r="BF170" s="974" t="n"/>
      <c r="BG170" s="974" t="n"/>
      <c r="BH170" s="974" t="n"/>
      <c r="BI170" s="974" t="n"/>
      <c r="BJ170" s="975">
        <f>(BJ148-BE148)/(BJ114-BE114)</f>
        <v/>
      </c>
      <c r="BK170" s="974" t="n"/>
      <c r="BL170" s="974" t="n"/>
      <c r="BM170" s="974" t="n"/>
      <c r="BN170" s="974" t="n"/>
      <c r="BO170" s="975">
        <f>(BO148-BJ148)/(BO114-BJ114)</f>
        <v/>
      </c>
      <c r="BP170" s="974" t="n"/>
      <c r="BQ170" s="974" t="n"/>
      <c r="BR170" s="974" t="n"/>
      <c r="BS170" s="974" t="n"/>
      <c r="BT170" s="975">
        <f>(BT148-BO148)/(BT114-BO114)</f>
        <v/>
      </c>
      <c r="BU170" s="974" t="n"/>
      <c r="BV170" s="974" t="n"/>
      <c r="BW170" s="974" t="n"/>
      <c r="BX170" s="974" t="n"/>
      <c r="BY170" s="975">
        <f>(BY148-BT148)/(BY114-BT114)</f>
        <v/>
      </c>
      <c r="BZ170" s="974" t="n"/>
      <c r="CA170" s="974" t="n"/>
      <c r="CB170" s="974" t="n"/>
      <c r="CC170" s="974" t="n"/>
      <c r="CD170" s="975">
        <f>(CD148-BY148)/(CD114-BY114)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/>
      <c r="BA175" s="291" t="n"/>
      <c r="BB175" s="291" t="n"/>
      <c r="BC175" s="291" t="n"/>
      <c r="BD175" s="291" t="n"/>
      <c r="BE175" s="864">
        <f>BE133</f>
        <v/>
      </c>
      <c r="BF175" s="743" t="n"/>
      <c r="BG175" s="743" t="n"/>
      <c r="BH175" s="743" t="n"/>
      <c r="BI175" s="291" t="n"/>
      <c r="BJ175" s="868" t="n"/>
      <c r="BK175" s="743" t="n"/>
      <c r="BL175" s="743" t="n"/>
      <c r="BM175" s="743" t="n"/>
      <c r="BN175" s="291">
        <f>BO175-BK175-BL175-BM175</f>
        <v/>
      </c>
      <c r="BO175" s="868" t="n"/>
      <c r="BP175" s="743" t="n"/>
      <c r="BQ175" s="743" t="n"/>
      <c r="BR175" s="743" t="n"/>
      <c r="BS175" s="291">
        <f>BT175-BP175-BQ175-BR175</f>
        <v/>
      </c>
      <c r="BT175" s="868" t="n"/>
      <c r="BU175" s="743" t="n"/>
      <c r="BV175" s="743" t="n"/>
      <c r="BW175" s="743" t="n"/>
      <c r="BX175" s="291">
        <f>BY175-BU175-BV175-BW175</f>
        <v/>
      </c>
      <c r="BY175" s="868" t="n"/>
      <c r="BZ175" s="743" t="n"/>
      <c r="CA175" s="743" t="n"/>
      <c r="CB175" s="743" t="n"/>
      <c r="CC175" s="291">
        <f>CD175-BZ175-CA175-CB175</f>
        <v/>
      </c>
      <c r="CD175" s="868" t="n"/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  <c r="NVU175" t="n">
        <v>275.675</v>
      </c>
      <c r="NVZ175" t="n">
        <v>754.405</v>
      </c>
      <c r="NWE175" t="n">
        <v>823.232</v>
      </c>
      <c r="NWJ175" t="n">
        <v>504.877</v>
      </c>
      <c r="NWO175" t="n">
        <v>422.484</v>
      </c>
      <c r="NWT175" t="n">
        <v>310.553</v>
      </c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/>
      <c r="BA176" s="291" t="n"/>
      <c r="BB176" s="291" t="n"/>
      <c r="BC176" s="291" t="n"/>
      <c r="BD176" s="291" t="n"/>
      <c r="BE176" s="868" t="n"/>
      <c r="BF176" s="743" t="n"/>
      <c r="BG176" s="743" t="n"/>
      <c r="BH176" s="743" t="n"/>
      <c r="BI176" s="291" t="n"/>
      <c r="BJ176" s="868" t="n"/>
      <c r="BK176" s="743" t="n"/>
      <c r="BL176" s="743" t="n"/>
      <c r="BM176" s="743" t="n"/>
      <c r="BN176" s="291">
        <f>BO176-BK176-BL176-BM176</f>
        <v/>
      </c>
      <c r="BO176" s="868" t="n"/>
      <c r="BP176" s="743" t="n"/>
      <c r="BQ176" s="743" t="n"/>
      <c r="BR176" s="743" t="n"/>
      <c r="BS176" s="291">
        <f>BT176-BP176-BQ176-BR176</f>
        <v/>
      </c>
      <c r="BT176" s="868" t="n"/>
      <c r="BU176" s="743" t="n"/>
      <c r="BV176" s="743" t="n"/>
      <c r="BW176" s="743" t="n"/>
      <c r="BX176" s="291">
        <f>BY176-BU176-BV176-BW176</f>
        <v/>
      </c>
      <c r="BY176" s="868" t="n"/>
      <c r="BZ176" s="743" t="n"/>
      <c r="CA176" s="743" t="n"/>
      <c r="CB176" s="743" t="n"/>
      <c r="CC176" s="291">
        <f>CD176-BZ176-CA176-CB176</f>
        <v/>
      </c>
      <c r="CD176" s="868" t="n"/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  <c r="NVU176" t="n">
        <v>170.52</v>
      </c>
      <c r="NVZ176" t="n">
        <v>225.007</v>
      </c>
      <c r="NWE176" t="n">
        <v>248.638</v>
      </c>
      <c r="NWJ176" t="n">
        <v>249.835</v>
      </c>
      <c r="NWO176" t="n">
        <v>332.58</v>
      </c>
      <c r="NWT176" t="n">
        <v>350.902</v>
      </c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/>
      <c r="BA177" s="291" t="n"/>
      <c r="BB177" s="291" t="n"/>
      <c r="BC177" s="291" t="n"/>
      <c r="BD177" s="291" t="n"/>
      <c r="BE177" s="868" t="n"/>
      <c r="BF177" s="743" t="n"/>
      <c r="BG177" s="743" t="n"/>
      <c r="BH177" s="743" t="n"/>
      <c r="BI177" s="291" t="n"/>
      <c r="BJ177" s="868" t="n"/>
      <c r="BK177" s="743" t="n"/>
      <c r="BL177" s="743" t="n"/>
      <c r="BM177" s="743" t="n"/>
      <c r="BN177" s="291">
        <f>BO177-BK177-BL177-BM177</f>
        <v/>
      </c>
      <c r="BO177" s="868" t="n"/>
      <c r="BP177" s="743" t="n"/>
      <c r="BQ177" s="743" t="n"/>
      <c r="BR177" s="743" t="n"/>
      <c r="BS177" s="291">
        <f>BT177-BP177-BQ177-BR177</f>
        <v/>
      </c>
      <c r="BT177" s="868" t="n"/>
      <c r="BU177" s="743" t="n"/>
      <c r="BV177" s="743" t="n"/>
      <c r="BW177" s="743" t="n"/>
      <c r="BX177" s="291">
        <f>BY177-BU177-BV177-BW177</f>
        <v/>
      </c>
      <c r="BY177" s="868" t="n"/>
      <c r="BZ177" s="743" t="n"/>
      <c r="CA177" s="743" t="n"/>
      <c r="CB177" s="743" t="n"/>
      <c r="CC177" s="291">
        <f>CD177-BZ177-CA177-CB177</f>
        <v/>
      </c>
      <c r="CD177" s="868" t="n"/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  <c r="NVU177" t="n">
        <v>48.213</v>
      </c>
      <c r="NVZ177" t="n">
        <v>55.243</v>
      </c>
      <c r="NWE177" t="n">
        <v>55.679</v>
      </c>
      <c r="NWJ177" t="n">
        <v>60.028</v>
      </c>
      <c r="NWO177" t="n">
        <v>79.98399999999999</v>
      </c>
      <c r="NWT177" t="n">
        <v>86.84</v>
      </c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/>
      <c r="BA178" s="291" t="n"/>
      <c r="BB178" s="291" t="n"/>
      <c r="BC178" s="291" t="n"/>
      <c r="BD178" s="291" t="n"/>
      <c r="BE178" s="868" t="n"/>
      <c r="BF178" s="743" t="n"/>
      <c r="BG178" s="743" t="n"/>
      <c r="BH178" s="743" t="n"/>
      <c r="BI178" s="291" t="n"/>
      <c r="BJ178" s="868" t="n"/>
      <c r="BK178" s="743" t="n"/>
      <c r="BL178" s="743" t="n"/>
      <c r="BM178" s="743" t="n"/>
      <c r="BN178" s="291">
        <f>BO178-BK178-BL178-BM178</f>
        <v/>
      </c>
      <c r="BO178" s="868" t="n"/>
      <c r="BP178" s="743" t="n"/>
      <c r="BQ178" s="743" t="n"/>
      <c r="BR178" s="743" t="n"/>
      <c r="BS178" s="291">
        <f>BT178-BP178-BQ178-BR178</f>
        <v/>
      </c>
      <c r="BT178" s="868" t="n"/>
      <c r="BU178" s="743" t="n"/>
      <c r="BV178" s="743" t="n"/>
      <c r="BW178" s="743" t="n"/>
      <c r="BX178" s="291">
        <f>BY178-BU178-BV178-BW178</f>
        <v/>
      </c>
      <c r="BY178" s="868" t="n"/>
      <c r="BZ178" s="743" t="n"/>
      <c r="CA178" s="743" t="n"/>
      <c r="CB178" s="743" t="n"/>
      <c r="CC178" s="291">
        <f>CD178-BZ178-CA178-CB178</f>
        <v/>
      </c>
      <c r="CD178" s="868" t="n"/>
      <c r="CE178" s="743" t="n"/>
      <c r="CF178" s="743" t="n"/>
      <c r="CG178" s="743" t="n"/>
      <c r="CH178" s="743" t="n"/>
      <c r="CI178" s="774" t="n"/>
      <c r="CJ178" s="774" t="n"/>
      <c r="CK178" s="774" t="n"/>
      <c r="CL178" s="774" t="n"/>
      <c r="CM178" s="774" t="n"/>
      <c r="CN178" s="291" t="n"/>
      <c r="CO178" s="766" t="n"/>
      <c r="CP178" s="291" t="n"/>
      <c r="CQ178" s="694" t="n"/>
      <c r="NVU178" t="n">
        <v>7.046</v>
      </c>
      <c r="NVZ178" t="n">
        <v>15.424</v>
      </c>
      <c r="NWE178" t="n">
        <v>14.648</v>
      </c>
      <c r="NWJ178" t="n">
        <v>13.451</v>
      </c>
      <c r="NWO178" t="n">
        <v>11.074</v>
      </c>
      <c r="NWT178" t="n">
        <v>15.148</v>
      </c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/>
      <c r="BA180" s="291" t="n"/>
      <c r="BB180" s="291" t="n"/>
      <c r="BC180" s="291" t="n"/>
      <c r="BD180" s="291" t="n"/>
      <c r="BE180" s="868" t="n"/>
      <c r="BF180" s="743" t="n"/>
      <c r="BG180" s="743" t="n"/>
      <c r="BH180" s="743" t="n"/>
      <c r="BI180" s="291" t="n"/>
      <c r="BJ180" s="868" t="n"/>
      <c r="BK180" s="743" t="n"/>
      <c r="BL180" s="743" t="n"/>
      <c r="BM180" s="743" t="n"/>
      <c r="BN180" s="291">
        <f>BO180-BK180-BL180-BM180</f>
        <v/>
      </c>
      <c r="BO180" s="868" t="n"/>
      <c r="BP180" s="743" t="n"/>
      <c r="BQ180" s="743" t="n"/>
      <c r="BR180" s="743" t="n"/>
      <c r="BS180" s="291">
        <f>BT180-BP180-BQ180-BR180</f>
        <v/>
      </c>
      <c r="BT180" s="868" t="n"/>
      <c r="BU180" s="743" t="n"/>
      <c r="BV180" s="743" t="n"/>
      <c r="BW180" s="743" t="n"/>
      <c r="BX180" s="291">
        <f>BY180-BU180-BV180-BW180</f>
        <v/>
      </c>
      <c r="BY180" s="868" t="n"/>
      <c r="BZ180" s="743" t="n"/>
      <c r="CA180" s="743" t="n"/>
      <c r="CB180" s="743" t="n"/>
      <c r="CC180" s="291">
        <f>CD180-BZ180-CA180-CB180</f>
        <v/>
      </c>
      <c r="CD180" s="868" t="n"/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  <c r="NVU180" t="n">
        <v>-16.399</v>
      </c>
      <c r="NVZ180" t="n">
        <v>101.664</v>
      </c>
      <c r="NWE180" t="n">
        <v>59.105</v>
      </c>
      <c r="NWJ180" t="n">
        <v>-224.121</v>
      </c>
      <c r="NWO180" t="n">
        <v>-145.432</v>
      </c>
      <c r="NWT180" t="n">
        <v>-129.284</v>
      </c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/>
      <c r="BA181" s="291" t="n"/>
      <c r="BB181" s="291" t="n"/>
      <c r="BC181" s="291" t="n"/>
      <c r="BD181" s="291" t="n"/>
      <c r="BE181" s="868" t="n"/>
      <c r="BF181" s="743" t="n"/>
      <c r="BG181" s="743" t="n"/>
      <c r="BH181" s="743" t="n"/>
      <c r="BI181" s="291" t="n"/>
      <c r="BJ181" s="868" t="n"/>
      <c r="BK181" s="743" t="n"/>
      <c r="BL181" s="743" t="n"/>
      <c r="BM181" s="743" t="n"/>
      <c r="BN181" s="291">
        <f>BO181-BK181-BL181-BM181</f>
        <v/>
      </c>
      <c r="BO181" s="868" t="n"/>
      <c r="BP181" s="743" t="n"/>
      <c r="BQ181" s="743" t="n"/>
      <c r="BR181" s="743" t="n"/>
      <c r="BS181" s="291">
        <f>BT181-BP181-BQ181-BR181</f>
        <v/>
      </c>
      <c r="BT181" s="868" t="n"/>
      <c r="BU181" s="743" t="n"/>
      <c r="BV181" s="743" t="n"/>
      <c r="BW181" s="743" t="n"/>
      <c r="BX181" s="291">
        <f>BY181-BU181-BV181-BW181</f>
        <v/>
      </c>
      <c r="BY181" s="868" t="n"/>
      <c r="BZ181" s="743" t="n"/>
      <c r="CA181" s="743" t="n"/>
      <c r="CB181" s="743" t="n"/>
      <c r="CC181" s="291">
        <f>CD181-BZ181-CA181-CB181</f>
        <v/>
      </c>
      <c r="CD181" s="868" t="n"/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  <c r="NVU181" t="n">
        <v>2.2</v>
      </c>
      <c r="NVZ181" t="n">
        <v>1.233</v>
      </c>
      <c r="NWE181" t="n">
        <v>1.498</v>
      </c>
      <c r="NWJ181" t="n">
        <v>-6.533</v>
      </c>
      <c r="NWO181" t="n">
        <v>-8.101000000000001</v>
      </c>
      <c r="NWT181" t="n">
        <v>0.305</v>
      </c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/>
      <c r="BA182" s="291" t="n"/>
      <c r="BB182" s="291" t="n"/>
      <c r="BC182" s="291" t="n"/>
      <c r="BD182" s="291" t="n"/>
      <c r="BE182" s="868" t="n"/>
      <c r="BF182" s="743" t="n"/>
      <c r="BG182" s="743" t="n"/>
      <c r="BH182" s="743" t="n"/>
      <c r="BI182" s="291" t="n"/>
      <c r="BJ182" s="868" t="n"/>
      <c r="BK182" s="743" t="n"/>
      <c r="BL182" s="743" t="n"/>
      <c r="BM182" s="743" t="n"/>
      <c r="BN182" s="291">
        <f>BO182-BK182-BL182-BM182</f>
        <v/>
      </c>
      <c r="BO182" s="868" t="n"/>
      <c r="BP182" s="743" t="n"/>
      <c r="BQ182" s="743" t="n"/>
      <c r="BR182" s="743" t="n"/>
      <c r="BS182" s="291">
        <f>BT182-BP182-BQ182-BR182</f>
        <v/>
      </c>
      <c r="BT182" s="868" t="n"/>
      <c r="BU182" s="743" t="n"/>
      <c r="BV182" s="743" t="n"/>
      <c r="BW182" s="743" t="n"/>
      <c r="BX182" s="291">
        <f>BY182-BU182-BV182-BW182</f>
        <v/>
      </c>
      <c r="BY182" s="868" t="n"/>
      <c r="BZ182" s="743" t="n"/>
      <c r="CA182" s="743" t="n"/>
      <c r="CB182" s="743" t="n"/>
      <c r="CC182" s="291">
        <f>CD182-BZ182-CA182-CB182</f>
        <v/>
      </c>
      <c r="CD182" s="868" t="n"/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  <c r="NVU182" t="n">
        <v>47.668</v>
      </c>
      <c r="NVZ182" t="n">
        <v>-154.292</v>
      </c>
      <c r="NWE182" t="n">
        <v>96.774</v>
      </c>
      <c r="NWJ182" t="n">
        <v>112.375</v>
      </c>
      <c r="NWO182" t="n">
        <v>154.092</v>
      </c>
      <c r="NWT182" t="n">
        <v>-3.651</v>
      </c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>
        <f>SUM(AZ175:AZ185)</f>
        <v/>
      </c>
      <c r="BA186" s="678" t="n"/>
      <c r="BB186" s="678" t="n"/>
      <c r="BC186" s="678" t="n"/>
      <c r="BD186" s="678" t="n"/>
      <c r="BE186" s="870">
        <f>SUM(BE175:BE185)</f>
        <v/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/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>
        <f>SUM(BO175:BO185)</f>
        <v/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>
        <f>SUM(BT175:BT185)</f>
        <v/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>
        <f>SUM(BY175:BY185)</f>
        <v/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>
        <f>SUM(CD175:CD185)</f>
        <v/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SUM(CI175:CI185)</f>
        <v/>
      </c>
      <c r="CJ186" s="752">
        <f>SUM(CJ175:CJ185)</f>
        <v/>
      </c>
      <c r="CK186" s="752">
        <f>SUM(CK175:CK185)</f>
        <v/>
      </c>
      <c r="CL186" s="752">
        <f>SUM(CL175:CL185)</f>
        <v/>
      </c>
      <c r="CM186" s="752">
        <f>SUM(CM175:CM185)</f>
        <v/>
      </c>
      <c r="CN186" s="678" t="n"/>
      <c r="CO186" s="689">
        <f>(CM186/CD186)^(1/5)-1</f>
        <v/>
      </c>
      <c r="CP186" s="678" t="n"/>
      <c r="CQ186" s="694" t="n"/>
      <c r="NVU186" t="n">
        <v>610.862</v>
      </c>
      <c r="NVZ186" t="n">
        <v>855.351</v>
      </c>
      <c r="NWE186" t="n">
        <v>971.645</v>
      </c>
      <c r="NWJ186" t="n">
        <v>1013.839</v>
      </c>
      <c r="NWO186" t="n">
        <v>1062.651</v>
      </c>
      <c r="NWT186" t="n">
        <v>977.788</v>
      </c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/>
      <c r="BA189" s="291" t="n"/>
      <c r="BB189" s="291" t="n"/>
      <c r="BC189" s="291" t="n"/>
      <c r="BD189" s="291" t="n"/>
      <c r="BE189" s="868" t="n"/>
      <c r="BF189" s="743" t="n"/>
      <c r="BG189" s="743" t="n"/>
      <c r="BH189" s="743" t="n"/>
      <c r="BI189" s="291" t="n"/>
      <c r="BJ189" s="868" t="n"/>
      <c r="BK189" s="743" t="n"/>
      <c r="BL189" s="743" t="n"/>
      <c r="BM189" s="743" t="n"/>
      <c r="BN189" s="291">
        <f>BO189-BK189-BL189-BM189</f>
        <v/>
      </c>
      <c r="BO189" s="868" t="n"/>
      <c r="BP189" s="743" t="n"/>
      <c r="BQ189" s="743" t="n"/>
      <c r="BR189" s="743" t="n"/>
      <c r="BS189" s="291">
        <f>BT189-BP189-BQ189-BR189</f>
        <v/>
      </c>
      <c r="BT189" s="868" t="n"/>
      <c r="BU189" s="743" t="n"/>
      <c r="BV189" s="743" t="n"/>
      <c r="BW189" s="743" t="n"/>
      <c r="BX189" s="291">
        <f>BY189-BU189-BV189-BW189</f>
        <v/>
      </c>
      <c r="BY189" s="868" t="n"/>
      <c r="BZ189" s="743" t="n"/>
      <c r="CA189" s="743" t="n"/>
      <c r="CB189" s="743" t="n"/>
      <c r="CC189" s="291">
        <f>CD189-BZ189-CA189-CB189</f>
        <v/>
      </c>
      <c r="CD189" s="868" t="n"/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  <c r="NVU189" t="n">
        <v>-142.71</v>
      </c>
      <c r="NVZ189" t="n">
        <v>-268.656</v>
      </c>
      <c r="NWE189" t="n">
        <v>-350.824</v>
      </c>
      <c r="NWJ189" t="n">
        <v>-361.563</v>
      </c>
      <c r="NWO189" t="n">
        <v>-392.819</v>
      </c>
      <c r="NWT189" t="n">
        <v>-273.22</v>
      </c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/>
      <c r="BA190" s="291" t="n"/>
      <c r="BB190" s="291" t="n"/>
      <c r="BC190" s="291" t="n"/>
      <c r="BD190" s="291" t="n"/>
      <c r="BE190" s="868" t="n"/>
      <c r="BF190" s="743" t="n"/>
      <c r="BG190" s="743" t="n"/>
      <c r="BH190" s="743" t="n"/>
      <c r="BI190" s="291" t="n"/>
      <c r="BJ190" s="868" t="n"/>
      <c r="BK190" s="743" t="n"/>
      <c r="BL190" s="743" t="n"/>
      <c r="BM190" s="743" t="n"/>
      <c r="BN190" s="291">
        <f>BO190-BK190-BL190-BM190</f>
        <v/>
      </c>
      <c r="BO190" s="868" t="n"/>
      <c r="BP190" s="291" t="n"/>
      <c r="BQ190" s="743" t="n"/>
      <c r="BR190" s="743" t="n"/>
      <c r="BS190" s="291">
        <f>BT190-BP190-BQ190-BR190</f>
        <v/>
      </c>
      <c r="BT190" s="868" t="n"/>
      <c r="BU190" s="743" t="n"/>
      <c r="BV190" s="743" t="n"/>
      <c r="BW190" s="743" t="n"/>
      <c r="BX190" s="291">
        <f>BY190-BU190-BV190-BW190</f>
        <v/>
      </c>
      <c r="BY190" s="868" t="n"/>
      <c r="BZ190" s="743" t="n"/>
      <c r="CA190" s="743" t="n"/>
      <c r="CB190" s="743" t="n"/>
      <c r="CC190" s="291">
        <f>CD190-BZ190-CA190-CB190</f>
        <v/>
      </c>
      <c r="CD190" s="868" t="n"/>
      <c r="CE190" s="743" t="n"/>
      <c r="CF190" s="743" t="n"/>
      <c r="CG190" s="743" t="n"/>
      <c r="CH190" s="743" t="n"/>
      <c r="CI190" s="774" t="n"/>
      <c r="CJ190" s="774" t="n"/>
      <c r="CK190" s="774" t="n"/>
      <c r="CL190" s="774" t="n"/>
      <c r="CM190" s="774" t="n"/>
      <c r="CN190" s="291" t="n"/>
      <c r="CO190" s="766" t="n"/>
      <c r="CP190" s="291" t="n"/>
      <c r="CQ190" s="694" t="n"/>
      <c r="NVU190" t="n">
        <v>-327.65</v>
      </c>
      <c r="NVZ190" t="n">
        <v>-1008.131</v>
      </c>
      <c r="NWE190" t="n">
        <v>-158.251</v>
      </c>
      <c r="NWJ190" t="n">
        <v>-628.701</v>
      </c>
      <c r="NWO190" t="n">
        <v>-957.963</v>
      </c>
      <c r="NWT190" t="n">
        <v>-201.258</v>
      </c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>
        <f>SUM(AZ189:AZ192)</f>
        <v/>
      </c>
      <c r="BA193" s="678" t="n"/>
      <c r="BB193" s="678" t="n"/>
      <c r="BC193" s="678" t="n"/>
      <c r="BD193" s="678" t="n"/>
      <c r="BE193" s="870">
        <f>SUM(BE189:BE192)</f>
        <v/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/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>
        <f>SUM(BO189:BO192)</f>
        <v/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>
        <f>SUM(BT189:BT192)</f>
        <v/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>
        <f>SUM(BY189:BY192)</f>
        <v/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>
        <f>SUM(CD189:CD192)</f>
        <v/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SUM(CI189:CI192)</f>
        <v/>
      </c>
      <c r="CJ193" s="752">
        <f>SUM(CJ189:CJ192)</f>
        <v/>
      </c>
      <c r="CK193" s="752">
        <f>SUM(CK189:CK192)</f>
        <v/>
      </c>
      <c r="CL193" s="752">
        <f>SUM(CL189:CL192)</f>
        <v/>
      </c>
      <c r="CM193" s="752">
        <f>SUM(CM189:CM192)</f>
        <v/>
      </c>
      <c r="CN193" s="678" t="n"/>
      <c r="CO193" s="689" t="n"/>
      <c r="CP193" s="678" t="n"/>
      <c r="CQ193" s="693" t="n"/>
      <c r="NVU193" t="n">
        <v>-378.481</v>
      </c>
      <c r="NVZ193" t="n">
        <v>-1162.657</v>
      </c>
      <c r="NWE193" t="n">
        <v>223.422</v>
      </c>
      <c r="NWJ193" t="n">
        <v>-797.332</v>
      </c>
      <c r="NWO193" t="n">
        <v>-1244.615</v>
      </c>
      <c r="NWT193" t="n">
        <v>-361.877</v>
      </c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/>
      <c r="BA198" s="291" t="n"/>
      <c r="BB198" s="291" t="n"/>
      <c r="BC198" s="291" t="n"/>
      <c r="BD198" s="291" t="n"/>
      <c r="BE198" s="868" t="n"/>
      <c r="BF198" s="743" t="n"/>
      <c r="BG198" s="743" t="n"/>
      <c r="BH198" s="743" t="n"/>
      <c r="BI198" s="291" t="n"/>
      <c r="BJ198" s="868" t="n"/>
      <c r="BK198" s="743" t="n"/>
      <c r="BL198" s="743" t="n"/>
      <c r="BM198" s="743" t="n"/>
      <c r="BN198" s="291">
        <f>BO198-BK198-BL198-BM198</f>
        <v/>
      </c>
      <c r="BO198" s="868" t="n"/>
      <c r="BP198" s="743" t="n"/>
      <c r="BQ198" s="743" t="n"/>
      <c r="BR198" s="743" t="n"/>
      <c r="BS198" s="291">
        <f>BT198-BP198-BQ198-BR198</f>
        <v/>
      </c>
      <c r="BT198" s="868" t="n"/>
      <c r="BU198" s="743" t="n"/>
      <c r="BV198" s="743" t="n"/>
      <c r="BW198" s="743" t="n"/>
      <c r="BX198" s="291">
        <f>BY198-BU198-BV198-BW198</f>
        <v/>
      </c>
      <c r="BY198" s="868" t="n"/>
      <c r="BZ198" s="743" t="n"/>
      <c r="CA198" s="743" t="n"/>
      <c r="CB198" s="743" t="n"/>
      <c r="CC198" s="291">
        <f>CD198-BZ198-CA198-CB198</f>
        <v/>
      </c>
      <c r="CD198" s="868" t="n"/>
      <c r="CE198" s="743" t="n"/>
      <c r="CF198" s="743" t="n"/>
      <c r="CG198" s="743" t="n"/>
      <c r="CH198" s="743" t="n"/>
      <c r="CI198" s="774" t="n"/>
      <c r="CJ198" s="774" t="n"/>
      <c r="CK198" s="774" t="n"/>
      <c r="CL198" s="774" t="n"/>
      <c r="CM198" s="774" t="n"/>
      <c r="CN198" s="291" t="n"/>
      <c r="CO198" s="766" t="n"/>
      <c r="CP198" s="291" t="n"/>
      <c r="CQ198" s="694" t="n"/>
      <c r="NVU198" t="n">
        <v>-67.604</v>
      </c>
      <c r="NVZ198" t="n">
        <v>-85.386</v>
      </c>
      <c r="NWE198" t="n">
        <v>-97.321</v>
      </c>
      <c r="NWJ198" t="n">
        <v>-121.095</v>
      </c>
      <c r="NWO198" t="n">
        <v>-133.928</v>
      </c>
      <c r="NWT198" t="n">
        <v>-151.091</v>
      </c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/>
      <c r="BA199" s="291" t="n"/>
      <c r="BB199" s="291" t="n"/>
      <c r="BC199" s="291" t="n"/>
      <c r="BD199" s="291" t="n"/>
      <c r="BE199" s="864">
        <f>-232.29-6.774</f>
        <v/>
      </c>
      <c r="BF199" s="743" t="n"/>
      <c r="BG199" s="743" t="n"/>
      <c r="BH199" s="743" t="n"/>
      <c r="BI199" s="291" t="n"/>
      <c r="BJ199" s="868" t="n"/>
      <c r="BK199" s="743" t="n"/>
      <c r="BL199" s="743" t="n"/>
      <c r="BM199" s="743" t="n"/>
      <c r="BN199" s="291">
        <f>BO199-BK199-BL199-BM199</f>
        <v/>
      </c>
      <c r="BO199" s="868" t="n"/>
      <c r="BP199" s="743" t="n"/>
      <c r="BQ199" s="743" t="n"/>
      <c r="BR199" s="743" t="n"/>
      <c r="BS199" s="291">
        <f>BT199-BP199-BQ199-BR199</f>
        <v/>
      </c>
      <c r="BT199" s="868" t="n"/>
      <c r="BU199" s="743" t="n"/>
      <c r="BV199" s="743" t="n"/>
      <c r="BW199" s="743" t="n"/>
      <c r="BX199" s="291">
        <f>BY199-BU199-BV199-BW199</f>
        <v/>
      </c>
      <c r="BY199" s="868" t="n"/>
      <c r="BZ199" s="743" t="n"/>
      <c r="CA199" s="743" t="n"/>
      <c r="CB199" s="743" t="n"/>
      <c r="CC199" s="291">
        <f>CD199-BZ199-CA199-CB199</f>
        <v/>
      </c>
      <c r="CD199" s="868" t="n"/>
      <c r="CE199" s="743" t="n"/>
      <c r="CF199" s="743" t="n"/>
      <c r="CG199" s="743" t="n"/>
      <c r="CH199" s="743" t="n"/>
      <c r="CI199" s="774" t="n"/>
      <c r="CJ199" s="774" t="n"/>
      <c r="CK199" s="774" t="n"/>
      <c r="CL199" s="774" t="n"/>
      <c r="CM199" s="774" t="n"/>
      <c r="CN199" s="291" t="n"/>
      <c r="CO199" s="766" t="n"/>
      <c r="CP199" s="291" t="n"/>
      <c r="CQ199" s="694" t="n"/>
      <c r="NVU199" t="n">
        <v>-38.021</v>
      </c>
      <c r="NVZ199" t="n">
        <v>-198.153</v>
      </c>
      <c r="NWE199" t="n">
        <v>-567.9829999999999</v>
      </c>
      <c r="NWJ199" t="n">
        <v>-288.024</v>
      </c>
      <c r="NWO199" t="n">
        <v>-76.616</v>
      </c>
      <c r="NWT199" t="n">
        <v>-225.815</v>
      </c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>
        <f>SUM(AZ196:AZ201)</f>
        <v/>
      </c>
      <c r="BA202" s="678" t="n"/>
      <c r="BB202" s="678" t="n"/>
      <c r="BC202" s="678" t="n"/>
      <c r="BD202" s="678" t="n"/>
      <c r="BE202" s="870">
        <f>SUM(BE196:BE201)</f>
        <v/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/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>
        <f>SUM(BO196:BO201)</f>
        <v/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>
        <f>SUM(BT196:BT201)</f>
        <v/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>
        <f>SUM(BY196:BY201)</f>
        <v/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>
        <f>SUM(CD196:CD201)</f>
        <v/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SUM(CI196:CI201)</f>
        <v/>
      </c>
      <c r="CJ202" s="752">
        <f>SUM(CJ196:CJ201)</f>
        <v/>
      </c>
      <c r="CK202" s="752">
        <f>SUM(CK196:CK201)</f>
        <v/>
      </c>
      <c r="CL202" s="752">
        <f>SUM(CL196:CL201)</f>
        <v/>
      </c>
      <c r="CM202" s="752">
        <f>SUM(CM196:CM201)</f>
        <v/>
      </c>
      <c r="CN202" s="678" t="n"/>
      <c r="CO202" s="689" t="n"/>
      <c r="CP202" s="678" t="n"/>
      <c r="CQ202" s="693" t="n"/>
      <c r="NVU202" t="n">
        <v>-228.084</v>
      </c>
      <c r="NVZ202" t="n">
        <v>322.301</v>
      </c>
      <c r="NWE202" t="n">
        <v>-1067.242</v>
      </c>
      <c r="NWJ202" t="n">
        <v>-21.731</v>
      </c>
      <c r="NWO202" t="n">
        <v>-164.439</v>
      </c>
      <c r="NWT202" t="n">
        <v>-402.504</v>
      </c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>
        <f>BE186+BE193+BE202+BE204</f>
        <v/>
      </c>
      <c r="BF205" s="291" t="n"/>
      <c r="BG205" s="291" t="n"/>
      <c r="BH205" s="291" t="n"/>
      <c r="BI205" s="291" t="n"/>
      <c r="BJ205" s="868" t="n"/>
      <c r="BK205" s="291" t="n"/>
      <c r="BL205" s="291" t="n"/>
      <c r="BM205" s="291" t="n"/>
      <c r="BN205" s="291">
        <f>BO205-BK205-BL205-BM205</f>
        <v/>
      </c>
      <c r="BO205" s="868" t="n"/>
      <c r="BP205" s="291" t="n"/>
      <c r="BQ205" s="291" t="n"/>
      <c r="BR205" s="291" t="n"/>
      <c r="BS205" s="291">
        <f>BT205-BP205-BQ205-BR205</f>
        <v/>
      </c>
      <c r="BT205" s="868" t="n"/>
      <c r="BU205" s="291" t="n"/>
      <c r="BV205" s="291" t="n"/>
      <c r="BW205" s="291" t="n"/>
      <c r="BX205" s="291">
        <f>BY205-BU205-BV205-BW205</f>
        <v/>
      </c>
      <c r="BY205" s="868" t="n"/>
      <c r="BZ205" s="291" t="n"/>
      <c r="CA205" s="291" t="n"/>
      <c r="CB205" s="291" t="n"/>
      <c r="CC205" s="291">
        <f>CD205-BZ205-CA205-CB205</f>
        <v/>
      </c>
      <c r="CD205" s="868" t="n"/>
      <c r="CE205" s="743" t="n"/>
      <c r="CF205" s="743" t="n"/>
      <c r="CG205" s="291">
        <f>CG207-CG206</f>
        <v/>
      </c>
      <c r="CH205" s="291">
        <f>CH207-CH206</f>
        <v/>
      </c>
      <c r="CI205" s="749">
        <f>CI207-CI206</f>
        <v/>
      </c>
      <c r="CJ205" s="749">
        <f>CJ207-CJ206</f>
        <v/>
      </c>
      <c r="CK205" s="749">
        <f>CK207-CK206</f>
        <v/>
      </c>
      <c r="CL205" s="749">
        <f>CL207-CL206</f>
        <v/>
      </c>
      <c r="CM205" s="749">
        <f>CM207-CM206</f>
        <v/>
      </c>
      <c r="CN205" s="678" t="n"/>
      <c r="CO205" s="689" t="n"/>
      <c r="CP205" s="678" t="n"/>
      <c r="CQ205" s="693" t="n"/>
      <c r="NVU205" t="n">
        <v>4.297</v>
      </c>
      <c r="NVZ205" t="n">
        <v>14.995</v>
      </c>
      <c r="NWE205" t="n">
        <v>127.825</v>
      </c>
      <c r="NWJ205" t="n">
        <v>194.776</v>
      </c>
      <c r="NWO205" t="n">
        <v>-346.403</v>
      </c>
      <c r="NWT205" t="n">
        <v>213.407</v>
      </c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CI186+CI193+CI202+CI204+CI206</f>
        <v/>
      </c>
      <c r="CJ207" s="856">
        <f>CJ186+CJ193+CJ202+CJ204+CJ206</f>
        <v/>
      </c>
      <c r="CK207" s="856">
        <f>CK186+CK193+CK202+CK204+CK206</f>
        <v/>
      </c>
      <c r="CL207" s="856">
        <f>CL186+CL193+CL202+CL204+CL206</f>
        <v/>
      </c>
      <c r="CM207" s="856">
        <f>CM186+CM193+CM202+CM204+CM206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/>
      <c r="BA226" s="790" t="n"/>
      <c r="BB226" s="790" t="n"/>
      <c r="BC226" s="790" t="n"/>
      <c r="BD226" s="790" t="n"/>
      <c r="BE226" s="921">
        <f>BE207</f>
        <v/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>
        <f>BJ207</f>
        <v/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>
        <f>BO207</f>
        <v/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>
        <f>BT207</f>
        <v/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/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>
        <f>CD207</f>
        <v/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  <c r="NVU226" t="n">
        <v>4.297</v>
      </c>
      <c r="NVZ226" t="n">
        <v>19.292</v>
      </c>
      <c r="NWE226" t="n">
        <v>147.117</v>
      </c>
      <c r="NWJ226" t="n">
        <v>335.556</v>
      </c>
      <c r="NWO226" t="n">
        <v>0</v>
      </c>
      <c r="NWT226" t="n">
        <v>210.186</v>
      </c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/>
      <c r="BA227" s="790" t="n"/>
      <c r="BB227" s="790" t="n"/>
      <c r="BC227" s="790" t="n"/>
      <c r="BD227" s="790" t="n"/>
      <c r="BE227" s="888" t="n"/>
      <c r="BF227" s="742" t="n"/>
      <c r="BG227" s="742" t="n"/>
      <c r="BH227" s="742" t="n"/>
      <c r="BI227" s="742" t="n"/>
      <c r="BJ227" s="888" t="n"/>
      <c r="BK227" s="742" t="n"/>
      <c r="BL227" s="742" t="n"/>
      <c r="BM227" s="742" t="n"/>
      <c r="BN227" s="741">
        <f>BO227</f>
        <v/>
      </c>
      <c r="BO227" s="888" t="n"/>
      <c r="BP227" s="742" t="n"/>
      <c r="BQ227" s="742" t="n"/>
      <c r="BR227" s="742" t="n"/>
      <c r="BS227" s="741">
        <f>BT227</f>
        <v/>
      </c>
      <c r="BT227" s="888" t="n"/>
      <c r="BU227" s="742" t="n"/>
      <c r="BV227" s="742" t="n"/>
      <c r="BW227" s="742" t="n"/>
      <c r="BX227" s="741">
        <f>BY227</f>
        <v/>
      </c>
      <c r="BY227" s="888" t="n"/>
      <c r="BZ227" s="742" t="n"/>
      <c r="CA227" s="742" t="n"/>
      <c r="CB227" s="742" t="n"/>
      <c r="CC227" s="741">
        <f>CD227</f>
        <v/>
      </c>
      <c r="CD227" s="888" t="n"/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  <c r="NVU227" t="n">
        <v>597.873</v>
      </c>
      <c r="NVZ227" t="n">
        <v>1056.023</v>
      </c>
      <c r="NWE227" t="n">
        <v>1030.726</v>
      </c>
      <c r="NWJ227" t="n">
        <v>894.771</v>
      </c>
      <c r="NWO227" t="n">
        <v>927.654</v>
      </c>
      <c r="NWT227" t="n">
        <v>881.432</v>
      </c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/>
      <c r="BA228" s="291" t="n"/>
      <c r="BB228" s="291" t="n"/>
      <c r="BC228" s="291" t="n"/>
      <c r="BD228" s="291" t="n"/>
      <c r="BE228" s="868" t="n"/>
      <c r="BF228" s="743" t="n"/>
      <c r="BG228" s="743" t="n"/>
      <c r="BH228" s="743" t="n"/>
      <c r="BI228" s="291" t="n"/>
      <c r="BJ228" s="868" t="n"/>
      <c r="BK228" s="743" t="n"/>
      <c r="BL228" s="743" t="n"/>
      <c r="BM228" s="743" t="n"/>
      <c r="BN228" s="291">
        <f>BO228</f>
        <v/>
      </c>
      <c r="BO228" s="868" t="n"/>
      <c r="BP228" s="743" t="n"/>
      <c r="BQ228" s="743" t="n"/>
      <c r="BR228" s="743" t="n"/>
      <c r="BS228" s="291">
        <f>BT228</f>
        <v/>
      </c>
      <c r="BT228" s="868" t="n"/>
      <c r="BU228" s="743" t="n"/>
      <c r="BV228" s="743" t="n"/>
      <c r="BW228" s="743" t="n"/>
      <c r="BX228" s="291">
        <f>BY228</f>
        <v/>
      </c>
      <c r="BY228" s="868" t="n"/>
      <c r="BZ228" s="743" t="n"/>
      <c r="CA228" s="743" t="n"/>
      <c r="CB228" s="743" t="n"/>
      <c r="CC228" s="291">
        <f>CD228</f>
        <v/>
      </c>
      <c r="CD228" s="868" t="n"/>
      <c r="CE228" s="743" t="n"/>
      <c r="CF228" s="743" t="n"/>
      <c r="CG228" s="291">
        <f>CG115*CF269/90</f>
        <v/>
      </c>
      <c r="CH228" s="291">
        <f>CH115*CG269/90</f>
        <v/>
      </c>
      <c r="CI228" s="749">
        <f>CI115*CI269/365</f>
        <v/>
      </c>
      <c r="CJ228" s="749">
        <f>CJ115*CJ269/365</f>
        <v/>
      </c>
      <c r="CK228" s="749">
        <f>CK115*CK269/365</f>
        <v/>
      </c>
      <c r="CL228" s="749">
        <f>CL115*CL269/365</f>
        <v/>
      </c>
      <c r="CM228" s="749">
        <f>CM115*CM269/365</f>
        <v/>
      </c>
      <c r="CN228" s="291" t="n"/>
      <c r="CO228" s="766" t="n"/>
      <c r="CP228" s="291" t="n"/>
      <c r="CQ228" s="694" t="n"/>
      <c r="NVU228" t="n">
        <v>8.760999999999999</v>
      </c>
      <c r="NVZ228" t="n">
        <v>24.402</v>
      </c>
      <c r="NWE228" t="n">
        <v>24.181</v>
      </c>
      <c r="NWJ228" t="n">
        <v>23.964</v>
      </c>
      <c r="NWO228" t="n">
        <v>17.962</v>
      </c>
      <c r="NWT228" t="n">
        <v>19.529</v>
      </c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>
        <f>SUM(AZ221:AZ229)</f>
        <v/>
      </c>
      <c r="BA230" s="678" t="n"/>
      <c r="BB230" s="678" t="n"/>
      <c r="BC230" s="678" t="n"/>
      <c r="BD230" s="678" t="n"/>
      <c r="BE230" s="870">
        <f>SUM(BE226:BE229)</f>
        <v/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>
        <f>SUM(BJ226:BJ229)</f>
        <v/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>
        <f>SUM(BO226:BO229)</f>
        <v/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>
        <f>SUM(BT226:BT229)</f>
        <v/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>
        <f>SUM(BY226:BY229)</f>
        <v/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>
        <f>SUM(CD226:CD229)</f>
        <v/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  <c r="NVU230" t="n">
        <v>652.772</v>
      </c>
      <c r="NVZ230" t="n">
        <v>1162.258</v>
      </c>
      <c r="NWE230" t="n">
        <v>1263.563</v>
      </c>
      <c r="NWJ230" t="n">
        <v>1335.999</v>
      </c>
      <c r="NWO230" t="n">
        <v>1037.049</v>
      </c>
      <c r="NWT230" t="n">
        <v>1209.162</v>
      </c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/>
      <c r="BA231" s="291" t="n"/>
      <c r="BB231" s="291" t="n"/>
      <c r="BC231" s="291" t="n"/>
      <c r="BD231" s="291" t="n"/>
      <c r="BE231" s="868" t="n"/>
      <c r="BF231" s="743" t="n"/>
      <c r="BG231" s="743" t="n"/>
      <c r="BH231" s="743" t="n"/>
      <c r="BI231" s="291" t="n"/>
      <c r="BJ231" s="868" t="n"/>
      <c r="BK231" s="743" t="n"/>
      <c r="BL231" s="743" t="n"/>
      <c r="BM231" s="743" t="n"/>
      <c r="BN231" s="291">
        <f>BO231</f>
        <v/>
      </c>
      <c r="BO231" s="868" t="n"/>
      <c r="BP231" s="743" t="n"/>
      <c r="BQ231" s="743" t="n"/>
      <c r="BR231" s="743" t="n"/>
      <c r="BS231" s="291">
        <f>BT231</f>
        <v/>
      </c>
      <c r="BT231" s="868" t="n"/>
      <c r="BU231" s="743" t="n"/>
      <c r="BV231" s="743" t="n"/>
      <c r="BW231" s="743" t="n"/>
      <c r="BX231" s="291">
        <f>BY231</f>
        <v/>
      </c>
      <c r="BY231" s="868" t="n"/>
      <c r="BZ231" s="743" t="n"/>
      <c r="CA231" s="743" t="n"/>
      <c r="CB231" s="743" t="n"/>
      <c r="CC231" s="291">
        <f>CD231</f>
        <v/>
      </c>
      <c r="CD231" s="868" t="n"/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  <c r="NVU231" t="n">
        <v>1074.428</v>
      </c>
      <c r="NVZ231" t="n">
        <v>2455.141</v>
      </c>
      <c r="NWE231" t="n">
        <v>2131.955</v>
      </c>
      <c r="NWJ231" t="n">
        <v>2415.472</v>
      </c>
      <c r="NWO231" t="n">
        <v>2891.087</v>
      </c>
      <c r="NWT231" t="n">
        <v>2779.326</v>
      </c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/>
      <c r="BA232" s="291" t="n"/>
      <c r="BB232" s="291" t="n"/>
      <c r="BC232" s="291" t="n"/>
      <c r="BD232" s="291" t="n"/>
      <c r="BE232" s="868" t="n"/>
      <c r="BF232" s="743" t="n"/>
      <c r="BG232" s="743" t="n"/>
      <c r="BH232" s="743" t="n"/>
      <c r="BI232" s="291" t="n"/>
      <c r="BJ232" s="868" t="n"/>
      <c r="BK232" s="743" t="n"/>
      <c r="BL232" s="743" t="n"/>
      <c r="BM232" s="743" t="n"/>
      <c r="BN232" s="291">
        <f>BO232</f>
        <v/>
      </c>
      <c r="BO232" s="868" t="n"/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  <c r="NVU232" t="n">
        <v>173.323</v>
      </c>
      <c r="NVZ232" t="n">
        <v>49.221</v>
      </c>
      <c r="NWE232" t="n">
        <v>59.188</v>
      </c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/>
      <c r="BA233" s="291" t="n"/>
      <c r="BB233" s="291" t="n"/>
      <c r="BC233" s="291" t="n"/>
      <c r="BD233" s="291" t="n"/>
      <c r="BE233" s="868" t="n"/>
      <c r="BF233" s="743" t="n"/>
      <c r="BG233" s="743" t="n"/>
      <c r="BH233" s="743" t="n"/>
      <c r="BI233" s="291" t="n"/>
      <c r="BJ233" s="868" t="n"/>
      <c r="BK233" s="743" t="n"/>
      <c r="BL233" s="743" t="n"/>
      <c r="BM233" s="743" t="n"/>
      <c r="BN233" s="291">
        <f>BO233</f>
        <v/>
      </c>
      <c r="BO233" s="868" t="n"/>
      <c r="BP233" s="743" t="n"/>
      <c r="BQ233" s="743" t="n"/>
      <c r="BR233" s="743" t="n"/>
      <c r="BS233" s="291">
        <f>BT233</f>
        <v/>
      </c>
      <c r="BT233" s="868" t="n"/>
      <c r="BU233" s="743" t="n"/>
      <c r="BV233" s="743" t="n"/>
      <c r="BW233" s="743" t="n"/>
      <c r="BX233" s="291">
        <f>BY233</f>
        <v/>
      </c>
      <c r="BY233" s="868" t="n"/>
      <c r="BZ233" s="743" t="n"/>
      <c r="CA233" s="743" t="n"/>
      <c r="CB233" s="743" t="n"/>
      <c r="CC233" s="291">
        <f>CD233</f>
        <v/>
      </c>
      <c r="CD233" s="868" t="n"/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  <c r="NVU233" t="n">
        <v>1747.663</v>
      </c>
      <c r="NVZ233" t="n">
        <v>1792.921</v>
      </c>
      <c r="NWE233" t="n">
        <v>1592.11</v>
      </c>
      <c r="NWJ233" t="n">
        <v>2019.301</v>
      </c>
      <c r="NWO233" t="n">
        <v>2642.933</v>
      </c>
      <c r="NWT233" t="n">
        <v>2864.436</v>
      </c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/>
      <c r="BA234" s="291" t="n"/>
      <c r="BB234" s="291" t="n"/>
      <c r="BC234" s="291" t="n"/>
      <c r="BD234" s="291" t="n"/>
      <c r="BE234" s="868" t="n"/>
      <c r="BF234" s="743" t="n"/>
      <c r="BG234" s="743" t="n"/>
      <c r="BH234" s="743" t="n"/>
      <c r="BI234" s="291" t="n"/>
      <c r="BJ234" s="868" t="n"/>
      <c r="BK234" s="743" t="n"/>
      <c r="BL234" s="743" t="n"/>
      <c r="BM234" s="743" t="n"/>
      <c r="BN234" s="291">
        <f>BO234</f>
        <v/>
      </c>
      <c r="BO234" s="868" t="n"/>
      <c r="BP234" s="743" t="n"/>
      <c r="BQ234" s="743" t="n"/>
      <c r="BR234" s="743" t="n"/>
      <c r="BS234" s="291">
        <f>BT234</f>
        <v/>
      </c>
      <c r="BT234" s="868" t="n"/>
      <c r="BU234" s="743" t="n"/>
      <c r="BV234" s="743" t="n"/>
      <c r="BW234" s="743" t="n"/>
      <c r="BX234" s="291">
        <f>BY234</f>
        <v/>
      </c>
      <c r="BY234" s="868" t="n"/>
      <c r="BZ234" s="743" t="n"/>
      <c r="CA234" s="743" t="n"/>
      <c r="CB234" s="743" t="n"/>
      <c r="CC234" s="291">
        <f>CD234</f>
        <v/>
      </c>
      <c r="CD234" s="868" t="n"/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  <c r="NVU234" t="n">
        <v>337.285</v>
      </c>
      <c r="NVZ234" t="n">
        <v>398.533</v>
      </c>
      <c r="NWE234" t="n">
        <v>381.64</v>
      </c>
      <c r="NWJ234" t="n">
        <v>425.63</v>
      </c>
      <c r="NWO234" t="n">
        <v>536.748</v>
      </c>
      <c r="NWT234" t="n">
        <v>590.216</v>
      </c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/>
      <c r="BA235" s="291" t="n"/>
      <c r="BB235" s="291" t="n"/>
      <c r="BC235" s="291" t="n"/>
      <c r="BD235" s="291" t="n"/>
      <c r="BE235" s="868" t="n"/>
      <c r="BF235" s="743" t="n"/>
      <c r="BG235" s="743" t="n"/>
      <c r="BH235" s="743" t="n"/>
      <c r="BI235" s="291" t="n"/>
      <c r="BJ235" s="868" t="n"/>
      <c r="BK235" s="743" t="n"/>
      <c r="BL235" s="743" t="n"/>
      <c r="BM235" s="743" t="n"/>
      <c r="BN235" s="291">
        <f>BO235</f>
        <v/>
      </c>
      <c r="BO235" s="868" t="n"/>
      <c r="BP235" s="743" t="n"/>
      <c r="BQ235" s="743" t="n"/>
      <c r="BR235" s="743" t="n"/>
      <c r="BS235" s="291">
        <f>BT235</f>
        <v/>
      </c>
      <c r="BT235" s="868" t="n"/>
      <c r="BU235" s="743" t="n"/>
      <c r="BV235" s="743" t="n"/>
      <c r="BW235" s="743" t="n"/>
      <c r="BX235" s="291">
        <f>BY235</f>
        <v/>
      </c>
      <c r="BY235" s="868" t="n"/>
      <c r="BZ235" s="743" t="n"/>
      <c r="CA235" s="743" t="n"/>
      <c r="CB235" s="743" t="n"/>
      <c r="CC235" s="291">
        <f>CD235</f>
        <v/>
      </c>
      <c r="CD235" s="868" t="n"/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  <c r="NVU235" t="n">
        <v>11.207</v>
      </c>
      <c r="NVZ235" t="n">
        <v>29.695</v>
      </c>
      <c r="NWE235" t="n">
        <v>27.047</v>
      </c>
      <c r="NWJ235" t="n">
        <v>20.615</v>
      </c>
      <c r="NWO235" t="n">
        <v>13.724</v>
      </c>
      <c r="NWT235" t="n">
        <v>10.412</v>
      </c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/>
      <c r="BA236" s="291" t="n"/>
      <c r="BB236" s="291" t="n"/>
      <c r="BC236" s="291" t="n"/>
      <c r="BD236" s="291" t="n"/>
      <c r="BE236" s="868" t="n"/>
      <c r="BF236" s="743" t="n"/>
      <c r="BG236" s="743" t="n"/>
      <c r="BH236" s="743" t="n"/>
      <c r="BI236" s="291" t="n"/>
      <c r="BJ236" s="868" t="n"/>
      <c r="BK236" s="743" t="n"/>
      <c r="BL236" s="743" t="n"/>
      <c r="BM236" s="743" t="n"/>
      <c r="BN236" s="291">
        <f>BO236</f>
        <v/>
      </c>
      <c r="BO236" s="868" t="n"/>
      <c r="BP236" s="743" t="n"/>
      <c r="BQ236" s="743" t="n"/>
      <c r="BR236" s="743" t="n"/>
      <c r="BS236" s="291">
        <f>BT236</f>
        <v/>
      </c>
      <c r="BT236" s="868" t="n"/>
      <c r="BU236" s="743" t="n"/>
      <c r="BV236" s="743" t="n"/>
      <c r="BW236" s="743" t="n"/>
      <c r="BX236" s="291">
        <f>BY236</f>
        <v/>
      </c>
      <c r="BY236" s="868" t="n"/>
      <c r="BZ236" s="743" t="n"/>
      <c r="CA236" s="743" t="n"/>
      <c r="CB236" s="743" t="n"/>
      <c r="CC236" s="291">
        <f>CD236</f>
        <v/>
      </c>
      <c r="CD236" s="868" t="n"/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  <c r="NVU236" t="n">
        <v>23.899</v>
      </c>
      <c r="NVZ236" t="n">
        <v>13.724</v>
      </c>
      <c r="NWE236" t="n">
        <v>19.192</v>
      </c>
      <c r="NWJ236" t="n">
        <v>16.394</v>
      </c>
      <c r="NWO236" t="n">
        <v>22.188</v>
      </c>
      <c r="NWT236" t="n">
        <v>30.729</v>
      </c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>
        <f>AZ230+SUM(AZ231:AZ236)</f>
        <v/>
      </c>
      <c r="BA237" s="819" t="n"/>
      <c r="BB237" s="819" t="n"/>
      <c r="BC237" s="819" t="n"/>
      <c r="BD237" s="819" t="n"/>
      <c r="BE237" s="880">
        <f>BE230+SUM(BE231:BE236)</f>
        <v/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>
        <f>BJ230+SUM(BJ231:BJ236)</f>
        <v/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>
        <f>BO230+SUM(BO231:BO236)</f>
        <v/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>
        <f>BT230+SUM(BT231:BT236)</f>
        <v/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>
        <f>BY230+SUM(BY231:BY236)</f>
        <v/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>
        <f>CD230+SUM(CD231:CD236)</f>
        <v/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  <c r="NVU237" t="n">
        <v>3847.254</v>
      </c>
      <c r="NVZ237" t="n">
        <v>5883.663</v>
      </c>
      <c r="NWE237" t="n">
        <v>5505.83</v>
      </c>
      <c r="NWJ237" t="n">
        <v>6283.62</v>
      </c>
      <c r="NWO237" t="n">
        <v>7165.826</v>
      </c>
      <c r="NWT237" t="n">
        <v>7509.235</v>
      </c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/>
      <c r="BA241" s="291" t="n"/>
      <c r="BB241" s="291" t="n"/>
      <c r="BC241" s="291" t="n"/>
      <c r="BD241" s="291" t="n"/>
      <c r="BE241" s="868" t="n"/>
      <c r="BF241" s="743" t="n"/>
      <c r="BG241" s="743" t="n"/>
      <c r="BH241" s="743" t="n"/>
      <c r="BI241" s="291" t="n"/>
      <c r="BJ241" s="868" t="n"/>
      <c r="BK241" s="743" t="n"/>
      <c r="BL241" s="743" t="n"/>
      <c r="BM241" s="743" t="n"/>
      <c r="BN241" s="291">
        <f>BO241</f>
        <v/>
      </c>
      <c r="BO241" s="868" t="n"/>
      <c r="BP241" s="743" t="n"/>
      <c r="BQ241" s="743" t="n"/>
      <c r="BR241" s="743" t="n"/>
      <c r="BS241" s="291">
        <f>BT241</f>
        <v/>
      </c>
      <c r="BT241" s="868" t="n"/>
      <c r="BU241" s="291" t="n"/>
      <c r="BV241" s="291" t="n"/>
      <c r="BW241" s="291" t="n"/>
      <c r="BX241" s="291">
        <f>BY241</f>
        <v/>
      </c>
      <c r="BY241" s="868" t="n"/>
      <c r="BZ241" s="291" t="n"/>
      <c r="CA241" s="291" t="n"/>
      <c r="CB241" s="291" t="n"/>
      <c r="CC241" s="291">
        <f>CD241</f>
        <v/>
      </c>
      <c r="CD241" s="868" t="n"/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  <c r="NVU241" t="n">
        <v>42.997</v>
      </c>
      <c r="NVZ241" t="n">
        <v>363.586</v>
      </c>
      <c r="NWE241" t="n">
        <v>37.087</v>
      </c>
      <c r="NWJ241" t="n">
        <v>174.351</v>
      </c>
      <c r="NWO241" t="n">
        <v>93.453</v>
      </c>
      <c r="NWT241" t="n">
        <v>222.498</v>
      </c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/>
      <c r="BA243" s="291" t="n"/>
      <c r="BB243" s="291" t="n"/>
      <c r="BC243" s="291" t="n"/>
      <c r="BD243" s="291" t="n"/>
      <c r="BE243" s="868" t="n"/>
      <c r="BF243" s="743" t="n"/>
      <c r="BG243" s="743" t="n"/>
      <c r="BH243" s="743" t="n"/>
      <c r="BI243" s="291" t="n"/>
      <c r="BJ243" s="868" t="n"/>
      <c r="BK243" s="743" t="n"/>
      <c r="BL243" s="743" t="n"/>
      <c r="BM243" s="743" t="n"/>
      <c r="BN243" s="291">
        <f>BO243</f>
        <v/>
      </c>
      <c r="BO243" s="868" t="n"/>
      <c r="BP243" s="743" t="n"/>
      <c r="BQ243" s="743" t="n"/>
      <c r="BR243" s="743" t="n"/>
      <c r="BS243" s="291">
        <f>BT243</f>
        <v/>
      </c>
      <c r="BT243" s="868" t="n"/>
      <c r="BU243" s="743" t="n"/>
      <c r="BV243" s="743" t="n"/>
      <c r="BW243" s="743" t="n"/>
      <c r="BX243" s="291">
        <f>BY243</f>
        <v/>
      </c>
      <c r="BY243" s="868" t="n"/>
      <c r="BZ243" s="743" t="n"/>
      <c r="CA243" s="743" t="n"/>
      <c r="CB243" s="743" t="n"/>
      <c r="CC243" s="291">
        <f>CD243</f>
        <v/>
      </c>
      <c r="CD243" s="868" t="n"/>
      <c r="CE243" s="743" t="n"/>
      <c r="CF243" s="743" t="n"/>
      <c r="CG243" s="291">
        <f>CG115*CF270/90</f>
        <v/>
      </c>
      <c r="CH243" s="291">
        <f>CH115*CG270/90</f>
        <v/>
      </c>
      <c r="CI243" s="749">
        <f>CI115*CI270/365</f>
        <v/>
      </c>
      <c r="CJ243" s="749">
        <f>CJ115*CJ270/365</f>
        <v/>
      </c>
      <c r="CK243" s="749">
        <f>CK115*CK270/365</f>
        <v/>
      </c>
      <c r="CL243" s="749">
        <f>CL115*CL270/365</f>
        <v/>
      </c>
      <c r="CM243" s="749">
        <f>CM115*CM270/365</f>
        <v/>
      </c>
      <c r="CN243" s="291" t="n"/>
      <c r="CO243" s="766" t="n"/>
      <c r="CP243" s="291" t="n"/>
      <c r="CQ243" s="693" t="n"/>
      <c r="NVU243" t="n">
        <v>468.238</v>
      </c>
      <c r="NVZ243" t="n">
        <v>861.908</v>
      </c>
      <c r="NWE243" t="n">
        <v>708.768</v>
      </c>
      <c r="NWJ243" t="n">
        <v>671.936</v>
      </c>
      <c r="NWO243" t="n">
        <v>639.1900000000001</v>
      </c>
      <c r="NWT243" t="n">
        <v>667.246</v>
      </c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>
        <f>SUM(AZ241:AZ246)</f>
        <v/>
      </c>
      <c r="BA247" s="678" t="n"/>
      <c r="BB247" s="678" t="n"/>
      <c r="BC247" s="678" t="n"/>
      <c r="BD247" s="678" t="n"/>
      <c r="BE247" s="870">
        <f>SUM(BE241:BE246)</f>
        <v/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>
        <f>SUM(BJ241:BJ246)</f>
        <v/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>
        <f>SUM(BO241:BO246)</f>
        <v/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>
        <f>SUM(BT241:BT246)</f>
        <v/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>
        <f>SUM(BY241:BY246)</f>
        <v/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>
        <f>SUM(CD241:CD246)</f>
        <v/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  <c r="NVU247" t="n">
        <v>654.46</v>
      </c>
      <c r="NVZ247" t="n">
        <v>1406.968</v>
      </c>
      <c r="NWE247" t="n">
        <v>966.681</v>
      </c>
      <c r="NWJ247" t="n">
        <v>1066.111</v>
      </c>
      <c r="NWO247" t="n">
        <v>1018.624</v>
      </c>
      <c r="NWT247" t="n">
        <v>1170.477</v>
      </c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/>
      <c r="BA248" s="291" t="n"/>
      <c r="BB248" s="291" t="n"/>
      <c r="BC248" s="291" t="n"/>
      <c r="BD248" s="291" t="n"/>
      <c r="BE248" s="868" t="n"/>
      <c r="BF248" s="743" t="n"/>
      <c r="BG248" s="743" t="n"/>
      <c r="BH248" s="743" t="n"/>
      <c r="BI248" s="291" t="n"/>
      <c r="BJ248" s="868" t="n"/>
      <c r="BK248" s="743" t="n"/>
      <c r="BL248" s="743" t="n"/>
      <c r="BM248" s="743" t="n"/>
      <c r="BN248" s="291">
        <f>BO248</f>
        <v/>
      </c>
      <c r="BO248" s="868" t="n"/>
      <c r="BP248" s="743" t="n"/>
      <c r="BQ248" s="743" t="n"/>
      <c r="BR248" s="743" t="n"/>
      <c r="BS248" s="291">
        <f>BT248</f>
        <v/>
      </c>
      <c r="BT248" s="868" t="n"/>
      <c r="BU248" s="743" t="n"/>
      <c r="BV248" s="743" t="n"/>
      <c r="BW248" s="743" t="n"/>
      <c r="BX248" s="291">
        <f>BY248</f>
        <v/>
      </c>
      <c r="BY248" s="868" t="n"/>
      <c r="BZ248" s="743" t="n"/>
      <c r="CA248" s="743" t="n"/>
      <c r="CB248" s="743" t="n"/>
      <c r="CC248" s="291">
        <f>CD248</f>
        <v/>
      </c>
      <c r="CD248" s="868" t="n"/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  <c r="NVU248" t="n">
        <v>829.547</v>
      </c>
      <c r="NVZ248" t="n">
        <v>1244.508</v>
      </c>
      <c r="NWE248" t="n">
        <v>1278.67</v>
      </c>
      <c r="NWJ248" t="n">
        <v>1709.831</v>
      </c>
      <c r="NWO248" t="n">
        <v>2309.428</v>
      </c>
      <c r="NWT248" t="n">
        <v>2355.477</v>
      </c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/>
      <c r="BA249" s="291" t="n"/>
      <c r="BB249" s="291" t="n"/>
      <c r="BC249" s="291" t="n"/>
      <c r="BD249" s="291" t="n"/>
      <c r="BE249" s="868" t="n"/>
      <c r="BF249" s="291" t="n"/>
      <c r="BG249" s="291" t="n"/>
      <c r="BH249" s="291" t="n"/>
      <c r="BI249" s="291" t="n"/>
      <c r="BJ249" s="868" t="n"/>
      <c r="BK249" s="291" t="n"/>
      <c r="BL249" s="291" t="n"/>
      <c r="BM249" s="291" t="n"/>
      <c r="BN249" s="291" t="n"/>
      <c r="BO249" s="868" t="n"/>
      <c r="BP249" s="291" t="n"/>
      <c r="BQ249" s="291" t="n"/>
      <c r="BR249" s="291" t="n"/>
      <c r="BS249" s="291" t="n"/>
      <c r="BT249" s="868" t="n"/>
      <c r="BU249" s="291" t="n"/>
      <c r="BV249" s="291" t="n"/>
      <c r="BW249" s="291" t="n"/>
      <c r="BX249" s="291" t="n"/>
      <c r="BY249" s="868" t="n"/>
      <c r="BZ249" s="291" t="n"/>
      <c r="CA249" s="291" t="n"/>
      <c r="CB249" s="291" t="n"/>
      <c r="CC249" s="291" t="n"/>
      <c r="CD249" s="868" t="n"/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  <c r="NVU249" t="n">
        <v>267.464</v>
      </c>
      <c r="NVZ249" t="n">
        <v>313.862</v>
      </c>
      <c r="NWE249" t="n">
        <v>297.105</v>
      </c>
      <c r="NWJ249" t="n">
        <v>332.761</v>
      </c>
      <c r="NWO249" t="n">
        <v>421.213</v>
      </c>
      <c r="NWT249" t="n">
        <v>472.473</v>
      </c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/>
      <c r="BA251" s="291" t="n"/>
      <c r="BB251" s="291" t="n"/>
      <c r="BC251" s="291" t="n"/>
      <c r="BD251" s="291" t="n"/>
      <c r="BE251" s="868" t="n"/>
      <c r="BF251" s="743" t="n"/>
      <c r="BG251" s="743" t="n"/>
      <c r="BH251" s="743" t="n"/>
      <c r="BI251" s="291" t="n"/>
      <c r="BJ251" s="868" t="n"/>
      <c r="BK251" s="743" t="n"/>
      <c r="BL251" s="743" t="n"/>
      <c r="BM251" s="743" t="n"/>
      <c r="BN251" s="291">
        <f>BO251</f>
        <v/>
      </c>
      <c r="BO251" s="868" t="n"/>
      <c r="BP251" s="743" t="n"/>
      <c r="BQ251" s="743" t="n"/>
      <c r="BR251" s="743" t="n"/>
      <c r="BS251" s="291">
        <f>BT251</f>
        <v/>
      </c>
      <c r="BT251" s="868" t="n"/>
      <c r="BU251" s="743" t="n"/>
      <c r="BV251" s="743" t="n"/>
      <c r="BW251" s="743" t="n"/>
      <c r="BX251" s="291">
        <f>BY251</f>
        <v/>
      </c>
      <c r="BY251" s="868" t="n"/>
      <c r="BZ251" s="743" t="n"/>
      <c r="CA251" s="743" t="n"/>
      <c r="CB251" s="743" t="n"/>
      <c r="CC251" s="291">
        <f>CD251</f>
        <v/>
      </c>
      <c r="CD251" s="868" t="n"/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  <c r="NVU251" t="n">
        <v>232.167</v>
      </c>
      <c r="NVZ251" t="n">
        <v>423.755</v>
      </c>
      <c r="NWE251" t="n">
        <v>368.186</v>
      </c>
      <c r="NWJ251" t="n">
        <v>433.242</v>
      </c>
      <c r="NWO251" t="n">
        <v>508.428</v>
      </c>
      <c r="NWT251" t="n">
        <v>546.751</v>
      </c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>
        <f>AZ247+SUM(AZ248:AZ252)</f>
        <v/>
      </c>
      <c r="BA253" s="819" t="n"/>
      <c r="BB253" s="819" t="n"/>
      <c r="BC253" s="819" t="n"/>
      <c r="BD253" s="819" t="n"/>
      <c r="BE253" s="880">
        <f>BE247+SUM(BE248:BE252)</f>
        <v/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>
        <f>BJ247+SUM(BJ248:BJ252)</f>
        <v/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>
        <f>BO247+SUM(BO248:BO252)</f>
        <v/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>
        <f>BT247+SUM(BT248:BT252)</f>
        <v/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>
        <f>BY247+SUM(BY248:BY252)</f>
        <v/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>
        <f>CD247+SUM(CD248:CD252)</f>
        <v/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  <c r="NVU253" t="n">
        <v>2058.642</v>
      </c>
      <c r="NVZ253" t="n">
        <v>3573.308</v>
      </c>
      <c r="NWE253" t="n">
        <v>3042.76</v>
      </c>
      <c r="NWJ253" t="n">
        <v>3692.21</v>
      </c>
      <c r="NWO253" t="n">
        <v>4492.551</v>
      </c>
      <c r="NWT253" t="n">
        <v>4831.608</v>
      </c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/>
      <c r="BA260" s="818" t="n"/>
      <c r="BB260" s="818" t="n"/>
      <c r="BC260" s="818" t="n"/>
      <c r="BD260" s="818" t="n"/>
      <c r="BE260" s="925">
        <f>SUM(BE255:BE259)</f>
        <v/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>
        <f>SUM(BJ255:BJ259)</f>
        <v/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>
        <f>SUM(BO255:BO259)</f>
        <v/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>
        <f>SUM(BT255:BT259)</f>
        <v/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>
        <f>SUM(BY255:BY259)</f>
        <v/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>
        <f>SUM(CD255:CD259)</f>
        <v/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SUM(CI255:CI259)</f>
        <v/>
      </c>
      <c r="CJ260" s="849">
        <f>SUM(CJ255:CJ259)</f>
        <v/>
      </c>
      <c r="CK260" s="849">
        <f>SUM(CK255:CK259)</f>
        <v/>
      </c>
      <c r="CL260" s="849">
        <f>SUM(CL255:CL259)</f>
        <v/>
      </c>
      <c r="CM260" s="849">
        <f>SUM(CM255:CM259)</f>
        <v/>
      </c>
      <c r="CN260" s="678" t="n"/>
      <c r="CO260" s="689">
        <f>(CM260/CD260)^(1/5)-1</f>
        <v/>
      </c>
      <c r="CP260" s="678" t="n"/>
      <c r="CQ260" s="694" t="n"/>
      <c r="NVU260" t="n">
        <v>1788.612</v>
      </c>
      <c r="NVZ260" t="n">
        <v>2310.355</v>
      </c>
      <c r="NWE260" t="n">
        <v>2463.07</v>
      </c>
      <c r="NWJ260" t="n">
        <v>2591.41</v>
      </c>
      <c r="NWO260" t="n">
        <v>2673.275</v>
      </c>
      <c r="NWT260" t="n">
        <v>2677.627</v>
      </c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>
        <f>AZ253+AZ260</f>
        <v/>
      </c>
      <c r="BA261" s="819" t="n"/>
      <c r="BB261" s="819" t="n"/>
      <c r="BC261" s="819" t="n"/>
      <c r="BD261" s="819" t="n"/>
      <c r="BE261" s="880">
        <f>BE253+BE260</f>
        <v/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>
        <f>BJ253+BJ260</f>
        <v/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>
        <f>BO253+BO260</f>
        <v/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>
        <f>BT253+BT260</f>
        <v/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>
        <f>BY253+BY260</f>
        <v/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>
        <f>CD253+CD260</f>
        <v/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  <c r="NVU261" t="n">
        <v>3847.254</v>
      </c>
      <c r="NVZ261" t="n">
        <v>5883.663</v>
      </c>
      <c r="NWE261" t="n">
        <v>5505.83</v>
      </c>
      <c r="NWJ261" t="n">
        <v>6283.62</v>
      </c>
      <c r="NWO261" t="n">
        <v>7165.826</v>
      </c>
      <c r="NWT261" t="n">
        <v>7509.235</v>
      </c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 t="n"/>
      <c r="CJ268" s="1060" t="n"/>
      <c r="CK268" s="1060" t="n"/>
      <c r="CL268" s="1060">
        <f>CK268</f>
        <v/>
      </c>
      <c r="CM268" s="1060">
        <f>CL268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>
        <f>IFERROR(G228/G115*365,"n/a")</f>
        <v/>
      </c>
      <c r="H269" s="1058" t="n"/>
      <c r="I269" s="1058" t="n"/>
      <c r="J269" s="1058" t="n"/>
      <c r="K269" s="1058" t="n"/>
      <c r="L269" s="1057">
        <f>IFERROR(L228/L115*365,"n/a")</f>
        <v/>
      </c>
      <c r="M269" s="1058" t="n"/>
      <c r="N269" s="1058" t="n"/>
      <c r="O269" s="1058" t="n"/>
      <c r="P269" s="1058" t="n"/>
      <c r="Q269" s="1057">
        <f>IFERROR(Q228/Q115*365,"n/a")</f>
        <v/>
      </c>
      <c r="R269" s="1058" t="n"/>
      <c r="S269" s="1058" t="n"/>
      <c r="T269" s="1058" t="n"/>
      <c r="U269" s="1058" t="n"/>
      <c r="V269" s="1057">
        <f>IFERROR(V228/V115*365,"n/a")</f>
        <v/>
      </c>
      <c r="W269" s="1058" t="n"/>
      <c r="X269" s="1058" t="n"/>
      <c r="Y269" s="1058" t="n"/>
      <c r="Z269" s="1058" t="n"/>
      <c r="AA269" s="1057">
        <f>IFERROR(AA228/AA115*365,"n/a")</f>
        <v/>
      </c>
      <c r="AB269" s="1058" t="n"/>
      <c r="AC269" s="1058" t="n"/>
      <c r="AD269" s="1058" t="n"/>
      <c r="AE269" s="1058" t="n"/>
      <c r="AF269" s="1057">
        <f>IFERROR(AF228/AF115*365,"n/a")</f>
        <v/>
      </c>
      <c r="AG269" s="1058" t="n"/>
      <c r="AH269" s="1058" t="n"/>
      <c r="AI269" s="1058" t="n"/>
      <c r="AJ269" s="1058" t="n"/>
      <c r="AK269" s="1057">
        <f>IFERROR(AK228/AK115*365,"n/a")</f>
        <v/>
      </c>
      <c r="AL269" s="1058" t="n"/>
      <c r="AM269" s="1058" t="n"/>
      <c r="AN269" s="1058" t="n"/>
      <c r="AO269" s="1058" t="n"/>
      <c r="AP269" s="1057">
        <f>IFERROR(AP228/AP115*365,"n/a")</f>
        <v/>
      </c>
      <c r="AQ269" s="1058" t="n"/>
      <c r="AR269" s="1058" t="n"/>
      <c r="AS269" s="1058" t="n"/>
      <c r="AT269" s="1058" t="n"/>
      <c r="AU269" s="1057">
        <f>IFERROR(AU228/AU115*365,"n/a")</f>
        <v/>
      </c>
      <c r="AV269" s="1058" t="n"/>
      <c r="AW269" s="1058" t="n"/>
      <c r="AX269" s="1058" t="n"/>
      <c r="AY269" s="1058" t="n"/>
      <c r="AZ269" s="1057">
        <f>IFERROR(AZ228/AZ115*365,"n/a")</f>
        <v/>
      </c>
      <c r="BE269" s="1057">
        <f>IFERROR(BE228/BE115*365,"n/a")</f>
        <v/>
      </c>
      <c r="BF269" s="1058" t="n"/>
      <c r="BG269" s="1058" t="n"/>
      <c r="BH269" s="1058" t="n"/>
      <c r="BI269" s="1058" t="n"/>
      <c r="BJ269" s="1057">
        <f>IFERROR(BJ228/BJ115*365,"n/a")</f>
        <v/>
      </c>
      <c r="BK269" s="1058" t="n"/>
      <c r="BL269" s="1058" t="n"/>
      <c r="BM269" s="1058" t="n"/>
      <c r="BN269" s="1058" t="n"/>
      <c r="BO269" s="1057">
        <f>IFERROR(BO228/BO115*365,"n/a")</f>
        <v/>
      </c>
      <c r="BP269" s="1058" t="n"/>
      <c r="BQ269" s="1058" t="n"/>
      <c r="BR269" s="1058" t="n"/>
      <c r="BS269" s="1058" t="n"/>
      <c r="BT269" s="1057">
        <f>IFERROR(BT228/BT115*365,"n/a")</f>
        <v/>
      </c>
      <c r="BU269" s="1058" t="n"/>
      <c r="BV269" s="1058" t="n"/>
      <c r="BW269" s="1058" t="n"/>
      <c r="BX269" s="1058" t="n"/>
      <c r="BY269" s="1057">
        <f>IFERROR(BY228/BY115*365,"n/a")</f>
        <v/>
      </c>
      <c r="BZ269" s="1058" t="n"/>
      <c r="CA269" s="1058" t="n"/>
      <c r="CB269" s="1058" t="n"/>
      <c r="CC269" s="1058" t="n"/>
      <c r="CD269" s="1057">
        <f>IFERROR(CD228/CD115*365,"n/a")</f>
        <v/>
      </c>
      <c r="CE269" s="1059">
        <f>IFERROR(CE228/CE115*90,"n/a")</f>
        <v/>
      </c>
      <c r="CF269" s="1059">
        <f>IFERROR(CF228/CF115*90,"n/a")</f>
        <v/>
      </c>
      <c r="CG269" s="1059">
        <f>CI269</f>
        <v/>
      </c>
      <c r="CH269" s="1059">
        <f>CG269</f>
        <v/>
      </c>
      <c r="CI269" s="1060" t="n"/>
      <c r="CJ269" s="1060" t="n"/>
      <c r="CK269" s="1060" t="n"/>
      <c r="CL269" s="1060" t="n"/>
      <c r="CM269" s="1060">
        <f>CL269</f>
        <v/>
      </c>
      <c r="CQ269" s="693" t="n"/>
    </row>
    <row r="270" ht="16.5" customHeight="1">
      <c r="B270" t="inlineStr">
        <is>
          <t xml:space="preserve">  DPO (Accounts payable / COGS × 365)</t>
        </is>
      </c>
      <c r="G270" s="1057">
        <f>IFERROR(G243/G115*365,"n/a")</f>
        <v/>
      </c>
      <c r="H270" s="1058" t="n"/>
      <c r="I270" s="1058" t="n"/>
      <c r="J270" s="1058" t="n"/>
      <c r="K270" s="1058" t="n"/>
      <c r="L270" s="1057">
        <f>IFERROR(L243/L115*365,"n/a")</f>
        <v/>
      </c>
      <c r="M270" s="1058" t="n"/>
      <c r="N270" s="1058" t="n"/>
      <c r="O270" s="1058" t="n"/>
      <c r="P270" s="1058" t="n"/>
      <c r="Q270" s="1057">
        <f>IFERROR(Q243/Q115*365,"n/a")</f>
        <v/>
      </c>
      <c r="R270" s="1058" t="n"/>
      <c r="S270" s="1058" t="n"/>
      <c r="T270" s="1058" t="n"/>
      <c r="U270" s="1058" t="n"/>
      <c r="V270" s="1057">
        <f>IFERROR(V243/V115*365,"n/a")</f>
        <v/>
      </c>
      <c r="W270" s="1058" t="n"/>
      <c r="X270" s="1058" t="n"/>
      <c r="Y270" s="1058" t="n"/>
      <c r="Z270" s="1058" t="n"/>
      <c r="AA270" s="1057">
        <f>IFERROR(AA243/AA115*365,"n/a")</f>
        <v/>
      </c>
      <c r="AB270" s="1058" t="n"/>
      <c r="AC270" s="1058" t="n"/>
      <c r="AD270" s="1058" t="n"/>
      <c r="AE270" s="1058" t="n"/>
      <c r="AF270" s="1057">
        <f>IFERROR(AF243/AF115*365,"n/a")</f>
        <v/>
      </c>
      <c r="AG270" s="1058" t="n"/>
      <c r="AH270" s="1058" t="n"/>
      <c r="AI270" s="1058" t="n"/>
      <c r="AJ270" s="1058" t="n"/>
      <c r="AK270" s="1057">
        <f>IFERROR(AK243/AK115*365,"n/a")</f>
        <v/>
      </c>
      <c r="AL270" s="1058" t="n"/>
      <c r="AM270" s="1058" t="n"/>
      <c r="AN270" s="1058" t="n"/>
      <c r="AO270" s="1058" t="n"/>
      <c r="AP270" s="1057">
        <f>IFERROR(AP243/AP115*365,"n/a")</f>
        <v/>
      </c>
      <c r="AQ270" s="1058" t="n"/>
      <c r="AR270" s="1058" t="n"/>
      <c r="AS270" s="1058" t="n"/>
      <c r="AT270" s="1058" t="n"/>
      <c r="AU270" s="1057">
        <f>IFERROR(AU243/AU115*365,"n/a")</f>
        <v/>
      </c>
      <c r="AV270" s="1058" t="n"/>
      <c r="AW270" s="1058" t="n"/>
      <c r="AX270" s="1058" t="n"/>
      <c r="AY270" s="1058" t="n"/>
      <c r="AZ270" s="1057">
        <f>IFERROR(AZ243/AZ115*365,"n/a")</f>
        <v/>
      </c>
      <c r="BE270" s="1057">
        <f>IFERROR(BE243/BE115*365,"n/a")</f>
        <v/>
      </c>
      <c r="BF270" s="1058" t="n"/>
      <c r="BG270" s="1058" t="n"/>
      <c r="BH270" s="1058" t="n"/>
      <c r="BI270" s="1058" t="n"/>
      <c r="BJ270" s="1057">
        <f>IFERROR(BJ243/BJ115*365,"n/a")</f>
        <v/>
      </c>
      <c r="BK270" s="1058" t="n"/>
      <c r="BL270" s="1058" t="n"/>
      <c r="BM270" s="1058" t="n"/>
      <c r="BN270" s="1058" t="n"/>
      <c r="BO270" s="1057">
        <f>IFERROR(BO243/BO115*365,"n/a")</f>
        <v/>
      </c>
      <c r="BP270" s="1058" t="n"/>
      <c r="BQ270" s="1058" t="n"/>
      <c r="BR270" s="1058" t="n"/>
      <c r="BS270" s="1058" t="n"/>
      <c r="BT270" s="1057">
        <f>IFERROR(BT243/BT115*365,"n/a")</f>
        <v/>
      </c>
      <c r="BU270" s="1058" t="n"/>
      <c r="BV270" s="1058" t="n"/>
      <c r="BW270" s="1058" t="n"/>
      <c r="BX270" s="1058" t="n"/>
      <c r="BY270" s="1057">
        <f>IFERROR(BY243/BY115*365,"n/a")</f>
        <v/>
      </c>
      <c r="BZ270" s="1058" t="n"/>
      <c r="CA270" s="1058" t="n"/>
      <c r="CB270" s="1058" t="n"/>
      <c r="CC270" s="1058" t="n"/>
      <c r="CD270" s="1057">
        <f>IFERROR(CD243/CD115*365,"n/a")</f>
        <v/>
      </c>
      <c r="CE270" s="1059">
        <f>IFERROR(CE243/CE115*90,"n/a")</f>
        <v/>
      </c>
      <c r="CF270" s="1059">
        <f>IFERROR(CF243/CF115*90,"n/a")</f>
        <v/>
      </c>
      <c r="CG270" s="1059">
        <f>CI270</f>
        <v/>
      </c>
      <c r="CH270" s="1059">
        <f>CG270</f>
        <v/>
      </c>
      <c r="CI270" s="1060" t="n"/>
      <c r="CJ270" s="1060" t="n"/>
      <c r="CK270" s="1060">
        <f>CJ270</f>
        <v/>
      </c>
      <c r="CL270" s="1060">
        <f>CK270</f>
        <v/>
      </c>
      <c r="CM270" s="1060">
        <f>CL270</f>
        <v/>
      </c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 t="n"/>
      <c r="CJ272" s="1067" t="n"/>
      <c r="CK272" s="1067" t="n"/>
      <c r="CL272" s="1067" t="n"/>
      <c r="CM272" s="1067" t="n"/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 t="n"/>
      <c r="CJ273" s="1067" t="n"/>
      <c r="CK273" s="1067" t="n"/>
      <c r="CL273" s="1067" t="n"/>
      <c r="CM273" s="1067" t="n"/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 t="n"/>
      <c r="CJ274" s="1067" t="n"/>
      <c r="CK274" s="1067" t="n"/>
      <c r="CL274" s="1067" t="n"/>
      <c r="CM274" s="1067" t="n"/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 t="n"/>
      <c r="CJ275" s="1067" t="n"/>
      <c r="CK275" s="1067" t="n"/>
      <c r="CL275" s="1067" t="n"/>
      <c r="CM275" s="1067" t="n"/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 t="n"/>
      <c r="CJ278" s="1067" t="n"/>
      <c r="CK278" s="1067" t="n"/>
      <c r="CL278" s="1067" t="n"/>
      <c r="CM278" s="1067" t="n"/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 t="n"/>
      <c r="CJ279" s="1067" t="n"/>
      <c r="CK279" s="1067" t="n"/>
      <c r="CL279" s="1067" t="n"/>
      <c r="CM279" s="1067" t="n"/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 t="n"/>
      <c r="CJ281" s="1067" t="n"/>
      <c r="CK281" s="1067" t="n"/>
      <c r="CL281" s="1067" t="n"/>
      <c r="CM281" s="1067" t="n"/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 t="n"/>
      <c r="CJ287" s="1067" t="n"/>
      <c r="CK287" s="1067" t="n"/>
      <c r="CL287" s="1067" t="n"/>
      <c r="CM287" s="1067" t="n"/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 t="n"/>
      <c r="CJ288" s="1067" t="n"/>
      <c r="CK288" s="1067" t="n"/>
      <c r="CL288" s="1067" t="n"/>
      <c r="CM288" s="1067" t="n"/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 t="n"/>
      <c r="CJ289" s="1067" t="n"/>
      <c r="CK289" s="1067" t="n"/>
      <c r="CL289" s="1067" t="n"/>
      <c r="CM289" s="1067" t="n"/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 t="n"/>
      <c r="CJ290" s="1067" t="n"/>
      <c r="CK290" s="1067" t="n"/>
      <c r="CL290" s="1067" t="n"/>
      <c r="CM290" s="1067" t="n"/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 t="n"/>
      <c r="CJ291" s="1067" t="n"/>
      <c r="CK291" s="1067" t="n"/>
      <c r="CL291" s="1067" t="n"/>
      <c r="CM291" s="1067" t="n"/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 t="n"/>
      <c r="CJ294" s="796" t="n"/>
      <c r="CK294" s="796" t="n"/>
      <c r="CL294" s="796" t="n"/>
      <c r="CM294" s="796" t="n"/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 t="n"/>
      <c r="CJ299" s="959" t="n"/>
      <c r="CK299" s="959" t="n"/>
      <c r="CL299" s="959" t="n"/>
      <c r="CM299" s="959" t="n"/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 t="n"/>
      <c r="CJ302" s="960" t="n"/>
      <c r="CK302" s="960" t="n"/>
      <c r="CL302" s="960" t="n"/>
      <c r="CM302" s="960" t="n"/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BY151</f>
        <v/>
      </c>
      <c r="BZ333" s="974" t="n"/>
      <c r="CA333" s="974" t="n"/>
      <c r="CB333" s="974" t="n"/>
      <c r="CC333" s="974" t="n"/>
      <c r="CD333" s="975">
        <f>CD151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CI151</f>
        <v/>
      </c>
      <c r="CJ333" s="976">
        <f>CJ151</f>
        <v/>
      </c>
      <c r="CK333" s="976">
        <f>CK151</f>
        <v/>
      </c>
      <c r="CL333" s="976">
        <f>CL151</f>
        <v/>
      </c>
      <c r="CM333" s="976">
        <f>CM151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IFERROR(IF(ISNUMBER(BE150),IF(BE150&gt;0,BE150,BE126),BE126),"n/a")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IFERROR(IF(ISNUMBER(BJ150),IF(BJ150&gt;0,BJ150,BJ126),BJ126),"n/a")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IFERROR(IF(ISNUMBER(BO150),IF(BO150&gt;0,BO150,BO126),BO126),"n/a")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IFERROR(IF(ISNUMBER(BT150),IF(BT150&gt;0,BT150,BT126),BT126),"n/a")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IFERROR(IF(ISNUMBER(BY150),IF(BY150&gt;0,BY150,BY126),BY126),"n/a")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IFERROR(IF(ISNUMBER(CD150),IF(CD150&gt;0,CD150,CD126),CD126),"n/a")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IFERROR(IF(ISNUMBER(CI150),IF(CI150&gt;0,CI150,CI126),CI126),"n/a")</f>
        <v/>
      </c>
      <c r="CJ339" s="1078">
        <f>IFERROR(IF(ISNUMBER(CJ150),IF(CJ150&gt;0,CJ150,CJ126),CJ126),"n/a")</f>
        <v/>
      </c>
      <c r="CK339" s="1078">
        <f>IFERROR(IF(ISNUMBER(CK150),IF(CK150&gt;0,CK150,CK126),CK126),"n/a")</f>
        <v/>
      </c>
      <c r="CL339" s="1078">
        <f>IFERROR(IF(ISNUMBER(CL150),IF(CL150&gt;0,CL150,CL126),CL126),"n/a")</f>
        <v/>
      </c>
      <c r="CM339" s="1078">
        <f>IFERROR(IF(ISNUMBER(CM150),IF(CM150&gt;0,CM150,CM126),CM126),"n/a")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IFERROR(BE155,"n/a")</f>
        <v/>
      </c>
      <c r="BF349" s="974" t="n"/>
      <c r="BG349" s="974" t="n"/>
      <c r="BH349" s="974" t="n"/>
      <c r="BI349" s="974" t="n"/>
      <c r="BJ349" s="1076">
        <f>IFERROR(BJ155,"n/a")</f>
        <v/>
      </c>
      <c r="BK349" s="974" t="n"/>
      <c r="BL349" s="974" t="n"/>
      <c r="BM349" s="974" t="n"/>
      <c r="BN349" s="974" t="n"/>
      <c r="BO349" s="1076">
        <f>IFERROR(BO155,"n/a")</f>
        <v/>
      </c>
      <c r="BP349" s="974" t="n"/>
      <c r="BQ349" s="974" t="n"/>
      <c r="BR349" s="974" t="n"/>
      <c r="BS349" s="974" t="n"/>
      <c r="BT349" s="1076">
        <f>IFERROR(BT155,"n/a")</f>
        <v/>
      </c>
      <c r="BU349" s="974" t="n"/>
      <c r="BV349" s="974" t="n"/>
      <c r="BW349" s="974" t="n"/>
      <c r="BX349" s="974" t="n"/>
      <c r="BY349" s="1076">
        <f>IFERROR(BY155,"n/a")</f>
        <v/>
      </c>
      <c r="BZ349" s="974" t="n"/>
      <c r="CA349" s="974" t="n"/>
      <c r="CB349" s="974" t="n"/>
      <c r="CC349" s="974" t="n"/>
      <c r="CD349" s="1076">
        <f>IFERROR(CD155,"n/a")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IFERROR(CI155,"n/a")</f>
        <v/>
      </c>
      <c r="CJ349" s="1078">
        <f>IFERROR(CJ155,"n/a")</f>
        <v/>
      </c>
      <c r="CK349" s="1078">
        <f>IFERROR(CK155,"n/a")</f>
        <v/>
      </c>
      <c r="CL349" s="1078">
        <f>IFERROR(CL155,"n/a")</f>
        <v/>
      </c>
      <c r="CM349" s="1078">
        <f>IFERROR(CM155,"n/a")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 t="n"/>
      <c r="CE360" s="1088" t="n"/>
      <c r="CF360" s="1088" t="n"/>
      <c r="CG360" s="1088" t="n"/>
      <c r="CH360" s="1088" t="n"/>
      <c r="CI360" s="1089" t="n"/>
      <c r="CJ360" s="1090">
        <f>CI360</f>
        <v/>
      </c>
      <c r="CK360" s="1090">
        <f>CJ360</f>
        <v/>
      </c>
      <c r="CL360" s="1090">
        <f>CK360</f>
        <v/>
      </c>
      <c r="CM360" s="1090">
        <f>CL360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IFERROR(BE360/BE156,0)</f>
        <v/>
      </c>
      <c r="BF371" s="1071" t="n"/>
      <c r="BG371" s="1071" t="n"/>
      <c r="BH371" s="1071" t="n"/>
      <c r="BI371" s="1071" t="n"/>
      <c r="BJ371" s="1091">
        <f>IFERROR(BJ360/BJ156,0)</f>
        <v/>
      </c>
      <c r="BK371" s="1071" t="n"/>
      <c r="BL371" s="1071" t="n"/>
      <c r="BM371" s="1071" t="n"/>
      <c r="BN371" s="1071" t="n"/>
      <c r="BO371" s="1091">
        <f>IFERROR(BO360/BO156,0)</f>
        <v/>
      </c>
      <c r="BP371" s="1071" t="n"/>
      <c r="BQ371" s="1071" t="n"/>
      <c r="BR371" s="1071" t="n"/>
      <c r="BS371" s="1071" t="n"/>
      <c r="BT371" s="1091">
        <f>IFERROR(BT360/BT156,0)</f>
        <v/>
      </c>
      <c r="BU371" s="1071" t="n"/>
      <c r="BV371" s="1071" t="n"/>
      <c r="BW371" s="1071" t="n"/>
      <c r="BX371" s="1071" t="n"/>
      <c r="BY371" s="1091">
        <f>IFERROR(BY360/BY156,0)</f>
        <v/>
      </c>
      <c r="BZ371" s="1071" t="n"/>
      <c r="CA371" s="1071" t="n"/>
      <c r="CB371" s="1071" t="n"/>
      <c r="CC371" s="1071" t="n"/>
      <c r="CD371" s="1091">
        <f>IFERROR(CD360/CD156,0)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IFERROR(CI360/CI156,0)</f>
        <v/>
      </c>
      <c r="CJ371" s="1092">
        <f>IFERROR(CJ360/CJ156,0)</f>
        <v/>
      </c>
      <c r="CK371" s="1092">
        <f>IFERROR(CK360/CK156,0)</f>
        <v/>
      </c>
      <c r="CL371" s="1092">
        <f>IFERROR(CL360/CL156,0)</f>
        <v/>
      </c>
      <c r="CM371" s="1092">
        <f>IFERROR(CM360/CM156,0)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>
      <c r="CI394" s="717" t="n"/>
      <c r="CJ394" s="717" t="n"/>
      <c r="CK394" s="717" t="n"/>
      <c r="CL394" s="717" t="n"/>
      <c r="CM394" s="717" t="n"/>
    </row>
    <row r="399">
      <c r="CK399" s="289" t="n"/>
    </row>
    <row r="400">
      <c r="CK400" s="307" t="n"/>
    </row>
    <row r="401">
      <c r="CK401" s="308" t="n"/>
    </row>
    <row r="402">
      <c r="CK402" s="289" t="n"/>
    </row>
    <row r="403">
      <c r="CK403" s="289" t="n"/>
    </row>
    <row r="404">
      <c r="CK404" s="289" t="n"/>
    </row>
    <row r="405">
      <c r="CK405" s="289" t="n"/>
    </row>
    <row r="406">
      <c r="CK406" s="289" t="n"/>
    </row>
    <row r="407">
      <c r="CK407" s="289" t="n"/>
    </row>
    <row r="408">
      <c r="CK408" s="289" t="n"/>
    </row>
    <row r="409">
      <c r="CK409" s="289" t="n"/>
    </row>
    <row r="410">
      <c r="CK410" s="289" t="n"/>
    </row>
    <row r="411">
      <c r="CK411" s="289" t="n"/>
    </row>
    <row r="412">
      <c r="CK412" s="289" t="n"/>
    </row>
    <row r="413">
      <c r="CK413" s="289" t="n"/>
    </row>
    <row r="414">
      <c r="CK414" s="289" t="n"/>
    </row>
    <row r="415" ht="21.95" customHeight="1">
      <c r="CK415" s="289" t="n"/>
    </row>
    <row r="416">
      <c r="CK416" s="289" t="n"/>
    </row>
    <row r="417">
      <c r="CK417" s="289" t="n"/>
    </row>
    <row r="418">
      <c r="CK418" s="289" t="n"/>
    </row>
    <row r="419">
      <c r="CK419" s="289" t="n"/>
    </row>
    <row r="420">
      <c r="CK420" s="289" t="n"/>
    </row>
    <row r="421">
      <c r="CK421" s="289" t="n"/>
    </row>
    <row r="422">
      <c r="CK422" s="289" t="n"/>
    </row>
    <row r="423">
      <c r="CK423" s="289" t="n"/>
    </row>
    <row r="424">
      <c r="CK424" s="289" t="n"/>
    </row>
    <row r="425">
      <c r="CK425" s="289" t="n"/>
    </row>
    <row r="426"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CK432" s="289" t="n"/>
    </row>
    <row r="433">
      <c r="CK433" s="289" t="n"/>
    </row>
    <row r="434" ht="21.95" customHeight="1">
      <c r="CK434" s="289" t="n"/>
    </row>
    <row r="435">
      <c r="CK435" s="289" t="n"/>
    </row>
    <row r="436">
      <c r="CK436" s="289" t="n"/>
    </row>
    <row r="437">
      <c r="CK437" s="289" t="n"/>
    </row>
    <row r="438">
      <c r="CK438" s="289" t="n"/>
    </row>
    <row r="439" ht="21.95" customHeight="1">
      <c r="CK439" s="289" t="n"/>
    </row>
    <row r="459">
      <c r="BW459" s="305" t="n"/>
    </row>
    <row r="460">
      <c r="BW460" s="305" t="n"/>
    </row>
    <row r="461">
      <c r="BW461" s="305" t="n"/>
    </row>
    <row r="462">
      <c r="BW462" s="305" t="n"/>
    </row>
    <row r="463">
      <c r="BW463" s="305" t="n"/>
    </row>
    <row r="464">
      <c r="BW464" s="305" t="n"/>
    </row>
    <row r="465">
      <c r="BW465" s="305" t="n"/>
    </row>
    <row r="466">
      <c r="BW466" s="305" t="n"/>
    </row>
    <row r="467">
      <c r="BW467" s="305" t="n"/>
    </row>
    <row r="468">
      <c r="BW468" s="305" t="n"/>
    </row>
    <row r="469">
      <c r="BW469" s="305" t="n"/>
    </row>
    <row r="470">
      <c r="BW470" s="305" t="n"/>
    </row>
    <row r="471">
      <c r="BW471" s="305" t="n"/>
    </row>
    <row r="472">
      <c r="BW472" s="305" t="n"/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W488" s="305" t="n"/>
    </row>
    <row r="489">
      <c r="BW489" s="305" t="n"/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2026-05-28T16:00:08Z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