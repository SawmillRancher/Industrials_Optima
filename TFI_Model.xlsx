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48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/>
      <c r="BD12" s="291" t="n"/>
      <c r="BE12" s="868" t="n">
        <v>529.155</v>
      </c>
      <c r="BF12" s="743" t="n"/>
      <c r="BG12" s="743" t="n"/>
      <c r="BH12" s="743" t="n"/>
      <c r="BI12" s="291">
        <f>BJ12-SUM(BF12:BH12)</f>
        <v/>
      </c>
      <c r="BJ12" s="868" t="n">
        <v>641.449</v>
      </c>
      <c r="BK12" s="743" t="n"/>
      <c r="BL12" s="743" t="n"/>
      <c r="BM12" s="743" t="n"/>
      <c r="BN12" s="291">
        <f>BO12-SUM(BK12:BM12)</f>
        <v/>
      </c>
      <c r="BO12" s="868" t="n">
        <v>650.8440000000001</v>
      </c>
      <c r="BP12" s="743" t="n"/>
      <c r="BQ12" s="743" t="n"/>
      <c r="BR12" s="743" t="n"/>
      <c r="BS12" s="291" t="n"/>
      <c r="BT12" s="864" t="n">
        <v>583.198</v>
      </c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/>
      <c r="BD13" s="291" t="n"/>
      <c r="BE13" s="868" t="n">
        <v>78.753</v>
      </c>
      <c r="BF13" s="743" t="n"/>
      <c r="BG13" s="743" t="n"/>
      <c r="BH13" s="743" t="n"/>
      <c r="BI13" s="291">
        <f>BJ13-SUM(BF13:BH13)</f>
        <v/>
      </c>
      <c r="BJ13" s="868" t="n">
        <v>108.44</v>
      </c>
      <c r="BK13" s="743" t="n"/>
      <c r="BL13" s="743" t="n"/>
      <c r="BM13" s="743" t="n"/>
      <c r="BN13" s="291">
        <f>BO13-SUM(BK13:BM13)</f>
        <v/>
      </c>
      <c r="BO13" s="868" t="n">
        <v>134.306</v>
      </c>
      <c r="BP13" s="743" t="n"/>
      <c r="BQ13" s="743" t="n"/>
      <c r="BR13" s="743" t="n"/>
      <c r="BS13" s="291" t="n"/>
      <c r="BT13" s="864" t="n">
        <v>114.36</v>
      </c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 t="n"/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/>
      <c r="BD20" s="291" t="n"/>
      <c r="BE20" s="868" t="n">
        <v>589.235</v>
      </c>
      <c r="BF20" s="743" t="n"/>
      <c r="BG20" s="743" t="n"/>
      <c r="BH20" s="743" t="n"/>
      <c r="BI20" s="291">
        <f>BJ20-SUM(BF20:BH20)</f>
        <v/>
      </c>
      <c r="BJ20" s="868" t="n">
        <v>2815.39</v>
      </c>
      <c r="BK20" s="743" t="n"/>
      <c r="BL20" s="743" t="n"/>
      <c r="BM20" s="743" t="n"/>
      <c r="BN20" s="291">
        <f>BO20-SUM(BK20:BM20)</f>
        <v/>
      </c>
      <c r="BO20" s="868" t="n">
        <v>4023.163</v>
      </c>
      <c r="BP20" s="743" t="n"/>
      <c r="BQ20" s="743" t="n"/>
      <c r="BR20" s="743" t="n"/>
      <c r="BS20" s="291" t="n"/>
      <c r="BT20" s="864" t="n">
        <v>3368.567</v>
      </c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/>
      <c r="BD21" s="291" t="n"/>
      <c r="BE21" s="868" t="n">
        <v>87.95</v>
      </c>
      <c r="BF21" s="743" t="n"/>
      <c r="BG21" s="743" t="n"/>
      <c r="BH21" s="743" t="n"/>
      <c r="BI21" s="291">
        <f>BJ21-SUM(BF21:BH21)</f>
        <v/>
      </c>
      <c r="BJ21" s="868" t="n">
        <v>482.754</v>
      </c>
      <c r="BK21" s="743" t="n"/>
      <c r="BL21" s="743" t="n"/>
      <c r="BM21" s="743" t="n"/>
      <c r="BN21" s="291">
        <f>BO21-SUM(BK21:BM21)</f>
        <v/>
      </c>
      <c r="BO21" s="868" t="n">
        <v>470.807</v>
      </c>
      <c r="BP21" s="743" t="n"/>
      <c r="BQ21" s="743" t="n"/>
      <c r="BR21" s="743" t="n"/>
      <c r="BS21" s="291" t="n"/>
      <c r="BT21" s="864" t="n">
        <v>310.429</v>
      </c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 t="n"/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/>
      <c r="BD27" s="291" t="n"/>
      <c r="BE27" s="868" t="n">
        <v>1748.359</v>
      </c>
      <c r="BF27" s="743" t="n"/>
      <c r="BG27" s="743" t="n"/>
      <c r="BH27" s="743" t="n"/>
      <c r="BI27" s="291">
        <f>BJ27-SUM(BF27:BH27)</f>
        <v/>
      </c>
      <c r="BJ27" s="868" t="n">
        <v>2162.752</v>
      </c>
      <c r="BK27" s="743" t="n"/>
      <c r="BL27" s="743" t="n"/>
      <c r="BM27" s="743" t="n"/>
      <c r="BN27" s="291">
        <f>BO27-SUM(BK27:BM27)</f>
        <v/>
      </c>
      <c r="BO27" s="868" t="n">
        <v>2451.038</v>
      </c>
      <c r="BP27" s="743" t="n"/>
      <c r="BQ27" s="743" t="n"/>
      <c r="BR27" s="743" t="n"/>
      <c r="BS27" s="291" t="n"/>
      <c r="BT27" s="864" t="n">
        <v>1936.038</v>
      </c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/>
      <c r="BD28" s="291" t="n"/>
      <c r="BE28" s="868" t="n">
        <v>206.346</v>
      </c>
      <c r="BF28" s="743" t="n"/>
      <c r="BG28" s="743" t="n"/>
      <c r="BH28" s="743" t="n"/>
      <c r="BI28" s="291">
        <f>BJ28-SUM(BF28:BH28)</f>
        <v/>
      </c>
      <c r="BJ28" s="868" t="n">
        <v>230.189</v>
      </c>
      <c r="BK28" s="743" t="n"/>
      <c r="BL28" s="743" t="n"/>
      <c r="BM28" s="743" t="n"/>
      <c r="BN28" s="291">
        <f>BO28-SUM(BK28:BM28)</f>
        <v/>
      </c>
      <c r="BO28" s="868" t="n">
        <v>366.868</v>
      </c>
      <c r="BP28" s="743" t="n"/>
      <c r="BQ28" s="743" t="n"/>
      <c r="BR28" s="743" t="n"/>
      <c r="BS28" s="291" t="n"/>
      <c r="BT28" s="864" t="n">
        <v>237.393</v>
      </c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 t="n"/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/>
      <c r="BD34" s="291" t="n"/>
      <c r="BE34" s="868" t="n">
        <v>945.13</v>
      </c>
      <c r="BF34" s="743" t="n"/>
      <c r="BG34" s="743" t="n"/>
      <c r="BH34" s="743" t="n"/>
      <c r="BI34" s="743" t="n"/>
      <c r="BJ34" s="868" t="n">
        <v>1662.072</v>
      </c>
      <c r="BK34" s="291" t="n"/>
      <c r="BL34" s="291" t="n"/>
      <c r="BM34" s="291" t="n"/>
      <c r="BN34" s="291" t="n"/>
      <c r="BO34" s="864" t="n">
        <v>1763.28</v>
      </c>
      <c r="BP34" s="291" t="n"/>
      <c r="BQ34" s="291" t="n"/>
      <c r="BR34" s="291" t="n"/>
      <c r="BS34" s="291" t="n"/>
      <c r="BT34" s="864" t="n">
        <v>1697.016</v>
      </c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/>
      <c r="BD35" s="291" t="n"/>
      <c r="BE35" s="868" t="n">
        <v>84.459</v>
      </c>
      <c r="BF35" s="743" t="n"/>
      <c r="BG35" s="743" t="n"/>
      <c r="BH35" s="743" t="n"/>
      <c r="BI35" s="743" t="n"/>
      <c r="BJ35" s="868" t="n">
        <v>142.794</v>
      </c>
      <c r="BK35" s="291" t="n"/>
      <c r="BL35" s="291" t="n"/>
      <c r="BM35" s="291" t="n"/>
      <c r="BN35" s="291" t="n"/>
      <c r="BO35" s="864" t="n">
        <v>140.446</v>
      </c>
      <c r="BP35" s="291" t="n"/>
      <c r="BQ35" s="291" t="n"/>
      <c r="BR35" s="291" t="n"/>
      <c r="BS35" s="291" t="n"/>
      <c r="BT35" s="864" t="n">
        <v>160.112</v>
      </c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 t="n"/>
      <c r="BF36" s="974" t="n"/>
      <c r="BG36" s="974" t="n"/>
      <c r="BH36" s="974" t="n"/>
      <c r="BI36" s="974" t="n"/>
      <c r="BJ36" s="975" t="n"/>
      <c r="BK36" s="974" t="n"/>
      <c r="BL36" s="974" t="n"/>
      <c r="BM36" s="974" t="n"/>
      <c r="BN36" s="974" t="n"/>
      <c r="BO36" s="975" t="n"/>
      <c r="BP36" s="974" t="n"/>
      <c r="BQ36" s="974" t="n"/>
      <c r="BR36" s="974" t="n"/>
      <c r="BS36" s="974" t="n"/>
      <c r="BT36" s="975" t="n"/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 t="n"/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>
        <v>3702.935</v>
      </c>
      <c r="BZ54" s="743" t="n"/>
      <c r="CA54" s="743" t="n"/>
      <c r="CB54" s="743" t="n"/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888*(1+CI55)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 TABLES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 t="n"/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>
        <v>361.235</v>
      </c>
      <c r="BZ56" s="977" t="n"/>
      <c r="CA56" s="977" t="n"/>
      <c r="CB56" s="977" t="n"/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 t="n"/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>[Segment 1] sales y/y %</t>
        </is>
      </c>
      <c r="CU58" s="984" t="n"/>
      <c r="CV58" s="984" t="n"/>
      <c r="CW58" s="984" t="n"/>
      <c r="CX58" s="984" t="n"/>
      <c r="CY58" s="984" t="n"/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IFERROR((BY56-BT56)/(BY54-BT54),"")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>[Segment 1] EBIT margin %</t>
        </is>
      </c>
      <c r="CU59" s="984" t="n"/>
      <c r="CV59" s="984" t="n"/>
      <c r="CW59" s="984" t="n"/>
      <c r="CX59" s="984" t="n"/>
      <c r="CY59" s="984" t="n"/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>[Segment 2] sales y/y %</t>
        </is>
      </c>
      <c r="CU60" s="984" t="n"/>
      <c r="CV60" s="984" t="n"/>
      <c r="CW60" s="984" t="n"/>
      <c r="CX60" s="984" t="n"/>
      <c r="CY60" s="984" t="n"/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>[Segment 2] EBIT margin %</t>
        </is>
      </c>
      <c r="CU61" s="984" t="n"/>
      <c r="CV61" s="984" t="n"/>
      <c r="CW61" s="984" t="n"/>
      <c r="CX61" s="984" t="n"/>
      <c r="CY61" s="984" t="n"/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>Space &amp; Defense sales y/y %</t>
        </is>
      </c>
      <c r="CU62" s="984" t="n"/>
      <c r="CV62" s="984" t="n"/>
      <c r="CW62" s="984" t="n"/>
      <c r="CX62" s="984" t="n"/>
      <c r="CY62" s="984" t="n"/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>Space &amp; Defense EBIT margin %</t>
        </is>
      </c>
      <c r="CU63" s="984" t="n"/>
      <c r="CV63" s="984" t="n"/>
      <c r="CW63" s="984" t="n"/>
      <c r="CX63" s="984" t="n"/>
      <c r="CY63" s="984" t="n"/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>
        <v>2937.305</v>
      </c>
      <c r="BZ65" s="743" t="n"/>
      <c r="CA65" s="743" t="n"/>
      <c r="CB65" s="743" t="n"/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904*(1+CI66)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 t="n"/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>
        <v>252.434</v>
      </c>
      <c r="BZ67" s="743" t="n"/>
      <c r="CA67" s="743" t="n"/>
      <c r="CB67" s="743" t="n"/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>[Segment 1] sales y/y %</t>
        </is>
      </c>
      <c r="CU68" s="984" t="n"/>
      <c r="CV68" s="984" t="n"/>
      <c r="CW68" s="984" t="n"/>
      <c r="CX68" s="984" t="n"/>
      <c r="CY68" s="984" t="n"/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 t="n"/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>[Segment 1] EBIT margin %</t>
        </is>
      </c>
      <c r="CU69" s="984" t="n"/>
      <c r="CV69" s="984" t="n"/>
      <c r="CW69" s="984" t="n"/>
      <c r="CX69" s="984" t="n"/>
      <c r="CY69" s="984" t="n"/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IFERROR((BY67-BT67)/(BY65-BT65),"")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>[Segment 2] sales y/y %</t>
        </is>
      </c>
      <c r="CU70" s="984" t="n"/>
      <c r="CV70" s="984" t="n"/>
      <c r="CW70" s="984" t="n"/>
      <c r="CX70" s="984" t="n"/>
      <c r="CY70" s="984" t="n"/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>[Segment 2] EBIT margin %</t>
        </is>
      </c>
      <c r="CU71" s="984" t="n"/>
      <c r="CV71" s="984" t="n"/>
      <c r="CW71" s="984" t="n"/>
      <c r="CX71" s="984" t="n"/>
      <c r="CY71" s="984" t="n"/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>Space &amp; Defense sales y/y %</t>
        </is>
      </c>
      <c r="CU72" s="984" t="n"/>
      <c r="CV72" s="984" t="n"/>
      <c r="CW72" s="984" t="n"/>
      <c r="CX72" s="984" t="n"/>
      <c r="CY72" s="984" t="n"/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>Space &amp; Defense EBIT margin %</t>
        </is>
      </c>
      <c r="CU73" s="984" t="n"/>
      <c r="CV73" s="984" t="n"/>
      <c r="CW73" s="984" t="n"/>
      <c r="CX73" s="984" t="n"/>
      <c r="CY73" s="984" t="n"/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>
        <v>1821.711</v>
      </c>
      <c r="BZ76" s="743" t="n"/>
      <c r="CA76" s="743" t="n"/>
      <c r="CB76" s="743" t="n"/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1113*(1+CI77)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 t="n"/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>
        <v>182.364</v>
      </c>
      <c r="BZ78" s="743" t="n"/>
      <c r="CA78" s="743" t="n"/>
      <c r="CB78" s="743" t="n"/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>[Segment 1] sales y/y %</t>
        </is>
      </c>
      <c r="CU78" s="984" t="n"/>
      <c r="CV78" s="984" t="n"/>
      <c r="CW78" s="984" t="n"/>
      <c r="CX78" s="984" t="n"/>
      <c r="CY78" s="984" t="n"/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>[Segment 1] EBIT margin %</t>
        </is>
      </c>
      <c r="CU79" s="984" t="n"/>
      <c r="CV79" s="984" t="n"/>
      <c r="CW79" s="984" t="n"/>
      <c r="CX79" s="984" t="n"/>
      <c r="CY79" s="984" t="n"/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 t="n"/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>[Segment 2] sales y/y %</t>
        </is>
      </c>
      <c r="CU80" s="984" t="n"/>
      <c r="CV80" s="984" t="n"/>
      <c r="CW80" s="984" t="n"/>
      <c r="CX80" s="984" t="n"/>
      <c r="CY80" s="984" t="n"/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IFERROR((BY78-BT78)/(BY76-BT76),"")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>[Segment 2] EBIT margin %</t>
        </is>
      </c>
      <c r="CU81" s="984" t="n"/>
      <c r="CV81" s="984" t="n"/>
      <c r="CW81" s="984" t="n"/>
      <c r="CX81" s="984" t="n"/>
      <c r="CY81" s="984" t="n"/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>Space &amp; Defense sales y/y %</t>
        </is>
      </c>
      <c r="CU82" s="984" t="n"/>
      <c r="CV82" s="984" t="n"/>
      <c r="CW82" s="984" t="n"/>
      <c r="CX82" s="984" t="n"/>
      <c r="CY82" s="984" t="n"/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>Space &amp; Defense EBIT margin %</t>
        </is>
      </c>
      <c r="CU83" s="984" t="n"/>
      <c r="CV83" s="984" t="n"/>
      <c r="CW83" s="984" t="n"/>
      <c r="CX83" s="984" t="n"/>
      <c r="CY83" s="984" t="n"/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>
        <f>956*(1+CI88)</f>
        <v/>
      </c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BE114</f>
        <v/>
      </c>
      <c r="BF98" s="291" t="n"/>
      <c r="BG98" s="291" t="n"/>
      <c r="BH98" s="291" t="n"/>
      <c r="BI98" s="291" t="n"/>
      <c r="BJ98" s="864">
        <f>BJ114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BO114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BT114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 t="n"/>
      <c r="BF102" s="974" t="n"/>
      <c r="BG102" s="974" t="n"/>
      <c r="BH102" s="974" t="n"/>
      <c r="BI102" s="974" t="n"/>
      <c r="BJ102" s="975" t="n"/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BO56+BO67+BO78+BO89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BT126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IFERROR((BY102-BT102)/(BY98-BT98),"")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>
        <v>-156.121</v>
      </c>
      <c r="BA125" s="826" t="n"/>
      <c r="BB125" s="826" t="n"/>
      <c r="BC125" s="826" t="n"/>
      <c r="BD125" s="826" t="n"/>
      <c r="BE125" s="878" t="n">
        <v>-150.572</v>
      </c>
      <c r="BF125" s="825" t="n"/>
      <c r="BG125" s="825" t="n"/>
      <c r="BH125" s="825" t="n"/>
      <c r="BI125" s="825" t="n"/>
      <c r="BJ125" s="878" t="n">
        <v>-380.342</v>
      </c>
      <c r="BK125" s="825" t="n"/>
      <c r="BL125" s="825" t="n"/>
      <c r="BM125" s="825" t="n"/>
      <c r="BN125" s="825" t="n"/>
      <c r="BO125" s="878" t="n">
        <v>-492.291</v>
      </c>
      <c r="BP125" s="825" t="n"/>
      <c r="BQ125" s="825" t="n"/>
      <c r="BR125" s="825" t="n"/>
      <c r="BS125" s="825" t="n"/>
      <c r="BT125" s="878" t="n">
        <v>-434.751</v>
      </c>
      <c r="BU125" s="825" t="n"/>
      <c r="BV125" s="825" t="n"/>
      <c r="BW125" s="825" t="n"/>
      <c r="BX125" s="825" t="n"/>
      <c r="BY125" s="878" t="n">
        <v>-435.486</v>
      </c>
      <c r="BZ125" s="825" t="n"/>
      <c r="CA125" s="825" t="n"/>
      <c r="CB125" s="825" t="n"/>
      <c r="CC125" s="825" t="n"/>
      <c r="CD125" s="878" t="n">
        <v>-416.642</v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CI116-CI117-CI118-CI119-CI125</f>
        <v/>
      </c>
      <c r="CJ126" s="274">
        <f>CJ116-CJ117-CJ118-CJ119-CJ125</f>
        <v/>
      </c>
      <c r="CK126" s="274">
        <f>CK116-CK117-CK118-CK119-CK125</f>
        <v/>
      </c>
      <c r="CL126" s="274">
        <f>CL116-CL117-CL118-CL119-CL125</f>
        <v/>
      </c>
      <c r="CM126" s="274">
        <f>CM116-CM117-CM118-CM119-CM125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CI305</f>
        <v/>
      </c>
      <c r="CJ127" s="774">
        <f>CJ305</f>
        <v/>
      </c>
      <c r="CK127" s="774">
        <f>CK305</f>
        <v/>
      </c>
      <c r="CL127" s="774">
        <f>CL305</f>
        <v/>
      </c>
      <c r="CM127" s="774">
        <f>CM305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/>
      <c r="CJ132" s="1001" t="n"/>
      <c r="CK132" s="1001" t="n"/>
      <c r="CL132" s="1001" t="n"/>
      <c r="CM132" s="1001" t="n"/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BE148/BE114</f>
        <v/>
      </c>
      <c r="BF168" s="974" t="n"/>
      <c r="BG168" s="974" t="n"/>
      <c r="BH168" s="974" t="n"/>
      <c r="BI168" s="974" t="n"/>
      <c r="BJ168" s="975">
        <f>BJ148/BJ114</f>
        <v/>
      </c>
      <c r="BK168" s="974" t="n"/>
      <c r="BL168" s="974" t="n"/>
      <c r="BM168" s="974" t="n"/>
      <c r="BN168" s="974" t="n"/>
      <c r="BO168" s="975">
        <f>BO148/BO114</f>
        <v/>
      </c>
      <c r="BP168" s="974" t="n"/>
      <c r="BQ168" s="974" t="n"/>
      <c r="BR168" s="974" t="n"/>
      <c r="BS168" s="974" t="n"/>
      <c r="BT168" s="975">
        <f>BT148/BT114</f>
        <v/>
      </c>
      <c r="BU168" s="974" t="n"/>
      <c r="BV168" s="974" t="n"/>
      <c r="BW168" s="974" t="n"/>
      <c r="BX168" s="974" t="n"/>
      <c r="BY168" s="975">
        <f>BY148/BY114</f>
        <v/>
      </c>
      <c r="BZ168" s="974" t="n"/>
      <c r="CA168" s="974" t="n"/>
      <c r="CB168" s="974" t="n"/>
      <c r="CC168" s="974" t="n"/>
      <c r="CD168" s="975">
        <f>CD148/CD114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(BE148-AZ148)/(BE114-AZ114)</f>
        <v/>
      </c>
      <c r="BF170" s="974" t="n"/>
      <c r="BG170" s="974" t="n"/>
      <c r="BH170" s="974" t="n"/>
      <c r="BI170" s="974" t="n"/>
      <c r="BJ170" s="975">
        <f>(BJ148-BE148)/(BJ114-BE114)</f>
        <v/>
      </c>
      <c r="BK170" s="974" t="n"/>
      <c r="BL170" s="974" t="n"/>
      <c r="BM170" s="974" t="n"/>
      <c r="BN170" s="974" t="n"/>
      <c r="BO170" s="975">
        <f>(BO148-BJ148)/(BO114-BJ114)</f>
        <v/>
      </c>
      <c r="BP170" s="974" t="n"/>
      <c r="BQ170" s="974" t="n"/>
      <c r="BR170" s="974" t="n"/>
      <c r="BS170" s="974" t="n"/>
      <c r="BT170" s="975">
        <f>(BT148-BO148)/(BT114-BO114)</f>
        <v/>
      </c>
      <c r="BU170" s="974" t="n"/>
      <c r="BV170" s="974" t="n"/>
      <c r="BW170" s="974" t="n"/>
      <c r="BX170" s="974" t="n"/>
      <c r="BY170" s="975">
        <f>(BY148-BT148)/(BY114-BT114)</f>
        <v/>
      </c>
      <c r="BZ170" s="974" t="n"/>
      <c r="CA170" s="974" t="n"/>
      <c r="CB170" s="974" t="n"/>
      <c r="CC170" s="974" t="n"/>
      <c r="CD170" s="975">
        <f>(CD148-BY148)/(CD114-BY114)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>
      <c r="CI394" s="717" t="n"/>
      <c r="CJ394" s="717" t="n"/>
      <c r="CK394" s="717" t="n"/>
      <c r="CL394" s="717" t="n"/>
      <c r="CM394" s="717" t="n"/>
    </row>
    <row r="399">
      <c r="CK399" s="289" t="n"/>
    </row>
    <row r="400">
      <c r="CK400" s="307" t="n"/>
    </row>
    <row r="401">
      <c r="CK401" s="308" t="n"/>
    </row>
    <row r="402">
      <c r="CK402" s="289" t="n"/>
    </row>
    <row r="403">
      <c r="CK403" s="289" t="n"/>
    </row>
    <row r="404">
      <c r="CK404" s="289" t="n"/>
    </row>
    <row r="405">
      <c r="CK405" s="289" t="n"/>
    </row>
    <row r="406">
      <c r="CK406" s="289" t="n"/>
    </row>
    <row r="407">
      <c r="CK407" s="289" t="n"/>
    </row>
    <row r="408">
      <c r="CK408" s="289" t="n"/>
    </row>
    <row r="409">
      <c r="CK409" s="289" t="n"/>
    </row>
    <row r="410">
      <c r="CK410" s="289" t="n"/>
    </row>
    <row r="411">
      <c r="CK411" s="289" t="n"/>
    </row>
    <row r="412">
      <c r="CK412" s="289" t="n"/>
    </row>
    <row r="413">
      <c r="CK413" s="289" t="n"/>
    </row>
    <row r="414">
      <c r="CK414" s="289" t="n"/>
    </row>
    <row r="415" ht="21.95" customHeight="1">
      <c r="CK415" s="289" t="n"/>
    </row>
    <row r="416">
      <c r="CK416" s="289" t="n"/>
    </row>
    <row r="417">
      <c r="CK417" s="289" t="n"/>
    </row>
    <row r="418">
      <c r="CK418" s="289" t="n"/>
    </row>
    <row r="419">
      <c r="CK419" s="289" t="n"/>
    </row>
    <row r="420">
      <c r="CK420" s="289" t="n"/>
    </row>
    <row r="421">
      <c r="CK421" s="289" t="n"/>
    </row>
    <row r="422">
      <c r="CK422" s="289" t="n"/>
    </row>
    <row r="423">
      <c r="CK423" s="289" t="n"/>
    </row>
    <row r="424">
      <c r="CK424" s="289" t="n"/>
    </row>
    <row r="425">
      <c r="CK425" s="289" t="n"/>
    </row>
    <row r="426"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CK432" s="289" t="n"/>
    </row>
    <row r="433">
      <c r="CK433" s="289" t="n"/>
    </row>
    <row r="434" ht="21.95" customHeight="1">
      <c r="CK434" s="289" t="n"/>
    </row>
    <row r="435">
      <c r="CK435" s="289" t="n"/>
    </row>
    <row r="436">
      <c r="CK436" s="289" t="n"/>
    </row>
    <row r="437">
      <c r="CK437" s="289" t="n"/>
    </row>
    <row r="438">
      <c r="CK438" s="289" t="n"/>
    </row>
    <row r="439" ht="21.95" customHeight="1">
      <c r="CK439" s="289" t="n"/>
    </row>
    <row r="459">
      <c r="BW459" s="305" t="n"/>
    </row>
    <row r="460">
      <c r="BW460" s="305" t="n"/>
    </row>
    <row r="461">
      <c r="BW461" s="305" t="n"/>
    </row>
    <row r="462">
      <c r="BW462" s="305" t="n"/>
    </row>
    <row r="463">
      <c r="BW463" s="305" t="n"/>
    </row>
    <row r="464">
      <c r="BW464" s="305" t="n"/>
    </row>
    <row r="465">
      <c r="BW465" s="305" t="n"/>
    </row>
    <row r="466">
      <c r="BW466" s="305" t="n"/>
    </row>
    <row r="467">
      <c r="BW467" s="305" t="n"/>
    </row>
    <row r="468">
      <c r="BW468" s="305" t="n"/>
    </row>
    <row r="469">
      <c r="BW469" s="305" t="n"/>
    </row>
    <row r="470">
      <c r="BW470" s="305" t="n"/>
    </row>
    <row r="471">
      <c r="BW471" s="305" t="n"/>
    </row>
    <row r="472">
      <c r="BW472" s="305" t="n"/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W488" s="305" t="n"/>
    </row>
    <row r="489">
      <c r="BW489" s="305" t="n"/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2026-05-28T16:14:49Z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