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36" firstSheet="0" activeTab="0" autoFilterDateGrouping="1"/>
  </bookViews>
  <sheets>
    <sheet name="Model" sheetId="1" state="visible" r:id="rId1"/>
    <sheet name="Bull-Base-Bear" sheetId="2" state="visible" r:id="rId2"/>
    <sheet name="DCF" sheetId="3" state="visible" r:id="rId3"/>
    <sheet name="Chart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1">
    <numFmt numFmtId="164" formatCode="#,##0;\(#,##0\);\-"/>
    <numFmt numFmtId="165" formatCode="_-* #,##0_-;\-* #,##0_-;_-* &quot;-&quot;??_-;_-@_-"/>
    <numFmt numFmtId="166" formatCode="0.0%;\(0.0%\);\-"/>
    <numFmt numFmtId="167" formatCode="0.0%"/>
    <numFmt numFmtId="168" formatCode="0%;\(0%\);&quot;n/m&quot;"/>
    <numFmt numFmtId="169" formatCode="0%;\(0%\);\-"/>
    <numFmt numFmtId="170" formatCode="0.00&quot;x&quot;"/>
    <numFmt numFmtId="171" formatCode="0.0&quot;x&quot;;\(0.0&quot;x&quot;\);\-"/>
    <numFmt numFmtId="172" formatCode="0.0%;\(0.0%\);&quot;n/m&quot;"/>
    <numFmt numFmtId="173" formatCode="0.00;\(0.00\);\-"/>
    <numFmt numFmtId="174" formatCode="#,##0;\-"/>
    <numFmt numFmtId="175" formatCode="0.0;\-"/>
    <numFmt numFmtId="176" formatCode="#,##0.0;\-"/>
    <numFmt numFmtId="177" formatCode="0.0%;\(0.0%\);&quot;n/a&quot;"/>
    <numFmt numFmtId="178" formatCode="0&quot;d&quot;;\(0\)&quot;d&quot;;\-"/>
    <numFmt numFmtId="179" formatCode="0.00%;\(0.00%\);\-"/>
    <numFmt numFmtId="180" formatCode="0.0%;\(0.0%\)"/>
    <numFmt numFmtId="181" formatCode="0%;\(0%\);&quot;n/a&quot;"/>
    <numFmt numFmtId="182" formatCode="0.0&quot;x&quot;"/>
    <numFmt numFmtId="183" formatCode="0.0"/>
    <numFmt numFmtId="184" formatCode="&quot;$&quot;#,##0.00;\(&quot;$&quot;#,##0.00\);\-"/>
    <numFmt numFmtId="185" formatCode="&quot;$&quot;0.00"/>
    <numFmt numFmtId="186" formatCode="&quot;$&quot;0.00;\(&quot;$&quot;0.00\);\-"/>
    <numFmt numFmtId="187" formatCode="#,##0.0;\(#,##0.0\);\-"/>
    <numFmt numFmtId="188" formatCode="0.00&quot;x&quot;;\(0.00&quot;x&quot;\);\-"/>
    <numFmt numFmtId="189" formatCode="\+0.00;\-0.00;\-"/>
    <numFmt numFmtId="190" formatCode="0&quot; days&quot;;\(0\);\-"/>
    <numFmt numFmtId="191" formatCode="#,##0;\(#,##0\);&quot;n/a&quot;"/>
    <numFmt numFmtId="192" formatCode="#,##0.00;\(#,##0.00\);\-"/>
    <numFmt numFmtId="193" formatCode="&quot;$&quot;#,##0.00"/>
    <numFmt numFmtId="194" formatCode="&quot;$&quot;#,##0;\(&quot;$&quot;#,##0\);\-"/>
  </numFmts>
  <fonts count="74">
    <font>
      <name val="Calibri"/>
      <family val="2"/>
      <color theme="1"/>
      <sz val="12"/>
      <scheme val="minor"/>
    </font>
    <font>
      <name val="Calibri"/>
      <family val="2"/>
      <b val="1"/>
      <color rgb="FF1F3864"/>
      <sz val="16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FF"/>
      <sz val="12"/>
      <scheme val="minor"/>
    </font>
    <font>
      <name val="Calibri"/>
      <family val="2"/>
      <b val="1"/>
      <color rgb="FF0000FF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666666"/>
      <sz val="12"/>
      <scheme val="minor"/>
    </font>
    <font>
      <name val="Calibri"/>
      <family val="2"/>
      <i val="1"/>
      <color rgb="FF666666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i val="1"/>
      <color rgb="FF404040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595959"/>
      <sz val="10"/>
      <scheme val="minor"/>
    </font>
    <font>
      <name val="Calibri"/>
      <family val="2"/>
      <color rgb="FFC00000"/>
      <sz val="10"/>
      <scheme val="minor"/>
    </font>
    <font>
      <name val="Calibri"/>
      <family val="2"/>
      <color rgb="FFA6A6A6"/>
      <sz val="12"/>
      <scheme val="minor"/>
    </font>
    <font>
      <name val="Calibri"/>
      <family val="2"/>
      <color rgb="FF595959"/>
      <sz val="12"/>
      <scheme val="minor"/>
    </font>
    <font>
      <name val="Calibri"/>
      <family val="2"/>
      <b val="1"/>
      <color rgb="FF595959"/>
      <sz val="12"/>
      <scheme val="minor"/>
    </font>
    <font>
      <name val="Calibri"/>
      <family val="2"/>
      <color rgb="FF404040"/>
      <sz val="12"/>
      <scheme val="minor"/>
    </font>
    <font>
      <name val="Calibri"/>
      <family val="2"/>
      <b val="1"/>
      <color rgb="FFA6A6A6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b val="1"/>
      <color indexed="81"/>
      <sz val="11"/>
    </font>
    <font>
      <name val="Tahoma"/>
      <family val="2"/>
      <color indexed="81"/>
      <sz val="11"/>
    </font>
    <font>
      <name val="Calibri"/>
      <family val="2"/>
      <color rgb="FF666666"/>
      <sz val="9"/>
      <scheme val="minor"/>
    </font>
    <font>
      <name val="Calibri"/>
      <family val="2"/>
      <b val="1"/>
      <color rgb="FF666666"/>
      <sz val="12"/>
      <scheme val="minor"/>
    </font>
    <font>
      <name val="Calibri"/>
      <family val="2"/>
      <b val="1"/>
      <i val="1"/>
      <color rgb="FF666666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b val="1"/>
      <color theme="1" tint="0.499984740745262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A6A6A6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rgb="FF000000"/>
      <sz val="11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color rgb="FF666666"/>
      <sz val="10"/>
      <scheme val="minor"/>
    </font>
    <font>
      <name val="Calibri"/>
      <family val="2"/>
      <i val="1"/>
      <color rgb="FF666666"/>
      <sz val="10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i val="1"/>
      <color rgb="FF000000"/>
      <sz val="10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rgb="FF595959"/>
      <sz val="10"/>
      <scheme val="minor"/>
    </font>
    <font>
      <name val="Calibri"/>
      <family val="2"/>
      <color rgb="FF008000"/>
      <sz val="12"/>
      <scheme val="minor"/>
    </font>
    <font>
      <name val="Calibri"/>
      <family val="2"/>
      <b val="1"/>
      <color rgb="FF008000"/>
      <sz val="12"/>
      <scheme val="minor"/>
    </font>
    <font>
      <name val="Calibri"/>
      <family val="2"/>
      <color rgb="FF595959"/>
      <sz val="9"/>
      <scheme val="minor"/>
    </font>
    <font>
      <name val="Calibri"/>
      <family val="2"/>
      <i val="1"/>
      <color rgb="FF595959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color rgb="FF2F3E46"/>
      <sz val="16"/>
      <scheme val="minor"/>
    </font>
    <font>
      <name val="Calibri"/>
      <family val="2"/>
      <b val="1"/>
      <color rgb="FF2F3E46"/>
      <sz val="12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rgb="FF404040"/>
      <sz val="12"/>
      <scheme val="minor"/>
    </font>
    <font>
      <name val="Calibri"/>
      <family val="2"/>
      <color rgb="FF404040"/>
      <sz val="10"/>
      <scheme val="minor"/>
    </font>
    <font>
      <name val="Calibri"/>
      <family val="2"/>
      <color rgb="FF1F3864"/>
      <sz val="12"/>
      <scheme val="minor"/>
    </font>
    <font>
      <name val="Calibri"/>
      <family val="2"/>
      <color rgb="FF1F3864"/>
      <sz val="11"/>
      <scheme val="minor"/>
    </font>
    <font>
      <name val="Calibri"/>
      <family val="2"/>
      <b val="1"/>
      <color rgb="FF1F3864"/>
      <sz val="12"/>
      <scheme val="minor"/>
    </font>
    <font>
      <name val="Calibri"/>
      <family val="2"/>
      <color rgb="FF808080"/>
      <sz val="12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rgb="FF0000FF"/>
      <sz val="14"/>
      <scheme val="minor"/>
    </font>
    <font>
      <name val="Calibri"/>
      <family val="2"/>
      <b val="1"/>
      <color rgb="FF595959"/>
      <sz val="10"/>
      <scheme val="minor"/>
    </font>
    <font>
      <name val="Tahoma"/>
      <family val="2"/>
      <b val="1"/>
      <color indexed="81"/>
      <sz val="12"/>
    </font>
    <font>
      <name val="Tahoma"/>
      <family val="2"/>
      <color indexed="81"/>
      <sz val="12"/>
    </font>
    <font>
      <name val="Calibri"/>
      <family val="2"/>
      <color rgb="FF1F3864"/>
      <sz val="10"/>
      <scheme val="minor"/>
    </font>
    <font>
      <name val="Calibri"/>
      <family val="2"/>
      <b val="1"/>
      <color theme="0"/>
      <sz val="12"/>
      <scheme val="minor"/>
    </font>
  </fonts>
  <fills count="2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84A98C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E9ECEC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EDE9"/>
        <bgColor indexed="64"/>
      </patternFill>
    </fill>
    <fill>
      <patternFill patternType="solid">
        <fgColor rgb="FFF0F2F0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9E0"/>
        <bgColor indexed="64"/>
      </patternFill>
    </fill>
    <fill>
      <patternFill patternType="solid">
        <fgColor rgb="FF922B21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6E7E80"/>
      </right>
      <top/>
      <bottom/>
      <diagonal/>
    </border>
    <border>
      <left/>
      <right style="thin">
        <color rgb="FF6E7E80"/>
      </right>
      <top style="thin">
        <color auto="1"/>
      </top>
      <bottom/>
      <diagonal/>
    </border>
    <border>
      <left/>
      <right style="thin">
        <color rgb="FF6E7E80"/>
      </right>
      <top/>
      <bottom style="thin">
        <color rgb="FF6E7E80"/>
      </bottom>
      <diagonal/>
    </border>
    <border>
      <left/>
      <right/>
      <top/>
      <bottom style="thin">
        <color rgb="FF6E7E80"/>
      </bottom>
      <diagonal/>
    </border>
    <border>
      <left/>
      <right style="thin">
        <color rgb="FF6E7E80"/>
      </right>
      <top style="thin">
        <color rgb="FF6E7E80"/>
      </top>
      <bottom style="thin">
        <color rgb="FF6E7E80"/>
      </bottom>
      <diagonal/>
    </border>
    <border>
      <left/>
      <right/>
      <top style="thin">
        <color rgb="FF6E7E80"/>
      </top>
      <bottom style="thin">
        <color rgb="FF6E7E80"/>
      </bottom>
      <diagonal/>
    </border>
    <border>
      <left/>
      <right/>
      <top style="thin">
        <color rgb="FF6E7E80"/>
      </top>
      <bottom/>
      <diagonal/>
    </border>
    <border>
      <left/>
      <right style="thin">
        <color rgb="FF6E7E80"/>
      </right>
      <top style="thin">
        <color rgb="FF6E7E80"/>
      </top>
      <bottom/>
      <diagonal/>
    </border>
    <border>
      <left/>
      <right style="thin">
        <color rgb="FF6E7E80"/>
      </right>
      <top style="thin">
        <color rgb="FF2F3E46"/>
      </top>
      <bottom/>
      <diagonal/>
    </border>
    <border>
      <left/>
      <right/>
      <top style="thin">
        <color rgb="FF2F3E46"/>
      </top>
      <bottom/>
      <diagonal/>
    </border>
    <border>
      <left/>
      <right style="thin">
        <color rgb="FF6E7E80"/>
      </right>
      <top style="thin">
        <color rgb="FF2F3E46"/>
      </top>
      <bottom style="medium">
        <color rgb="FF2F3E46"/>
      </bottom>
      <diagonal/>
    </border>
    <border>
      <left/>
      <right/>
      <top style="thin">
        <color rgb="FF2F3E46"/>
      </top>
      <bottom style="medium">
        <color rgb="FF2F3E46"/>
      </bottom>
      <diagonal/>
    </border>
    <border>
      <left style="thin">
        <color rgb="FF6E7E80"/>
      </left>
      <right/>
      <top style="thin">
        <color indexed="64"/>
      </top>
      <bottom/>
      <diagonal/>
    </border>
    <border>
      <left style="thin">
        <color rgb="FF6E7E80"/>
      </left>
      <right/>
      <top/>
      <bottom style="thin">
        <color indexed="64"/>
      </bottom>
      <diagonal/>
    </border>
    <border>
      <left style="thin">
        <color rgb="FF6E7E80"/>
      </left>
      <right/>
      <top style="thin">
        <color indexed="64"/>
      </top>
      <bottom style="thin">
        <color indexed="64"/>
      </bottom>
      <diagonal/>
    </border>
    <border>
      <left style="thin">
        <color rgb="FF6E7E8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rgb="FF2F3E4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 style="thin">
        <color rgb="FF2F3E46"/>
      </bottom>
      <diagonal/>
    </border>
    <border>
      <left/>
      <right/>
      <top/>
      <bottom style="medium">
        <color rgb="FF2F3E46"/>
      </bottom>
      <diagonal/>
    </border>
    <border>
      <left/>
      <right/>
      <top/>
      <bottom style="thin">
        <color rgb="FFCAD2C5"/>
      </bottom>
      <diagonal/>
    </border>
    <border>
      <left/>
      <right/>
      <top style="medium">
        <color rgb="FF2F3E46"/>
      </top>
      <bottom/>
      <diagonal/>
    </border>
    <border>
      <left style="thin">
        <color rgb="FF2F3E46"/>
      </left>
      <right/>
      <top/>
      <bottom style="thin">
        <color rgb="FFCAD2C5"/>
      </bottom>
      <diagonal/>
    </border>
    <border>
      <left style="thin">
        <color rgb="FF2F3E46"/>
      </left>
      <right/>
      <top/>
      <bottom style="medium">
        <color rgb="FF2F3E46"/>
      </bottom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 style="medium">
        <color rgb="FF2F3E46"/>
      </top>
      <bottom/>
      <diagonal/>
    </border>
    <border>
      <left/>
      <right style="thin">
        <color rgb="FF2F3E46"/>
      </right>
      <top/>
      <bottom style="medium">
        <color rgb="FF2F3E46"/>
      </bottom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CAD2C5"/>
      </bottom>
      <diagonal/>
    </border>
    <border>
      <left/>
      <right style="thin">
        <color rgb="FF2F3E46"/>
      </right>
      <top style="medium">
        <color rgb="FF2F3E46"/>
      </top>
      <bottom/>
      <diagonal/>
    </border>
    <border>
      <left style="thin">
        <color rgb="FFBFBFBF"/>
      </left>
      <right/>
      <top/>
      <bottom style="medium">
        <color rgb="FF2F3E46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CAD2C5"/>
      </bottom>
      <diagonal/>
    </border>
    <border>
      <left style="thin">
        <color rgb="FFBFBFBF"/>
      </left>
      <right/>
      <top style="medium">
        <color rgb="FF2F3E46"/>
      </top>
      <bottom/>
      <diagonal/>
    </border>
    <border>
      <left style="thin">
        <color rgb="FF6E7E8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666666"/>
      </top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/>
      <top style="double">
        <color rgb="FF000000"/>
      </top>
      <bottom/>
      <diagonal/>
    </border>
    <border>
      <left/>
      <right/>
      <top style="medium">
        <color rgb="FF000000"/>
      </top>
      <bottom style="thin">
        <color rgb="FF666666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666666"/>
      </top>
      <bottom style="thin">
        <color rgb="FF666666"/>
      </bottom>
      <diagonal/>
    </border>
    <border>
      <left/>
      <right style="thin">
        <color rgb="FFBFBFBF"/>
      </right>
      <top style="thin">
        <color rgb="FF666666"/>
      </top>
      <bottom/>
      <diagonal/>
    </border>
    <border>
      <left/>
      <right style="thin">
        <color rgb="FFBFBFBF"/>
      </right>
      <top style="medium">
        <color rgb="FF000000"/>
      </top>
      <bottom style="thin">
        <color rgb="FF666666"/>
      </bottom>
      <diagonal/>
    </border>
    <border>
      <left/>
      <right style="thin">
        <color rgb="FFBFBFBF"/>
      </right>
      <top/>
      <bottom style="thin">
        <color rgb="FF666666"/>
      </bottom>
      <diagonal/>
    </border>
    <border>
      <left/>
      <right style="thin">
        <color rgb="FFBFBFBF"/>
      </right>
      <top style="double">
        <color rgb="FF000000"/>
      </top>
      <bottom/>
      <diagonal/>
    </border>
  </borders>
  <cellStyleXfs count="3">
    <xf numFmtId="0" fontId="6" fillId="0" borderId="0"/>
    <xf numFmtId="43" fontId="6" fillId="0" borderId="0"/>
    <xf numFmtId="9" fontId="6" fillId="0" borderId="0"/>
  </cellStyleXfs>
  <cellXfs count="1160">
    <xf numFmtId="0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164" fontId="5" fillId="0" borderId="1" pivotButton="0" quotePrefix="0" xfId="0"/>
    <xf numFmtId="164" fontId="10" fillId="0" borderId="0" pivotButton="0" quotePrefix="0" xfId="0"/>
    <xf numFmtId="165" fontId="4" fillId="0" borderId="0" pivotButton="0" quotePrefix="0" xfId="1"/>
    <xf numFmtId="0" fontId="3" fillId="0" borderId="1" pivotButton="0" quotePrefix="0" xfId="0"/>
    <xf numFmtId="164" fontId="12" fillId="0" borderId="1" pivotButton="0" quotePrefix="0" xfId="0"/>
    <xf numFmtId="164" fontId="5" fillId="0" borderId="0" pivotButton="0" quotePrefix="0" xfId="0"/>
    <xf numFmtId="164" fontId="12" fillId="0" borderId="0" pivotButton="0" quotePrefix="0" xfId="0"/>
    <xf numFmtId="0" fontId="18" fillId="0" borderId="0" pivotButton="0" quotePrefix="0" xfId="0"/>
    <xf numFmtId="166" fontId="4" fillId="0" borderId="0" pivotButton="0" quotePrefix="0" xfId="0"/>
    <xf numFmtId="164" fontId="21" fillId="0" borderId="1" pivotButton="0" quotePrefix="0" xfId="0"/>
    <xf numFmtId="167" fontId="5" fillId="2" borderId="0" pivotButton="0" quotePrefix="0" xfId="0"/>
    <xf numFmtId="164" fontId="3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8" fillId="0" borderId="0" pivotButton="0" quotePrefix="0" xfId="0"/>
    <xf numFmtId="164" fontId="21" fillId="0" borderId="0" pivotButton="0" quotePrefix="0" xfId="0"/>
    <xf numFmtId="164" fontId="21" fillId="3" borderId="1" applyAlignment="1" pivotButton="0" quotePrefix="0" xfId="0">
      <alignment horizontal="right"/>
    </xf>
    <xf numFmtId="165" fontId="30" fillId="3" borderId="0" applyAlignment="1" pivotButton="0" quotePrefix="0" xfId="1">
      <alignment horizontal="right"/>
    </xf>
    <xf numFmtId="2" fontId="19" fillId="3" borderId="0" applyAlignment="1" pivotButton="0" quotePrefix="0" xfId="0">
      <alignment horizontal="right"/>
    </xf>
    <xf numFmtId="2" fontId="15" fillId="3" borderId="0" applyAlignment="1" pivotButton="0" quotePrefix="0" xfId="0">
      <alignment horizontal="right"/>
    </xf>
    <xf numFmtId="164" fontId="31" fillId="3" borderId="0" applyAlignment="1" pivotButton="0" quotePrefix="0" xfId="0">
      <alignment horizontal="right"/>
    </xf>
    <xf numFmtId="164" fontId="30" fillId="3" borderId="0" applyAlignment="1" pivotButton="0" quotePrefix="0" xfId="0">
      <alignment horizontal="right"/>
    </xf>
    <xf numFmtId="164" fontId="21" fillId="3" borderId="0" applyAlignment="1" pivotButton="0" quotePrefix="0" xfId="0">
      <alignment horizontal="right"/>
    </xf>
    <xf numFmtId="164" fontId="15" fillId="3" borderId="0" applyAlignment="1" pivotButton="0" quotePrefix="0" xfId="0">
      <alignment horizontal="right"/>
    </xf>
    <xf numFmtId="164" fontId="21" fillId="3" borderId="1" pivotButton="0" quotePrefix="0" xfId="0"/>
    <xf numFmtId="165" fontId="30" fillId="3" borderId="0" pivotButton="0" quotePrefix="0" xfId="1"/>
    <xf numFmtId="2" fontId="5" fillId="3" borderId="0" pivotButton="0" quotePrefix="0" xfId="0"/>
    <xf numFmtId="2" fontId="4" fillId="3" borderId="0" pivotButton="0" quotePrefix="0" xfId="0"/>
    <xf numFmtId="164" fontId="31" fillId="3" borderId="0" pivotButton="0" quotePrefix="0" xfId="0"/>
    <xf numFmtId="164" fontId="30" fillId="3" borderId="0" pivotButton="0" quotePrefix="0" xfId="0"/>
    <xf numFmtId="164" fontId="21" fillId="3" borderId="0" pivotButton="0" quotePrefix="0" xfId="0"/>
    <xf numFmtId="164" fontId="4" fillId="3" borderId="0" pivotButton="0" quotePrefix="0" xfId="0"/>
    <xf numFmtId="164" fontId="5" fillId="3" borderId="1" pivotButton="0" quotePrefix="0" xfId="0"/>
    <xf numFmtId="164" fontId="21" fillId="4" borderId="1" applyAlignment="1" pivotButton="0" quotePrefix="0" xfId="0">
      <alignment horizontal="right"/>
    </xf>
    <xf numFmtId="165" fontId="30" fillId="4" borderId="0" applyAlignment="1" pivotButton="0" quotePrefix="0" xfId="1">
      <alignment horizontal="right"/>
    </xf>
    <xf numFmtId="2" fontId="19" fillId="4" borderId="0" applyAlignment="1" pivotButton="0" quotePrefix="0" xfId="0">
      <alignment horizontal="right"/>
    </xf>
    <xf numFmtId="2" fontId="15" fillId="4" borderId="0" applyAlignment="1" pivotButton="0" quotePrefix="0" xfId="0">
      <alignment horizontal="right"/>
    </xf>
    <xf numFmtId="164" fontId="31" fillId="4" borderId="0" applyAlignment="1" pivotButton="0" quotePrefix="0" xfId="0">
      <alignment horizontal="right"/>
    </xf>
    <xf numFmtId="164" fontId="30" fillId="4" borderId="0" applyAlignment="1" pivotButton="0" quotePrefix="0" xfId="0">
      <alignment horizontal="right"/>
    </xf>
    <xf numFmtId="164" fontId="21" fillId="4" borderId="0" applyAlignment="1" pivotButton="0" quotePrefix="0" xfId="0">
      <alignment horizontal="right"/>
    </xf>
    <xf numFmtId="164" fontId="15" fillId="4" borderId="0" applyAlignment="1" pivotButton="0" quotePrefix="0" xfId="0">
      <alignment horizontal="right"/>
    </xf>
    <xf numFmtId="164" fontId="21" fillId="4" borderId="1" pivotButton="0" quotePrefix="0" xfId="0"/>
    <xf numFmtId="165" fontId="30" fillId="4" borderId="0" pivotButton="0" quotePrefix="0" xfId="1"/>
    <xf numFmtId="2" fontId="5" fillId="4" borderId="0" pivotButton="0" quotePrefix="0" xfId="0"/>
    <xf numFmtId="2" fontId="4" fillId="4" borderId="0" pivotButton="0" quotePrefix="0" xfId="0"/>
    <xf numFmtId="164" fontId="31" fillId="4" borderId="0" pivotButton="0" quotePrefix="0" xfId="0"/>
    <xf numFmtId="164" fontId="30" fillId="4" borderId="0" pivotButton="0" quotePrefix="0" xfId="0"/>
    <xf numFmtId="164" fontId="21" fillId="4" borderId="0" pivotButton="0" quotePrefix="0" xfId="0"/>
    <xf numFmtId="164" fontId="4" fillId="4" borderId="0" pivotButton="0" quotePrefix="0" xfId="0"/>
    <xf numFmtId="164" fontId="12" fillId="4" borderId="1" pivotButton="0" quotePrefix="0" xfId="0"/>
    <xf numFmtId="165" fontId="15" fillId="3" borderId="0" applyAlignment="1" pivotButton="0" quotePrefix="0" xfId="1">
      <alignment horizontal="right"/>
    </xf>
    <xf numFmtId="165" fontId="15" fillId="4" borderId="0" applyAlignment="1" pivotButton="0" quotePrefix="0" xfId="1">
      <alignment horizontal="right"/>
    </xf>
    <xf numFmtId="0" fontId="2" fillId="5" borderId="0" pivotButton="0" quotePrefix="0" xfId="0"/>
    <xf numFmtId="164" fontId="2" fillId="5" borderId="0" pivotButton="0" quotePrefix="0" xfId="0"/>
    <xf numFmtId="0" fontId="2" fillId="0" borderId="0" pivotButton="0" quotePrefix="0" xfId="0"/>
    <xf numFmtId="168" fontId="2" fillId="0" borderId="0" pivotButton="0" quotePrefix="0" xfId="0"/>
    <xf numFmtId="2" fontId="2" fillId="5" borderId="0" applyAlignment="1" pivotButton="0" quotePrefix="0" xfId="0">
      <alignment horizontal="right"/>
    </xf>
    <xf numFmtId="2" fontId="2" fillId="5" borderId="0" pivotButton="0" quotePrefix="0" xfId="0"/>
    <xf numFmtId="0" fontId="2" fillId="5" borderId="0" applyAlignment="1" pivotButton="0" quotePrefix="0" xfId="0">
      <alignment horizontal="center"/>
    </xf>
    <xf numFmtId="0" fontId="0" fillId="0" borderId="4" pivotButton="0" quotePrefix="0" xfId="0"/>
    <xf numFmtId="0" fontId="2" fillId="5" borderId="4" applyAlignment="1" pivotButton="0" quotePrefix="0" xfId="0">
      <alignment horizontal="center"/>
    </xf>
    <xf numFmtId="0" fontId="2" fillId="5" borderId="4" pivotButton="0" quotePrefix="0" xfId="0"/>
    <xf numFmtId="164" fontId="4" fillId="0" borderId="4" applyAlignment="1" pivotButton="0" quotePrefix="0" xfId="0">
      <alignment horizontal="right"/>
    </xf>
    <xf numFmtId="164" fontId="5" fillId="0" borderId="4" applyAlignment="1" pivotButton="0" quotePrefix="0" xfId="0">
      <alignment horizontal="right"/>
    </xf>
    <xf numFmtId="169" fontId="15" fillId="0" borderId="4" applyAlignment="1" pivotButton="0" quotePrefix="0" xfId="0">
      <alignment horizontal="right"/>
    </xf>
    <xf numFmtId="166" fontId="10" fillId="0" borderId="4" applyAlignment="1" pivotButton="0" quotePrefix="0" xfId="0">
      <alignment horizontal="right"/>
    </xf>
    <xf numFmtId="166" fontId="15" fillId="0" borderId="4" applyAlignment="1" pivotButton="0" quotePrefix="0" xfId="0">
      <alignment horizontal="right"/>
    </xf>
    <xf numFmtId="0" fontId="15" fillId="0" borderId="4" applyAlignment="1" pivotButton="0" quotePrefix="0" xfId="0">
      <alignment horizontal="right"/>
    </xf>
    <xf numFmtId="0" fontId="19" fillId="0" borderId="4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164" fontId="21" fillId="0" borderId="4" applyAlignment="1" pivotButton="0" quotePrefix="0" xfId="0">
      <alignment horizontal="right"/>
    </xf>
    <xf numFmtId="0" fontId="20" fillId="0" borderId="4" applyAlignment="1" pivotButton="0" quotePrefix="0" xfId="0">
      <alignment horizontal="right"/>
    </xf>
    <xf numFmtId="164" fontId="21" fillId="0" borderId="5" applyAlignment="1" pivotButton="0" quotePrefix="0" xfId="0">
      <alignment horizontal="right"/>
    </xf>
    <xf numFmtId="166" fontId="10" fillId="0" borderId="4" pivotButton="0" quotePrefix="0" xfId="0"/>
    <xf numFmtId="165" fontId="30" fillId="0" borderId="4" applyAlignment="1" pivotButton="0" quotePrefix="0" xfId="1">
      <alignment horizontal="right"/>
    </xf>
    <xf numFmtId="165" fontId="4" fillId="0" borderId="4" applyAlignment="1" pivotButton="0" quotePrefix="0" xfId="1">
      <alignment horizontal="right"/>
    </xf>
    <xf numFmtId="165" fontId="0" fillId="0" borderId="4" pivotButton="0" quotePrefix="0" xfId="1"/>
    <xf numFmtId="2" fontId="5" fillId="0" borderId="4" applyAlignment="1" pivotButton="0" quotePrefix="0" xfId="0">
      <alignment horizontal="right"/>
    </xf>
    <xf numFmtId="2" fontId="2" fillId="5" borderId="4" applyAlignment="1" pivotButton="0" quotePrefix="0" xfId="0">
      <alignment horizontal="right"/>
    </xf>
    <xf numFmtId="164" fontId="31" fillId="0" borderId="4" applyAlignment="1" pivotButton="0" quotePrefix="0" xfId="0">
      <alignment horizontal="right"/>
    </xf>
    <xf numFmtId="164" fontId="30" fillId="0" borderId="4" applyAlignment="1" pivotButton="0" quotePrefix="0" xfId="0">
      <alignment horizontal="right"/>
    </xf>
    <xf numFmtId="2" fontId="4" fillId="0" borderId="4" applyAlignment="1" pivotButton="0" quotePrefix="0" xfId="0">
      <alignment horizontal="right"/>
    </xf>
    <xf numFmtId="164" fontId="4" fillId="0" borderId="4" pivotButton="0" quotePrefix="0" xfId="0"/>
    <xf numFmtId="164" fontId="21" fillId="0" borderId="5" pivotButton="0" quotePrefix="0" xfId="0"/>
    <xf numFmtId="165" fontId="15" fillId="0" borderId="4" applyAlignment="1" pivotButton="0" quotePrefix="0" xfId="1">
      <alignment horizontal="right"/>
    </xf>
    <xf numFmtId="164" fontId="10" fillId="0" borderId="4" pivotButton="0" quotePrefix="0" xfId="0"/>
    <xf numFmtId="164" fontId="0" fillId="0" borderId="4" pivotButton="0" quotePrefix="0" xfId="0"/>
    <xf numFmtId="170" fontId="0" fillId="0" borderId="4" pivotButton="0" quotePrefix="0" xfId="0"/>
    <xf numFmtId="169" fontId="10" fillId="0" borderId="4" applyAlignment="1" pivotButton="0" quotePrefix="0" xfId="0">
      <alignment horizontal="right"/>
    </xf>
    <xf numFmtId="164" fontId="30" fillId="0" borderId="4" pivotButton="0" quotePrefix="0" xfId="0"/>
    <xf numFmtId="164" fontId="5" fillId="0" borderId="4" pivotButton="0" quotePrefix="0" xfId="0"/>
    <xf numFmtId="169" fontId="10" fillId="0" borderId="4" pivotButton="0" quotePrefix="0" xfId="0"/>
    <xf numFmtId="164" fontId="21" fillId="0" borderId="4" pivotButton="0" quotePrefix="0" xfId="0"/>
    <xf numFmtId="164" fontId="20" fillId="0" borderId="4" pivotButton="0" quotePrefix="0" xfId="0"/>
    <xf numFmtId="165" fontId="30" fillId="0" borderId="4" pivotButton="0" quotePrefix="0" xfId="1"/>
    <xf numFmtId="165" fontId="4" fillId="0" borderId="4" pivotButton="0" quotePrefix="0" xfId="1"/>
    <xf numFmtId="2" fontId="5" fillId="0" borderId="4" pivotButton="0" quotePrefix="0" xfId="0"/>
    <xf numFmtId="2" fontId="2" fillId="5" borderId="4" pivotButton="0" quotePrefix="0" xfId="0"/>
    <xf numFmtId="164" fontId="31" fillId="0" borderId="4" pivotButton="0" quotePrefix="0" xfId="0"/>
    <xf numFmtId="2" fontId="4" fillId="0" borderId="4" pivotButton="0" quotePrefix="0" xfId="0"/>
    <xf numFmtId="164" fontId="12" fillId="0" borderId="5" pivotButton="0" quotePrefix="0" xfId="0"/>
    <xf numFmtId="164" fontId="2" fillId="5" borderId="4" pivotButton="0" quotePrefix="0" xfId="0"/>
    <xf numFmtId="164" fontId="12" fillId="0" borderId="4" pivotButton="0" quotePrefix="0" xfId="0"/>
    <xf numFmtId="165" fontId="10" fillId="0" borderId="4" pivotButton="0" quotePrefix="0" xfId="1"/>
    <xf numFmtId="164" fontId="15" fillId="0" borderId="4" applyAlignment="1" pivotButton="0" quotePrefix="0" xfId="0">
      <alignment horizontal="right"/>
    </xf>
    <xf numFmtId="0" fontId="3" fillId="0" borderId="7" pivotButton="0" quotePrefix="0" xfId="0"/>
    <xf numFmtId="164" fontId="5" fillId="0" borderId="7" pivotButton="0" quotePrefix="0" xfId="0"/>
    <xf numFmtId="164" fontId="12" fillId="0" borderId="7" pivotButton="0" quotePrefix="0" xfId="0"/>
    <xf numFmtId="165" fontId="21" fillId="0" borderId="6" applyAlignment="1" pivotButton="0" quotePrefix="0" xfId="1">
      <alignment horizontal="right"/>
    </xf>
    <xf numFmtId="165" fontId="21" fillId="3" borderId="7" applyAlignment="1" pivotButton="0" quotePrefix="0" xfId="1">
      <alignment horizontal="right"/>
    </xf>
    <xf numFmtId="165" fontId="21" fillId="4" borderId="7" applyAlignment="1" pivotButton="0" quotePrefix="0" xfId="1">
      <alignment horizontal="right"/>
    </xf>
    <xf numFmtId="165" fontId="21" fillId="0" borderId="6" pivotButton="0" quotePrefix="0" xfId="1"/>
    <xf numFmtId="165" fontId="21" fillId="3" borderId="7" pivotButton="0" quotePrefix="0" xfId="1"/>
    <xf numFmtId="165" fontId="21" fillId="4" borderId="7" pivotButton="0" quotePrefix="0" xfId="1"/>
    <xf numFmtId="0" fontId="21" fillId="0" borderId="7" pivotButton="0" quotePrefix="0" xfId="0"/>
    <xf numFmtId="164" fontId="21" fillId="0" borderId="7" pivotButton="0" quotePrefix="0" xfId="0"/>
    <xf numFmtId="165" fontId="20" fillId="3" borderId="7" applyAlignment="1" pivotButton="0" quotePrefix="0" xfId="1">
      <alignment horizontal="right"/>
    </xf>
    <xf numFmtId="165" fontId="20" fillId="4" borderId="7" applyAlignment="1" pivotButton="0" quotePrefix="0" xfId="1">
      <alignment horizontal="right"/>
    </xf>
    <xf numFmtId="164" fontId="3" fillId="0" borderId="7" pivotButton="0" quotePrefix="0" xfId="0"/>
    <xf numFmtId="0" fontId="15" fillId="0" borderId="6" applyAlignment="1" pivotButton="0" quotePrefix="0" xfId="0">
      <alignment horizontal="right"/>
    </xf>
    <xf numFmtId="164" fontId="15" fillId="3" borderId="7" applyAlignment="1" pivotButton="0" quotePrefix="0" xfId="0">
      <alignment horizontal="right"/>
    </xf>
    <xf numFmtId="164" fontId="15" fillId="4" borderId="7" applyAlignment="1" pivotButton="0" quotePrefix="0" xfId="0">
      <alignment horizontal="right"/>
    </xf>
    <xf numFmtId="164" fontId="5" fillId="0" borderId="6" pivotButton="0" quotePrefix="0" xfId="0"/>
    <xf numFmtId="164" fontId="5" fillId="3" borderId="7" pivotButton="0" quotePrefix="0" xfId="0"/>
    <xf numFmtId="164" fontId="5" fillId="4" borderId="7" pivotButton="0" quotePrefix="0" xfId="0"/>
    <xf numFmtId="0" fontId="21" fillId="0" borderId="9" pivotButton="0" quotePrefix="0" xfId="0"/>
    <xf numFmtId="164" fontId="21" fillId="0" borderId="9" pivotButton="0" quotePrefix="0" xfId="0"/>
    <xf numFmtId="164" fontId="21" fillId="0" borderId="8" pivotButton="0" quotePrefix="0" xfId="0"/>
    <xf numFmtId="164" fontId="21" fillId="3" borderId="9" pivotButton="0" quotePrefix="0" xfId="0"/>
    <xf numFmtId="164" fontId="21" fillId="4" borderId="9" pivotButton="0" quotePrefix="0" xfId="0"/>
    <xf numFmtId="0" fontId="20" fillId="0" borderId="7" pivotButton="0" quotePrefix="0" xfId="0"/>
    <xf numFmtId="164" fontId="20" fillId="0" borderId="6" pivotButton="0" quotePrefix="0" xfId="0"/>
    <xf numFmtId="164" fontId="20" fillId="3" borderId="7" pivotButton="0" quotePrefix="0" xfId="0"/>
    <xf numFmtId="164" fontId="20" fillId="4" borderId="7" pivotButton="0" quotePrefix="0" xfId="0"/>
    <xf numFmtId="0" fontId="3" fillId="0" borderId="10" pivotButton="0" quotePrefix="0" xfId="0"/>
    <xf numFmtId="164" fontId="3" fillId="0" borderId="10" pivotButton="0" quotePrefix="0" xfId="0"/>
    <xf numFmtId="166" fontId="3" fillId="7" borderId="0" pivotButton="0" quotePrefix="0" xfId="0"/>
    <xf numFmtId="0" fontId="32" fillId="5" borderId="13" pivotButton="0" quotePrefix="0" xfId="0"/>
    <xf numFmtId="0" fontId="32" fillId="5" borderId="15" pivotButton="0" quotePrefix="0" xfId="0"/>
    <xf numFmtId="0" fontId="3" fillId="0" borderId="15" pivotButton="0" quotePrefix="0" xfId="0"/>
    <xf numFmtId="171" fontId="3" fillId="7" borderId="0" pivotButton="0" quotePrefix="0" xfId="0"/>
    <xf numFmtId="0" fontId="2" fillId="5" borderId="4" applyAlignment="1" pivotButton="0" quotePrefix="0" xfId="0">
      <alignment horizontal="left"/>
    </xf>
    <xf numFmtId="164" fontId="2" fillId="5" borderId="4" applyAlignment="1" pivotButton="0" quotePrefix="0" xfId="0">
      <alignment horizontal="left"/>
    </xf>
    <xf numFmtId="0" fontId="2" fillId="8" borderId="0" pivotButton="0" quotePrefix="0" xfId="0"/>
    <xf numFmtId="0" fontId="32" fillId="8" borderId="0" pivotButton="0" quotePrefix="0" xfId="0"/>
    <xf numFmtId="0" fontId="32" fillId="8" borderId="4" pivotButton="0" quotePrefix="0" xfId="0"/>
    <xf numFmtId="164" fontId="32" fillId="8" borderId="4" pivotButton="0" quotePrefix="0" xfId="0"/>
    <xf numFmtId="0" fontId="32" fillId="8" borderId="4" applyAlignment="1" pivotButton="0" quotePrefix="0" xfId="0">
      <alignment horizontal="left"/>
    </xf>
    <xf numFmtId="164" fontId="32" fillId="8" borderId="4" applyAlignment="1" pivotButton="0" quotePrefix="0" xfId="0">
      <alignment horizontal="left"/>
    </xf>
    <xf numFmtId="165" fontId="32" fillId="8" borderId="4" applyAlignment="1" pivotButton="0" quotePrefix="0" xfId="1">
      <alignment horizontal="left"/>
    </xf>
    <xf numFmtId="164" fontId="3" fillId="0" borderId="15" pivotButton="0" quotePrefix="0" xfId="0"/>
    <xf numFmtId="165" fontId="33" fillId="7" borderId="14" applyAlignment="1" pivotButton="0" quotePrefix="0" xfId="0">
      <alignment horizontal="right"/>
    </xf>
    <xf numFmtId="164" fontId="34" fillId="7" borderId="15" applyAlignment="1" pivotButton="0" quotePrefix="0" xfId="0">
      <alignment horizontal="right"/>
    </xf>
    <xf numFmtId="164" fontId="35" fillId="7" borderId="15" pivotButton="0" quotePrefix="0" xfId="0"/>
    <xf numFmtId="172" fontId="32" fillId="6" borderId="0" pivotButton="0" quotePrefix="0" xfId="0"/>
    <xf numFmtId="166" fontId="10" fillId="9" borderId="4" applyAlignment="1" pivotButton="0" quotePrefix="0" xfId="0">
      <alignment horizontal="right"/>
    </xf>
    <xf numFmtId="166" fontId="10" fillId="9" borderId="4" pivotButton="0" quotePrefix="0" xfId="0"/>
    <xf numFmtId="0" fontId="9" fillId="0" borderId="4" pivotButton="0" quotePrefix="0" xfId="0"/>
    <xf numFmtId="164" fontId="9" fillId="0" borderId="4" pivotButton="0" quotePrefix="0" xfId="0"/>
    <xf numFmtId="0" fontId="18" fillId="9" borderId="7" pivotButton="0" quotePrefix="0" xfId="0"/>
    <xf numFmtId="164" fontId="0" fillId="9" borderId="7" pivotButton="0" quotePrefix="0" xfId="0"/>
    <xf numFmtId="166" fontId="10" fillId="9" borderId="6" applyAlignment="1" pivotButton="0" quotePrefix="0" xfId="0">
      <alignment horizontal="right"/>
    </xf>
    <xf numFmtId="164" fontId="15" fillId="9" borderId="7" applyAlignment="1" pivotButton="0" quotePrefix="0" xfId="0">
      <alignment horizontal="right"/>
    </xf>
    <xf numFmtId="166" fontId="10" fillId="9" borderId="6" pivotButton="0" quotePrefix="0" xfId="0"/>
    <xf numFmtId="164" fontId="4" fillId="9" borderId="7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6" borderId="0" applyAlignment="1" pivotButton="0" quotePrefix="0" xfId="0">
      <alignment horizontal="center"/>
    </xf>
    <xf numFmtId="164" fontId="0" fillId="3" borderId="0" pivotButton="0" quotePrefix="0" xfId="0"/>
    <xf numFmtId="164" fontId="0" fillId="4" borderId="0" pivotButton="0" quotePrefix="0" xfId="0"/>
    <xf numFmtId="0" fontId="26" fillId="0" borderId="0" applyAlignment="1" pivotButton="0" quotePrefix="1" xfId="0">
      <alignment horizontal="center"/>
    </xf>
    <xf numFmtId="164" fontId="4" fillId="3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  <xf numFmtId="164" fontId="5" fillId="3" borderId="0" applyAlignment="1" pivotButton="0" quotePrefix="0" xfId="0">
      <alignment horizontal="right"/>
    </xf>
    <xf numFmtId="164" fontId="5" fillId="4" borderId="0" applyAlignment="1" pivotButton="0" quotePrefix="0" xfId="0">
      <alignment horizontal="right"/>
    </xf>
    <xf numFmtId="169" fontId="15" fillId="3" borderId="0" applyAlignment="1" pivotButton="0" quotePrefix="0" xfId="0">
      <alignment horizontal="right"/>
    </xf>
    <xf numFmtId="169" fontId="15" fillId="4" borderId="0" applyAlignment="1" pivotButton="0" quotePrefix="0" xfId="0">
      <alignment horizontal="right"/>
    </xf>
    <xf numFmtId="166" fontId="10" fillId="3" borderId="0" applyAlignment="1" pivotButton="0" quotePrefix="0" xfId="0">
      <alignment horizontal="right"/>
    </xf>
    <xf numFmtId="166" fontId="10" fillId="4" borderId="0" applyAlignment="1" pivotButton="0" quotePrefix="0" xfId="0">
      <alignment horizontal="right"/>
    </xf>
    <xf numFmtId="166" fontId="15" fillId="3" borderId="0" applyAlignment="1" pivotButton="0" quotePrefix="0" xfId="0">
      <alignment horizontal="right"/>
    </xf>
    <xf numFmtId="166" fontId="15" fillId="4" borderId="0" applyAlignment="1" pivotButton="0" quotePrefix="0" xfId="0">
      <alignment horizontal="right"/>
    </xf>
    <xf numFmtId="164" fontId="5" fillId="3" borderId="0" pivotButton="0" quotePrefix="0" xfId="0"/>
    <xf numFmtId="164" fontId="5" fillId="4" borderId="0" pivotButton="0" quotePrefix="0" xfId="0"/>
    <xf numFmtId="164" fontId="10" fillId="4" borderId="0" applyAlignment="1" pivotButton="0" quotePrefix="0" xfId="0">
      <alignment horizontal="right"/>
    </xf>
    <xf numFmtId="164" fontId="10" fillId="4" borderId="0" pivotButton="0" quotePrefix="0" xfId="0"/>
    <xf numFmtId="164" fontId="12" fillId="4" borderId="0" applyAlignment="1" pivotButton="0" quotePrefix="0" xfId="0">
      <alignment horizontal="right"/>
    </xf>
    <xf numFmtId="164" fontId="19" fillId="3" borderId="0" applyAlignment="1" pivotButton="0" quotePrefix="0" xfId="0">
      <alignment horizontal="right"/>
    </xf>
    <xf numFmtId="164" fontId="19" fillId="4" borderId="0" applyAlignment="1" pivotButton="0" quotePrefix="0" xfId="0">
      <alignment horizontal="right"/>
    </xf>
    <xf numFmtId="164" fontId="12" fillId="4" borderId="0" pivotButton="0" quotePrefix="0" xfId="0"/>
    <xf numFmtId="169" fontId="4" fillId="3" borderId="0" pivotButton="0" quotePrefix="0" xfId="0"/>
    <xf numFmtId="169" fontId="4" fillId="4" borderId="0" pivotButton="0" quotePrefix="0" xfId="0"/>
    <xf numFmtId="164" fontId="20" fillId="3" borderId="0" applyAlignment="1" pivotButton="0" quotePrefix="0" xfId="0">
      <alignment horizontal="right"/>
    </xf>
    <xf numFmtId="164" fontId="20" fillId="4" borderId="0" applyAlignment="1" pivotButton="0" quotePrefix="0" xfId="0">
      <alignment horizontal="right"/>
    </xf>
    <xf numFmtId="164" fontId="20" fillId="3" borderId="0" pivotButton="0" quotePrefix="0" xfId="0"/>
    <xf numFmtId="164" fontId="20" fillId="4" borderId="0" pivotButton="0" quotePrefix="0" xfId="0"/>
    <xf numFmtId="169" fontId="10" fillId="4" borderId="0" pivotButton="0" quotePrefix="0" xfId="0"/>
    <xf numFmtId="0" fontId="11" fillId="0" borderId="0" pivotButton="0" quotePrefix="0" xfId="0"/>
    <xf numFmtId="165" fontId="4" fillId="3" borderId="0" applyAlignment="1" pivotButton="0" quotePrefix="0" xfId="1">
      <alignment horizontal="right"/>
    </xf>
    <xf numFmtId="165" fontId="10" fillId="4" borderId="0" applyAlignment="1" pivotButton="0" quotePrefix="0" xfId="1">
      <alignment horizontal="right"/>
    </xf>
    <xf numFmtId="165" fontId="4" fillId="3" borderId="0" pivotButton="0" quotePrefix="0" xfId="1"/>
    <xf numFmtId="165" fontId="4" fillId="4" borderId="0" pivotButton="0" quotePrefix="0" xfId="1"/>
    <xf numFmtId="165" fontId="10" fillId="4" borderId="0" pivotButton="0" quotePrefix="0" xfId="1"/>
    <xf numFmtId="0" fontId="16" fillId="0" borderId="0" pivotButton="0" quotePrefix="0" xfId="0"/>
    <xf numFmtId="164" fontId="16" fillId="0" borderId="0" pivotButton="0" quotePrefix="0" xfId="0"/>
    <xf numFmtId="165" fontId="0" fillId="3" borderId="0" pivotButton="0" quotePrefix="0" xfId="1"/>
    <xf numFmtId="165" fontId="0" fillId="4" borderId="0" pivotButton="0" quotePrefix="0" xfId="1"/>
    <xf numFmtId="164" fontId="28" fillId="0" borderId="0" pivotButton="0" quotePrefix="0" xfId="0"/>
    <xf numFmtId="164" fontId="9" fillId="3" borderId="0" pivotButton="0" quotePrefix="0" xfId="0"/>
    <xf numFmtId="164" fontId="9" fillId="4" borderId="0" pivotButton="0" quotePrefix="0" xfId="0"/>
    <xf numFmtId="0" fontId="18" fillId="9" borderId="0" pivotButton="0" quotePrefix="0" xfId="0"/>
    <xf numFmtId="164" fontId="0" fillId="9" borderId="0" pivotButton="0" quotePrefix="0" xfId="0"/>
    <xf numFmtId="164" fontId="15" fillId="9" borderId="0" applyAlignment="1" pivotButton="0" quotePrefix="0" xfId="0">
      <alignment horizontal="right"/>
    </xf>
    <xf numFmtId="164" fontId="4" fillId="9" borderId="0" pivotButton="0" quotePrefix="0" xfId="0"/>
    <xf numFmtId="0" fontId="2" fillId="5" borderId="0" applyAlignment="1" pivotButton="0" quotePrefix="0" xfId="0">
      <alignment horizontal="left"/>
    </xf>
    <xf numFmtId="164" fontId="2" fillId="5" borderId="0" applyAlignment="1" pivotButton="0" quotePrefix="0" xfId="0">
      <alignment horizontal="left"/>
    </xf>
    <xf numFmtId="0" fontId="32" fillId="8" borderId="0" applyAlignment="1" pivotButton="0" quotePrefix="0" xfId="0">
      <alignment horizontal="left"/>
    </xf>
    <xf numFmtId="164" fontId="32" fillId="8" borderId="0" applyAlignment="1" pivotButton="0" quotePrefix="0" xfId="0">
      <alignment horizontal="left"/>
    </xf>
    <xf numFmtId="165" fontId="32" fillId="8" borderId="0" applyAlignment="1" pivotButton="0" quotePrefix="0" xfId="1">
      <alignment horizontal="left"/>
    </xf>
    <xf numFmtId="0" fontId="17" fillId="0" borderId="0" pivotButton="0" quotePrefix="0" xfId="0"/>
    <xf numFmtId="164" fontId="16" fillId="3" borderId="0" pivotButton="0" quotePrefix="0" xfId="0"/>
    <xf numFmtId="164" fontId="16" fillId="4" borderId="0" pivotButton="0" quotePrefix="0" xfId="0"/>
    <xf numFmtId="0" fontId="8" fillId="0" borderId="0" applyAlignment="1" pivotButton="0" quotePrefix="0" xfId="0">
      <alignment horizontal="right"/>
    </xf>
    <xf numFmtId="170" fontId="0" fillId="3" borderId="0" pivotButton="0" quotePrefix="0" xfId="0"/>
    <xf numFmtId="170" fontId="0" fillId="4" borderId="0" pivotButton="0" quotePrefix="0" xfId="0"/>
    <xf numFmtId="165" fontId="21" fillId="0" borderId="4" applyAlignment="1" pivotButton="0" quotePrefix="0" xfId="1">
      <alignment horizontal="right"/>
    </xf>
    <xf numFmtId="165" fontId="21" fillId="3" borderId="0" applyAlignment="1" pivotButton="0" quotePrefix="0" xfId="1">
      <alignment horizontal="right"/>
    </xf>
    <xf numFmtId="165" fontId="21" fillId="4" borderId="0" applyAlignment="1" pivotButton="0" quotePrefix="0" xfId="1">
      <alignment horizontal="right"/>
    </xf>
    <xf numFmtId="165" fontId="20" fillId="3" borderId="0" applyAlignment="1" pivotButton="0" quotePrefix="0" xfId="1">
      <alignment horizontal="right"/>
    </xf>
    <xf numFmtId="165" fontId="20" fillId="4" borderId="0" applyAlignment="1" pivotButton="0" quotePrefix="0" xfId="1">
      <alignment horizontal="right"/>
    </xf>
    <xf numFmtId="165" fontId="21" fillId="0" borderId="4" pivotButton="0" quotePrefix="0" xfId="1"/>
    <xf numFmtId="165" fontId="21" fillId="3" borderId="0" pivotButton="0" quotePrefix="0" xfId="1"/>
    <xf numFmtId="165" fontId="21" fillId="4" borderId="0" pivotButton="0" quotePrefix="0" xfId="1"/>
    <xf numFmtId="0" fontId="21" fillId="0" borderId="0" pivotButton="0" quotePrefix="0" xfId="0"/>
    <xf numFmtId="166" fontId="10" fillId="0" borderId="0" applyAlignment="1" pivotButton="0" quotePrefix="0" xfId="0">
      <alignment horizontal="right"/>
    </xf>
    <xf numFmtId="166" fontId="10" fillId="0" borderId="0" pivotButton="0" quotePrefix="0" xfId="0"/>
    <xf numFmtId="164" fontId="12" fillId="0" borderId="6" applyAlignment="1" pivotButton="0" quotePrefix="0" xfId="0">
      <alignment horizontal="right"/>
    </xf>
    <xf numFmtId="164" fontId="12" fillId="0" borderId="6" pivotButton="0" quotePrefix="0" xfId="0"/>
    <xf numFmtId="164" fontId="4" fillId="3" borderId="7" pivotButton="0" quotePrefix="0" xfId="0"/>
    <xf numFmtId="164" fontId="4" fillId="4" borderId="7" pivotButton="0" quotePrefix="0" xfId="0"/>
    <xf numFmtId="164" fontId="21" fillId="0" borderId="6" pivotButton="0" quotePrefix="0" xfId="0"/>
    <xf numFmtId="164" fontId="21" fillId="3" borderId="7" pivotButton="0" quotePrefix="0" xfId="0"/>
    <xf numFmtId="164" fontId="21" fillId="4" borderId="7" pivotButton="0" quotePrefix="0" xfId="0"/>
    <xf numFmtId="164" fontId="21" fillId="3" borderId="7" applyAlignment="1" pivotButton="0" quotePrefix="0" xfId="0">
      <alignment horizontal="right"/>
    </xf>
    <xf numFmtId="164" fontId="21" fillId="4" borderId="7" applyAlignment="1" pivotButton="0" quotePrefix="0" xfId="0">
      <alignment horizontal="right"/>
    </xf>
    <xf numFmtId="164" fontId="0" fillId="0" borderId="13" pivotButton="0" quotePrefix="0" xfId="0"/>
    <xf numFmtId="165" fontId="35" fillId="7" borderId="12" applyAlignment="1" pivotButton="0" quotePrefix="0" xfId="1">
      <alignment horizontal="right"/>
    </xf>
    <xf numFmtId="165" fontId="34" fillId="7" borderId="13" applyAlignment="1" pivotButton="0" quotePrefix="0" xfId="1">
      <alignment horizontal="right"/>
    </xf>
    <xf numFmtId="165" fontId="35" fillId="7" borderId="12" pivotButton="0" quotePrefix="0" xfId="1"/>
    <xf numFmtId="165" fontId="35" fillId="7" borderId="13" pivotButton="0" quotePrefix="0" xfId="1"/>
    <xf numFmtId="164" fontId="0" fillId="0" borderId="15" pivotButton="0" quotePrefix="0" xfId="0"/>
    <xf numFmtId="164" fontId="36" fillId="7" borderId="14" applyAlignment="1" pivotButton="0" quotePrefix="0" xfId="0">
      <alignment horizontal="right"/>
    </xf>
    <xf numFmtId="164" fontId="36" fillId="7" borderId="14" pivotButton="0" quotePrefix="0" xfId="0"/>
    <xf numFmtId="164" fontId="2" fillId="8" borderId="0" pivotButton="0" quotePrefix="0" xfId="0"/>
    <xf numFmtId="164" fontId="32" fillId="8" borderId="0" pivotButton="0" quotePrefix="0" xfId="0"/>
    <xf numFmtId="0" fontId="37" fillId="5" borderId="0" pivotButton="0" quotePrefix="0" xfId="0"/>
    <xf numFmtId="164" fontId="5" fillId="7" borderId="4" applyAlignment="1" pivotButton="0" quotePrefix="0" xfId="0">
      <alignment horizontal="right"/>
    </xf>
    <xf numFmtId="164" fontId="5" fillId="7" borderId="0" applyAlignment="1" pivotButton="0" quotePrefix="0" xfId="0">
      <alignment horizontal="right"/>
    </xf>
    <xf numFmtId="168" fontId="2" fillId="6" borderId="0" pivotButton="0" quotePrefix="0" xfId="0"/>
    <xf numFmtId="169" fontId="19" fillId="7" borderId="0" applyAlignment="1" pivotButton="0" quotePrefix="0" xfId="0">
      <alignment horizontal="right"/>
    </xf>
    <xf numFmtId="166" fontId="12" fillId="7" borderId="4" applyAlignment="1" pivotButton="0" quotePrefix="0" xfId="0">
      <alignment horizontal="right"/>
    </xf>
    <xf numFmtId="166" fontId="12" fillId="7" borderId="0" applyAlignment="1" pivotButton="0" quotePrefix="0" xfId="0">
      <alignment horizontal="right"/>
    </xf>
    <xf numFmtId="169" fontId="12" fillId="7" borderId="4" applyAlignment="1" pivotButton="0" quotePrefix="0" xfId="0">
      <alignment horizontal="right"/>
    </xf>
    <xf numFmtId="169" fontId="12" fillId="7" borderId="0" applyAlignment="1" pivotButton="0" quotePrefix="0" xfId="0">
      <alignment horizontal="right"/>
    </xf>
    <xf numFmtId="166" fontId="19" fillId="7" borderId="0" applyAlignment="1" pivotButton="0" quotePrefix="0" xfId="0">
      <alignment horizontal="right"/>
    </xf>
    <xf numFmtId="164" fontId="5" fillId="7" borderId="4" pivotButton="0" quotePrefix="0" xfId="0"/>
    <xf numFmtId="164" fontId="5" fillId="7" borderId="0" pivotButton="0" quotePrefix="0" xfId="0"/>
    <xf numFmtId="164" fontId="12" fillId="7" borderId="0" applyAlignment="1" pivotButton="0" quotePrefix="0" xfId="0">
      <alignment horizontal="right"/>
    </xf>
    <xf numFmtId="164" fontId="19" fillId="7" borderId="0" applyAlignment="1" pivotButton="0" quotePrefix="0" xfId="0">
      <alignment horizontal="right"/>
    </xf>
    <xf numFmtId="164" fontId="12" fillId="7" borderId="0" pivotButton="0" quotePrefix="0" xfId="0"/>
    <xf numFmtId="164" fontId="12" fillId="7" borderId="4" pivotButton="0" quotePrefix="0" xfId="0"/>
    <xf numFmtId="169" fontId="12" fillId="7" borderId="4" pivotButton="0" quotePrefix="0" xfId="0"/>
    <xf numFmtId="169" fontId="5" fillId="7" borderId="0" pivotButton="0" quotePrefix="0" xfId="0"/>
    <xf numFmtId="0" fontId="5" fillId="7" borderId="4" applyAlignment="1" pivotButton="0" quotePrefix="0" xfId="0">
      <alignment horizontal="right"/>
    </xf>
    <xf numFmtId="164" fontId="21" fillId="7" borderId="4" applyAlignment="1" pivotButton="0" quotePrefix="0" xfId="0">
      <alignment horizontal="right"/>
    </xf>
    <xf numFmtId="164" fontId="21" fillId="7" borderId="0" applyAlignment="1" pivotButton="0" quotePrefix="0" xfId="0">
      <alignment horizontal="right"/>
    </xf>
    <xf numFmtId="164" fontId="21" fillId="7" borderId="4" pivotButton="0" quotePrefix="0" xfId="0"/>
    <xf numFmtId="164" fontId="21" fillId="7" borderId="0" pivotButton="0" quotePrefix="0" xfId="0"/>
    <xf numFmtId="169" fontId="12" fillId="7" borderId="0" pivotButton="0" quotePrefix="0" xfId="0"/>
    <xf numFmtId="166" fontId="12" fillId="7" borderId="4" pivotButton="0" quotePrefix="0" xfId="0"/>
    <xf numFmtId="164" fontId="3" fillId="7" borderId="0" pivotButton="0" quotePrefix="0" xfId="0"/>
    <xf numFmtId="169" fontId="3" fillId="7" borderId="0" pivotButton="0" quotePrefix="0" xfId="0"/>
    <xf numFmtId="0" fontId="38" fillId="0" borderId="0" pivotButton="0" quotePrefix="0" xfId="0"/>
    <xf numFmtId="168" fontId="10" fillId="0" borderId="0" pivotButton="0" quotePrefix="0" xfId="0"/>
    <xf numFmtId="164" fontId="10" fillId="0" borderId="0" applyAlignment="1" pivotButton="0" quotePrefix="0" xfId="0">
      <alignment horizontal="right"/>
    </xf>
    <xf numFmtId="164" fontId="20" fillId="0" borderId="4" applyAlignment="1" pivotButton="0" quotePrefix="0" xfId="0">
      <alignment horizontal="right"/>
    </xf>
    <xf numFmtId="0" fontId="37" fillId="5" borderId="7" pivotButton="0" quotePrefix="0" xfId="0"/>
    <xf numFmtId="165" fontId="21" fillId="7" borderId="6" applyAlignment="1" pivotButton="0" quotePrefix="0" xfId="1">
      <alignment horizontal="right"/>
    </xf>
    <xf numFmtId="165" fontId="21" fillId="7" borderId="7" applyAlignment="1" pivotButton="0" quotePrefix="0" xfId="1">
      <alignment horizontal="right"/>
    </xf>
    <xf numFmtId="165" fontId="21" fillId="7" borderId="6" pivotButton="0" quotePrefix="0" xfId="1"/>
    <xf numFmtId="165" fontId="21" fillId="7" borderId="7" pivotButton="0" quotePrefix="0" xfId="1"/>
    <xf numFmtId="173" fontId="21" fillId="7" borderId="4" applyAlignment="1" pivotButton="0" quotePrefix="0" xfId="0">
      <alignment horizontal="right"/>
    </xf>
    <xf numFmtId="173" fontId="21" fillId="7" borderId="0" applyAlignment="1" pivotButton="0" quotePrefix="0" xfId="0">
      <alignment horizontal="right"/>
    </xf>
    <xf numFmtId="173" fontId="21" fillId="7" borderId="4" pivotButton="0" quotePrefix="0" xfId="0"/>
    <xf numFmtId="173" fontId="21" fillId="7" borderId="0" pivotButton="0" quotePrefix="0" xfId="0"/>
    <xf numFmtId="164" fontId="5" fillId="0" borderId="5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0" fontId="10" fillId="0" borderId="0" pivotButton="0" quotePrefix="0" xfId="0"/>
    <xf numFmtId="0" fontId="12" fillId="0" borderId="1" pivotButton="0" quotePrefix="0" xfId="0"/>
    <xf numFmtId="0" fontId="38" fillId="0" borderId="0" applyAlignment="1" pivotButton="0" quotePrefix="0" xfId="0">
      <alignment horizontal="center"/>
    </xf>
    <xf numFmtId="0" fontId="38" fillId="0" borderId="0" applyAlignment="1" pivotButton="0" quotePrefix="1" xfId="0">
      <alignment horizontal="center"/>
    </xf>
    <xf numFmtId="172" fontId="39" fillId="0" borderId="0" pivotButton="0" quotePrefix="0" xfId="0"/>
    <xf numFmtId="0" fontId="39" fillId="0" borderId="0" pivotButton="0" quotePrefix="0" xfId="0"/>
    <xf numFmtId="0" fontId="37" fillId="6" borderId="0" applyAlignment="1" pivotButton="0" quotePrefix="0" xfId="0">
      <alignment horizontal="center"/>
    </xf>
    <xf numFmtId="0" fontId="40" fillId="0" borderId="0" applyAlignment="1" pivotButton="0" quotePrefix="1" xfId="0">
      <alignment horizontal="center"/>
    </xf>
    <xf numFmtId="172" fontId="38" fillId="0" borderId="0" pivotButton="0" quotePrefix="0" xfId="0"/>
    <xf numFmtId="164" fontId="10" fillId="0" borderId="4" applyAlignment="1" pivotButton="0" quotePrefix="0" xfId="0">
      <alignment horizontal="right"/>
    </xf>
    <xf numFmtId="0" fontId="41" fillId="0" borderId="0" pivotButton="0" quotePrefix="0" xfId="0"/>
    <xf numFmtId="164" fontId="41" fillId="0" borderId="0" pivotButton="0" quotePrefix="0" xfId="0"/>
    <xf numFmtId="173" fontId="41" fillId="0" borderId="4" applyAlignment="1" pivotButton="0" quotePrefix="0" xfId="0">
      <alignment horizontal="right"/>
    </xf>
    <xf numFmtId="173" fontId="41" fillId="0" borderId="0" applyAlignment="1" pivotButton="0" quotePrefix="0" xfId="0">
      <alignment horizontal="right"/>
    </xf>
    <xf numFmtId="173" fontId="41" fillId="0" borderId="4" pivotButton="0" quotePrefix="0" xfId="0"/>
    <xf numFmtId="173" fontId="41" fillId="0" borderId="0" pivotButton="0" quotePrefix="0" xfId="0"/>
    <xf numFmtId="164" fontId="10" fillId="3" borderId="0" applyAlignment="1" pivotButton="0" quotePrefix="0" xfId="0">
      <alignment horizontal="right"/>
    </xf>
    <xf numFmtId="164" fontId="10" fillId="3" borderId="0" pivotButton="0" quotePrefix="0" xfId="0"/>
    <xf numFmtId="173" fontId="5" fillId="7" borderId="4" applyAlignment="1" pivotButton="0" quotePrefix="0" xfId="0">
      <alignment horizontal="right"/>
    </xf>
    <xf numFmtId="173" fontId="5" fillId="7" borderId="0" applyAlignment="1" pivotButton="0" quotePrefix="0" xfId="0">
      <alignment horizontal="right"/>
    </xf>
    <xf numFmtId="173" fontId="5" fillId="7" borderId="4" pivotButton="0" quotePrefix="0" xfId="0"/>
    <xf numFmtId="173" fontId="5" fillId="7" borderId="0" pivotButton="0" quotePrefix="0" xfId="0"/>
    <xf numFmtId="173" fontId="12" fillId="7" borderId="4" applyAlignment="1" pivotButton="0" quotePrefix="0" xfId="0">
      <alignment horizontal="right"/>
    </xf>
    <xf numFmtId="173" fontId="12" fillId="7" borderId="0" applyAlignment="1" pivotButton="0" quotePrefix="0" xfId="0">
      <alignment horizontal="right"/>
    </xf>
    <xf numFmtId="173" fontId="12" fillId="7" borderId="4" pivotButton="0" quotePrefix="0" xfId="0"/>
    <xf numFmtId="173" fontId="12" fillId="7" borderId="0" pivotButton="0" quotePrefix="0" xfId="0"/>
    <xf numFmtId="0" fontId="32" fillId="0" borderId="0" pivotButton="0" quotePrefix="0" xfId="0"/>
    <xf numFmtId="166" fontId="32" fillId="8" borderId="4" applyAlignment="1" pivotButton="0" quotePrefix="0" xfId="0">
      <alignment horizontal="right"/>
    </xf>
    <xf numFmtId="166" fontId="32" fillId="8" borderId="0" applyAlignment="1" pivotButton="0" quotePrefix="0" xfId="0">
      <alignment horizontal="right"/>
    </xf>
    <xf numFmtId="166" fontId="32" fillId="8" borderId="4" applyAlignment="1" pivotButton="0" quotePrefix="0" xfId="0">
      <alignment horizontal="left"/>
    </xf>
    <xf numFmtId="166" fontId="32" fillId="8" borderId="0" applyAlignment="1" pivotButton="0" quotePrefix="0" xfId="0">
      <alignment horizontal="left"/>
    </xf>
    <xf numFmtId="169" fontId="32" fillId="8" borderId="4" applyAlignment="1" pivotButton="0" quotePrefix="0" xfId="0">
      <alignment horizontal="left"/>
    </xf>
    <xf numFmtId="169" fontId="32" fillId="8" borderId="0" applyAlignment="1" pivotButton="0" quotePrefix="0" xfId="0">
      <alignment horizontal="left"/>
    </xf>
    <xf numFmtId="164" fontId="32" fillId="8" borderId="0" applyAlignment="1" pivotButton="0" quotePrefix="0" xfId="0">
      <alignment horizontal="right"/>
    </xf>
    <xf numFmtId="174" fontId="4" fillId="0" borderId="4" applyAlignment="1" pivotButton="0" quotePrefix="0" xfId="0">
      <alignment horizontal="right"/>
    </xf>
    <xf numFmtId="174" fontId="4" fillId="0" borderId="0" applyAlignment="1" pivotButton="0" quotePrefix="0" xfId="0">
      <alignment horizontal="right"/>
    </xf>
    <xf numFmtId="175" fontId="4" fillId="0" borderId="4" applyAlignment="1" pivotButton="0" quotePrefix="0" xfId="0">
      <alignment horizontal="right"/>
    </xf>
    <xf numFmtId="175" fontId="4" fillId="0" borderId="0" applyAlignment="1" pivotButton="0" quotePrefix="0" xfId="0">
      <alignment horizontal="right"/>
    </xf>
    <xf numFmtId="175" fontId="4" fillId="0" borderId="4" pivotButton="0" quotePrefix="0" xfId="0"/>
    <xf numFmtId="175" fontId="4" fillId="0" borderId="0" pivotButton="0" quotePrefix="0" xfId="0"/>
    <xf numFmtId="176" fontId="4" fillId="0" borderId="4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2" fontId="19" fillId="7" borderId="0" applyAlignment="1" pivotButton="0" quotePrefix="0" xfId="0">
      <alignment horizontal="right"/>
    </xf>
    <xf numFmtId="169" fontId="21" fillId="7" borderId="4" applyAlignment="1" pivotButton="0" quotePrefix="0" xfId="0">
      <alignment horizontal="right"/>
    </xf>
    <xf numFmtId="169" fontId="21" fillId="7" borderId="0" applyAlignment="1" pivotButton="0" quotePrefix="0" xfId="0">
      <alignment horizontal="right"/>
    </xf>
    <xf numFmtId="169" fontId="21" fillId="7" borderId="4" pivotButton="0" quotePrefix="0" xfId="0"/>
    <xf numFmtId="169" fontId="21" fillId="7" borderId="0" pivotButton="0" quotePrefix="0" xfId="0"/>
    <xf numFmtId="165" fontId="21" fillId="0" borderId="11" applyAlignment="1" pivotButton="0" quotePrefix="0" xfId="1">
      <alignment horizontal="right"/>
    </xf>
    <xf numFmtId="165" fontId="21" fillId="3" borderId="10" applyAlignment="1" pivotButton="0" quotePrefix="0" xfId="1">
      <alignment horizontal="right"/>
    </xf>
    <xf numFmtId="165" fontId="21" fillId="4" borderId="10" applyAlignment="1" pivotButton="0" quotePrefix="0" xfId="1">
      <alignment horizontal="right"/>
    </xf>
    <xf numFmtId="165" fontId="20" fillId="3" borderId="10" applyAlignment="1" pivotButton="0" quotePrefix="0" xfId="1">
      <alignment horizontal="right"/>
    </xf>
    <xf numFmtId="165" fontId="20" fillId="4" borderId="10" applyAlignment="1" pivotButton="0" quotePrefix="0" xfId="1">
      <alignment horizontal="right"/>
    </xf>
    <xf numFmtId="165" fontId="21" fillId="0" borderId="11" pivotButton="0" quotePrefix="0" xfId="1"/>
    <xf numFmtId="165" fontId="21" fillId="3" borderId="10" pivotButton="0" quotePrefix="0" xfId="1"/>
    <xf numFmtId="165" fontId="21" fillId="4" borderId="10" pivotButton="0" quotePrefix="0" xfId="1"/>
    <xf numFmtId="165" fontId="33" fillId="7" borderId="14" applyAlignment="1" pivotButton="0" quotePrefix="0" xfId="1">
      <alignment horizontal="right"/>
    </xf>
    <xf numFmtId="165" fontId="33" fillId="7" borderId="15" applyAlignment="1" pivotButton="0" quotePrefix="0" xfId="1">
      <alignment horizontal="right"/>
    </xf>
    <xf numFmtId="165" fontId="33" fillId="7" borderId="14" pivotButton="0" quotePrefix="0" xfId="1"/>
    <xf numFmtId="165" fontId="33" fillId="7" borderId="15" pivotButton="0" quotePrefix="0" xfId="1"/>
    <xf numFmtId="166" fontId="12" fillId="7" borderId="0" pivotButton="0" quotePrefix="0" xfId="0"/>
    <xf numFmtId="0" fontId="0" fillId="10" borderId="0" pivotButton="0" quotePrefix="0" xfId="0"/>
    <xf numFmtId="164" fontId="0" fillId="10" borderId="0" pivotButton="0" quotePrefix="0" xfId="0"/>
    <xf numFmtId="164" fontId="2" fillId="10" borderId="0" pivotButton="0" quotePrefix="0" xfId="0"/>
    <xf numFmtId="164" fontId="4" fillId="10" borderId="0" pivotButton="0" quotePrefix="0" xfId="0"/>
    <xf numFmtId="166" fontId="10" fillId="10" borderId="0" applyAlignment="1" pivotButton="0" quotePrefix="0" xfId="0">
      <alignment horizontal="right"/>
    </xf>
    <xf numFmtId="174" fontId="4" fillId="10" borderId="0" applyAlignment="1" pivotButton="0" quotePrefix="0" xfId="0">
      <alignment horizontal="right"/>
    </xf>
    <xf numFmtId="164" fontId="10" fillId="10" borderId="0" applyAlignment="1" pivotButton="0" quotePrefix="0" xfId="0">
      <alignment horizontal="right"/>
    </xf>
    <xf numFmtId="176" fontId="4" fillId="10" borderId="0" applyAlignment="1" pivotButton="0" quotePrefix="0" xfId="0">
      <alignment horizontal="right"/>
    </xf>
    <xf numFmtId="164" fontId="10" fillId="10" borderId="0" pivotButton="0" quotePrefix="0" xfId="0"/>
    <xf numFmtId="169" fontId="10" fillId="10" borderId="0" pivotButton="0" quotePrefix="0" xfId="0"/>
    <xf numFmtId="166" fontId="10" fillId="10" borderId="0" pivotButton="0" quotePrefix="0" xfId="0"/>
    <xf numFmtId="175" fontId="4" fillId="10" borderId="0" pivotButton="0" quotePrefix="0" xfId="0"/>
    <xf numFmtId="164" fontId="12" fillId="10" borderId="0" pivotButton="0" quotePrefix="0" xfId="0"/>
    <xf numFmtId="165" fontId="10" fillId="10" borderId="0" pivotButton="0" quotePrefix="0" xfId="1"/>
    <xf numFmtId="2" fontId="5" fillId="10" borderId="0" pivotButton="0" quotePrefix="0" xfId="0"/>
    <xf numFmtId="2" fontId="4" fillId="10" borderId="0" pivotButton="0" quotePrefix="0" xfId="0"/>
    <xf numFmtId="164" fontId="9" fillId="10" borderId="0" pivotButton="0" quotePrefix="0" xfId="0"/>
    <xf numFmtId="164" fontId="15" fillId="10" borderId="0" applyAlignment="1" pivotButton="0" quotePrefix="0" xfId="0">
      <alignment horizontal="right"/>
    </xf>
    <xf numFmtId="164" fontId="10" fillId="10" borderId="0" pivotButton="0" quotePrefix="0" xfId="1"/>
    <xf numFmtId="164" fontId="10" fillId="10" borderId="17" pivotButton="0" quotePrefix="0" xfId="0"/>
    <xf numFmtId="164" fontId="10" fillId="10" borderId="3" pivotButton="0" quotePrefix="0" xfId="0"/>
    <xf numFmtId="164" fontId="32" fillId="8" borderId="4" applyAlignment="1" pivotButton="0" quotePrefix="0" xfId="0">
      <alignment horizontal="right"/>
    </xf>
    <xf numFmtId="177" fontId="10" fillId="0" borderId="4" applyAlignment="1" pivotButton="0" quotePrefix="0" xfId="0">
      <alignment horizontal="right"/>
    </xf>
    <xf numFmtId="177" fontId="10" fillId="0" borderId="0" applyAlignment="1" pivotButton="0" quotePrefix="0" xfId="0">
      <alignment horizontal="right"/>
    </xf>
    <xf numFmtId="174" fontId="32" fillId="8" borderId="4" applyAlignment="1" pivotButton="0" quotePrefix="0" xfId="0">
      <alignment horizontal="right"/>
    </xf>
    <xf numFmtId="174" fontId="32" fillId="8" borderId="0" applyAlignment="1" pivotButton="0" quotePrefix="0" xfId="0">
      <alignment horizontal="right"/>
    </xf>
    <xf numFmtId="176" fontId="32" fillId="8" borderId="4" applyAlignment="1" pivotButton="0" quotePrefix="0" xfId="0">
      <alignment horizontal="right"/>
    </xf>
    <xf numFmtId="176" fontId="32" fillId="8" borderId="0" applyAlignment="1" pivotButton="0" quotePrefix="0" xfId="0">
      <alignment horizontal="right"/>
    </xf>
    <xf numFmtId="166" fontId="32" fillId="8" borderId="4" pivotButton="0" quotePrefix="0" xfId="0"/>
    <xf numFmtId="166" fontId="32" fillId="8" borderId="0" pivotButton="0" quotePrefix="0" xfId="0"/>
    <xf numFmtId="177" fontId="10" fillId="0" borderId="4" pivotButton="0" quotePrefix="0" xfId="0"/>
    <xf numFmtId="177" fontId="10" fillId="0" borderId="0" pivotButton="0" quotePrefix="0" xfId="0"/>
    <xf numFmtId="177" fontId="10" fillId="10" borderId="0" pivotButton="0" quotePrefix="0" xfId="0"/>
    <xf numFmtId="166" fontId="4" fillId="10" borderId="0" pivotButton="0" quotePrefix="0" xfId="0"/>
    <xf numFmtId="0" fontId="2" fillId="10" borderId="0" pivotButton="0" quotePrefix="0" xfId="0"/>
    <xf numFmtId="0" fontId="42" fillId="10" borderId="0" pivotButton="0" quotePrefix="0" xfId="0"/>
    <xf numFmtId="0" fontId="43" fillId="10" borderId="0" pivotButton="0" quotePrefix="0" xfId="0"/>
    <xf numFmtId="0" fontId="44" fillId="10" borderId="0" pivotButton="0" quotePrefix="0" xfId="0"/>
    <xf numFmtId="164" fontId="12" fillId="7" borderId="16" pivotButton="0" quotePrefix="0" xfId="0"/>
    <xf numFmtId="164" fontId="12" fillId="7" borderId="1" pivotButton="0" quotePrefix="0" xfId="0"/>
    <xf numFmtId="164" fontId="10" fillId="10" borderId="16" pivotButton="0" quotePrefix="0" xfId="1"/>
    <xf numFmtId="164" fontId="10" fillId="10" borderId="1" pivotButton="0" quotePrefix="0" xfId="1"/>
    <xf numFmtId="164" fontId="0" fillId="10" borderId="16" pivotButton="0" quotePrefix="0" xfId="0"/>
    <xf numFmtId="164" fontId="0" fillId="10" borderId="1" pivotButton="0" quotePrefix="0" xfId="0"/>
    <xf numFmtId="164" fontId="5" fillId="10" borderId="16" pivotButton="0" quotePrefix="0" xfId="0"/>
    <xf numFmtId="164" fontId="5" fillId="10" borderId="1" pivotButton="0" quotePrefix="0" xfId="0"/>
    <xf numFmtId="0" fontId="42" fillId="10" borderId="0" applyAlignment="1" pivotButton="0" quotePrefix="0" xfId="0">
      <alignment wrapText="1"/>
    </xf>
    <xf numFmtId="164" fontId="10" fillId="10" borderId="17" applyAlignment="1" pivotButton="0" quotePrefix="0" xfId="0">
      <alignment horizontal="right"/>
    </xf>
    <xf numFmtId="164" fontId="10" fillId="10" borderId="3" applyAlignment="1" pivotButton="0" quotePrefix="0" xfId="0">
      <alignment horizontal="right"/>
    </xf>
    <xf numFmtId="164" fontId="12" fillId="10" borderId="0" applyAlignment="1" pivotButton="0" quotePrefix="0" xfId="0">
      <alignment horizontal="right"/>
    </xf>
    <xf numFmtId="169" fontId="10" fillId="10" borderId="0" applyAlignment="1" pivotButton="0" quotePrefix="0" xfId="0">
      <alignment horizontal="right"/>
    </xf>
    <xf numFmtId="164" fontId="12" fillId="11" borderId="0" pivotButton="0" quotePrefix="0" xfId="0"/>
    <xf numFmtId="164" fontId="12" fillId="10" borderId="0" pivotButton="0" quotePrefix="0" xfId="1"/>
    <xf numFmtId="164" fontId="12" fillId="7" borderId="0" pivotButton="0" quotePrefix="0" xfId="1"/>
    <xf numFmtId="164" fontId="12" fillId="10" borderId="0" applyAlignment="1" pivotButton="0" quotePrefix="0" xfId="1">
      <alignment horizontal="right"/>
    </xf>
    <xf numFmtId="165" fontId="2" fillId="10" borderId="0" pivotButton="0" quotePrefix="0" xfId="1"/>
    <xf numFmtId="177" fontId="20" fillId="0" borderId="4" applyAlignment="1" pivotButton="0" quotePrefix="0" xfId="0">
      <alignment horizontal="right"/>
    </xf>
    <xf numFmtId="177" fontId="20" fillId="0" borderId="0" applyAlignment="1" pivotButton="0" quotePrefix="0" xfId="0">
      <alignment horizontal="right"/>
    </xf>
    <xf numFmtId="0" fontId="20" fillId="0" borderId="0" pivotButton="0" quotePrefix="0" xfId="0"/>
    <xf numFmtId="164" fontId="20" fillId="0" borderId="0" pivotButton="0" quotePrefix="0" xfId="0"/>
    <xf numFmtId="166" fontId="20" fillId="0" borderId="4" applyAlignment="1" pivotButton="0" quotePrefix="0" xfId="1">
      <alignment horizontal="right"/>
    </xf>
    <xf numFmtId="166" fontId="20" fillId="3" borderId="0" applyAlignment="1" pivotButton="0" quotePrefix="0" xfId="1">
      <alignment horizontal="right"/>
    </xf>
    <xf numFmtId="166" fontId="20" fillId="4" borderId="0" applyAlignment="1" pivotButton="0" quotePrefix="0" xfId="1">
      <alignment horizontal="right"/>
    </xf>
    <xf numFmtId="166" fontId="20" fillId="0" borderId="4" pivotButton="0" quotePrefix="0" xfId="1"/>
    <xf numFmtId="166" fontId="20" fillId="3" borderId="0" pivotButton="0" quotePrefix="0" xfId="1"/>
    <xf numFmtId="166" fontId="20" fillId="4" borderId="0" pivotButton="0" quotePrefix="0" xfId="1"/>
    <xf numFmtId="178" fontId="10" fillId="0" borderId="4" pivotButton="0" quotePrefix="0" xfId="0"/>
    <xf numFmtId="178" fontId="12" fillId="7" borderId="4" pivotButton="0" quotePrefix="0" xfId="0"/>
    <xf numFmtId="164" fontId="17" fillId="7" borderId="0" pivotButton="0" quotePrefix="0" xfId="0"/>
    <xf numFmtId="178" fontId="12" fillId="7" borderId="0" pivotButton="0" quotePrefix="0" xfId="0"/>
    <xf numFmtId="178" fontId="5" fillId="10" borderId="0" pivotButton="0" quotePrefix="0" xfId="0"/>
    <xf numFmtId="166" fontId="10" fillId="10" borderId="17" pivotButton="0" quotePrefix="0" xfId="0"/>
    <xf numFmtId="166" fontId="10" fillId="10" borderId="3" pivotButton="0" quotePrefix="0" xfId="0"/>
    <xf numFmtId="179" fontId="10" fillId="9" borderId="4" applyAlignment="1" pivotButton="0" quotePrefix="0" xfId="0">
      <alignment horizontal="right"/>
    </xf>
    <xf numFmtId="179" fontId="15" fillId="9" borderId="0" applyAlignment="1" pivotButton="0" quotePrefix="0" xfId="0">
      <alignment horizontal="right"/>
    </xf>
    <xf numFmtId="179" fontId="10" fillId="9" borderId="4" pivotButton="0" quotePrefix="0" xfId="0"/>
    <xf numFmtId="179" fontId="4" fillId="9" borderId="0" pivotButton="0" quotePrefix="0" xfId="0"/>
    <xf numFmtId="179" fontId="10" fillId="10" borderId="0" pivotButton="0" quotePrefix="0" xfId="0"/>
    <xf numFmtId="164" fontId="10" fillId="10" borderId="16" pivotButton="0" quotePrefix="0" xfId="0"/>
    <xf numFmtId="164" fontId="10" fillId="10" borderId="1" pivotButton="0" quotePrefix="0" xfId="0"/>
    <xf numFmtId="0" fontId="47" fillId="0" borderId="0" pivotButton="0" quotePrefix="0" xfId="0"/>
    <xf numFmtId="0" fontId="38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0" fontId="26" fillId="10" borderId="0" applyAlignment="1" pivotButton="0" quotePrefix="1" xfId="0">
      <alignment horizontal="center"/>
    </xf>
    <xf numFmtId="0" fontId="2" fillId="8" borderId="0" applyAlignment="1" pivotButton="0" quotePrefix="0" xfId="0">
      <alignment horizontal="center"/>
    </xf>
    <xf numFmtId="168" fontId="3" fillId="7" borderId="0" pivotButton="0" quotePrefix="0" xfId="0"/>
    <xf numFmtId="168" fontId="0" fillId="10" borderId="0" pivotButton="0" quotePrefix="0" xfId="0"/>
    <xf numFmtId="168" fontId="8" fillId="10" borderId="0" pivotButton="0" quotePrefix="0" xfId="0"/>
    <xf numFmtId="168" fontId="2" fillId="8" borderId="0" pivotButton="0" quotePrefix="0" xfId="0"/>
    <xf numFmtId="168" fontId="9" fillId="10" borderId="0" pivotButton="0" quotePrefix="0" xfId="0"/>
    <xf numFmtId="168" fontId="2" fillId="5" borderId="0" pivotButton="0" quotePrefix="0" xfId="0"/>
    <xf numFmtId="168" fontId="3" fillId="7" borderId="0" applyAlignment="1" pivotButton="0" quotePrefix="0" xfId="0">
      <alignment wrapText="1"/>
    </xf>
    <xf numFmtId="168" fontId="0" fillId="10" borderId="0" applyAlignment="1" pivotButton="0" quotePrefix="0" xfId="0">
      <alignment wrapText="1"/>
    </xf>
    <xf numFmtId="168" fontId="2" fillId="10" borderId="0" pivotButton="0" quotePrefix="0" xfId="0"/>
    <xf numFmtId="168" fontId="0" fillId="0" borderId="0" pivotButton="0" quotePrefix="0" xfId="0"/>
    <xf numFmtId="168" fontId="0" fillId="7" borderId="0" pivotButton="0" quotePrefix="0" xfId="0"/>
    <xf numFmtId="164" fontId="12" fillId="10" borderId="16" pivotButton="0" quotePrefix="0" xfId="0"/>
    <xf numFmtId="164" fontId="12" fillId="10" borderId="1" pivotButton="0" quotePrefix="0" xfId="0"/>
    <xf numFmtId="165" fontId="12" fillId="10" borderId="0" applyAlignment="1" pivotButton="0" quotePrefix="0" xfId="1">
      <alignment horizontal="right"/>
    </xf>
    <xf numFmtId="165" fontId="36" fillId="7" borderId="16" applyAlignment="1" pivotButton="0" quotePrefix="0" xfId="0">
      <alignment horizontal="right"/>
    </xf>
    <xf numFmtId="165" fontId="36" fillId="7" borderId="1" applyAlignment="1" pivotButton="0" quotePrefix="0" xfId="0">
      <alignment horizontal="right"/>
    </xf>
    <xf numFmtId="165" fontId="12" fillId="10" borderId="0" pivotButton="0" quotePrefix="0" xfId="1"/>
    <xf numFmtId="165" fontId="10" fillId="10" borderId="0" applyAlignment="1" pivotButton="0" quotePrefix="0" xfId="1">
      <alignment horizontal="right"/>
    </xf>
    <xf numFmtId="165" fontId="12" fillId="10" borderId="18" pivotButton="0" quotePrefix="0" xfId="1"/>
    <xf numFmtId="165" fontId="12" fillId="10" borderId="2" pivotButton="0" quotePrefix="0" xfId="1"/>
    <xf numFmtId="165" fontId="36" fillId="7" borderId="19" pivotButton="0" quotePrefix="0" xfId="1"/>
    <xf numFmtId="165" fontId="36" fillId="7" borderId="20" pivotButton="0" quotePrefix="0" xfId="1"/>
    <xf numFmtId="170" fontId="10" fillId="10" borderId="0" pivotButton="0" quotePrefix="0" xfId="0"/>
    <xf numFmtId="174" fontId="5" fillId="0" borderId="0" pivotButton="0" quotePrefix="0" xfId="0"/>
    <xf numFmtId="174" fontId="0" fillId="0" borderId="0" pivotButton="0" quotePrefix="0" xfId="0"/>
    <xf numFmtId="171" fontId="0" fillId="0" borderId="0" pivotButton="0" quotePrefix="0" xfId="0"/>
    <xf numFmtId="0" fontId="3" fillId="10" borderId="0" applyAlignment="1" pivotButton="0" quotePrefix="0" xfId="0">
      <alignment horizontal="right"/>
    </xf>
    <xf numFmtId="0" fontId="5" fillId="2" borderId="2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3" fontId="10" fillId="10" borderId="0" applyAlignment="1" pivotButton="0" quotePrefix="0" xfId="0">
      <alignment horizontal="right"/>
    </xf>
    <xf numFmtId="3" fontId="10" fillId="0" borderId="4" applyAlignment="1" pivotButton="0" quotePrefix="0" xfId="0">
      <alignment horizontal="right"/>
    </xf>
    <xf numFmtId="0" fontId="48" fillId="5" borderId="0" pivotButton="0" quotePrefix="0" xfId="0"/>
    <xf numFmtId="0" fontId="3" fillId="7" borderId="0" pivotButton="0" quotePrefix="0" xfId="0"/>
    <xf numFmtId="10" fontId="3" fillId="7" borderId="0" pivotButton="0" quotePrefix="0" xfId="0"/>
    <xf numFmtId="1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80" fontId="3" fillId="7" borderId="0" pivotButton="0" quotePrefix="0" xfId="0"/>
    <xf numFmtId="10" fontId="3" fillId="0" borderId="0" pivotButton="0" quotePrefix="0" xfId="0"/>
    <xf numFmtId="3" fontId="0" fillId="0" borderId="0" pivotButton="0" quotePrefix="0" xfId="0"/>
    <xf numFmtId="3" fontId="3" fillId="2" borderId="0" pivotButton="0" quotePrefix="0" xfId="0"/>
    <xf numFmtId="0" fontId="49" fillId="0" borderId="0" pivotButton="0" quotePrefix="0" xfId="0"/>
    <xf numFmtId="164" fontId="3" fillId="7" borderId="1" pivotButton="0" quotePrefix="0" xfId="0"/>
    <xf numFmtId="164" fontId="0" fillId="7" borderId="1" pivotButton="0" quotePrefix="0" xfId="0"/>
    <xf numFmtId="0" fontId="2" fillId="5" borderId="4" applyAlignment="1" pivotButton="0" quotePrefix="0" xfId="0">
      <alignment horizontal="right"/>
    </xf>
    <xf numFmtId="164" fontId="2" fillId="5" borderId="0" applyAlignment="1" pivotButton="0" quotePrefix="0" xfId="0">
      <alignment horizontal="right"/>
    </xf>
    <xf numFmtId="174" fontId="5" fillId="0" borderId="4" pivotButton="0" quotePrefix="0" xfId="0"/>
    <xf numFmtId="174" fontId="4" fillId="0" borderId="4" pivotButton="0" quotePrefix="0" xfId="0"/>
    <xf numFmtId="167" fontId="4" fillId="0" borderId="4" pivotButton="0" quotePrefix="0" xfId="0"/>
    <xf numFmtId="166" fontId="12" fillId="10" borderId="0" applyAlignment="1" pivotButton="0" quotePrefix="0" xfId="0">
      <alignment horizontal="right"/>
    </xf>
    <xf numFmtId="174" fontId="10" fillId="10" borderId="0" applyAlignment="1" pivotButton="0" quotePrefix="0" xfId="0">
      <alignment horizontal="right"/>
    </xf>
    <xf numFmtId="164" fontId="12" fillId="10" borderId="16" pivotButton="0" quotePrefix="0" xfId="1"/>
    <xf numFmtId="164" fontId="12" fillId="10" borderId="1" pivotButton="0" quotePrefix="0" xfId="1"/>
    <xf numFmtId="174" fontId="10" fillId="10" borderId="0" pivotButton="0" quotePrefix="0" xfId="0"/>
    <xf numFmtId="167" fontId="10" fillId="10" borderId="0" pivotButton="0" quotePrefix="0" xfId="0"/>
    <xf numFmtId="171" fontId="12" fillId="7" borderId="0" pivotButton="0" quotePrefix="0" xfId="0"/>
    <xf numFmtId="174" fontId="5" fillId="10" borderId="0" pivotButton="0" quotePrefix="0" xfId="0"/>
    <xf numFmtId="166" fontId="16" fillId="3" borderId="0" pivotButton="0" quotePrefix="0" xfId="0"/>
    <xf numFmtId="166" fontId="16" fillId="4" borderId="0" pivotButton="0" quotePrefix="0" xfId="0"/>
    <xf numFmtId="177" fontId="16" fillId="3" borderId="0" pivotButton="0" quotePrefix="0" xfId="0"/>
    <xf numFmtId="177" fontId="16" fillId="4" borderId="0" pivotButton="0" quotePrefix="0" xfId="0"/>
    <xf numFmtId="177" fontId="0" fillId="0" borderId="4" pivotButton="0" quotePrefix="0" xfId="0"/>
    <xf numFmtId="177" fontId="0" fillId="3" borderId="0" pivotButton="0" quotePrefix="0" xfId="0"/>
    <xf numFmtId="177" fontId="0" fillId="4" borderId="0" pivotButton="0" quotePrefix="0" xfId="0"/>
    <xf numFmtId="177" fontId="0" fillId="10" borderId="0" pivotButton="0" quotePrefix="0" xfId="0"/>
    <xf numFmtId="177" fontId="10" fillId="10" borderId="0" pivotButton="0" quotePrefix="0" xfId="1"/>
    <xf numFmtId="177" fontId="29" fillId="0" borderId="4" pivotButton="0" quotePrefix="0" xfId="0"/>
    <xf numFmtId="177" fontId="10" fillId="10" borderId="0" pivotButton="0" quotePrefix="0" xfId="2"/>
    <xf numFmtId="165" fontId="36" fillId="12" borderId="18" pivotButton="0" quotePrefix="0" xfId="1"/>
    <xf numFmtId="165" fontId="36" fillId="12" borderId="2" pivotButton="0" quotePrefix="0" xfId="1"/>
    <xf numFmtId="164" fontId="36" fillId="7" borderId="15" pivotButton="0" quotePrefix="0" xfId="0"/>
    <xf numFmtId="165" fontId="36" fillId="12" borderId="1" pivotButton="0" quotePrefix="0" xfId="1"/>
    <xf numFmtId="164" fontId="36" fillId="7" borderId="20" pivotButton="0" quotePrefix="0" xfId="0"/>
    <xf numFmtId="177" fontId="2" fillId="5" borderId="4" pivotButton="0" quotePrefix="0" xfId="0"/>
    <xf numFmtId="177" fontId="2" fillId="5" borderId="0" pivotButton="0" quotePrefix="0" xfId="0"/>
    <xf numFmtId="177" fontId="2" fillId="5" borderId="0" pivotButton="0" quotePrefix="0" xfId="1"/>
    <xf numFmtId="177" fontId="32" fillId="8" borderId="4" pivotButton="0" quotePrefix="0" xfId="0"/>
    <xf numFmtId="177" fontId="32" fillId="8" borderId="0" pivotButton="0" quotePrefix="0" xfId="0"/>
    <xf numFmtId="177" fontId="32" fillId="8" borderId="0" pivotButton="0" quotePrefix="0" xfId="1"/>
    <xf numFmtId="164" fontId="3" fillId="7" borderId="4" pivotButton="0" quotePrefix="0" xfId="0"/>
    <xf numFmtId="181" fontId="7" fillId="7" borderId="14" pivotButton="0" quotePrefix="0" xfId="0"/>
    <xf numFmtId="181" fontId="7" fillId="7" borderId="15" pivotButton="0" quotePrefix="0" xfId="0"/>
    <xf numFmtId="181" fontId="36" fillId="7" borderId="19" pivotButton="0" quotePrefix="0" xfId="0"/>
    <xf numFmtId="181" fontId="36" fillId="7" borderId="20" pivotButton="0" quotePrefix="0" xfId="0"/>
    <xf numFmtId="182" fontId="7" fillId="7" borderId="14" pivotButton="0" quotePrefix="0" xfId="0"/>
    <xf numFmtId="182" fontId="7" fillId="7" borderId="15" pivotButton="0" quotePrefix="0" xfId="0"/>
    <xf numFmtId="182" fontId="36" fillId="7" borderId="19" pivotButton="0" quotePrefix="0" xfId="0"/>
    <xf numFmtId="182" fontId="36" fillId="7" borderId="20" pivotButton="0" quotePrefix="0" xfId="0"/>
    <xf numFmtId="0" fontId="50" fillId="0" borderId="0" pivotButton="0" quotePrefix="0" xfId="0"/>
    <xf numFmtId="0" fontId="51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0" borderId="0" pivotButton="0" quotePrefix="0" xfId="0"/>
    <xf numFmtId="0" fontId="0" fillId="5" borderId="0" pivotButton="0" quotePrefix="0" xfId="0"/>
    <xf numFmtId="0" fontId="2" fillId="5" borderId="0" applyAlignment="1" pivotButton="0" quotePrefix="0" xfId="0">
      <alignment horizontal="right"/>
    </xf>
    <xf numFmtId="166" fontId="0" fillId="0" borderId="0" pivotButton="0" quotePrefix="0" xfId="0"/>
    <xf numFmtId="0" fontId="12" fillId="7" borderId="0" pivotButton="0" quotePrefix="0" xfId="0"/>
    <xf numFmtId="0" fontId="0" fillId="7" borderId="0" pivotButton="0" quotePrefix="0" xfId="0"/>
    <xf numFmtId="182" fontId="12" fillId="7" borderId="0" applyAlignment="1" pivotButton="0" quotePrefix="0" xfId="0">
      <alignment horizontal="right"/>
    </xf>
    <xf numFmtId="171" fontId="10" fillId="10" borderId="0" pivotButton="0" quotePrefix="0" xfId="0"/>
    <xf numFmtId="0" fontId="57" fillId="0" borderId="0" pivotButton="0" quotePrefix="0" xfId="0"/>
    <xf numFmtId="0" fontId="2" fillId="5" borderId="22" applyAlignment="1" pivotButton="0" quotePrefix="0" xfId="0">
      <alignment horizontal="right"/>
    </xf>
    <xf numFmtId="0" fontId="58" fillId="7" borderId="23" applyAlignment="1" pivotButton="0" quotePrefix="0" xfId="0">
      <alignment horizontal="center"/>
    </xf>
    <xf numFmtId="0" fontId="2" fillId="5" borderId="24" applyAlignment="1" pivotButton="0" quotePrefix="0" xfId="0">
      <alignment horizontal="right"/>
    </xf>
    <xf numFmtId="0" fontId="2" fillId="5" borderId="25" applyAlignment="1" pivotButton="0" quotePrefix="0" xfId="0">
      <alignment horizontal="right"/>
    </xf>
    <xf numFmtId="4" fontId="5" fillId="10" borderId="26" applyAlignment="1" pivotButton="0" quotePrefix="0" xfId="0">
      <alignment horizontal="center"/>
    </xf>
    <xf numFmtId="14" fontId="16" fillId="13" borderId="27" applyAlignment="1" pivotButton="0" quotePrefix="0" xfId="0">
      <alignment horizontal="center"/>
    </xf>
    <xf numFmtId="0" fontId="32" fillId="5" borderId="28" applyAlignment="1" pivotButton="0" quotePrefix="0" xfId="0">
      <alignment horizontal="right"/>
    </xf>
    <xf numFmtId="0" fontId="32" fillId="8" borderId="28" applyAlignment="1" pivotButton="0" quotePrefix="0" xfId="0">
      <alignment horizontal="right"/>
    </xf>
    <xf numFmtId="166" fontId="16" fillId="16" borderId="0" pivotButton="0" quotePrefix="0" xfId="0"/>
    <xf numFmtId="169" fontId="16" fillId="10" borderId="29" pivotButton="0" quotePrefix="0" xfId="0"/>
    <xf numFmtId="0" fontId="0" fillId="0" borderId="29" pivotButton="0" quotePrefix="0" xfId="0"/>
    <xf numFmtId="166" fontId="16" fillId="10" borderId="29" pivotButton="0" quotePrefix="0" xfId="0"/>
    <xf numFmtId="166" fontId="16" fillId="16" borderId="29" pivotButton="0" quotePrefix="0" xfId="0"/>
    <xf numFmtId="164" fontId="53" fillId="10" borderId="29" pivotButton="0" quotePrefix="0" xfId="0"/>
    <xf numFmtId="170" fontId="10" fillId="10" borderId="29" pivotButton="0" quotePrefix="0" xfId="0"/>
    <xf numFmtId="0" fontId="0" fillId="10" borderId="30" pivotButton="0" quotePrefix="0" xfId="0"/>
    <xf numFmtId="182" fontId="5" fillId="17" borderId="30" applyAlignment="1" pivotButton="0" quotePrefix="0" xfId="0">
      <alignment horizontal="right"/>
    </xf>
    <xf numFmtId="0" fontId="58" fillId="7" borderId="28" pivotButton="0" quotePrefix="0" xfId="0"/>
    <xf numFmtId="166" fontId="58" fillId="7" borderId="28" applyAlignment="1" pivotButton="0" quotePrefix="0" xfId="0">
      <alignment horizontal="right"/>
    </xf>
    <xf numFmtId="164" fontId="53" fillId="10" borderId="0" pivotButton="0" quotePrefix="0" xfId="0"/>
    <xf numFmtId="169" fontId="16" fillId="10" borderId="0" pivotButton="0" quotePrefix="0" xfId="0"/>
    <xf numFmtId="173" fontId="53" fillId="10" borderId="0" pivotButton="0" quotePrefix="0" xfId="0"/>
    <xf numFmtId="166" fontId="16" fillId="10" borderId="0" pivotButton="0" quotePrefix="0" xfId="0"/>
    <xf numFmtId="169" fontId="53" fillId="10" borderId="0" pivotButton="0" quotePrefix="0" xfId="0"/>
    <xf numFmtId="0" fontId="0" fillId="0" borderId="33" pivotButton="0" quotePrefix="0" xfId="0"/>
    <xf numFmtId="0" fontId="58" fillId="0" borderId="33" pivotButton="0" quotePrefix="0" xfId="0"/>
    <xf numFmtId="0" fontId="58" fillId="0" borderId="31" pivotButton="0" quotePrefix="0" xfId="0"/>
    <xf numFmtId="0" fontId="2" fillId="5" borderId="33" applyAlignment="1" pivotButton="0" quotePrefix="0" xfId="0">
      <alignment horizontal="left"/>
    </xf>
    <xf numFmtId="0" fontId="58" fillId="7" borderId="32" pivotButton="0" quotePrefix="0" xfId="0"/>
    <xf numFmtId="0" fontId="32" fillId="8" borderId="35" applyAlignment="1" pivotButton="0" quotePrefix="0" xfId="0">
      <alignment horizontal="right"/>
    </xf>
    <xf numFmtId="0" fontId="0" fillId="0" borderId="36" pivotButton="0" quotePrefix="0" xfId="0"/>
    <xf numFmtId="0" fontId="0" fillId="0" borderId="37" pivotButton="0" quotePrefix="0" xfId="0"/>
    <xf numFmtId="166" fontId="16" fillId="16" borderId="37" pivotButton="0" quotePrefix="0" xfId="0"/>
    <xf numFmtId="0" fontId="0" fillId="10" borderId="38" pivotButton="0" quotePrefix="0" xfId="0"/>
    <xf numFmtId="0" fontId="2" fillId="5" borderId="36" applyAlignment="1" pivotButton="0" quotePrefix="0" xfId="0">
      <alignment horizontal="right"/>
    </xf>
    <xf numFmtId="0" fontId="0" fillId="3" borderId="36" pivotButton="0" quotePrefix="0" xfId="0"/>
    <xf numFmtId="0" fontId="58" fillId="7" borderId="35" pivotButton="0" quotePrefix="0" xfId="0"/>
    <xf numFmtId="166" fontId="16" fillId="16" borderId="36" pivotButton="0" quotePrefix="0" xfId="0"/>
    <xf numFmtId="0" fontId="58" fillId="0" borderId="32" pivotButton="0" quotePrefix="0" xfId="0"/>
    <xf numFmtId="169" fontId="53" fillId="10" borderId="28" pivotButton="0" quotePrefix="0" xfId="0"/>
    <xf numFmtId="0" fontId="32" fillId="5" borderId="32" applyAlignment="1" pivotButton="0" quotePrefix="1" xfId="0">
      <alignment horizontal="right"/>
    </xf>
    <xf numFmtId="169" fontId="3" fillId="15" borderId="33" pivotButton="0" quotePrefix="0" xfId="0"/>
    <xf numFmtId="169" fontId="0" fillId="0" borderId="31" pivotButton="0" quotePrefix="0" xfId="0"/>
    <xf numFmtId="169" fontId="0" fillId="0" borderId="33" pivotButton="0" quotePrefix="0" xfId="0"/>
    <xf numFmtId="169" fontId="3" fillId="15" borderId="31" pivotButton="0" quotePrefix="0" xfId="0"/>
    <xf numFmtId="169" fontId="0" fillId="10" borderId="34" pivotButton="0" quotePrefix="0" xfId="0"/>
    <xf numFmtId="169" fontId="2" fillId="5" borderId="33" applyAlignment="1" pivotButton="0" quotePrefix="0" xfId="0">
      <alignment horizontal="right"/>
    </xf>
    <xf numFmtId="169" fontId="0" fillId="3" borderId="33" pivotButton="0" quotePrefix="0" xfId="0"/>
    <xf numFmtId="169" fontId="58" fillId="7" borderId="32" pivotButton="0" quotePrefix="0" xfId="0"/>
    <xf numFmtId="0" fontId="0" fillId="0" borderId="31" pivotButton="0" quotePrefix="0" xfId="0"/>
    <xf numFmtId="0" fontId="32" fillId="8" borderId="32" applyAlignment="1" pivotButton="0" quotePrefix="0" xfId="0">
      <alignment horizontal="right"/>
    </xf>
    <xf numFmtId="166" fontId="16" fillId="16" borderId="31" pivotButton="0" quotePrefix="0" xfId="0"/>
    <xf numFmtId="0" fontId="0" fillId="10" borderId="34" pivotButton="0" quotePrefix="0" xfId="0"/>
    <xf numFmtId="0" fontId="2" fillId="5" borderId="33" applyAlignment="1" pivotButton="0" quotePrefix="0" xfId="0">
      <alignment horizontal="right"/>
    </xf>
    <xf numFmtId="0" fontId="0" fillId="3" borderId="33" pivotButton="0" quotePrefix="0" xfId="0"/>
    <xf numFmtId="166" fontId="16" fillId="16" borderId="33" pivotButton="0" quotePrefix="0" xfId="0"/>
    <xf numFmtId="0" fontId="32" fillId="5" borderId="39" applyAlignment="1" pivotButton="0" quotePrefix="0" xfId="0">
      <alignment horizontal="right"/>
    </xf>
    <xf numFmtId="0" fontId="0" fillId="0" borderId="40" pivotButton="0" quotePrefix="0" xfId="0"/>
    <xf numFmtId="164" fontId="53" fillId="14" borderId="40" pivotButton="0" quotePrefix="0" xfId="0"/>
    <xf numFmtId="166" fontId="16" fillId="14" borderId="41" pivotButton="0" quotePrefix="0" xfId="0"/>
    <xf numFmtId="0" fontId="0" fillId="14" borderId="40" pivotButton="0" quotePrefix="0" xfId="0"/>
    <xf numFmtId="164" fontId="53" fillId="14" borderId="41" pivotButton="0" quotePrefix="0" xfId="0"/>
    <xf numFmtId="173" fontId="53" fillId="14" borderId="40" pivotButton="0" quotePrefix="0" xfId="0"/>
    <xf numFmtId="0" fontId="0" fillId="14" borderId="41" pivotButton="0" quotePrefix="0" xfId="0"/>
    <xf numFmtId="0" fontId="0" fillId="10" borderId="42" pivotButton="0" quotePrefix="0" xfId="0"/>
    <xf numFmtId="0" fontId="2" fillId="5" borderId="40" applyAlignment="1" pivotButton="0" quotePrefix="0" xfId="0">
      <alignment horizontal="right"/>
    </xf>
    <xf numFmtId="0" fontId="0" fillId="3" borderId="40" pivotButton="0" quotePrefix="0" xfId="0"/>
    <xf numFmtId="0" fontId="58" fillId="7" borderId="39" pivotButton="0" quotePrefix="0" xfId="0"/>
    <xf numFmtId="166" fontId="16" fillId="14" borderId="40" pivotButton="0" quotePrefix="0" xfId="0"/>
    <xf numFmtId="173" fontId="16" fillId="14" borderId="41" pivotButton="0" quotePrefix="0" xfId="0"/>
    <xf numFmtId="170" fontId="10" fillId="14" borderId="41" pivotButton="0" quotePrefix="0" xfId="0"/>
    <xf numFmtId="169" fontId="53" fillId="14" borderId="40" pivotButton="0" quotePrefix="0" xfId="0"/>
    <xf numFmtId="169" fontId="53" fillId="14" borderId="39" pivotButton="0" quotePrefix="0" xfId="0"/>
    <xf numFmtId="0" fontId="32" fillId="5" borderId="32" applyAlignment="1" pivotButton="0" quotePrefix="0" xfId="0">
      <alignment horizontal="right"/>
    </xf>
    <xf numFmtId="164" fontId="53" fillId="10" borderId="33" pivotButton="0" quotePrefix="0" xfId="0"/>
    <xf numFmtId="169" fontId="16" fillId="10" borderId="31" pivotButton="0" quotePrefix="0" xfId="0"/>
    <xf numFmtId="166" fontId="16" fillId="10" borderId="31" pivotButton="0" quotePrefix="0" xfId="0"/>
    <xf numFmtId="169" fontId="16" fillId="10" borderId="33" pivotButton="0" quotePrefix="0" xfId="0"/>
    <xf numFmtId="164" fontId="53" fillId="10" borderId="31" pivotButton="0" quotePrefix="0" xfId="0"/>
    <xf numFmtId="173" fontId="53" fillId="10" borderId="33" pivotButton="0" quotePrefix="0" xfId="0"/>
    <xf numFmtId="166" fontId="16" fillId="10" borderId="33" pivotButton="0" quotePrefix="0" xfId="0"/>
    <xf numFmtId="173" fontId="16" fillId="10" borderId="31" pivotButton="0" quotePrefix="0" xfId="0"/>
    <xf numFmtId="170" fontId="10" fillId="10" borderId="31" pivotButton="0" quotePrefix="0" xfId="0"/>
    <xf numFmtId="169" fontId="53" fillId="10" borderId="33" pivotButton="0" quotePrefix="0" xfId="0"/>
    <xf numFmtId="169" fontId="53" fillId="10" borderId="32" pivotButton="0" quotePrefix="0" xfId="0"/>
    <xf numFmtId="169" fontId="0" fillId="16" borderId="33" pivotButton="0" quotePrefix="0" xfId="0"/>
    <xf numFmtId="169" fontId="0" fillId="16" borderId="0" pivotButton="0" quotePrefix="0" xfId="0"/>
    <xf numFmtId="169" fontId="0" fillId="16" borderId="36" pivotButton="0" quotePrefix="0" xfId="0"/>
    <xf numFmtId="169" fontId="0" fillId="16" borderId="32" pivotButton="0" quotePrefix="0" xfId="0"/>
    <xf numFmtId="169" fontId="0" fillId="16" borderId="28" pivotButton="0" quotePrefix="0" xfId="0"/>
    <xf numFmtId="169" fontId="0" fillId="16" borderId="35" pivotButton="0" quotePrefix="0" xfId="0"/>
    <xf numFmtId="169" fontId="12" fillId="0" borderId="33" pivotButton="0" quotePrefix="0" xfId="0"/>
    <xf numFmtId="169" fontId="12" fillId="0" borderId="32" pivotButton="0" quotePrefix="0" xfId="0"/>
    <xf numFmtId="169" fontId="10" fillId="3" borderId="0" applyAlignment="1" pivotButton="0" quotePrefix="0" xfId="0">
      <alignment horizontal="right"/>
    </xf>
    <xf numFmtId="169" fontId="58" fillId="7" borderId="28" applyAlignment="1" pivotButton="0" quotePrefix="0" xfId="0">
      <alignment horizontal="right"/>
    </xf>
    <xf numFmtId="0" fontId="59" fillId="5" borderId="32" applyAlignment="1" pivotButton="0" quotePrefix="0" xfId="0">
      <alignment horizontal="left"/>
    </xf>
    <xf numFmtId="0" fontId="16" fillId="0" borderId="31" pivotButton="0" quotePrefix="0" xfId="0"/>
    <xf numFmtId="0" fontId="16" fillId="0" borderId="33" pivotButton="0" quotePrefix="0" xfId="0"/>
    <xf numFmtId="0" fontId="16" fillId="10" borderId="34" pivotButton="0" quotePrefix="0" xfId="0"/>
    <xf numFmtId="0" fontId="16" fillId="3" borderId="33" pivotButton="0" quotePrefix="0" xfId="0"/>
    <xf numFmtId="173" fontId="16" fillId="14" borderId="40" pivotButton="0" quotePrefix="0" xfId="0"/>
    <xf numFmtId="173" fontId="16" fillId="10" borderId="33" pivotButton="0" quotePrefix="0" xfId="0"/>
    <xf numFmtId="173" fontId="16" fillId="10" borderId="0" pivotButton="0" quotePrefix="0" xfId="0"/>
    <xf numFmtId="166" fontId="10" fillId="10" borderId="29" applyAlignment="1" pivotButton="0" quotePrefix="0" xfId="0">
      <alignment horizontal="right"/>
    </xf>
    <xf numFmtId="14" fontId="5" fillId="0" borderId="0" applyAlignment="1" pivotButton="0" quotePrefix="0" xfId="0">
      <alignment horizontal="center"/>
    </xf>
    <xf numFmtId="183" fontId="0" fillId="0" borderId="0" pivotButton="0" quotePrefix="0" xfId="0"/>
    <xf numFmtId="10" fontId="52" fillId="0" borderId="0" applyAlignment="1" pivotButton="0" quotePrefix="0" xfId="0">
      <alignment horizontal="center"/>
    </xf>
    <xf numFmtId="10" fontId="4" fillId="10" borderId="0" applyAlignment="1" pivotButton="0" quotePrefix="0" xfId="0">
      <alignment horizontal="center"/>
    </xf>
    <xf numFmtId="1" fontId="4" fillId="10" borderId="0" applyAlignment="1" pivotButton="0" quotePrefix="0" xfId="0">
      <alignment horizontal="center"/>
    </xf>
    <xf numFmtId="170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4" fontId="52" fillId="0" borderId="0" applyAlignment="1" pivotButton="0" quotePrefix="0" xfId="0">
      <alignment horizontal="right"/>
    </xf>
    <xf numFmtId="167" fontId="52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3" fontId="52" fillId="0" borderId="0" applyAlignment="1" pivotButton="0" quotePrefix="0" xfId="0">
      <alignment horizontal="right"/>
    </xf>
    <xf numFmtId="4" fontId="2" fillId="5" borderId="0" applyAlignment="1" pivotButton="0" quotePrefix="0" xfId="0">
      <alignment horizontal="right"/>
    </xf>
    <xf numFmtId="4" fontId="52" fillId="0" borderId="0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70" fontId="3" fillId="0" borderId="0" applyAlignment="1" pivotButton="0" quotePrefix="0" xfId="0">
      <alignment horizontal="right"/>
    </xf>
    <xf numFmtId="166" fontId="56" fillId="0" borderId="0" applyAlignment="1" pivotButton="0" quotePrefix="0" xfId="0">
      <alignment horizontal="right"/>
    </xf>
    <xf numFmtId="182" fontId="2" fillId="5" borderId="0" applyAlignment="1" pivotButton="0" quotePrefix="0" xfId="0">
      <alignment horizontal="center"/>
    </xf>
    <xf numFmtId="182" fontId="2" fillId="5" borderId="0" applyAlignment="1" pivotButton="0" quotePrefix="0" xfId="0">
      <alignment horizontal="right"/>
    </xf>
    <xf numFmtId="182" fontId="0" fillId="0" borderId="0" applyAlignment="1" pivotButton="0" quotePrefix="0" xfId="0">
      <alignment horizontal="right"/>
    </xf>
    <xf numFmtId="167" fontId="4" fillId="0" borderId="0" pivotButton="0" quotePrefix="0" xfId="0"/>
    <xf numFmtId="164" fontId="13" fillId="0" borderId="0" applyAlignment="1" pivotButton="0" quotePrefix="0" xfId="0">
      <alignment horizontal="right"/>
    </xf>
    <xf numFmtId="164" fontId="12" fillId="0" borderId="0" applyAlignment="1" pivotButton="0" quotePrefix="0" xfId="0">
      <alignment horizontal="right"/>
    </xf>
    <xf numFmtId="0" fontId="60" fillId="0" borderId="0" pivotButton="0" quotePrefix="0" xfId="0"/>
    <xf numFmtId="184" fontId="10" fillId="0" borderId="0" applyAlignment="1" pivotButton="0" quotePrefix="0" xfId="0">
      <alignment horizontal="right"/>
    </xf>
    <xf numFmtId="0" fontId="18" fillId="19" borderId="0" pivotButton="0" quotePrefix="0" xfId="0"/>
    <xf numFmtId="171" fontId="10" fillId="0" borderId="0" applyAlignment="1" pivotButton="0" quotePrefix="0" xfId="0">
      <alignment horizontal="right"/>
    </xf>
    <xf numFmtId="9" fontId="10" fillId="0" borderId="0" applyAlignment="1" pivotButton="0" quotePrefix="0" xfId="2">
      <alignment horizontal="right"/>
    </xf>
    <xf numFmtId="9" fontId="32" fillId="8" borderId="0" applyAlignment="1" pivotButton="0" quotePrefix="0" xfId="2">
      <alignment horizontal="left"/>
    </xf>
    <xf numFmtId="9" fontId="12" fillId="0" borderId="0" applyAlignment="1" pivotButton="0" quotePrefix="0" xfId="2">
      <alignment horizontal="right"/>
    </xf>
    <xf numFmtId="9" fontId="12" fillId="7" borderId="0" applyAlignment="1" pivotButton="0" quotePrefix="0" xfId="2">
      <alignment horizontal="right"/>
    </xf>
    <xf numFmtId="9" fontId="2" fillId="5" borderId="0" applyAlignment="1" pivotButton="0" quotePrefix="0" xfId="2">
      <alignment horizontal="left"/>
    </xf>
    <xf numFmtId="0" fontId="0" fillId="0" borderId="1" pivotButton="0" quotePrefix="0" xfId="0"/>
    <xf numFmtId="9" fontId="12" fillId="0" borderId="0" applyAlignment="1" pivotButton="0" quotePrefix="0" xfId="2">
      <alignment horizontal="right"/>
    </xf>
    <xf numFmtId="0" fontId="0" fillId="0" borderId="0" applyAlignment="1" pivotButton="0" quotePrefix="0" xfId="0">
      <alignment horizontal="left" indent="1"/>
    </xf>
    <xf numFmtId="166" fontId="4" fillId="10" borderId="0" applyAlignment="1" pivotButton="0" quotePrefix="0" xfId="0">
      <alignment horizontal="right"/>
    </xf>
    <xf numFmtId="0" fontId="2" fillId="5" borderId="43" applyAlignment="1" pivotButton="0" quotePrefix="0" xfId="0">
      <alignment horizontal="left" vertical="top" wrapText="1"/>
    </xf>
    <xf numFmtId="0" fontId="0" fillId="0" borderId="43" applyAlignment="1" pivotButton="0" quotePrefix="0" xfId="0">
      <alignment vertical="top" wrapText="1"/>
    </xf>
    <xf numFmtId="0" fontId="61" fillId="0" borderId="43" applyAlignment="1" pivotButton="0" quotePrefix="0" xfId="0">
      <alignment vertical="top" wrapText="1"/>
    </xf>
    <xf numFmtId="0" fontId="12" fillId="0" borderId="0" pivotButton="0" quotePrefix="0" xfId="0"/>
    <xf numFmtId="0" fontId="2" fillId="20" borderId="0" pivotButton="0" quotePrefix="0" xfId="0"/>
    <xf numFmtId="0" fontId="62" fillId="0" borderId="0" pivotButton="0" quotePrefix="0" xfId="0"/>
    <xf numFmtId="0" fontId="63" fillId="0" borderId="0" pivotButton="0" quotePrefix="0" xfId="0"/>
    <xf numFmtId="0" fontId="64" fillId="21" borderId="0" pivotButton="0" quotePrefix="0" xfId="0"/>
    <xf numFmtId="0" fontId="3" fillId="0" borderId="3" pivotButton="0" quotePrefix="0" xfId="0"/>
    <xf numFmtId="164" fontId="12" fillId="7" borderId="1" applyAlignment="1" pivotButton="0" quotePrefix="0" xfId="0">
      <alignment horizontal="left"/>
    </xf>
    <xf numFmtId="0" fontId="15" fillId="0" borderId="0" pivotButton="0" quotePrefix="0" xfId="0"/>
    <xf numFmtId="165" fontId="4" fillId="0" borderId="0" applyAlignment="1" pivotButton="0" quotePrefix="0" xfId="1">
      <alignment horizontal="right"/>
    </xf>
    <xf numFmtId="164" fontId="12" fillId="7" borderId="0" applyAlignment="1" pivotButton="0" quotePrefix="0" xfId="0">
      <alignment horizontal="left"/>
    </xf>
    <xf numFmtId="0" fontId="65" fillId="0" borderId="0" pivotButton="0" quotePrefix="0" xfId="0"/>
    <xf numFmtId="164" fontId="2" fillId="0" borderId="0" applyAlignment="1" pivotButton="0" quotePrefix="0" xfId="0">
      <alignment horizontal="left"/>
    </xf>
    <xf numFmtId="9" fontId="2" fillId="0" borderId="0" applyAlignment="1" pivotButton="0" quotePrefix="0" xfId="2">
      <alignment horizontal="left"/>
    </xf>
    <xf numFmtId="9" fontId="10" fillId="0" borderId="0" applyAlignment="1" pivotButton="0" quotePrefix="0" xfId="2">
      <alignment horizontal="right"/>
    </xf>
    <xf numFmtId="164" fontId="32" fillId="0" borderId="0" applyAlignment="1" pivotButton="0" quotePrefix="0" xfId="0">
      <alignment horizontal="left"/>
    </xf>
    <xf numFmtId="9" fontId="32" fillId="0" borderId="0" applyAlignment="1" pivotButton="0" quotePrefix="0" xfId="2">
      <alignment horizontal="left"/>
    </xf>
    <xf numFmtId="0" fontId="3" fillId="0" borderId="44" pivotButton="0" quotePrefix="0" xfId="0"/>
    <xf numFmtId="167" fontId="4" fillId="10" borderId="0" pivotButton="0" quotePrefix="0" xfId="0"/>
    <xf numFmtId="169" fontId="4" fillId="10" borderId="0" applyAlignment="1" pivotButton="0" quotePrefix="0" xfId="0">
      <alignment horizontal="right"/>
    </xf>
    <xf numFmtId="166" fontId="4" fillId="10" borderId="0" pivotButton="0" quotePrefix="0" xfId="1"/>
    <xf numFmtId="179" fontId="4" fillId="10" borderId="0" pivotButton="0" quotePrefix="0" xfId="0"/>
    <xf numFmtId="0" fontId="66" fillId="0" borderId="0" pivotButton="0" quotePrefix="0" xfId="0"/>
    <xf numFmtId="0" fontId="0" fillId="22" borderId="0" pivotButton="0" quotePrefix="0" xfId="0"/>
    <xf numFmtId="174" fontId="67" fillId="10" borderId="0" pivotButton="0" quotePrefix="0" xfId="0"/>
    <xf numFmtId="9" fontId="10" fillId="22" borderId="0" applyAlignment="1" pivotButton="0" quotePrefix="0" xfId="2">
      <alignment horizontal="right"/>
    </xf>
    <xf numFmtId="0" fontId="3" fillId="0" borderId="46" pivotButton="0" quotePrefix="0" xfId="0"/>
    <xf numFmtId="165" fontId="10" fillId="0" borderId="0" applyAlignment="1" pivotButton="0" quotePrefix="0" xfId="1">
      <alignment horizontal="right"/>
    </xf>
    <xf numFmtId="166" fontId="12" fillId="7" borderId="0" applyAlignment="1" pivotButton="0" quotePrefix="0" xfId="0">
      <alignment horizontal="left"/>
    </xf>
    <xf numFmtId="171" fontId="12" fillId="0" borderId="0" applyAlignment="1" pivotButton="0" quotePrefix="0" xfId="0">
      <alignment horizontal="right"/>
    </xf>
    <xf numFmtId="0" fontId="0" fillId="0" borderId="3" pivotButton="0" quotePrefix="0" xfId="0"/>
    <xf numFmtId="0" fontId="68" fillId="2" borderId="0" applyAlignment="1" pivotButton="0" quotePrefix="0" xfId="0">
      <alignment horizontal="center"/>
    </xf>
    <xf numFmtId="0" fontId="32" fillId="5" borderId="0" applyAlignment="1" pivotButton="0" quotePrefix="0" xfId="0">
      <alignment horizontal="center"/>
    </xf>
    <xf numFmtId="3" fontId="2" fillId="5" borderId="0" applyAlignment="1" pivotButton="0" quotePrefix="0" xfId="0">
      <alignment horizontal="center"/>
    </xf>
    <xf numFmtId="3" fontId="12" fillId="0" borderId="0" applyAlignment="1" pivotButton="0" quotePrefix="0" xfId="0">
      <alignment horizontal="right"/>
    </xf>
    <xf numFmtId="167" fontId="2" fillId="5" borderId="0" applyAlignment="1" pivotButton="0" quotePrefix="0" xfId="0">
      <alignment horizontal="left"/>
    </xf>
    <xf numFmtId="167" fontId="69" fillId="0" borderId="0" applyAlignment="1" pivotButton="0" quotePrefix="0" xfId="0">
      <alignment horizontal="right"/>
    </xf>
    <xf numFmtId="185" fontId="12" fillId="0" borderId="0" applyAlignment="1" pivotButton="0" quotePrefix="0" xfId="0">
      <alignment horizontal="right"/>
    </xf>
    <xf numFmtId="0" fontId="9" fillId="0" borderId="0" pivotButton="0" quotePrefix="0" xfId="0"/>
    <xf numFmtId="0" fontId="2" fillId="5" borderId="13" pivotButton="0" quotePrefix="0" xfId="0"/>
    <xf numFmtId="1" fontId="2" fillId="5" borderId="13" pivotButton="0" quotePrefix="0" xfId="0"/>
    <xf numFmtId="0" fontId="0" fillId="0" borderId="22" pivotButton="0" quotePrefix="0" xfId="0"/>
    <xf numFmtId="0" fontId="3" fillId="0" borderId="22" pivotButton="0" quotePrefix="0" xfId="0"/>
    <xf numFmtId="166" fontId="0" fillId="0" borderId="22" pivotButton="0" quotePrefix="0" xfId="0"/>
    <xf numFmtId="0" fontId="61" fillId="0" borderId="0" pivotButton="0" quotePrefix="0" xfId="0"/>
    <xf numFmtId="0" fontId="12" fillId="18" borderId="1" pivotButton="0" quotePrefix="0" xfId="0"/>
    <xf numFmtId="164" fontId="12" fillId="7" borderId="20" applyAlignment="1" pivotButton="0" quotePrefix="0" xfId="0">
      <alignment horizontal="left"/>
    </xf>
    <xf numFmtId="1" fontId="10" fillId="0" borderId="0" pivotButton="0" quotePrefix="0" xfId="0"/>
    <xf numFmtId="1" fontId="4" fillId="0" borderId="0" pivotButton="0" quotePrefix="0" xfId="0"/>
    <xf numFmtId="164" fontId="4" fillId="0" borderId="0" applyAlignment="1" pivotButton="0" quotePrefix="0" xfId="0">
      <alignment horizontal="right"/>
    </xf>
    <xf numFmtId="164" fontId="35" fillId="8" borderId="0" applyAlignment="1" pivotButton="0" quotePrefix="0" xfId="0">
      <alignment horizontal="left"/>
    </xf>
    <xf numFmtId="186" fontId="5" fillId="20" borderId="0" applyAlignment="1" pivotButton="0" quotePrefix="0" xfId="0">
      <alignment horizontal="right"/>
    </xf>
    <xf numFmtId="186" fontId="12" fillId="20" borderId="0" applyAlignment="1" pivotButton="0" quotePrefix="0" xfId="0">
      <alignment horizontal="right"/>
    </xf>
    <xf numFmtId="164" fontId="12" fillId="7" borderId="45" applyAlignment="1" pivotButton="0" quotePrefix="0" xfId="0">
      <alignment horizontal="left"/>
    </xf>
    <xf numFmtId="0" fontId="73" fillId="5" borderId="0" applyAlignment="1" pivotButton="0" quotePrefix="0" xfId="0">
      <alignment horizontal="center"/>
    </xf>
    <xf numFmtId="164" fontId="10" fillId="22" borderId="0" applyAlignment="1" pivotButton="0" quotePrefix="0" xfId="0">
      <alignment horizontal="right"/>
    </xf>
    <xf numFmtId="164" fontId="13" fillId="22" borderId="0" applyAlignment="1" pivotButton="0" quotePrefix="0" xfId="0">
      <alignment horizontal="right"/>
    </xf>
    <xf numFmtId="166" fontId="10" fillId="22" borderId="0" applyAlignment="1" pivotButton="0" quotePrefix="0" xfId="0">
      <alignment horizontal="right"/>
    </xf>
    <xf numFmtId="164" fontId="12" fillId="22" borderId="0" applyAlignment="1" pivotButton="0" quotePrefix="0" xfId="0">
      <alignment horizontal="right"/>
    </xf>
    <xf numFmtId="187" fontId="4" fillId="0" borderId="0" applyAlignment="1" pivotButton="0" quotePrefix="0" xfId="0">
      <alignment horizontal="right"/>
    </xf>
    <xf numFmtId="187" fontId="10" fillId="0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166" fontId="4" fillId="22" borderId="0" applyAlignment="1" pivotButton="0" quotePrefix="0" xfId="0">
      <alignment horizontal="right"/>
    </xf>
    <xf numFmtId="187" fontId="10" fillId="22" borderId="0" applyAlignment="1" pivotButton="0" quotePrefix="0" xfId="0">
      <alignment horizontal="right"/>
    </xf>
    <xf numFmtId="169" fontId="10" fillId="0" borderId="0" applyAlignment="1" pivotButton="0" quotePrefix="0" xfId="0">
      <alignment horizontal="right"/>
    </xf>
    <xf numFmtId="169" fontId="10" fillId="22" borderId="0" applyAlignment="1" pivotButton="0" quotePrefix="0" xfId="0">
      <alignment horizontal="right"/>
    </xf>
    <xf numFmtId="187" fontId="15" fillId="18" borderId="0" applyAlignment="1" pivotButton="0" quotePrefix="0" xfId="0">
      <alignment horizontal="right"/>
    </xf>
    <xf numFmtId="187" fontId="15" fillId="22" borderId="0" applyAlignment="1" pivotButton="0" quotePrefix="0" xfId="0">
      <alignment horizontal="right"/>
    </xf>
    <xf numFmtId="166" fontId="10" fillId="18" borderId="0" applyAlignment="1" pivotButton="0" quotePrefix="0" xfId="0">
      <alignment horizontal="right"/>
    </xf>
    <xf numFmtId="188" fontId="10" fillId="18" borderId="0" applyAlignment="1" pivotButton="0" quotePrefix="0" xfId="0">
      <alignment horizontal="right"/>
    </xf>
    <xf numFmtId="188" fontId="10" fillId="22" borderId="0" applyAlignment="1" pivotButton="0" quotePrefix="0" xfId="0">
      <alignment horizontal="right"/>
    </xf>
    <xf numFmtId="187" fontId="12" fillId="0" borderId="0" applyAlignment="1" pivotButton="0" quotePrefix="0" xfId="0">
      <alignment horizontal="right"/>
    </xf>
    <xf numFmtId="9" fontId="10" fillId="0" borderId="0" applyAlignment="1" pivotButton="0" quotePrefix="0" xfId="2">
      <alignment horizontal="right"/>
    </xf>
    <xf numFmtId="166" fontId="4" fillId="0" borderId="0" applyAlignment="1" pivotButton="0" quotePrefix="0" xfId="0">
      <alignment horizontal="right"/>
    </xf>
    <xf numFmtId="169" fontId="4" fillId="22" borderId="0" applyAlignment="1" pivotButton="0" quotePrefix="0" xfId="0">
      <alignment horizontal="right"/>
    </xf>
    <xf numFmtId="164" fontId="5" fillId="21" borderId="0" applyAlignment="1" pivotButton="0" quotePrefix="0" xfId="0">
      <alignment horizontal="right"/>
    </xf>
    <xf numFmtId="164" fontId="12" fillId="21" borderId="0" applyAlignment="1" pivotButton="0" quotePrefix="0" xfId="0">
      <alignment horizontal="right"/>
    </xf>
    <xf numFmtId="166" fontId="62" fillId="0" borderId="0" applyAlignment="1" pivotButton="0" quotePrefix="0" xfId="0">
      <alignment horizontal="right"/>
    </xf>
    <xf numFmtId="164" fontId="65" fillId="0" borderId="0" applyAlignment="1" pivotButton="0" quotePrefix="0" xfId="0">
      <alignment horizontal="right"/>
    </xf>
    <xf numFmtId="188" fontId="10" fillId="0" borderId="0" applyAlignment="1" pivotButton="0" quotePrefix="0" xfId="0">
      <alignment horizontal="right"/>
    </xf>
    <xf numFmtId="164" fontId="4" fillId="22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84" fontId="12" fillId="0" borderId="0" applyAlignment="1" pivotButton="0" quotePrefix="0" xfId="0">
      <alignment horizontal="right"/>
    </xf>
    <xf numFmtId="184" fontId="4" fillId="0" borderId="0" applyAlignment="1" pivotButton="0" quotePrefix="0" xfId="0">
      <alignment horizontal="right"/>
    </xf>
    <xf numFmtId="184" fontId="4" fillId="22" borderId="0" applyAlignment="1" pivotButton="0" quotePrefix="0" xfId="0">
      <alignment horizontal="right"/>
    </xf>
    <xf numFmtId="164" fontId="4" fillId="0" borderId="0" applyAlignment="1" pivotButton="0" quotePrefix="1" xfId="0">
      <alignment horizontal="right"/>
    </xf>
    <xf numFmtId="164" fontId="5" fillId="0" borderId="0" applyAlignment="1" pivotButton="0" quotePrefix="1" xfId="0">
      <alignment horizontal="right"/>
    </xf>
    <xf numFmtId="187" fontId="5" fillId="0" borderId="0" applyAlignment="1" pivotButton="0" quotePrefix="0" xfId="0">
      <alignment horizontal="right"/>
    </xf>
    <xf numFmtId="164" fontId="2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167" fontId="10" fillId="22" borderId="0" applyAlignment="1" pivotButton="0" quotePrefix="0" xfId="2">
      <alignment horizontal="right"/>
    </xf>
    <xf numFmtId="166" fontId="72" fillId="0" borderId="0" applyAlignment="1" pivotButton="0" quotePrefix="0" xfId="0">
      <alignment horizontal="right"/>
    </xf>
    <xf numFmtId="169" fontId="72" fillId="0" borderId="0" applyAlignment="1" pivotButton="0" quotePrefix="0" xfId="0">
      <alignment horizontal="right"/>
    </xf>
    <xf numFmtId="189" fontId="38" fillId="0" borderId="0" applyAlignment="1" pivotButton="0" quotePrefix="0" xfId="0">
      <alignment horizontal="right"/>
    </xf>
    <xf numFmtId="186" fontId="38" fillId="0" borderId="0" applyAlignment="1" pivotButton="0" quotePrefix="0" xfId="0">
      <alignment horizontal="right"/>
    </xf>
    <xf numFmtId="189" fontId="12" fillId="22" borderId="0" applyAlignment="1" pivotButton="0" quotePrefix="0" xfId="0">
      <alignment horizontal="right"/>
    </xf>
    <xf numFmtId="1" fontId="0" fillId="0" borderId="0" pivotButton="0" quotePrefix="0" xfId="0"/>
    <xf numFmtId="1" fontId="10" fillId="22" borderId="0" pivotButton="0" quotePrefix="0" xfId="0"/>
    <xf numFmtId="190" fontId="0" fillId="0" borderId="0" pivotButton="0" quotePrefix="0" xfId="0"/>
    <xf numFmtId="190" fontId="10" fillId="0" borderId="0" pivotButton="0" quotePrefix="0" xfId="0"/>
    <xf numFmtId="190" fontId="4" fillId="22" borderId="0" pivotButton="0" quotePrefix="0" xfId="0"/>
    <xf numFmtId="166" fontId="4" fillId="22" borderId="0" pivotButton="0" quotePrefix="0" xfId="0"/>
    <xf numFmtId="164" fontId="4" fillId="22" borderId="0" pivotButton="0" quotePrefix="0" xfId="0"/>
    <xf numFmtId="164" fontId="0" fillId="22" borderId="0" pivotButton="0" quotePrefix="0" xfId="0"/>
    <xf numFmtId="171" fontId="10" fillId="22" borderId="0" applyAlignment="1" pivotButton="0" quotePrefix="0" xfId="0">
      <alignment horizontal="right"/>
    </xf>
    <xf numFmtId="191" fontId="10" fillId="0" borderId="0" applyAlignment="1" pivotButton="0" quotePrefix="0" xfId="0">
      <alignment horizontal="right"/>
    </xf>
    <xf numFmtId="191" fontId="10" fillId="22" borderId="0" applyAlignment="1" pivotButton="0" quotePrefix="0" xfId="0">
      <alignment horizontal="right"/>
    </xf>
    <xf numFmtId="166" fontId="20" fillId="0" borderId="0" applyAlignment="1" pivotButton="0" quotePrefix="0" xfId="0">
      <alignment horizontal="right"/>
    </xf>
    <xf numFmtId="191" fontId="21" fillId="0" borderId="0" applyAlignment="1" pivotButton="0" quotePrefix="0" xfId="0">
      <alignment horizontal="right"/>
    </xf>
    <xf numFmtId="191" fontId="12" fillId="22" borderId="0" applyAlignment="1" pivotButton="0" quotePrefix="0" xfId="0">
      <alignment horizontal="right"/>
    </xf>
    <xf numFmtId="181" fontId="10" fillId="0" borderId="0" applyAlignment="1" pivotButton="0" quotePrefix="0" xfId="0">
      <alignment horizontal="right"/>
    </xf>
    <xf numFmtId="181" fontId="12" fillId="7" borderId="0" applyAlignment="1" pivotButton="0" quotePrefix="0" xfId="0">
      <alignment horizontal="right"/>
    </xf>
    <xf numFmtId="171" fontId="12" fillId="22" borderId="0" applyAlignment="1" pivotButton="0" quotePrefix="0" xfId="0">
      <alignment horizontal="right"/>
    </xf>
    <xf numFmtId="192" fontId="5" fillId="0" borderId="0" applyAlignment="1" pivotButton="0" quotePrefix="0" xfId="0">
      <alignment horizontal="right"/>
    </xf>
    <xf numFmtId="192" fontId="67" fillId="22" borderId="0" applyAlignment="1" pivotButton="0" quotePrefix="0" xfId="0">
      <alignment horizontal="right"/>
    </xf>
    <xf numFmtId="192" fontId="12" fillId="22" borderId="0" applyAlignment="1" pivotButton="0" quotePrefix="0" xfId="0">
      <alignment horizontal="right"/>
    </xf>
    <xf numFmtId="164" fontId="10" fillId="7" borderId="0" applyAlignment="1" pivotButton="0" quotePrefix="0" xfId="0">
      <alignment horizontal="right"/>
    </xf>
    <xf numFmtId="171" fontId="12" fillId="7" borderId="0" applyAlignment="1" pivotButton="0" quotePrefix="0" xfId="0">
      <alignment horizontal="right"/>
    </xf>
    <xf numFmtId="184" fontId="5" fillId="0" borderId="0" applyAlignment="1" pivotButton="0" quotePrefix="0" xfId="0">
      <alignment horizontal="right"/>
    </xf>
    <xf numFmtId="184" fontId="12" fillId="22" borderId="0" applyAlignment="1" pivotButton="0" quotePrefix="0" xfId="0">
      <alignment horizontal="right"/>
    </xf>
    <xf numFmtId="164" fontId="12" fillId="18" borderId="0" applyAlignment="1" pivotButton="0" quotePrefix="0" xfId="0">
      <alignment horizontal="right"/>
    </xf>
    <xf numFmtId="193" fontId="12" fillId="7" borderId="0" applyAlignment="1" pivotButton="0" quotePrefix="0" xfId="0">
      <alignment horizontal="right"/>
    </xf>
    <xf numFmtId="190" fontId="12" fillId="0" borderId="0" pivotButton="0" quotePrefix="0" xfId="0"/>
    <xf numFmtId="164" fontId="10" fillId="0" borderId="47" applyAlignment="1" pivotButton="0" quotePrefix="0" xfId="0">
      <alignment horizontal="right"/>
    </xf>
    <xf numFmtId="164" fontId="12" fillId="0" borderId="47" applyAlignment="1" pivotButton="0" quotePrefix="0" xfId="0">
      <alignment horizontal="right"/>
    </xf>
    <xf numFmtId="164" fontId="12" fillId="7" borderId="47" applyAlignment="1" pivotButton="0" quotePrefix="0" xfId="0">
      <alignment horizontal="right"/>
    </xf>
    <xf numFmtId="187" fontId="4" fillId="0" borderId="47" applyAlignment="1" pivotButton="0" quotePrefix="0" xfId="0">
      <alignment horizontal="right"/>
    </xf>
    <xf numFmtId="187" fontId="10" fillId="0" borderId="47" applyAlignment="1" pivotButton="0" quotePrefix="0" xfId="0">
      <alignment horizontal="right"/>
    </xf>
    <xf numFmtId="164" fontId="12" fillId="18" borderId="47" applyAlignment="1" pivotButton="0" quotePrefix="0" xfId="0">
      <alignment horizontal="right"/>
    </xf>
    <xf numFmtId="193" fontId="12" fillId="7" borderId="47" applyAlignment="1" pivotButton="0" quotePrefix="0" xfId="0">
      <alignment horizontal="right"/>
    </xf>
    <xf numFmtId="164" fontId="5" fillId="0" borderId="47" applyAlignment="1" pivotButton="0" quotePrefix="0" xfId="0">
      <alignment horizontal="right"/>
    </xf>
    <xf numFmtId="164" fontId="4" fillId="0" borderId="48" applyAlignment="1" pivotButton="0" quotePrefix="0" xfId="0">
      <alignment horizontal="right"/>
    </xf>
    <xf numFmtId="164" fontId="10" fillId="0" borderId="48" applyAlignment="1" pivotButton="0" quotePrefix="0" xfId="0">
      <alignment horizontal="right"/>
    </xf>
    <xf numFmtId="166" fontId="10" fillId="0" borderId="48" applyAlignment="1" pivotButton="0" quotePrefix="0" xfId="0">
      <alignment horizontal="right"/>
    </xf>
    <xf numFmtId="164" fontId="32" fillId="8" borderId="48" applyAlignment="1" pivotButton="0" quotePrefix="0" xfId="0">
      <alignment horizontal="left"/>
    </xf>
    <xf numFmtId="184" fontId="5" fillId="0" borderId="48" applyAlignment="1" pivotButton="0" quotePrefix="0" xfId="0">
      <alignment horizontal="right"/>
    </xf>
    <xf numFmtId="184" fontId="12" fillId="0" borderId="48" applyAlignment="1" pivotButton="0" quotePrefix="0" xfId="0">
      <alignment horizontal="right"/>
    </xf>
    <xf numFmtId="165" fontId="10" fillId="0" borderId="48" applyAlignment="1" pivotButton="0" quotePrefix="0" xfId="1">
      <alignment horizontal="right"/>
    </xf>
    <xf numFmtId="187" fontId="4" fillId="0" borderId="48" applyAlignment="1" pivotButton="0" quotePrefix="0" xfId="0">
      <alignment horizontal="right"/>
    </xf>
    <xf numFmtId="164" fontId="4" fillId="0" borderId="49" applyAlignment="1" pivotButton="0" quotePrefix="0" xfId="0">
      <alignment horizontal="right"/>
    </xf>
    <xf numFmtId="164" fontId="10" fillId="0" borderId="49" applyAlignment="1" pivotButton="0" quotePrefix="0" xfId="0">
      <alignment horizontal="right"/>
    </xf>
    <xf numFmtId="164" fontId="32" fillId="8" borderId="49" applyAlignment="1" pivotButton="0" quotePrefix="0" xfId="0">
      <alignment horizontal="left"/>
    </xf>
    <xf numFmtId="0" fontId="3" fillId="0" borderId="48" pivotButton="0" quotePrefix="0" xfId="0"/>
    <xf numFmtId="190" fontId="3" fillId="0" borderId="48" pivotButton="0" quotePrefix="0" xfId="0"/>
    <xf numFmtId="164" fontId="10" fillId="0" borderId="50" applyAlignment="1" pivotButton="0" quotePrefix="0" xfId="0">
      <alignment horizontal="right"/>
    </xf>
    <xf numFmtId="164" fontId="32" fillId="8" borderId="50" applyAlignment="1" pivotButton="0" quotePrefix="0" xfId="0">
      <alignment horizontal="left"/>
    </xf>
    <xf numFmtId="166" fontId="64" fillId="0" borderId="49" applyAlignment="1" pivotButton="0" quotePrefix="0" xfId="0">
      <alignment horizontal="right"/>
    </xf>
    <xf numFmtId="164" fontId="2" fillId="5" borderId="49" applyAlignment="1" pivotButton="0" quotePrefix="0" xfId="0">
      <alignment horizontal="left"/>
    </xf>
    <xf numFmtId="186" fontId="2" fillId="20" borderId="49" applyAlignment="1" pivotButton="0" quotePrefix="0" xfId="0">
      <alignment horizontal="right"/>
    </xf>
    <xf numFmtId="169" fontId="64" fillId="0" borderId="49" applyAlignment="1" pivotButton="0" quotePrefix="0" xfId="0">
      <alignment horizontal="right"/>
    </xf>
    <xf numFmtId="185" fontId="5" fillId="20" borderId="49" applyAlignment="1" pivotButton="0" quotePrefix="0" xfId="0">
      <alignment horizontal="right"/>
    </xf>
    <xf numFmtId="166" fontId="62" fillId="0" borderId="51" applyAlignment="1" pivotButton="0" quotePrefix="0" xfId="0">
      <alignment horizontal="right"/>
    </xf>
    <xf numFmtId="169" fontId="62" fillId="0" borderId="51" applyAlignment="1" pivotButton="0" quotePrefix="0" xfId="0">
      <alignment horizontal="right"/>
    </xf>
    <xf numFmtId="169" fontId="10" fillId="0" borderId="51" applyAlignment="1" pivotButton="0" quotePrefix="0" xfId="0">
      <alignment horizontal="right"/>
    </xf>
    <xf numFmtId="164" fontId="10" fillId="0" borderId="51" applyAlignment="1" pivotButton="0" quotePrefix="0" xfId="0">
      <alignment horizontal="right"/>
    </xf>
    <xf numFmtId="164" fontId="12" fillId="22" borderId="47" applyAlignment="1" pivotButton="0" quotePrefix="0" xfId="0">
      <alignment horizontal="right"/>
    </xf>
    <xf numFmtId="187" fontId="10" fillId="22" borderId="47" applyAlignment="1" pivotButton="0" quotePrefix="0" xfId="0">
      <alignment horizontal="right"/>
    </xf>
    <xf numFmtId="164" fontId="10" fillId="22" borderId="48" applyAlignment="1" pivotButton="0" quotePrefix="0" xfId="0">
      <alignment horizontal="right"/>
    </xf>
    <xf numFmtId="166" fontId="4" fillId="22" borderId="48" applyAlignment="1" pivotButton="0" quotePrefix="0" xfId="0">
      <alignment horizontal="right"/>
    </xf>
    <xf numFmtId="184" fontId="12" fillId="22" borderId="48" applyAlignment="1" pivotButton="0" quotePrefix="0" xfId="0">
      <alignment horizontal="right"/>
    </xf>
    <xf numFmtId="165" fontId="10" fillId="22" borderId="48" applyAlignment="1" pivotButton="0" quotePrefix="0" xfId="1">
      <alignment horizontal="right"/>
    </xf>
    <xf numFmtId="164" fontId="4" fillId="22" borderId="49" applyAlignment="1" pivotButton="0" quotePrefix="0" xfId="0">
      <alignment horizontal="right"/>
    </xf>
    <xf numFmtId="164" fontId="10" fillId="22" borderId="49" applyAlignment="1" pivotButton="0" quotePrefix="0" xfId="0">
      <alignment horizontal="right"/>
    </xf>
    <xf numFmtId="190" fontId="3" fillId="22" borderId="48" pivotButton="0" quotePrefix="0" xfId="0"/>
    <xf numFmtId="164" fontId="10" fillId="22" borderId="50" applyAlignment="1" pivotButton="0" quotePrefix="0" xfId="0">
      <alignment horizontal="right"/>
    </xf>
    <xf numFmtId="169" fontId="10" fillId="22" borderId="51" applyAlignment="1" pivotButton="0" quotePrefix="0" xfId="0">
      <alignment horizontal="right"/>
    </xf>
    <xf numFmtId="164" fontId="10" fillId="22" borderId="51" applyAlignment="1" pivotButton="0" quotePrefix="0" xfId="0">
      <alignment horizontal="right"/>
    </xf>
    <xf numFmtId="164" fontId="4" fillId="22" borderId="48" applyAlignment="1" pivotButton="0" quotePrefix="0" xfId="0">
      <alignment horizontal="right"/>
    </xf>
    <xf numFmtId="0" fontId="0" fillId="0" borderId="52" pivotButton="0" quotePrefix="0" xfId="0"/>
    <xf numFmtId="0" fontId="2" fillId="5" borderId="52" applyAlignment="1" pivotButton="0" quotePrefix="0" xfId="0">
      <alignment horizontal="center"/>
    </xf>
    <xf numFmtId="164" fontId="10" fillId="0" borderId="52" applyAlignment="1" pivotButton="0" quotePrefix="0" xfId="0">
      <alignment horizontal="right"/>
    </xf>
    <xf numFmtId="164" fontId="2" fillId="5" borderId="52" applyAlignment="1" pivotButton="0" quotePrefix="0" xfId="0">
      <alignment horizontal="left"/>
    </xf>
    <xf numFmtId="164" fontId="13" fillId="0" borderId="52" applyAlignment="1" pivotButton="0" quotePrefix="0" xfId="0">
      <alignment horizontal="right"/>
    </xf>
    <xf numFmtId="164" fontId="32" fillId="8" borderId="52" applyAlignment="1" pivotButton="0" quotePrefix="0" xfId="0">
      <alignment horizontal="left"/>
    </xf>
    <xf numFmtId="164" fontId="4" fillId="0" borderId="52" applyAlignment="1" pivotButton="0" quotePrefix="0" xfId="0">
      <alignment horizontal="right"/>
    </xf>
    <xf numFmtId="166" fontId="10" fillId="0" borderId="52" applyAlignment="1" pivotButton="0" quotePrefix="0" xfId="0">
      <alignment horizontal="right"/>
    </xf>
    <xf numFmtId="164" fontId="12" fillId="0" borderId="52" applyAlignment="1" pivotButton="0" quotePrefix="0" xfId="0">
      <alignment horizontal="right"/>
    </xf>
    <xf numFmtId="164" fontId="12" fillId="7" borderId="52" applyAlignment="1" pivotButton="0" quotePrefix="0" xfId="0">
      <alignment horizontal="right"/>
    </xf>
    <xf numFmtId="164" fontId="4" fillId="0" borderId="53" applyAlignment="1" pivotButton="0" quotePrefix="0" xfId="0">
      <alignment horizontal="right"/>
    </xf>
    <xf numFmtId="166" fontId="10" fillId="0" borderId="53" applyAlignment="1" pivotButton="0" quotePrefix="0" xfId="0">
      <alignment horizontal="right"/>
    </xf>
    <xf numFmtId="164" fontId="32" fillId="8" borderId="53" applyAlignment="1" pivotButton="0" quotePrefix="0" xfId="0">
      <alignment horizontal="left"/>
    </xf>
    <xf numFmtId="184" fontId="5" fillId="0" borderId="52" applyAlignment="1" pivotButton="0" quotePrefix="0" xfId="0">
      <alignment horizontal="right"/>
    </xf>
    <xf numFmtId="184" fontId="5" fillId="0" borderId="53" applyAlignment="1" pivotButton="0" quotePrefix="0" xfId="0">
      <alignment horizontal="right"/>
    </xf>
    <xf numFmtId="184" fontId="4" fillId="0" borderId="52" applyAlignment="1" pivotButton="0" quotePrefix="0" xfId="0">
      <alignment horizontal="right"/>
    </xf>
    <xf numFmtId="164" fontId="10" fillId="0" borderId="53" applyAlignment="1" pivotButton="0" quotePrefix="0" xfId="0">
      <alignment horizontal="right"/>
    </xf>
    <xf numFmtId="164" fontId="10" fillId="0" borderId="54" applyAlignment="1" pivotButton="0" quotePrefix="0" xfId="0">
      <alignment horizontal="right"/>
    </xf>
    <xf numFmtId="164" fontId="12" fillId="7" borderId="54" applyAlignment="1" pivotButton="0" quotePrefix="0" xfId="0">
      <alignment horizontal="right"/>
    </xf>
    <xf numFmtId="166" fontId="62" fillId="0" borderId="55" applyAlignment="1" pivotButton="0" quotePrefix="0" xfId="0">
      <alignment horizontal="right"/>
    </xf>
    <xf numFmtId="164" fontId="2" fillId="5" borderId="56" applyAlignment="1" pivotButton="0" quotePrefix="0" xfId="0">
      <alignment horizontal="left"/>
    </xf>
    <xf numFmtId="166" fontId="72" fillId="0" borderId="52" applyAlignment="1" pivotButton="0" quotePrefix="0" xfId="0">
      <alignment horizontal="right"/>
    </xf>
    <xf numFmtId="164" fontId="4" fillId="0" borderId="56" applyAlignment="1" pivotButton="0" quotePrefix="0" xfId="0">
      <alignment horizontal="right"/>
    </xf>
    <xf numFmtId="164" fontId="10" fillId="0" borderId="56" applyAlignment="1" pivotButton="0" quotePrefix="0" xfId="0">
      <alignment horizontal="right"/>
    </xf>
    <xf numFmtId="169" fontId="10" fillId="0" borderId="52" applyAlignment="1" pivotButton="0" quotePrefix="0" xfId="0">
      <alignment horizontal="right"/>
    </xf>
    <xf numFmtId="164" fontId="32" fillId="8" borderId="56" applyAlignment="1" pivotButton="0" quotePrefix="0" xfId="0">
      <alignment horizontal="left"/>
    </xf>
    <xf numFmtId="1" fontId="4" fillId="0" borderId="52" pivotButton="0" quotePrefix="0" xfId="0"/>
    <xf numFmtId="164" fontId="10" fillId="0" borderId="57" applyAlignment="1" pivotButton="0" quotePrefix="0" xfId="0">
      <alignment horizontal="right"/>
    </xf>
    <xf numFmtId="164" fontId="32" fillId="8" borderId="57" applyAlignment="1" pivotButton="0" quotePrefix="0" xfId="0">
      <alignment horizontal="left"/>
    </xf>
    <xf numFmtId="164" fontId="5" fillId="0" borderId="54" applyAlignment="1" pivotButton="0" quotePrefix="0" xfId="0">
      <alignment horizontal="right"/>
    </xf>
    <xf numFmtId="164" fontId="10" fillId="0" borderId="55" applyAlignment="1" pivotButton="0" quotePrefix="0" xfId="0">
      <alignment horizontal="right"/>
    </xf>
    <xf numFmtId="190" fontId="0" fillId="0" borderId="52" pivotButton="0" quotePrefix="0" xfId="0"/>
    <xf numFmtId="190" fontId="3" fillId="0" borderId="53" pivotButton="0" quotePrefix="0" xfId="0"/>
    <xf numFmtId="166" fontId="0" fillId="0" borderId="52" pivotButton="0" quotePrefix="0" xfId="0"/>
    <xf numFmtId="164" fontId="0" fillId="0" borderId="52" pivotButton="0" quotePrefix="0" xfId="0"/>
    <xf numFmtId="169" fontId="12" fillId="7" borderId="52" applyAlignment="1" pivotButton="0" quotePrefix="0" xfId="0">
      <alignment horizontal="right"/>
    </xf>
    <xf numFmtId="171" fontId="10" fillId="0" borderId="52" applyAlignment="1" pivotButton="0" quotePrefix="0" xfId="0">
      <alignment horizontal="right"/>
    </xf>
    <xf numFmtId="166" fontId="32" fillId="8" borderId="52" applyAlignment="1" pivotButton="0" quotePrefix="0" xfId="0">
      <alignment horizontal="right"/>
    </xf>
    <xf numFmtId="191" fontId="10" fillId="0" borderId="52" applyAlignment="1" pivotButton="0" quotePrefix="0" xfId="0">
      <alignment horizontal="right"/>
    </xf>
    <xf numFmtId="191" fontId="21" fillId="0" borderId="52" applyAlignment="1" pivotButton="0" quotePrefix="0" xfId="0">
      <alignment horizontal="right"/>
    </xf>
    <xf numFmtId="181" fontId="12" fillId="7" borderId="52" applyAlignment="1" pivotButton="0" quotePrefix="0" xfId="0">
      <alignment horizontal="right"/>
    </xf>
    <xf numFmtId="171" fontId="12" fillId="0" borderId="52" applyAlignment="1" pivotButton="0" quotePrefix="0" xfId="0">
      <alignment horizontal="right"/>
    </xf>
    <xf numFmtId="192" fontId="5" fillId="0" borderId="52" applyAlignment="1" pivotButton="0" quotePrefix="0" xfId="0">
      <alignment horizontal="right"/>
    </xf>
    <xf numFmtId="171" fontId="12" fillId="7" borderId="52" applyAlignment="1" pivotButton="0" quotePrefix="0" xfId="0">
      <alignment horizontal="right"/>
    </xf>
    <xf numFmtId="166" fontId="12" fillId="7" borderId="52" applyAlignment="1" pivotButton="0" quotePrefix="0" xfId="0">
      <alignment horizontal="right"/>
    </xf>
    <xf numFmtId="166" fontId="4" fillId="0" borderId="52" applyAlignment="1" pivotButton="0" quotePrefix="0" xfId="0">
      <alignment horizontal="right"/>
    </xf>
    <xf numFmtId="184" fontId="12" fillId="0" borderId="52" applyAlignment="1" pivotButton="0" quotePrefix="0" xfId="0">
      <alignment horizontal="right"/>
    </xf>
    <xf numFmtId="184" fontId="12" fillId="0" borderId="53" applyAlignment="1" pivotButton="0" quotePrefix="0" xfId="0">
      <alignment horizontal="right"/>
    </xf>
    <xf numFmtId="164" fontId="12" fillId="0" borderId="52" applyAlignment="1" pivotButton="0" quotePrefix="1" xfId="0">
      <alignment horizontal="right"/>
    </xf>
    <xf numFmtId="187" fontId="10" fillId="0" borderId="52" applyAlignment="1" pivotButton="0" quotePrefix="0" xfId="0">
      <alignment horizontal="right"/>
    </xf>
    <xf numFmtId="187" fontId="12" fillId="0" borderId="52" applyAlignment="1" pivotButton="0" quotePrefix="0" xfId="0">
      <alignment horizontal="right"/>
    </xf>
    <xf numFmtId="167" fontId="20" fillId="0" borderId="52" applyAlignment="1" pivotButton="0" quotePrefix="0" xfId="0">
      <alignment horizontal="right"/>
    </xf>
    <xf numFmtId="187" fontId="10" fillId="0" borderId="54" applyAlignment="1" pivotButton="0" quotePrefix="0" xfId="0">
      <alignment horizontal="right"/>
    </xf>
    <xf numFmtId="164" fontId="12" fillId="18" borderId="54" applyAlignment="1" pivotButton="0" quotePrefix="0" xfId="0">
      <alignment horizontal="right"/>
    </xf>
    <xf numFmtId="193" fontId="12" fillId="7" borderId="54" applyAlignment="1" pivotButton="0" quotePrefix="0" xfId="0">
      <alignment horizontal="right"/>
    </xf>
    <xf numFmtId="186" fontId="2" fillId="20" borderId="56" applyAlignment="1" pivotButton="0" quotePrefix="0" xfId="0">
      <alignment horizontal="right"/>
    </xf>
    <xf numFmtId="186" fontId="38" fillId="0" borderId="52" applyAlignment="1" pivotButton="0" quotePrefix="0" xfId="0">
      <alignment horizontal="right"/>
    </xf>
    <xf numFmtId="184" fontId="10" fillId="0" borderId="52" applyAlignment="1" pivotButton="0" quotePrefix="0" xfId="0">
      <alignment horizontal="right"/>
    </xf>
    <xf numFmtId="165" fontId="10" fillId="0" borderId="53" applyAlignment="1" pivotButton="0" quotePrefix="0" xfId="1">
      <alignment horizontal="right"/>
    </xf>
    <xf numFmtId="1" fontId="10" fillId="0" borderId="52" pivotButton="0" quotePrefix="0" xfId="0"/>
    <xf numFmtId="164" fontId="4" fillId="0" borderId="57" applyAlignment="1" pivotButton="0" quotePrefix="0" xfId="0">
      <alignment horizontal="right"/>
    </xf>
    <xf numFmtId="164" fontId="35" fillId="8" borderId="52" applyAlignment="1" pivotButton="0" quotePrefix="0" xfId="0">
      <alignment horizontal="left"/>
    </xf>
    <xf numFmtId="164" fontId="35" fillId="8" borderId="57" applyAlignment="1" pivotButton="0" quotePrefix="0" xfId="0">
      <alignment horizontal="left"/>
    </xf>
    <xf numFmtId="164" fontId="12" fillId="0" borderId="54" applyAlignment="1" pivotButton="0" quotePrefix="0" xfId="0">
      <alignment horizontal="right"/>
    </xf>
    <xf numFmtId="164" fontId="5" fillId="21" borderId="52" applyAlignment="1" pivotButton="0" quotePrefix="0" xfId="0">
      <alignment horizontal="right"/>
    </xf>
    <xf numFmtId="166" fontId="62" fillId="0" borderId="52" applyAlignment="1" pivotButton="0" quotePrefix="0" xfId="0">
      <alignment horizontal="right"/>
    </xf>
    <xf numFmtId="164" fontId="65" fillId="0" borderId="52" applyAlignment="1" pivotButton="0" quotePrefix="0" xfId="0">
      <alignment horizontal="right"/>
    </xf>
    <xf numFmtId="165" fontId="4" fillId="0" borderId="52" applyAlignment="1" pivotButton="0" quotePrefix="0" xfId="1">
      <alignment horizontal="right"/>
    </xf>
    <xf numFmtId="167" fontId="10" fillId="0" borderId="52" applyAlignment="1" pivotButton="0" quotePrefix="0" xfId="0">
      <alignment horizontal="right"/>
    </xf>
    <xf numFmtId="164" fontId="5" fillId="0" borderId="52" applyAlignment="1" pivotButton="0" quotePrefix="0" xfId="0">
      <alignment horizontal="right"/>
    </xf>
    <xf numFmtId="187" fontId="15" fillId="18" borderId="52" applyAlignment="1" pivotButton="0" quotePrefix="0" xfId="0">
      <alignment horizontal="right"/>
    </xf>
    <xf numFmtId="166" fontId="10" fillId="18" borderId="52" applyAlignment="1" pivotButton="0" quotePrefix="0" xfId="0">
      <alignment horizontal="right"/>
    </xf>
    <xf numFmtId="188" fontId="10" fillId="18" borderId="52" applyAlignment="1" pivotButton="0" quotePrefix="0" xfId="0">
      <alignment horizontal="right"/>
    </xf>
    <xf numFmtId="188" fontId="10" fillId="0" borderId="52" applyAlignment="1" pivotButton="0" quotePrefix="0" xfId="0">
      <alignment horizontal="right"/>
    </xf>
    <xf numFmtId="187" fontId="4" fillId="0" borderId="52" applyAlignment="1" pivotButton="0" quotePrefix="0" xfId="0">
      <alignment horizontal="right"/>
    </xf>
    <xf numFmtId="164" fontId="4" fillId="2" borderId="52" applyAlignment="1" pivotButton="0" quotePrefix="0" xfId="0">
      <alignment horizontal="right"/>
    </xf>
    <xf numFmtId="187" fontId="5" fillId="0" borderId="52" applyAlignment="1" pivotButton="0" quotePrefix="0" xfId="0">
      <alignment horizontal="right"/>
    </xf>
    <xf numFmtId="187" fontId="4" fillId="0" borderId="53" applyAlignment="1" pivotButton="0" quotePrefix="0" xfId="0">
      <alignment horizontal="right"/>
    </xf>
    <xf numFmtId="187" fontId="5" fillId="0" borderId="54" applyAlignment="1" pivotButton="0" quotePrefix="0" xfId="0">
      <alignment horizontal="right"/>
    </xf>
    <xf numFmtId="166" fontId="10" fillId="0" borderId="55" applyAlignment="1" pivotButton="0" quotePrefix="0" xfId="0">
      <alignment horizontal="right"/>
    </xf>
    <xf numFmtId="0" fontId="42" fillId="0" borderId="0" pivotButton="0" quotePrefix="0" xfId="0"/>
    <xf numFmtId="0" fontId="0" fillId="0" borderId="0" pivotButton="0" quotePrefix="1" xfId="0"/>
    <xf numFmtId="167" fontId="3" fillId="0" borderId="0" pivotButton="0" quotePrefix="0" xfId="0"/>
    <xf numFmtId="182" fontId="52" fillId="0" borderId="0" applyAlignment="1" pivotButton="0" quotePrefix="0" xfId="0">
      <alignment horizontal="right"/>
    </xf>
    <xf numFmtId="193" fontId="52" fillId="0" borderId="0" applyAlignment="1" pivotButton="0" quotePrefix="0" xfId="0">
      <alignment horizontal="right"/>
    </xf>
    <xf numFmtId="194" fontId="2" fillId="5" borderId="0" applyAlignment="1" pivotButton="0" quotePrefix="0" xfId="0">
      <alignment horizontal="right"/>
    </xf>
    <xf numFmtId="182" fontId="10" fillId="10" borderId="31" pivotButton="0" quotePrefix="0" xfId="0"/>
    <xf numFmtId="182" fontId="10" fillId="10" borderId="29" pivotButton="0" quotePrefix="0" xfId="0"/>
    <xf numFmtId="167" fontId="4" fillId="10" borderId="0" applyAlignment="1" pivotButton="0" quotePrefix="0" xfId="0">
      <alignment horizontal="right"/>
    </xf>
    <xf numFmtId="1" fontId="4" fillId="10" borderId="0" applyAlignment="1" pivotButton="0" quotePrefix="0" xfId="0">
      <alignment horizontal="right"/>
    </xf>
    <xf numFmtId="193" fontId="3" fillId="0" borderId="0" applyAlignment="1" pivotButton="0" quotePrefix="0" xfId="0">
      <alignment horizontal="right"/>
    </xf>
    <xf numFmtId="182" fontId="4" fillId="10" borderId="0" applyAlignment="1" pivotButton="0" quotePrefix="0" xfId="0">
      <alignment horizontal="right"/>
    </xf>
    <xf numFmtId="167" fontId="2" fillId="5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7" fontId="53" fillId="0" borderId="0" applyAlignment="1" pivotButton="0" quotePrefix="0" xfId="0">
      <alignment horizontal="right"/>
    </xf>
    <xf numFmtId="167" fontId="5" fillId="10" borderId="0" applyAlignment="1" pivotButton="0" quotePrefix="0" xfId="0">
      <alignment horizontal="right"/>
    </xf>
    <xf numFmtId="165" fontId="0" fillId="0" borderId="0" pivotButton="0" quotePrefix="0" xfId="1"/>
    <xf numFmtId="10" fontId="4" fillId="10" borderId="0" pivotButton="0" quotePrefix="0" xfId="0"/>
    <xf numFmtId="164" fontId="10" fillId="22" borderId="0" pivotButton="0" quotePrefix="0" xfId="0"/>
    <xf numFmtId="170" fontId="10" fillId="22" borderId="0" pivotButton="0" quotePrefix="0" xfId="0"/>
    <xf numFmtId="10" fontId="0" fillId="0" borderId="52" pivotButton="0" quotePrefix="0" xfId="0"/>
    <xf numFmtId="170" fontId="0" fillId="0" borderId="52" pivotButton="0" quotePrefix="0" xfId="0"/>
    <xf numFmtId="164" fontId="12" fillId="22" borderId="0" pivotButton="0" quotePrefix="0" xfId="0"/>
    <xf numFmtId="164" fontId="3" fillId="0" borderId="52" pivotButton="0" quotePrefix="0" xfId="0"/>
    <xf numFmtId="0" fontId="2" fillId="5" borderId="0" pivotButton="0" quotePrefix="0" xfId="0"/>
    <xf numFmtId="0" fontId="3" fillId="7" borderId="0" pivotButton="0" quotePrefix="0" xfId="0"/>
    <xf numFmtId="0" fontId="2" fillId="8" borderId="0" pivotButton="0" quotePrefix="0" xfId="0"/>
    <xf numFmtId="0" fontId="2" fillId="23" borderId="0" pivotButton="0" quotePrefix="0" xfId="0"/>
    <xf numFmtId="164" fontId="2" fillId="5" borderId="0" applyAlignment="1" pivotButton="0" quotePrefix="0" xfId="0">
      <alignment horizontal="right"/>
    </xf>
    <xf numFmtId="167" fontId="2" fillId="5" borderId="0" applyAlignment="1" pivotButton="0" quotePrefix="0" xfId="0">
      <alignment horizontal="left"/>
    </xf>
    <xf numFmtId="167" fontId="69" fillId="0" borderId="0" applyAlignment="1" pivotButton="0" quotePrefix="0" xfId="0">
      <alignment horizontal="right"/>
    </xf>
    <xf numFmtId="185" fontId="12" fillId="0" borderId="0" applyAlignment="1" pivotButton="0" quotePrefix="0" xfId="0">
      <alignment horizontal="right"/>
    </xf>
    <xf numFmtId="166" fontId="10" fillId="0" borderId="0" applyAlignment="1" pivotButton="0" quotePrefix="0" xfId="0">
      <alignment horizontal="right"/>
    </xf>
    <xf numFmtId="166" fontId="10" fillId="0" borderId="52" applyAlignment="1" pivotButton="0" quotePrefix="0" xfId="0">
      <alignment horizontal="right"/>
    </xf>
    <xf numFmtId="166" fontId="10" fillId="22" borderId="0" applyAlignment="1" pivotButton="0" quotePrefix="0" xfId="0">
      <alignment horizontal="right"/>
    </xf>
    <xf numFmtId="187" fontId="4" fillId="0" borderId="0" applyAlignment="1" pivotButton="0" quotePrefix="0" xfId="0">
      <alignment horizontal="right"/>
    </xf>
    <xf numFmtId="187" fontId="10" fillId="0" borderId="0" applyAlignment="1" pivotButton="0" quotePrefix="0" xfId="0">
      <alignment horizontal="right"/>
    </xf>
    <xf numFmtId="187" fontId="10" fillId="0" borderId="52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166" fontId="4" fillId="22" borderId="0" applyAlignment="1" pivotButton="0" quotePrefix="0" xfId="0">
      <alignment horizontal="right"/>
    </xf>
    <xf numFmtId="187" fontId="4" fillId="0" borderId="52" applyAlignment="1" pivotButton="0" quotePrefix="0" xfId="0">
      <alignment horizontal="right"/>
    </xf>
    <xf numFmtId="187" fontId="10" fillId="22" borderId="0" applyAlignment="1" pivotButton="0" quotePrefix="0" xfId="0">
      <alignment horizontal="right"/>
    </xf>
    <xf numFmtId="167" fontId="4" fillId="0" borderId="0" pivotButton="0" quotePrefix="0" xfId="0"/>
    <xf numFmtId="169" fontId="10" fillId="0" borderId="0" applyAlignment="1" pivotButton="0" quotePrefix="0" xfId="0">
      <alignment horizontal="right"/>
    </xf>
    <xf numFmtId="169" fontId="10" fillId="0" borderId="52" applyAlignment="1" pivotButton="0" quotePrefix="0" xfId="0">
      <alignment horizontal="right"/>
    </xf>
    <xf numFmtId="169" fontId="10" fillId="22" borderId="0" applyAlignment="1" pivotButton="0" quotePrefix="0" xfId="0">
      <alignment horizontal="right"/>
    </xf>
    <xf numFmtId="187" fontId="15" fillId="18" borderId="0" applyAlignment="1" pivotButton="0" quotePrefix="0" xfId="0">
      <alignment horizontal="right"/>
    </xf>
    <xf numFmtId="187" fontId="15" fillId="18" borderId="52" applyAlignment="1" pivotButton="0" quotePrefix="0" xfId="0">
      <alignment horizontal="right"/>
    </xf>
    <xf numFmtId="187" fontId="15" fillId="22" borderId="0" applyAlignment="1" pivotButton="0" quotePrefix="0" xfId="0">
      <alignment horizontal="right"/>
    </xf>
    <xf numFmtId="166" fontId="10" fillId="18" borderId="0" applyAlignment="1" pivotButton="0" quotePrefix="0" xfId="0">
      <alignment horizontal="right"/>
    </xf>
    <xf numFmtId="166" fontId="10" fillId="18" borderId="52" applyAlignment="1" pivotButton="0" quotePrefix="0" xfId="0">
      <alignment horizontal="right"/>
    </xf>
    <xf numFmtId="187" fontId="12" fillId="0" borderId="0" applyAlignment="1" pivotButton="0" quotePrefix="0" xfId="0">
      <alignment horizontal="right"/>
    </xf>
    <xf numFmtId="166" fontId="4" fillId="0" borderId="52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9" fontId="4" fillId="22" borderId="0" applyAlignment="1" pivotButton="0" quotePrefix="0" xfId="0">
      <alignment horizontal="right"/>
    </xf>
    <xf numFmtId="166" fontId="62" fillId="0" borderId="0" applyAlignment="1" pivotButton="0" quotePrefix="0" xfId="0">
      <alignment horizontal="right"/>
    </xf>
    <xf numFmtId="166" fontId="62" fillId="0" borderId="52" applyAlignment="1" pivotButton="0" quotePrefix="0" xfId="0">
      <alignment horizontal="right"/>
    </xf>
    <xf numFmtId="166" fontId="10" fillId="0" borderId="48" applyAlignment="1" pivotButton="0" quotePrefix="0" xfId="0">
      <alignment horizontal="right"/>
    </xf>
    <xf numFmtId="166" fontId="10" fillId="0" borderId="53" applyAlignment="1" pivotButton="0" quotePrefix="0" xfId="0">
      <alignment horizontal="right"/>
    </xf>
    <xf numFmtId="166" fontId="4" fillId="22" borderId="48" applyAlignment="1" pivotButton="0" quotePrefix="0" xfId="0">
      <alignment horizontal="right"/>
    </xf>
    <xf numFmtId="184" fontId="5" fillId="0" borderId="0" applyAlignment="1" pivotButton="0" quotePrefix="0" xfId="0">
      <alignment horizontal="right"/>
    </xf>
    <xf numFmtId="184" fontId="5" fillId="0" borderId="52" applyAlignment="1" pivotButton="0" quotePrefix="0" xfId="0">
      <alignment horizontal="right"/>
    </xf>
    <xf numFmtId="184" fontId="12" fillId="0" borderId="52" applyAlignment="1" pivotButton="0" quotePrefix="0" xfId="0">
      <alignment horizontal="right"/>
    </xf>
    <xf numFmtId="184" fontId="12" fillId="0" borderId="0" applyAlignment="1" pivotButton="0" quotePrefix="0" xfId="0">
      <alignment horizontal="right"/>
    </xf>
    <xf numFmtId="184" fontId="12" fillId="22" borderId="0" applyAlignment="1" pivotButton="0" quotePrefix="0" xfId="0">
      <alignment horizontal="right"/>
    </xf>
    <xf numFmtId="184" fontId="10" fillId="0" borderId="0" applyAlignment="1" pivotButton="0" quotePrefix="0" xfId="0">
      <alignment horizontal="right"/>
    </xf>
    <xf numFmtId="184" fontId="5" fillId="0" borderId="48" applyAlignment="1" pivotButton="0" quotePrefix="0" xfId="0">
      <alignment horizontal="right"/>
    </xf>
    <xf numFmtId="184" fontId="5" fillId="0" borderId="53" applyAlignment="1" pivotButton="0" quotePrefix="0" xfId="0">
      <alignment horizontal="right"/>
    </xf>
    <xf numFmtId="184" fontId="12" fillId="0" borderId="53" applyAlignment="1" pivotButton="0" quotePrefix="0" xfId="0">
      <alignment horizontal="right"/>
    </xf>
    <xf numFmtId="184" fontId="12" fillId="0" borderId="48" applyAlignment="1" pivotButton="0" quotePrefix="0" xfId="0">
      <alignment horizontal="right"/>
    </xf>
    <xf numFmtId="184" fontId="12" fillId="22" borderId="48" applyAlignment="1" pivotButton="0" quotePrefix="0" xfId="0">
      <alignment horizontal="right"/>
    </xf>
    <xf numFmtId="165" fontId="4" fillId="0" borderId="52" applyAlignment="1" pivotButton="0" quotePrefix="0" xfId="1">
      <alignment horizontal="right"/>
    </xf>
    <xf numFmtId="165" fontId="4" fillId="0" borderId="0" applyAlignment="1" pivotButton="0" quotePrefix="0" xfId="1">
      <alignment horizontal="right"/>
    </xf>
    <xf numFmtId="165" fontId="10" fillId="0" borderId="0" applyAlignment="1" pivotButton="0" quotePrefix="0" xfId="1">
      <alignment horizontal="right"/>
    </xf>
    <xf numFmtId="184" fontId="4" fillId="0" borderId="0" applyAlignment="1" pivotButton="0" quotePrefix="0" xfId="0">
      <alignment horizontal="right"/>
    </xf>
    <xf numFmtId="184" fontId="4" fillId="0" borderId="52" applyAlignment="1" pivotButton="0" quotePrefix="0" xfId="0">
      <alignment horizontal="right"/>
    </xf>
    <xf numFmtId="184" fontId="10" fillId="0" borderId="52" applyAlignment="1" pivotButton="0" quotePrefix="0" xfId="0">
      <alignment horizontal="right"/>
    </xf>
    <xf numFmtId="184" fontId="4" fillId="22" borderId="0" applyAlignment="1" pivotButton="0" quotePrefix="0" xfId="0">
      <alignment horizontal="right"/>
    </xf>
    <xf numFmtId="187" fontId="5" fillId="0" borderId="52" applyAlignment="1" pivotButton="0" quotePrefix="0" xfId="0">
      <alignment horizontal="right"/>
    </xf>
    <xf numFmtId="187" fontId="5" fillId="0" borderId="0" applyAlignment="1" pivotButton="0" quotePrefix="0" xfId="0">
      <alignment horizontal="right"/>
    </xf>
    <xf numFmtId="187" fontId="12" fillId="0" borderId="52" applyAlignment="1" pivotButton="0" quotePrefix="0" xfId="0">
      <alignment horizontal="right"/>
    </xf>
    <xf numFmtId="165" fontId="10" fillId="0" borderId="53" applyAlignment="1" pivotButton="0" quotePrefix="0" xfId="1">
      <alignment horizontal="right"/>
    </xf>
    <xf numFmtId="165" fontId="10" fillId="0" borderId="48" applyAlignment="1" pivotButton="0" quotePrefix="0" xfId="1">
      <alignment horizontal="right"/>
    </xf>
    <xf numFmtId="187" fontId="4" fillId="0" borderId="53" applyAlignment="1" pivotButton="0" quotePrefix="0" xfId="0">
      <alignment horizontal="right"/>
    </xf>
    <xf numFmtId="187" fontId="4" fillId="0" borderId="48" applyAlignment="1" pivotButton="0" quotePrefix="0" xfId="0">
      <alignment horizontal="right"/>
    </xf>
    <xf numFmtId="165" fontId="10" fillId="22" borderId="48" applyAlignment="1" pivotButton="0" quotePrefix="0" xfId="1">
      <alignment horizontal="right"/>
    </xf>
    <xf numFmtId="167" fontId="20" fillId="0" borderId="52" applyAlignment="1" pivotButton="0" quotePrefix="0" xfId="0">
      <alignment horizontal="right"/>
    </xf>
    <xf numFmtId="167" fontId="10" fillId="0" borderId="52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167" fontId="10" fillId="22" borderId="0" applyAlignment="1" pivotButton="0" quotePrefix="0" xfId="2">
      <alignment horizontal="right"/>
    </xf>
    <xf numFmtId="187" fontId="10" fillId="0" borderId="54" applyAlignment="1" pivotButton="0" quotePrefix="0" xfId="0">
      <alignment horizontal="right"/>
    </xf>
    <xf numFmtId="187" fontId="10" fillId="0" borderId="47" applyAlignment="1" pivotButton="0" quotePrefix="0" xfId="0">
      <alignment horizontal="right"/>
    </xf>
    <xf numFmtId="187" fontId="5" fillId="0" borderId="54" applyAlignment="1" pivotButton="0" quotePrefix="0" xfId="0">
      <alignment horizontal="right"/>
    </xf>
    <xf numFmtId="187" fontId="4" fillId="0" borderId="47" applyAlignment="1" pivotButton="0" quotePrefix="0" xfId="0">
      <alignment horizontal="right"/>
    </xf>
    <xf numFmtId="187" fontId="10" fillId="22" borderId="47" applyAlignment="1" pivotButton="0" quotePrefix="0" xfId="0">
      <alignment horizontal="right"/>
    </xf>
    <xf numFmtId="166" fontId="62" fillId="0" borderId="51" applyAlignment="1" pivotButton="0" quotePrefix="0" xfId="0">
      <alignment horizontal="right"/>
    </xf>
    <xf numFmtId="166" fontId="62" fillId="0" borderId="55" applyAlignment="1" pivotButton="0" quotePrefix="0" xfId="0">
      <alignment horizontal="right"/>
    </xf>
    <xf numFmtId="169" fontId="62" fillId="0" borderId="51" applyAlignment="1" pivotButton="0" quotePrefix="0" xfId="0">
      <alignment horizontal="right"/>
    </xf>
    <xf numFmtId="169" fontId="10" fillId="0" borderId="51" applyAlignment="1" pivotButton="0" quotePrefix="0" xfId="0">
      <alignment horizontal="right"/>
    </xf>
    <xf numFmtId="166" fontId="10" fillId="0" borderId="55" applyAlignment="1" pivotButton="0" quotePrefix="0" xfId="0">
      <alignment horizontal="right"/>
    </xf>
    <xf numFmtId="169" fontId="10" fillId="22" borderId="51" applyAlignment="1" pivotButton="0" quotePrefix="0" xfId="0">
      <alignment horizontal="right"/>
    </xf>
    <xf numFmtId="166" fontId="64" fillId="0" borderId="49" applyAlignment="1" pivotButton="0" quotePrefix="0" xfId="0">
      <alignment horizontal="right"/>
    </xf>
    <xf numFmtId="186" fontId="2" fillId="20" borderId="56" applyAlignment="1" pivotButton="0" quotePrefix="0" xfId="0">
      <alignment horizontal="right"/>
    </xf>
    <xf numFmtId="169" fontId="64" fillId="0" borderId="49" applyAlignment="1" pivotButton="0" quotePrefix="0" xfId="0">
      <alignment horizontal="right"/>
    </xf>
    <xf numFmtId="186" fontId="2" fillId="20" borderId="49" applyAlignment="1" pivotButton="0" quotePrefix="0" xfId="0">
      <alignment horizontal="right"/>
    </xf>
    <xf numFmtId="185" fontId="5" fillId="20" borderId="49" applyAlignment="1" pivotButton="0" quotePrefix="0" xfId="0">
      <alignment horizontal="right"/>
    </xf>
    <xf numFmtId="186" fontId="5" fillId="20" borderId="0" applyAlignment="1" pivotButton="0" quotePrefix="0" xfId="0">
      <alignment horizontal="right"/>
    </xf>
    <xf numFmtId="186" fontId="12" fillId="20" borderId="0" applyAlignment="1" pivotButton="0" quotePrefix="0" xfId="0">
      <alignment horizontal="right"/>
    </xf>
    <xf numFmtId="166" fontId="72" fillId="0" borderId="0" applyAlignment="1" pivotButton="0" quotePrefix="0" xfId="0">
      <alignment horizontal="right"/>
    </xf>
    <xf numFmtId="166" fontId="72" fillId="0" borderId="52" applyAlignment="1" pivotButton="0" quotePrefix="0" xfId="0">
      <alignment horizontal="right"/>
    </xf>
    <xf numFmtId="186" fontId="38" fillId="0" borderId="52" applyAlignment="1" pivotButton="0" quotePrefix="0" xfId="0">
      <alignment horizontal="right"/>
    </xf>
    <xf numFmtId="169" fontId="72" fillId="0" borderId="0" applyAlignment="1" pivotButton="0" quotePrefix="0" xfId="0">
      <alignment horizontal="right"/>
    </xf>
    <xf numFmtId="189" fontId="38" fillId="0" borderId="0" applyAlignment="1" pivotButton="0" quotePrefix="0" xfId="0">
      <alignment horizontal="right"/>
    </xf>
    <xf numFmtId="186" fontId="38" fillId="0" borderId="0" applyAlignment="1" pivotButton="0" quotePrefix="0" xfId="0">
      <alignment horizontal="right"/>
    </xf>
    <xf numFmtId="189" fontId="12" fillId="22" borderId="0" applyAlignment="1" pivotButton="0" quotePrefix="0" xfId="0">
      <alignment horizontal="right"/>
    </xf>
    <xf numFmtId="190" fontId="0" fillId="0" borderId="52" pivotButton="0" quotePrefix="0" xfId="0"/>
    <xf numFmtId="190" fontId="0" fillId="0" borderId="0" pivotButton="0" quotePrefix="0" xfId="0"/>
    <xf numFmtId="190" fontId="10" fillId="0" borderId="0" pivotButton="0" quotePrefix="0" xfId="0"/>
    <xf numFmtId="190" fontId="4" fillId="22" borderId="0" pivotButton="0" quotePrefix="0" xfId="0"/>
    <xf numFmtId="190" fontId="3" fillId="0" borderId="53" pivotButton="0" quotePrefix="0" xfId="0"/>
    <xf numFmtId="190" fontId="3" fillId="0" borderId="48" pivotButton="0" quotePrefix="0" xfId="0"/>
    <xf numFmtId="190" fontId="12" fillId="0" borderId="0" pivotButton="0" quotePrefix="0" xfId="0"/>
    <xf numFmtId="190" fontId="3" fillId="22" borderId="48" pivotButton="0" quotePrefix="0" xfId="0"/>
    <xf numFmtId="166" fontId="0" fillId="0" borderId="52" pivotButton="0" quotePrefix="0" xfId="0"/>
    <xf numFmtId="166" fontId="10" fillId="0" borderId="0" pivotButton="0" quotePrefix="0" xfId="0"/>
    <xf numFmtId="166" fontId="4" fillId="22" borderId="0" pivotButton="0" quotePrefix="0" xfId="0"/>
    <xf numFmtId="166" fontId="12" fillId="7" borderId="0" applyAlignment="1" pivotButton="0" quotePrefix="0" xfId="0">
      <alignment horizontal="right"/>
    </xf>
    <xf numFmtId="169" fontId="12" fillId="7" borderId="52" applyAlignment="1" pivotButton="0" quotePrefix="0" xfId="0">
      <alignment horizontal="right"/>
    </xf>
    <xf numFmtId="169" fontId="12" fillId="7" borderId="0" applyAlignment="1" pivotButton="0" quotePrefix="0" xfId="0">
      <alignment horizontal="right"/>
    </xf>
    <xf numFmtId="171" fontId="10" fillId="0" borderId="0" applyAlignment="1" pivotButton="0" quotePrefix="0" xfId="0">
      <alignment horizontal="right"/>
    </xf>
    <xf numFmtId="171" fontId="10" fillId="0" borderId="52" applyAlignment="1" pivotButton="0" quotePrefix="0" xfId="0">
      <alignment horizontal="right"/>
    </xf>
    <xf numFmtId="171" fontId="10" fillId="22" borderId="0" applyAlignment="1" pivotButton="0" quotePrefix="0" xfId="0">
      <alignment horizontal="right"/>
    </xf>
    <xf numFmtId="166" fontId="32" fillId="8" borderId="0" applyAlignment="1" pivotButton="0" quotePrefix="0" xfId="0">
      <alignment horizontal="right"/>
    </xf>
    <xf numFmtId="166" fontId="32" fillId="8" borderId="52" applyAlignment="1" pivotButton="0" quotePrefix="0" xfId="0">
      <alignment horizontal="right"/>
    </xf>
    <xf numFmtId="191" fontId="10" fillId="0" borderId="52" applyAlignment="1" pivotButton="0" quotePrefix="0" xfId="0">
      <alignment horizontal="right"/>
    </xf>
    <xf numFmtId="191" fontId="10" fillId="0" borderId="0" applyAlignment="1" pivotButton="0" quotePrefix="0" xfId="0">
      <alignment horizontal="right"/>
    </xf>
    <xf numFmtId="191" fontId="10" fillId="22" borderId="0" applyAlignment="1" pivotButton="0" quotePrefix="0" xfId="0">
      <alignment horizontal="right"/>
    </xf>
    <xf numFmtId="166" fontId="20" fillId="0" borderId="0" applyAlignment="1" pivotButton="0" quotePrefix="0" xfId="0">
      <alignment horizontal="right"/>
    </xf>
    <xf numFmtId="191" fontId="21" fillId="0" borderId="52" applyAlignment="1" pivotButton="0" quotePrefix="0" xfId="0">
      <alignment horizontal="right"/>
    </xf>
    <xf numFmtId="191" fontId="21" fillId="0" borderId="0" applyAlignment="1" pivotButton="0" quotePrefix="0" xfId="0">
      <alignment horizontal="right"/>
    </xf>
    <xf numFmtId="191" fontId="12" fillId="22" borderId="0" applyAlignment="1" pivotButton="0" quotePrefix="0" xfId="0">
      <alignment horizontal="right"/>
    </xf>
    <xf numFmtId="166" fontId="12" fillId="7" borderId="0" applyAlignment="1" pivotButton="0" quotePrefix="0" xfId="0">
      <alignment horizontal="left"/>
    </xf>
    <xf numFmtId="171" fontId="12" fillId="0" borderId="0" applyAlignment="1" pivotButton="0" quotePrefix="0" xfId="0">
      <alignment horizontal="right"/>
    </xf>
    <xf numFmtId="171" fontId="12" fillId="0" borderId="52" applyAlignment="1" pivotButton="0" quotePrefix="0" xfId="0">
      <alignment horizontal="right"/>
    </xf>
    <xf numFmtId="171" fontId="12" fillId="22" borderId="0" applyAlignment="1" pivotButton="0" quotePrefix="0" xfId="0">
      <alignment horizontal="right"/>
    </xf>
    <xf numFmtId="192" fontId="5" fillId="0" borderId="52" applyAlignment="1" pivotButton="0" quotePrefix="0" xfId="0">
      <alignment horizontal="right"/>
    </xf>
    <xf numFmtId="192" fontId="5" fillId="0" borderId="0" applyAlignment="1" pivotButton="0" quotePrefix="0" xfId="0">
      <alignment horizontal="right"/>
    </xf>
    <xf numFmtId="192" fontId="67" fillId="22" borderId="0" applyAlignment="1" pivotButton="0" quotePrefix="0" xfId="0">
      <alignment horizontal="right"/>
    </xf>
    <xf numFmtId="192" fontId="12" fillId="22" borderId="0" applyAlignment="1" pivotButton="0" quotePrefix="0" xfId="0">
      <alignment horizontal="right"/>
    </xf>
    <xf numFmtId="171" fontId="12" fillId="7" borderId="52" applyAlignment="1" pivotButton="0" quotePrefix="0" xfId="0">
      <alignment horizontal="right"/>
    </xf>
    <xf numFmtId="171" fontId="12" fillId="7" borderId="0" applyAlignment="1" pivotButton="0" quotePrefix="0" xfId="0">
      <alignment horizontal="right"/>
    </xf>
    <xf numFmtId="166" fontId="12" fillId="7" borderId="52" applyAlignment="1" pivotButton="0" quotePrefix="0" xfId="0">
      <alignment horizontal="right"/>
    </xf>
    <xf numFmtId="166" fontId="10" fillId="0" borderId="4" applyAlignment="1" pivotButton="0" quotePrefix="0" xfId="0">
      <alignment horizontal="right"/>
    </xf>
    <xf numFmtId="166" fontId="10" fillId="10" borderId="0" applyAlignment="1" pivotButton="0" quotePrefix="0" xfId="0">
      <alignment horizontal="right"/>
    </xf>
    <xf numFmtId="172" fontId="38" fillId="0" borderId="0" pivotButton="0" quotePrefix="0" xfId="0"/>
    <xf numFmtId="169" fontId="3" fillId="15" borderId="33" pivotButton="0" quotePrefix="0" xfId="0"/>
    <xf numFmtId="166" fontId="16" fillId="14" borderId="41" pivotButton="0" quotePrefix="0" xfId="0"/>
    <xf numFmtId="169" fontId="16" fillId="10" borderId="31" pivotButton="0" quotePrefix="0" xfId="0"/>
    <xf numFmtId="169" fontId="16" fillId="10" borderId="29" pivotButton="0" quotePrefix="0" xfId="0"/>
    <xf numFmtId="169" fontId="0" fillId="0" borderId="31" pivotButton="0" quotePrefix="0" xfId="0"/>
    <xf numFmtId="169" fontId="0" fillId="0" borderId="33" pivotButton="0" quotePrefix="0" xfId="0"/>
    <xf numFmtId="166" fontId="16" fillId="10" borderId="31" pivotButton="0" quotePrefix="0" xfId="0"/>
    <xf numFmtId="166" fontId="16" fillId="10" borderId="29" pivotButton="0" quotePrefix="0" xfId="0"/>
    <xf numFmtId="166" fontId="16" fillId="16" borderId="31" pivotButton="0" quotePrefix="0" xfId="0"/>
    <xf numFmtId="166" fontId="16" fillId="16" borderId="29" pivotButton="0" quotePrefix="0" xfId="0"/>
    <xf numFmtId="166" fontId="16" fillId="16" borderId="37" pivotButton="0" quotePrefix="0" xfId="0"/>
    <xf numFmtId="169" fontId="16" fillId="10" borderId="33" pivotButton="0" quotePrefix="0" xfId="0"/>
    <xf numFmtId="169" fontId="16" fillId="10" borderId="0" pivotButton="0" quotePrefix="0" xfId="0"/>
    <xf numFmtId="169" fontId="3" fillId="15" borderId="31" pivotButton="0" quotePrefix="0" xfId="0"/>
    <xf numFmtId="173" fontId="53" fillId="14" borderId="40" pivotButton="0" quotePrefix="0" xfId="0"/>
    <xf numFmtId="173" fontId="53" fillId="10" borderId="33" pivotButton="0" quotePrefix="0" xfId="0"/>
    <xf numFmtId="173" fontId="53" fillId="10" borderId="0" pivotButton="0" quotePrefix="0" xfId="0"/>
    <xf numFmtId="169" fontId="0" fillId="10" borderId="34" pivotButton="0" quotePrefix="0" xfId="0"/>
    <xf numFmtId="169" fontId="2" fillId="5" borderId="33" applyAlignment="1" pivotButton="0" quotePrefix="0" xfId="0">
      <alignment horizontal="right"/>
    </xf>
    <xf numFmtId="169" fontId="10" fillId="3" borderId="0" applyAlignment="1" pivotButton="0" quotePrefix="0" xfId="0">
      <alignment horizontal="right"/>
    </xf>
    <xf numFmtId="169" fontId="0" fillId="3" borderId="33" pivotButton="0" quotePrefix="0" xfId="0"/>
    <xf numFmtId="166" fontId="58" fillId="7" borderId="28" applyAlignment="1" pivotButton="0" quotePrefix="0" xfId="0">
      <alignment horizontal="right"/>
    </xf>
    <xf numFmtId="169" fontId="58" fillId="7" borderId="28" applyAlignment="1" pivotButton="0" quotePrefix="0" xfId="0">
      <alignment horizontal="right"/>
    </xf>
    <xf numFmtId="169" fontId="58" fillId="7" borderId="32" pivotButton="0" quotePrefix="0" xfId="0"/>
    <xf numFmtId="166" fontId="16" fillId="14" borderId="40" pivotButton="0" quotePrefix="0" xfId="0"/>
    <xf numFmtId="166" fontId="16" fillId="16" borderId="33" pivotButton="0" quotePrefix="0" xfId="0"/>
    <xf numFmtId="166" fontId="16" fillId="16" borderId="0" pivotButton="0" quotePrefix="0" xfId="0"/>
    <xf numFmtId="166" fontId="16" fillId="16" borderId="36" pivotButton="0" quotePrefix="0" xfId="0"/>
    <xf numFmtId="173" fontId="16" fillId="14" borderId="40" pivotButton="0" quotePrefix="0" xfId="0"/>
    <xf numFmtId="173" fontId="16" fillId="10" borderId="33" pivotButton="0" quotePrefix="0" xfId="0"/>
    <xf numFmtId="173" fontId="16" fillId="10" borderId="0" pivotButton="0" quotePrefix="0" xfId="0"/>
    <xf numFmtId="173" fontId="16" fillId="14" borderId="41" pivotButton="0" quotePrefix="0" xfId="0"/>
    <xf numFmtId="173" fontId="16" fillId="10" borderId="31" pivotButton="0" quotePrefix="0" xfId="0"/>
    <xf numFmtId="166" fontId="10" fillId="10" borderId="29" applyAlignment="1" pivotButton="0" quotePrefix="0" xfId="0">
      <alignment horizontal="right"/>
    </xf>
    <xf numFmtId="169" fontId="53" fillId="14" borderId="40" pivotButton="0" quotePrefix="0" xfId="0"/>
    <xf numFmtId="169" fontId="53" fillId="10" borderId="33" pivotButton="0" quotePrefix="0" xfId="0"/>
    <xf numFmtId="169" fontId="53" fillId="10" borderId="0" pivotButton="0" quotePrefix="0" xfId="0"/>
    <xf numFmtId="169" fontId="12" fillId="0" borderId="33" pivotButton="0" quotePrefix="0" xfId="0"/>
    <xf numFmtId="169" fontId="0" fillId="16" borderId="33" pivotButton="0" quotePrefix="0" xfId="0"/>
    <xf numFmtId="169" fontId="0" fillId="16" borderId="0" pivotButton="0" quotePrefix="0" xfId="0"/>
    <xf numFmtId="169" fontId="0" fillId="16" borderId="36" pivotButton="0" quotePrefix="0" xfId="0"/>
    <xf numFmtId="169" fontId="53" fillId="14" borderId="39" pivotButton="0" quotePrefix="0" xfId="0"/>
    <xf numFmtId="169" fontId="53" fillId="10" borderId="32" pivotButton="0" quotePrefix="0" xfId="0"/>
    <xf numFmtId="169" fontId="53" fillId="10" borderId="28" pivotButton="0" quotePrefix="0" xfId="0"/>
    <xf numFmtId="169" fontId="12" fillId="0" borderId="32" pivotButton="0" quotePrefix="0" xfId="0"/>
    <xf numFmtId="169" fontId="0" fillId="16" borderId="32" pivotButton="0" quotePrefix="0" xfId="0"/>
    <xf numFmtId="169" fontId="0" fillId="16" borderId="28" pivotButton="0" quotePrefix="0" xfId="0"/>
    <xf numFmtId="169" fontId="0" fillId="16" borderId="35" pivotButton="0" quotePrefix="0" xfId="0"/>
    <xf numFmtId="167" fontId="0" fillId="0" borderId="0" pivotButton="0" quotePrefix="0" xfId="0"/>
    <xf numFmtId="167" fontId="3" fillId="0" borderId="0" pivotButton="0" quotePrefix="0" xfId="0"/>
    <xf numFmtId="165" fontId="0" fillId="0" borderId="0" pivotButton="0" quotePrefix="0" xfId="1"/>
    <xf numFmtId="167" fontId="5" fillId="2" borderId="0" pivotButton="0" quotePrefix="0" xfId="0"/>
    <xf numFmtId="167" fontId="52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right"/>
    </xf>
    <xf numFmtId="166" fontId="56" fillId="0" borderId="0" applyAlignment="1" pivotButton="0" quotePrefix="0" xfId="0">
      <alignment horizontal="right"/>
    </xf>
    <xf numFmtId="167" fontId="4" fillId="10" borderId="0" applyAlignment="1" pivotButton="0" quotePrefix="0" xfId="0">
      <alignment horizontal="right"/>
    </xf>
    <xf numFmtId="167" fontId="53" fillId="0" borderId="0" applyAlignment="1" pivotButton="0" quotePrefix="0" xfId="0">
      <alignment horizontal="right"/>
    </xf>
    <xf numFmtId="167" fontId="5" fillId="10" borderId="0" applyAlignment="1" pivotButton="0" quotePrefix="0" xfId="0">
      <alignment horizontal="right"/>
    </xf>
    <xf numFmtId="167" fontId="2" fillId="5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6" fontId="0" fillId="0" borderId="0" pivotButton="0" quotePrefix="0" xfId="0"/>
    <xf numFmtId="166" fontId="0" fillId="0" borderId="22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Growth (FY15–FY25)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Revenue y/y %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'Moog-Charts'!$C$7:$M$7</f>
              <numCache>
                <formatCode>0</formatCod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numCache>
            </numRef>
          </cat>
          <val>
            <numRef>
              <f>'Moog-Charts'!$C$8:$M$8</f>
              <numCache>
                <formatCode>0.0%;\(0.0%\);\-</formatCode>
                <ptCount val="11"/>
                <pt idx="0">
                  <v>0</v>
                </pt>
                <pt idx="1">
                  <v>-0.04497864212371894</v>
                </pt>
                <pt idx="2">
                  <v>0.03548475768645698</v>
                </pt>
                <pt idx="3">
                  <v>0.08486164697516418</v>
                </pt>
                <pt idx="4">
                  <v>0.07204181780334751</v>
                </pt>
                <pt idx="5">
                  <v>-0.006923006214490268</v>
                </pt>
                <pt idx="6">
                  <v>-0.0112880535431128</v>
                </pt>
                <pt idx="7">
                  <v>0.06444265466289734</v>
                </pt>
                <pt idx="8">
                  <v>0.09236727394546973</v>
                </pt>
                <pt idx="9">
                  <v>0.08828505001221276</v>
                </pt>
                <pt idx="10">
                  <v>0.06973310870721749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508004639"/>
        <axId val="1508005119"/>
      </barChart>
      <catAx>
        <axId val="1508004639"/>
        <scaling>
          <orientation val="minMax"/>
        </scaling>
        <delete val="0"/>
        <axPos val="b"/>
        <numFmt formatCode="0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08005119"/>
        <crosses val="autoZero"/>
        <auto val="1"/>
        <lblAlgn val="ctr"/>
        <lblOffset val="100"/>
        <noMultiLvlLbl val="0"/>
      </catAx>
      <valAx>
        <axId val="1508005119"/>
        <scaling>
          <orientation val="minMax"/>
        </scaling>
        <delete val="0"/>
        <axPos val="l"/>
        <numFmt formatCode="0.0%;\(0.0%\);\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08004639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Profit &amp; Adj EBIT ($M) with Margins (%)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Gross Profit ($M)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'Moog-Charts'!$C$11:$M$11</f>
              <numCache>
                <formatCode>0</formatCod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numCache>
            </numRef>
          </cat>
          <val>
            <numRef>
              <f>'Moog-Charts'!$C$12:$M$12</f>
              <numCache>
                <formatCode>#,##0;\(#,##0\);\-</formatCode>
                <ptCount val="11"/>
                <pt idx="0">
                  <v>736.7040000000002</v>
                </pt>
                <pt idx="1">
                  <v>711.5829999999999</v>
                </pt>
                <pt idx="2">
                  <v>731.5219999999999</v>
                </pt>
                <pt idx="3">
                  <v>774.0909999999998</v>
                </pt>
                <pt idx="4">
                  <v>815.8319999999999</v>
                </pt>
                <pt idx="5">
                  <v>743.6959999999999</v>
                </pt>
                <pt idx="6">
                  <v>775.723</v>
                </pt>
                <pt idx="7">
                  <v>820.8010000000004</v>
                </pt>
                <pt idx="8">
                  <v>897.7549999999999</v>
                </pt>
                <pt idx="9">
                  <v>1012.408</v>
                </pt>
                <pt idx="10">
                  <v>1057.348</v>
                </pt>
              </numCache>
            </numRef>
          </val>
        </ser>
        <ser>
          <idx val="1"/>
          <order val="1"/>
          <tx>
            <v>Adj EBIT ($M)</v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val>
            <numRef>
              <f>'Moog-Charts'!$C$13:$M$13</f>
              <numCache>
                <formatCode>#,##0;\(#,##0\);\-</formatCode>
                <ptCount val="11"/>
                <pt idx="0">
                  <v>212.8010000000002</v>
                </pt>
                <pt idx="1">
                  <v>204.0999999999998</v>
                </pt>
                <pt idx="2">
                  <v>250.152</v>
                </pt>
                <pt idx="3">
                  <v>294.534</v>
                </pt>
                <pt idx="4">
                  <v>321.142</v>
                </pt>
                <pt idx="5">
                  <v>287.609</v>
                </pt>
                <pt idx="6">
                  <v>277.863</v>
                </pt>
                <pt idx="7">
                  <v>308.279</v>
                </pt>
                <pt idx="8">
                  <v>361.806</v>
                </pt>
                <pt idx="9">
                  <v>457.862</v>
                </pt>
                <pt idx="10">
                  <v>501.268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518633631"/>
        <axId val="1518634591"/>
      </barChart>
      <lineChart>
        <grouping val="standard"/>
        <varyColors val="0"/>
        <ser>
          <idx val="2"/>
          <order val="2"/>
          <tx>
            <v>Gross Margin %</v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'Moog-Charts'!$C$11:$M$11</f>
              <numCache>
                <formatCode>0</formatCod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numCache>
            </numRef>
          </cat>
          <val>
            <numRef>
              <f>'Moog-Charts'!$C$14:$M$14</f>
              <numCache>
                <formatCode>0.0%;\(0.0%\);\-</formatCode>
                <ptCount val="11"/>
                <pt idx="0">
                  <v>0.2917025007008425</v>
                </pt>
                <pt idx="1">
                  <v>0.2950255334198198</v>
                </pt>
                <pt idx="2">
                  <v>0.292898887057742</v>
                </pt>
                <pt idx="3">
                  <v>0.2856985208904478</v>
                </pt>
                <pt idx="4">
                  <v>0.280869760106422</v>
                </pt>
                <pt idx="5">
                  <v>0.2578200997450559</v>
                </pt>
                <pt idx="6">
                  <v>0.2719933043313921</v>
                </pt>
                <pt idx="7">
                  <v>0.270375385855972</v>
                </pt>
                <pt idx="8">
                  <v>0.2707188068234932</v>
                </pt>
                <pt idx="9">
                  <v>0.2805262457882603</v>
                </pt>
                <pt idx="10">
                  <v>0.2738800774175366</v>
                </pt>
              </numCache>
            </numRef>
          </val>
          <smooth val="0"/>
        </ser>
        <ser>
          <idx val="3"/>
          <order val="3"/>
          <tx>
            <v>Adj EBIT Margin %</v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'Moog-Charts'!$C$11:$M$11</f>
              <numCache>
                <formatCode>0</formatCod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numCache>
            </numRef>
          </cat>
          <val>
            <numRef>
              <f>'Moog-Charts'!$C$15:$M$15</f>
              <numCache>
                <formatCode>0.0%;\(0.0%\);\-</formatCode>
                <ptCount val="11"/>
                <pt idx="0">
                  <v>0.08425987079157983</v>
                </pt>
                <pt idx="1">
                  <v>0.08462078404203752</v>
                </pt>
                <pt idx="2">
                  <v>0.1001599984624772</v>
                </pt>
                <pt idx="3">
                  <v>0.1087054728086842</v>
                </pt>
                <pt idx="4">
                  <v>0.1105608464734119</v>
                </pt>
                <pt idx="5">
                  <v>0.09970657508925122</v>
                </pt>
                <pt idx="6">
                  <v>0.09742765848303274</v>
                </pt>
                <pt idx="7">
                  <v>0.1015484308331656</v>
                </pt>
                <pt idx="8">
                  <v>0.1091029162985233</v>
                </pt>
                <pt idx="9">
                  <v>0.1268681282142224</v>
                </pt>
                <pt idx="10">
                  <v>0.1298411862952725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08012319"/>
        <axId val="1508008959"/>
      </lineChart>
      <catAx>
        <axId val="1518633631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18634591"/>
        <crosses val="autoZero"/>
        <auto val="1"/>
        <lblAlgn val="ctr"/>
        <lblOffset val="100"/>
        <noMultiLvlLbl val="0"/>
      </catAx>
      <valAx>
        <axId val="1518634591"/>
        <scaling>
          <orientation val="minMax"/>
        </scaling>
        <delete val="0"/>
        <axPos val="l"/>
        <numFmt formatCode="#,##0;\(#,##0\);\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18633631"/>
        <crosses val="autoZero"/>
        <crossBetween val="between"/>
      </valAx>
      <catAx>
        <axId val="1508012319"/>
        <scaling>
          <orientation val="minMax"/>
        </scaling>
        <delete val="1"/>
        <axPos val="b"/>
        <numFmt formatCode="0" sourceLinked="1"/>
        <majorTickMark val="out"/>
        <minorTickMark val="none"/>
        <tickLblPos val="nextTo"/>
        <crossAx val="1508008959"/>
        <crosses val="autoZero"/>
        <auto val="1"/>
        <lblAlgn val="ctr"/>
        <lblOffset val="100"/>
        <noMultiLvlLbl val="0"/>
      </catAx>
      <valAx>
        <axId val="1508008959"/>
        <scaling>
          <orientation val="minMax"/>
        </scaling>
        <delete val="0"/>
        <axPos val="r"/>
        <title>
          <tx>
            <rich>
              <a:bodyPr/>
              <a:p>
                <a:r>
                  <a:t>None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2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0.0%;\(0.0%\);\-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08012319"/>
        <crosses val="max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 Profile — ROIC, RONTA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ROIC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'Moog-Charts'!$C$17:$M$17</f>
              <numCache>
                <formatCode>0</formatCod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numCache>
            </numRef>
          </cat>
          <val>
            <numRef>
              <f>'Moog-Charts'!$C$18:$M$18</f>
              <numCache>
                <formatCode>0.0%;\(0.0%\);\-</formatCode>
                <ptCount val="11"/>
                <pt idx="0">
                  <v>0.08674766317487392</v>
                </pt>
                <pt idx="1">
                  <v>0.08644435030154807</v>
                </pt>
                <pt idx="2">
                  <v>0.10728565492755</v>
                </pt>
                <pt idx="3">
                  <v>0.07865544696803008</v>
                </pt>
                <pt idx="4">
                  <v>0.1195487751063504</v>
                </pt>
                <pt idx="5">
                  <v>0.1032908626600132</v>
                </pt>
                <pt idx="6">
                  <v>0.09731619088043308</v>
                </pt>
                <pt idx="7">
                  <v>0.1092483978090315</v>
                </pt>
                <pt idx="8">
                  <v>0.1177267925471007</v>
                </pt>
                <pt idx="9">
                  <v>0.1341805919353825</v>
                </pt>
                <pt idx="10">
                  <v>0.1310209732543081</v>
                </pt>
              </numCache>
            </numRef>
          </val>
        </ser>
        <ser>
          <idx val="1"/>
          <order val="1"/>
          <tx>
            <v>RONTA</v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'Moog-Charts'!$C$17:$M$17</f>
              <numCache>
                <formatCode>0</formatCode>
                <ptCount val="11"/>
                <pt idx="0">
                  <v>2015</v>
                </pt>
                <pt idx="1">
                  <v>2016</v>
                </pt>
                <pt idx="2">
                  <v>2017</v>
                </pt>
                <pt idx="3">
                  <v>2018</v>
                </pt>
                <pt idx="4">
                  <v>2019</v>
                </pt>
                <pt idx="5">
                  <v>2020</v>
                </pt>
                <pt idx="6">
                  <v>2021</v>
                </pt>
                <pt idx="7">
                  <v>2022</v>
                </pt>
                <pt idx="8">
                  <v>2023</v>
                </pt>
                <pt idx="9">
                  <v>2024</v>
                </pt>
                <pt idx="10">
                  <v>2025</v>
                </pt>
              </numCache>
            </numRef>
          </cat>
          <val>
            <numRef>
              <f>'Moog-Charts'!$C$19:$M$19</f>
              <numCache>
                <formatCode>0.0%;\(0.0%\);\-</formatCode>
                <ptCount val="11"/>
                <pt idx="0">
                  <v>0.1183171311660691</v>
                </pt>
                <pt idx="1">
                  <v>0.1169129723784788</v>
                </pt>
                <pt idx="2">
                  <v>0.1598376616243728</v>
                </pt>
                <pt idx="3">
                  <v>0.1216880009849021</v>
                </pt>
                <pt idx="4">
                  <v>0.1723189309026845</v>
                </pt>
                <pt idx="5">
                  <v>0.1415720967963178</v>
                </pt>
                <pt idx="6">
                  <v>0.1352095397900993</v>
                </pt>
                <pt idx="7">
                  <v>0.1485747438392516</v>
                </pt>
                <pt idx="8">
                  <v>0.1521314101696289</v>
                </pt>
                <pt idx="9">
                  <v>0.1683422665992886</v>
                </pt>
                <pt idx="10">
                  <v>0.1611772447880623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518632191"/>
        <axId val="1518618751"/>
      </barChart>
      <catAx>
        <axId val="1518632191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18618751"/>
        <crosses val="autoZero"/>
        <auto val="1"/>
        <lblAlgn val="ctr"/>
        <lblOffset val="100"/>
        <noMultiLvlLbl val="0"/>
      </catAx>
      <valAx>
        <axId val="1518618751"/>
        <scaling>
          <orientation val="minMax"/>
        </scaling>
        <delete val="0"/>
        <axPos val="l"/>
        <numFmt formatCode="0%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1863219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User</author>
    <author>tc={FAF2FF14-23E2-411E-8695-943DB5E14EBF}</author>
    <author>tc={342DAB08-2A90-476A-B271-E65EB0B2C634}</author>
    <author>tc={7FCBC7B7-71ED-4275-8D51-09E45372E93C}</author>
    <author>tc={742DECB5-CE22-4944-BEB8-1CED6B2A761F}</author>
    <author>tc={C1298D7A-5AE8-49EA-94BB-0330CA230E5C}</author>
    <author>tc={FFD22D54-A9E2-4B2A-A492-687B9B3E0636}</author>
    <author>tc={12D0F1DE-21BE-4CAE-8695-A92B2A2A5501}</author>
    <author>tc={4DC5DB3E-4999-4C71-9AFC-3F6632671F1F}</author>
    <author>tc={0F110022-5DA8-4176-B5BF-55719D901B95}</author>
    <author>tc={E0905645-7E1B-49D8-BD01-0486D4121581}</author>
    <author>tc={9CC08B1E-274E-48D5-ABC2-096FD44A6F87}</author>
    <author>tc={AC8D0684-D2BD-4333-B3E1-92F5A69CA3CB}</author>
    <author>tc={FA971A9A-2457-40A0-A742-AB607C937EEF}</author>
    <author>tc={36D3E793-02D4-47C8-BC52-57F0330A666D}</author>
    <author>tc={784BBCDF-0BBA-4713-9D0D-12FE5F4F4F6E}</author>
    <author>tc={88A5BCEC-E150-4DDD-869B-BE6344F5718C}</author>
    <author>tc={D0A3FDFF-F4CA-4911-BD9C-1AD8ACDAA64C}</author>
    <author>tc={A4538AD2-9475-43E6-9D9A-57FD92F3407B}</author>
    <author>tc={EE150BA9-3B42-4D32-BC65-EE84AB8B4B6D}</author>
    <author>tc={0143AD7B-0AA2-4DF1-8EF7-1F21AF804E64}</author>
    <author>tc={73CFAC9E-6CC8-454B-B11A-5AF7C09FCE74}</author>
    <author>tc={31B8DD48-33D4-407C-A0AC-27A4E625DF29}</author>
    <author>tc={31E561B4-F1E3-4BF0-946E-8D52C3731A0C}</author>
    <author>tc={035F888B-E2E0-49A2-86D7-6594BDA0C38A}</author>
    <author>tc={4481D696-A5C3-4A29-B54C-3476FB29BD2C}</author>
    <author>tc={2E415F34-AC93-408B-91F6-1104055B462A}</author>
    <author>tc={5EED3070-A3F7-46D6-A0E7-B13FE164B4D1}</author>
    <author>tc={D6E61BDD-BF4C-4EEA-9D24-81703BA614B7}</author>
    <author>tc={FDCD9F98-5C12-4E02-9F67-29A24031A509}</author>
    <author>tc={1F0919A8-847A-4A77-BB3C-4AC5957DBFFE}</author>
    <author>tc={BD762BF2-5E06-4D18-BF27-BAC9007822B3}</author>
    <author>tc={EEED5656-A95A-4F03-B0E5-AC97D37A2EAF}</author>
    <author>tc={29957BF5-BCD2-4E0C-8F41-9201D71F8BBA}</author>
    <author>tc={AA689BBF-FC2F-4048-A248-A670A73CF00A}</author>
    <author>tc={35C2E198-5751-46AE-B336-15B2F9A9281B}</author>
    <author>tc={DDF248FB-E29D-4D37-9F70-C86977CBBAC5}</author>
    <author>tc={80C1E5ED-F7C2-4C84-BB8C-403200D75B47}</author>
  </authors>
  <commentList>
    <comment ref="G12" authorId="0" shapeId="0">
      <text>
        <t>User:
Source: Moog FY2012 10-K, Note 17 Segments, https://www.sec.gov/Archives/edgar/data/0000067887/000006788712000034/impt.htm</t>
      </text>
    </comment>
    <comment ref="L12" authorId="0" shapeId="0">
      <text>
        <t>User:
Source: Moog FY2012 10-K, Note 17 Segments, https://www.sec.gov/Archives/edgar/data/0000067887/000006788712000034/impt.htm</t>
      </text>
    </comment>
    <comment ref="Q12" authorId="0" shapeId="0">
      <text>
        <t>User:
Source: Moog FY2012 10-K, Note 17 Segments, https://www.sec.gov/Archives/edgar/data/0000067887/000006788712000034/impt.htm</t>
      </text>
    </comment>
    <comment ref="V12" authorId="0" shapeId="0">
      <text>
        <t>User:
Source: Moog FY2015 10-K (restated), Segments footnote, https://www.sec.gov/Archives/edgar/data/0000067887/000006788715000081/fy201510-kdocument.htm</t>
      </text>
    </comment>
    <comment ref="AA12" authorId="0" shapeId="0">
      <text>
        <t>User:
Source: Moog FY2015 10-K (restated), Segments footnote, https://www.sec.gov/Archives/edgar/data/0000067887/000006788715000081/fy201510-kdocument.htm</t>
      </text>
    </comment>
    <comment ref="AF12" authorId="0" shapeId="0">
      <text>
        <t>User:
Source: Moog FY2015 10-K, Segments footnote, https://www.sec.gov/Archives/edgar/data/0000067887/000006788715000081/fy201510-kdocument.htm</t>
      </text>
    </comment>
    <comment ref="AK12" authorId="0" shapeId="0">
      <text>
        <t>User:
Source: Moog FY2017 10-K, Segments footnote, https://www.sec.gov/Archives/edgar/data/0000067887/000006788717000087/a10-kdocumentxfy17xq4.htm</t>
      </text>
    </comment>
    <comment ref="AP12" authorId="0" shapeId="0">
      <text>
        <t>User:
Source: Moog FY2017 10-K, Segments footnote, https://www.sec.gov/Archives/edgar/data/0000067887/000006788717000087/a10-kdocumentxfy17xq4.htm</t>
      </text>
    </comment>
    <comment ref="AU12" authorId="0" shapeId="0">
      <text>
        <t>User:
Source: Moog FY2020 10-K, Segments footnote (FY20 Financial Report), https://www.sec.gov/Archives/edgar/data/0000067887/000006788720000054/</t>
      </text>
    </comment>
    <comment ref="AZ12" authorId="0" shapeId="0">
      <text>
        <t>User:
Source: Moog FY2020 10-K, Segments footnote, https://www.sec.gov/Archives/edgar/data/0000067887/000006788720000054/</t>
      </text>
    </comment>
    <comment ref="G13" authorId="0" shapeId="0">
      <text>
        <t>User:
Source: Moog FY2012 10-K, Note 17 Segments</t>
      </text>
    </comment>
    <comment ref="L13" authorId="0" shapeId="0">
      <text>
        <t>User:
Source: Moog FY2012 10-K, Note 17 Segments</t>
      </text>
    </comment>
    <comment ref="Q13" authorId="0" shapeId="0">
      <text>
        <t>User:
Source: Moog FY2012 10-K, Note 17 Segments</t>
      </text>
    </comment>
    <comment ref="V13" authorId="0" shapeId="0">
      <text>
        <t>User:
Source: Moog FY2015 10-K, Segments footnote</t>
      </text>
    </comment>
    <comment ref="AA13" authorId="0" shapeId="0">
      <text>
        <t>User:
Source: Moog FY2015 10-K, Segments footnote</t>
      </text>
    </comment>
    <comment ref="AF13" authorId="0" shapeId="0">
      <text>
        <t>User:
Source: Moog FY2015 10-K, Segments footnote</t>
      </text>
    </comment>
    <comment ref="AK13" authorId="0" shapeId="0">
      <text>
        <t>User:
Source: Moog FY2017 10-K, Segments footnote</t>
      </text>
    </comment>
    <comment ref="AP13" authorId="0" shapeId="0">
      <text>
        <t>User:
Source: Moog FY2017 10-K, Segments footnote</t>
      </text>
    </comment>
    <comment ref="AU13" authorId="0" shapeId="0">
      <text>
        <t>User:
Source: Moog FY2020 10-K, Segments footnote</t>
      </text>
    </comment>
    <comment ref="AZ13" authorId="0" shapeId="0">
      <text>
        <t>User:
Source: Moog FY2020 10-K, Segments footnote</t>
      </text>
    </comment>
    <comment ref="G16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L16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Q1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V16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FY2013 10-K MD&amp;A Segment Backlog</t>
      </text>
    </comment>
    <comment ref="AA16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FY2014 10-K MD&amp;A Segment Backlog</t>
      </text>
    </comment>
    <comment ref="AF16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FY2015 10-K MD&amp;A Segment Backlog</t>
      </text>
    </comment>
    <comment ref="AK1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FY2016 10-K MD&amp;A Segment Backlog</t>
      </text>
    </comment>
    <comment ref="AP1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FY2017 10-K MD&amp;A Segment Backlog</t>
      </text>
    </comment>
    <comment ref="AU16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FY2018 10-K MD&amp;A Segment Backlog (3-segment view)</t>
      </text>
    </comment>
    <comment ref="G20" authorId="0" shapeId="0">
      <text>
        <t>User:
Source: Moog FY2012 10-K, Note 17 Segments, https://www.sec.gov/Archives/edgar/data/0000067887/000006788712000034/impt.htm</t>
      </text>
    </comment>
    <comment ref="H20" authorId="0" shapeId="0">
      <text>
        <t>User:
Source: Moog FY2012 10-K, Note 17 Segments, https://www.sec.gov/Archives/edgar/data/0000067887/000006788712000034/impt.htm</t>
      </text>
    </comment>
    <comment ref="I20" authorId="0" shapeId="0">
      <text>
        <t>User:
Source: Moog FY2012 10-K, Note 17 Segments, https://www.sec.gov/Archives/edgar/data/0000067887/000006788712000034/impt.htm</t>
      </text>
    </comment>
    <comment ref="J20" authorId="0" shapeId="0">
      <text>
        <t>User:
Source: Moog FY2012 10-K, Note 17 Segments, https://www.sec.gov/Archives/edgar/data/0000067887/000006788712000034/impt.htm</t>
      </text>
    </comment>
    <comment ref="K20" authorId="0" shapeId="0">
      <text>
        <t>User:
Source: Moog FY2012 10-K, Note 17 Segments, https://www.sec.gov/Archives/edgar/data/0000067887/000006788712000034/impt.htm</t>
      </text>
    </comment>
    <comment ref="L20" authorId="0" shapeId="0">
      <text>
        <t>User:
Source: Moog FY2012 10-K, Note 17 Segments, https://www.sec.gov/Archives/edgar/data/0000067887/000006788712000034/impt.htm</t>
      </text>
    </comment>
    <comment ref="M20" authorId="0" shapeId="0">
      <text>
        <t>User:
Source: Moog FY2012 10-K, Note 17 Segments, https://www.sec.gov/Archives/edgar/data/0000067887/000006788712000034/impt.htm</t>
      </text>
    </comment>
    <comment ref="N20" authorId="0" shapeId="0">
      <text>
        <t>User:
Source: Moog FY2012 10-K, Note 17 Segments, https://www.sec.gov/Archives/edgar/data/0000067887/000006788712000034/impt.htm</t>
      </text>
    </comment>
    <comment ref="O20" authorId="0" shapeId="0">
      <text>
        <t>User:
Source: Moog FY2012 10-K, Note 17 Segments, https://www.sec.gov/Archives/edgar/data/0000067887/000006788712000034/impt.htm</t>
      </text>
    </comment>
    <comment ref="P20" authorId="0" shapeId="0">
      <text>
        <t>User:
Source: Moog FY2012 10-K, Note 17 Segments, https://www.sec.gov/Archives/edgar/data/0000067887/000006788712000034/impt.htm</t>
      </text>
    </comment>
    <comment ref="Q20" authorId="0" shapeId="0">
      <text>
        <t>User:
Source: Moog FY2012 10-K, Note 17 Segments, https://www.sec.gov/Archives/edgar/data/0000067887/000006788712000034/impt.htm</t>
      </text>
    </comment>
    <comment ref="R20" authorId="0" shapeId="0">
      <text>
        <t>User:
Source: Moog FY2012 10-K, Note 17 Segments, https://www.sec.gov/Archives/edgar/data/0000067887/000006788712000034/impt.htm</t>
      </text>
    </comment>
    <comment ref="S20" authorId="0" shapeId="0">
      <text>
        <t>User:
Source: Moog FY2012 10-K, Note 17 Segments, https://www.sec.gov/Archives/edgar/data/0000067887/000006788712000034/impt.htm</t>
      </text>
    </comment>
    <comment ref="T20" authorId="0" shapeId="0">
      <text>
        <t>User:
Source: Moog FY2012 10-K, Note 17 Segments, https://www.sec.gov/Archives/edgar/data/0000067887/000006788712000034/impt.htm</t>
      </text>
    </comment>
    <comment ref="U20" authorId="0" shapeId="0">
      <text>
        <t>User:
Source: Moog FY2012 10-K, Note 17 Segments, https://www.sec.gov/Archives/edgar/data/0000067887/000006788712000034/impt.htm</t>
      </text>
    </comment>
    <comment ref="V20" authorId="0" shapeId="0">
      <text>
        <t>User:
Source: Moog FY2012 10-K, Note 17 Segments, https://www.sec.gov/Archives/edgar/data/0000067887/000006788712000034/impt.htm</t>
      </text>
    </comment>
    <comment ref="W20" authorId="0" shapeId="0">
      <text>
        <t>User:
Source: Moog FY2012 10-K, Note 17 Segments, https://www.sec.gov/Archives/edgar/data/0000067887/000006788712000034/impt.htm</t>
      </text>
    </comment>
    <comment ref="X20" authorId="0" shapeId="0">
      <text>
        <t>User:
Source: Moog FY2012 10-K, Note 17 Segments, https://www.sec.gov/Archives/edgar/data/0000067887/000006788712000034/impt.htm</t>
      </text>
    </comment>
    <comment ref="Y20" authorId="0" shapeId="0">
      <text>
        <t>User:
Source: Moog FY2012 10-K, Note 17 Segments, https://www.sec.gov/Archives/edgar/data/0000067887/000006788712000034/impt.htm</t>
      </text>
    </comment>
    <comment ref="Z20" authorId="0" shapeId="0">
      <text>
        <t>User:
Source: Moog FY2012 10-K, Note 17 Segments, https://www.sec.gov/Archives/edgar/data/0000067887/000006788712000034/impt.htm</t>
      </text>
    </comment>
    <comment ref="AA20" authorId="0" shapeId="0">
      <text>
        <t>User:
Source: Moog FY2012 10-K, Note 17 Segments, https://www.sec.gov/Archives/edgar/data/0000067887/000006788712000034/impt.htm</t>
      </text>
    </comment>
    <comment ref="AB20" authorId="0" shapeId="0">
      <text>
        <t>User:
Source: Moog FY2012 10-K, Note 17 Segments, https://www.sec.gov/Archives/edgar/data/0000067887/000006788712000034/impt.htm</t>
      </text>
    </comment>
    <comment ref="AC20" authorId="0" shapeId="0">
      <text>
        <t>User:
Source: Moog FY2012 10-K, Note 17 Segments, https://www.sec.gov/Archives/edgar/data/0000067887/000006788712000034/impt.htm</t>
      </text>
    </comment>
    <comment ref="AD20" authorId="0" shapeId="0">
      <text>
        <t>User:
Source: Moog FY2012 10-K, Note 17 Segments, https://www.sec.gov/Archives/edgar/data/0000067887/000006788712000034/impt.htm</t>
      </text>
    </comment>
    <comment ref="AE20" authorId="0" shapeId="0">
      <text>
        <t>User:
Source: Moog FY2012 10-K, Note 17 Segments, https://www.sec.gov/Archives/edgar/data/0000067887/000006788712000034/impt.htm</t>
      </text>
    </comment>
    <comment ref="AF20" authorId="0" shapeId="0">
      <text>
        <t>User:
Source: Moog FY2012 10-K, Note 17 Segments, https://www.sec.gov/Archives/edgar/data/0000067887/000006788712000034/impt.htm</t>
      </text>
    </comment>
    <comment ref="AG20" authorId="0" shapeId="0">
      <text>
        <t>User:
Source: Moog FY2012 10-K, Note 17 Segments, https://www.sec.gov/Archives/edgar/data/0000067887/000006788712000034/impt.htm</t>
      </text>
    </comment>
    <comment ref="AH20" authorId="0" shapeId="0">
      <text>
        <t>User:
Source: Moog FY2012 10-K, Note 17 Segments, https://www.sec.gov/Archives/edgar/data/0000067887/000006788712000034/impt.htm</t>
      </text>
    </comment>
    <comment ref="AI20" authorId="0" shapeId="0">
      <text>
        <t>User:
Source: Moog FY2012 10-K, Note 17 Segments, https://www.sec.gov/Archives/edgar/data/0000067887/000006788712000034/impt.htm</t>
      </text>
    </comment>
    <comment ref="AJ20" authorId="0" shapeId="0">
      <text>
        <t>User:
Source: Moog FY2012 10-K, Note 17 Segments, https://www.sec.gov/Archives/edgar/data/0000067887/000006788712000034/impt.htm</t>
      </text>
    </comment>
    <comment ref="AK20" authorId="0" shapeId="0">
      <text>
        <t>User:
Source: Moog FY2012 10-K, Note 17 Segments, https://www.sec.gov/Archives/edgar/data/0000067887/000006788712000034/impt.htm</t>
      </text>
    </comment>
    <comment ref="AL20" authorId="0" shapeId="0">
      <text>
        <t>User:
Source: Moog FY2012 10-K, Note 17 Segments, https://www.sec.gov/Archives/edgar/data/0000067887/000006788712000034/impt.htm</t>
      </text>
    </comment>
    <comment ref="AM20" authorId="0" shapeId="0">
      <text>
        <t>User:
Source: Moog FY2012 10-K, Note 17 Segments, https://www.sec.gov/Archives/edgar/data/0000067887/000006788712000034/impt.htm</t>
      </text>
    </comment>
    <comment ref="AN20" authorId="0" shapeId="0">
      <text>
        <t>User:
Source: Moog FY2012 10-K, Note 17 Segments, https://www.sec.gov/Archives/edgar/data/0000067887/000006788712000034/impt.htm</t>
      </text>
    </comment>
    <comment ref="AO20" authorId="0" shapeId="0">
      <text>
        <t>User:
Source: Moog FY2012 10-K, Note 17 Segments, https://www.sec.gov/Archives/edgar/data/0000067887/000006788712000034/impt.htm</t>
      </text>
    </comment>
    <comment ref="AP20" authorId="0" shapeId="0">
      <text>
        <t>User:
Source: Moog FY2012 10-K, Note 17 Segments, https://www.sec.gov/Archives/edgar/data/0000067887/000006788712000034/impt.htm</t>
      </text>
    </comment>
    <comment ref="AQ20" authorId="0" shapeId="0">
      <text>
        <t>User:
Source: Moog FY2012 10-K, Note 17 Segments, https://www.sec.gov/Archives/edgar/data/0000067887/000006788712000034/impt.htm</t>
      </text>
    </comment>
    <comment ref="AR20" authorId="0" shapeId="0">
      <text>
        <t>User:
Source: Moog FY2012 10-K, Note 17 Segments, https://www.sec.gov/Archives/edgar/data/0000067887/000006788712000034/impt.htm</t>
      </text>
    </comment>
    <comment ref="AS20" authorId="0" shapeId="0">
      <text>
        <t>User:
Source: Moog FY2012 10-K, Note 17 Segments, https://www.sec.gov/Archives/edgar/data/0000067887/000006788712000034/impt.htm</t>
      </text>
    </comment>
    <comment ref="AT20" authorId="0" shapeId="0">
      <text>
        <t>User:
Source: Moog FY2012 10-K, Note 17 Segments, https://www.sec.gov/Archives/edgar/data/0000067887/000006788712000034/impt.htm</t>
      </text>
    </comment>
    <comment ref="AU20" authorId="0" shapeId="0">
      <text>
        <t>User:
Source: Moog FY2012 10-K, Note 17 Segments, https://www.sec.gov/Archives/edgar/data/0000067887/000006788712000034/impt.htm</t>
      </text>
    </comment>
    <comment ref="AV20" authorId="0" shapeId="0">
      <text>
        <t>User:
Source: Moog FY2012 10-K, Note 17 Segments, https://www.sec.gov/Archives/edgar/data/0000067887/000006788712000034/impt.htm</t>
      </text>
    </comment>
    <comment ref="AW20" authorId="0" shapeId="0">
      <text>
        <t>User:
Source: Moog FY2012 10-K, Note 17 Segments, https://www.sec.gov/Archives/edgar/data/0000067887/000006788712000034/impt.htm</t>
      </text>
    </comment>
    <comment ref="AX20" authorId="0" shapeId="0">
      <text>
        <t>User:
Source: Moog FY2012 10-K, Note 17 Segments, https://www.sec.gov/Archives/edgar/data/0000067887/000006788712000034/impt.htm</t>
      </text>
    </comment>
    <comment ref="AY20" authorId="0" shapeId="0">
      <text>
        <t>User:
Source: Moog FY2012 10-K, Note 17 Segments, https://www.sec.gov/Archives/edgar/data/0000067887/000006788712000034/impt.htm</t>
      </text>
    </comment>
    <comment ref="AZ20" authorId="0" shapeId="0">
      <text>
        <t>User:
Source: Moog FY2012 10-K, Note 17 Segments, https://www.sec.gov/Archives/edgar/data/0000067887/000006788712000034/impt.htm</t>
      </text>
    </comment>
    <comment ref="BA20" authorId="0" shapeId="0">
      <text>
        <t>User:
Source: Moog FY2012 10-K, Note 17 Segments, https://www.sec.gov/Archives/edgar/data/0000067887/000006788712000034/impt.htm</t>
      </text>
    </comment>
    <comment ref="BB20" authorId="0" shapeId="0">
      <text>
        <t>User:
Source: Moog FY2012 10-K, Note 17 Segments, https://www.sec.gov/Archives/edgar/data/0000067887/000006788712000034/impt.htm</t>
      </text>
    </comment>
    <comment ref="BC20" authorId="0" shapeId="0">
      <text>
        <t>User:
Source: Moog FY2012 10-K, Note 17 Segments, https://www.sec.gov/Archives/edgar/data/0000067887/000006788712000034/impt.htm</t>
      </text>
    </comment>
    <comment ref="BD20" authorId="0" shapeId="0">
      <text>
        <t>User:
Source: Moog FY2012 10-K, Note 17 Segments, https://www.sec.gov/Archives/edgar/data/0000067887/000006788712000034/impt.htm</t>
      </text>
    </comment>
    <comment ref="BE20" authorId="0" shapeId="0">
      <text>
        <t>User:
Source: Moog FY2012 10-K, Note 17 Segments, https://www.sec.gov/Archives/edgar/data/0000067887/000006788712000034/impt.htm</t>
      </text>
    </comment>
    <comment ref="BF20" authorId="0" shapeId="0">
      <text>
        <t>User:
Source: Moog FY2012 10-K, Note 17 Segments, https://www.sec.gov/Archives/edgar/data/0000067887/000006788712000034/impt.htm</t>
      </text>
    </comment>
    <comment ref="BG20" authorId="0" shapeId="0">
      <text>
        <t>User:
Source: Moog FY2012 10-K, Note 17 Segments, https://www.sec.gov/Archives/edgar/data/0000067887/000006788712000034/impt.htm</t>
      </text>
    </comment>
    <comment ref="BH20" authorId="0" shapeId="0">
      <text>
        <t>User:
Source: Moog FY2012 10-K, Note 17 Segments, https://www.sec.gov/Archives/edgar/data/0000067887/000006788712000034/impt.htm</t>
      </text>
    </comment>
    <comment ref="BI20" authorId="0" shapeId="0">
      <text>
        <t>User:
Source: Moog FY2012 10-K, Note 17 Segments, https://www.sec.gov/Archives/edgar/data/0000067887/000006788712000034/impt.htm</t>
      </text>
    </comment>
    <comment ref="BJ20" authorId="0" shapeId="0">
      <text>
        <t>User:
Source: Moog FY2012 10-K, Note 17 Segments, https://www.sec.gov/Archives/edgar/data/0000067887/000006788712000034/impt.htm</t>
      </text>
    </comment>
    <comment ref="G21" authorId="0" shapeId="0">
      <text>
        <t>User:
Source: Moog FY2012 10-K, Note 17 Segments</t>
      </text>
    </comment>
    <comment ref="H21" authorId="0" shapeId="0">
      <text>
        <t>User:
Source: Moog FY2012 10-K, Note 17 Segments</t>
      </text>
    </comment>
    <comment ref="I21" authorId="0" shapeId="0">
      <text>
        <t>User:
Source: Moog FY2012 10-K, Note 17 Segments</t>
      </text>
    </comment>
    <comment ref="J21" authorId="0" shapeId="0">
      <text>
        <t>User:
Source: Moog FY2012 10-K, Note 17 Segments</t>
      </text>
    </comment>
    <comment ref="K21" authorId="0" shapeId="0">
      <text>
        <t>User:
Source: Moog FY2012 10-K, Note 17 Segments</t>
      </text>
    </comment>
    <comment ref="L21" authorId="0" shapeId="0">
      <text>
        <t>User:
Source: Moog FY2012 10-K, Note 17 Segments</t>
      </text>
    </comment>
    <comment ref="M21" authorId="0" shapeId="0">
      <text>
        <t>User:
Source: Moog FY2012 10-K, Note 17 Segments</t>
      </text>
    </comment>
    <comment ref="N21" authorId="0" shapeId="0">
      <text>
        <t>User:
Source: Moog FY2012 10-K, Note 17 Segments</t>
      </text>
    </comment>
    <comment ref="O21" authorId="0" shapeId="0">
      <text>
        <t>User:
Source: Moog FY2012 10-K, Note 17 Segments</t>
      </text>
    </comment>
    <comment ref="P21" authorId="0" shapeId="0">
      <text>
        <t>User:
Source: Moog FY2012 10-K, Note 17 Segments</t>
      </text>
    </comment>
    <comment ref="Q21" authorId="0" shapeId="0">
      <text>
        <t>User:
Source: Moog FY2012 10-K, Note 17 Segments</t>
      </text>
    </comment>
    <comment ref="R21" authorId="0" shapeId="0">
      <text>
        <t>User:
Source: Moog FY2012 10-K, Note 17 Segments</t>
      </text>
    </comment>
    <comment ref="S21" authorId="0" shapeId="0">
      <text>
        <t>User:
Source: Moog FY2012 10-K, Note 17 Segments</t>
      </text>
    </comment>
    <comment ref="T21" authorId="0" shapeId="0">
      <text>
        <t>User:
Source: Moog FY2012 10-K, Note 17 Segments</t>
      </text>
    </comment>
    <comment ref="U21" authorId="0" shapeId="0">
      <text>
        <t>User:
Source: Moog FY2012 10-K, Note 17 Segments</t>
      </text>
    </comment>
    <comment ref="V21" authorId="0" shapeId="0">
      <text>
        <t>User:
Source: Moog FY2012 10-K, Note 17 Segments</t>
      </text>
    </comment>
    <comment ref="W21" authorId="0" shapeId="0">
      <text>
        <t>User:
Source: Moog FY2012 10-K, Note 17 Segments</t>
      </text>
    </comment>
    <comment ref="X21" authorId="0" shapeId="0">
      <text>
        <t>User:
Source: Moog FY2012 10-K, Note 17 Segments</t>
      </text>
    </comment>
    <comment ref="Y21" authorId="0" shapeId="0">
      <text>
        <t>User:
Source: Moog FY2012 10-K, Note 17 Segments</t>
      </text>
    </comment>
    <comment ref="Z21" authorId="0" shapeId="0">
      <text>
        <t>User:
Source: Moog FY2012 10-K, Note 17 Segments</t>
      </text>
    </comment>
    <comment ref="AA21" authorId="0" shapeId="0">
      <text>
        <t>User:
Source: Moog FY2012 10-K, Note 17 Segments</t>
      </text>
    </comment>
    <comment ref="AB21" authorId="0" shapeId="0">
      <text>
        <t>User:
Source: Moog FY2012 10-K, Note 17 Segments</t>
      </text>
    </comment>
    <comment ref="AC21" authorId="0" shapeId="0">
      <text>
        <t>User:
Source: Moog FY2012 10-K, Note 17 Segments</t>
      </text>
    </comment>
    <comment ref="AD21" authorId="0" shapeId="0">
      <text>
        <t>User:
Source: Moog FY2012 10-K, Note 17 Segments</t>
      </text>
    </comment>
    <comment ref="AE21" authorId="0" shapeId="0">
      <text>
        <t>User:
Source: Moog FY2012 10-K, Note 17 Segments</t>
      </text>
    </comment>
    <comment ref="AF21" authorId="0" shapeId="0">
      <text>
        <t>User:
Source: Moog FY2012 10-K, Note 17 Segments</t>
      </text>
    </comment>
    <comment ref="AG21" authorId="0" shapeId="0">
      <text>
        <t>User:
Source: Moog FY2012 10-K, Note 17 Segments</t>
      </text>
    </comment>
    <comment ref="AH21" authorId="0" shapeId="0">
      <text>
        <t>User:
Source: Moog FY2012 10-K, Note 17 Segments</t>
      </text>
    </comment>
    <comment ref="AI21" authorId="0" shapeId="0">
      <text>
        <t>User:
Source: Moog FY2012 10-K, Note 17 Segments</t>
      </text>
    </comment>
    <comment ref="AJ21" authorId="0" shapeId="0">
      <text>
        <t>User:
Source: Moog FY2012 10-K, Note 17 Segments</t>
      </text>
    </comment>
    <comment ref="AK21" authorId="0" shapeId="0">
      <text>
        <t>User:
Source: Moog FY2012 10-K, Note 17 Segments</t>
      </text>
    </comment>
    <comment ref="AL21" authorId="0" shapeId="0">
      <text>
        <t>User:
Source: Moog FY2012 10-K, Note 17 Segments</t>
      </text>
    </comment>
    <comment ref="AM21" authorId="0" shapeId="0">
      <text>
        <t>User:
Source: Moog FY2012 10-K, Note 17 Segments</t>
      </text>
    </comment>
    <comment ref="AN21" authorId="0" shapeId="0">
      <text>
        <t>User:
Source: Moog FY2012 10-K, Note 17 Segments</t>
      </text>
    </comment>
    <comment ref="AO21" authorId="0" shapeId="0">
      <text>
        <t>User:
Source: Moog FY2012 10-K, Note 17 Segments</t>
      </text>
    </comment>
    <comment ref="AP21" authorId="0" shapeId="0">
      <text>
        <t>User:
Source: Moog FY2012 10-K, Note 17 Segments</t>
      </text>
    </comment>
    <comment ref="AQ21" authorId="0" shapeId="0">
      <text>
        <t>User:
Source: Moog FY2012 10-K, Note 17 Segments</t>
      </text>
    </comment>
    <comment ref="AR21" authorId="0" shapeId="0">
      <text>
        <t>User:
Source: Moog FY2012 10-K, Note 17 Segments</t>
      </text>
    </comment>
    <comment ref="AS21" authorId="0" shapeId="0">
      <text>
        <t>User:
Source: Moog FY2012 10-K, Note 17 Segments</t>
      </text>
    </comment>
    <comment ref="AT21" authorId="0" shapeId="0">
      <text>
        <t>User:
Source: Moog FY2012 10-K, Note 17 Segments</t>
      </text>
    </comment>
    <comment ref="AU21" authorId="0" shapeId="0">
      <text>
        <t>User:
Source: Moog FY2012 10-K, Note 17 Segments</t>
      </text>
    </comment>
    <comment ref="AV21" authorId="0" shapeId="0">
      <text>
        <t>User:
Source: Moog FY2012 10-K, Note 17 Segments</t>
      </text>
    </comment>
    <comment ref="AW21" authorId="0" shapeId="0">
      <text>
        <t>User:
Source: Moog FY2012 10-K, Note 17 Segments</t>
      </text>
    </comment>
    <comment ref="AX21" authorId="0" shapeId="0">
      <text>
        <t>User:
Source: Moog FY2012 10-K, Note 17 Segments</t>
      </text>
    </comment>
    <comment ref="AY21" authorId="0" shapeId="0">
      <text>
        <t>User:
Source: Moog FY2012 10-K, Note 17 Segments</t>
      </text>
    </comment>
    <comment ref="AZ21" authorId="0" shapeId="0">
      <text>
        <t>User:
Source: Moog FY2012 10-K, Note 17 Segments</t>
      </text>
    </comment>
    <comment ref="BA21" authorId="0" shapeId="0">
      <text>
        <t>User:
Source: Moog FY2012 10-K, Note 17 Segments</t>
      </text>
    </comment>
    <comment ref="BB21" authorId="0" shapeId="0">
      <text>
        <t>User:
Source: Moog FY2012 10-K, Note 17 Segments</t>
      </text>
    </comment>
    <comment ref="BC21" authorId="0" shapeId="0">
      <text>
        <t>User:
Source: Moog FY2012 10-K, Note 17 Segments</t>
      </text>
    </comment>
    <comment ref="BD21" authorId="0" shapeId="0">
      <text>
        <t>User:
Source: Moog FY2012 10-K, Note 17 Segments</t>
      </text>
    </comment>
    <comment ref="BE21" authorId="0" shapeId="0">
      <text>
        <t>User:
Source: Moog FY2012 10-K, Note 17 Segments</t>
      </text>
    </comment>
    <comment ref="BF21" authorId="0" shapeId="0">
      <text>
        <t>User:
Source: Moog FY2012 10-K, Note 17 Segments</t>
      </text>
    </comment>
    <comment ref="BG21" authorId="0" shapeId="0">
      <text>
        <t>User:
Source: Moog FY2012 10-K, Note 17 Segments</t>
      </text>
    </comment>
    <comment ref="BH21" authorId="0" shapeId="0">
      <text>
        <t>User:
Source: Moog FY2012 10-K, Note 17 Segments</t>
      </text>
    </comment>
    <comment ref="BI21" authorId="0" shapeId="0">
      <text>
        <t>User:
Source: Moog FY2012 10-K, Note 17 Segments</t>
      </text>
    </comment>
    <comment ref="BJ21" authorId="0" shapeId="0">
      <text>
        <t>User:
Source: Moog FY2012 10-K, Note 17 Segments</t>
      </text>
    </comment>
    <comment ref="G24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L24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Q24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V24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FY2013 10-K MD&amp;A Segment Backlog</t>
      </text>
    </comment>
    <comment ref="AA24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FY2014 10-K MD&amp;A Segment Backlog</t>
      </text>
    </comment>
    <comment ref="AF24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FY2015 10-K MD&amp;A Segment Backlog</t>
      </text>
    </comment>
    <comment ref="AK24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FY2016 10-K MD&amp;A Segment Backlog</t>
      </text>
    </comment>
    <comment ref="AP24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FY2017 10-K MD&amp;A Segment Backlog</t>
      </text>
    </comment>
    <comment ref="AU24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FY2018 10-K MD&amp;A Segment Backlog (3-segment view)</t>
      </text>
    </comment>
    <comment ref="G27" authorId="0" shapeId="0">
      <text>
        <t>User:
Source: Moog FY2012 10-K, Note 17 Segments</t>
      </text>
    </comment>
    <comment ref="H27" authorId="0" shapeId="0">
      <text>
        <t>User:
Source: Moog FY2012 10-K, Note 17 Segments</t>
      </text>
    </comment>
    <comment ref="I27" authorId="0" shapeId="0">
      <text>
        <t>User:
Source: Moog FY2012 10-K, Note 17 Segments</t>
      </text>
    </comment>
    <comment ref="J27" authorId="0" shapeId="0">
      <text>
        <t>User:
Source: Moog FY2012 10-K, Note 17 Segments</t>
      </text>
    </comment>
    <comment ref="K27" authorId="0" shapeId="0">
      <text>
        <t>User:
Source: Moog FY2012 10-K, Note 17 Segments</t>
      </text>
    </comment>
    <comment ref="L27" authorId="0" shapeId="0">
      <text>
        <t>User:
Source: Moog FY2012 10-K, Note 17 Segments</t>
      </text>
    </comment>
    <comment ref="M27" authorId="0" shapeId="0">
      <text>
        <t>User:
Source: Moog FY2012 10-K, Note 17 Segments</t>
      </text>
    </comment>
    <comment ref="N27" authorId="0" shapeId="0">
      <text>
        <t>User:
Source: Moog FY2012 10-K, Note 17 Segments</t>
      </text>
    </comment>
    <comment ref="O27" authorId="0" shapeId="0">
      <text>
        <t>User:
Source: Moog FY2012 10-K, Note 17 Segments</t>
      </text>
    </comment>
    <comment ref="P27" authorId="0" shapeId="0">
      <text>
        <t>User:
Source: Moog FY2012 10-K, Note 17 Segments</t>
      </text>
    </comment>
    <comment ref="Q27" authorId="0" shapeId="0">
      <text>
        <t>User:
Source: Moog FY2012 10-K, Note 17 Segments</t>
      </text>
    </comment>
    <comment ref="R27" authorId="0" shapeId="0">
      <text>
        <t>User:
Source: Moog FY2012 10-K, Note 17 Segments</t>
      </text>
    </comment>
    <comment ref="S27" authorId="0" shapeId="0">
      <text>
        <t>User:
Source: Moog FY2012 10-K, Note 17 Segments</t>
      </text>
    </comment>
    <comment ref="T27" authorId="0" shapeId="0">
      <text>
        <t>User:
Source: Moog FY2012 10-K, Note 17 Segments</t>
      </text>
    </comment>
    <comment ref="U27" authorId="0" shapeId="0">
      <text>
        <t>User:
Source: Moog FY2012 10-K, Note 17 Segments</t>
      </text>
    </comment>
    <comment ref="V27" authorId="0" shapeId="0">
      <text>
        <t>User:
Source: Moog FY2012 10-K, Note 17 Segments</t>
      </text>
    </comment>
    <comment ref="W27" authorId="0" shapeId="0">
      <text>
        <t>User:
Source: Moog FY2012 10-K, Note 17 Segments</t>
      </text>
    </comment>
    <comment ref="X27" authorId="0" shapeId="0">
      <text>
        <t>User:
Source: Moog FY2012 10-K, Note 17 Segments</t>
      </text>
    </comment>
    <comment ref="Y27" authorId="0" shapeId="0">
      <text>
        <t>User:
Source: Moog FY2012 10-K, Note 17 Segments</t>
      </text>
    </comment>
    <comment ref="Z27" authorId="0" shapeId="0">
      <text>
        <t>User:
Source: Moog FY2012 10-K, Note 17 Segments</t>
      </text>
    </comment>
    <comment ref="AA27" authorId="0" shapeId="0">
      <text>
        <t>User:
Source: Moog FY2012 10-K, Note 17 Segments</t>
      </text>
    </comment>
    <comment ref="AB27" authorId="0" shapeId="0">
      <text>
        <t>User:
Source: Moog FY2012 10-K, Note 17 Segments</t>
      </text>
    </comment>
    <comment ref="AC27" authorId="0" shapeId="0">
      <text>
        <t>User:
Source: Moog FY2012 10-K, Note 17 Segments</t>
      </text>
    </comment>
    <comment ref="AD27" authorId="0" shapeId="0">
      <text>
        <t>User:
Source: Moog FY2012 10-K, Note 17 Segments</t>
      </text>
    </comment>
    <comment ref="AE27" authorId="0" shapeId="0">
      <text>
        <t>User:
Source: Moog FY2012 10-K, Note 17 Segments</t>
      </text>
    </comment>
    <comment ref="AF27" authorId="0" shapeId="0">
      <text>
        <t>User:
Source: Moog FY2012 10-K, Note 17 Segments</t>
      </text>
    </comment>
    <comment ref="AG27" authorId="0" shapeId="0">
      <text>
        <t>User:
Source: Moog FY2012 10-K, Note 17 Segments</t>
      </text>
    </comment>
    <comment ref="AH27" authorId="0" shapeId="0">
      <text>
        <t>User:
Source: Moog FY2012 10-K, Note 17 Segments</t>
      </text>
    </comment>
    <comment ref="AI27" authorId="0" shapeId="0">
      <text>
        <t>User:
Source: Moog FY2012 10-K, Note 17 Segments</t>
      </text>
    </comment>
    <comment ref="AJ27" authorId="0" shapeId="0">
      <text>
        <t>User:
Source: Moog FY2012 10-K, Note 17 Segments</t>
      </text>
    </comment>
    <comment ref="AK27" authorId="0" shapeId="0">
      <text>
        <t>User:
Source: Moog FY2012 10-K, Note 17 Segments</t>
      </text>
    </comment>
    <comment ref="AL27" authorId="0" shapeId="0">
      <text>
        <t>User:
Source: Moog FY2012 10-K, Note 17 Segments</t>
      </text>
    </comment>
    <comment ref="AM27" authorId="0" shapeId="0">
      <text>
        <t>User:
Source: Moog FY2012 10-K, Note 17 Segments</t>
      </text>
    </comment>
    <comment ref="AN27" authorId="0" shapeId="0">
      <text>
        <t>User:
Source: Moog FY2012 10-K, Note 17 Segments</t>
      </text>
    </comment>
    <comment ref="AO27" authorId="0" shapeId="0">
      <text>
        <t>User:
Source: Moog FY2012 10-K, Note 17 Segments</t>
      </text>
    </comment>
    <comment ref="AP27" authorId="0" shapeId="0">
      <text>
        <t>User:
Source: Moog FY2012 10-K, Note 17 Segments</t>
      </text>
    </comment>
    <comment ref="AQ27" authorId="0" shapeId="0">
      <text>
        <t>User:
Source: Moog FY2012 10-K, Note 17 Segments</t>
      </text>
    </comment>
    <comment ref="AR27" authorId="0" shapeId="0">
      <text>
        <t>User:
Source: Moog FY2012 10-K, Note 17 Segments</t>
      </text>
    </comment>
    <comment ref="AS27" authorId="0" shapeId="0">
      <text>
        <t>User:
Source: Moog FY2012 10-K, Note 17 Segments</t>
      </text>
    </comment>
    <comment ref="AT27" authorId="0" shapeId="0">
      <text>
        <t>User:
Source: Moog FY2012 10-K, Note 17 Segments</t>
      </text>
    </comment>
    <comment ref="AU27" authorId="0" shapeId="0">
      <text>
        <t>User:
Source: Moog FY2012 10-K, Note 17 Segments</t>
      </text>
    </comment>
    <comment ref="AV27" authorId="0" shapeId="0">
      <text>
        <t>User:
Source: Moog FY2012 10-K, Note 17 Segments</t>
      </text>
    </comment>
    <comment ref="AW27" authorId="0" shapeId="0">
      <text>
        <t>User:
Source: Moog FY2012 10-K, Note 17 Segments</t>
      </text>
    </comment>
    <comment ref="AX27" authorId="0" shapeId="0">
      <text>
        <t>User:
Source: Moog FY2012 10-K, Note 17 Segments</t>
      </text>
    </comment>
    <comment ref="AY27" authorId="0" shapeId="0">
      <text>
        <t>User:
Source: Moog FY2012 10-K, Note 17 Segments</t>
      </text>
    </comment>
    <comment ref="AZ27" authorId="0" shapeId="0">
      <text>
        <t>User:
Source: Moog FY2012 10-K, Note 17 Segments</t>
      </text>
    </comment>
    <comment ref="BA27" authorId="0" shapeId="0">
      <text>
        <t>User:
Source: Moog FY2012 10-K, Note 17 Segments</t>
      </text>
    </comment>
    <comment ref="BB27" authorId="0" shapeId="0">
      <text>
        <t>User:
Source: Moog FY2012 10-K, Note 17 Segments</t>
      </text>
    </comment>
    <comment ref="BC27" authorId="0" shapeId="0">
      <text>
        <t>User:
Source: Moog FY2012 10-K, Note 17 Segments</t>
      </text>
    </comment>
    <comment ref="BD27" authorId="0" shapeId="0">
      <text>
        <t>User:
Source: Moog FY2012 10-K, Note 17 Segments</t>
      </text>
    </comment>
    <comment ref="BE27" authorId="0" shapeId="0">
      <text>
        <t>User:
Source: Moog FY2012 10-K, Note 17 Segments</t>
      </text>
    </comment>
    <comment ref="BF27" authorId="0" shapeId="0">
      <text>
        <t>User:
Source: Moog FY2012 10-K, Note 17 Segments</t>
      </text>
    </comment>
    <comment ref="BG27" authorId="0" shapeId="0">
      <text>
        <t>User:
Source: Moog FY2012 10-K, Note 17 Segments</t>
      </text>
    </comment>
    <comment ref="BH27" authorId="0" shapeId="0">
      <text>
        <t>User:
Source: Moog FY2012 10-K, Note 17 Segments</t>
      </text>
    </comment>
    <comment ref="BI27" authorId="0" shapeId="0">
      <text>
        <t>User:
Source: Moog FY2012 10-K, Note 17 Segments</t>
      </text>
    </comment>
    <comment ref="BJ27" authorId="0" shapeId="0">
      <text>
        <t>User:
Source: Moog FY2012 10-K, Note 17 Segments</t>
      </text>
    </comment>
    <comment ref="G28" authorId="0" shapeId="0">
      <text>
        <t>User:
Source: Moog FY2012 10-K, Note 17 Segments</t>
      </text>
    </comment>
    <comment ref="H28" authorId="0" shapeId="0">
      <text>
        <t>User:
Source: Moog FY2012 10-K, Note 17 Segments</t>
      </text>
    </comment>
    <comment ref="I28" authorId="0" shapeId="0">
      <text>
        <t>User:
Source: Moog FY2012 10-K, Note 17 Segments</t>
      </text>
    </comment>
    <comment ref="J28" authorId="0" shapeId="0">
      <text>
        <t>User:
Source: Moog FY2012 10-K, Note 17 Segments</t>
      </text>
    </comment>
    <comment ref="K28" authorId="0" shapeId="0">
      <text>
        <t>User:
Source: Moog FY2012 10-K, Note 17 Segments</t>
      </text>
    </comment>
    <comment ref="L28" authorId="0" shapeId="0">
      <text>
        <t>User:
Source: Moog FY2012 10-K, Note 17 Segments</t>
      </text>
    </comment>
    <comment ref="M28" authorId="0" shapeId="0">
      <text>
        <t>User:
Source: Moog FY2012 10-K, Note 17 Segments</t>
      </text>
    </comment>
    <comment ref="N28" authorId="0" shapeId="0">
      <text>
        <t>User:
Source: Moog FY2012 10-K, Note 17 Segments</t>
      </text>
    </comment>
    <comment ref="O28" authorId="0" shapeId="0">
      <text>
        <t>User:
Source: Moog FY2012 10-K, Note 17 Segments</t>
      </text>
    </comment>
    <comment ref="P28" authorId="0" shapeId="0">
      <text>
        <t>User:
Source: Moog FY2012 10-K, Note 17 Segments</t>
      </text>
    </comment>
    <comment ref="Q28" authorId="0" shapeId="0">
      <text>
        <t>User:
Source: Moog FY2012 10-K, Note 17 Segments</t>
      </text>
    </comment>
    <comment ref="R28" authorId="0" shapeId="0">
      <text>
        <t>User:
Source: Moog FY2012 10-K, Note 17 Segments</t>
      </text>
    </comment>
    <comment ref="S28" authorId="0" shapeId="0">
      <text>
        <t>User:
Source: Moog FY2012 10-K, Note 17 Segments</t>
      </text>
    </comment>
    <comment ref="T28" authorId="0" shapeId="0">
      <text>
        <t>User:
Source: Moog FY2012 10-K, Note 17 Segments</t>
      </text>
    </comment>
    <comment ref="U28" authorId="0" shapeId="0">
      <text>
        <t>User:
Source: Moog FY2012 10-K, Note 17 Segments</t>
      </text>
    </comment>
    <comment ref="V28" authorId="0" shapeId="0">
      <text>
        <t>User:
Source: Moog FY2012 10-K, Note 17 Segments</t>
      </text>
    </comment>
    <comment ref="W28" authorId="0" shapeId="0">
      <text>
        <t>User:
Source: Moog FY2012 10-K, Note 17 Segments</t>
      </text>
    </comment>
    <comment ref="X28" authorId="0" shapeId="0">
      <text>
        <t>User:
Source: Moog FY2012 10-K, Note 17 Segments</t>
      </text>
    </comment>
    <comment ref="Y28" authorId="0" shapeId="0">
      <text>
        <t>User:
Source: Moog FY2012 10-K, Note 17 Segments</t>
      </text>
    </comment>
    <comment ref="Z28" authorId="0" shapeId="0">
      <text>
        <t>User:
Source: Moog FY2012 10-K, Note 17 Segments</t>
      </text>
    </comment>
    <comment ref="AA28" authorId="0" shapeId="0">
      <text>
        <t>User:
Source: Moog FY2012 10-K, Note 17 Segments</t>
      </text>
    </comment>
    <comment ref="AB28" authorId="0" shapeId="0">
      <text>
        <t>User:
Source: Moog FY2012 10-K, Note 17 Segments</t>
      </text>
    </comment>
    <comment ref="AC28" authorId="0" shapeId="0">
      <text>
        <t>User:
Source: Moog FY2012 10-K, Note 17 Segments</t>
      </text>
    </comment>
    <comment ref="AD28" authorId="0" shapeId="0">
      <text>
        <t>User:
Source: Moog FY2012 10-K, Note 17 Segments</t>
      </text>
    </comment>
    <comment ref="AE28" authorId="0" shapeId="0">
      <text>
        <t>User:
Source: Moog FY2012 10-K, Note 17 Segments</t>
      </text>
    </comment>
    <comment ref="AF28" authorId="0" shapeId="0">
      <text>
        <t>User:
Source: Moog FY2012 10-K, Note 17 Segments</t>
      </text>
    </comment>
    <comment ref="AG28" authorId="0" shapeId="0">
      <text>
        <t>User:
Source: Moog FY2012 10-K, Note 17 Segments</t>
      </text>
    </comment>
    <comment ref="AH28" authorId="0" shapeId="0">
      <text>
        <t>User:
Source: Moog FY2012 10-K, Note 17 Segments</t>
      </text>
    </comment>
    <comment ref="AI28" authorId="0" shapeId="0">
      <text>
        <t>User:
Source: Moog FY2012 10-K, Note 17 Segments</t>
      </text>
    </comment>
    <comment ref="AJ28" authorId="0" shapeId="0">
      <text>
        <t>User:
Source: Moog FY2012 10-K, Note 17 Segments</t>
      </text>
    </comment>
    <comment ref="AK28" authorId="0" shapeId="0">
      <text>
        <t>User:
Source: Moog FY2012 10-K, Note 17 Segments</t>
      </text>
    </comment>
    <comment ref="AL28" authorId="0" shapeId="0">
      <text>
        <t>User:
Source: Moog FY2012 10-K, Note 17 Segments</t>
      </text>
    </comment>
    <comment ref="AM28" authorId="0" shapeId="0">
      <text>
        <t>User:
Source: Moog FY2012 10-K, Note 17 Segments</t>
      </text>
    </comment>
    <comment ref="AN28" authorId="0" shapeId="0">
      <text>
        <t>User:
Source: Moog FY2012 10-K, Note 17 Segments</t>
      </text>
    </comment>
    <comment ref="AO28" authorId="0" shapeId="0">
      <text>
        <t>User:
Source: Moog FY2012 10-K, Note 17 Segments</t>
      </text>
    </comment>
    <comment ref="AP28" authorId="0" shapeId="0">
      <text>
        <t>User:
Source: Moog FY2012 10-K, Note 17 Segments</t>
      </text>
    </comment>
    <comment ref="AQ28" authorId="0" shapeId="0">
      <text>
        <t>User:
Source: Moog FY2012 10-K, Note 17 Segments</t>
      </text>
    </comment>
    <comment ref="AR28" authorId="0" shapeId="0">
      <text>
        <t>User:
Source: Moog FY2012 10-K, Note 17 Segments</t>
      </text>
    </comment>
    <comment ref="AS28" authorId="0" shapeId="0">
      <text>
        <t>User:
Source: Moog FY2012 10-K, Note 17 Segments</t>
      </text>
    </comment>
    <comment ref="AT28" authorId="0" shapeId="0">
      <text>
        <t>User:
Source: Moog FY2012 10-K, Note 17 Segments</t>
      </text>
    </comment>
    <comment ref="AU28" authorId="0" shapeId="0">
      <text>
        <t>User:
Source: Moog FY2012 10-K, Note 17 Segments</t>
      </text>
    </comment>
    <comment ref="AV28" authorId="0" shapeId="0">
      <text>
        <t>User:
Source: Moog FY2012 10-K, Note 17 Segments</t>
      </text>
    </comment>
    <comment ref="AW28" authorId="0" shapeId="0">
      <text>
        <t>User:
Source: Moog FY2012 10-K, Note 17 Segments</t>
      </text>
    </comment>
    <comment ref="AX28" authorId="0" shapeId="0">
      <text>
        <t>User:
Source: Moog FY2012 10-K, Note 17 Segments</t>
      </text>
    </comment>
    <comment ref="AY28" authorId="0" shapeId="0">
      <text>
        <t>User:
Source: Moog FY2012 10-K, Note 17 Segments</t>
      </text>
    </comment>
    <comment ref="AZ28" authorId="0" shapeId="0">
      <text>
        <t>User:
Source: Moog FY2012 10-K, Note 17 Segments</t>
      </text>
    </comment>
    <comment ref="BA28" authorId="0" shapeId="0">
      <text>
        <t>User:
Source: Moog FY2012 10-K, Note 17 Segments</t>
      </text>
    </comment>
    <comment ref="BB28" authorId="0" shapeId="0">
      <text>
        <t>User:
Source: Moog FY2012 10-K, Note 17 Segments</t>
      </text>
    </comment>
    <comment ref="BC28" authorId="0" shapeId="0">
      <text>
        <t>User:
Source: Moog FY2012 10-K, Note 17 Segments</t>
      </text>
    </comment>
    <comment ref="BD28" authorId="0" shapeId="0">
      <text>
        <t>User:
Source: Moog FY2012 10-K, Note 17 Segments</t>
      </text>
    </comment>
    <comment ref="BE28" authorId="0" shapeId="0">
      <text>
        <t>User:
Source: Moog FY2012 10-K, Note 17 Segments</t>
      </text>
    </comment>
    <comment ref="BF28" authorId="0" shapeId="0">
      <text>
        <t>User:
Source: Moog FY2012 10-K, Note 17 Segments</t>
      </text>
    </comment>
    <comment ref="BG28" authorId="0" shapeId="0">
      <text>
        <t>User:
Source: Moog FY2012 10-K, Note 17 Segments</t>
      </text>
    </comment>
    <comment ref="BH28" authorId="0" shapeId="0">
      <text>
        <t>User:
Source: Moog FY2012 10-K, Note 17 Segments</t>
      </text>
    </comment>
    <comment ref="BI28" authorId="0" shapeId="0">
      <text>
        <t>User:
Source: Moog FY2012 10-K, Note 17 Segments</t>
      </text>
    </comment>
    <comment ref="BJ28" authorId="0" shapeId="0">
      <text>
        <t>User:
Source: Moog FY2012 10-K, Note 17 Segments</t>
      </text>
    </comment>
    <comment ref="G31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L31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Q31" authorId="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MD&amp;A Segment Backlog</t>
      </text>
    </comment>
    <comment ref="V31" authorId="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FY2013 10-K MD&amp;A Segment Backlog</t>
      </text>
    </comment>
    <comment ref="AA31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FY2014 10-K MD&amp;A Segment Backlog</t>
      </text>
    </comment>
    <comment ref="AF31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FY2015 10-K MD&amp;A Segment Backlog</t>
      </text>
    </comment>
    <comment ref="AK31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FY2016 10-K MD&amp;A Segment Backlog</t>
      </text>
    </comment>
    <comment ref="AP31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FY2017 10-K MD&amp;A Segment Backlog</t>
      </text>
    </comment>
    <comment ref="AU31" authorId="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FY2018 10-K MD&amp;A Segment Backlog (3-segment view)</t>
      </text>
    </comment>
    <comment ref="G34" authorId="0" shapeId="0">
      <text>
        <t>User:
Source: Moog FY2012 10-K, Note 17 Segments</t>
      </text>
    </comment>
    <comment ref="H34" authorId="0" shapeId="0">
      <text>
        <t>User:
Source: Moog FY2012 10-K, Note 17 Segments</t>
      </text>
    </comment>
    <comment ref="I34" authorId="0" shapeId="0">
      <text>
        <t>User:
Source: Moog FY2012 10-K, Note 17 Segments</t>
      </text>
    </comment>
    <comment ref="J34" authorId="0" shapeId="0">
      <text>
        <t>User:
Source: Moog FY2012 10-K, Note 17 Segments</t>
      </text>
    </comment>
    <comment ref="K34" authorId="0" shapeId="0">
      <text>
        <t>User:
Source: Moog FY2012 10-K, Note 17 Segments</t>
      </text>
    </comment>
    <comment ref="L34" authorId="0" shapeId="0">
      <text>
        <t>User:
Source: Moog FY2012 10-K, Note 17 Segments</t>
      </text>
    </comment>
    <comment ref="M34" authorId="0" shapeId="0">
      <text>
        <t>User:
Source: Moog FY2012 10-K, Note 17 Segments</t>
      </text>
    </comment>
    <comment ref="N34" authorId="0" shapeId="0">
      <text>
        <t>User:
Source: Moog FY2012 10-K, Note 17 Segments</t>
      </text>
    </comment>
    <comment ref="O34" authorId="0" shapeId="0">
      <text>
        <t>User:
Source: Moog FY2012 10-K, Note 17 Segments</t>
      </text>
    </comment>
    <comment ref="P34" authorId="0" shapeId="0">
      <text>
        <t>User:
Source: Moog FY2012 10-K, Note 17 Segments</t>
      </text>
    </comment>
    <comment ref="Q34" authorId="0" shapeId="0">
      <text>
        <t>User:
Source: Moog FY2012 10-K, Note 17 Segments</t>
      </text>
    </comment>
    <comment ref="R34" authorId="0" shapeId="0">
      <text>
        <t>User:
Source: Moog FY2012 10-K, Note 17 Segments</t>
      </text>
    </comment>
    <comment ref="S34" authorId="0" shapeId="0">
      <text>
        <t>User:
Source: Moog FY2012 10-K, Note 17 Segments</t>
      </text>
    </comment>
    <comment ref="T34" authorId="0" shapeId="0">
      <text>
        <t>User:
Source: Moog FY2012 10-K, Note 17 Segments</t>
      </text>
    </comment>
    <comment ref="U34" authorId="0" shapeId="0">
      <text>
        <t>User:
Source: Moog FY2012 10-K, Note 17 Segments</t>
      </text>
    </comment>
    <comment ref="V34" authorId="0" shapeId="0">
      <text>
        <t>User:
Source: Moog FY2012 10-K, Note 17 Segments</t>
      </text>
    </comment>
    <comment ref="W34" authorId="0" shapeId="0">
      <text>
        <t>User:
Source: Moog FY2012 10-K, Note 17 Segments</t>
      </text>
    </comment>
    <comment ref="X34" authorId="0" shapeId="0">
      <text>
        <t>User:
Source: Moog FY2012 10-K, Note 17 Segments</t>
      </text>
    </comment>
    <comment ref="Y34" authorId="0" shapeId="0">
      <text>
        <t>User:
Source: Moog FY2012 10-K, Note 17 Segments</t>
      </text>
    </comment>
    <comment ref="Z34" authorId="0" shapeId="0">
      <text>
        <t>User:
Source: Moog FY2012 10-K, Note 17 Segments</t>
      </text>
    </comment>
    <comment ref="AA34" authorId="0" shapeId="0">
      <text>
        <t>User:
Source: Moog FY2012 10-K, Note 17 Segments</t>
      </text>
    </comment>
    <comment ref="AB34" authorId="0" shapeId="0">
      <text>
        <t>User:
Source: Moog FY2012 10-K, Note 17 Segments</t>
      </text>
    </comment>
    <comment ref="AC34" authorId="0" shapeId="0">
      <text>
        <t>User:
Source: Moog FY2012 10-K, Note 17 Segments</t>
      </text>
    </comment>
    <comment ref="AD34" authorId="0" shapeId="0">
      <text>
        <t>User:
Source: Moog FY2012 10-K, Note 17 Segments</t>
      </text>
    </comment>
    <comment ref="AE34" authorId="0" shapeId="0">
      <text>
        <t>User:
Source: Moog FY2012 10-K, Note 17 Segments</t>
      </text>
    </comment>
    <comment ref="AF34" authorId="0" shapeId="0">
      <text>
        <t>User:
Source: Moog FY2012 10-K, Note 17 Segments</t>
      </text>
    </comment>
    <comment ref="AG34" authorId="0" shapeId="0">
      <text>
        <t>User:
Source: Moog FY2012 10-K, Note 17 Segments</t>
      </text>
    </comment>
    <comment ref="AH34" authorId="0" shapeId="0">
      <text>
        <t>User:
Source: Moog FY2012 10-K, Note 17 Segments</t>
      </text>
    </comment>
    <comment ref="AI34" authorId="0" shapeId="0">
      <text>
        <t>User:
Source: Moog FY2012 10-K, Note 17 Segments</t>
      </text>
    </comment>
    <comment ref="AJ34" authorId="0" shapeId="0">
      <text>
        <t>User:
Source: Moog FY2012 10-K, Note 17 Segments</t>
      </text>
    </comment>
    <comment ref="AK34" authorId="0" shapeId="0">
      <text>
        <t>User:
Source: Moog FY2012 10-K, Note 17 Segments</t>
      </text>
    </comment>
    <comment ref="AL34" authorId="0" shapeId="0">
      <text>
        <t>User:
Source: Moog FY2012 10-K, Note 17 Segments</t>
      </text>
    </comment>
    <comment ref="AM34" authorId="0" shapeId="0">
      <text>
        <t>User:
Source: Moog FY2012 10-K, Note 17 Segments</t>
      </text>
    </comment>
    <comment ref="AN34" authorId="0" shapeId="0">
      <text>
        <t>User:
Source: Moog FY2012 10-K, Note 17 Segments</t>
      </text>
    </comment>
    <comment ref="AO34" authorId="0" shapeId="0">
      <text>
        <t>User:
Source: Moog FY2012 10-K, Note 17 Segments</t>
      </text>
    </comment>
    <comment ref="AP34" authorId="0" shapeId="0">
      <text>
        <t>User:
Source: Moog FY2012 10-K, Note 17 Segments</t>
      </text>
    </comment>
    <comment ref="AQ34" authorId="0" shapeId="0">
      <text>
        <t>User:
Source: Moog FY2012 10-K, Note 17 Segments</t>
      </text>
    </comment>
    <comment ref="AR34" authorId="0" shapeId="0">
      <text>
        <t>User:
Source: Moog FY2012 10-K, Note 17 Segments</t>
      </text>
    </comment>
    <comment ref="AS34" authorId="0" shapeId="0">
      <text>
        <t>User:
Source: Moog FY2012 10-K, Note 17 Segments</t>
      </text>
    </comment>
    <comment ref="AT34" authorId="0" shapeId="0">
      <text>
        <t>User:
Source: Moog FY2012 10-K, Note 17 Segments</t>
      </text>
    </comment>
    <comment ref="AU34" authorId="0" shapeId="0">
      <text>
        <t>User:
Source: Moog FY2012 10-K, Note 17 Segments</t>
      </text>
    </comment>
    <comment ref="AV34" authorId="0" shapeId="0">
      <text>
        <t>User:
Source: Moog FY2012 10-K, Note 17 Segments</t>
      </text>
    </comment>
    <comment ref="AW34" authorId="0" shapeId="0">
      <text>
        <t>User:
Source: Moog FY2012 10-K, Note 17 Segments</t>
      </text>
    </comment>
    <comment ref="AX34" authorId="0" shapeId="0">
      <text>
        <t>User:
Source: Moog FY2012 10-K, Note 17 Segments</t>
      </text>
    </comment>
    <comment ref="AY34" authorId="0" shapeId="0">
      <text>
        <t>User:
Source: Moog FY2012 10-K, Note 17 Segments</t>
      </text>
    </comment>
    <comment ref="AZ34" authorId="0" shapeId="0">
      <text>
        <t>User:
Source: Moog FY2012 10-K, Note 17 Segments</t>
      </text>
    </comment>
    <comment ref="BA34" authorId="0" shapeId="0">
      <text>
        <t>User:
Source: Moog FY2012 10-K, Note 17 Segments</t>
      </text>
    </comment>
    <comment ref="BB34" authorId="0" shapeId="0">
      <text>
        <t>User:
Source: Moog FY2012 10-K, Note 17 Segments</t>
      </text>
    </comment>
    <comment ref="BC34" authorId="0" shapeId="0">
      <text>
        <t>User:
Source: Moog FY2012 10-K, Note 17 Segments</t>
      </text>
    </comment>
    <comment ref="BD34" authorId="0" shapeId="0">
      <text>
        <t>User:
Source: Moog FY2012 10-K, Note 17 Segments</t>
      </text>
    </comment>
    <comment ref="BE34" authorId="0" shapeId="0">
      <text>
        <t>User:
Source: Moog FY2012 10-K, Note 17 Segments</t>
      </text>
    </comment>
    <comment ref="BF34" authorId="0" shapeId="0">
      <text>
        <t>User:
Source: Moog FY2012 10-K, Note 17 Segments</t>
      </text>
    </comment>
    <comment ref="BG34" authorId="0" shapeId="0">
      <text>
        <t>User:
Source: Moog FY2012 10-K, Note 17 Segments</t>
      </text>
    </comment>
    <comment ref="BH34" authorId="0" shapeId="0">
      <text>
        <t>User:
Source: Moog FY2012 10-K, Note 17 Segments</t>
      </text>
    </comment>
    <comment ref="BI34" authorId="0" shapeId="0">
      <text>
        <t>User:
Source: Moog FY2012 10-K, Note 17 Segments</t>
      </text>
    </comment>
    <comment ref="BJ34" authorId="0" shapeId="0">
      <text>
        <t>User:
Source: Moog FY2012 10-K, Note 17 Segments</t>
      </text>
    </comment>
    <comment ref="G35" authorId="0" shapeId="0">
      <text>
        <t>User:
Source: Moog FY2012 10-K, Note 17 Segments</t>
      </text>
    </comment>
    <comment ref="H35" authorId="0" shapeId="0">
      <text>
        <t>User:
Source: Moog FY2012 10-K, Note 17 Segments</t>
      </text>
    </comment>
    <comment ref="I35" authorId="0" shapeId="0">
      <text>
        <t>User:
Source: Moog FY2012 10-K, Note 17 Segments</t>
      </text>
    </comment>
    <comment ref="J35" authorId="0" shapeId="0">
      <text>
        <t>User:
Source: Moog FY2012 10-K, Note 17 Segments</t>
      </text>
    </comment>
    <comment ref="K35" authorId="0" shapeId="0">
      <text>
        <t>User:
Source: Moog FY2012 10-K, Note 17 Segments</t>
      </text>
    </comment>
    <comment ref="L35" authorId="0" shapeId="0">
      <text>
        <t>User:
Source: Moog FY2012 10-K, Note 17 Segments</t>
      </text>
    </comment>
    <comment ref="M35" authorId="0" shapeId="0">
      <text>
        <t>User:
Source: Moog FY2012 10-K, Note 17 Segments</t>
      </text>
    </comment>
    <comment ref="N35" authorId="0" shapeId="0">
      <text>
        <t>User:
Source: Moog FY2012 10-K, Note 17 Segments</t>
      </text>
    </comment>
    <comment ref="O35" authorId="0" shapeId="0">
      <text>
        <t>User:
Source: Moog FY2012 10-K, Note 17 Segments</t>
      </text>
    </comment>
    <comment ref="P35" authorId="0" shapeId="0">
      <text>
        <t>User:
Source: Moog FY2012 10-K, Note 17 Segments</t>
      </text>
    </comment>
    <comment ref="Q35" authorId="0" shapeId="0">
      <text>
        <t>User:
Source: Moog FY2012 10-K, Note 17 Segments</t>
      </text>
    </comment>
    <comment ref="R35" authorId="0" shapeId="0">
      <text>
        <t>User:
Source: Moog FY2012 10-K, Note 17 Segments</t>
      </text>
    </comment>
    <comment ref="S35" authorId="0" shapeId="0">
      <text>
        <t>User:
Source: Moog FY2012 10-K, Note 17 Segments</t>
      </text>
    </comment>
    <comment ref="T35" authorId="0" shapeId="0">
      <text>
        <t>User:
Source: Moog FY2012 10-K, Note 17 Segments</t>
      </text>
    </comment>
    <comment ref="U35" authorId="0" shapeId="0">
      <text>
        <t>User:
Source: Moog FY2012 10-K, Note 17 Segments</t>
      </text>
    </comment>
    <comment ref="V35" authorId="0" shapeId="0">
      <text>
        <t>User:
Source: Moog FY2012 10-K, Note 17 Segments</t>
      </text>
    </comment>
    <comment ref="W35" authorId="0" shapeId="0">
      <text>
        <t>User:
Source: Moog FY2012 10-K, Note 17 Segments</t>
      </text>
    </comment>
    <comment ref="X35" authorId="0" shapeId="0">
      <text>
        <t>User:
Source: Moog FY2012 10-K, Note 17 Segments</t>
      </text>
    </comment>
    <comment ref="Y35" authorId="0" shapeId="0">
      <text>
        <t>User:
Source: Moog FY2012 10-K, Note 17 Segments</t>
      </text>
    </comment>
    <comment ref="Z35" authorId="0" shapeId="0">
      <text>
        <t>User:
Source: Moog FY2012 10-K, Note 17 Segments</t>
      </text>
    </comment>
    <comment ref="AA35" authorId="0" shapeId="0">
      <text>
        <t>User:
Source: Moog FY2012 10-K, Note 17 Segments</t>
      </text>
    </comment>
    <comment ref="AB35" authorId="0" shapeId="0">
      <text>
        <t>User:
Source: Moog FY2012 10-K, Note 17 Segments</t>
      </text>
    </comment>
    <comment ref="AC35" authorId="0" shapeId="0">
      <text>
        <t>User:
Source: Moog FY2012 10-K, Note 17 Segments</t>
      </text>
    </comment>
    <comment ref="AD35" authorId="0" shapeId="0">
      <text>
        <t>User:
Source: Moog FY2012 10-K, Note 17 Segments</t>
      </text>
    </comment>
    <comment ref="AE35" authorId="0" shapeId="0">
      <text>
        <t>User:
Source: Moog FY2012 10-K, Note 17 Segments</t>
      </text>
    </comment>
    <comment ref="AF35" authorId="0" shapeId="0">
      <text>
        <t>User:
Source: Moog FY2012 10-K, Note 17 Segments</t>
      </text>
    </comment>
    <comment ref="AG35" authorId="0" shapeId="0">
      <text>
        <t>User:
Source: Moog FY2012 10-K, Note 17 Segments</t>
      </text>
    </comment>
    <comment ref="AH35" authorId="0" shapeId="0">
      <text>
        <t>User:
Source: Moog FY2012 10-K, Note 17 Segments</t>
      </text>
    </comment>
    <comment ref="AI35" authorId="0" shapeId="0">
      <text>
        <t>User:
Source: Moog FY2012 10-K, Note 17 Segments</t>
      </text>
    </comment>
    <comment ref="AJ35" authorId="0" shapeId="0">
      <text>
        <t>User:
Source: Moog FY2012 10-K, Note 17 Segments</t>
      </text>
    </comment>
    <comment ref="AK35" authorId="0" shapeId="0">
      <text>
        <t>User:
Source: Moog FY2012 10-K, Note 17 Segments</t>
      </text>
    </comment>
    <comment ref="AL35" authorId="0" shapeId="0">
      <text>
        <t>User:
Source: Moog FY2012 10-K, Note 17 Segments</t>
      </text>
    </comment>
    <comment ref="AM35" authorId="0" shapeId="0">
      <text>
        <t>User:
Source: Moog FY2012 10-K, Note 17 Segments</t>
      </text>
    </comment>
    <comment ref="AN35" authorId="0" shapeId="0">
      <text>
        <t>User:
Source: Moog FY2012 10-K, Note 17 Segments</t>
      </text>
    </comment>
    <comment ref="AO35" authorId="0" shapeId="0">
      <text>
        <t>User:
Source: Moog FY2012 10-K, Note 17 Segments</t>
      </text>
    </comment>
    <comment ref="AP35" authorId="0" shapeId="0">
      <text>
        <t>User:
Source: Moog FY2012 10-K, Note 17 Segments</t>
      </text>
    </comment>
    <comment ref="AQ35" authorId="0" shapeId="0">
      <text>
        <t>User:
Source: Moog FY2012 10-K, Note 17 Segments</t>
      </text>
    </comment>
    <comment ref="AR35" authorId="0" shapeId="0">
      <text>
        <t>User:
Source: Moog FY2012 10-K, Note 17 Segments</t>
      </text>
    </comment>
    <comment ref="AS35" authorId="0" shapeId="0">
      <text>
        <t>User:
Source: Moog FY2012 10-K, Note 17 Segments</t>
      </text>
    </comment>
    <comment ref="AT35" authorId="0" shapeId="0">
      <text>
        <t>User:
Source: Moog FY2012 10-K, Note 17 Segments</t>
      </text>
    </comment>
    <comment ref="AU35" authorId="0" shapeId="0">
      <text>
        <t>User:
Source: Moog FY2012 10-K, Note 17 Segments</t>
      </text>
    </comment>
    <comment ref="AV35" authorId="0" shapeId="0">
      <text>
        <t>User:
Source: Moog FY2012 10-K, Note 17 Segments</t>
      </text>
    </comment>
    <comment ref="AW35" authorId="0" shapeId="0">
      <text>
        <t>User:
Source: Moog FY2012 10-K, Note 17 Segments</t>
      </text>
    </comment>
    <comment ref="AX35" authorId="0" shapeId="0">
      <text>
        <t>User:
Source: Moog FY2012 10-K, Note 17 Segments</t>
      </text>
    </comment>
    <comment ref="AY35" authorId="0" shapeId="0">
      <text>
        <t>User:
Source: Moog FY2012 10-K, Note 17 Segments</t>
      </text>
    </comment>
    <comment ref="AZ35" authorId="0" shapeId="0">
      <text>
        <t>User:
Source: Moog FY2012 10-K, Note 17 Segments</t>
      </text>
    </comment>
    <comment ref="BA35" authorId="0" shapeId="0">
      <text>
        <t>User:
Source: Moog FY2012 10-K, Note 17 Segments</t>
      </text>
    </comment>
    <comment ref="BB35" authorId="0" shapeId="0">
      <text>
        <t>User:
Source: Moog FY2012 10-K, Note 17 Segments</t>
      </text>
    </comment>
    <comment ref="BC35" authorId="0" shapeId="0">
      <text>
        <t>User:
Source: Moog FY2012 10-K, Note 17 Segments</t>
      </text>
    </comment>
    <comment ref="BD35" authorId="0" shapeId="0">
      <text>
        <t>User:
Source: Moog FY2012 10-K, Note 17 Segments</t>
      </text>
    </comment>
    <comment ref="BE35" authorId="0" shapeId="0">
      <text>
        <t>User:
Source: Moog FY2012 10-K, Note 17 Segments</t>
      </text>
    </comment>
    <comment ref="BF35" authorId="0" shapeId="0">
      <text>
        <t>User:
Source: Moog FY2012 10-K, Note 17 Segments</t>
      </text>
    </comment>
    <comment ref="BG35" authorId="0" shapeId="0">
      <text>
        <t>User:
Source: Moog FY2012 10-K, Note 17 Segments</t>
      </text>
    </comment>
    <comment ref="BH35" authorId="0" shapeId="0">
      <text>
        <t>User:
Source: Moog FY2012 10-K, Note 17 Segments</t>
      </text>
    </comment>
    <comment ref="BI35" authorId="0" shapeId="0">
      <text>
        <t>User:
Source: Moog FY2012 10-K, Note 17 Segments</t>
      </text>
    </comment>
    <comment ref="BJ35" authorId="0" shapeId="0">
      <text>
        <t>User:
Source: Moog FY2012 10-K, Note 17 Segments</t>
      </text>
    </comment>
    <comment ref="G39" authorId="0" shapeId="0">
      <text>
        <t>User:
Source: Moog FY2012 10-K, Note 17 Segments</t>
      </text>
    </comment>
    <comment ref="H39" authorId="0" shapeId="0">
      <text>
        <t>User:
Source: Moog FY2012 10-K, Note 17 Segments</t>
      </text>
    </comment>
    <comment ref="I39" authorId="0" shapeId="0">
      <text>
        <t>User:
Source: Moog FY2012 10-K, Note 17 Segments</t>
      </text>
    </comment>
    <comment ref="J39" authorId="0" shapeId="0">
      <text>
        <t>User:
Source: Moog FY2012 10-K, Note 17 Segments</t>
      </text>
    </comment>
    <comment ref="K39" authorId="0" shapeId="0">
      <text>
        <t>User:
Source: Moog FY2012 10-K, Note 17 Segments</t>
      </text>
    </comment>
    <comment ref="L39" authorId="0" shapeId="0">
      <text>
        <t>User:
Source: Moog FY2012 10-K, Note 17 Segments</t>
      </text>
    </comment>
    <comment ref="M39" authorId="0" shapeId="0">
      <text>
        <t>User:
Source: Moog FY2012 10-K, Note 17 Segments</t>
      </text>
    </comment>
    <comment ref="N39" authorId="0" shapeId="0">
      <text>
        <t>User:
Source: Moog FY2012 10-K, Note 17 Segments</t>
      </text>
    </comment>
    <comment ref="O39" authorId="0" shapeId="0">
      <text>
        <t>User:
Source: Moog FY2012 10-K, Note 17 Segments</t>
      </text>
    </comment>
    <comment ref="P39" authorId="0" shapeId="0">
      <text>
        <t>User:
Source: Moog FY2012 10-K, Note 17 Segments</t>
      </text>
    </comment>
    <comment ref="Q39" authorId="0" shapeId="0">
      <text>
        <t>User:
Source: Moog FY2012 10-K, Note 17 Segments</t>
      </text>
    </comment>
    <comment ref="R39" authorId="0" shapeId="0">
      <text>
        <t>User:
Source: Moog FY2012 10-K, Note 17 Segments</t>
      </text>
    </comment>
    <comment ref="S39" authorId="0" shapeId="0">
      <text>
        <t>User:
Source: Moog FY2012 10-K, Note 17 Segments</t>
      </text>
    </comment>
    <comment ref="T39" authorId="0" shapeId="0">
      <text>
        <t>User:
Source: Moog FY2012 10-K, Note 17 Segments</t>
      </text>
    </comment>
    <comment ref="U39" authorId="0" shapeId="0">
      <text>
        <t>User:
Source: Moog FY2012 10-K, Note 17 Segments</t>
      </text>
    </comment>
    <comment ref="V39" authorId="0" shapeId="0">
      <text>
        <t>User:
Source: Moog FY2012 10-K, Note 17 Segments</t>
      </text>
    </comment>
    <comment ref="W39" authorId="0" shapeId="0">
      <text>
        <t>User:
Source: Moog FY2012 10-K, Note 17 Segments</t>
      </text>
    </comment>
    <comment ref="X39" authorId="0" shapeId="0">
      <text>
        <t>User:
Source: Moog FY2012 10-K, Note 17 Segments</t>
      </text>
    </comment>
    <comment ref="Y39" authorId="0" shapeId="0">
      <text>
        <t>User:
Source: Moog FY2012 10-K, Note 17 Segments</t>
      </text>
    </comment>
    <comment ref="Z39" authorId="0" shapeId="0">
      <text>
        <t>User:
Source: Moog FY2012 10-K, Note 17 Segments</t>
      </text>
    </comment>
    <comment ref="AA39" authorId="0" shapeId="0">
      <text>
        <t>User:
Source: Moog FY2012 10-K, Note 17 Segments</t>
      </text>
    </comment>
    <comment ref="AB39" authorId="0" shapeId="0">
      <text>
        <t>User:
Source: Moog FY2012 10-K, Note 17 Segments</t>
      </text>
    </comment>
    <comment ref="AC39" authorId="0" shapeId="0">
      <text>
        <t>User:
Source: Moog FY2012 10-K, Note 17 Segments</t>
      </text>
    </comment>
    <comment ref="AD39" authorId="0" shapeId="0">
      <text>
        <t>User:
Source: Moog FY2012 10-K, Note 17 Segments</t>
      </text>
    </comment>
    <comment ref="AE39" authorId="0" shapeId="0">
      <text>
        <t>User:
Source: Moog FY2012 10-K, Note 17 Segments</t>
      </text>
    </comment>
    <comment ref="AF39" authorId="0" shapeId="0">
      <text>
        <t>User:
Source: Moog FY2012 10-K, Note 17 Segments</t>
      </text>
    </comment>
    <comment ref="AG39" authorId="0" shapeId="0">
      <text>
        <t>User:
Source: Moog FY2012 10-K, Note 17 Segments</t>
      </text>
    </comment>
    <comment ref="AH39" authorId="0" shapeId="0">
      <text>
        <t>User:
Source: Moog FY2012 10-K, Note 17 Segments</t>
      </text>
    </comment>
    <comment ref="AI39" authorId="0" shapeId="0">
      <text>
        <t>User:
Source: Moog FY2012 10-K, Note 17 Segments</t>
      </text>
    </comment>
    <comment ref="AJ39" authorId="0" shapeId="0">
      <text>
        <t>User:
Source: Moog FY2012 10-K, Note 17 Segments</t>
      </text>
    </comment>
    <comment ref="AK39" authorId="0" shapeId="0">
      <text>
        <t>User:
Source: Moog FY2012 10-K, Note 17 Segments</t>
      </text>
    </comment>
    <comment ref="AL39" authorId="0" shapeId="0">
      <text>
        <t>User:
Source: Moog FY2012 10-K, Note 17 Segments</t>
      </text>
    </comment>
    <comment ref="AM39" authorId="0" shapeId="0">
      <text>
        <t>User:
Source: Moog FY2012 10-K, Note 17 Segments</t>
      </text>
    </comment>
    <comment ref="AN39" authorId="0" shapeId="0">
      <text>
        <t>User:
Source: Moog FY2012 10-K, Note 17 Segments</t>
      </text>
    </comment>
    <comment ref="AO39" authorId="0" shapeId="0">
      <text>
        <t>User:
Source: Moog FY2012 10-K, Note 17 Segments</t>
      </text>
    </comment>
    <comment ref="AP39" authorId="0" shapeId="0">
      <text>
        <t>User:
Source: Moog FY2012 10-K, Note 17 Segments</t>
      </text>
    </comment>
    <comment ref="AQ39" authorId="0" shapeId="0">
      <text>
        <t>User:
Source: Moog FY2012 10-K, Note 17 Segments</t>
      </text>
    </comment>
    <comment ref="AR39" authorId="0" shapeId="0">
      <text>
        <t>User:
Source: Moog FY2012 10-K, Note 17 Segments</t>
      </text>
    </comment>
    <comment ref="AS39" authorId="0" shapeId="0">
      <text>
        <t>User:
Source: Moog FY2012 10-K, Note 17 Segments</t>
      </text>
    </comment>
    <comment ref="AT39" authorId="0" shapeId="0">
      <text>
        <t>User:
Source: Moog FY2012 10-K, Note 17 Segments</t>
      </text>
    </comment>
    <comment ref="AU39" authorId="0" shapeId="0">
      <text>
        <t>User:
Source: Moog FY2012 10-K, Note 17 Segments</t>
      </text>
    </comment>
    <comment ref="AV39" authorId="0" shapeId="0">
      <text>
        <t>User:
Source: Moog FY2012 10-K, Note 17 Segments</t>
      </text>
    </comment>
    <comment ref="AW39" authorId="0" shapeId="0">
      <text>
        <t>User:
Source: Moog FY2012 10-K, Note 17 Segments</t>
      </text>
    </comment>
    <comment ref="AX39" authorId="0" shapeId="0">
      <text>
        <t>User:
Source: Moog FY2012 10-K, Note 17 Segments</t>
      </text>
    </comment>
    <comment ref="AY39" authorId="0" shapeId="0">
      <text>
        <t>User:
Source: Moog FY2012 10-K, Note 17 Segments</t>
      </text>
    </comment>
    <comment ref="AZ39" authorId="0" shapeId="0">
      <text>
        <t>User:
Source: Moog FY2012 10-K, Note 17 Segments</t>
      </text>
    </comment>
    <comment ref="BA39" authorId="0" shapeId="0">
      <text>
        <t>User:
Source: Moog FY2012 10-K, Note 17 Segments</t>
      </text>
    </comment>
    <comment ref="BB39" authorId="0" shapeId="0">
      <text>
        <t>User:
Source: Moog FY2012 10-K, Note 17 Segments</t>
      </text>
    </comment>
    <comment ref="BC39" authorId="0" shapeId="0">
      <text>
        <t>User:
Source: Moog FY2012 10-K, Note 17 Segments</t>
      </text>
    </comment>
    <comment ref="BD39" authorId="0" shapeId="0">
      <text>
        <t>User:
Source: Moog FY2012 10-K, Note 17 Segments</t>
      </text>
    </comment>
    <comment ref="BE39" authorId="0" shapeId="0">
      <text>
        <t>User:
Source: Moog FY2012 10-K, Note 17 Segments</t>
      </text>
    </comment>
    <comment ref="BF39" authorId="0" shapeId="0">
      <text>
        <t>User:
Source: Moog FY2012 10-K, Note 17 Segments</t>
      </text>
    </comment>
    <comment ref="BG39" authorId="0" shapeId="0">
      <text>
        <t>User:
Source: Moog FY2012 10-K, Note 17 Segments</t>
      </text>
    </comment>
    <comment ref="BH39" authorId="0" shapeId="0">
      <text>
        <t>User:
Source: Moog FY2012 10-K, Note 17 Segments</t>
      </text>
    </comment>
    <comment ref="BI39" authorId="0" shapeId="0">
      <text>
        <t>User:
Source: Moog FY2012 10-K, Note 17 Segments</t>
      </text>
    </comment>
    <comment ref="BJ39" authorId="0" shapeId="0">
      <text>
        <t>User:
Source: Moog FY2012 10-K, Note 17 Segments</t>
      </text>
    </comment>
    <comment ref="G40" authorId="0" shapeId="0">
      <text>
        <t>User:
Source: Moog FY2012 10-K, Note 17 Segments</t>
      </text>
    </comment>
    <comment ref="H40" authorId="0" shapeId="0">
      <text>
        <t>User:
Source: Moog FY2012 10-K, Note 17 Segments</t>
      </text>
    </comment>
    <comment ref="I40" authorId="0" shapeId="0">
      <text>
        <t>User:
Source: Moog FY2012 10-K, Note 17 Segments</t>
      </text>
    </comment>
    <comment ref="J40" authorId="0" shapeId="0">
      <text>
        <t>User:
Source: Moog FY2012 10-K, Note 17 Segments</t>
      </text>
    </comment>
    <comment ref="K40" authorId="0" shapeId="0">
      <text>
        <t>User:
Source: Moog FY2012 10-K, Note 17 Segments</t>
      </text>
    </comment>
    <comment ref="L40" authorId="0" shapeId="0">
      <text>
        <t>User:
Source: Moog FY2012 10-K, Note 17 Segments</t>
      </text>
    </comment>
    <comment ref="M40" authorId="0" shapeId="0">
      <text>
        <t>User:
Source: Moog FY2012 10-K, Note 17 Segments</t>
      </text>
    </comment>
    <comment ref="N40" authorId="0" shapeId="0">
      <text>
        <t>User:
Source: Moog FY2012 10-K, Note 17 Segments</t>
      </text>
    </comment>
    <comment ref="O40" authorId="0" shapeId="0">
      <text>
        <t>User:
Source: Moog FY2012 10-K, Note 17 Segments</t>
      </text>
    </comment>
    <comment ref="P40" authorId="0" shapeId="0">
      <text>
        <t>User:
Source: Moog FY2012 10-K, Note 17 Segments</t>
      </text>
    </comment>
    <comment ref="Q40" authorId="0" shapeId="0">
      <text>
        <t>User:
Source: Moog FY2012 10-K, Note 17 Segments</t>
      </text>
    </comment>
    <comment ref="R40" authorId="0" shapeId="0">
      <text>
        <t>User:
Source: Moog FY2012 10-K, Note 17 Segments</t>
      </text>
    </comment>
    <comment ref="S40" authorId="0" shapeId="0">
      <text>
        <t>User:
Source: Moog FY2012 10-K, Note 17 Segments</t>
      </text>
    </comment>
    <comment ref="T40" authorId="0" shapeId="0">
      <text>
        <t>User:
Source: Moog FY2012 10-K, Note 17 Segments</t>
      </text>
    </comment>
    <comment ref="U40" authorId="0" shapeId="0">
      <text>
        <t>User:
Source: Moog FY2012 10-K, Note 17 Segments</t>
      </text>
    </comment>
    <comment ref="V40" authorId="0" shapeId="0">
      <text>
        <t>User:
Source: Moog FY2012 10-K, Note 17 Segments</t>
      </text>
    </comment>
    <comment ref="W40" authorId="0" shapeId="0">
      <text>
        <t>User:
Source: Moog FY2012 10-K, Note 17 Segments</t>
      </text>
    </comment>
    <comment ref="X40" authorId="0" shapeId="0">
      <text>
        <t>User:
Source: Moog FY2012 10-K, Note 17 Segments</t>
      </text>
    </comment>
    <comment ref="Y40" authorId="0" shapeId="0">
      <text>
        <t>User:
Source: Moog FY2012 10-K, Note 17 Segments</t>
      </text>
    </comment>
    <comment ref="Z40" authorId="0" shapeId="0">
      <text>
        <t>User:
Source: Moog FY2012 10-K, Note 17 Segments</t>
      </text>
    </comment>
    <comment ref="AA40" authorId="0" shapeId="0">
      <text>
        <t>User:
Source: Moog FY2012 10-K, Note 17 Segments</t>
      </text>
    </comment>
    <comment ref="AB40" authorId="0" shapeId="0">
      <text>
        <t>User:
Source: Moog FY2012 10-K, Note 17 Segments</t>
      </text>
    </comment>
    <comment ref="AC40" authorId="0" shapeId="0">
      <text>
        <t>User:
Source: Moog FY2012 10-K, Note 17 Segments</t>
      </text>
    </comment>
    <comment ref="AD40" authorId="0" shapeId="0">
      <text>
        <t>User:
Source: Moog FY2012 10-K, Note 17 Segments</t>
      </text>
    </comment>
    <comment ref="AE40" authorId="0" shapeId="0">
      <text>
        <t>User:
Source: Moog FY2012 10-K, Note 17 Segments</t>
      </text>
    </comment>
    <comment ref="AF40" authorId="0" shapeId="0">
      <text>
        <t>User:
Source: Moog FY2012 10-K, Note 17 Segments</t>
      </text>
    </comment>
    <comment ref="AG40" authorId="0" shapeId="0">
      <text>
        <t>User:
Source: Moog FY2012 10-K, Note 17 Segments</t>
      </text>
    </comment>
    <comment ref="AH40" authorId="0" shapeId="0">
      <text>
        <t>User:
Source: Moog FY2012 10-K, Note 17 Segments</t>
      </text>
    </comment>
    <comment ref="AI40" authorId="0" shapeId="0">
      <text>
        <t>User:
Source: Moog FY2012 10-K, Note 17 Segments</t>
      </text>
    </comment>
    <comment ref="AJ40" authorId="0" shapeId="0">
      <text>
        <t>User:
Source: Moog FY2012 10-K, Note 17 Segments</t>
      </text>
    </comment>
    <comment ref="AK40" authorId="0" shapeId="0">
      <text>
        <t>User:
Source: Moog FY2012 10-K, Note 17 Segments</t>
      </text>
    </comment>
    <comment ref="AL40" authorId="0" shapeId="0">
      <text>
        <t>User:
Source: Moog FY2012 10-K, Note 17 Segments</t>
      </text>
    </comment>
    <comment ref="AM40" authorId="0" shapeId="0">
      <text>
        <t>User:
Source: Moog FY2012 10-K, Note 17 Segments</t>
      </text>
    </comment>
    <comment ref="AN40" authorId="0" shapeId="0">
      <text>
        <t>User:
Source: Moog FY2012 10-K, Note 17 Segments</t>
      </text>
    </comment>
    <comment ref="AO40" authorId="0" shapeId="0">
      <text>
        <t>User:
Source: Moog FY2012 10-K, Note 17 Segments</t>
      </text>
    </comment>
    <comment ref="AP40" authorId="0" shapeId="0">
      <text>
        <t>User:
Source: Moog FY2012 10-K, Note 17 Segments</t>
      </text>
    </comment>
    <comment ref="AQ40" authorId="0" shapeId="0">
      <text>
        <t>User:
Source: Moog FY2012 10-K, Note 17 Segments</t>
      </text>
    </comment>
    <comment ref="AR40" authorId="0" shapeId="0">
      <text>
        <t>User:
Source: Moog FY2012 10-K, Note 17 Segments</t>
      </text>
    </comment>
    <comment ref="AS40" authorId="0" shapeId="0">
      <text>
        <t>User:
Source: Moog FY2012 10-K, Note 17 Segments</t>
      </text>
    </comment>
    <comment ref="AT40" authorId="0" shapeId="0">
      <text>
        <t>User:
Source: Moog FY2012 10-K, Note 17 Segments</t>
      </text>
    </comment>
    <comment ref="AU40" authorId="0" shapeId="0">
      <text>
        <t>User:
Source: Moog FY2012 10-K, Note 17 Segments</t>
      </text>
    </comment>
    <comment ref="AV40" authorId="0" shapeId="0">
      <text>
        <t>User:
Source: Moog FY2012 10-K, Note 17 Segments</t>
      </text>
    </comment>
    <comment ref="AW40" authorId="0" shapeId="0">
      <text>
        <t>User:
Source: Moog FY2012 10-K, Note 17 Segments</t>
      </text>
    </comment>
    <comment ref="AX40" authorId="0" shapeId="0">
      <text>
        <t>User:
Source: Moog FY2012 10-K, Note 17 Segments</t>
      </text>
    </comment>
    <comment ref="AY40" authorId="0" shapeId="0">
      <text>
        <t>User:
Source: Moog FY2012 10-K, Note 17 Segments</t>
      </text>
    </comment>
    <comment ref="AZ40" authorId="0" shapeId="0">
      <text>
        <t>User:
Source: Moog FY2012 10-K, Note 17 Segments</t>
      </text>
    </comment>
    <comment ref="BA40" authorId="0" shapeId="0">
      <text>
        <t>User:
Source: Moog FY2012 10-K, Note 17 Segments</t>
      </text>
    </comment>
    <comment ref="BB40" authorId="0" shapeId="0">
      <text>
        <t>User:
Source: Moog FY2012 10-K, Note 17 Segments</t>
      </text>
    </comment>
    <comment ref="BC40" authorId="0" shapeId="0">
      <text>
        <t>User:
Source: Moog FY2012 10-K, Note 17 Segments</t>
      </text>
    </comment>
    <comment ref="BD40" authorId="0" shapeId="0">
      <text>
        <t>User:
Source: Moog FY2012 10-K, Note 17 Segments</t>
      </text>
    </comment>
    <comment ref="BE40" authorId="0" shapeId="0">
      <text>
        <t>User:
Source: Moog FY2012 10-K, Note 17 Segments</t>
      </text>
    </comment>
    <comment ref="BF40" authorId="0" shapeId="0">
      <text>
        <t>User:
Source: Moog FY2012 10-K, Note 17 Segments</t>
      </text>
    </comment>
    <comment ref="BG40" authorId="0" shapeId="0">
      <text>
        <t>User:
Source: Moog FY2012 10-K, Note 17 Segments</t>
      </text>
    </comment>
    <comment ref="BH40" authorId="0" shapeId="0">
      <text>
        <t>User:
Source: Moog FY2012 10-K, Note 17 Segments</t>
      </text>
    </comment>
    <comment ref="BI40" authorId="0" shapeId="0">
      <text>
        <t>User:
Source: Moog FY2012 10-K, Note 17 Segments</t>
      </text>
    </comment>
    <comment ref="BJ40" authorId="0" shapeId="0">
      <text>
        <t>User:
Source: Moog FY2012 10-K, Note 17 Segments</t>
      </text>
    </comment>
    <comment ref="BT54" authorId="0" shapeId="0">
      <text>
        <t>User:
Source: Moog 10-K FY25, Note 22 Segments, https://www.sec.gov/Archives/edgar/data/0000067887/000162828025054103/mog-20250927.htm</t>
      </text>
    </comment>
    <comment ref="BY54" authorId="0" shapeId="0">
      <text>
        <t>User:
Source: Moog 10-K FY25, Note 22 Segments</t>
      </text>
    </comment>
    <comment ref="CD54" authorId="0" shapeId="0">
      <text>
        <t>User:
Source: Moog 10-K FY25, Note 22 Segments</t>
      </text>
    </comment>
    <comment ref="CE54" authorId="0" shapeId="0">
      <text>
        <t>User:
Source: Moog 10-Q Q1 FY26 (period end Jan 3, 2026), Note 18 Segments — Military Aircraft net sales $247,411K</t>
      </text>
    </comment>
    <comment ref="CF54" authorId="0" shapeId="0">
      <text>
        <t>User:
Source: Moog 10-Q Q2 FY26 (period end Mar 28, 2026), Note 18 Segments — Military Aircraft net sales $235,489K</t>
      </text>
    </comment>
    <comment ref="CI54" authorId="0" shapeId="0">
      <text>
        <t>FY26E MA sales = FY25 actual $888M (per IR deck Jan 2026 prior-year column) × (1 + growth). NOTE: cannot reference CD54 because CD column appears mis-aligned by one segment block — CD54 currently holds $1,113 which is S&amp;D's FY25, not MA's $888.</t>
      </text>
    </comment>
    <comment ref="BT55" authorId="0" shapeId="0">
      <text>
        <t>User:
Source: Moog 10-K FY25, Note 22 Segments</t>
      </text>
    </comment>
    <comment ref="BY55" authorId="0" shapeId="0">
      <text>
        <t>User:
Source: Moog 10-K FY25, Note 22 Segments</t>
      </text>
    </comment>
    <comment ref="CD55" authorId="0" shapeId="0">
      <text>
        <t>User:
Source: Moog 10-K FY25, Note 22 Segments</t>
      </text>
    </comment>
    <comment ref="CG55" authorId="0" shapeId="0">
      <text>
        <t>User:
Q3/26E Y/Y assumption — deceleration from Q1 +15.9% / Q2 +10.1%; calibrated to land FY26 MA sales near guide ~$950M</t>
      </text>
    </comment>
    <comment ref="CI55" authorId="0" shapeId="0">
      <text>
        <t>Source: Moog IR Presentation Jan 2026, segment guide — MA FY26 $950M vs FY25 $888M = +6.98% (hardcoded growth driver).</t>
      </text>
    </comment>
    <comment ref="CE56" authorId="0" shapeId="0">
      <text>
        <t>User:
Source: Moog 10-Q Q1 FY26 — Military Aircraft operating profit ~$28M (per IS6 MD&amp;A). Derived: net sales 247.411 - COGS 187.417 - R&amp;D 5.115 - SG&amp;A 26.991 - Other op exp -0.240 - Allocated corporate / equity comp ~0.4 ≈ $28.1M (matches MD&amp;A: $28M)</t>
      </text>
    </comment>
    <comment ref="CF56" authorId="0" shapeId="0">
      <text>
        <t>User:
Source: Moog 10-Q Q2 FY26 — Military Aircraft operating profit $32M (MD&amp;A); 13.7% margin x 235.489 = 32.262</t>
      </text>
    </comment>
    <comment ref="CI58" authorId="0" shapeId="0">
      <text>
        <t>User:
Source: Moog IR Presentation Jan 2026 — Military Aircraft FY26 op margin guide 13.8%</t>
      </text>
    </comment>
    <comment ref="B60" authorId="0" shapeId="0">
      <text>
        <t>User:
Segment-level backlog is NOT publicly disclosed by Moog in any 10-K, 10-Q, or earnings release. Moog reports only consolidated total backlog and 12-month backlog at the company level (see Group Total row 104). Segment commentary is qualitative only (e.g., 'growth primarily driven by Military Aircraft and Space and Defense'). Source: Moog FY23–FY25 10-K MD&amp;A and Q1–Q4 FY25 earnings releases.</t>
      </text>
    </comment>
    <comment ref="BT65" authorId="0" shapeId="0">
      <text>
        <t>User:
Source: Moog 10-K FY25, Note 22 Segments</t>
      </text>
    </comment>
    <comment ref="BY65" authorId="0" shapeId="0">
      <text>
        <t>User:
Source: Moog 10-K FY25, Note 22 Segments</t>
      </text>
    </comment>
    <comment ref="CD65" authorId="0" shapeId="0">
      <text>
        <t>User:
Source: Moog 10-K FY25, Note 22 Segments</t>
      </text>
    </comment>
    <comment ref="CE65" authorId="0" shapeId="0">
      <text>
        <t>User:
Source: Moog 10-Q Q1 FY26 — Commercial Aircraft net sales $267,843K</t>
      </text>
    </comment>
    <comment ref="CF65" authorId="0" shapeId="0">
      <text>
        <t>User:
Source: Moog 10-Q Q2 FY26 — Commercial Aircraft net sales $247,007K</t>
      </text>
    </comment>
    <comment ref="CI65" authorId="0" shapeId="0">
      <text>
        <t>FY26E CA sales = FY25 actual $904M × (1 + growth). NOTE: CD65 currently holds $888 (MA's FY25) due to CD column mis-alignment.</t>
      </text>
    </comment>
    <comment ref="BT66" authorId="0" shapeId="0">
      <text>
        <t>User:
Source: Moog 10-K FY25, Note 22 Segments</t>
      </text>
    </comment>
    <comment ref="BY66" authorId="0" shapeId="0">
      <text>
        <t>User:
Source: Moog 10-K FY25, Note 22 Segments</t>
      </text>
    </comment>
    <comment ref="CD66" authorId="0" shapeId="0">
      <text>
        <t>User:
Source: Moog 10-K FY25, Note 22 Segments</t>
      </text>
    </comment>
    <comment ref="CG66" authorId="0" shapeId="0">
      <text>
        <t>User:
Q3/26E Y/Y assumption — between Q1 +21.2% and Q2 +14.2%; calibrated to FY26 CA sales near guide ~$1,050M</t>
      </text>
    </comment>
    <comment ref="CI66" authorId="0" shapeId="0">
      <text>
        <t>Source: Moog IR Presentation Jan 2026 — CA FY26 $1,050M vs FY25 $904M = +16.15% (hardcoded growth driver).</t>
      </text>
    </comment>
    <comment ref="CE67" authorId="0" shapeId="0">
      <text>
        <t>User:
Source: Moog 10-Q Q1 FY26 — Commercial Aircraft operating profit $28M (MD&amp;A); 10.6% margin x 267.843 = 28.391</t>
      </text>
    </comment>
    <comment ref="CF67" authorId="0" shapeId="0">
      <text>
        <t>User:
Source: Moog 10-Q Q2 FY26 — Commercial Aircraft operating profit $29M (MD&amp;A); 11.9% margin x 247.007 = 29.394</t>
      </text>
    </comment>
    <comment ref="CG69" authorId="0" shapeId="0">
      <text>
        <t>User:
Q3/26E Commercial Aircraft op margin — modeled per FY26 guide 11.5%</t>
      </text>
    </comment>
    <comment ref="CH69" authorId="0" shapeId="0">
      <text>
        <t>User:
Q4/26E Commercial Aircraft op margin — anchors FY26 to ~11.5% per IR guide</t>
      </text>
    </comment>
    <comment ref="CI69" authorId="0" shapeId="0">
      <text>
        <t>User:
Source: Moog IR Presentation Jan 2026 — Commercial Aircraft FY26 op margin guide 11.5%</t>
      </text>
    </comment>
    <comment ref="B71" authorId="0" shapeId="0">
      <text>
        <t>User:
Segment-level backlog NOT publicly disclosed by Moog. See note on row 60. Group Total backlog (row 104) is the only company-disclosed figure.</t>
      </text>
    </comment>
    <comment ref="BT76" authorId="0" shapeId="0">
      <text>
        <t>User:
Source: Moog 10-K FY25, Note 22 Segments</t>
      </text>
    </comment>
    <comment ref="BY76" authorId="0" shapeId="0">
      <text>
        <t>User:
Source: Moog 10-K FY25, Note 22 Segments</t>
      </text>
    </comment>
    <comment ref="CD76" authorId="0" shapeId="0">
      <text>
        <t>User:
Source: Moog 10-K FY25, Note 22 Segments</t>
      </text>
    </comment>
    <comment ref="CE76" authorId="0" shapeId="0">
      <text>
        <t>User:
Source: Moog 10-Q Q1 FY26 — Space and Defense net sales $324,278K</t>
      </text>
    </comment>
    <comment ref="CF76" authorId="0" shapeId="0">
      <text>
        <t>User:
Source: Moog 10-Q Q2 FY26 — Space and Defense net sales $313,593K</t>
      </text>
    </comment>
    <comment ref="CI76" authorId="0" shapeId="0">
      <text>
        <t>FY26E S&amp;D sales = FY25 actual $1,113M × (1 + growth). NOTE: CD76 currently holds $904 (CA's FY25) due to CD column mis-alignment.</t>
      </text>
    </comment>
    <comment ref="BT77" authorId="0" shapeId="0">
      <text>
        <t>User:
Source: Moog 10-K FY25, Note 22 Segments</t>
      </text>
    </comment>
    <comment ref="BY77" authorId="0" shapeId="0">
      <text>
        <t>User:
Source: Moog 10-K FY25, Note 22 Segments</t>
      </text>
    </comment>
    <comment ref="CD77" authorId="0" shapeId="0">
      <text>
        <t>User:
Source: Moog 10-K FY25, Note 22 Segments</t>
      </text>
    </comment>
    <comment ref="CG77" authorId="0" shapeId="0">
      <text>
        <t>User:
Q3/26E Y/Y assumption — deceleration from Q1 +30.9% / Q2 +16.1%; calibrated to FY26 S&amp;D sales near guide ~$1,265M</t>
      </text>
    </comment>
    <comment ref="CI77" authorId="0" shapeId="0">
      <text>
        <t>Source: Moog IR Presentation Jan 2026 — S&amp;D FY26 $1,265M vs FY25 $1,113M = +13.66% (hardcoded growth driver).</t>
      </text>
    </comment>
    <comment ref="CE78" authorId="0" shapeId="0">
      <text>
        <t>User:
Source: Moog 10-Q Q1 FY26 — Space &amp; Defense operating profit $43M (MD&amp;A); 13.2% margin x 324.278 = 42.805</t>
      </text>
    </comment>
    <comment ref="CF78" authorId="0" shapeId="0">
      <text>
        <t>User:
Source: Moog 10-Q Q2 FY26 — Space &amp; Defense operating profit $43M (MD&amp;A); 13.8% margin x 313.593 = 43.276</t>
      </text>
    </comment>
    <comment ref="CG80" authorId="0" shapeId="0">
      <text>
        <t>User:
Q3/26E Space &amp; Defense op margin — per FY26 guide 13.9%</t>
      </text>
    </comment>
    <comment ref="CH80" authorId="0" shapeId="0">
      <text>
        <t>User:
Q4/26E Space &amp; Defense op margin — anchors FY26 to ~13.9% per IR guide</t>
      </text>
    </comment>
    <comment ref="CI80" authorId="0" shapeId="0">
      <text>
        <t>User:
Source: Moog IR Presentation Jan 2026 — Space &amp; Defense FY26 op margin guide 13.9%</t>
      </text>
    </comment>
    <comment ref="B82" authorId="0" shapeId="0">
      <text>
        <t>User:
Segment-level backlog NOT publicly disclosed by Moog. See note on row 60.</t>
      </text>
    </comment>
    <comment ref="BT87" authorId="0" shapeId="0">
      <text>
        <t>User:
Source: Moog 10-K FY25, Note 22 Segments</t>
      </text>
    </comment>
    <comment ref="BY87" authorId="0" shapeId="0">
      <text>
        <t>User:
Source: Moog 10-K FY25, Note 22 Segments</t>
      </text>
    </comment>
    <comment ref="CD87" authorId="0" shapeId="0">
      <text>
        <t>User:
Source: Moog 10-K FY25, Note 22 Segments</t>
      </text>
    </comment>
    <comment ref="CE87" authorId="0" shapeId="0">
      <text>
        <t>User:
Source: Moog 10-Q Q1 FY26 — Industrial net sales $260,814K</t>
      </text>
    </comment>
    <comment ref="CF87" authorId="0" shapeId="0">
      <text>
        <t>User:
Source: Moog 10-Q Q2 FY26 — Industrial net sales $255,858K</t>
      </text>
    </comment>
    <comment ref="CI87" authorId="0" shapeId="0">
      <text>
        <t>FY26E Industrial sales = FY25 actual $956M × (1 + growth).</t>
      </text>
    </comment>
    <comment ref="BT88" authorId="0" shapeId="0">
      <text>
        <t>User:
Source: Moog 10-K FY25, Note 22 Segments</t>
      </text>
    </comment>
    <comment ref="BY88" authorId="0" shapeId="0">
      <text>
        <t>User:
Source: Moog 10-K FY25, Note 22 Segments</t>
      </text>
    </comment>
    <comment ref="CD88" authorId="0" shapeId="0">
      <text>
        <t>User:
Source: Moog 10-K FY25, Note 22 Segments</t>
      </text>
    </comment>
    <comment ref="CG88" authorId="0" shapeId="0">
      <text>
        <t>User:
Q3/26E Y/Y assumption — in line with Q1 +14.3% / Q2 +9.1%; calibrated to FY26 Industrial sales near guide ~$1,000M</t>
      </text>
    </comment>
    <comment ref="CI88" authorId="0" shapeId="0">
      <text>
        <t>Source: Moog IR Presentation Jan 2026 — Industrial FY26 $1,000M vs FY25 $956M = +4.60% (hardcoded growth driver).</t>
      </text>
    </comment>
    <comment ref="CE89" authorId="0" shapeId="0">
      <text>
        <t>User:
Source: Moog 10-Q Q1 FY26 — Industrial operating profit $36M (MD&amp;A); 13.9% margin x 260.814 = 36.253</t>
      </text>
    </comment>
    <comment ref="CF89" authorId="0" shapeId="0">
      <text>
        <t>User:
Source: Moog 10-Q Q2 FY26 — Industrial operating profit $33M (MD&amp;A); 12.9% margin x 255.858 = 33.005</t>
      </text>
    </comment>
    <comment ref="CG91" authorId="0" shapeId="0">
      <text>
        <t>User:
Q3/26E Industrial op margin — per FY26 guide 14.3%</t>
      </text>
    </comment>
    <comment ref="CH91" authorId="0" shapeId="0">
      <text>
        <t>User:
Q4/26E Industrial op margin — anchors FY26 to ~14.3% per IR guide</t>
      </text>
    </comment>
    <comment ref="CI91" authorId="0" shapeId="0">
      <text>
        <t>User:
Source: Moog IR Presentation Jan 2026 — Industrial FY26 op margin guide 14.3%</t>
      </text>
    </comment>
    <comment ref="B93" authorId="0" shapeId="0">
      <text>
        <t>User:
Segment-level backlog NOT publicly disclosed by Moog. See note on row 60.</t>
      </text>
    </comment>
    <comment ref="L100" authorId="0" shapeId="0">
      <text>
        <t>User:
Source: Moog FY10 8-K (May 7, 2010) press release, https://www.sec.gov/Archives/edgar/data/0000067887/000114420410025483/v184054_8k.htm — acquired Pieper GmbH (Schwerte, Germany; 2009 revenue €11M ≈ $15M). FY11 = first full year. Assumes ~$15M acquisition revenue contribution / FY10 total sales $2,114M ≈ 0.7%.</t>
      </text>
    </comment>
    <comment ref="Q100" authorId="0" shapeId="0">
      <text>
        <t>User:
Source: Moog FY12 10-K MD&amp;A (Note 3 Acquisitions). FY12 included bolt-on acquisitions in Components and Aspen Motion Technologies. Estimated ~$20M acquisition revenue / FY11 $2,331M ≈ 0.9%. Assumption: estimated from deal-announcement revenue figures; exact attribution not disclosed in MD&amp;A.</t>
      </text>
    </comment>
    <comment ref="V100" authorId="0" shapeId="0">
      <text>
        <t>User:
Source: Moog FY13 10-K MD&amp;A, https://www.sec.gov/Archives/edgar/data/0000067887/000006788713000043/fy201310-kdocument.htm — 'Acquisitions in Space and Defense Controls and in Components combined contributed 70% of the growth in 2013'. FY13 growth = $2,610M - $2,470M = $140M, 70% × $140M = $98M acquisition contribution / FY12 $2,470M ≈ 4.0%. Includes Broad Reach Engineering ($46M deal, Aug 2013, spaceflight electronics).</t>
      </text>
    </comment>
    <comment ref="AA100" authorId="0" shapeId="0">
      <text>
        <t>User:
Source: Moog FY15 10-K MD&amp;A, https://www.sec.gov/Archives/edgar/data/0000067887/000006788715000081/fy201510-kdocument.htm — 'Acquisitions in Components and Space and Defense Controls contributed 56% of the sales growth' (2014 vs 2013). FY14 growth = $2,648M - $2,610M = $38M, 56% × $38M = $21M / FY13 $2,610M ≈ 0.8%.</t>
      </text>
    </comment>
    <comment ref="AF100" authorId="0" shapeId="0">
      <text>
        <t>User:
Source: Moog FY15 10-K. FY15 includes Linear Mold and Engineering (Aug 2015, 70% stake, additive manufacturing) and small bolt-ons. Estimated ~$10M acquisition contribution / FY14 $2,648M ≈ 0.4%. Note: FY15 sales declined overall — 80% of decline was FX (per MD&amp;A), so acquisition contribution remained modestly positive.</t>
      </text>
    </comment>
    <comment ref="AK100" authorId="0" shapeId="0">
      <text>
        <t>User:
Source: Moog FY17 10-K MD&amp;A. FY16 was a divestiture-heavy year (sold Medical Devices Q1; wind pitch business). No material acquisitions disclosed. Acquisition contribution ≈ 0%. Note: FY16 revenue declined 4.5% — primarily organic decline plus divestitures.</t>
      </text>
    </comment>
    <comment ref="AP100" authorId="0" shapeId="0">
      <text>
        <t>User:
Source: Moog FY17 10-K MD&amp;A, https://www.sec.gov/Archives/edgar/data/0000067887/000006788717000087/a10-kdocumentxfy17xq4.htm — 'The recent acquisition of Rotary Transfer Systems increased sales $12 million' in Components/Industrial (RTS acquired Sep 2017 for $43M, German electromechanical systems). $12M / FY16 $2,412M ≈ 0.5%.</t>
      </text>
    </comment>
    <comment ref="AU100" authorId="0" shapeId="0">
      <text>
        <t>User:
Source: Moog FY19 10-K MD&amp;A, https://www.sec.gov/Archives/edgar/data/0000067887/000006788719000086/a10-kdocumentxfy19xq4.htm — 'Our acquisitions in Industrial Systems and Space and Defense Controls contributed an incremental $32 million and $7 million of sales, respectively' (2018 vs 2017). Total $39M acquisition contribution / FY17 $2,498M ≈ 1.6%. Reflects full-year impact of FY17 RTS acquisition.</t>
      </text>
    </comment>
    <comment ref="AZ100" authorId="0" shapeId="0">
      <text>
        <t>User:
Source: Moog FY19 10-K MD&amp;A. FY19 only acquisition was SureFly eVTOL technology from Workhorse Group (May 2019, small/early-stage, immaterial revenue). MD&amp;A attributes FY19 growth to organic factors and notes FX decreased sales $23M. Acquisition contribution ≈ 0%.</t>
      </text>
    </comment>
    <comment ref="BE100" authorId="0" shapeId="0">
      <text>
        <t>User:
Source: Moog FY20 10-K. No material acquisitions in COVID-impacted FY20. Acquisition contribution ≈ 0%. FY20 sales decline was organic (COVID demand impact).</t>
      </text>
    </comment>
    <comment ref="BJ100" authorId="0" shapeId="0">
      <text>
        <t>User:
Source: Wikipedia / Moog FY21 disclosures. Sold Navigation Aids (Navaids) business to Thales Group in 2021; Navaids represented &lt;1% of annual sales (~$30-40M). Estimated -$40M divestiture impact / FY20 $2,885M ≈ -1.4%. Note: no material acquisitions in FY21. Assumption: pro-rata revenue contribution estimated from deal disclosures.</t>
      </text>
    </comment>
    <comment ref="BO100" authorId="0" shapeId="0">
      <text>
        <t>User:
Source: Moog FY22 10-K Note 3 - Acquisitions. Small bolt-on acquisitions in Industrial and Space and Defense. Estimated $10M / FY21 $2,852M ≈ 0.4%. Assumption: aggregate estimated from individual press releases as Moog did not quantify.</t>
      </text>
    </comment>
    <comment ref="BT100" authorId="0" shapeId="0">
      <text>
        <t>User:
Source: Moog FY23 10-K. Acquisitions activity limited; primarily organic growth from defense markets. Estimated ~$5M / FY22 $3,036M ≈ 0.2%. Assumption: minor, conservatively rounded.</t>
      </text>
    </comment>
    <comment ref="BY100" authorId="0" shapeId="0">
      <text>
        <t>User:
Source: Moog FY24 10-K, Note 3 - Acquisitions, https://www.sec.gov/Archives/edgar/data/0000067887/000006788724000166/mog-20240928.htm — DCL acquisition (Aug 2024, $6M cash) within Industrial. Per FY24 CF: 'Acquisitions of businesses, net of cash acquired $5,911 thousand'. Estimated revenue contribution ~$5M / FY23 $3,316M ≈ 0.2%.</t>
      </text>
    </comment>
    <comment ref="CD100" authorId="0" shapeId="0">
      <text>
        <t>User:
Source: Moog FY25 10-K MD&amp;A, https://www.sec.gov/Archives/edgar/data/0000067887/000162828025054103/mog-20250927.htm — 'Industrial net sales decreased in 2025... driven by divestitures, primarily within industrial automation' (Czech Republic and Luxembourg hydraulics, completed Sep 30, 2024). Plus COTSWORKS acquired July 2025 for $63M (3 months FY25 contribution ~$10M). Net: -$50M divestiture +$10M COTSWORKS = -$40M / FY24 $3,609M ≈ -1.1%.</t>
      </text>
    </comment>
    <comment ref="BT104" authorId="0" shapeId="0">
      <text>
        <t>User:
Total backlog. Source: Moog 10-K FY25 MD&amp;A</t>
      </text>
    </comment>
    <comment ref="BY104" authorId="0" shapeId="0">
      <text>
        <t>User:
Source: Moog 10-K FY25 MD&amp;A</t>
      </text>
    </comment>
    <comment ref="CD104" authorId="0" shapeId="0">
      <text>
        <t>User:
Source: Moog 10-K FY25 MD&amp;A</t>
      </text>
    </comment>
    <comment ref="B106" authorId="0" shapeId="0">
      <text>
        <t>User:
Twelve-month backlog represents confirmed orders expected to convert to revenue within the next 12 months. Source: Moog 10-Q and 10-K MD&amp;A 'Consolidated Results of Operations' table for each period.</t>
      </text>
    </comment>
    <comment ref="CE106" authorId="0" shapeId="0">
      <text>
        <t>User:
Source: Moog Q1 FY26 10-Q (Jan 3, 2026), MD&amp;A — Twelve-month backlog. https://www.sec.gov/cgi-bin/browse-edgar?action=getcompany&amp;CIK=0000067887&amp;type=10-Q</t>
      </text>
    </comment>
    <comment ref="CF106" authorId="0" shapeId="0">
      <text>
        <t>User:
Source: Moog Q2 FY26 10-Q (Mar 28, 2026), MD&amp;A — Twelve-month backlog ($3,310M).</t>
      </text>
    </comment>
    <comment ref="CG106" authorId="0" shapeId="0">
      <text>
        <t>User:
Q3/26E twelve-month backlog — modeled as interpolation between Q2/26 actual ($3,310M) and FY26E exit ($3,314M).</t>
      </text>
    </comment>
    <comment ref="CH106" authorId="0" shapeId="0">
      <text>
        <t>User:
Q4/26E twelve-month backlog — set to FY26E year-end backlog (3,314).</t>
      </text>
    </comment>
    <comment ref="CE108" authorId="0" shapeId="0">
      <text>
        <t>User:
Q1/26 total backlog — 2× twelve-month per historical model convention.</t>
      </text>
    </comment>
    <comment ref="CF108" authorId="0" shapeId="0">
      <text>
        <t>User:
Q2/26 total backlog — 2× twelve-month per historical model convention.</t>
      </text>
    </comment>
    <comment ref="CE114" authorId="0" shapeId="0">
      <text>
        <t>User:
Source: Moog Q1 FY26 10-Q, Consolidated Statements of Earnings — Net sales (in thousands: 1,100,346).</t>
      </text>
    </comment>
    <comment ref="CF114" authorId="0" shapeId="0">
      <text>
        <t>User:
Source: Moog Q2 FY26 10-Q, Consolidated Statements of Earnings — Net sales (1,051,947 thousand).</t>
      </text>
    </comment>
    <comment ref="BT115" authorId="0" shapeId="0">
      <text>
        <t>User:
Cost of sales 2,414,090 + Inventory writedown 4,345. Source: Moog 10-K FY25 Income Statement</t>
      </text>
    </comment>
    <comment ref="BY115" authorId="0" shapeId="0">
      <text>
        <t>User:
Cost of sales 2,589,525 + Inv writedown 7,027. Source: Moog 10-K FY25</t>
      </text>
    </comment>
    <comment ref="CD115" authorId="0" shapeId="0">
      <text>
        <t>User:
Cost of sales 2,794,802 + Inv writedown 8,474. Source: Moog 10-K FY25</t>
      </text>
    </comment>
    <comment ref="CE115" authorId="0" shapeId="0">
      <text>
        <t>User:
Source: Moog Q1 FY26 10-Q — Cost of sales (806,106 thousand). No inventory write-down in Q1 FY26.</t>
      </text>
    </comment>
    <comment ref="CF115" authorId="0" shapeId="0">
      <text>
        <t>User:
Source: Moog Q2 FY26 10-Q — Cost of sales (764,392 thousand).</t>
      </text>
    </comment>
    <comment ref="CG116" authorId="0" shapeId="0">
      <text>
        <t>User:
Q3/26E gross profit — sales × implied 2H gross margin from FY26E guide less 1H actuals.</t>
      </text>
    </comment>
    <comment ref="CH116" authorId="0" shapeId="0">
      <text>
        <t>User:
Q4/26E gross profit — plug to FY26E GP.</t>
      </text>
    </comment>
    <comment ref="BT117" authorId="0" shapeId="0">
      <text>
        <t>User:
Source: Moog 10-K FY25 Income Statement</t>
      </text>
    </comment>
    <comment ref="BY117" authorId="0" shapeId="0">
      <text>
        <t>User:
Source: Moog 10-K FY25</t>
      </text>
    </comment>
    <comment ref="CD117" authorId="0" shapeId="0">
      <text>
        <t>User:
Source: Moog 10-K FY25</t>
      </text>
    </comment>
    <comment ref="CE117" authorId="0" shapeId="0">
      <text>
        <t>User:
Source: Moog Q1 FY26 10-Q — Research and development (24,634 thousand).</t>
      </text>
    </comment>
    <comment ref="CF117" authorId="0" shapeId="0">
      <text>
        <t>User:
Source: Moog Q2 FY26 10-Q — Research and development (26,662 thousand).</t>
      </text>
    </comment>
    <comment ref="CG117" authorId="0" shapeId="0">
      <text>
        <t>User:
Q3/26E R&amp;D — half of 2H FY26E R&amp;D residual.</t>
      </text>
    </comment>
    <comment ref="BT118" authorId="0" shapeId="0">
      <text>
        <t>User:
Source: Moog 10-K FY25</t>
      </text>
    </comment>
    <comment ref="BY118" authorId="0" shapeId="0">
      <text>
        <t>User:
Source: Moog 10-K FY25</t>
      </text>
    </comment>
    <comment ref="CD118" authorId="0" shapeId="0">
      <text>
        <t>User:
Source: Moog 10-K FY25</t>
      </text>
    </comment>
    <comment ref="CE118" authorId="0" shapeId="0">
      <text>
        <t>User:
Source: Moog Q1 FY26 10-Q — Selling, general and administrative (148,959 thousand).</t>
      </text>
    </comment>
    <comment ref="CF118" authorId="0" shapeId="0">
      <text>
        <t>User:
Source: Moog Q2 FY26 10-Q — Selling, general and administrative (136,324 thousand).</t>
      </text>
    </comment>
    <comment ref="CG118" authorId="0" shapeId="0">
      <text>
        <t>User:
Q3/26E SG&amp;A — half of 2H FY26E SG&amp;A residual.</t>
      </text>
    </comment>
    <comment ref="BT119" authorId="0" shapeId="0">
      <text>
        <t>User:
Restructuring expense. Source: Moog 10-K FY25</t>
      </text>
    </comment>
    <comment ref="BY119" authorId="0" shapeId="0">
      <text>
        <t>User:
Source: Moog 10-K FY25</t>
      </text>
    </comment>
    <comment ref="CD119" authorId="0" shapeId="0">
      <text>
        <t>User:
Source: Moog 10-K FY25</t>
      </text>
    </comment>
    <comment ref="CE119" authorId="0" shapeId="0">
      <text>
        <t>User:
Source: Moog Q1 FY26 10-Q — Restructuring (1,000 thousand).</t>
      </text>
    </comment>
    <comment ref="CF119" authorId="0" shapeId="0">
      <text>
        <t>User:
Source: Moog Q2 FY26 10-Q — Restructuring (1,505 thousand).</t>
      </text>
    </comment>
    <comment ref="CE120" authorId="0" shapeId="0">
      <text>
        <t>User:
Source: Moog Q1 FY26 10-Q — No inventory write-down in Q1 FY26.</t>
      </text>
    </comment>
    <comment ref="CF120" authorId="0" shapeId="0">
      <text>
        <t>User:
Source: Moog Q2 FY26 10-Q — No inventory write-down in Q2 FY26.</t>
      </text>
    </comment>
    <comment ref="BT125" authorId="0" shapeId="0">
      <text>
        <t>Asset impairment 14,628 + Loss on sale of biz 900 + Pension settlement 12,542 + Other 8,872 - Gain on sale bldgs 10,030 = 26,912. Source: Moog 10-K FY25 IS (revised). Combines impairment + restructuring-adjacent + non-op items shown separately on Moog's IS.</t>
      </text>
    </comment>
    <comment ref="BY125" authorId="0" shapeId="0">
      <text>
        <t>User:
Asset impairment 22,149 + Other 17,348 - Gain on sale buildings 979. Source: Moog 10-K FY25</t>
      </text>
    </comment>
    <comment ref="CD125" authorId="0" shapeId="0">
      <text>
        <t>User:
Asset impairment 5,374 + Other 9,597. Source: Moog 10-K FY25</t>
      </text>
    </comment>
    <comment ref="CE125" authorId="0" shapeId="0">
      <text>
        <t>User:
Source: Moog Q1 FY26 10-Q — Other (income) expenses (787 thousand). Per MD&amp;A, Other was ~$1M expense vs $1M income prior year.</t>
      </text>
    </comment>
    <comment ref="CF125" authorId="0" shapeId="0">
      <text>
        <t>User:
Source: Moog Q2 FY26 10-Q — Other (income) expense ((1,295) thousand).</t>
      </text>
    </comment>
    <comment ref="BT127" authorId="0" shapeId="0">
      <text>
        <t>User:
Source: Moog 10-K FY25</t>
      </text>
    </comment>
    <comment ref="BY127" authorId="0" shapeId="0">
      <text>
        <t>User:
Source: Moog 10-K FY25</t>
      </text>
    </comment>
    <comment ref="CD127" authorId="0" shapeId="0">
      <text>
        <t>User:
Source: Moog 10-K FY25</t>
      </text>
    </comment>
    <comment ref="CE127" authorId="0" shapeId="0">
      <text>
        <t>User:
Source: Moog Q1 FY26 10-Q — Interest expense (17,195 thousand).</t>
      </text>
    </comment>
    <comment ref="CF127" authorId="0" shapeId="0">
      <text>
        <t>User:
Source: Moog Q2 FY26 10-Q — Interest expense (15,540 thousand).</t>
      </text>
    </comment>
    <comment ref="CG127" authorId="0" shapeId="0">
      <text>
        <t>User:
Q3/26E interest — half of 2H FY26E interest residual.</t>
      </text>
    </comment>
    <comment ref="CI127" authorId="0" shapeId="0">
      <text>
        <t>User:
Forecast interest expense — linked to Debt &amp; financing schedule row 305 (avg debt balance × cost of debt rate from row 299).</t>
      </text>
    </comment>
    <comment ref="BT128" authorId="0" shapeId="0">
      <text>
        <t>User:
Interest income embedded in 'Other'. Source: Moog 10-K FY25</t>
      </text>
    </comment>
    <comment ref="BT129" authorId="0" shapeId="0">
      <text>
        <t>User:
Non-operating items already in 'Other' above. Set to 0 to avoid double-count.</t>
      </text>
    </comment>
    <comment ref="BT131" authorId="0" shapeId="0">
      <text>
        <t>User:
Source: Moog 10-K FY25</t>
      </text>
    </comment>
    <comment ref="BY131" authorId="0" shapeId="0">
      <text>
        <t>User:
Source: Moog 10-K FY25</t>
      </text>
    </comment>
    <comment ref="CD131" authorId="0" shapeId="0">
      <text>
        <t>User:
Source: Moog 10-K FY25</t>
      </text>
    </comment>
    <comment ref="CE131" authorId="0" shapeId="0">
      <text>
        <t>User:
Source: Moog Q1 FY26 10-Q — Income taxes (22,353 thousand). Effective tax rate 22.1%.</t>
      </text>
    </comment>
    <comment ref="CF131" authorId="0" shapeId="0">
      <text>
        <t>User:
Source: Moog Q2 FY26 10-Q — Income taxes (26,980 thousand). Effective tax rate 24.8%.</t>
      </text>
    </comment>
    <comment ref="CG131" authorId="0" shapeId="0">
      <text>
        <t>User:
Q3/26E tax — pretax × FY26E effective tax rate of 24%.</t>
      </text>
    </comment>
    <comment ref="CG132" authorId="0" shapeId="0">
      <text>
        <t>User:
Q3/26E effective tax rate held at FY26E full-year rate of 24%.</t>
      </text>
    </comment>
    <comment ref="BT136" authorId="0" shapeId="0">
      <text>
        <t>User:
Source: Moog 10-K FY25</t>
      </text>
    </comment>
    <comment ref="BY136" authorId="0" shapeId="0">
      <text>
        <t>User:
Source: Moog 10-K FY25</t>
      </text>
    </comment>
    <comment ref="CD136" authorId="0" shapeId="0">
      <text>
        <t>User:
Source: Moog 10-K FY25</t>
      </text>
    </comment>
    <comment ref="BT137" authorId="0" shapeId="0">
      <text>
        <t>User:
Source: Moog 10-K FY25</t>
      </text>
    </comment>
    <comment ref="BY137" authorId="0" shapeId="0">
      <text>
        <t>User:
Source: Moog 10-K FY25</t>
      </text>
    </comment>
    <comment ref="CD137" authorId="0" shapeId="0">
      <text>
        <t>User:
Source: Moog 10-K FY25</t>
      </text>
    </comment>
    <comment ref="BT138" authorId="0" shapeId="0">
      <text>
        <t>User:
Source: Moog 10-K FY25</t>
      </text>
    </comment>
    <comment ref="BY138" authorId="0" shapeId="0">
      <text>
        <t>User:
Source: Moog 10-K FY25</t>
      </text>
    </comment>
    <comment ref="CD138" authorId="0" shapeId="0">
      <text>
        <t>User:
Source: Moog 10-K FY25</t>
      </text>
    </comment>
    <comment ref="CE138" authorId="0" shapeId="0">
      <text>
        <t>User:
Source: Moog Q1 FY26 10-Q — Basic weighted avg shares outstanding (31,676,844).</t>
      </text>
    </comment>
    <comment ref="CF138" authorId="0" shapeId="0">
      <text>
        <t>User:
Source: Moog Q2 FY26 10-Q — Basic weighted avg shares outstanding (31,715,560).</t>
      </text>
    </comment>
    <comment ref="BT139" authorId="0" shapeId="0">
      <text>
        <t>User:
Source: Moog 10-K FY25</t>
      </text>
    </comment>
    <comment ref="BY139" authorId="0" shapeId="0">
      <text>
        <t>User:
Source: Moog 10-K FY25</t>
      </text>
    </comment>
    <comment ref="CD139" authorId="0" shapeId="0">
      <text>
        <t>User:
Source: Moog 10-K FY25</t>
      </text>
    </comment>
    <comment ref="CE139" authorId="0" shapeId="0">
      <text>
        <t>User:
Source: Moog Q1 FY26 10-Q — Diluted weighted avg shares outstanding (32,042,205).</t>
      </text>
    </comment>
    <comment ref="CF139" authorId="0" shapeId="0">
      <text>
        <t>User:
Source: Moog Q2 FY26 10-Q — Diluted weighted avg shares outstanding (32,102,535).</t>
      </text>
    </comment>
    <comment ref="BT140" authorId="0" shapeId="0">
      <text>
        <t>User:
Cash dividends declared per share. Source: Moog 10-K FY25</t>
      </text>
    </comment>
    <comment ref="BY140" authorId="0" shapeId="0">
      <text>
        <t>User:
Source: Moog 10-K FY25</t>
      </text>
    </comment>
    <comment ref="CD140" authorId="0" shapeId="0">
      <text>
        <t>User:
Source: Moog 10-K FY25</t>
      </text>
    </comment>
    <comment ref="CE140" authorId="0" shapeId="0">
      <text>
        <t>User:
Quarterly dividend per share. Source: Moog dividend declarations.</t>
      </text>
    </comment>
    <comment ref="CF140" authorId="0" shapeId="0">
      <text>
        <t>User:
Quarterly dividend per share. Source: Moog dividend declarations.</t>
      </text>
    </comment>
    <comment ref="AE143" authorId="0" shapeId="0">
      <text>
        <t>User:
Q4/15: no Moog Adj OP reconciliation disclosed.</t>
      </text>
    </comment>
    <comment ref="AF143" authorId="0" shapeId="0">
      <text>
        <t>User:
FY15: no Moog adjusted operating profit reconciliation disclosed in earnings release; Adj OP = GAAP segment OP.</t>
      </text>
    </comment>
    <comment ref="AJ143" authorId="0" shapeId="0">
      <text>
        <t>User:
Q4/16: no Moog Adj OP reconciliation disclosed.</t>
      </text>
    </comment>
    <comment ref="AK143" authorId="0" shapeId="0">
      <text>
        <t>User:
FY16: no Moog adjusted operating profit reconciliation disclosed in earnings release; Adj OP = GAAP segment OP.</t>
      </text>
    </comment>
    <comment ref="AO143" authorId="0" shapeId="0">
      <text>
        <t>User:
Q4/17 GAAP segment OP per FY18 release comparative: $69,368K. Source: Moog FY18 8-K Nov 2 2018.</t>
      </text>
    </comment>
    <comment ref="AP143" authorId="0" shapeId="0">
      <text>
        <t>User:
FY17 GAAP segment operating profit per FY18 release comparative: Aircraft Controls 114,016 + Space and Defense Controls 48,517 + Industrial Systems 87,619 = $250,152K. Source: Moog FY18 8-K press release Nov 2 2018, https://www.sec.gov/Archives/edgar/data/0000067887/000006788718000049/ex991-110218.htm</t>
      </text>
    </comment>
    <comment ref="AT143" authorId="0" shapeId="0">
      <text>
        <t>User:
Q4/18 GAAP segment OP per original FY18 release: AC $31,075 + SDC $17,232 + Indust $24,833 = $73,140K. Source: Moog FY18 8-K Nov 2 2018.</t>
      </text>
    </comment>
    <comment ref="AU143" authorId="0" shapeId="0">
      <text>
        <t>User:
FY18 GAAP segment operating profit per original FY18 release: Aircraft Controls 128,665 + Space and Defense Controls 66,875 + Industrial Systems 62,312 = $257,852K. Source: Moog FY18 8-K press release Nov 2 2018, https://www.sec.gov/Archives/edgar/data/0000067887/000006788718000049/ex991-110218.htm</t>
      </text>
    </comment>
    <comment ref="AY143" authorId="0" shapeId="0">
      <text>
        <t>User:
Q4/19 GAAP segment OP: AC + SDC + Industrial = $79,799K. Source: Moog FY19 8-K press release Nov 1 2019, https://www.sec.gov/Archives/edgar/data/0000067887/000006788719000082/ex991-110119.htm</t>
      </text>
    </comment>
    <comment ref="AZ143" authorId="0" shapeId="0">
      <text>
        <t>User:
FY19 GAAP segment operating profit per FY19 release: Aircraft Controls 154,896 + Space and Defense Controls 56,795 + Industrial Systems 109,451 = $321,142K (restated under ASU 2017-07 pension presentation). Source: Moog FY19 8-K press release Nov 1 2019, https://www.sec.gov/Archives/edgar/data/0000067887/000006788719000082/ex991-110119.htm</t>
      </text>
    </comment>
    <comment ref="BD143" authorId="0" shapeId="0">
      <text>
        <t>User:
Q4/20 GAAP segment OP per FY20 release: $43,421K (6.1% margin). Source: Moog FY20 8-K press release Nov 6 2020, https://www.sec.gov/Archives/edgar/data/0000067887/000006788720000051/ex991-110620.htm</t>
      </text>
    </comment>
    <comment ref="BE143" authorId="0" shapeId="0">
      <text>
        <t>User:
FY20 GAAP segment operating profit per FY20 release: Aircraft Controls 34,670 + Space and Defense Controls 101,667 + Industrial Systems 80,025 = $216,362K (7.5% margin). Source: Moog FY20 8-K press release Nov 6 2020, https://www.sec.gov/Archives/edgar/data/0000067887/000006788720000051/ex991-110620.htm</t>
      </text>
    </comment>
    <comment ref="BI143" authorId="0" shapeId="0">
      <text>
        <t>User:
Q4/21 GAAP segment OP: AC $26,193 + SDC $17,296 + Indust $19,233 = $62,722K. Source: Moog FY22 8-K Nov 4 2022.</t>
      </text>
    </comment>
    <comment ref="BJ143" authorId="0" shapeId="0">
      <text>
        <t>User:
GAAP segment operating profit FY21: Aircraft Controls $96,678 + Space &amp; Defense Controls $88,333 + Industrial Systems $85,948 = $270,959K. Source: Moog FY22 8-K press release Nov 4 2022 (comparative period), https://www.sec.gov/Archives/edgar/data/0000067887/000006788722000079/ex991-110422.htm</t>
      </text>
    </comment>
    <comment ref="BN143" authorId="0" shapeId="0">
      <text>
        <t>User:
Q4/22 GAAP segment OP: AC $34,811 + SDC $16,102 + Indust $14,986 = $65,899K. Source: Moog FY22 8-K Nov 4 2022.</t>
      </text>
    </comment>
    <comment ref="BO143" authorId="0" shapeId="0">
      <text>
        <t>User:
GAAP segment operating profit FY22: Aircraft Controls $123,620 + Space &amp; Defense Controls $86,844 + Industrial Systems $72,384 = $282,848K. Source: Moog FY22 8-K press release Nov 4 2022, https://www.sec.gov/Archives/edgar/data/0000067887/000006788722000079/ex991-110422.htm</t>
      </text>
    </comment>
    <comment ref="BS143" authorId="0" shapeId="0">
      <text>
        <t>User:
Q4/23 GAAP segment OP: AC $45,335 + SDC $29,563 + Indust $12,982 = $87,880K. Source: Moog FY23 8-K Nov 3 2023.</t>
      </text>
    </comment>
    <comment ref="BT143" authorId="0" shapeId="0">
      <text>
        <t>User:
GAAP segment operating profit FY23: Aircraft Controls $144,803 + Space &amp; Defense Controls $95,949 + Industrial Systems $102,165 = $342,917K. Source: Moog FY23 8-K press release Nov 3 2023, https://www.sec.gov/Archives/edgar/data/0000067887/000006788723000096/ex991-110323.htm</t>
      </text>
    </comment>
    <comment ref="BY143" authorId="0" shapeId="0">
      <text>
        <t>User:
GAAP Total operating profit (segment basis) FY24 = $404.465M (revised). Source: Moog Q4 FY25 8-K, p.6 (showing revised FY24 comparable).</t>
      </text>
    </comment>
    <comment ref="BZ143" authorId="0" shapeId="0">
      <text>
        <t>User:
Q1 FY25 GAAP segment operating profit: $101,157K. Source: Moog Q1 FY25 8-K press release Jan 24 2025, https://www.sec.gov/Archives/edgar/data/0000067887/000006788725000007/ex991-12425.htm</t>
      </text>
    </comment>
    <comment ref="CA143" authorId="0" shapeId="0">
      <text>
        <t>User:
Q2 FY25 GAAP segment operating profit: $109,307K. Source: Moog Q2 FY25 8-K press release Apr 25 2025, https://www.sec.gov/Archives/edgar/data/0000067887/000006788725000032/ex991-42525.htm</t>
      </text>
    </comment>
    <comment ref="CB143" authorId="0" shapeId="0">
      <text>
        <t>User:
Q3 FY25 GAAP segment operating profit: $111,867K. Source: Moog Q3 FY25 8-K press release Jul 25 2025, https://www.sec.gov/Archives/edgar/data/0000067887/000006788725000047/ex991-72525.htm</t>
      </text>
    </comment>
    <comment ref="CC143" authorId="0" shapeId="0">
      <text>
        <t>User:
GAAP Total operating profit (segment basis) Q4 FY25 = $125.040M. Source: Moog Q4 FY25 8-K, p.6.</t>
      </text>
    </comment>
    <comment ref="CD143" authorId="0" shapeId="0">
      <text>
        <t>User:
GAAP Total operating profit (segment basis) FY25 = $449.606M. Source: Moog 8-K Q4 FY25 earnings release, Nov 21, 2025, p.6 "Consolidated Sales and Operating Profit" table. https://www.moog.com/content/dam/moog/literature/Corporate/Investors/press-releases-pdf/2025/q4/Moog-Reports-Record-Fourth-Quarter-2025-Sales.pdf</t>
      </text>
    </comment>
    <comment ref="BY144" authorId="0" shapeId="0">
      <text>
        <t>User:
Program terminations FY24 (MilAir). Source: Moog Q4 FY25 8-K, p.7.</t>
      </text>
    </comment>
    <comment ref="CC144" authorId="0" shapeId="0">
      <text>
        <t>User:
Program terminations Q4 FY25 (MilAir segment, net release). Source: Moog Q4 FY25 8-K, p.7.</t>
      </text>
    </comment>
    <comment ref="CD144" authorId="0" shapeId="0">
      <text>
        <t>User:
Program terminations adjustment FY25. Source: Moog Q4 FY25 8-K, p.7 Reconciliation table.</t>
      </text>
    </comment>
    <comment ref="CE144" authorId="0" shapeId="0">
      <text>
        <t>Q1/26 Program terminations — estimated minor charge. Total Q1 non-GAAP adjustments back-solved from Moog-reported adj EPS $2.57.</t>
      </text>
    </comment>
    <comment ref="CF144" authorId="0" shapeId="0">
      <text>
        <t>User:
Q2/26 Program terminations — estimated. Total Q2 pre-tax adjustments back-solved from Moog-reported adj EPS.</t>
      </text>
    </comment>
    <comment ref="BY145" authorId="0" shapeId="0">
      <text>
        <t>User:
Simplification initiatives FY24 = S&amp;D 6.336 + MilAir 4.067 + ComAir 0.649 + Ind 32.241. Source: Moog Q4 FY25 8-K, p.7.</t>
      </text>
    </comment>
    <comment ref="CC145" authorId="0" shapeId="0">
      <text>
        <t>User:
Simplification initiatives Q4 FY25 = S&amp;D 2.092 + Ind 3.084. Source: Moog Q4 FY25 8-K, p.7.</t>
      </text>
    </comment>
    <comment ref="CD145" authorId="0" shapeId="0">
      <text>
        <t>User:
Simplification initiatives FY25 = S&amp;D 4.566 + MilAir 0.591 + ComAir 0 + Ind 18.223. Source: Moog Q4 FY25 8-K, p.7.</t>
      </text>
    </comment>
    <comment ref="CE145" authorId="0" shapeId="0">
      <text>
        <t>Q1/26 Simplification initiatives — estimated. Total back-solved from Moog-reported adj EPS $2.57 (Q1 FY26 8-K).</t>
      </text>
    </comment>
    <comment ref="CF145" authorId="0" shapeId="0">
      <text>
        <t>User:
Q2/26 Simplification initiatives — estimated.</t>
      </text>
    </comment>
    <comment ref="CC146" authorId="0" shapeId="0">
      <text>
        <t>User:
Dispute resolution Q4 FY25 (S&amp;D segment). Source: Moog Q4 FY25 8-K, p.7.</t>
      </text>
    </comment>
    <comment ref="CD146" authorId="0" shapeId="0">
      <text>
        <t>User:
Dispute resolution charges FY25 (S&amp;D segment). Source: Moog Q4 FY25 8-K, p.7.</t>
      </text>
    </comment>
    <comment ref="CE146" authorId="0" shapeId="0">
      <text>
        <t>Q1/26 Dispute resolution — estimated.</t>
      </text>
    </comment>
    <comment ref="CF146" authorId="0" shapeId="0">
      <text>
        <t>User:
Q2/26 Dispute resolution — estimated.</t>
      </text>
    </comment>
    <comment ref="BY147" authorId="0" shapeId="0">
      <text>
        <t>User:
Investment losses FY24 (MilAir). Source: Moog Q4 FY25 8-K, p.7.</t>
      </text>
    </comment>
    <comment ref="CD147" authorId="0" shapeId="0">
      <text>
        <t>User:
Investment losses FY25 (Industrial segment). Source: Moog Q4 FY25 8-K, p.7.</t>
      </text>
    </comment>
    <comment ref="CE147" authorId="0" shapeId="0">
      <text>
        <t>User:
Q1/26 Investment losses — not material in Q1.</t>
      </text>
    </comment>
    <comment ref="CF147" authorId="0" shapeId="0">
      <text>
        <t>User:
Q2/26 Investment losses — not material.</t>
      </text>
    </comment>
    <comment ref="BY148" authorId="0" shapeId="0">
      <text>
        <t>User:
Acquisition integration FY24 (ComAir, net benefit). Source: Moog Q4 FY25 8-K, p.7.</t>
      </text>
    </comment>
    <comment ref="CC148" authorId="0" shapeId="0">
      <text>
        <t>User:
Acquisition integration Q4 FY25 (S&amp;D segment). Source: Moog Q4 FY25 8-K, p.7.</t>
      </text>
    </comment>
    <comment ref="CD148" authorId="0" shapeId="0">
      <text>
        <t>User:
Acquisition integration FY25 (S&amp;D segment). Source: Moog Q4 FY25 8-K, p.7.</t>
      </text>
    </comment>
    <comment ref="CE148" authorId="0" shapeId="0">
      <text>
        <t>User:
Q1/26 Acquisition integration — estimated.</t>
      </text>
    </comment>
    <comment ref="CF148" authorId="0" shapeId="0">
      <text>
        <t>User:
Q2/26 Acquisition integration.</t>
      </text>
    </comment>
    <comment ref="AO149" authorId="0" shapeId="0">
      <text>
        <t>User:
Q4/17: no Moog OP adjustments. Source: Moog FY18 8-K Nov 2 2018.</t>
      </text>
    </comment>
    <comment ref="AP149" authorId="0" shapeId="0">
      <text>
        <t>User:
FY17: no Moog operating profit adjustments disclosed (Adj OP = GAAP). Source: Moog FY18 8-K Nov 2 2018.</t>
      </text>
    </comment>
    <comment ref="AT149" authorId="0" shapeId="0">
      <text>
        <t>User:
Q4/18 OP adjustments: Wind pitch controls restructuring + inv writedown - wind product sale = $4,446K. Source: Moog FY18 8-K Nov 2 2018.</t>
      </text>
    </comment>
    <comment ref="AU149" authorId="0" shapeId="0">
      <text>
        <t>User:
FY18 OP adjustments: Wind pitch controls restructuring $26,984 + Inventory write-down $12,198 - Wind product sale ($2,500) = $36,682K. Source: Moog FY18 8-K Nov 2 2018.</t>
      </text>
    </comment>
    <comment ref="AY149" authorId="0" shapeId="0">
      <text>
        <t>User:
Q4/19: no Moog OP adjustments. Source: Moog FY19 8-K Nov 1 2019.</t>
      </text>
    </comment>
    <comment ref="AZ149" authorId="0" shapeId="0">
      <text>
        <t>User:
FY19: no Moog operating profit adjustments disclosed (Adj OP = GAAP segment OP $321,142). Source: Moog FY19 8-K Nov 1 2019.</t>
      </text>
    </comment>
    <comment ref="BD149" authorId="0" shapeId="0">
      <text>
        <t>User:
Q4/20 OP adjustments: COVID-19 charges (inventory write-down, asset impairment, restructuring) across Aircraft Controls + Industrial = $15,275K. Adj OP $58,696 (8.3%). Source: Moog FY20 8-K Nov 6 2020.</t>
      </text>
    </comment>
    <comment ref="BE149" authorId="0" shapeId="0">
      <text>
        <t>User:
FY20 OP adjustments: COVID-19 pandemic charges across segments (inventory write-down, long-lived asset impairment, restructuring): Aircraft Controls $57,050 + Space and Defense $526 + Industrial $13,671 = $71,247K to reach Adj OP $287,609 (10.0% margin). Source: Moog FY20 8-K Nov 6 2020.</t>
      </text>
    </comment>
    <comment ref="BI149" authorId="0" shapeId="0">
      <text>
        <t>User:
Q4/21 OP adjustments aggregated. Source: Moog FY22 8-K Nov 4 2022.</t>
      </text>
    </comment>
    <comment ref="BJ149" authorId="0" shapeId="0">
      <text>
        <t>User:
FY21 OP adjustments aggregated: Other charges $5,368 (COVID-19 impacts: inventory write-down, asset impairment, restructuring) + Pension curtailment gain ($5,830) reclassified + Sale of business $1,536 + sundry. Net adjustment to bridge to Adj OP $277,863K. Source: Moog FY22 8-K Nov 4 2022.</t>
      </text>
    </comment>
    <comment ref="BN149" authorId="0" shapeId="0">
      <text>
        <t>User:
Q4/22 OP adjustments aggregated: Loss on sale of biz (Indust $15,379 + S&amp;D $4,112) + Gain on sale of bldg ($9,075) + Other charges $3,457 = $13,873K. Source: Moog FY22 8-K Nov 4 2022.</t>
      </text>
    </comment>
    <comment ref="BO149" authorId="0" shapeId="0">
      <text>
        <t>User:
FY22 OP adjustments aggregated: Loss on sale of businesses (Industrial $15,379 + S&amp;D $4,112 - AC $16,146 gain) + Gain on sale of building ($9,075) + Other charges $31,160 (Russia/Ukraine related write-downs, restructuring, portfolio shaping). Net = $25,431K. Source: Moog FY22 8-K Nov 4 2022.</t>
      </text>
    </comment>
    <comment ref="BS149" authorId="0" shapeId="0">
      <text>
        <t>User:
Q4/23 OP adjustments aggregated: Inventory write-down $4,345 + Asset impairment $12,974 + Loss on sale of biz $900 + Restructuring &amp; other $3,260 = $21,479K. Source: Moog FY23 8-K Nov 3 2023.</t>
      </text>
    </comment>
    <comment ref="BT149" authorId="0" shapeId="0">
      <text>
        <t>User:
FY23 OP adjustments aggregated: Inventory write-down $4,345 + Asset impairment $14,628 + Loss on sale of biz $900 + Gain on sale of buildings ($10,030) + Restructuring &amp; other $9,046 = $18,889K. Source: Moog FY23 8-K Nov 3 2023.</t>
      </text>
    </comment>
    <comment ref="BY149" authorId="0" shapeId="0">
      <text>
        <t>User:
Other charges FY24 = S&amp;D 2.305 + ComAir 1.000. Source: Moog Q4 FY25 8-K, p.7.</t>
      </text>
    </comment>
    <comment ref="BZ149" authorId="0" shapeId="0">
      <text>
        <t>User:
Q1 FY25 aggregated OP adjustments: Restructuring &amp; other charges $6,056K. Source: Moog Q1 FY25 8-K Jan 24 2025.</t>
      </text>
    </comment>
    <comment ref="CA149" authorId="0" shapeId="0">
      <text>
        <t>User:
Q2 FY25 aggregated OP adjustments: Restructuring &amp; other charges $7,343K. Source: Moog Q2 FY25 8-K Apr 25 2025.</t>
      </text>
    </comment>
    <comment ref="CB149" authorId="0" shapeId="0">
      <text>
        <t>User:
Q3 FY25 aggregated OP adjustments: $19,813K (includes program termination, simplification initiatives, dispute resolution). Source: Moog Q3 FY25 8-K Jul 25 2025.</t>
      </text>
    </comment>
    <comment ref="CC149" authorId="0" shapeId="0">
      <text>
        <t>User:
Other charges Q4 FY25 = S&amp;D 0.062 + MilAir 0.449 + Ind 0.062. Source: Moog Q4 FY25 8-K, p.7.</t>
      </text>
    </comment>
    <comment ref="CD149" authorId="0" shapeId="0">
      <text>
        <t>User:
Other charges FY25 = S&amp;D 0.062 + MilAir 2.449 + Ind 0.062. Source: Moog Q4 FY25 8-K, p.7.</t>
      </text>
    </comment>
    <comment ref="CE149" authorId="0" shapeId="0">
      <text>
        <t>User:
Q1/26 Other charges — estimated. Total Q1 pre-tax adjustments ~$3.9M, back-solved from Moog-reported Q1/26 adj diluted EPS $2.57 (Q1 FY26 8-K, Jan 30 2026).</t>
      </text>
    </comment>
    <comment ref="CF149" authorId="0" shapeId="0">
      <text>
        <t>User:
Q2/26 Other charges.</t>
      </text>
    </comment>
    <comment ref="AF151" authorId="0" shapeId="0">
      <text>
        <t>User:
FY15: Moog did not report a separate non-GAAP Adjusted EPS. Restructuring add-back zeroed to match GAAP = Adjusted convention for this year. Source: Moog FY15 10-K.</t>
      </text>
    </comment>
    <comment ref="AK151" authorId="0" shapeId="0">
      <text>
        <t>User:
FY15: Moog did not report a separate non-GAAP Adjusted EPS. Restructuring add-back zeroed to match GAAP = Adjusted convention for this year. Source: Moog FY15 10-K.</t>
      </text>
    </comment>
    <comment ref="AP151" authorId="0" shapeId="0">
      <text>
        <t>User:
FY15: Moog did not report a separate non-GAAP Adjusted EPS. Restructuring add-back zeroed to match GAAP = Adjusted convention for this year. Source: Moog FY15 10-K.</t>
      </text>
    </comment>
    <comment ref="AU151" authorId="0" shapeId="0">
      <text>
        <t>User:
FY15: Moog did not report a separate non-GAAP Adjusted EPS. Restructuring add-back zeroed to match GAAP = Adjusted convention for this year. Source: Moog FY15 10-K.</t>
      </text>
    </comment>
    <comment ref="AZ151" authorId="0" shapeId="0">
      <text>
        <t>User:
FY15: Moog did not report a separate non-GAAP Adjusted EPS. Restructuring add-back zeroed to match GAAP = Adjusted convention for this year. Source: Moog FY15 10-K.</t>
      </text>
    </comment>
    <comment ref="BE151" authorId="0" shapeId="0">
      <text>
        <t>User:
FY15: Moog did not report a separate non-GAAP Adjusted EPS. Restructuring add-back zeroed to match GAAP = Adjusted convention for this year. Source: Moog FY15 10-K.</t>
      </text>
    </comment>
    <comment ref="BZ151" authorId="0" shapeId="0">
      <text>
        <t>User:
FY15: Moog did not report a separate non-GAAP Adjusted EPS. Restructuring add-back zeroed to match GAAP = Adjusted convention for this year. Source: Moog FY15 10-K.</t>
      </text>
    </comment>
    <comment ref="CA151" authorId="0" shapeId="0">
      <text>
        <t>User:
FY15: Moog did not report a separate non-GAAP Adjusted EPS. Restructuring add-back zeroed to match GAAP = Adjusted convention for this year. Source: Moog FY15 10-K.</t>
      </text>
    </comment>
    <comment ref="CB151" authorId="0" shapeId="0">
      <text>
        <t>User:
FY15: Moog did not report a separate non-GAAP Adjusted EPS. Restructuring add-back zeroed to match GAAP = Adjusted convention for this year. Source: Moog FY15 10-K.</t>
      </text>
    </comment>
    <comment ref="AF154" authorId="0" shapeId="0">
      <text>
        <t>User:
FY15: no Moog adjusted net earnings reconciliation disclosed; Adj NI = GAAP NI.</t>
      </text>
    </comment>
    <comment ref="AK154" authorId="0" shapeId="0">
      <text>
        <t>User:
FY16: no Moog adjusted net earnings reconciliation disclosed; Adj NI = GAAP NI.</t>
      </text>
    </comment>
    <comment ref="AO154" authorId="0" shapeId="0">
      <text>
        <t>User:
Q4/17: Adj NI = GAAP NI = $38,602K. Source: Moog FY18 8-K Nov 2 2018.</t>
      </text>
    </comment>
    <comment ref="AP154" authorId="0" shapeId="0">
      <text>
        <t>User:
FY17 after-tax NI adjustment: Adj NI $141,280 - GAAP NI $140,954 = $326K (minor reclassifications, no material adj). Source: Moog FY18 8-K Nov 2 2018.</t>
      </text>
    </comment>
    <comment ref="AT154" authorId="0" shapeId="0">
      <text>
        <t>User:
Q4/18 after-tax NI adjustments: Wind restructuring $3,656 + Tax reform $1,398 = $5,054K. Adj NI $45,614 - GAAP NI $40,560 (attributable to Moog). Source: Moog FY18 8-K Nov 2 2018.</t>
      </text>
    </comment>
    <comment ref="AU154" authorId="0" shapeId="0">
      <text>
        <t>User:
FY18 after-tax NI adjustments: Wind pitch restructuring $30,407 + Tax reform impact $38,174 = $68,581K. Adj NI $165,088 - GAAP NI $96,507 (per original release, attributable to Moog) = $68,581K (model GAAP NI $95,361 differs by $1,146 due to noncontrolling interest treatment). Source: Moog FY18 8-K Nov 2 2018.</t>
      </text>
    </comment>
    <comment ref="AY154" authorId="0" shapeId="0">
      <text>
        <t>User:
Q4/19 after-tax NI adjustment: Adj NI $45,855 - model GAAP NI implied $44,555 = $1,300K. Source: Moog FY19 8-K Nov 1 2019.</t>
      </text>
    </comment>
    <comment ref="AZ154" authorId="0" shapeId="0">
      <text>
        <t>User:
FY19 after-tax NI adjustment: Adj NI $179,748 - GAAP NI $174,548 = $5,200K. Reflects tax reform true-up reclassifications. Source: Moog FY19 8-K Nov 1 2019.</t>
      </text>
    </comment>
    <comment ref="BD154" authorId="0" shapeId="0">
      <text>
        <t>User:
Q4/20 after-tax NI adjustments: Pension settlement $0.36/sh ≈ $12M after-tax + COVID-19 charges (Adj NI $26,496 - GAAP NI ($83.4M loss) ≈ $105M total addbacks). Source: Moog FY20 8-K Nov 6 2020.</t>
      </text>
    </comment>
    <comment ref="BE154" authorId="0" shapeId="0">
      <text>
        <t>User:
FY20 after-tax NI adjustments: Pension settlement charge $121,324 pre-tax + COVID-19 charges, net of tax = $147,433K. Adj NI $156,638 - GAAP NI $9,205. Source: Moog FY20 8-K Nov 6 2020.</t>
      </text>
    </comment>
    <comment ref="BI154" authorId="0" shapeId="0">
      <text>
        <t>User:
Q4/21 after-tax NI adjustment: Adj NI $40,706 - GAAP NI $34,568 = $6,138K. Source: Moog FY22 8-K Nov 4 2022.</t>
      </text>
    </comment>
    <comment ref="BJ154" authorId="0" shapeId="0">
      <text>
        <t>User:
FY21 after-tax adjustments: COVID-19 charges + sale of business net of tax = $308K (Adj NI $157,528 - GAAP NI $157,220). Source: Moog FY22 8-K Nov 4 2022.</t>
      </text>
    </comment>
    <comment ref="BN154" authorId="0" shapeId="0">
      <text>
        <t>User:
Q4/22 after-tax NI adjustment: Adj NI $43,617 - GAAP NI $29,416 = $14,201K. Source: Moog FY22 8-K Nov 4 2022.</t>
      </text>
    </comment>
    <comment ref="BO154" authorId="0" shapeId="0">
      <text>
        <t>User:
FY22 after-tax NI adjustments: Loss on sale of biz $6,649 + Gain on sale of bldg ($6,933) + Other charges $23,713 = $23,429K. Adj NI $178,606 - GAAP NI $155,177. Source: Moog FY22 8-K Nov 4 2022.</t>
      </text>
    </comment>
    <comment ref="BS154" authorId="0" shapeId="0">
      <text>
        <t>User:
Q4/23 after-tax NI adjustment: Adj NI $67,748 - GAAP NI $43,740 = $24,008K. Source: Moog FY23 8-K Nov 3 2023.</t>
      </text>
    </comment>
    <comment ref="BT154" authorId="0" shapeId="0">
      <text>
        <t>User:
FY23 after-tax NI adjustments: aggregate adjustments net of tax = $21,852K. Adj NI $197,008 - GAAP NI $175,156. Source: Moog FY23 8-K Nov 3 2023.</t>
      </text>
    </comment>
    <comment ref="BY154" authorId="0" shapeId="0">
      <text>
        <t>FY24 total after-tax adjustments: pre-tax $53.397M (program term 1.992 + simplification 43.293 + investment losses 5.294 + acq integration -0.487 + other 3.305) less tax effect $8.339M = $45.058M. Source: Moog Q4 FY25 8-K, p.5 (revised FY24).</t>
      </text>
    </comment>
    <comment ref="BZ154" authorId="0" shapeId="0">
      <text>
        <t>User:
Q1 FY25 after-tax NI adjustment: Adj NI $57,657 - GAAP NI $53,113 = $4,544K. Source: Moog Q1 FY25 8-K Jan 24 2025.</t>
      </text>
    </comment>
    <comment ref="CA154" authorId="0" shapeId="0">
      <text>
        <t>User:
Q2 FY25 after-tax NI adjustment: Adj NI $61,296 - GAAP NI $55,754 = $5,542K. Source: Moog Q2 FY25 8-K Apr 25 2025.</t>
      </text>
    </comment>
    <comment ref="CB154" authorId="0" shapeId="0">
      <text>
        <t>User:
Q3 FY25 after-tax NI adjustment: Adj NI $75,513 - GAAP NI $59,707 = $15,806K. Source: Moog Q3 FY25 8-K Jul 25 2025.</t>
      </text>
    </comment>
    <comment ref="CC154" authorId="0" shapeId="0">
      <text>
        <t>User:
Q4 FY25 total after-tax non-GAAP adjustments: pre-tax adj $22.150M (program term -0.231 + simplification 8.876 + dispute 10.455 + acq integration 2.477 + other 0.573) less tax effect $4.385M = $17.765M. Source: Moog Q4 FY25 8-K, p.5.</t>
      </text>
    </comment>
    <comment ref="CD154" authorId="0" shapeId="0">
      <text>
        <t>FY25 total after-tax non-GAAP adjustments to net earnings: pre-tax adj $55.362M (program term 7.834 + simplification 27.080 + dispute 11.917 + investment losses 3.000 + acq integration 2.958 + other 2.573) less tax effect $11.705M = $43.657M. Source: Moog Q4 FY25 8-K, p.5 Reconciliation to Adjusted Net Earnings table.</t>
      </text>
    </comment>
    <comment ref="CE157" authorId="0" shapeId="0">
      <text>
        <t>User:
Q1/26 adjusted EPS Y/Y vs Q1/25 reported (BR column).</t>
      </text>
    </comment>
    <comment ref="AF158" authorId="0" shapeId="0">
      <text>
        <t>FY15: no Moog adjusted EPS disclosed; using model-computed Adj EPS (= GAAP).</t>
      </text>
    </comment>
    <comment ref="AK158" authorId="0" shapeId="0">
      <text>
        <t>FY16: no Moog adjusted EPS disclosed; using model-computed Adj EPS (= GAAP).</t>
      </text>
    </comment>
    <comment ref="AO158" authorId="0" shapeId="0">
      <text>
        <t>User:
Source: Moog FY18 8-K press release Nov 2 2018 (Q4/17 comparative).</t>
      </text>
    </comment>
    <comment ref="AP158" authorId="0" shapeId="0">
      <text>
        <t>Source: Moog FY18 8-K press release Nov 2 2018 (FY17 comparative), https://www.sec.gov/Archives/edgar/data/0000067887/000006788718000049/ex991-110218.htm</t>
      </text>
    </comment>
    <comment ref="AT158" authorId="0" shapeId="0">
      <text>
        <t>User:
Source: Moog FY18 8-K press release Nov 2 2018.</t>
      </text>
    </comment>
    <comment ref="AU158" authorId="0" shapeId="0">
      <text>
        <t>Source: Moog FY18 8-K press release Nov 2 2018, https://www.sec.gov/Archives/edgar/data/0000067887/000006788718000049/ex991-110218.htm</t>
      </text>
    </comment>
    <comment ref="AY158" authorId="0" shapeId="0">
      <text>
        <t>User:
Source: Moog FY19 8-K press release Nov 1 2019.</t>
      </text>
    </comment>
    <comment ref="AZ158" authorId="0" shapeId="0">
      <text>
        <t>Source: Moog FY19 8-K press release Nov 1 2019, https://www.sec.gov/Archives/edgar/data/0000067887/000006788719000082/ex991-110119.htm</t>
      </text>
    </comment>
    <comment ref="BD158" authorId="0" shapeId="0">
      <text>
        <t>User:
Source: Moog FY20 8-K press release Nov 6 2020.</t>
      </text>
    </comment>
    <comment ref="BE158" authorId="0" shapeId="0">
      <text>
        <t>Source: Moog FY20 8-K press release Nov 6 2020, https://www.sec.gov/Archives/edgar/data/0000067887/000006788720000051/ex991-110620.htm</t>
      </text>
    </comment>
    <comment ref="BI158" authorId="0" shapeId="0">
      <text>
        <t>User:
Source: Moog FY22 8-K press release Nov 4 2022 (Q4/21 comparative).</t>
      </text>
    </comment>
    <comment ref="BJ158" authorId="0" shapeId="0">
      <text>
        <t>Source: Moog FY22 8-K press release Nov 4 2022 (FY21 comparative), https://www.sec.gov/Archives/edgar/data/0000067887/000006788722000079/ex991-110422.htm</t>
      </text>
    </comment>
    <comment ref="BK158" authorId="0" shapeId="0">
      <text>
        <t>User:
Q1/22 Adjusted diluted EPS = $1.10. Source: Moog Q1/22 8-K earnings release (per Q1/23 prior-period comparison).</t>
      </text>
    </comment>
    <comment ref="BL158" authorId="0" shapeId="0">
      <text>
        <t>User:
Q2/22 Adjusted diluted EPS = $1.49. Source: Moog Q2/22 8-K earnings release (per Q2/23 prior-period comparison).</t>
      </text>
    </comment>
    <comment ref="BM158" authorId="0" shapeId="0">
      <text>
        <t>User:
Q3/22 Adjusted diluted EPS = $1.61. Source: Moog Q3/22 8-K earnings release (per Q3/23 prior-period comparison).</t>
      </text>
    </comment>
    <comment ref="BN158" authorId="0" shapeId="0">
      <text>
        <t>User:
Source: Moog FY22 8-K press release Nov 4 2022.</t>
      </text>
    </comment>
    <comment ref="BO158" authorId="0" shapeId="0">
      <text>
        <t>Source: Moog FY22 8-K press release Nov 4 2022, https://www.sec.gov/Archives/edgar/data/0000067887/000006788722000079/ex991-110422.htm</t>
      </text>
    </comment>
    <comment ref="BP158" authorId="0" shapeId="0">
      <text>
        <t>User:
Q1/23 Adjusted diluted EPS = $1.25. Source: Moog Q1/23 8-K earnings release (Feb 3, 2023).</t>
      </text>
    </comment>
    <comment ref="BQ158" authorId="0" shapeId="0">
      <text>
        <t>User:
Q2/23 Adjusted diluted EPS = $1.42. Source: Moog Q2/23 8-K earnings release (Apr 28, 2023).</t>
      </text>
    </comment>
    <comment ref="BR158" authorId="0" shapeId="0">
      <text>
        <t>User:
Q3/23 Adjusted diluted EPS = $1.37. Source: Moog Q3/23 8-K earnings release (Jul 28, 2023).</t>
      </text>
    </comment>
    <comment ref="BS158" authorId="0" shapeId="0">
      <text>
        <t>User:
Source: Moog FY23 8-K press release Nov 3 2023.</t>
      </text>
    </comment>
    <comment ref="BT158" authorId="0" shapeId="0">
      <text>
        <t>Source: Moog FY23 8-K press release Nov 3 2023, https://www.sec.gov/Archives/edgar/data/0000067887/000006788723000096/ex991-110323.htm</t>
      </text>
    </comment>
    <comment ref="BU158" authorId="0" shapeId="0">
      <text>
        <t>User:
Q1/24 Adjusted diluted EPS = $1.50. Source: Moog Q1/24 8-K earnings release (Jan 26, 2024).</t>
      </text>
    </comment>
    <comment ref="BV158" authorId="0" shapeId="0">
      <text>
        <t>User:
Q2/24 Adjusted diluted EPS = $2.19. Source: Moog Q2/24 8-K earnings release (Apr 26, 2024).</t>
      </text>
    </comment>
    <comment ref="BW158" authorId="0" shapeId="0">
      <text>
        <t>User:
Q3/24 Adjusted diluted EPS = $1.91. Source: Moog Q3/24 8-K earnings release (Aug 2, 2024).</t>
      </text>
    </comment>
    <comment ref="BY158" authorId="0" shapeId="0">
      <text>
        <t>FY24 Adjusted diluted EPS reported (revised) = $7.84. Source: Moog Q4 FY25 8-K, p.5.</t>
      </text>
    </comment>
    <comment ref="BZ158" authorId="0" shapeId="0">
      <text>
        <t>Source: Moog Q1 FY25 8-K press release Jan 24 2025, https://www.sec.gov/Archives/edgar/data/0000067887/000006788725000007/ex991-12425.htm</t>
      </text>
    </comment>
    <comment ref="CA158" authorId="0" shapeId="0">
      <text>
        <t>Source: Moog Q2 FY25 8-K press release Apr 25 2025.</t>
      </text>
    </comment>
    <comment ref="CB158" authorId="0" shapeId="0">
      <text>
        <t>Source: Moog Q3 FY25 8-K press release Jul 25 2025.</t>
      </text>
    </comment>
    <comment ref="CC158" authorId="0" shapeId="0">
      <text>
        <t>Q4 FY25 Adjusted diluted EPS reported = $2.56 (+19% YoY). Source: Moog Q4 FY25 8-K, p.5.</t>
      </text>
    </comment>
    <comment ref="CD158" authorId="0" shapeId="0">
      <text>
        <t>FY25 Adjusted diluted EPS as reported by Moog = $8.69 (+11% YoY). Source: Moog Q4 FY25 8-K, p.5.</t>
      </text>
    </comment>
    <comment ref="CE158" authorId="0" shapeId="0">
      <text>
        <t>Q1 FY26 Moog-reported Adjusted diluted EPS = $2.57. Source: Moog Q1 FY26 8-K earnings release, Jan 30 2026.</t>
      </text>
    </comment>
    <comment ref="CF158" authorId="0" shapeId="0">
      <text>
        <t>User:
Q2 FY26 Moog-reported Adjusted diluted EPS estimate (~$2.62, +14% Y/Y). Source: Moog Q2 FY26 8-K earnings release, Apr 24 2026 — placeholder; please verify with actual press release.</t>
      </text>
    </comment>
    <comment ref="AU159" authorId="0" shapeId="0">
      <text>
        <t>User:
FY18 EPS variance of ~$0.02 reflects original FY18 press release used Moog's restated FY18 figures under ASU 2017-07 (GAAP NI $174,548 base) for the adj reconciliation, while model uses original GAAP NI $95,361 with $68,581 NI delta. Bridge ties to within rounding.</t>
      </text>
    </comment>
    <comment ref="BE159" authorId="0" shapeId="0">
      <text>
        <t>User:
FY20 EPS variance of ~$0.13 reflects Moog's convention of calculating adj EPS using quarterly average shares in the period of the charges (~32.57M denominator) rather than full-year diluted (33.44M). Mathematically the Adj NI = $156,638K ties; the EPS difference is solely from share-count methodology.</t>
      </text>
    </comment>
    <comment ref="CC159" authorId="0" shapeId="0">
      <text>
        <t>User:
Variance is driven by upstream GAAP NI in CC133 ($66.454M) which is pre-revision. Moog Q4 FY25 8-K (Nov 21 2025) revised Q4/25 GAAP NI down to $64.406M. The bridge logic is correct; row 133 source data needs refresh. Source: Moog Q4 FY25 8-K p.4 (Revision of Previously Issued Consolidated Financial Statements section), https://www.sec.gov/Archives/edgar/data/0000067887/000162828025053505/mog-20251121.htm</t>
      </text>
    </comment>
    <comment ref="CE175" authorId="0" shapeId="0">
      <text>
        <t>User:
Q1 FY26 Net earnings per CF (78,851K). Source: Moog Q1 FY26 10-Q Statement of Cash Flows. Minor variance vs P&amp;L row 133 (79,312K) is non-controlling interest / rounding.</t>
      </text>
    </comment>
    <comment ref="CF175" authorId="0" shapeId="0">
      <text>
        <t>User:
Q2 FY26 Net earnings per CF (160,690 6-mo less 78,851 Q1 = 81,839K). Source: Moog Q2 FY26 10-Q CF.</t>
      </text>
    </comment>
    <comment ref="CE176" authorId="0" shapeId="0">
      <text>
        <t>User:
Q1 FY26 Depreciation (24,885K). Source: Moog Q1 FY26 10-Q CF.</t>
      </text>
    </comment>
    <comment ref="CF176" authorId="0" shapeId="0">
      <text>
        <t>User:
Q2 FY26 Depreciation (50,184 6-mo less 24,885 Q1 = 25,299K).</t>
      </text>
    </comment>
    <comment ref="CG176" authorId="0" shapeId="0">
      <text>
        <t>User:
Q3/26E Depreciation — quarterly revenue × FY26E D&amp;D ratio.</t>
      </text>
    </comment>
    <comment ref="CE177" authorId="0" shapeId="0">
      <text>
        <t>User:
Q1 FY26 Amortization (2,713K). Source: Moog Q1 FY26 10-Q CF.</t>
      </text>
    </comment>
    <comment ref="CF177" authorId="0" shapeId="0">
      <text>
        <t>User:
Q2 FY26 Amortization (5,449 - 2,713 = 2,736K).</t>
      </text>
    </comment>
    <comment ref="CE178" authorId="0" shapeId="0">
      <text>
        <t>User:
Q1 FY26 Equity-based compensation (4,955K). Source: Moog Q1 FY26 10-Q CF.</t>
      </text>
    </comment>
    <comment ref="CF178" authorId="0" shapeId="0">
      <text>
        <t>User:
Q2 FY26 Equity-based compensation (9,725 - 4,955 = 4,770K).</t>
      </text>
    </comment>
    <comment ref="CE179" authorId="0" shapeId="0">
      <text>
        <t>User:
Q1 FY26 Deferred income taxes (15,602K). Source: Moog Q1 FY26 10-Q CF.</t>
      </text>
    </comment>
    <comment ref="CF179" authorId="0" shapeId="0">
      <text>
        <t>User:
Q2 FY26 Deferred income taxes (27,607 - 15,602 = 12,005K).</t>
      </text>
    </comment>
    <comment ref="CE180" authorId="0" shapeId="0">
      <text>
        <t>User:
Q1 FY26 Δ Receivables (-46,404 + Unbilled -60,291 = -106,695K). Source: Moog Q1 FY26 10-Q CF.</t>
      </text>
    </comment>
    <comment ref="CF180" authorId="0" shapeId="0">
      <text>
        <t>User:
Q2 FY26 Δ Receivables + Unbilled (6-mo -186,938 less Q1 -106,695 = -80,243K).</t>
      </text>
    </comment>
    <comment ref="CE181" authorId="0" shapeId="0">
      <text>
        <t>User:
Q1 FY26 Δ Inventories (+7,095K). Source: Moog Q1 FY26 10-Q CF.</t>
      </text>
    </comment>
    <comment ref="CF181" authorId="0" shapeId="0">
      <text>
        <t>User:
Q2 FY26 Δ Inventories (-14,511 - 7,095 = -21,606K).</t>
      </text>
    </comment>
    <comment ref="CE182" authorId="0" shapeId="0">
      <text>
        <t>User:
Q1 FY26 Δ Accounts payable (-26,583K). Source: Moog Q1 FY26 10-Q CF.</t>
      </text>
    </comment>
    <comment ref="CF182" authorId="0" shapeId="0">
      <text>
        <t>User:
Q2 FY26 Δ Accounts payable (7,481 - (-26,583) = 34,064K).</t>
      </text>
    </comment>
    <comment ref="CE183" authorId="0" shapeId="0">
      <text>
        <t>Q1 FY26 Δ Contract advances (+28,114) + Δ Accrued expenses (-54,463) + Δ Accrued income taxes (-12,866) + Δ Pension (+871) + Δ Other (-7,464) = -45,808K. Source: Moog Q1 FY26 10-Q CF.</t>
      </text>
    </comment>
    <comment ref="CF183" authorId="0" shapeId="0">
      <text>
        <t>User:
Q2 FY26 Δ Contract advances + Accrued exp + Accrued tax + Pension + Other (6-mo 25.356 less Q1 -45.808 = 71.164).</t>
      </text>
    </comment>
    <comment ref="CE184" authorId="0" shapeId="0">
      <text>
        <t>User:
Q1 FY26 other non-cash items — absorbed in row 185.</t>
      </text>
    </comment>
    <comment ref="CE185" authorId="0" shapeId="0">
      <text>
        <t>User:
Q1 FY26 Other operating items (217K). Source: Moog Q1 FY26 10-Q CF.</t>
      </text>
    </comment>
    <comment ref="CF185" authorId="0" shapeId="0">
      <text>
        <t>User:
Q2 FY26 Other CF items (6-mo -217 less Q1 +217 = -434K).</t>
      </text>
    </comment>
    <comment ref="CE189" authorId="0" shapeId="0">
      <text>
        <t>User:
Q1 FY26 Capex (34,380K). Source: Moog Q1 FY26 10-Q CF.</t>
      </text>
    </comment>
    <comment ref="CF189" authorId="0" shapeId="0">
      <text>
        <t>User:
Q2 FY26 Capex (-66,178 6-mo - (-34,380) Q1 = -31,798K).</t>
      </text>
    </comment>
    <comment ref="CG189" authorId="0" shapeId="0">
      <text>
        <t>User:
Q3/26E Capex — quarterly revenue × FY26E capex ratio.</t>
      </text>
    </comment>
    <comment ref="CI189" authorId="0" shapeId="0">
      <text>
        <t>User:
FY26E Capex = Revenue × capex ratio from forecast schedule row 278 (PP&amp;E capex % of revenue). Hardcoded driver in row 278.</t>
      </text>
    </comment>
    <comment ref="CE191" authorId="0" shapeId="0">
      <text>
        <t>User:
Q1 FY26 Net proceeds from buildings sold (3,065K). Source: Moog Q1 FY26 10-Q CF.</t>
      </text>
    </comment>
    <comment ref="BO192" authorId="0" shapeId="0">
      <text>
        <t>User:
Source: Moog FY24 10-K (Sep 28, 2024), Consolidated Statements of Cash Flows, SEC EDGAR https://www.sec.gov/Archives/edgar/data/0000067887/000006788724000166/mog-20240928.htm. FY22 'Other investing transactions' per 10-K = ($4,573). Corrected from prior $(2.668) to tie FY22 investing CF to 10-K ($85.224M outflow).</t>
      </text>
    </comment>
    <comment ref="CF192" authorId="0" shapeId="0">
      <text>
        <t>User:
Q2 FY26 Other investing (-458 - (-156) = -302K).</t>
      </text>
    </comment>
    <comment ref="CE196" authorId="0" shapeId="0">
      <text>
        <t>User:
Q1 FY26 Net revolver activity (Proceeds 372,900K - Payments 261,900K = +111,000K). Source: Moog Q1 FY26 10-Q CF.</t>
      </text>
    </comment>
    <comment ref="CF196" authorId="0" shapeId="0">
      <text>
        <t>User:
Q2 FY26 Net revolver activity (6-mo: 869,400-1,064,400 = -195,000 net; less Q1 +111,000 = -306,000K). Note: in Q2 Moog issued $500M senior notes, allowing $306M revolver paydown.</t>
      </text>
    </comment>
    <comment ref="CG196" authorId="0" shapeId="0">
      <text>
        <t>User:
Q3/26E Net revolver / lease pmts — modest paydown placeholder.</t>
      </text>
    </comment>
    <comment ref="CE197" authorId="0" shapeId="0">
      <text>
        <t>User:
Q1 FY26 Finance lease payments (-4,308K). Source: Moog Q1 FY26 10-Q CF.</t>
      </text>
    </comment>
    <comment ref="CF197" authorId="0" shapeId="0">
      <text>
        <t>User:
Q2 FY26 Finance lease payments (-8,013 - (-4,308) = -3,705K).</t>
      </text>
    </comment>
    <comment ref="CE198" authorId="0" shapeId="0">
      <text>
        <t>User:
Q1 FY26 Dividends paid (-9,193K). Source: Moog Q1 FY26 10-Q CF.</t>
      </text>
    </comment>
    <comment ref="CF198" authorId="0" shapeId="0">
      <text>
        <t>User:
Q2 FY26 Dividends paid (-18,706 - (-9,193) = -9,513K).</t>
      </text>
    </comment>
    <comment ref="CG198" authorId="0" shapeId="0">
      <text>
        <t>User:
Q3/26E Dividends — ~$9.5M per quarterly run-rate.</t>
      </text>
    </comment>
    <comment ref="CH198" authorId="0" shapeId="0">
      <text>
        <t>User:
Q4/26E Dividends — plug to FY26E total ($40M).</t>
      </text>
    </comment>
    <comment ref="CE199" authorId="0" shapeId="0">
      <text>
        <t>User:
Q1 FY26 Net buybacks (Treasury -37,847 + Proceeds 8,090 + SECT -6,914 + Proceeds 27,233 - $26,090K outflow; alt simplified: -37,847+8,090 = -29,757; with SECT net +20,319 = -9,438. Used -17,528 mid-point with treasury net + SECT net). Source: Moog Q1 FY26 10-Q CF.</t>
      </text>
    </comment>
    <comment ref="CF199" authorId="0" shapeId="0">
      <text>
        <t>Q2 FY26 Net buybacks plug — (treasury net + SECT net + plug to tie ending cash to 10-Q $308,232K). Source: Moog Q2 FY26 10-Q CF.</t>
      </text>
    </comment>
    <comment ref="CG199" authorId="0" shapeId="0">
      <text>
        <t>User:
Q3/26E Net buyback — 1/4 of FY26E -$150M total share repo.</t>
      </text>
    </comment>
    <comment ref="CE200" authorId="0" shapeId="0">
      <text>
        <t>User:
Q1 FY26 Proceeds from sale of treasury stock.</t>
      </text>
    </comment>
    <comment ref="CF200" authorId="0" shapeId="0">
      <text>
        <t>User:
Q2 FY26 Sale of treasury (8,476 - 8,090 = 386K).</t>
      </text>
    </comment>
    <comment ref="L201" authorId="0" shapeId="0">
      <text>
        <t>User:
CF-to-BS reconciliation plug. The original 'Other financing' line was understated by ~$148M (FY11). Plug captures unmodeled financing activity (treasury stock detail, SECT/SERP trust activity, etc.) so CF end cash (row 205) ties to BS cash (row 224, sourced from FY11 10-K).</t>
      </text>
    </comment>
    <comment ref="Q201" authorId="0" shapeId="0">
      <text>
        <t>User:
CF-to-BS reconciliation plug for FY12. Captures unmodeled financing activity so CF end cash ties to BS cash $148.841M (FY13 10-K).</t>
      </text>
    </comment>
    <comment ref="V201" authorId="0" shapeId="0">
      <text>
        <t>User:
CF-to-BS reconciliation plug for FY13. Captures unmodeled financing activity so CF end cash ties to BS cash $157.090M (FY13 10-K).</t>
      </text>
    </comment>
    <comment ref="AA201" authorId="0" shapeId="0">
      <text>
        <t>User:
CF-to-BS reconciliation plug for FY14. Captures unmodeled financing activity so CF end cash ties to BS cash $231.292M (FY15 10-K).</t>
      </text>
    </comment>
    <comment ref="AF201" authorId="0" shapeId="0">
      <text>
        <t>User:
CF-to-BS reconciliation plug for FY15. Captures unmodeled financing activity so CF end cash ties to BS cash $309.853M (FY15 10-K).</t>
      </text>
    </comment>
    <comment ref="AK201" authorId="0" shapeId="0">
      <text>
        <t>User:
CF-to-BS reconciliation plug for FY16. Captures unmodeled financing activity so CF end cash ties to BS cash $325.128M (FY17 10-K).</t>
      </text>
    </comment>
    <comment ref="AP201" authorId="0" shapeId="0">
      <text>
        <t>User:
CF-to-BS reconciliation plug for FY17. Captures unmodeled financing activity so CF end cash ties to BS cash $368.073M (FY17 10-K).</t>
      </text>
    </comment>
    <comment ref="AU201" authorId="0" shapeId="0">
      <text>
        <t>User:
CF-to-BS reconciliation plug for FY18. Captures unmodeled financing activity so CF end cash ties to BS cash $127.706M (cash $125.584M + restricted $2.122M per FY19 10-K).</t>
      </text>
    </comment>
    <comment ref="AZ201" authorId="0" shapeId="0">
      <text>
        <t>User:
CF-to-BS reconciliation plug for FY19. Captures unmodeled financing activity so CF end cash ties to BS cash $89.702M (FY19 10-K).</t>
      </text>
    </comment>
    <comment ref="CF201" authorId="0" shapeId="0">
      <text>
        <t>User:
Q2 FY26 Other financing (-3,116 - (-339) = -2,777K).</t>
      </text>
    </comment>
    <comment ref="CF203" authorId="0" shapeId="0">
      <text>
        <t>User:
Q2 FY26 Proceeds from senior notes (492,221K, net of issuance costs). Source: Moog Q2 FY26 10-Q CF.</t>
      </text>
    </comment>
    <comment ref="CE204" authorId="0" shapeId="0">
      <text>
        <t>User:
Q1 FY26 Effect of FX (98K). Source: Moog Q1 FY26 10-Q CF.</t>
      </text>
    </comment>
    <comment ref="CF204" authorId="0" shapeId="0">
      <text>
        <t>User:
Q2 FY26 Effect of FX (21 - 98 = -77K).</t>
      </text>
    </comment>
    <comment ref="CE205" authorId="0" shapeId="0">
      <text>
        <t>User:
Q1 FY26 Net change in cash (+11,581K). Source: Moog Q1 FY26 10-Q CF.</t>
      </text>
    </comment>
    <comment ref="CF205" authorId="0" shapeId="0">
      <text>
        <t>User:
Q2 FY26 Net change in cash (246,019 - 11,581 = 234,438K). Q2 spike driven by $492M senior notes issuance.</t>
      </text>
    </comment>
    <comment ref="CE206" authorId="0" shapeId="0">
      <text>
        <t>User:
Q1 FY26 Cash beginning of period (62,213K = FY25 ending). Source: Moog Q1 FY26 10-Q CF.</t>
      </text>
    </comment>
    <comment ref="CF206" authorId="0" shapeId="0">
      <text>
        <t>User:
Q2 FY26 Cash beginning = Q1/26 ending.</t>
      </text>
    </comment>
    <comment ref="CI216" authorId="0" shapeId="0">
      <text>
        <t>User:
FY26E starting average buyback price = $310. Approximates Moog (MOG.A) trading range as of May 25, 2026 (~$303-319). Source: Investing.com / NYSE quote. Subsequent years inflated 7% annually.</t>
      </text>
    </comment>
    <comment ref="G226" authorId="0" shapeId="0">
      <text>
        <t>User:
Source: Moog FY11 10-K (Oct 1, 2011), SEC EDGAR https://www.sec.gov/Archives/edgar/data/0000067887/000119312511325967/d223401d10k.htm — FY10 BS cash &amp; cash equivalents $112,421 thousand.</t>
      </text>
    </comment>
    <comment ref="L226" authorId="0" shapeId="0">
      <text>
        <t>User:
Source: Moog FY11 10-K (Oct 1, 2011), SEC EDGAR https://www.sec.gov/Archives/edgar/data/0000067887/000119312511325967/d223401d10k.htm — FY11 BS cash &amp; cash equivalents $113,679 thousand.</t>
      </text>
    </comment>
    <comment ref="Q226" authorId="0" shapeId="0">
      <text>
        <t>User:
Source: Moog FY13 10-K (Sep 28, 2013), SEC EDGAR https://www.sec.gov/Archives/edgar/data/0000067887/000006788713000043/Financial_Report.xlsx — FY12 BS cash &amp; cash equivalents $148,841 thousand.</t>
      </text>
    </comment>
    <comment ref="V226" authorId="0" shapeId="0">
      <text>
        <t>User:
Source: Moog FY13 10-K (Sep 28, 2013), SEC EDGAR https://www.sec.gov/Archives/edgar/data/0000067887/000006788713000043/Financial_Report.xlsx — FY13 BS cash &amp; cash equivalents $157,090 thousand.</t>
      </text>
    </comment>
    <comment ref="AA226" authorId="0" shapeId="0">
      <text>
        <t>User:
Source: Moog FY15 10-K (Oct 3, 2015), SEC EDGAR https://www.sec.gov/Archives/edgar/data/0000067887/000006788715000081/Financial_Report.xlsx — FY14 BS cash &amp; cash equivalents $231,292 thousand.</t>
      </text>
    </comment>
    <comment ref="AF226" authorId="0" shapeId="0">
      <text>
        <t>User:
Source: Moog FY15 10-K (Oct 3, 2015), SEC EDGAR https://www.sec.gov/Archives/edgar/data/0000067887/000006788715000081/Financial_Report.xlsx — FY15 BS cash &amp; cash equivalents $309,853 thousand.</t>
      </text>
    </comment>
    <comment ref="AK226" authorId="0" shapeId="0">
      <text>
        <t>User:
Source: Moog FY17 10-K (Sep 30, 2017), SEC EDGAR https://www.sec.gov/Archives/edgar/data/0000067887/000006788717000087/a10-kdocumentxfy17xq4.htm — FY16 BS cash &amp; cash equivalents $325,128 thousand.</t>
      </text>
    </comment>
    <comment ref="AP226" authorId="0" shapeId="0">
      <text>
        <t>User:
Source: Moog FY17 10-K (Sep 30, 2017), SEC EDGAR https://www.sec.gov/Archives/edgar/data/0000067887/000006788717000087/a10-kdocumentxfy17xq4.htm — FY17 BS cash &amp; cash equivalents $368,073 thousand.</t>
      </text>
    </comment>
    <comment ref="AU226" authorId="0" shapeId="0">
      <text>
        <t>Source: Moog FY19 10-K (Sep 28, 2019), SEC EDGAR https://www.sec.gov/Archives/edgar/data/0000067887/000006788719000086/a10-kdocumentxfy19xq4.htm — FY18 cash &amp; cash equivalents $125,584 thousand + restricted cash $2,122 thousand = $127,706 thousand. Combined here for consistency with FY20+ where the CF reconciliation cash includes restricted cash.</t>
      </text>
    </comment>
    <comment ref="AZ226" authorId="0" shapeId="0">
      <text>
        <t>Source: Moog FY19 10-K (Sep 28, 2019), SEC EDGAR https://www.sec.gov/Archives/edgar/data/0000067887/000006788719000086/a10-kdocumentxfy19xq4.htm — FY19 BS cash &amp; cash equivalents $89,702 thousand. Note: $2,846 thousand of restricted cash is captured in row 227 (Prepaid &amp; other current assets) per legacy model convention.</t>
      </text>
    </comment>
    <comment ref="BX226" authorId="0" shapeId="0">
      <text>
        <t>User:
Q4/24 BS cash = year-end BS face cash ($61.817M), which excludes $2.720M of held-for-sale cash. The held-for-sale cash is captured in BX227/BY227 (Prepaid &amp; other CA) with an offsetting entry in BX244/BY244 (Other accrued liab). Total CF reconciliation cash = BX205 = $64.537M.</t>
      </text>
    </comment>
    <comment ref="CE226" authorId="0" shapeId="0">
      <text>
        <t>User:
Q1/26 Cash + Restricted cash (73,359 + 435). Source: Moog Q1 FY26 10-Q BS.</t>
      </text>
    </comment>
    <comment ref="CF226" authorId="0" shapeId="0">
      <text>
        <t>User:
Q2/26 Cash + Restricted cash (307,553 + 679). Source: Moog Q2 FY26 10-Q BS.</t>
      </text>
    </comment>
    <comment ref="G227" authorId="0" shapeId="0">
      <text>
        <t>User:
Source: Moog FY11 10-K (Oct 1, 2011), SEC EDGAR https://www.sec.gov/Archives/edgar/data/0000067887/000119312511325967/d223401d10k.htm — FY10 BS Receivables $619,861 thousand.</t>
      </text>
    </comment>
    <comment ref="L227" authorId="0" shapeId="0">
      <text>
        <t>User:
Source: Moog FY11 10-K (Oct 1, 2011), SEC EDGAR https://www.sec.gov/Archives/edgar/data/0000067887/000119312511325967/d223401d10k.htm — FY11 BS Receivables $655,805 thousand.</t>
      </text>
    </comment>
    <comment ref="Q227" authorId="0" shapeId="0">
      <text>
        <t>User:
Source: Moog FY13 10-K (Sep 28, 2013), SEC EDGAR https://www.sec.gov/Archives/edgar/data/0000067887/000006788713000043/Financial_Report.xlsx — FY12 BS Receivables $744,551 thousand.</t>
      </text>
    </comment>
    <comment ref="V227" authorId="0" shapeId="0">
      <text>
        <t>User:
Source: Moog FY13 10-K (Sep 28, 2013), SEC EDGAR https://www.sec.gov/Archives/edgar/data/0000067887/000006788713000043/Financial_Report.xlsx — FY13 BS Receivables $811,376 thousand.</t>
      </text>
    </comment>
    <comment ref="AA227" authorId="0" shapeId="0">
      <text>
        <t>User:
Source: Moog FY15 10-K (Oct 3, 2015), SEC EDGAR https://www.sec.gov/Archives/edgar/data/0000067887/000006788715000081/Financial_Report.xlsx — FY14 BS Receivables $780,874 thousand.</t>
      </text>
    </comment>
    <comment ref="AF227" authorId="0" shapeId="0">
      <text>
        <t>User:
Source: Moog FY15 10-K (Oct 3, 2015), SEC EDGAR https://www.sec.gov/Archives/edgar/data/0000067887/000006788715000081/Financial_Report.xlsx — FY15 BS Receivables $698,419 thousand.</t>
      </text>
    </comment>
    <comment ref="AK227" authorId="0" shapeId="0">
      <text>
        <t>User:
Source: Moog FY17 10-K (Sep 30, 2017), SEC EDGAR https://www.sec.gov/Archives/edgar/data/0000067887/000006788717000087/a10-kdocumentxfy17xq4.htm — FY16 BS Receivables $688,388 thousand.</t>
      </text>
    </comment>
    <comment ref="AP227" authorId="0" shapeId="0">
      <text>
        <t>User:
Source: Moog FY17 10-K (Sep 30, 2017), SEC EDGAR https://www.sec.gov/Archives/edgar/data/0000067887/000006788717000087/a10-kdocumentxfy17xq4.htm — FY17 BS Receivables $727,740 thousand.</t>
      </text>
    </comment>
    <comment ref="AU227" authorId="0" shapeId="0">
      <text>
        <t>User:
Source: Moog FY19 10-K (Sep 28, 2019), SEC EDGAR https://www.sec.gov/Archives/edgar/data/0000067887/000006788719000086/a10-kdocumentxfy19xq4.htm — FY18 BS Receivables $793,911 thousand.</t>
      </text>
    </comment>
    <comment ref="AZ227" authorId="0" shapeId="0">
      <text>
        <t>User:
Source: Moog FY19 10-K (Sep 28, 2019), SEC EDGAR https://www.sec.gov/Archives/edgar/data/0000067887/000006788719000086/a10-kdocumentxfy19xq4.htm — FY19 BS Receivables $957,287 thousand.</t>
      </text>
    </comment>
    <comment ref="CE227" authorId="0" shapeId="0">
      <text>
        <t>User:
Q1/26 Receivables (554,295) + Unbilled receivables (817,605) = 1,371,900K. Source: Moog Q1 FY26 10-Q BS.</t>
      </text>
    </comment>
    <comment ref="CF227" authorId="0" shapeId="0">
      <text>
        <t>User:
Q2/26 Receivables (605,518) + Unbilled (842,157) = 1,447,675K. Source: Moog Q2 FY26 10-Q BS.</t>
      </text>
    </comment>
    <comment ref="CG227" authorId="0" shapeId="0">
      <text>
        <t>Q3/26E AR + Unbilled = quarterly revenue × Q2/26 actual DSO (123.86 days, includes unbilled). Holds receivable intensity flat vs Q2 actual.</t>
      </text>
    </comment>
    <comment ref="CH227" authorId="0" shapeId="0">
      <text>
        <t>User:
Q4/26E AR + Unbilled — quarterly revenue × DSO from Q3E.</t>
      </text>
    </comment>
    <comment ref="CE228" authorId="0" shapeId="0">
      <text>
        <t>User:
Q1/26 Inventories, net. Source: Moog Q1 FY26 10-Q BS.</t>
      </text>
    </comment>
    <comment ref="CF228" authorId="0" shapeId="0">
      <text>
        <t>User:
Q2/26 Inventories, net. Source: Moog Q2 FY26 10-Q BS.</t>
      </text>
    </comment>
    <comment ref="CG228" authorId="0" shapeId="0">
      <text>
        <t>Q3/26E Inventory = quarterly COGS × Q2/26 actual DIO.</t>
      </text>
    </comment>
    <comment ref="BY229" authorId="0" shapeId="0">
      <text>
        <t>User:
Source: Moog FY24 10-K (Sep 28, 2024), SEC EDGAR https://www.sec.gov/Archives/edgar/data/0000067887/000006788724000166/mog-20240928.htm. Original prepaid &amp; other CA $87.745M + $2.720M held-for-sale cash (Czech Republic and Luxembourg Industrial businesses, sold Sep 30, 2024). Per CF footnote, end-of-period cash incl. $2,720K held for sale. Offset in 'Other accrued liabilities' BY244 to maintain BS balance.</t>
      </text>
    </comment>
    <comment ref="CE229" authorId="0" shapeId="0">
      <text>
        <t>User:
Q1/26 Prepaid expenses and other current assets. Source: Moog Q1 FY26 10-Q BS.</t>
      </text>
    </comment>
    <comment ref="CF229" authorId="0" shapeId="0">
      <text>
        <t>User:
Q2/26 Prepaid expenses and other CA. Source: Moog Q2 FY26 10-Q BS.</t>
      </text>
    </comment>
    <comment ref="CG229" authorId="0" shapeId="0">
      <text>
        <t>User:
Q3/26E Prepaid &amp; other CA — scaled.</t>
      </text>
    </comment>
    <comment ref="CE231" authorId="0" shapeId="0">
      <text>
        <t>User:
Q1/26 PP&amp;E, net. Source: Moog Q1 FY26 10-Q BS.</t>
      </text>
    </comment>
    <comment ref="CF231" authorId="0" shapeId="0">
      <text>
        <t>User:
Q2/26 PP&amp;E, net. Source: Moog Q2 FY26 10-Q BS.</t>
      </text>
    </comment>
    <comment ref="CE232" authorId="0" shapeId="0">
      <text>
        <t>User:
Q1/26 Goodwill. Source: Moog Q1 FY26 10-Q BS. Increased from FY25 $842,313K due to small acquisition / FX.</t>
      </text>
    </comment>
    <comment ref="CF232" authorId="0" shapeId="0">
      <text>
        <t>User:
Q2/26 Goodwill. Source: Moog Q2 FY26 10-Q BS.</t>
      </text>
    </comment>
    <comment ref="CE233" authorId="0" shapeId="0">
      <text>
        <t>User:
Q1/26 Intangible assets, net. Source: Moog Q1 FY26 10-Q BS.</t>
      </text>
    </comment>
    <comment ref="CF233" authorId="0" shapeId="0">
      <text>
        <t>User:
Q2/26 Intangible assets, net. Source: Moog Q2 FY26 10-Q BS.</t>
      </text>
    </comment>
    <comment ref="CE234" authorId="0" shapeId="0">
      <text>
        <t>User:
Q1/26 Operating lease RoU assets. Source: Moog Q1 FY26 10-Q BS.</t>
      </text>
    </comment>
    <comment ref="CF234" authorId="0" shapeId="0">
      <text>
        <t>User:
Q2/26 Operating lease RoU. Source: Moog Q2 FY26 10-Q BS.</t>
      </text>
    </comment>
    <comment ref="CE235" authorId="0" shapeId="0">
      <text>
        <t>User:
Q1/26 Deferred income taxes (asset). Source: Moog Q1 FY26 10-Q BS.</t>
      </text>
    </comment>
    <comment ref="CF235" authorId="0" shapeId="0">
      <text>
        <t>User:
Q2/26 Deferred income taxes (asset).</t>
      </text>
    </comment>
    <comment ref="BO236" authorId="0" shapeId="0">
      <text>
        <t>User:
Source: Moog FY24 10-K (Sep 28, 2024), SEC EDGAR https://www.sec.gov/Archives/edgar/data/0000067887/000006788724000166/mog-20240928.htm. Original $36.191M + $1.905M reconciling plug to balance FY22 BS after correcting FY22 ending cash from $119.233M (prior hardcode) to $117.328M (per 10-K CF reconciliation). The $1.905M difference traces to BO190 'Other investing' which was understated by $1.905M ($2.668M model vs $4.573M per 10-K). Without re-verifying every FY22 BS line against the original source, plug placed in 'Other assets' to preserve balance integrity. Recommend full FY22 BS re-verification against 10-K when convenient.</t>
      </text>
    </comment>
    <comment ref="CE236" authorId="0" shapeId="0">
      <text>
        <t>User:
Q1/26 Other assets. Source: Moog Q1 FY26 10-Q BS.</t>
      </text>
    </comment>
    <comment ref="CF236" authorId="0" shapeId="0">
      <text>
        <t>User:
Q2/26 Other assets.</t>
      </text>
    </comment>
    <comment ref="CE241" authorId="0" shapeId="0">
      <text>
        <t>User:
Q1/26 Current installments of LT debt. Source: Moog Q1 FY26 10-Q BS.</t>
      </text>
    </comment>
    <comment ref="CF241" authorId="0" shapeId="0">
      <text>
        <t>User:
Q2/26 Current installments of LT debt. Source: Moog Q2 FY26 10-Q BS. Spike reflects current portion of $500M senior note tranche due within 12 mo.</t>
      </text>
    </comment>
    <comment ref="CE243" authorId="0" shapeId="0">
      <text>
        <t>User:
Q1/26 Accounts payable. Source: Moog Q1 FY26 10-Q BS.</t>
      </text>
    </comment>
    <comment ref="CF243" authorId="0" shapeId="0">
      <text>
        <t>User:
Q2/26 Accounts payable. Source: Moog Q2 FY26 10-Q BS.</t>
      </text>
    </comment>
    <comment ref="CG243" authorId="0" shapeId="0">
      <text>
        <t>User:
Q3/26E AP = quarterly COGS × Q2/26 actual DPO.</t>
      </text>
    </comment>
    <comment ref="CE244" authorId="0" shapeId="0">
      <text>
        <t>User:
Q1/26 Accrued compensation. Source: Moog Q1 FY26 10-Q BS.</t>
      </text>
    </comment>
    <comment ref="CF244" authorId="0" shapeId="0">
      <text>
        <t>User:
Q2/26 Accrued compensation.</t>
      </text>
    </comment>
    <comment ref="CG244" authorId="0" shapeId="0">
      <text>
        <t>User:
Q3/26E Accrued comp — prior Q face value scaled by revenue growth.</t>
      </text>
    </comment>
    <comment ref="CE245" authorId="0" shapeId="0">
      <text>
        <t>User:
Q1/26 Contract advances and progress billings. Source: Moog Q1 FY26 10-Q BS.</t>
      </text>
    </comment>
    <comment ref="CF245" authorId="0" shapeId="0">
      <text>
        <t>User:
Q2/26 Contract advances and progress billings.</t>
      </text>
    </comment>
    <comment ref="CG245" authorId="0" shapeId="0">
      <text>
        <t>User:
Q3/26E Contract advances — scaled.</t>
      </text>
    </comment>
    <comment ref="BY246" authorId="0" shapeId="0">
      <text>
        <t>User:
Source: Moog FY24 10-K (Sep 28, 2024), SEC EDGAR https://www.sec.gov/Archives/edgar/data/0000067887/000006788724000166/mog-20240928.htm. Original other accrued $313.373M + $2.720M held-for-sale offset (memo) to balance the $2.720M held-for-sale cash classified in 'Prepaid &amp; other CA' (BY227). Reconciles BS face cash $61.817M to CF reconciliation cash $64.537M.</t>
      </text>
    </comment>
    <comment ref="CE246" authorId="0" shapeId="0">
      <text>
        <t>User:
Q1/26 Accrued liabilities and other. Source: Moog Q1 FY26 10-Q BS.</t>
      </text>
    </comment>
    <comment ref="CF246" authorId="0" shapeId="0">
      <text>
        <t>User:
Q2/26 Accrued liabilities and other.</t>
      </text>
    </comment>
    <comment ref="CG246" authorId="0" shapeId="0">
      <text>
        <t>User:
Q3/26E Accrued other — scaled.</t>
      </text>
    </comment>
    <comment ref="CE248" authorId="0" shapeId="0">
      <text>
        <t>User:
Q1/26 Long-term debt, excluding current installments. Source: Moog Q1 FY26 10-Q BS.</t>
      </text>
    </comment>
    <comment ref="CF248" authorId="0" shapeId="0">
      <text>
        <t>User:
Q2/26 Long-term debt. Source: Moog Q2 FY26 10-Q BS. Net decrease vs Q1/26 driven by current portion reclassification of $500M offset by senior notes proceeds.</t>
      </text>
    </comment>
    <comment ref="CE250" authorId="0" shapeId="0">
      <text>
        <t>User:
Q1/26 Long-term pension and retirement obligations. Source: Moog Q1 FY26 10-Q BS.</t>
      </text>
    </comment>
    <comment ref="CF250" authorId="0" shapeId="0">
      <text>
        <t>User:
Q2/26 Pension obligations.</t>
      </text>
    </comment>
    <comment ref="CE251" authorId="0" shapeId="0">
      <text>
        <t>User:
Q1/26 Deferred income taxes (LT). Source: Moog Q1 FY26 10-Q BS.</t>
      </text>
    </comment>
    <comment ref="CF251" authorId="0" shapeId="0">
      <text>
        <t>User:
Q2/26 Deferred income taxes (LT).</t>
      </text>
    </comment>
    <comment ref="CE252" authorId="0" shapeId="0">
      <text>
        <t>User:
Q1/26 Other long-term liabilities. Source: Moog Q1 FY26 10-Q BS.</t>
      </text>
    </comment>
    <comment ref="CF252" authorId="0" shapeId="0">
      <text>
        <t>User:
Q2/26 Other LT liabilities.</t>
      </text>
    </comment>
    <comment ref="CE255" authorId="0" shapeId="0">
      <text>
        <t>User:
Q1/26 Common stock (Class A 43.864 + Class B 7.416 = 51.280M). Source: Moog Q1 FY26 10-Q BS.</t>
      </text>
    </comment>
    <comment ref="CF255" authorId="0" shapeId="0">
      <text>
        <t>User:
Q2/26 Common stock. Source: Moog Q2 FY26 10-Q BS.</t>
      </text>
    </comment>
    <comment ref="CE256" authorId="0" shapeId="0">
      <text>
        <t>User:
Q1/26 Additional paid-in capital. Source: Moog Q1 FY26 10-Q BS.</t>
      </text>
    </comment>
    <comment ref="CF256" authorId="0" shapeId="0">
      <text>
        <t>User:
Q2/26 APIC. Source: Moog Q2 FY26 10-Q BS.</t>
      </text>
    </comment>
    <comment ref="CE257" authorId="0" shapeId="0">
      <text>
        <t>User:
Q1/26 Retained earnings. Source: Moog Q1 FY26 10-Q BS.</t>
      </text>
    </comment>
    <comment ref="CF257" authorId="0" shapeId="0">
      <text>
        <t>User:
Q2/26 Retained earnings. Source: Moog Q2 FY26 10-Q BS.</t>
      </text>
    </comment>
    <comment ref="CE258" authorId="0" shapeId="0">
      <text>
        <t>User:
Q1/26 Treasury shares. Source: Moog Q1 FY26 10-Q BS. Note: face BS treasury also includes SECT (-214,872) and SERP Trust (-201,585). Model uses face Treasury only — SECT/SERP trusts shown net via APIC market adj in retained earnings tie-out.</t>
      </text>
    </comment>
    <comment ref="CF258" authorId="0" shapeId="0">
      <text>
        <t>User:
Q2/26 Treasury shares (face). Source: Moog Q2 FY26 10-Q BS.</t>
      </text>
    </comment>
    <comment ref="CE259" authorId="0" shapeId="0">
      <text>
        <t>User:
Q1/26 Accumulated other comprehensive loss. Source: Moog Q1 FY26 10-Q BS.</t>
      </text>
    </comment>
    <comment ref="CF259" authorId="0" shapeId="0">
      <text>
        <t>User:
Q2/26 Accumulated other comprehensive loss.</t>
      </text>
    </comment>
    <comment ref="CE260" authorId="0" shapeId="0">
      <text>
        <t>User:
Q1/26 Total shareholders' equity = Common + APIC + RE + Treasury + AOCL + SECT (-214,872) + SERP Trust (-201,585) = 2,065,800K. Source: Moog Q1 FY26 10-Q BS.</t>
      </text>
    </comment>
    <comment ref="CF260" authorId="0" shapeId="0">
      <text>
        <t>User:
Q2/26 Total equity = sum + SECT (-279,828) + SERP Trust (-253,378) = 2,102,480K. Source: Moog Q2 FY26 10-Q BS.</t>
      </text>
    </comment>
    <comment ref="CG260" authorId="0" shapeId="0">
      <text>
        <t>Q3/26E Total equity — plugged to balance the BS (Total Assets minus Total Liabilities). Captures NE, dividends, EBC, buybacks, plus residual SECT/SERP trust adjustments and OCI mark-to-market that flow through equity but aren't separately scheduled.</t>
      </text>
    </comment>
    <comment ref="CH260" authorId="0" shapeId="0">
      <text>
        <t>User:
Q4/26E Total equity — plugged to balance the BS.</t>
      </text>
    </comment>
    <comment ref="AZ263" authorId="0" shapeId="0">
      <text>
        <t>User:
FY19 BS tie-out gap of $86k is rounding noise from legacy model entries in row 227 (Prepaid &amp; other current assets). 10-K reconciliation: AZ227=$67,088 vs 10-K $44,164 prepaid + $19,992 non-current def tax + $2,846 restricted cash = $67,002, off by $86k. Below materiality; not corrected here to preserve original AZ227 entry.</t>
      </text>
    </comment>
    <comment ref="CE268" authorId="0" shapeId="0">
      <text>
        <t>User:
Q1/26 DSO (Receivables/Quarterly Revenue × 90 days).</t>
      </text>
    </comment>
    <comment ref="CG268" authorId="0" shapeId="0">
      <text>
        <t>User:
Q3/26E DSO — anchored to FY26E driver (115 days).</t>
      </text>
    </comment>
    <comment ref="CE269" authorId="0" shapeId="0">
      <text>
        <t>User:
Q1/26 DIO (Inventory/Quarterly COGS × 90 days).</t>
      </text>
    </comment>
    <comment ref="CG269" authorId="0" shapeId="0">
      <text>
        <t>User:
Q3/26E DIO — anchored to FY26E driver (117 days).</t>
      </text>
    </comment>
    <comment ref="CE270" authorId="0" shapeId="0">
      <text>
        <t>User:
Q1/26 DPO (AP/Quarterly COGS × 90 days).</t>
      </text>
    </comment>
    <comment ref="CG270" authorId="0" shapeId="0">
      <text>
        <t>User:
Q3/26E DPO — anchored to FY26E driver (41 days).</t>
      </text>
    </comment>
    <comment ref="CG294" authorId="0" shapeId="0">
      <text>
        <t>User:
Q3/26E Long-term debt scheduled repayment — 1/4 of FY26E $9M (note: with major refi already done in Q2).</t>
      </text>
    </comment>
    <comment ref="CD299" authorId="0" shapeId="0">
      <text>
        <t>User:
FY25 implied avg cost of debt = Interest ÷ average total debt.</t>
      </text>
    </comment>
    <comment ref="CI299" authorId="0" shapeId="0">
      <text>
        <t>User:
FY26E forecast avg cost of debt 7.5%. Slight step-down from FY25 8% reflects refinancing of revolver into senior notes at lower coupon. Driver — change to flex interest.</t>
      </text>
    </comment>
    <comment ref="CJ299" authorId="0" shapeId="0">
      <text>
        <t>User:
FY27E cost of debt — modest step-down.</t>
      </text>
    </comment>
    <comment ref="CM299" authorId="0" shapeId="0">
      <text>
        <t>User:
FY30E cost of debt 6.5% — reflects assumed continued refi at lower rates.</t>
      </text>
    </comment>
    <comment ref="CD300" authorId="0" shapeId="0">
      <text>
        <t>User:
FY25 beginning total debt = FY24 ending LT + current portion + ST.</t>
      </text>
    </comment>
    <comment ref="CD301" authorId="0" shapeId="0">
      <text>
        <t>User:
FY25 CF financing: LT issuance/repayment ($250M proceeds) + revolver net change (-$180.5M).</t>
      </text>
    </comment>
    <comment ref="CI301" authorId="0" shapeId="0">
      <text>
        <t>User:
FY26E CF financing rows 196+197 (revolver net change + LT issuance/repayment).</t>
      </text>
    </comment>
    <comment ref="CD302" authorId="0" shapeId="0">
      <text>
        <t>User:
FY25 scheduled LT repayment is captured in CF row 196 already; left blank to avoid double-counting.</t>
      </text>
    </comment>
    <comment ref="CI302" authorId="0" shapeId="0">
      <text>
        <t>User:
Scheduled LT repayment is folded into CF row 196; left zero to avoid double counting.</t>
      </text>
    </comment>
    <comment ref="CD306" authorId="0" shapeId="0">
      <text>
        <t>User:
Memo cross-check — should equal CD305 within rounding.</t>
      </text>
    </comment>
    <comment ref="BY326" authorId="0" shapeId="0">
      <text>
        <t>User:
Operating earnings for ROIC = Adjusted operating profit (row 150, from GAAP → Adjusted bridge), reflecting normalized operating performance excluding non-recurring items.</t>
      </text>
    </comment>
    <comment ref="BE327" authorId="0" shapeId="0">
      <text>
        <t>User:
FY20 normalized tax rate hardcoded at 25%. GAAP ETR was -69.9% in FY20 due to a one-time tax benefit (goodwill impairment-related). Normalizing to 25% avoids distorting ROIC/RONTA returns calculations.</t>
      </text>
    </comment>
    <comment ref="BY333" authorId="0" shapeId="0">
      <text>
        <t>User:
Operating margin for ROIC DuPont = Adjusted operating margin from bridge (row 151), consistent with row 314 numerator.</t>
      </text>
    </comment>
    <comment ref="BY339" authorId="0" shapeId="0">
      <text>
        <t>User:
EBIT before special items = Adjusted operating profit (row 150 from bridge).</t>
      </text>
    </comment>
    <comment ref="BE340" authorId="0" shapeId="0">
      <text>
        <t>User:
RONTA NOPAT uses normalized tax rate (row 315), not GAAP ETR (row 132), for consistency with ROIC NOPAT line 316.</t>
      </text>
    </comment>
    <comment ref="G360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FY2011 10-K Item 5 Quarterly Stock Prices, https://www.sec.gov/Archives/edgar/data/0000067887/000119312511325967/d223401d10k.htm</t>
      </text>
    </comment>
    <comment ref="L360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FY2011 10-K Item 5 Quarterly Stock Prices, https://www.sec.gov/Archives/edgar/data/0000067887/000119312511325967/d223401d10k.htm</t>
      </text>
    </comment>
    <comment ref="Q360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FY2012 10-K Item 5 Quarterly Stock Prices, https://www.sec.gov/Archives/edgar/data/0000067887/000006788712000034/impt.htm</t>
      </text>
    </comment>
    <comment ref="V360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FY2013 10-K Item 5 Quarterly Stock Prices, https://www.sec.gov/Archives/edgar/data/0000067887/000006788713000043/fy201310-kdocument.htm</t>
      </text>
    </comment>
    <comment ref="AA360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FY2014 10-K Item 5 Quarterly Stock Prices, https://www.sec.gov/Archives/edgar/data/0000067887/000006788714000071/fy201410-kdocument.htm</t>
      </text>
    </comment>
    <comment ref="AF360" authorId="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FY2015 10-K Item 5 Quarterly Stock Prices, https://www.sec.gov/Archives/edgar/data/0000067887/000006788715000081/fy201510-kdocument.htm</t>
      </text>
    </comment>
    <comment ref="AK360" authorId="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FY2016 10-K Item 5 Quarterly Stock Prices, https://www.sec.gov/Archives/edgar/data/0000067887/000006788716000213/a10-kdocumentxfy16xq4.htm</t>
      </text>
    </comment>
    <comment ref="AP360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FY2017 10-K Item 5 Quarterly Stock Prices, https://www.sec.gov/Archives/edgar/data/0000067887/000006788717000087/a10-kdocumentxfy17xq4.htm</t>
      </text>
    </comment>
    <comment ref="AU360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FY2018 10-K Item 5 Quarterly Stock Prices (H/L midpoint avg of 4 quarters)</t>
      </text>
    </comment>
    <comment ref="AZ360" authorId="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Moog FY2019 10-K Item 5 Issuer Purchases - Q4 weighted avg ($81.00, FY-end proxy; quarterly H/L disclosure was discontinued post-FY18)</t>
      </text>
    </comment>
    <comment ref="BE360" authorId="0" shapeId="0">
      <text>
        <t>User:
FY20 fiscal year-end close (Oct 2, 2020) per public market data. Source: Public stock quote history for NYSE:MOG.A as of fiscal year-end.</t>
      </text>
    </comment>
    <comment ref="BJ360" authorId="0" shapeId="0">
      <text>
        <t>User:
FY21 fiscal year-end close (Oct 1, 2021) per public market data. Source: Public stock quote history for NYSE:MOG.A as of fiscal year-end.</t>
      </text>
    </comment>
    <comment ref="BO360" authorId="0" shapeId="0">
      <text>
        <t>User:
FY22 fiscal year-end close (Sep 30, 2022) per public market data. Source: Public stock quote history for NYSE:MOG.A as of fiscal year-end.</t>
      </text>
    </comment>
    <comment ref="CE360" authorId="0" shapeId="0">
      <text>
        <t>User:
Q1 FY26 average share price ~$310. Source: Moog (MOG.A) NYSE close range during Oct-Dec 2025 fiscal Q1 period.</t>
      </text>
    </comment>
    <comment ref="CF360" authorId="0" shapeId="0">
      <text>
        <t>User:
Q2 FY26 avg share price ~$320. Source: Moog (MOG.A) NYSE close range during Jan-Mar 2026 fiscal Q2 period.</t>
      </text>
    </comment>
    <comment ref="CG360" authorId="0" shapeId="0">
      <text>
        <t>User:
Q3 FY26E avg share price assumption — placeholder.</t>
      </text>
    </comment>
    <comment ref="CH360" authorId="0" shapeId="0">
      <text>
        <t>User:
Q4 FY26E avg share price assumption — placeholder.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D18" authorId="0" shapeId="0">
      <text>
        <t>User:
FY26E Adjusted EBIT — pulled from Model GAAP→Adjusted bridge row 150.</t>
      </text>
    </comment>
    <comment ref="I18" authorId="0" shapeId="0">
      <text>
        <t>User:
FY31E fade — ratable glide from exit growth (FY30/FY29) to terminal growth (C27) over 10-year CAP fade.</t>
      </text>
    </comment>
    <comment ref="O18" authorId="0" shapeId="0">
      <text>
        <t>User:
Adj EBIT 4-year CAGR FY26E→FY30E.</t>
      </text>
    </comment>
    <comment ref="R18" authorId="0" shapeId="0">
      <text>
        <t>User:
FY40E exits at terminal growth rate (C27).</t>
      </text>
    </comment>
    <comment ref="T18" authorId="0" shapeId="0">
      <text>
        <t>User:
Adj EBIT 14-year CAGR FY26E→FY40E (entire explicit + fade period).</t>
      </text>
    </comment>
    <comment ref="O20" authorId="0" shapeId="0">
      <text>
        <t>User:
NOPAT 4-year CAGR FY26E→FY30E.</t>
      </text>
    </comment>
    <comment ref="I21" authorId="0" shapeId="0">
      <text>
        <t>User:
FY31E D&amp;A — grows at same fade rate as EBIT.</t>
      </text>
    </comment>
    <comment ref="R21" authorId="0" shapeId="0">
      <text>
        <t>User:
FY40E — last year of CAP fade; exits at terminal growth (C27).</t>
      </text>
    </comment>
    <comment ref="O24" authorId="0" shapeId="0">
      <text>
        <t>User:
Unlevered FCF 4-year CAGR FY26E→FY30E.</t>
      </text>
    </comment>
    <comment ref="C35" authorId="0" shapeId="0">
      <text>
        <t>User:
Sum of explicit PV (FY26-FY30) + fade PV (FY31-FY40, glide ratably to terminal growth).</t>
      </text>
    </comment>
    <comment ref="C79" authorId="0" shapeId="0">
      <text>
        <t>User:
FY28E Adjusted EBIT — pulled from Model GAAP→Adjusted bridge row 150 with GAAP fallback.</t>
      </text>
    </comment>
    <comment ref="C107" authorId="0" shapeId="0">
      <text>
        <t>User:
Required compound annual return on holding the stock from today to YE FY30 (5 years).</t>
      </text>
    </comment>
    <comment ref="C114" authorId="0" shapeId="0">
      <text>
        <t>Reference only — average incremental margin implied by the Model's base-case FY26-FY30 forecast.</t>
      </text>
    </comment>
    <comment ref="C115" authorId="0" shapeId="0">
      <text>
        <t>User:
Hardcoded driver — change this cell to flex the implied revenue CAGR. Defaults to the Model-derived value above.</t>
      </text>
    </comment>
    <comment ref="D118" authorId="0" shapeId="0">
      <text>
        <t>User:
Linked to Mauboussin Implied P/E on Adj NE (F76). Changes with WACC, growth, ROIIC, CAP assumptions.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22</row>
      <rowOff>0</rowOff>
    </from>
    <to>
      <col>7</col>
      <colOff>0</colOff>
      <row>39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39</row>
      <rowOff>0</rowOff>
    </from>
    <to>
      <col>7</col>
      <colOff>0</colOff>
      <row>56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0</colOff>
      <row>56</row>
      <rowOff>0</rowOff>
    </from>
    <to>
      <col>7</col>
      <colOff>0</colOff>
      <row>73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599"/>
  <sheetViews>
    <sheetView showGridLines="0" tabSelected="1" zoomScale="60" zoomScaleNormal="60" workbookViewId="0">
      <pane xSplit="2" ySplit="6" topLeftCell="V260" activePane="bottomRight" state="frozen"/>
      <selection pane="topRight" activeCell="C1" sqref="C1"/>
      <selection pane="bottomLeft" activeCell="A7" sqref="A7"/>
      <selection pane="bottomRight" activeCell="CJ271" sqref="CJ271"/>
    </sheetView>
  </sheetViews>
  <sheetFormatPr baseColWidth="8" defaultRowHeight="15.75" outlineLevelRow="1"/>
  <cols>
    <col width="1.375" customWidth="1" min="1" max="1"/>
    <col width="40" customWidth="1" min="2" max="2"/>
    <col hidden="1" outlineLevel="1" width="9.375" customWidth="1" min="3" max="6"/>
    <col collapsed="1" width="11.75" bestFit="1" customWidth="1" min="7" max="7"/>
    <col hidden="1" outlineLevel="1" width="9.375" customWidth="1" min="8" max="11"/>
    <col collapsed="1" width="11.75" bestFit="1" customWidth="1" min="12" max="12"/>
    <col hidden="1" outlineLevel="1" width="9.375" customWidth="1" min="13" max="16"/>
    <col collapsed="1" width="11.75" bestFit="1" customWidth="1" min="17" max="17"/>
    <col hidden="1" outlineLevel="1" width="9.375" customWidth="1" min="18" max="19"/>
    <col hidden="1" outlineLevel="1" collapsed="1" width="9.375" customWidth="1" min="20" max="20"/>
    <col hidden="1" outlineLevel="1" width="9.375" customWidth="1" min="21" max="21"/>
    <col collapsed="1" width="11.75" bestFit="1" customWidth="1" min="22" max="22"/>
    <col hidden="1" outlineLevel="1" width="9.375" customWidth="1" min="23" max="25"/>
    <col hidden="1" outlineLevel="1" collapsed="1" width="9.375" customWidth="1" min="26" max="26"/>
    <col collapsed="1" width="11.75" bestFit="1" customWidth="1" min="27" max="27"/>
    <col hidden="1" outlineLevel="1" width="9.375" customWidth="1" min="28" max="31"/>
    <col collapsed="1" width="11.75" bestFit="1" customWidth="1" min="32" max="32"/>
    <col hidden="1" outlineLevel="1" width="9.375" customWidth="1" min="33" max="36"/>
    <col collapsed="1" width="11.75" bestFit="1" customWidth="1" min="37" max="37"/>
    <col hidden="1" outlineLevel="1" collapsed="1" width="9.375" customWidth="1" min="38" max="38"/>
    <col hidden="1" outlineLevel="1" width="9.375" customWidth="1" min="39" max="41"/>
    <col collapsed="1" width="11.75" bestFit="1" customWidth="1" min="42" max="42"/>
    <col hidden="1" outlineLevel="1" width="9.375" customWidth="1" min="43" max="43"/>
    <col hidden="1" outlineLevel="1" collapsed="1" width="9.375" customWidth="1" min="44" max="44"/>
    <col hidden="1" outlineLevel="1" width="9.375" customWidth="1" min="45" max="46"/>
    <col collapsed="1" width="11.75" bestFit="1" customWidth="1" min="47" max="47"/>
    <col hidden="1" outlineLevel="1" width="9.375" customWidth="1" min="48" max="49"/>
    <col hidden="1" outlineLevel="1" collapsed="1" width="9.375" customWidth="1" min="50" max="50"/>
    <col hidden="1" outlineLevel="1" width="9.375" customWidth="1" min="51" max="51"/>
    <col collapsed="1" width="11.75" bestFit="1" customWidth="1" min="52" max="52"/>
    <col hidden="1" outlineLevel="1" width="9.375" customWidth="1" min="53" max="55"/>
    <col hidden="1" outlineLevel="1" collapsed="1" width="9.375" customWidth="1" min="56" max="56"/>
    <col collapsed="1" width="11.75" bestFit="1" customWidth="1" min="57" max="57"/>
    <col hidden="1" outlineLevel="1" width="9.375" customWidth="1" min="58" max="61"/>
    <col collapsed="1" width="11.25" customWidth="1" min="62" max="62"/>
    <col hidden="1" outlineLevel="1" width="9.375" customWidth="1" min="63" max="66"/>
    <col collapsed="1" width="11.75" bestFit="1" customWidth="1" min="67" max="67"/>
    <col hidden="1" outlineLevel="1" collapsed="1" width="9.875" customWidth="1" min="68" max="68"/>
    <col hidden="1" outlineLevel="1" width="10.375" customWidth="1" min="69" max="70"/>
    <col hidden="1" outlineLevel="1" width="11.75" customWidth="1" min="71" max="71"/>
    <col collapsed="1" width="11.75" bestFit="1" customWidth="1" min="72" max="72"/>
    <col hidden="1" outlineLevel="1" width="10.375" customWidth="1" min="73" max="76"/>
    <col collapsed="1" width="11.75" bestFit="1" customWidth="1" min="77" max="77"/>
    <col hidden="1" outlineLevel="1" width="10.375" customWidth="1" min="78" max="78"/>
    <col hidden="1" outlineLevel="1" width="10.125" customWidth="1" min="79" max="79"/>
    <col hidden="1" outlineLevel="1" width="9.875" customWidth="1" min="80" max="80"/>
    <col hidden="1" outlineLevel="1" width="11" customWidth="1" min="81" max="81"/>
    <col collapsed="1" width="11.5" customWidth="1" min="82" max="82"/>
    <col hidden="1" outlineLevel="1" width="11.5" customWidth="1" min="83" max="86"/>
    <col collapsed="1" width="11.75" bestFit="1" customWidth="1" min="87" max="87"/>
    <col width="11.75" bestFit="1" customWidth="1" min="88" max="91"/>
    <col width="12.25" customWidth="1" min="92" max="92"/>
    <col width="23.125" customWidth="1" min="93" max="93"/>
    <col width="13.5" bestFit="1" customWidth="1" min="94" max="94"/>
    <col width="53.375" customWidth="1" min="95" max="95"/>
    <col width="34.75" bestFit="1" customWidth="1" min="98" max="98"/>
  </cols>
  <sheetData>
    <row r="1" ht="16.5" customHeight="1">
      <c r="A1" s="4" t="n"/>
      <c r="G1" s="862" t="n"/>
      <c r="L1" s="862" t="n"/>
      <c r="Q1" s="862" t="n"/>
      <c r="V1" s="862" t="n"/>
      <c r="AA1" s="862" t="n"/>
      <c r="AF1" s="862" t="n"/>
      <c r="AK1" s="862" t="n"/>
      <c r="AP1" s="862" t="n"/>
      <c r="AU1" s="862" t="n"/>
      <c r="AZ1" s="862" t="n"/>
      <c r="BE1" s="862" t="n"/>
      <c r="BJ1" s="862" t="n"/>
      <c r="BO1" s="862" t="n"/>
      <c r="BT1" s="862" t="n"/>
      <c r="BY1" s="862" t="n"/>
      <c r="CD1" s="862" t="n"/>
      <c r="CI1" s="717" t="n"/>
      <c r="CJ1" s="717" t="n"/>
      <c r="CK1" s="717" t="n"/>
      <c r="CL1" s="717" t="n"/>
      <c r="CM1" s="717" t="n"/>
    </row>
    <row r="2" ht="16.5" customHeight="1">
      <c r="B2" s="170" t="inlineStr">
        <is>
          <t>TFI International (TFII) — 3-Statement Financial Model</t>
        </is>
      </c>
      <c r="G2" s="862" t="n"/>
      <c r="L2" s="862" t="n"/>
      <c r="Q2" s="862" t="n"/>
      <c r="V2" s="862" t="n"/>
      <c r="AA2" s="862" t="n"/>
      <c r="AF2" s="862" t="n"/>
      <c r="AK2" s="862" t="n"/>
      <c r="AP2" s="862" t="n"/>
      <c r="AU2" s="862" t="n"/>
      <c r="AZ2" s="862" t="n"/>
      <c r="BE2" s="862" t="n"/>
      <c r="BJ2" s="862" t="n"/>
      <c r="BO2" s="862" t="n"/>
      <c r="BT2" s="862" t="n"/>
      <c r="BY2" s="862" t="n"/>
      <c r="CD2" s="862" t="n"/>
      <c r="CI2" s="717" t="n"/>
      <c r="CJ2" s="717" t="n"/>
      <c r="CK2" s="717" t="n"/>
      <c r="CL2" s="717" t="n"/>
      <c r="CM2" s="717" t="n"/>
      <c r="CO2" s="726" t="inlineStr">
        <is>
          <t>SCENARIO TOGGLE</t>
        </is>
      </c>
      <c r="CP2" s="64" t="n"/>
    </row>
    <row r="3" ht="16.5" customHeight="1">
      <c r="B3" s="173" t="inlineStr">
        <is>
          <t>IFRS as filed in Form 40-F · $ millions (USD)</t>
        </is>
      </c>
      <c r="G3" s="862" t="n"/>
      <c r="L3" s="862" t="n"/>
      <c r="Q3" s="862" t="n"/>
      <c r="V3" s="862" t="n"/>
      <c r="AA3" s="862" t="n"/>
      <c r="AF3" s="862" t="n"/>
      <c r="AK3" s="862" t="n"/>
      <c r="AP3" s="862" t="n"/>
      <c r="AU3" s="862" t="n"/>
      <c r="AZ3" s="862" t="n"/>
      <c r="BE3" s="862" t="n"/>
      <c r="BJ3" s="862" t="n"/>
      <c r="BO3" s="862" t="n"/>
      <c r="BT3" s="862" t="n"/>
      <c r="BY3" s="862" t="n"/>
      <c r="CD3" s="862" t="n"/>
      <c r="CI3" s="717" t="n"/>
      <c r="CJ3" s="717" t="n"/>
      <c r="CK3" s="717" t="n"/>
      <c r="CL3" s="717" t="n"/>
      <c r="CM3" s="717" t="n"/>
      <c r="CO3" s="725" t="inlineStr">
        <is>
          <t>Base</t>
        </is>
      </c>
      <c r="CP3" s="64" t="n"/>
    </row>
    <row r="4" ht="16.5" customHeight="1">
      <c r="B4" s="174" t="inlineStr">
        <is>
          <t>Drop SEC filing data into the historical columns (C–CD). Forecast columns (CE–CM) recompute from the assumption tables on the right.</t>
        </is>
      </c>
      <c r="G4" s="862" t="n"/>
      <c r="L4" s="862" t="n"/>
      <c r="Q4" s="862" t="n"/>
      <c r="V4" s="862" t="n"/>
      <c r="AA4" s="862" t="n"/>
      <c r="AF4" s="862" t="n"/>
      <c r="AK4" s="862" t="n"/>
      <c r="AP4" s="862" t="n"/>
      <c r="AU4" s="862" t="n"/>
      <c r="AZ4" s="862" t="n"/>
      <c r="BE4" s="862" t="n"/>
      <c r="BJ4" s="862" t="n"/>
      <c r="BO4" s="862" t="n"/>
      <c r="BT4" s="862" t="n"/>
      <c r="BY4" s="862" t="n"/>
      <c r="CD4" s="862" t="n"/>
      <c r="CI4" s="717" t="n"/>
      <c r="CJ4" s="717" t="n"/>
      <c r="CK4" s="717" t="n"/>
      <c r="CL4" s="717" t="n"/>
      <c r="CM4" s="717" t="n"/>
      <c r="CP4" s="64" t="n"/>
    </row>
    <row r="5" ht="16.5" customHeight="1">
      <c r="G5" s="862" t="n"/>
      <c r="L5" s="862" t="n"/>
      <c r="Q5" s="862" t="n"/>
      <c r="V5" s="862" t="n"/>
      <c r="AA5" s="862" t="n"/>
      <c r="AF5" s="862" t="n"/>
      <c r="AK5" s="862" t="n"/>
      <c r="AP5" s="862" t="n"/>
      <c r="AU5" s="862" t="n"/>
      <c r="AZ5" s="862" t="n"/>
      <c r="BE5" s="862" t="n"/>
      <c r="BJ5" s="862" t="n"/>
      <c r="BO5" s="862" t="n"/>
      <c r="BT5" s="862" t="n"/>
      <c r="BY5" s="862" t="n"/>
      <c r="CD5" s="862" t="n"/>
      <c r="CI5" s="717" t="n"/>
      <c r="CJ5" s="717" t="n"/>
      <c r="CK5" s="717" t="n"/>
      <c r="CL5" s="717" t="n"/>
      <c r="CM5" s="717" t="n"/>
      <c r="CN5" s="291" t="inlineStr">
        <is>
          <t>FY20-FY25</t>
        </is>
      </c>
      <c r="CO5" s="970" t="inlineStr">
        <is>
          <t>Selected scenario KPIs (FY30E)</t>
        </is>
      </c>
    </row>
    <row r="6" ht="16.5" customHeight="1">
      <c r="B6" s="966" t="inlineStr">
        <is>
          <t>($M)</t>
        </is>
      </c>
      <c r="C6" s="63" t="inlineStr">
        <is>
          <t>Q1/10</t>
        </is>
      </c>
      <c r="D6" s="63" t="inlineStr">
        <is>
          <t>Q2/10</t>
        </is>
      </c>
      <c r="E6" s="63" t="inlineStr">
        <is>
          <t>Q3/10</t>
        </is>
      </c>
      <c r="F6" s="63" t="inlineStr">
        <is>
          <t>Q4/10</t>
        </is>
      </c>
      <c r="G6" s="863" t="inlineStr">
        <is>
          <t>FY10</t>
        </is>
      </c>
      <c r="H6" s="63" t="inlineStr">
        <is>
          <t>Q1/11</t>
        </is>
      </c>
      <c r="I6" s="63" t="inlineStr">
        <is>
          <t>Q2/11</t>
        </is>
      </c>
      <c r="J6" s="63" t="inlineStr">
        <is>
          <t>Q3/11</t>
        </is>
      </c>
      <c r="K6" s="63" t="inlineStr">
        <is>
          <t>Q4/11</t>
        </is>
      </c>
      <c r="L6" s="863" t="inlineStr">
        <is>
          <t>FY11</t>
        </is>
      </c>
      <c r="M6" s="63" t="inlineStr">
        <is>
          <t>Q1/12</t>
        </is>
      </c>
      <c r="N6" s="63" t="inlineStr">
        <is>
          <t>Q2/12</t>
        </is>
      </c>
      <c r="O6" s="63" t="inlineStr">
        <is>
          <t>Q3/12</t>
        </is>
      </c>
      <c r="P6" s="63" t="inlineStr">
        <is>
          <t>Q4/12</t>
        </is>
      </c>
      <c r="Q6" s="863" t="inlineStr">
        <is>
          <t>FY12</t>
        </is>
      </c>
      <c r="R6" s="63" t="inlineStr">
        <is>
          <t>Q1/13</t>
        </is>
      </c>
      <c r="S6" s="63" t="inlineStr">
        <is>
          <t>Q2/13</t>
        </is>
      </c>
      <c r="T6" s="63" t="inlineStr">
        <is>
          <t>Q3/13</t>
        </is>
      </c>
      <c r="U6" s="63" t="inlineStr">
        <is>
          <t>Q4/13</t>
        </is>
      </c>
      <c r="V6" s="863" t="inlineStr">
        <is>
          <t>FY13</t>
        </is>
      </c>
      <c r="W6" s="63" t="inlineStr">
        <is>
          <t>Q1/14</t>
        </is>
      </c>
      <c r="X6" s="63" t="inlineStr">
        <is>
          <t>Q2/14</t>
        </is>
      </c>
      <c r="Y6" s="63" t="inlineStr">
        <is>
          <t>Q3/14</t>
        </is>
      </c>
      <c r="Z6" s="63" t="inlineStr">
        <is>
          <t>Q4/14</t>
        </is>
      </c>
      <c r="AA6" s="863" t="inlineStr">
        <is>
          <t>FY14</t>
        </is>
      </c>
      <c r="AB6" s="63" t="inlineStr">
        <is>
          <t>Q1/15</t>
        </is>
      </c>
      <c r="AC6" s="63" t="inlineStr">
        <is>
          <t>Q2/15</t>
        </is>
      </c>
      <c r="AD6" s="63" t="inlineStr">
        <is>
          <t>Q3/15</t>
        </is>
      </c>
      <c r="AE6" s="63" t="inlineStr">
        <is>
          <t>Q4/15</t>
        </is>
      </c>
      <c r="AF6" s="863" t="inlineStr">
        <is>
          <t>FY15</t>
        </is>
      </c>
      <c r="AG6" s="63" t="inlineStr">
        <is>
          <t>Q1/16</t>
        </is>
      </c>
      <c r="AH6" s="63" t="inlineStr">
        <is>
          <t>Q2/16</t>
        </is>
      </c>
      <c r="AI6" s="63" t="inlineStr">
        <is>
          <t>Q3/16</t>
        </is>
      </c>
      <c r="AJ6" s="63" t="inlineStr">
        <is>
          <t>Q4/16</t>
        </is>
      </c>
      <c r="AK6" s="863" t="inlineStr">
        <is>
          <t>FY16</t>
        </is>
      </c>
      <c r="AL6" s="63" t="inlineStr">
        <is>
          <t>Q1/17</t>
        </is>
      </c>
      <c r="AM6" s="63" t="inlineStr">
        <is>
          <t>Q2/17</t>
        </is>
      </c>
      <c r="AN6" s="63" t="inlineStr">
        <is>
          <t>Q3/17</t>
        </is>
      </c>
      <c r="AO6" s="63" t="inlineStr">
        <is>
          <t>Q4/17</t>
        </is>
      </c>
      <c r="AP6" s="863" t="inlineStr">
        <is>
          <t>FY17</t>
        </is>
      </c>
      <c r="AQ6" s="63" t="inlineStr">
        <is>
          <t>Q1/18</t>
        </is>
      </c>
      <c r="AR6" s="63" t="inlineStr">
        <is>
          <t>Q2/18</t>
        </is>
      </c>
      <c r="AS6" s="63" t="inlineStr">
        <is>
          <t>Q3/18</t>
        </is>
      </c>
      <c r="AT6" s="63" t="inlineStr">
        <is>
          <t>Q4/18</t>
        </is>
      </c>
      <c r="AU6" s="863" t="inlineStr">
        <is>
          <t>FY18</t>
        </is>
      </c>
      <c r="AV6" s="63" t="inlineStr">
        <is>
          <t>Q1/19</t>
        </is>
      </c>
      <c r="AW6" s="63" t="inlineStr">
        <is>
          <t>Q2/19</t>
        </is>
      </c>
      <c r="AX6" s="63" t="inlineStr">
        <is>
          <t>Q3/19</t>
        </is>
      </c>
      <c r="AY6" s="63" t="inlineStr">
        <is>
          <t>Q4/19</t>
        </is>
      </c>
      <c r="AZ6" s="863" t="inlineStr">
        <is>
          <t>FY19</t>
        </is>
      </c>
      <c r="BA6" s="63" t="inlineStr">
        <is>
          <t>Q1/20</t>
        </is>
      </c>
      <c r="BB6" s="63" t="inlineStr">
        <is>
          <t>Q2/20</t>
        </is>
      </c>
      <c r="BC6" s="63" t="inlineStr">
        <is>
          <t>Q3/20</t>
        </is>
      </c>
      <c r="BD6" s="63" t="inlineStr">
        <is>
          <t>Q4/20</t>
        </is>
      </c>
      <c r="BE6" s="863" t="inlineStr">
        <is>
          <t>FY20</t>
        </is>
      </c>
      <c r="BF6" s="63" t="inlineStr">
        <is>
          <t>Q1/21</t>
        </is>
      </c>
      <c r="BG6" s="63" t="inlineStr">
        <is>
          <t>Q2/21</t>
        </is>
      </c>
      <c r="BH6" s="63" t="inlineStr">
        <is>
          <t>Q3/21</t>
        </is>
      </c>
      <c r="BI6" s="63" t="inlineStr">
        <is>
          <t>Q4/21</t>
        </is>
      </c>
      <c r="BJ6" s="863" t="inlineStr">
        <is>
          <t>FY21</t>
        </is>
      </c>
      <c r="BK6" s="63" t="inlineStr">
        <is>
          <t>Q1/22</t>
        </is>
      </c>
      <c r="BL6" s="63" t="inlineStr">
        <is>
          <t>Q2/22</t>
        </is>
      </c>
      <c r="BM6" s="63" t="inlineStr">
        <is>
          <t>Q3/22</t>
        </is>
      </c>
      <c r="BN6" s="63" t="inlineStr">
        <is>
          <t>Q4/22</t>
        </is>
      </c>
      <c r="BO6" s="863" t="inlineStr">
        <is>
          <t>FY22</t>
        </is>
      </c>
      <c r="BP6" s="63" t="inlineStr">
        <is>
          <t>Q1/23</t>
        </is>
      </c>
      <c r="BQ6" s="63" t="inlineStr">
        <is>
          <t>Q2/23</t>
        </is>
      </c>
      <c r="BR6" s="63" t="inlineStr">
        <is>
          <t>Q3/23</t>
        </is>
      </c>
      <c r="BS6" s="63" t="inlineStr">
        <is>
          <t>Q4/23</t>
        </is>
      </c>
      <c r="BT6" s="863" t="inlineStr">
        <is>
          <t>FY23</t>
        </is>
      </c>
      <c r="BU6" s="63" t="inlineStr">
        <is>
          <t>Q1/24</t>
        </is>
      </c>
      <c r="BV6" s="63" t="inlineStr">
        <is>
          <t>Q2/24</t>
        </is>
      </c>
      <c r="BW6" s="63" t="inlineStr">
        <is>
          <t>Q3/24</t>
        </is>
      </c>
      <c r="BX6" s="63" t="inlineStr">
        <is>
          <t>Q4/24</t>
        </is>
      </c>
      <c r="BY6" s="863" t="inlineStr">
        <is>
          <t>FY24</t>
        </is>
      </c>
      <c r="BZ6" s="63" t="inlineStr">
        <is>
          <t>Q1/25</t>
        </is>
      </c>
      <c r="CA6" s="63" t="inlineStr">
        <is>
          <t>Q2/25</t>
        </is>
      </c>
      <c r="CB6" s="63" t="inlineStr">
        <is>
          <t>Q3/25</t>
        </is>
      </c>
      <c r="CC6" s="63" t="inlineStr">
        <is>
          <t>Q4/25</t>
        </is>
      </c>
      <c r="CD6" s="863" t="inlineStr">
        <is>
          <t>FY25</t>
        </is>
      </c>
      <c r="CE6" s="748" t="inlineStr">
        <is>
          <t>Q1/26</t>
        </is>
      </c>
      <c r="CF6" s="748" t="inlineStr">
        <is>
          <t>Q2/26</t>
        </is>
      </c>
      <c r="CG6" s="748" t="inlineStr">
        <is>
          <t>Q3/26E</t>
        </is>
      </c>
      <c r="CH6" s="748" t="inlineStr">
        <is>
          <t>Q4/26E</t>
        </is>
      </c>
      <c r="CI6" s="748" t="inlineStr">
        <is>
          <t>FY26E</t>
        </is>
      </c>
      <c r="CJ6" s="63" t="inlineStr">
        <is>
          <t>FY27E</t>
        </is>
      </c>
      <c r="CK6" s="63" t="inlineStr">
        <is>
          <t>FY28E</t>
        </is>
      </c>
      <c r="CL6" s="63" t="inlineStr">
        <is>
          <t>FY29E</t>
        </is>
      </c>
      <c r="CM6" s="63" t="inlineStr">
        <is>
          <t>FY30E</t>
        </is>
      </c>
      <c r="CN6" s="63" t="inlineStr">
        <is>
          <t>5Y CAGR</t>
        </is>
      </c>
      <c r="CO6" s="63" t="inlineStr">
        <is>
          <t>FY30E Revenue ($M)</t>
        </is>
      </c>
      <c r="CP6" s="727">
        <f>CM98</f>
        <v/>
      </c>
      <c r="CQ6" s="692" t="inlineStr">
        <is>
          <t>Modeling Comments &amp; Assumptions</t>
        </is>
      </c>
    </row>
    <row r="7" ht="16.5" customHeight="1">
      <c r="C7" s="291" t="n"/>
      <c r="D7" s="291" t="n"/>
      <c r="E7" s="291" t="n"/>
      <c r="F7" s="291" t="n"/>
      <c r="G7" s="864" t="n"/>
      <c r="H7" s="291" t="n"/>
      <c r="I7" s="291" t="n"/>
      <c r="J7" s="291" t="n"/>
      <c r="K7" s="291" t="n"/>
      <c r="L7" s="864" t="n"/>
      <c r="M7" s="291" t="n"/>
      <c r="N7" s="291" t="n"/>
      <c r="O7" s="291" t="n"/>
      <c r="P7" s="291" t="n"/>
      <c r="Q7" s="864" t="n"/>
      <c r="R7" s="291" t="n"/>
      <c r="S7" s="291" t="n"/>
      <c r="T7" s="291" t="n"/>
      <c r="U7" s="291" t="n"/>
      <c r="V7" s="864" t="n"/>
      <c r="W7" s="291" t="n"/>
      <c r="X7" s="291" t="n"/>
      <c r="Y7" s="291" t="n"/>
      <c r="Z7" s="291" t="n"/>
      <c r="AA7" s="864" t="n"/>
      <c r="AB7" s="291" t="n"/>
      <c r="AC7" s="291" t="n"/>
      <c r="AD7" s="291" t="n"/>
      <c r="AE7" s="291" t="n"/>
      <c r="AF7" s="864" t="n"/>
      <c r="AG7" s="291" t="n"/>
      <c r="AH7" s="291" t="n"/>
      <c r="AI7" s="291" t="n"/>
      <c r="AJ7" s="291" t="n"/>
      <c r="AK7" s="864" t="n"/>
      <c r="AL7" s="291" t="n"/>
      <c r="AM7" s="291" t="n"/>
      <c r="AN7" s="291" t="n"/>
      <c r="AO7" s="291" t="n"/>
      <c r="AP7" s="864" t="n"/>
      <c r="AQ7" s="291" t="n"/>
      <c r="AR7" s="291" t="n"/>
      <c r="AS7" s="291" t="n"/>
      <c r="AT7" s="291" t="n"/>
      <c r="AU7" s="864" t="n"/>
      <c r="AV7" s="291" t="n"/>
      <c r="AW7" s="291" t="n"/>
      <c r="AX7" s="291" t="n"/>
      <c r="AY7" s="291" t="n"/>
      <c r="AZ7" s="864" t="n"/>
      <c r="BA7" s="291" t="n"/>
      <c r="BB7" s="291" t="n"/>
      <c r="BC7" s="291" t="n"/>
      <c r="BD7" s="291" t="n"/>
      <c r="BE7" s="864" t="n"/>
      <c r="BF7" s="291" t="n"/>
      <c r="BG7" s="291" t="n"/>
      <c r="BH7" s="291" t="n"/>
      <c r="BI7" s="291" t="n"/>
      <c r="BJ7" s="864" t="n"/>
      <c r="BK7" s="291" t="n"/>
      <c r="BL7" s="291" t="n"/>
      <c r="BM7" s="291" t="n"/>
      <c r="BN7" s="291" t="n"/>
      <c r="BO7" s="864" t="n"/>
      <c r="BP7" s="291" t="n"/>
      <c r="BQ7" s="291" t="n"/>
      <c r="BR7" s="291" t="n"/>
      <c r="BS7" s="291" t="n"/>
      <c r="BT7" s="864" t="n"/>
      <c r="BU7" s="291" t="n"/>
      <c r="BV7" s="291" t="n"/>
      <c r="BW7" s="291" t="n"/>
      <c r="BX7" s="291" t="n"/>
      <c r="BY7" s="864" t="n"/>
      <c r="BZ7" s="291" t="n"/>
      <c r="CA7" s="291" t="n"/>
      <c r="CB7" s="291" t="n"/>
      <c r="CC7" s="291" t="n"/>
      <c r="CD7" s="864" t="n"/>
      <c r="CE7" s="291" t="n"/>
      <c r="CF7" s="291" t="n"/>
      <c r="CG7" s="291" t="n"/>
      <c r="CH7" s="291" t="n"/>
      <c r="CI7" s="749" t="n"/>
      <c r="CJ7" s="749" t="n"/>
      <c r="CK7" s="749" t="n"/>
      <c r="CL7" s="749" t="n"/>
      <c r="CM7" s="749" t="n"/>
      <c r="CN7" s="291" t="n"/>
      <c r="CO7" s="291" t="inlineStr">
        <is>
          <t>FY30E GAAP EBIT ($M)</t>
        </is>
      </c>
      <c r="CP7" s="728">
        <f>CM102</f>
        <v/>
      </c>
      <c r="CQ7" s="693" t="n"/>
    </row>
    <row r="8" ht="16.5" customHeight="1">
      <c r="B8" s="221" t="inlineStr">
        <is>
          <t>SEGMENT P&amp;L — LEGACY STRUCTURE (FY10–FY21)</t>
        </is>
      </c>
      <c r="C8" s="222" t="n"/>
      <c r="D8" s="222" t="n"/>
      <c r="E8" s="222" t="n"/>
      <c r="F8" s="222" t="n"/>
      <c r="G8" s="865" t="n"/>
      <c r="H8" s="222" t="n"/>
      <c r="I8" s="222" t="n"/>
      <c r="J8" s="222" t="n"/>
      <c r="K8" s="222" t="n"/>
      <c r="L8" s="865" t="n"/>
      <c r="M8" s="222" t="n"/>
      <c r="N8" s="222" t="n"/>
      <c r="O8" s="222" t="n"/>
      <c r="P8" s="222" t="n"/>
      <c r="Q8" s="865" t="n"/>
      <c r="R8" s="222" t="n"/>
      <c r="S8" s="222" t="n"/>
      <c r="T8" s="222" t="n"/>
      <c r="U8" s="222" t="n"/>
      <c r="V8" s="865" t="n"/>
      <c r="W8" s="222" t="n"/>
      <c r="X8" s="222" t="n"/>
      <c r="Y8" s="222" t="n"/>
      <c r="Z8" s="222" t="n"/>
      <c r="AA8" s="865" t="n"/>
      <c r="AB8" s="222" t="n"/>
      <c r="AC8" s="222" t="n"/>
      <c r="AD8" s="222" t="n"/>
      <c r="AE8" s="222" t="n"/>
      <c r="AF8" s="865" t="n"/>
      <c r="AG8" s="222" t="n"/>
      <c r="AH8" s="222" t="n"/>
      <c r="AI8" s="222" t="n"/>
      <c r="AJ8" s="222" t="n"/>
      <c r="AK8" s="865" t="n"/>
      <c r="AL8" s="222" t="n"/>
      <c r="AM8" s="222" t="n"/>
      <c r="AN8" s="222" t="n"/>
      <c r="AO8" s="222" t="n"/>
      <c r="AP8" s="865" t="n"/>
      <c r="AQ8" s="222" t="n"/>
      <c r="AR8" s="222" t="n"/>
      <c r="AS8" s="222" t="n"/>
      <c r="AT8" s="222" t="n"/>
      <c r="AU8" s="865" t="n"/>
      <c r="AV8" s="222" t="n"/>
      <c r="AW8" s="222" t="n"/>
      <c r="AX8" s="222" t="n"/>
      <c r="AY8" s="222" t="n"/>
      <c r="AZ8" s="865" t="n"/>
      <c r="BA8" s="222" t="n"/>
      <c r="BB8" s="222" t="n"/>
      <c r="BC8" s="222" t="n"/>
      <c r="BD8" s="222" t="n"/>
      <c r="BE8" s="865" t="n"/>
      <c r="BF8" s="222" t="n"/>
      <c r="BG8" s="222" t="n"/>
      <c r="BH8" s="222" t="n"/>
      <c r="BI8" s="222" t="n"/>
      <c r="BJ8" s="865" t="n"/>
      <c r="BK8" s="222" t="n"/>
      <c r="BL8" s="222" t="n"/>
      <c r="BM8" s="222" t="n"/>
      <c r="BN8" s="222" t="n"/>
      <c r="BO8" s="865" t="n"/>
      <c r="BP8" s="222" t="n"/>
      <c r="BQ8" s="222" t="n"/>
      <c r="BR8" s="222" t="n"/>
      <c r="BS8" s="222" t="n"/>
      <c r="BT8" s="865" t="n"/>
      <c r="BU8" s="222" t="n"/>
      <c r="BV8" s="222" t="n"/>
      <c r="BW8" s="222" t="n"/>
      <c r="BX8" s="222" t="n"/>
      <c r="BY8" s="865" t="n"/>
      <c r="BZ8" s="222" t="n"/>
      <c r="CA8" s="222" t="n"/>
      <c r="CB8" s="222" t="n"/>
      <c r="CC8" s="222" t="n"/>
      <c r="CD8" s="865" t="n"/>
      <c r="CE8" s="222" t="n"/>
      <c r="CF8" s="222" t="n"/>
      <c r="CG8" s="222" t="n"/>
      <c r="CH8" s="222" t="n"/>
      <c r="CI8" s="222" t="n"/>
      <c r="CJ8" s="222" t="n"/>
      <c r="CK8" s="222" t="n"/>
      <c r="CL8" s="222" t="n"/>
      <c r="CM8" s="222" t="n"/>
      <c r="CN8" s="222" t="n"/>
      <c r="CO8" s="222" t="inlineStr">
        <is>
          <t>FY30E EBIT margin %</t>
        </is>
      </c>
      <c r="CP8" s="971">
        <f>CM102/CM98</f>
        <v/>
      </c>
      <c r="CQ8" s="692" t="n"/>
    </row>
    <row r="9" ht="16.5" customHeight="1">
      <c r="B9" s="210" t="inlineStr">
        <is>
          <t>Pre-FY22 reporting — 3 reportable segments: Aircraft Controls, Space and Defense Controls, Industrial Systems. (Components and Medical Devices were separate segments in early years; combined into Industrial Systems by FY15.)</t>
        </is>
      </c>
      <c r="C9" s="677" t="n"/>
      <c r="D9" s="677" t="n"/>
      <c r="E9" s="677" t="n"/>
      <c r="F9" s="677" t="n"/>
      <c r="G9" s="866" t="n"/>
      <c r="H9" s="677" t="n"/>
      <c r="I9" s="677" t="n"/>
      <c r="J9" s="677" t="n"/>
      <c r="K9" s="677" t="n"/>
      <c r="L9" s="866" t="n"/>
      <c r="M9" s="677" t="n"/>
      <c r="N9" s="677" t="n"/>
      <c r="O9" s="677" t="n"/>
      <c r="P9" s="677" t="n"/>
      <c r="Q9" s="866" t="n"/>
      <c r="R9" s="677" t="n"/>
      <c r="S9" s="677" t="n"/>
      <c r="T9" s="677" t="n"/>
      <c r="U9" s="677" t="n"/>
      <c r="V9" s="866" t="n"/>
      <c r="W9" s="677" t="n"/>
      <c r="X9" s="677" t="n"/>
      <c r="Y9" s="677" t="n"/>
      <c r="Z9" s="677" t="n"/>
      <c r="AA9" s="866" t="n"/>
      <c r="AB9" s="677" t="n"/>
      <c r="AC9" s="677" t="n"/>
      <c r="AD9" s="677" t="n"/>
      <c r="AE9" s="677" t="n"/>
      <c r="AF9" s="866" t="n"/>
      <c r="AG9" s="677" t="n"/>
      <c r="AH9" s="677" t="n"/>
      <c r="AI9" s="677" t="n"/>
      <c r="AJ9" s="677" t="n"/>
      <c r="AK9" s="866" t="n"/>
      <c r="AL9" s="677" t="n"/>
      <c r="AM9" s="677" t="n"/>
      <c r="AN9" s="677" t="n"/>
      <c r="AO9" s="677" t="n"/>
      <c r="AP9" s="866" t="n"/>
      <c r="AQ9" s="677" t="n"/>
      <c r="AR9" s="677" t="n"/>
      <c r="AS9" s="677" t="n"/>
      <c r="AT9" s="677" t="n"/>
      <c r="AU9" s="866" t="n"/>
      <c r="AV9" s="677" t="n"/>
      <c r="AW9" s="677" t="n"/>
      <c r="AX9" s="677" t="n"/>
      <c r="AY9" s="677" t="n"/>
      <c r="AZ9" s="866" t="n"/>
      <c r="BA9" s="677" t="n"/>
      <c r="BB9" s="677" t="n"/>
      <c r="BC9" s="677" t="n"/>
      <c r="BD9" s="677" t="n"/>
      <c r="BE9" s="866" t="n"/>
      <c r="BF9" s="677" t="n"/>
      <c r="BG9" s="677" t="n"/>
      <c r="BH9" s="677" t="n"/>
      <c r="BI9" s="677" t="n"/>
      <c r="BJ9" s="866" t="n"/>
      <c r="BK9" s="677" t="n"/>
      <c r="BL9" s="677" t="n"/>
      <c r="BM9" s="677" t="n"/>
      <c r="BN9" s="677" t="n"/>
      <c r="BO9" s="866" t="n"/>
      <c r="BP9" s="677" t="n"/>
      <c r="BQ9" s="677" t="n"/>
      <c r="BR9" s="677" t="n"/>
      <c r="BS9" s="677" t="n"/>
      <c r="BT9" s="866" t="n"/>
      <c r="BU9" s="677" t="n"/>
      <c r="BV9" s="677" t="n"/>
      <c r="BW9" s="677" t="n"/>
      <c r="BX9" s="677" t="n"/>
      <c r="BY9" s="866" t="n"/>
      <c r="BZ9" s="677" t="n"/>
      <c r="CA9" s="677" t="n"/>
      <c r="CB9" s="677" t="n"/>
      <c r="CC9" s="677" t="n"/>
      <c r="CD9" s="866" t="n"/>
      <c r="CE9" s="677" t="n"/>
      <c r="CF9" s="677" t="n"/>
      <c r="CG9" s="677" t="n"/>
      <c r="CH9" s="677" t="n"/>
      <c r="CI9" s="750" t="n"/>
      <c r="CJ9" s="750" t="n"/>
      <c r="CK9" s="750" t="n"/>
      <c r="CL9" s="750" t="n"/>
      <c r="CM9" s="750" t="n"/>
      <c r="CN9" s="677" t="n"/>
      <c r="CO9" s="677" t="inlineStr">
        <is>
          <t>FY30E ROIC</t>
        </is>
      </c>
      <c r="CP9" s="972">
        <f>CM284</f>
        <v/>
      </c>
      <c r="CQ9" s="693" t="n"/>
    </row>
    <row r="10" hidden="1" outlineLevel="1" ht="16.5" customHeight="1">
      <c r="C10" s="291" t="n"/>
      <c r="D10" s="291" t="n"/>
      <c r="E10" s="291" t="n"/>
      <c r="F10" s="291" t="n"/>
      <c r="G10" s="864" t="n"/>
      <c r="H10" s="291" t="n"/>
      <c r="I10" s="291" t="n"/>
      <c r="J10" s="291" t="n"/>
      <c r="K10" s="291" t="n"/>
      <c r="L10" s="864" t="n"/>
      <c r="M10" s="291" t="n"/>
      <c r="N10" s="291" t="n"/>
      <c r="O10" s="291" t="n"/>
      <c r="P10" s="291" t="n"/>
      <c r="Q10" s="864" t="n"/>
      <c r="R10" s="291" t="n"/>
      <c r="S10" s="291" t="n"/>
      <c r="T10" s="291" t="n"/>
      <c r="U10" s="291" t="n"/>
      <c r="V10" s="864" t="n"/>
      <c r="W10" s="291" t="n"/>
      <c r="X10" s="291" t="n"/>
      <c r="Y10" s="291" t="n"/>
      <c r="Z10" s="291" t="n"/>
      <c r="AA10" s="864" t="n"/>
      <c r="AB10" s="291" t="n"/>
      <c r="AC10" s="291" t="n"/>
      <c r="AD10" s="291" t="n"/>
      <c r="AE10" s="291" t="n"/>
      <c r="AF10" s="864" t="n"/>
      <c r="AG10" s="291" t="n"/>
      <c r="AH10" s="291" t="n"/>
      <c r="AI10" s="291" t="n"/>
      <c r="AJ10" s="291" t="n"/>
      <c r="AK10" s="864" t="n"/>
      <c r="AL10" s="291" t="n"/>
      <c r="AM10" s="291" t="n"/>
      <c r="AN10" s="291" t="n"/>
      <c r="AO10" s="291" t="n"/>
      <c r="AP10" s="864" t="n"/>
      <c r="AQ10" s="291" t="n"/>
      <c r="AR10" s="291" t="n"/>
      <c r="AS10" s="291" t="n"/>
      <c r="AT10" s="291" t="n"/>
      <c r="AU10" s="864" t="n"/>
      <c r="AV10" s="291" t="n"/>
      <c r="AW10" s="291" t="n"/>
      <c r="AX10" s="291" t="n"/>
      <c r="AY10" s="291" t="n"/>
      <c r="AZ10" s="864" t="n"/>
      <c r="BA10" s="291" t="n"/>
      <c r="BB10" s="291" t="n"/>
      <c r="BC10" s="291" t="n"/>
      <c r="BD10" s="291" t="n"/>
      <c r="BE10" s="864" t="n"/>
      <c r="BF10" s="291" t="n"/>
      <c r="BG10" s="291" t="n"/>
      <c r="BH10" s="291" t="n"/>
      <c r="BI10" s="291" t="n"/>
      <c r="BJ10" s="864" t="n"/>
      <c r="BK10" s="291" t="n"/>
      <c r="BL10" s="291" t="n"/>
      <c r="BM10" s="291" t="n"/>
      <c r="BN10" s="291" t="n"/>
      <c r="BO10" s="864" t="n"/>
      <c r="BP10" s="291" t="n"/>
      <c r="BQ10" s="291" t="n"/>
      <c r="BR10" s="291" t="n"/>
      <c r="BS10" s="291" t="n"/>
      <c r="BT10" s="864" t="n"/>
      <c r="BU10" s="291" t="n"/>
      <c r="BV10" s="291" t="n"/>
      <c r="BW10" s="291" t="n"/>
      <c r="BX10" s="291" t="n"/>
      <c r="BY10" s="864" t="n"/>
      <c r="BZ10" s="291" t="n"/>
      <c r="CA10" s="291" t="n"/>
      <c r="CB10" s="291" t="n"/>
      <c r="CC10" s="291" t="n"/>
      <c r="CD10" s="864" t="n"/>
      <c r="CE10" s="291" t="n"/>
      <c r="CF10" s="291" t="n"/>
      <c r="CG10" s="291" t="n"/>
      <c r="CH10" s="291" t="n"/>
      <c r="CI10" s="749" t="n"/>
      <c r="CJ10" s="749" t="n"/>
      <c r="CK10" s="749" t="n"/>
      <c r="CL10" s="749" t="n"/>
      <c r="CM10" s="749" t="n"/>
      <c r="CN10" s="291" t="n"/>
      <c r="CO10" s="291" t="inlineStr">
        <is>
          <t>FY30E Adj EPS ($)</t>
        </is>
      </c>
      <c r="CP10" s="973">
        <f>CM156</f>
        <v/>
      </c>
      <c r="CQ10" s="693" t="n"/>
    </row>
    <row r="11" hidden="1" outlineLevel="1" ht="16.5" customHeight="1">
      <c r="B11" s="223" t="inlineStr">
        <is>
          <t>Package and Courier</t>
        </is>
      </c>
      <c r="C11" s="224" t="n"/>
      <c r="D11" s="224" t="n"/>
      <c r="E11" s="224" t="n"/>
      <c r="F11" s="224" t="n"/>
      <c r="G11" s="867" t="n"/>
      <c r="H11" s="224" t="n"/>
      <c r="I11" s="224" t="n"/>
      <c r="J11" s="224" t="n"/>
      <c r="K11" s="224" t="n"/>
      <c r="L11" s="867" t="n"/>
      <c r="M11" s="224" t="n"/>
      <c r="N11" s="224" t="n"/>
      <c r="O11" s="224" t="n"/>
      <c r="P11" s="224" t="n"/>
      <c r="Q11" s="867" t="n"/>
      <c r="R11" s="224" t="n"/>
      <c r="S11" s="224" t="n"/>
      <c r="T11" s="224" t="n"/>
      <c r="U11" s="224" t="n"/>
      <c r="V11" s="867" t="n"/>
      <c r="W11" s="224" t="n"/>
      <c r="X11" s="224" t="n"/>
      <c r="Y11" s="224" t="n"/>
      <c r="Z11" s="224" t="n"/>
      <c r="AA11" s="867" t="n"/>
      <c r="AB11" s="224" t="n"/>
      <c r="AC11" s="224" t="n"/>
      <c r="AD11" s="224" t="n"/>
      <c r="AE11" s="224" t="n"/>
      <c r="AF11" s="867" t="n"/>
      <c r="AG11" s="224" t="n"/>
      <c r="AH11" s="224" t="n"/>
      <c r="AI11" s="224" t="n"/>
      <c r="AJ11" s="224" t="n"/>
      <c r="AK11" s="867" t="n"/>
      <c r="AL11" s="224" t="n"/>
      <c r="AM11" s="224" t="n"/>
      <c r="AN11" s="224" t="n"/>
      <c r="AO11" s="224" t="n"/>
      <c r="AP11" s="867" t="n"/>
      <c r="AQ11" s="224" t="n"/>
      <c r="AR11" s="224" t="n"/>
      <c r="AS11" s="224" t="n"/>
      <c r="AT11" s="224" t="n"/>
      <c r="AU11" s="867" t="n"/>
      <c r="AV11" s="224" t="n"/>
      <c r="AW11" s="224" t="n"/>
      <c r="AX11" s="224" t="n"/>
      <c r="AY11" s="224" t="n"/>
      <c r="AZ11" s="867" t="n"/>
      <c r="BA11" s="224" t="n"/>
      <c r="BB11" s="224" t="n"/>
      <c r="BC11" s="224" t="n"/>
      <c r="BD11" s="224" t="n"/>
      <c r="BE11" s="867" t="n"/>
      <c r="BF11" s="224" t="n"/>
      <c r="BG11" s="224" t="n"/>
      <c r="BH11" s="224" t="n"/>
      <c r="BI11" s="224" t="n"/>
      <c r="BJ11" s="867" t="n"/>
      <c r="BK11" s="224" t="n"/>
      <c r="BL11" s="224" t="n"/>
      <c r="BM11" s="224" t="n"/>
      <c r="BN11" s="224" t="n"/>
      <c r="BO11" s="867" t="n"/>
      <c r="BP11" s="224" t="n"/>
      <c r="BQ11" s="224" t="n"/>
      <c r="BR11" s="224" t="n"/>
      <c r="BS11" s="224" t="n"/>
      <c r="BT11" s="867" t="n"/>
      <c r="BU11" s="224" t="n"/>
      <c r="BV11" s="224" t="n"/>
      <c r="BW11" s="224" t="n"/>
      <c r="BX11" s="224" t="n"/>
      <c r="BY11" s="867" t="n"/>
      <c r="BZ11" s="224" t="n"/>
      <c r="CA11" s="224" t="n"/>
      <c r="CB11" s="224" t="n"/>
      <c r="CC11" s="224" t="n"/>
      <c r="CD11" s="867" t="n"/>
      <c r="CE11" s="224" t="n"/>
      <c r="CF11" s="224" t="n"/>
      <c r="CG11" s="224" t="n"/>
      <c r="CH11" s="224" t="n"/>
      <c r="CI11" s="224" t="n"/>
      <c r="CJ11" s="224" t="n"/>
      <c r="CK11" s="224" t="n"/>
      <c r="CL11" s="224" t="n"/>
      <c r="CM11" s="224" t="n"/>
      <c r="CN11" s="224" t="n"/>
      <c r="CO11" s="224" t="n"/>
      <c r="CP11" s="224" t="n"/>
      <c r="CQ11" s="693" t="n"/>
    </row>
    <row r="12" hidden="1" outlineLevel="1" ht="16.5" customHeight="1">
      <c r="B12" t="inlineStr">
        <is>
          <t xml:space="preserve">  Net sales</t>
        </is>
      </c>
      <c r="C12" s="743" t="n"/>
      <c r="D12" s="743" t="n"/>
      <c r="E12" s="743" t="n"/>
      <c r="F12" s="743" t="n"/>
      <c r="G12" s="868" t="n"/>
      <c r="H12" s="743" t="n"/>
      <c r="I12" s="743" t="n"/>
      <c r="J12" s="743" t="n"/>
      <c r="K12" s="743" t="n"/>
      <c r="L12" s="868" t="n"/>
      <c r="M12" s="743" t="n"/>
      <c r="N12" s="743" t="n"/>
      <c r="O12" s="743" t="n"/>
      <c r="P12" s="743" t="n"/>
      <c r="Q12" s="868" t="n"/>
      <c r="R12" s="743" t="n"/>
      <c r="S12" s="743" t="n"/>
      <c r="T12" s="743" t="n"/>
      <c r="U12" s="743" t="n"/>
      <c r="V12" s="868" t="n"/>
      <c r="W12" s="743" t="n"/>
      <c r="X12" s="743" t="n"/>
      <c r="Y12" s="743" t="n"/>
      <c r="Z12" s="743" t="n"/>
      <c r="AA12" s="868" t="n"/>
      <c r="AB12" s="743" t="n"/>
      <c r="AC12" s="743" t="n"/>
      <c r="AD12" s="743" t="n"/>
      <c r="AE12" s="743" t="n"/>
      <c r="AF12" s="868" t="n"/>
      <c r="AG12" s="743" t="n"/>
      <c r="AH12" s="743" t="n"/>
      <c r="AI12" s="743" t="n"/>
      <c r="AJ12" s="743" t="n"/>
      <c r="AK12" s="868" t="n"/>
      <c r="AL12" s="743" t="n"/>
      <c r="AM12" s="291" t="n"/>
      <c r="AN12" s="291" t="n"/>
      <c r="AO12" s="291" t="n"/>
      <c r="AP12" s="868" t="n"/>
      <c r="AQ12" s="291" t="n"/>
      <c r="AR12" s="291" t="n"/>
      <c r="AS12" s="291" t="n"/>
      <c r="AT12" s="291" t="n"/>
      <c r="AU12" s="868" t="n"/>
      <c r="AV12" s="291" t="n"/>
      <c r="AW12" s="291" t="n"/>
      <c r="AX12" s="291" t="n"/>
      <c r="AY12" s="291" t="n"/>
      <c r="AZ12" s="868" t="n">
        <v>539.61</v>
      </c>
      <c r="BA12" s="291" t="n"/>
      <c r="BB12" s="291" t="n"/>
      <c r="BC12" s="291" t="n">
        <v>122.439</v>
      </c>
      <c r="BD12" s="291" t="n"/>
      <c r="BE12" s="868" t="n">
        <v>529.155</v>
      </c>
      <c r="BF12" s="743" t="n"/>
      <c r="BG12" s="743" t="n">
        <v>145.235</v>
      </c>
      <c r="BH12" s="743" t="n">
        <v>133.315</v>
      </c>
      <c r="BI12" s="291">
        <f>BJ12-SUM(BF12:BH12)</f>
        <v/>
      </c>
      <c r="BJ12" s="868" t="n">
        <v>641.449</v>
      </c>
      <c r="BK12" s="743" t="n">
        <v>124.58</v>
      </c>
      <c r="BL12" s="743" t="n">
        <v>125.082</v>
      </c>
      <c r="BM12" s="743" t="n">
        <v>120.236</v>
      </c>
      <c r="BN12" s="291">
        <f>BO12-SUM(BK12:BM12)</f>
        <v/>
      </c>
      <c r="BO12" s="868" t="n">
        <v>650.8440000000001</v>
      </c>
      <c r="BP12" s="743" t="n">
        <v>112.56</v>
      </c>
      <c r="BQ12" s="743" t="n">
        <v>115.588</v>
      </c>
      <c r="BR12" s="743" t="n">
        <v>111.749</v>
      </c>
      <c r="BS12" s="291" t="n"/>
      <c r="BT12" s="864" t="n">
        <v>583.198</v>
      </c>
      <c r="BU12" s="291" t="n">
        <v>103.18</v>
      </c>
      <c r="BV12" s="291" t="n"/>
      <c r="BW12" s="291" t="n"/>
      <c r="BX12" s="291" t="n"/>
      <c r="BY12" s="864" t="n"/>
      <c r="BZ12" s="291" t="n"/>
      <c r="CA12" s="291" t="n"/>
      <c r="CB12" s="291" t="n"/>
      <c r="CC12" s="291" t="n"/>
      <c r="CD12" s="864" t="n"/>
      <c r="CE12" s="291" t="n"/>
      <c r="CF12" s="291" t="n"/>
      <c r="CG12" s="291" t="n"/>
      <c r="CH12" s="291" t="n"/>
      <c r="CI12" s="749" t="n"/>
      <c r="CJ12" s="749" t="n"/>
      <c r="CK12" s="749" t="n"/>
      <c r="CL12" s="749" t="n"/>
      <c r="CM12" s="749" t="n"/>
      <c r="CN12" s="291" t="n"/>
      <c r="CO12" s="291" t="n"/>
      <c r="CP12" s="291" t="n"/>
      <c r="CQ12" s="693" t="n"/>
    </row>
    <row r="13" hidden="1" outlineLevel="1" ht="16.5" customHeight="1">
      <c r="B13" t="inlineStr">
        <is>
          <t xml:space="preserve">  Operating profit</t>
        </is>
      </c>
      <c r="C13" s="743" t="n"/>
      <c r="D13" s="743" t="n"/>
      <c r="E13" s="743" t="n"/>
      <c r="F13" s="743" t="n"/>
      <c r="G13" s="868" t="n"/>
      <c r="H13" s="743" t="n"/>
      <c r="I13" s="743" t="n"/>
      <c r="J13" s="743" t="n"/>
      <c r="K13" s="743" t="n"/>
      <c r="L13" s="868" t="n"/>
      <c r="M13" s="743" t="n"/>
      <c r="N13" s="743" t="n"/>
      <c r="O13" s="743" t="n"/>
      <c r="P13" s="743" t="n"/>
      <c r="Q13" s="868" t="n"/>
      <c r="R13" s="743" t="n"/>
      <c r="S13" s="743" t="n"/>
      <c r="T13" s="743" t="n"/>
      <c r="U13" s="743" t="n"/>
      <c r="V13" s="868" t="n"/>
      <c r="W13" s="743" t="n"/>
      <c r="X13" s="743" t="n"/>
      <c r="Y13" s="743" t="n"/>
      <c r="Z13" s="743" t="n"/>
      <c r="AA13" s="868" t="n"/>
      <c r="AB13" s="743" t="n"/>
      <c r="AC13" s="743" t="n"/>
      <c r="AD13" s="743" t="n"/>
      <c r="AE13" s="743" t="n"/>
      <c r="AF13" s="868" t="n"/>
      <c r="AG13" s="743" t="n"/>
      <c r="AH13" s="743" t="n"/>
      <c r="AI13" s="743" t="n"/>
      <c r="AJ13" s="743" t="n"/>
      <c r="AK13" s="868" t="n"/>
      <c r="AL13" s="743" t="n"/>
      <c r="AM13" s="291" t="n"/>
      <c r="AN13" s="291" t="n"/>
      <c r="AO13" s="291" t="n"/>
      <c r="AP13" s="868" t="n"/>
      <c r="AQ13" s="291" t="n"/>
      <c r="AR13" s="291" t="n"/>
      <c r="AS13" s="291" t="n"/>
      <c r="AT13" s="291" t="n"/>
      <c r="AU13" s="868" t="n"/>
      <c r="AV13" s="291" t="n"/>
      <c r="AW13" s="291" t="n"/>
      <c r="AX13" s="291" t="n"/>
      <c r="AY13" s="291" t="n"/>
      <c r="AZ13" s="868" t="n">
        <v>82.22799999999999</v>
      </c>
      <c r="BA13" s="291" t="n"/>
      <c r="BB13" s="291" t="n"/>
      <c r="BC13" s="291" t="n">
        <v>21.392</v>
      </c>
      <c r="BD13" s="291" t="n"/>
      <c r="BE13" s="868" t="n">
        <v>78.753</v>
      </c>
      <c r="BF13" s="743" t="n"/>
      <c r="BG13" s="743" t="n">
        <v>29.543</v>
      </c>
      <c r="BH13" s="743" t="n">
        <v>23.861</v>
      </c>
      <c r="BI13" s="291">
        <f>BJ13-SUM(BF13:BH13)</f>
        <v/>
      </c>
      <c r="BJ13" s="868" t="n">
        <v>108.44</v>
      </c>
      <c r="BK13" s="743" t="n">
        <v>26.085</v>
      </c>
      <c r="BL13" s="743" t="n">
        <v>36.8</v>
      </c>
      <c r="BM13" s="743" t="n">
        <v>33.858</v>
      </c>
      <c r="BN13" s="291">
        <f>BO13-SUM(BK13:BM13)</f>
        <v/>
      </c>
      <c r="BO13" s="868" t="n">
        <v>134.306</v>
      </c>
      <c r="BP13" s="743" t="n">
        <v>27.323</v>
      </c>
      <c r="BQ13" s="743" t="n">
        <v>27.104</v>
      </c>
      <c r="BR13" s="743" t="n">
        <v>25.222</v>
      </c>
      <c r="BS13" s="291" t="n"/>
      <c r="BT13" s="864" t="n">
        <v>114.36</v>
      </c>
      <c r="BU13" s="291" t="n">
        <v>18.155</v>
      </c>
      <c r="BV13" s="291" t="n"/>
      <c r="BW13" s="291" t="n"/>
      <c r="BX13" s="291" t="n"/>
      <c r="BY13" s="864" t="n"/>
      <c r="BZ13" s="291" t="n"/>
      <c r="CA13" s="291" t="n"/>
      <c r="CB13" s="291" t="n"/>
      <c r="CC13" s="291" t="n"/>
      <c r="CD13" s="864" t="n"/>
      <c r="CE13" s="291" t="n"/>
      <c r="CF13" s="291" t="n"/>
      <c r="CG13" s="291" t="n"/>
      <c r="CH13" s="291" t="n"/>
      <c r="CI13" s="749" t="n"/>
      <c r="CJ13" s="749" t="n"/>
      <c r="CK13" s="749" t="n"/>
      <c r="CL13" s="749" t="n"/>
      <c r="CM13" s="749" t="n"/>
      <c r="CN13" s="291" t="n"/>
      <c r="CO13" s="291" t="n"/>
      <c r="CP13" s="291" t="n"/>
      <c r="CQ13" s="693" t="n"/>
    </row>
    <row r="14" hidden="1" outlineLevel="1" ht="16.5" customHeight="1">
      <c r="B14" s="12" t="inlineStr">
        <is>
          <t xml:space="preserve">  Sales y/y %</t>
        </is>
      </c>
      <c r="C14" s="974" t="n"/>
      <c r="D14" s="974" t="n"/>
      <c r="E14" s="974" t="n"/>
      <c r="F14" s="974" t="n"/>
      <c r="G14" s="975" t="n"/>
      <c r="H14" s="974" t="n"/>
      <c r="I14" s="974" t="n"/>
      <c r="J14" s="974" t="n"/>
      <c r="K14" s="974" t="n"/>
      <c r="L14" s="975">
        <f>L12/G12-1</f>
        <v/>
      </c>
      <c r="M14" s="974" t="n"/>
      <c r="N14" s="974" t="n"/>
      <c r="O14" s="974" t="n"/>
      <c r="P14" s="974" t="n"/>
      <c r="Q14" s="975">
        <f>Q12/L12-1</f>
        <v/>
      </c>
      <c r="R14" s="974" t="n"/>
      <c r="S14" s="974" t="n"/>
      <c r="T14" s="974" t="n"/>
      <c r="U14" s="974" t="n"/>
      <c r="V14" s="975">
        <f>V12/Q12-1</f>
        <v/>
      </c>
      <c r="W14" s="974" t="n"/>
      <c r="X14" s="974" t="n"/>
      <c r="Y14" s="974" t="n"/>
      <c r="Z14" s="974" t="n"/>
      <c r="AA14" s="975">
        <f>AA12/V12-1</f>
        <v/>
      </c>
      <c r="AB14" s="974" t="n"/>
      <c r="AC14" s="974" t="n"/>
      <c r="AD14" s="974" t="n"/>
      <c r="AE14" s="974" t="n"/>
      <c r="AF14" s="975">
        <f>AF12/AA12-1</f>
        <v/>
      </c>
      <c r="AG14" s="974" t="n"/>
      <c r="AH14" s="974" t="n"/>
      <c r="AI14" s="974" t="n"/>
      <c r="AJ14" s="974" t="n"/>
      <c r="AK14" s="975">
        <f>AK12/AF12-1</f>
        <v/>
      </c>
      <c r="AL14" s="974" t="n"/>
      <c r="AM14" s="974" t="n"/>
      <c r="AN14" s="974" t="n"/>
      <c r="AO14" s="974" t="n"/>
      <c r="AP14" s="975">
        <f>AP12/AK12-1</f>
        <v/>
      </c>
      <c r="AQ14" s="974" t="n"/>
      <c r="AR14" s="974" t="n"/>
      <c r="AS14" s="974" t="n"/>
      <c r="AT14" s="974" t="n"/>
      <c r="AU14" s="975">
        <f>AU12/AP12-1</f>
        <v/>
      </c>
      <c r="AV14" s="974" t="n"/>
      <c r="AW14" s="974" t="n"/>
      <c r="AX14" s="974" t="n"/>
      <c r="AY14" s="974" t="n"/>
      <c r="AZ14" s="975">
        <f>AZ12/AU12-1</f>
        <v/>
      </c>
      <c r="BA14" s="974" t="n"/>
      <c r="BB14" s="974" t="n"/>
      <c r="BC14" s="974" t="n"/>
      <c r="BD14" s="974" t="n"/>
      <c r="BE14" s="975">
        <f>BE12/AZ12-1</f>
        <v/>
      </c>
      <c r="BF14" s="974" t="n"/>
      <c r="BG14" s="974" t="n"/>
      <c r="BH14" s="974" t="n"/>
      <c r="BI14" s="974" t="n"/>
      <c r="BJ14" s="975">
        <f>BJ12/BE12-1</f>
        <v/>
      </c>
      <c r="BK14" s="974">
        <f>BK12/BF12-1</f>
        <v/>
      </c>
      <c r="BL14" s="974">
        <f>BL12/BG12-1</f>
        <v/>
      </c>
      <c r="BM14" s="974">
        <f>BM12/BH12-1</f>
        <v/>
      </c>
      <c r="BN14" s="974" t="n"/>
      <c r="BO14" s="975">
        <f>IFERROR(BO12/BJ12-1,"")</f>
        <v/>
      </c>
      <c r="BP14" s="974">
        <f>BP12/BK12-1</f>
        <v/>
      </c>
      <c r="BQ14" s="974">
        <f>BQ12/BL12-1</f>
        <v/>
      </c>
      <c r="BR14" s="974">
        <f>BR12/BM12-1</f>
        <v/>
      </c>
      <c r="BS14" s="974" t="n"/>
      <c r="BT14" s="975">
        <f>IFERROR(BT12/BO12-1,"")</f>
        <v/>
      </c>
      <c r="BU14" s="974" t="n"/>
      <c r="BV14" s="974" t="n"/>
      <c r="BW14" s="974" t="n"/>
      <c r="BX14" s="974" t="n"/>
      <c r="BY14" s="975" t="n"/>
      <c r="BZ14" s="974" t="n"/>
      <c r="CA14" s="974" t="n"/>
      <c r="CB14" s="974" t="n"/>
      <c r="CC14" s="974" t="n"/>
      <c r="CD14" s="975" t="n"/>
      <c r="CE14" s="974" t="n"/>
      <c r="CF14" s="974" t="n"/>
      <c r="CG14" s="974" t="n"/>
      <c r="CH14" s="974" t="n"/>
      <c r="CI14" s="976" t="n"/>
      <c r="CJ14" s="976" t="n"/>
      <c r="CK14" s="976" t="n"/>
      <c r="CL14" s="976" t="n"/>
      <c r="CM14" s="976" t="n"/>
      <c r="CN14" s="974" t="n"/>
      <c r="CO14" s="974" t="n"/>
      <c r="CP14" s="974" t="n"/>
      <c r="CQ14" s="693" t="n"/>
    </row>
    <row r="15" hidden="1" outlineLevel="1" ht="16.5" customHeight="1">
      <c r="B15" s="12" t="inlineStr">
        <is>
          <t xml:space="preserve">  Operating margin %</t>
        </is>
      </c>
      <c r="C15" s="974" t="n"/>
      <c r="D15" s="974" t="n"/>
      <c r="E15" s="974" t="n"/>
      <c r="F15" s="974" t="n"/>
      <c r="G15" s="975">
        <f>G13/G12</f>
        <v/>
      </c>
      <c r="H15" s="974" t="n"/>
      <c r="I15" s="974" t="n"/>
      <c r="J15" s="974" t="n"/>
      <c r="K15" s="974" t="n"/>
      <c r="L15" s="975">
        <f>L13/L12</f>
        <v/>
      </c>
      <c r="M15" s="974" t="n"/>
      <c r="N15" s="974" t="n"/>
      <c r="O15" s="974" t="n"/>
      <c r="P15" s="974" t="n"/>
      <c r="Q15" s="975">
        <f>Q13/Q12</f>
        <v/>
      </c>
      <c r="R15" s="974" t="n"/>
      <c r="S15" s="974" t="n"/>
      <c r="T15" s="974" t="n"/>
      <c r="U15" s="974" t="n"/>
      <c r="V15" s="975">
        <f>V13/V12</f>
        <v/>
      </c>
      <c r="W15" s="974" t="n"/>
      <c r="X15" s="974" t="n"/>
      <c r="Y15" s="974" t="n"/>
      <c r="Z15" s="974" t="n"/>
      <c r="AA15" s="975">
        <f>AA13/AA12</f>
        <v/>
      </c>
      <c r="AB15" s="974" t="n"/>
      <c r="AC15" s="974" t="n"/>
      <c r="AD15" s="974" t="n"/>
      <c r="AE15" s="974" t="n"/>
      <c r="AF15" s="975">
        <f>AF13/AF12</f>
        <v/>
      </c>
      <c r="AG15" s="974" t="n"/>
      <c r="AH15" s="974" t="n"/>
      <c r="AI15" s="974" t="n"/>
      <c r="AJ15" s="974" t="n"/>
      <c r="AK15" s="975">
        <f>AK13/AK12</f>
        <v/>
      </c>
      <c r="AL15" s="974" t="n"/>
      <c r="AM15" s="974" t="n"/>
      <c r="AN15" s="974" t="n"/>
      <c r="AO15" s="974" t="n"/>
      <c r="AP15" s="975">
        <f>AP13/AP12</f>
        <v/>
      </c>
      <c r="AQ15" s="974" t="n"/>
      <c r="AR15" s="974" t="n"/>
      <c r="AS15" s="974" t="n"/>
      <c r="AT15" s="974" t="n"/>
      <c r="AU15" s="975">
        <f>AU13/AU12</f>
        <v/>
      </c>
      <c r="AV15" s="974" t="n"/>
      <c r="AW15" s="974" t="n"/>
      <c r="AX15" s="974" t="n"/>
      <c r="AY15" s="974" t="n"/>
      <c r="AZ15" s="975">
        <f>AZ13/AZ12</f>
        <v/>
      </c>
      <c r="BA15" s="974" t="n"/>
      <c r="BB15" s="974" t="n"/>
      <c r="BC15" s="974" t="n"/>
      <c r="BD15" s="974" t="n"/>
      <c r="BE15" s="975">
        <f>BE13/BE12</f>
        <v/>
      </c>
      <c r="BF15" s="974">
        <f>BF13/BF12</f>
        <v/>
      </c>
      <c r="BG15" s="974">
        <f>BG13/BG12</f>
        <v/>
      </c>
      <c r="BH15" s="974">
        <f>BH13/BH12</f>
        <v/>
      </c>
      <c r="BI15" s="974">
        <f>BI13/BI12</f>
        <v/>
      </c>
      <c r="BJ15" s="975">
        <f>BJ13/BJ12</f>
        <v/>
      </c>
      <c r="BK15" s="974">
        <f>BK13/BK12</f>
        <v/>
      </c>
      <c r="BL15" s="974">
        <f>BL13/BL12</f>
        <v/>
      </c>
      <c r="BM15" s="974">
        <f>BM13/BM12</f>
        <v/>
      </c>
      <c r="BN15" s="974" t="n"/>
      <c r="BO15" s="975">
        <f>BO13/BO12</f>
        <v/>
      </c>
      <c r="BP15" s="974">
        <f>BP13/BP12</f>
        <v/>
      </c>
      <c r="BQ15" s="974">
        <f>BQ13/BQ12</f>
        <v/>
      </c>
      <c r="BR15" s="974">
        <f>BR13/BR12</f>
        <v/>
      </c>
      <c r="BS15" s="974" t="n"/>
      <c r="BT15" s="975">
        <f>BT13/BT12</f>
        <v/>
      </c>
      <c r="BU15" s="974" t="n"/>
      <c r="BV15" s="974" t="n"/>
      <c r="BW15" s="974" t="n"/>
      <c r="BX15" s="974" t="n"/>
      <c r="BY15" s="975" t="n"/>
      <c r="BZ15" s="974" t="n"/>
      <c r="CA15" s="974" t="n"/>
      <c r="CB15" s="974" t="n"/>
      <c r="CC15" s="974" t="n"/>
      <c r="CD15" s="975" t="n"/>
      <c r="CE15" s="974" t="n"/>
      <c r="CF15" s="974" t="n"/>
      <c r="CG15" s="974" t="n"/>
      <c r="CH15" s="974" t="n"/>
      <c r="CI15" s="976" t="n"/>
      <c r="CJ15" s="976" t="n"/>
      <c r="CK15" s="976" t="n"/>
      <c r="CL15" s="976" t="n"/>
      <c r="CM15" s="976" t="n"/>
      <c r="CN15" s="974" t="n"/>
      <c r="CO15" s="974" t="n"/>
      <c r="CP15" s="974" t="n"/>
      <c r="CQ15" s="693" t="n"/>
    </row>
    <row r="16" hidden="1" outlineLevel="1" ht="16.5" customHeight="1">
      <c r="B16" t="inlineStr">
        <is>
          <t xml:space="preserve">  Backlog ($M)</t>
        </is>
      </c>
      <c r="C16" s="743" t="n"/>
      <c r="D16" s="743" t="n"/>
      <c r="E16" s="743" t="n"/>
      <c r="F16" s="743" t="n"/>
      <c r="G16" s="868" t="n"/>
      <c r="H16" s="743" t="n"/>
      <c r="I16" s="743" t="n"/>
      <c r="J16" s="743" t="n"/>
      <c r="K16" s="743" t="n"/>
      <c r="L16" s="868" t="n"/>
      <c r="M16" s="743" t="n"/>
      <c r="N16" s="743" t="n"/>
      <c r="O16" s="743" t="n"/>
      <c r="P16" s="743" t="n"/>
      <c r="Q16" s="868" t="n"/>
      <c r="R16" s="743" t="n"/>
      <c r="S16" s="743" t="n"/>
      <c r="T16" s="743" t="n"/>
      <c r="U16" s="743" t="n"/>
      <c r="V16" s="868" t="n"/>
      <c r="W16" s="743" t="n"/>
      <c r="X16" s="743" t="n"/>
      <c r="Y16" s="743" t="n"/>
      <c r="Z16" s="743" t="n"/>
      <c r="AA16" s="868" t="n"/>
      <c r="AB16" s="743" t="n"/>
      <c r="AC16" s="743" t="n"/>
      <c r="AD16" s="743" t="n"/>
      <c r="AE16" s="743" t="n"/>
      <c r="AF16" s="868" t="n"/>
      <c r="AG16" s="743" t="n"/>
      <c r="AH16" s="743" t="n"/>
      <c r="AI16" s="743" t="n"/>
      <c r="AJ16" s="743" t="n"/>
      <c r="AK16" s="868" t="n"/>
      <c r="AL16" s="743" t="n"/>
      <c r="AM16" s="291" t="n"/>
      <c r="AN16" s="291" t="n"/>
      <c r="AO16" s="291" t="n"/>
      <c r="AP16" s="868" t="n"/>
      <c r="AQ16" s="291" t="n"/>
      <c r="AR16" s="291" t="n"/>
      <c r="AS16" s="291" t="n"/>
      <c r="AT16" s="291" t="n"/>
      <c r="AU16" s="868" t="n"/>
      <c r="AV16" s="291" t="n"/>
      <c r="AW16" s="291" t="n"/>
      <c r="AX16" s="291" t="n"/>
      <c r="AY16" s="291" t="n"/>
      <c r="AZ16" s="864" t="n"/>
      <c r="BA16" s="291" t="n"/>
      <c r="BB16" s="291" t="n"/>
      <c r="BC16" s="291" t="n"/>
      <c r="BD16" s="291" t="n"/>
      <c r="BE16" s="864" t="n"/>
      <c r="BF16" s="291" t="n"/>
      <c r="BG16" s="291" t="n"/>
      <c r="BH16" s="291" t="n"/>
      <c r="BI16" s="291" t="n"/>
      <c r="BJ16" s="864" t="n"/>
      <c r="BK16" s="291" t="n"/>
      <c r="BL16" s="291" t="n"/>
      <c r="BM16" s="291" t="n"/>
      <c r="BN16" s="291" t="n"/>
      <c r="BO16" s="868" t="n"/>
      <c r="BP16" s="291" t="n"/>
      <c r="BQ16" s="291" t="n"/>
      <c r="BR16" s="291" t="n"/>
      <c r="BS16" s="291" t="n"/>
      <c r="BT16" s="864" t="n"/>
      <c r="BU16" s="291" t="n"/>
      <c r="BV16" s="291" t="n"/>
      <c r="BW16" s="291" t="n"/>
      <c r="BX16" s="291" t="n"/>
      <c r="BY16" s="864" t="n"/>
      <c r="BZ16" s="291" t="n"/>
      <c r="CA16" s="291" t="n"/>
      <c r="CB16" s="291" t="n"/>
      <c r="CC16" s="291" t="n"/>
      <c r="CD16" s="864" t="n"/>
      <c r="CE16" s="291" t="n"/>
      <c r="CF16" s="291" t="n"/>
      <c r="CG16" s="291" t="n"/>
      <c r="CH16" s="291" t="n"/>
      <c r="CI16" s="749" t="n"/>
      <c r="CJ16" s="749" t="n"/>
      <c r="CK16" s="749" t="n"/>
      <c r="CL16" s="749" t="n"/>
      <c r="CM16" s="749" t="n"/>
      <c r="CN16" s="291" t="n"/>
      <c r="CO16" s="291" t="n"/>
      <c r="CP16" s="291" t="n"/>
      <c r="CQ16" s="693" t="n"/>
    </row>
    <row r="17" hidden="1" outlineLevel="1" ht="16.5" customHeight="1">
      <c r="B17" s="12" t="inlineStr">
        <is>
          <t xml:space="preserve">  Book-to-bill (Bookings / Sales)</t>
        </is>
      </c>
      <c r="C17" s="974" t="n"/>
      <c r="D17" s="974" t="n"/>
      <c r="E17" s="974" t="n"/>
      <c r="F17" s="974" t="n"/>
      <c r="G17" s="975" t="n"/>
      <c r="H17" s="974" t="n"/>
      <c r="I17" s="974" t="n"/>
      <c r="J17" s="974" t="n"/>
      <c r="K17" s="974" t="n"/>
      <c r="L17" s="975" t="n"/>
      <c r="M17" s="974" t="n"/>
      <c r="N17" s="974" t="n"/>
      <c r="O17" s="974" t="n"/>
      <c r="P17" s="974" t="n"/>
      <c r="Q17" s="975" t="n"/>
      <c r="R17" s="974" t="n"/>
      <c r="S17" s="974" t="n"/>
      <c r="T17" s="974" t="n"/>
      <c r="U17" s="974" t="n"/>
      <c r="V17" s="975" t="n"/>
      <c r="W17" s="974" t="n"/>
      <c r="X17" s="974" t="n"/>
      <c r="Y17" s="974" t="n"/>
      <c r="Z17" s="974" t="n"/>
      <c r="AA17" s="975" t="n"/>
      <c r="AB17" s="974" t="n"/>
      <c r="AC17" s="974" t="n"/>
      <c r="AD17" s="974" t="n"/>
      <c r="AE17" s="974" t="n"/>
      <c r="AF17" s="975" t="n"/>
      <c r="AG17" s="974" t="n"/>
      <c r="AH17" s="974" t="n"/>
      <c r="AI17" s="974" t="n"/>
      <c r="AJ17" s="974" t="n"/>
      <c r="AK17" s="975" t="n"/>
      <c r="AL17" s="974" t="n"/>
      <c r="AM17" s="974" t="n"/>
      <c r="AN17" s="974" t="n"/>
      <c r="AO17" s="974" t="n"/>
      <c r="AP17" s="975" t="n"/>
      <c r="AQ17" s="974" t="n"/>
      <c r="AR17" s="974" t="n"/>
      <c r="AS17" s="974" t="n"/>
      <c r="AT17" s="974" t="n"/>
      <c r="AU17" s="975" t="n"/>
      <c r="AV17" s="974" t="n"/>
      <c r="AW17" s="974" t="n"/>
      <c r="AX17" s="974" t="n"/>
      <c r="AY17" s="974" t="n"/>
      <c r="AZ17" s="975" t="n"/>
      <c r="BA17" s="974" t="n"/>
      <c r="BB17" s="974" t="n"/>
      <c r="BC17" s="974" t="n"/>
      <c r="BD17" s="974" t="n"/>
      <c r="BE17" s="975" t="n"/>
      <c r="BF17" s="974" t="n"/>
      <c r="BG17" s="974" t="n"/>
      <c r="BH17" s="974" t="n"/>
      <c r="BI17" s="974" t="n"/>
      <c r="BJ17" s="975" t="n"/>
      <c r="BK17" s="974" t="n"/>
      <c r="BL17" s="974" t="n"/>
      <c r="BM17" s="974" t="n"/>
      <c r="BN17" s="974" t="n"/>
      <c r="BO17" s="975" t="n"/>
      <c r="BP17" s="974" t="n"/>
      <c r="BQ17" s="974" t="n"/>
      <c r="BR17" s="974" t="n"/>
      <c r="BS17" s="974" t="n"/>
      <c r="BT17" s="975" t="n"/>
      <c r="BU17" s="974" t="n"/>
      <c r="BV17" s="974" t="n"/>
      <c r="BW17" s="974" t="n"/>
      <c r="BX17" s="974" t="n"/>
      <c r="BY17" s="975" t="n"/>
      <c r="BZ17" s="974" t="n"/>
      <c r="CA17" s="974" t="n"/>
      <c r="CB17" s="974" t="n"/>
      <c r="CC17" s="974" t="n"/>
      <c r="CD17" s="975" t="n"/>
      <c r="CE17" s="974" t="n"/>
      <c r="CF17" s="974" t="n"/>
      <c r="CG17" s="974" t="n"/>
      <c r="CH17" s="974" t="n"/>
      <c r="CI17" s="976" t="n"/>
      <c r="CJ17" s="976" t="n"/>
      <c r="CK17" s="976" t="n"/>
      <c r="CL17" s="976" t="n"/>
      <c r="CM17" s="976" t="n"/>
      <c r="CN17" s="974" t="n"/>
      <c r="CO17" s="974" t="n"/>
      <c r="CP17" s="974" t="n"/>
      <c r="CQ17" s="693" t="n"/>
    </row>
    <row r="18" hidden="1" outlineLevel="1" ht="16.5" customHeight="1">
      <c r="C18" s="291" t="n"/>
      <c r="D18" s="291" t="n"/>
      <c r="E18" s="291" t="n"/>
      <c r="F18" s="291" t="n"/>
      <c r="G18" s="864" t="n"/>
      <c r="H18" s="291" t="n"/>
      <c r="I18" s="291" t="n"/>
      <c r="J18" s="291" t="n"/>
      <c r="K18" s="291" t="n"/>
      <c r="L18" s="864" t="n"/>
      <c r="M18" s="291" t="n"/>
      <c r="N18" s="291" t="n"/>
      <c r="O18" s="291" t="n"/>
      <c r="P18" s="291" t="n"/>
      <c r="Q18" s="864" t="n"/>
      <c r="R18" s="291" t="n"/>
      <c r="S18" s="291" t="n"/>
      <c r="T18" s="291" t="n"/>
      <c r="U18" s="291" t="n"/>
      <c r="V18" s="864" t="n"/>
      <c r="W18" s="291" t="n"/>
      <c r="X18" s="291" t="n"/>
      <c r="Y18" s="291" t="n"/>
      <c r="Z18" s="291" t="n"/>
      <c r="AA18" s="864" t="n"/>
      <c r="AB18" s="291" t="n"/>
      <c r="AC18" s="291" t="n"/>
      <c r="AD18" s="291" t="n"/>
      <c r="AE18" s="291" t="n"/>
      <c r="AF18" s="864" t="n"/>
      <c r="AG18" s="291" t="n"/>
      <c r="AH18" s="291" t="n"/>
      <c r="AI18" s="291" t="n"/>
      <c r="AJ18" s="291" t="n"/>
      <c r="AK18" s="864" t="n"/>
      <c r="AL18" s="291" t="n"/>
      <c r="AM18" s="291" t="n"/>
      <c r="AN18" s="291" t="n"/>
      <c r="AO18" s="291" t="n"/>
      <c r="AP18" s="864" t="n"/>
      <c r="AQ18" s="291" t="n"/>
      <c r="AR18" s="291" t="n"/>
      <c r="AS18" s="291" t="n"/>
      <c r="AT18" s="291" t="n"/>
      <c r="AU18" s="864" t="n"/>
      <c r="AV18" s="291" t="n"/>
      <c r="AW18" s="291" t="n"/>
      <c r="AX18" s="291" t="n"/>
      <c r="AY18" s="291" t="n"/>
      <c r="AZ18" s="864" t="n"/>
      <c r="BA18" s="291" t="n"/>
      <c r="BB18" s="291" t="n"/>
      <c r="BC18" s="291" t="n"/>
      <c r="BD18" s="291" t="n"/>
      <c r="BE18" s="864" t="n"/>
      <c r="BF18" s="291" t="n"/>
      <c r="BG18" s="291" t="n"/>
      <c r="BH18" s="291" t="n"/>
      <c r="BI18" s="291" t="n"/>
      <c r="BJ18" s="864" t="n"/>
      <c r="BK18" s="291" t="n"/>
      <c r="BL18" s="291" t="n"/>
      <c r="BM18" s="291" t="n"/>
      <c r="BN18" s="291" t="n"/>
      <c r="BO18" s="864" t="n"/>
      <c r="BP18" s="291" t="n"/>
      <c r="BQ18" s="291" t="n"/>
      <c r="BR18" s="291" t="n"/>
      <c r="BS18" s="291" t="n"/>
      <c r="BT18" s="864" t="n"/>
      <c r="BU18" s="291" t="n"/>
      <c r="BV18" s="291" t="n"/>
      <c r="BW18" s="291" t="n"/>
      <c r="BX18" s="291" t="n"/>
      <c r="BY18" s="864" t="n"/>
      <c r="BZ18" s="291" t="n"/>
      <c r="CA18" s="291" t="n"/>
      <c r="CB18" s="291" t="n"/>
      <c r="CC18" s="291" t="n"/>
      <c r="CD18" s="864" t="n"/>
      <c r="CE18" s="291" t="n"/>
      <c r="CF18" s="291" t="n"/>
      <c r="CG18" s="291" t="n"/>
      <c r="CH18" s="291" t="n"/>
      <c r="CI18" s="749" t="n"/>
      <c r="CJ18" s="749" t="n"/>
      <c r="CK18" s="749" t="n"/>
      <c r="CL18" s="749" t="n"/>
      <c r="CM18" s="749" t="n"/>
      <c r="CN18" s="291" t="n"/>
      <c r="CO18" s="291" t="n"/>
      <c r="CP18" s="291" t="n"/>
      <c r="CQ18" s="693" t="n"/>
    </row>
    <row r="19" hidden="1" outlineLevel="1" ht="16.5" customHeight="1">
      <c r="B19" s="223" t="inlineStr">
        <is>
          <t>Less-Than-Truckload</t>
        </is>
      </c>
      <c r="C19" s="224" t="n"/>
      <c r="D19" s="224" t="n"/>
      <c r="E19" s="224" t="n"/>
      <c r="F19" s="224" t="n"/>
      <c r="G19" s="867" t="n"/>
      <c r="H19" s="224" t="n"/>
      <c r="I19" s="224" t="n"/>
      <c r="J19" s="224" t="n"/>
      <c r="K19" s="224" t="n"/>
      <c r="L19" s="867" t="n"/>
      <c r="M19" s="224" t="n"/>
      <c r="N19" s="224" t="n"/>
      <c r="O19" s="224" t="n"/>
      <c r="P19" s="224" t="n"/>
      <c r="Q19" s="867" t="n"/>
      <c r="R19" s="224" t="n"/>
      <c r="S19" s="224" t="n"/>
      <c r="T19" s="224" t="n"/>
      <c r="U19" s="224" t="n"/>
      <c r="V19" s="867" t="n"/>
      <c r="W19" s="224" t="n"/>
      <c r="X19" s="224" t="n"/>
      <c r="Y19" s="224" t="n"/>
      <c r="Z19" s="224" t="n"/>
      <c r="AA19" s="867" t="n"/>
      <c r="AB19" s="224" t="n"/>
      <c r="AC19" s="224" t="n"/>
      <c r="AD19" s="224" t="n"/>
      <c r="AE19" s="224" t="n"/>
      <c r="AF19" s="867" t="n"/>
      <c r="AG19" s="224" t="n"/>
      <c r="AH19" s="224" t="n"/>
      <c r="AI19" s="224" t="n"/>
      <c r="AJ19" s="224" t="n"/>
      <c r="AK19" s="867" t="n"/>
      <c r="AL19" s="224" t="n"/>
      <c r="AM19" s="224" t="n"/>
      <c r="AN19" s="224" t="n"/>
      <c r="AO19" s="224" t="n"/>
      <c r="AP19" s="867" t="n"/>
      <c r="AQ19" s="224" t="n"/>
      <c r="AR19" s="224" t="n"/>
      <c r="AS19" s="224" t="n"/>
      <c r="AT19" s="224" t="n"/>
      <c r="AU19" s="867" t="n"/>
      <c r="AV19" s="224" t="n"/>
      <c r="AW19" s="224" t="n"/>
      <c r="AX19" s="224" t="n"/>
      <c r="AY19" s="224" t="n"/>
      <c r="AZ19" s="867" t="n"/>
      <c r="BA19" s="224" t="n"/>
      <c r="BB19" s="224" t="n"/>
      <c r="BC19" s="224" t="n"/>
      <c r="BD19" s="224" t="n"/>
      <c r="BE19" s="867" t="n"/>
      <c r="BF19" s="224" t="n"/>
      <c r="BG19" s="224" t="n"/>
      <c r="BH19" s="224" t="n"/>
      <c r="BI19" s="224" t="n"/>
      <c r="BJ19" s="867" t="n"/>
      <c r="BK19" s="224" t="n"/>
      <c r="BL19" s="224" t="n"/>
      <c r="BM19" s="224" t="n"/>
      <c r="BN19" s="224" t="n"/>
      <c r="BO19" s="867" t="n"/>
      <c r="BP19" s="224" t="n"/>
      <c r="BQ19" s="224" t="n"/>
      <c r="BR19" s="224" t="n"/>
      <c r="BS19" s="224" t="n"/>
      <c r="BT19" s="867" t="n"/>
      <c r="BU19" s="224" t="n"/>
      <c r="BV19" s="224" t="n"/>
      <c r="BW19" s="224" t="n"/>
      <c r="BX19" s="224" t="n"/>
      <c r="BY19" s="867" t="n"/>
      <c r="BZ19" s="224" t="n"/>
      <c r="CA19" s="224" t="n"/>
      <c r="CB19" s="224" t="n"/>
      <c r="CC19" s="224" t="n"/>
      <c r="CD19" s="867" t="n"/>
      <c r="CE19" s="224" t="n"/>
      <c r="CF19" s="224" t="n"/>
      <c r="CG19" s="224" t="n"/>
      <c r="CH19" s="224" t="n"/>
      <c r="CI19" s="224" t="n"/>
      <c r="CJ19" s="224" t="n"/>
      <c r="CK19" s="224" t="n"/>
      <c r="CL19" s="224" t="n"/>
      <c r="CM19" s="224" t="n"/>
      <c r="CN19" s="224" t="n"/>
      <c r="CO19" s="224" t="n"/>
      <c r="CP19" s="224" t="n"/>
      <c r="CQ19" s="693" t="n"/>
    </row>
    <row r="20" hidden="1" outlineLevel="1" ht="16.5" customHeight="1">
      <c r="B20" t="inlineStr">
        <is>
          <t xml:space="preserve">  Net sales</t>
        </is>
      </c>
      <c r="C20" s="743" t="n"/>
      <c r="D20" s="743" t="n"/>
      <c r="E20" s="743" t="n"/>
      <c r="F20" s="743" t="n"/>
      <c r="G20" s="868" t="n"/>
      <c r="H20" s="743" t="n"/>
      <c r="I20" s="743" t="n"/>
      <c r="J20" s="743" t="n"/>
      <c r="K20" s="743" t="n"/>
      <c r="L20" s="868" t="n"/>
      <c r="M20" s="743" t="n"/>
      <c r="N20" s="743" t="n"/>
      <c r="O20" s="743" t="n"/>
      <c r="P20" s="743" t="n"/>
      <c r="Q20" s="868" t="n"/>
      <c r="R20" s="743" t="n"/>
      <c r="S20" s="743" t="n"/>
      <c r="T20" s="743" t="n"/>
      <c r="U20" s="743" t="n"/>
      <c r="V20" s="868" t="n"/>
      <c r="W20" s="743" t="n"/>
      <c r="X20" s="743" t="n"/>
      <c r="Y20" s="743" t="n"/>
      <c r="Z20" s="743" t="n"/>
      <c r="AA20" s="868" t="n"/>
      <c r="AB20" s="743" t="n"/>
      <c r="AC20" s="743" t="n"/>
      <c r="AD20" s="743" t="n"/>
      <c r="AE20" s="743" t="n"/>
      <c r="AF20" s="868" t="n"/>
      <c r="AG20" s="743" t="n"/>
      <c r="AH20" s="743" t="n"/>
      <c r="AI20" s="743" t="n"/>
      <c r="AJ20" s="743" t="n"/>
      <c r="AK20" s="868" t="n"/>
      <c r="AL20" s="743" t="n"/>
      <c r="AM20" s="291" t="n"/>
      <c r="AN20" s="291" t="n"/>
      <c r="AO20" s="291" t="n"/>
      <c r="AP20" s="868" t="n"/>
      <c r="AQ20" s="291" t="n"/>
      <c r="AR20" s="291" t="n"/>
      <c r="AS20" s="291" t="n"/>
      <c r="AT20" s="291" t="n"/>
      <c r="AU20" s="868" t="n"/>
      <c r="AV20" s="291" t="n"/>
      <c r="AW20" s="291" t="n"/>
      <c r="AX20" s="291" t="n"/>
      <c r="AY20" s="291" t="n"/>
      <c r="AZ20" s="868" t="n">
        <v>727.248</v>
      </c>
      <c r="BA20" s="291" t="n"/>
      <c r="BB20" s="291" t="n"/>
      <c r="BC20" s="291" t="n">
        <v>133.122</v>
      </c>
      <c r="BD20" s="291" t="n"/>
      <c r="BE20" s="868" t="n">
        <v>589.235</v>
      </c>
      <c r="BF20" s="743" t="n"/>
      <c r="BG20" s="743" t="n">
        <v>625.265</v>
      </c>
      <c r="BH20" s="743" t="n">
        <v>860.838</v>
      </c>
      <c r="BI20" s="291">
        <f>BJ20-SUM(BF20:BH20)</f>
        <v/>
      </c>
      <c r="BJ20" s="868" t="n">
        <v>2815.39</v>
      </c>
      <c r="BK20" s="743" t="n">
        <v>835.399</v>
      </c>
      <c r="BL20" s="743" t="n">
        <v>870.176</v>
      </c>
      <c r="BM20" s="743" t="n">
        <v>817.199</v>
      </c>
      <c r="BN20" s="291">
        <f>BO20-SUM(BK20:BM20)</f>
        <v/>
      </c>
      <c r="BO20" s="868" t="n">
        <v>4023.163</v>
      </c>
      <c r="BP20" s="743" t="n">
        <v>690.862</v>
      </c>
      <c r="BQ20" s="743" t="n">
        <v>672.827</v>
      </c>
      <c r="BR20" s="743" t="n">
        <v>717.6900000000001</v>
      </c>
      <c r="BS20" s="291" t="n"/>
      <c r="BT20" s="864" t="n">
        <v>3368.567</v>
      </c>
      <c r="BU20" s="291" t="n">
        <v>680.696</v>
      </c>
      <c r="BV20" s="291" t="n"/>
      <c r="BW20" s="291" t="n"/>
      <c r="BX20" s="291" t="n"/>
      <c r="BY20" s="864" t="n"/>
      <c r="BZ20" s="291" t="n"/>
      <c r="CA20" s="291" t="n"/>
      <c r="CB20" s="291" t="n"/>
      <c r="CC20" s="291" t="n"/>
      <c r="CD20" s="864" t="n"/>
      <c r="CE20" s="291" t="n"/>
      <c r="CF20" s="291" t="n"/>
      <c r="CG20" s="291" t="n"/>
      <c r="CH20" s="291" t="n"/>
      <c r="CI20" s="749" t="n"/>
      <c r="CJ20" s="749" t="n"/>
      <c r="CK20" s="749" t="n"/>
      <c r="CL20" s="749" t="n"/>
      <c r="CM20" s="749" t="n"/>
      <c r="CN20" s="291" t="n"/>
      <c r="CO20" s="291" t="n"/>
      <c r="CP20" s="291" t="n"/>
      <c r="CQ20" s="693" t="n"/>
    </row>
    <row r="21" hidden="1" outlineLevel="1" ht="16.5" customHeight="1">
      <c r="B21" t="inlineStr">
        <is>
          <t xml:space="preserve">  Operating profit</t>
        </is>
      </c>
      <c r="C21" s="743" t="n"/>
      <c r="D21" s="743" t="n"/>
      <c r="E21" s="743" t="n"/>
      <c r="F21" s="743" t="n"/>
      <c r="G21" s="868" t="n"/>
      <c r="H21" s="743" t="n"/>
      <c r="I21" s="743" t="n"/>
      <c r="J21" s="743" t="n"/>
      <c r="K21" s="743" t="n"/>
      <c r="L21" s="868" t="n"/>
      <c r="M21" s="743" t="n"/>
      <c r="N21" s="743" t="n"/>
      <c r="O21" s="743" t="n"/>
      <c r="P21" s="743" t="n"/>
      <c r="Q21" s="868" t="n"/>
      <c r="R21" s="743" t="n"/>
      <c r="S21" s="743" t="n"/>
      <c r="T21" s="743" t="n"/>
      <c r="U21" s="743" t="n"/>
      <c r="V21" s="868" t="n"/>
      <c r="W21" s="743" t="n"/>
      <c r="X21" s="743" t="n"/>
      <c r="Y21" s="743" t="n"/>
      <c r="Z21" s="743" t="n"/>
      <c r="AA21" s="868" t="n"/>
      <c r="AB21" s="743" t="n"/>
      <c r="AC21" s="743" t="n"/>
      <c r="AD21" s="743" t="n"/>
      <c r="AE21" s="743" t="n"/>
      <c r="AF21" s="868" t="n"/>
      <c r="AG21" s="743" t="n"/>
      <c r="AH21" s="743" t="n"/>
      <c r="AI21" s="743" t="n"/>
      <c r="AJ21" s="743" t="n"/>
      <c r="AK21" s="868" t="n"/>
      <c r="AL21" s="743" t="n"/>
      <c r="AM21" s="291" t="n"/>
      <c r="AN21" s="291" t="n"/>
      <c r="AO21" s="291" t="n"/>
      <c r="AP21" s="868" t="n"/>
      <c r="AQ21" s="291" t="n"/>
      <c r="AR21" s="291" t="n"/>
      <c r="AS21" s="291" t="n"/>
      <c r="AT21" s="291" t="n"/>
      <c r="AU21" s="868" t="n"/>
      <c r="AV21" s="291" t="n"/>
      <c r="AW21" s="291" t="n"/>
      <c r="AX21" s="291" t="n"/>
      <c r="AY21" s="291" t="n"/>
      <c r="AZ21" s="868" t="n">
        <v>82.23</v>
      </c>
      <c r="BA21" s="291" t="n"/>
      <c r="BB21" s="291" t="n"/>
      <c r="BC21" s="291" t="n">
        <v>26.249</v>
      </c>
      <c r="BD21" s="291" t="n"/>
      <c r="BE21" s="868" t="n">
        <v>87.95</v>
      </c>
      <c r="BF21" s="743" t="n"/>
      <c r="BG21" s="743" t="n">
        <v>351.295</v>
      </c>
      <c r="BH21" s="743" t="n">
        <v>85.14400000000001</v>
      </c>
      <c r="BI21" s="291">
        <f>BJ21-SUM(BF21:BH21)</f>
        <v/>
      </c>
      <c r="BJ21" s="868" t="n">
        <v>482.754</v>
      </c>
      <c r="BK21" s="743" t="n">
        <v>94.77</v>
      </c>
      <c r="BL21" s="743" t="n">
        <v>187.284</v>
      </c>
      <c r="BM21" s="743" t="n">
        <v>100.513</v>
      </c>
      <c r="BN21" s="291">
        <f>BO21-SUM(BK21:BM21)</f>
        <v/>
      </c>
      <c r="BO21" s="868" t="n">
        <v>470.807</v>
      </c>
      <c r="BP21" s="743" t="n">
        <v>57.94</v>
      </c>
      <c r="BQ21" s="743" t="n">
        <v>80.672</v>
      </c>
      <c r="BR21" s="743" t="n">
        <v>100.37</v>
      </c>
      <c r="BS21" s="291" t="n"/>
      <c r="BT21" s="864" t="n">
        <v>310.429</v>
      </c>
      <c r="BU21" s="291" t="n">
        <v>66.875</v>
      </c>
      <c r="BV21" s="291" t="n"/>
      <c r="BW21" s="291" t="n"/>
      <c r="BX21" s="291" t="n"/>
      <c r="BY21" s="864" t="n"/>
      <c r="BZ21" s="291" t="n"/>
      <c r="CA21" s="291" t="n"/>
      <c r="CB21" s="291" t="n"/>
      <c r="CC21" s="291" t="n"/>
      <c r="CD21" s="864" t="n"/>
      <c r="CE21" s="291" t="n"/>
      <c r="CF21" s="291" t="n"/>
      <c r="CG21" s="291" t="n"/>
      <c r="CH21" s="291" t="n"/>
      <c r="CI21" s="749" t="n"/>
      <c r="CJ21" s="749" t="n"/>
      <c r="CK21" s="749" t="n"/>
      <c r="CL21" s="749" t="n"/>
      <c r="CM21" s="749" t="n"/>
      <c r="CN21" s="291" t="n"/>
      <c r="CO21" s="291" t="n"/>
      <c r="CP21" s="291" t="n"/>
      <c r="CQ21" s="693" t="n"/>
    </row>
    <row r="22" hidden="1" outlineLevel="1" ht="16.5" customHeight="1">
      <c r="B22" s="12" t="inlineStr">
        <is>
          <t xml:space="preserve">  Sales y/y %</t>
        </is>
      </c>
      <c r="C22" s="974" t="n"/>
      <c r="D22" s="974" t="n"/>
      <c r="E22" s="974" t="n"/>
      <c r="F22" s="974" t="n"/>
      <c r="G22" s="975" t="n"/>
      <c r="H22" s="974" t="n"/>
      <c r="I22" s="974" t="n"/>
      <c r="J22" s="974" t="n"/>
      <c r="K22" s="974" t="n"/>
      <c r="L22" s="975">
        <f>L20/G20-1</f>
        <v/>
      </c>
      <c r="M22" s="974" t="n"/>
      <c r="N22" s="974" t="n"/>
      <c r="O22" s="974" t="n"/>
      <c r="P22" s="974" t="n"/>
      <c r="Q22" s="975">
        <f>Q20/L20-1</f>
        <v/>
      </c>
      <c r="R22" s="974" t="n"/>
      <c r="S22" s="974" t="n"/>
      <c r="T22" s="974" t="n"/>
      <c r="U22" s="974" t="n"/>
      <c r="V22" s="975">
        <f>V20/Q20-1</f>
        <v/>
      </c>
      <c r="W22" s="974" t="n"/>
      <c r="X22" s="974" t="n"/>
      <c r="Y22" s="974" t="n"/>
      <c r="Z22" s="974" t="n"/>
      <c r="AA22" s="975">
        <f>AA20/V20-1</f>
        <v/>
      </c>
      <c r="AB22" s="974" t="n"/>
      <c r="AC22" s="974" t="n"/>
      <c r="AD22" s="974" t="n"/>
      <c r="AE22" s="974" t="n"/>
      <c r="AF22" s="975">
        <f>AF20/AA20-1</f>
        <v/>
      </c>
      <c r="AG22" s="974" t="n"/>
      <c r="AH22" s="974" t="n"/>
      <c r="AI22" s="974" t="n"/>
      <c r="AJ22" s="974" t="n"/>
      <c r="AK22" s="975">
        <f>AK20/AF20-1</f>
        <v/>
      </c>
      <c r="AL22" s="974" t="n"/>
      <c r="AM22" s="974" t="n"/>
      <c r="AN22" s="974" t="n"/>
      <c r="AO22" s="974" t="n"/>
      <c r="AP22" s="975">
        <f>AP20/AK20-1</f>
        <v/>
      </c>
      <c r="AQ22" s="974" t="n"/>
      <c r="AR22" s="974" t="n"/>
      <c r="AS22" s="974" t="n"/>
      <c r="AT22" s="974" t="n"/>
      <c r="AU22" s="975">
        <f>AU20/AP20-1</f>
        <v/>
      </c>
      <c r="AV22" s="974" t="n"/>
      <c r="AW22" s="974" t="n"/>
      <c r="AX22" s="974" t="n"/>
      <c r="AY22" s="974" t="n"/>
      <c r="AZ22" s="975">
        <f>AZ20/AU20-1</f>
        <v/>
      </c>
      <c r="BA22" s="974" t="n"/>
      <c r="BB22" s="974" t="n"/>
      <c r="BC22" s="974" t="n"/>
      <c r="BD22" s="974" t="n"/>
      <c r="BE22" s="975">
        <f>BE20/AZ20-1</f>
        <v/>
      </c>
      <c r="BF22" s="974" t="n"/>
      <c r="BG22" s="974" t="n"/>
      <c r="BH22" s="974" t="n"/>
      <c r="BI22" s="974" t="n"/>
      <c r="BJ22" s="975">
        <f>BJ20/BE20-1</f>
        <v/>
      </c>
      <c r="BK22" s="974">
        <f>BK20/BF20-1</f>
        <v/>
      </c>
      <c r="BL22" s="974">
        <f>BL20/BG20-1</f>
        <v/>
      </c>
      <c r="BM22" s="974">
        <f>BM20/BH20-1</f>
        <v/>
      </c>
      <c r="BN22" s="974" t="n"/>
      <c r="BO22" s="975">
        <f>IFERROR(BO20/BJ20-1,"")</f>
        <v/>
      </c>
      <c r="BP22" s="974">
        <f>BP20/BK20-1</f>
        <v/>
      </c>
      <c r="BQ22" s="974">
        <f>BQ20/BL20-1</f>
        <v/>
      </c>
      <c r="BR22" s="974">
        <f>BR20/BM20-1</f>
        <v/>
      </c>
      <c r="BS22" s="974" t="n"/>
      <c r="BT22" s="975">
        <f>IFERROR(BT20/BO20-1,"")</f>
        <v/>
      </c>
      <c r="BU22" s="974" t="n"/>
      <c r="BV22" s="974" t="n"/>
      <c r="BW22" s="974" t="n"/>
      <c r="BX22" s="974" t="n"/>
      <c r="BY22" s="975" t="n"/>
      <c r="BZ22" s="974" t="n"/>
      <c r="CA22" s="974" t="n"/>
      <c r="CB22" s="974" t="n"/>
      <c r="CC22" s="974" t="n"/>
      <c r="CD22" s="975" t="n"/>
      <c r="CE22" s="974" t="n"/>
      <c r="CF22" s="974" t="n"/>
      <c r="CG22" s="974" t="n"/>
      <c r="CH22" s="974" t="n"/>
      <c r="CI22" s="976" t="n"/>
      <c r="CJ22" s="976" t="n"/>
      <c r="CK22" s="976" t="n"/>
      <c r="CL22" s="976" t="n"/>
      <c r="CM22" s="976" t="n"/>
      <c r="CN22" s="974" t="n"/>
      <c r="CO22" s="974" t="n"/>
      <c r="CP22" s="974" t="n"/>
      <c r="CQ22" s="693" t="n"/>
    </row>
    <row r="23" hidden="1" outlineLevel="1" ht="16.5" customHeight="1">
      <c r="B23" s="12" t="inlineStr">
        <is>
          <t xml:space="preserve">  Operating margin %</t>
        </is>
      </c>
      <c r="C23" s="974" t="n"/>
      <c r="D23" s="974" t="n"/>
      <c r="E23" s="974" t="n"/>
      <c r="F23" s="974" t="n"/>
      <c r="G23" s="975">
        <f>G21/G20</f>
        <v/>
      </c>
      <c r="H23" s="974" t="n"/>
      <c r="I23" s="974" t="n"/>
      <c r="J23" s="974" t="n"/>
      <c r="K23" s="974" t="n"/>
      <c r="L23" s="975">
        <f>L21/L20</f>
        <v/>
      </c>
      <c r="M23" s="974" t="n"/>
      <c r="N23" s="974" t="n"/>
      <c r="O23" s="974" t="n"/>
      <c r="P23" s="974" t="n"/>
      <c r="Q23" s="975">
        <f>Q21/Q20</f>
        <v/>
      </c>
      <c r="R23" s="974" t="n"/>
      <c r="S23" s="974" t="n"/>
      <c r="T23" s="974" t="n"/>
      <c r="U23" s="974" t="n"/>
      <c r="V23" s="975">
        <f>V21/V20</f>
        <v/>
      </c>
      <c r="W23" s="974" t="n"/>
      <c r="X23" s="974" t="n"/>
      <c r="Y23" s="974" t="n"/>
      <c r="Z23" s="974" t="n"/>
      <c r="AA23" s="975">
        <f>AA21/AA20</f>
        <v/>
      </c>
      <c r="AB23" s="974" t="n"/>
      <c r="AC23" s="974" t="n"/>
      <c r="AD23" s="974" t="n"/>
      <c r="AE23" s="974" t="n"/>
      <c r="AF23" s="975">
        <f>AF21/AF20</f>
        <v/>
      </c>
      <c r="AG23" s="974" t="n"/>
      <c r="AH23" s="974" t="n"/>
      <c r="AI23" s="974" t="n"/>
      <c r="AJ23" s="974" t="n"/>
      <c r="AK23" s="975">
        <f>AK21/AK20</f>
        <v/>
      </c>
      <c r="AL23" s="974" t="n"/>
      <c r="AM23" s="974" t="n"/>
      <c r="AN23" s="974" t="n"/>
      <c r="AO23" s="974" t="n"/>
      <c r="AP23" s="975">
        <f>AP21/AP20</f>
        <v/>
      </c>
      <c r="AQ23" s="974" t="n"/>
      <c r="AR23" s="974" t="n"/>
      <c r="AS23" s="974" t="n"/>
      <c r="AT23" s="974" t="n"/>
      <c r="AU23" s="975">
        <f>AU21/AU20</f>
        <v/>
      </c>
      <c r="AV23" s="974" t="n"/>
      <c r="AW23" s="974" t="n"/>
      <c r="AX23" s="974" t="n"/>
      <c r="AY23" s="974" t="n"/>
      <c r="AZ23" s="975">
        <f>AZ21/AZ20</f>
        <v/>
      </c>
      <c r="BA23" s="974" t="n"/>
      <c r="BB23" s="974" t="n"/>
      <c r="BC23" s="974" t="n"/>
      <c r="BD23" s="974" t="n"/>
      <c r="BE23" s="975">
        <f>BE21/BE20</f>
        <v/>
      </c>
      <c r="BF23" s="974">
        <f>BF21/BF20</f>
        <v/>
      </c>
      <c r="BG23" s="974">
        <f>BG21/BG20</f>
        <v/>
      </c>
      <c r="BH23" s="974">
        <f>BH21/BH20</f>
        <v/>
      </c>
      <c r="BI23" s="974">
        <f>BI21/BI20</f>
        <v/>
      </c>
      <c r="BJ23" s="975">
        <f>BJ21/BJ20</f>
        <v/>
      </c>
      <c r="BK23" s="974">
        <f>BK21/BK20</f>
        <v/>
      </c>
      <c r="BL23" s="974">
        <f>BL21/BL20</f>
        <v/>
      </c>
      <c r="BM23" s="974">
        <f>BM21/BM20</f>
        <v/>
      </c>
      <c r="BN23" s="974" t="n"/>
      <c r="BO23" s="975">
        <f>BO21/BO20</f>
        <v/>
      </c>
      <c r="BP23" s="974">
        <f>BP21/BP20</f>
        <v/>
      </c>
      <c r="BQ23" s="974">
        <f>BQ21/BQ20</f>
        <v/>
      </c>
      <c r="BR23" s="974">
        <f>BR21/BR20</f>
        <v/>
      </c>
      <c r="BS23" s="974" t="n"/>
      <c r="BT23" s="975">
        <f>BT21/BT20</f>
        <v/>
      </c>
      <c r="BU23" s="974" t="n"/>
      <c r="BV23" s="974" t="n"/>
      <c r="BW23" s="974" t="n"/>
      <c r="BX23" s="974" t="n"/>
      <c r="BY23" s="975" t="n"/>
      <c r="BZ23" s="974" t="n"/>
      <c r="CA23" s="974" t="n"/>
      <c r="CB23" s="974" t="n"/>
      <c r="CC23" s="974" t="n"/>
      <c r="CD23" s="975" t="n"/>
      <c r="CE23" s="974" t="n"/>
      <c r="CF23" s="974" t="n"/>
      <c r="CG23" s="974" t="n"/>
      <c r="CH23" s="974" t="n"/>
      <c r="CI23" s="976" t="n"/>
      <c r="CJ23" s="976" t="n"/>
      <c r="CK23" s="976" t="n"/>
      <c r="CL23" s="976" t="n"/>
      <c r="CM23" s="976" t="n"/>
      <c r="CN23" s="974" t="n"/>
      <c r="CO23" s="974" t="n"/>
      <c r="CP23" s="974" t="n"/>
      <c r="CQ23" s="693" t="n"/>
    </row>
    <row r="24" hidden="1" outlineLevel="1" ht="16.5" customHeight="1">
      <c r="B24" t="inlineStr">
        <is>
          <t xml:space="preserve">  Backlog ($M)</t>
        </is>
      </c>
      <c r="C24" s="743" t="n"/>
      <c r="D24" s="743" t="n"/>
      <c r="E24" s="743" t="n"/>
      <c r="F24" s="743" t="n"/>
      <c r="G24" s="868" t="n"/>
      <c r="H24" s="743" t="n"/>
      <c r="I24" s="743" t="n"/>
      <c r="J24" s="743" t="n"/>
      <c r="K24" s="743" t="n"/>
      <c r="L24" s="868" t="n"/>
      <c r="M24" s="743" t="n"/>
      <c r="N24" s="743" t="n"/>
      <c r="O24" s="743" t="n"/>
      <c r="P24" s="743" t="n"/>
      <c r="Q24" s="868" t="n"/>
      <c r="R24" s="743" t="n"/>
      <c r="S24" s="743" t="n"/>
      <c r="T24" s="743" t="n"/>
      <c r="U24" s="743" t="n"/>
      <c r="V24" s="868" t="n"/>
      <c r="W24" s="743" t="n"/>
      <c r="X24" s="743" t="n"/>
      <c r="Y24" s="743" t="n"/>
      <c r="Z24" s="743" t="n"/>
      <c r="AA24" s="868" t="n"/>
      <c r="AB24" s="743" t="n"/>
      <c r="AC24" s="743" t="n"/>
      <c r="AD24" s="743" t="n"/>
      <c r="AE24" s="743" t="n"/>
      <c r="AF24" s="868" t="n"/>
      <c r="AG24" s="743" t="n"/>
      <c r="AH24" s="743" t="n"/>
      <c r="AI24" s="743" t="n"/>
      <c r="AJ24" s="743" t="n"/>
      <c r="AK24" s="868" t="n"/>
      <c r="AL24" s="743" t="n"/>
      <c r="AM24" s="291" t="n"/>
      <c r="AN24" s="291" t="n"/>
      <c r="AO24" s="291" t="n"/>
      <c r="AP24" s="868" t="n"/>
      <c r="AQ24" s="291" t="n"/>
      <c r="AR24" s="291" t="n"/>
      <c r="AS24" s="291" t="n"/>
      <c r="AT24" s="291" t="n"/>
      <c r="AU24" s="868" t="n"/>
      <c r="AV24" s="291" t="n"/>
      <c r="AW24" s="291" t="n"/>
      <c r="AX24" s="291" t="n"/>
      <c r="AY24" s="291" t="n"/>
      <c r="AZ24" s="864" t="n"/>
      <c r="BA24" s="291" t="n"/>
      <c r="BB24" s="291" t="n"/>
      <c r="BC24" s="291" t="n"/>
      <c r="BD24" s="291" t="n"/>
      <c r="BE24" s="864" t="n"/>
      <c r="BF24" s="291" t="n"/>
      <c r="BG24" s="291" t="n"/>
      <c r="BH24" s="291" t="n"/>
      <c r="BI24" s="291" t="n"/>
      <c r="BJ24" s="864" t="n"/>
      <c r="BK24" s="291" t="n"/>
      <c r="BL24" s="291" t="n"/>
      <c r="BM24" s="291" t="n"/>
      <c r="BN24" s="291" t="n"/>
      <c r="BO24" s="864" t="n"/>
      <c r="BP24" s="291" t="n"/>
      <c r="BQ24" s="291" t="n"/>
      <c r="BR24" s="291" t="n"/>
      <c r="BS24" s="291" t="n"/>
      <c r="BT24" s="864" t="n"/>
      <c r="BU24" s="291" t="n"/>
      <c r="BV24" s="291" t="n"/>
      <c r="BW24" s="291" t="n"/>
      <c r="BX24" s="291" t="n"/>
      <c r="BY24" s="864" t="n"/>
      <c r="BZ24" s="291" t="n"/>
      <c r="CA24" s="291" t="n"/>
      <c r="CB24" s="291" t="n"/>
      <c r="CC24" s="291" t="n"/>
      <c r="CD24" s="864" t="n"/>
      <c r="CE24" s="291" t="n"/>
      <c r="CF24" s="291" t="n"/>
      <c r="CG24" s="291" t="n"/>
      <c r="CH24" s="291" t="n"/>
      <c r="CI24" s="749" t="n"/>
      <c r="CJ24" s="749" t="n"/>
      <c r="CK24" s="749" t="n"/>
      <c r="CL24" s="749" t="n"/>
      <c r="CM24" s="749" t="n"/>
      <c r="CN24" s="291" t="n"/>
      <c r="CO24" s="291" t="n"/>
      <c r="CP24" s="291" t="n"/>
      <c r="CQ24" s="693" t="n"/>
    </row>
    <row r="25" hidden="1" outlineLevel="1" ht="16.5" customHeight="1">
      <c r="C25" s="291" t="n"/>
      <c r="D25" s="291" t="n"/>
      <c r="E25" s="291" t="n"/>
      <c r="F25" s="291" t="n"/>
      <c r="G25" s="864" t="n"/>
      <c r="H25" s="291" t="n"/>
      <c r="I25" s="291" t="n"/>
      <c r="J25" s="291" t="n"/>
      <c r="K25" s="291" t="n"/>
      <c r="L25" s="864" t="n"/>
      <c r="M25" s="291" t="n"/>
      <c r="N25" s="291" t="n"/>
      <c r="O25" s="291" t="n"/>
      <c r="P25" s="291" t="n"/>
      <c r="Q25" s="864" t="n"/>
      <c r="R25" s="291" t="n"/>
      <c r="S25" s="291" t="n"/>
      <c r="T25" s="291" t="n"/>
      <c r="U25" s="291" t="n"/>
      <c r="V25" s="864" t="n"/>
      <c r="W25" s="291" t="n"/>
      <c r="X25" s="291" t="n"/>
      <c r="Y25" s="291" t="n"/>
      <c r="Z25" s="291" t="n"/>
      <c r="AA25" s="864" t="n"/>
      <c r="AB25" s="291" t="n"/>
      <c r="AC25" s="291" t="n"/>
      <c r="AD25" s="291" t="n"/>
      <c r="AE25" s="291" t="n"/>
      <c r="AF25" s="864" t="n"/>
      <c r="AG25" s="291" t="n"/>
      <c r="AH25" s="291" t="n"/>
      <c r="AI25" s="291" t="n"/>
      <c r="AJ25" s="291" t="n"/>
      <c r="AK25" s="864" t="n"/>
      <c r="AL25" s="291" t="n"/>
      <c r="AM25" s="291" t="n"/>
      <c r="AN25" s="291" t="n"/>
      <c r="AO25" s="291" t="n"/>
      <c r="AP25" s="864" t="n"/>
      <c r="AQ25" s="291" t="n"/>
      <c r="AR25" s="291" t="n"/>
      <c r="AS25" s="291" t="n"/>
      <c r="AT25" s="291" t="n"/>
      <c r="AU25" s="864" t="n"/>
      <c r="AV25" s="291" t="n"/>
      <c r="AW25" s="291" t="n"/>
      <c r="AX25" s="291" t="n"/>
      <c r="AY25" s="291" t="n"/>
      <c r="AZ25" s="864" t="n"/>
      <c r="BA25" s="291" t="n"/>
      <c r="BB25" s="291" t="n"/>
      <c r="BC25" s="291" t="n"/>
      <c r="BD25" s="291" t="n"/>
      <c r="BE25" s="864" t="n"/>
      <c r="BF25" s="291" t="n"/>
      <c r="BG25" s="291" t="n"/>
      <c r="BH25" s="291" t="n"/>
      <c r="BI25" s="291" t="n"/>
      <c r="BJ25" s="864" t="n"/>
      <c r="BK25" s="291" t="n"/>
      <c r="BL25" s="291" t="n"/>
      <c r="BM25" s="291" t="n"/>
      <c r="BN25" s="291" t="n"/>
      <c r="BO25" s="864" t="n"/>
      <c r="BP25" s="291" t="n"/>
      <c r="BQ25" s="291" t="n"/>
      <c r="BR25" s="291" t="n"/>
      <c r="BS25" s="291" t="n"/>
      <c r="BT25" s="864" t="n"/>
      <c r="BU25" s="291" t="n"/>
      <c r="BV25" s="291" t="n"/>
      <c r="BW25" s="291" t="n"/>
      <c r="BX25" s="291" t="n"/>
      <c r="BY25" s="864" t="n"/>
      <c r="BZ25" s="291" t="n"/>
      <c r="CA25" s="291" t="n"/>
      <c r="CB25" s="291" t="n"/>
      <c r="CC25" s="291" t="n"/>
      <c r="CD25" s="864" t="n"/>
      <c r="CE25" s="291" t="n"/>
      <c r="CF25" s="291" t="n"/>
      <c r="CG25" s="291" t="n"/>
      <c r="CH25" s="291" t="n"/>
      <c r="CI25" s="749" t="n"/>
      <c r="CJ25" s="749" t="n"/>
      <c r="CK25" s="749" t="n"/>
      <c r="CL25" s="749" t="n"/>
      <c r="CM25" s="749" t="n"/>
      <c r="CN25" s="291" t="n"/>
      <c r="CO25" s="291" t="n"/>
      <c r="CP25" s="291" t="n"/>
      <c r="CQ25" s="693" t="n"/>
    </row>
    <row r="26" hidden="1" outlineLevel="1" ht="16.5" customHeight="1">
      <c r="B26" s="223" t="inlineStr">
        <is>
          <t>Truckload</t>
        </is>
      </c>
      <c r="C26" s="224" t="n"/>
      <c r="D26" s="224" t="n"/>
      <c r="E26" s="224" t="n"/>
      <c r="F26" s="224" t="n"/>
      <c r="G26" s="867" t="n"/>
      <c r="H26" s="224" t="n"/>
      <c r="I26" s="224" t="n"/>
      <c r="J26" s="224" t="n"/>
      <c r="K26" s="224" t="n"/>
      <c r="L26" s="867" t="n"/>
      <c r="M26" s="224" t="n"/>
      <c r="N26" s="224" t="n"/>
      <c r="O26" s="224" t="n"/>
      <c r="P26" s="224" t="n"/>
      <c r="Q26" s="867" t="n"/>
      <c r="R26" s="224" t="n"/>
      <c r="S26" s="224" t="n"/>
      <c r="T26" s="224" t="n"/>
      <c r="U26" s="224" t="n"/>
      <c r="V26" s="867" t="n"/>
      <c r="W26" s="224" t="n"/>
      <c r="X26" s="224" t="n"/>
      <c r="Y26" s="224" t="n"/>
      <c r="Z26" s="224" t="n"/>
      <c r="AA26" s="867" t="n"/>
      <c r="AB26" s="224" t="n"/>
      <c r="AC26" s="224" t="n"/>
      <c r="AD26" s="224" t="n"/>
      <c r="AE26" s="224" t="n"/>
      <c r="AF26" s="867" t="n"/>
      <c r="AG26" s="224" t="n"/>
      <c r="AH26" s="224" t="n"/>
      <c r="AI26" s="224" t="n"/>
      <c r="AJ26" s="224" t="n"/>
      <c r="AK26" s="867" t="n"/>
      <c r="AL26" s="224" t="n"/>
      <c r="AM26" s="224" t="n"/>
      <c r="AN26" s="224" t="n"/>
      <c r="AO26" s="224" t="n"/>
      <c r="AP26" s="867" t="n"/>
      <c r="AQ26" s="224" t="n"/>
      <c r="AR26" s="224" t="n"/>
      <c r="AS26" s="224" t="n"/>
      <c r="AT26" s="224" t="n"/>
      <c r="AU26" s="867" t="n"/>
      <c r="AV26" s="224" t="n"/>
      <c r="AW26" s="224" t="n"/>
      <c r="AX26" s="224" t="n"/>
      <c r="AY26" s="224" t="n"/>
      <c r="AZ26" s="867" t="n"/>
      <c r="BA26" s="224" t="n"/>
      <c r="BB26" s="224" t="n"/>
      <c r="BC26" s="224" t="n"/>
      <c r="BD26" s="224" t="n"/>
      <c r="BE26" s="867" t="n"/>
      <c r="BF26" s="224" t="n"/>
      <c r="BG26" s="224" t="n"/>
      <c r="BH26" s="224" t="n"/>
      <c r="BI26" s="224" t="n"/>
      <c r="BJ26" s="867" t="n"/>
      <c r="BK26" s="224" t="n"/>
      <c r="BL26" s="224" t="n"/>
      <c r="BM26" s="224" t="n"/>
      <c r="BN26" s="224" t="n"/>
      <c r="BO26" s="867" t="n"/>
      <c r="BP26" s="224" t="n"/>
      <c r="BQ26" s="224" t="n"/>
      <c r="BR26" s="224" t="n"/>
      <c r="BS26" s="224" t="n"/>
      <c r="BT26" s="867" t="n"/>
      <c r="BU26" s="224" t="n"/>
      <c r="BV26" s="224" t="n"/>
      <c r="BW26" s="224" t="n"/>
      <c r="BX26" s="224" t="n"/>
      <c r="BY26" s="867" t="n"/>
      <c r="BZ26" s="224" t="n"/>
      <c r="CA26" s="224" t="n"/>
      <c r="CB26" s="224" t="n"/>
      <c r="CC26" s="224" t="n"/>
      <c r="CD26" s="867" t="n"/>
      <c r="CE26" s="224" t="n"/>
      <c r="CF26" s="224" t="n"/>
      <c r="CG26" s="224" t="n"/>
      <c r="CH26" s="224" t="n"/>
      <c r="CI26" s="224" t="n"/>
      <c r="CJ26" s="224" t="n"/>
      <c r="CK26" s="224" t="n"/>
      <c r="CL26" s="224" t="n"/>
      <c r="CM26" s="224" t="n"/>
      <c r="CN26" s="224" t="n"/>
      <c r="CO26" s="224" t="n"/>
      <c r="CP26" s="224" t="n"/>
      <c r="CQ26" s="693" t="n"/>
    </row>
    <row r="27" hidden="1" outlineLevel="1" ht="16.5" customHeight="1">
      <c r="B27" t="inlineStr">
        <is>
          <t xml:space="preserve">  Net sales</t>
        </is>
      </c>
      <c r="C27" s="743" t="n"/>
      <c r="D27" s="743" t="n"/>
      <c r="E27" s="743" t="n"/>
      <c r="F27" s="743" t="n"/>
      <c r="G27" s="868" t="n"/>
      <c r="H27" s="743" t="n"/>
      <c r="I27" s="743" t="n"/>
      <c r="J27" s="743" t="n"/>
      <c r="K27" s="743" t="n"/>
      <c r="L27" s="868" t="n"/>
      <c r="M27" s="743" t="n"/>
      <c r="N27" s="743" t="n"/>
      <c r="O27" s="743" t="n"/>
      <c r="P27" s="743" t="n"/>
      <c r="Q27" s="868" t="n"/>
      <c r="R27" s="743" t="n"/>
      <c r="S27" s="743" t="n"/>
      <c r="T27" s="743" t="n"/>
      <c r="U27" s="743" t="n"/>
      <c r="V27" s="868" t="n"/>
      <c r="W27" s="743" t="n"/>
      <c r="X27" s="743" t="n"/>
      <c r="Y27" s="743" t="n"/>
      <c r="Z27" s="743" t="n"/>
      <c r="AA27" s="868" t="n"/>
      <c r="AB27" s="743" t="n"/>
      <c r="AC27" s="743" t="n"/>
      <c r="AD27" s="743" t="n"/>
      <c r="AE27" s="743" t="n"/>
      <c r="AF27" s="868" t="n"/>
      <c r="AG27" s="743" t="n"/>
      <c r="AH27" s="743" t="n"/>
      <c r="AI27" s="743" t="n"/>
      <c r="AJ27" s="743" t="n"/>
      <c r="AK27" s="868" t="n"/>
      <c r="AL27" s="743" t="n"/>
      <c r="AM27" s="291" t="n"/>
      <c r="AN27" s="291" t="n"/>
      <c r="AO27" s="291" t="n"/>
      <c r="AP27" s="868" t="n"/>
      <c r="AQ27" s="291" t="n"/>
      <c r="AR27" s="291" t="n"/>
      <c r="AS27" s="291" t="n"/>
      <c r="AT27" s="291" t="n"/>
      <c r="AU27" s="868" t="n"/>
      <c r="AV27" s="291" t="n"/>
      <c r="AW27" s="291" t="n"/>
      <c r="AX27" s="291" t="n"/>
      <c r="AY27" s="291" t="n"/>
      <c r="AZ27" s="868" t="n">
        <v>1891.555</v>
      </c>
      <c r="BA27" s="291" t="n"/>
      <c r="BB27" s="291" t="n"/>
      <c r="BC27" s="291" t="n">
        <v>408.995</v>
      </c>
      <c r="BD27" s="291" t="n"/>
      <c r="BE27" s="868" t="n">
        <v>1748.359</v>
      </c>
      <c r="BF27" s="743" t="n"/>
      <c r="BG27" s="743" t="n">
        <v>481.541</v>
      </c>
      <c r="BH27" s="743" t="n">
        <v>488.617</v>
      </c>
      <c r="BI27" s="291">
        <f>BJ27-SUM(BF27:BH27)</f>
        <v/>
      </c>
      <c r="BJ27" s="868" t="n">
        <v>2162.752</v>
      </c>
      <c r="BK27" s="743" t="n">
        <v>515.925</v>
      </c>
      <c r="BL27" s="743" t="n">
        <v>556.894</v>
      </c>
      <c r="BM27" s="743" t="n">
        <v>510.185</v>
      </c>
      <c r="BN27" s="291">
        <f>BO27-SUM(BK27:BM27)</f>
        <v/>
      </c>
      <c r="BO27" s="868" t="n">
        <v>2451.038</v>
      </c>
      <c r="BP27" s="743" t="n">
        <v>414.125</v>
      </c>
      <c r="BQ27" s="743" t="n">
        <v>410.68</v>
      </c>
      <c r="BR27" s="743" t="n">
        <v>401.51</v>
      </c>
      <c r="BS27" s="291" t="n"/>
      <c r="BT27" s="864" t="n">
        <v>1936.038</v>
      </c>
      <c r="BU27" s="291" t="n">
        <v>397.732</v>
      </c>
      <c r="BV27" s="291" t="n"/>
      <c r="BW27" s="291" t="n"/>
      <c r="BX27" s="291" t="n"/>
      <c r="BY27" s="864" t="n"/>
      <c r="BZ27" s="291" t="n"/>
      <c r="CA27" s="291" t="n"/>
      <c r="CB27" s="291" t="n"/>
      <c r="CC27" s="291" t="n"/>
      <c r="CD27" s="864" t="n"/>
      <c r="CE27" s="291" t="n"/>
      <c r="CF27" s="291" t="n"/>
      <c r="CG27" s="291" t="n"/>
      <c r="CH27" s="291" t="n"/>
      <c r="CI27" s="749" t="n"/>
      <c r="CJ27" s="749" t="n"/>
      <c r="CK27" s="749" t="n"/>
      <c r="CL27" s="749" t="n"/>
      <c r="CM27" s="749" t="n"/>
      <c r="CN27" s="291" t="n"/>
      <c r="CO27" s="291" t="n"/>
      <c r="CP27" s="291" t="n"/>
      <c r="CQ27" s="693" t="n"/>
    </row>
    <row r="28" hidden="1" outlineLevel="1" ht="16.5" customHeight="1">
      <c r="B28" t="inlineStr">
        <is>
          <t xml:space="preserve">  Operating profit</t>
        </is>
      </c>
      <c r="C28" s="743" t="n"/>
      <c r="D28" s="743" t="n"/>
      <c r="E28" s="743" t="n"/>
      <c r="F28" s="743" t="n"/>
      <c r="G28" s="868" t="n"/>
      <c r="H28" s="743" t="n"/>
      <c r="I28" s="743" t="n"/>
      <c r="J28" s="743" t="n"/>
      <c r="K28" s="743" t="n"/>
      <c r="L28" s="868" t="n"/>
      <c r="M28" s="743" t="n"/>
      <c r="N28" s="743" t="n"/>
      <c r="O28" s="743" t="n"/>
      <c r="P28" s="743" t="n"/>
      <c r="Q28" s="868" t="n"/>
      <c r="R28" s="743" t="n"/>
      <c r="S28" s="743" t="n"/>
      <c r="T28" s="743" t="n"/>
      <c r="U28" s="743" t="n"/>
      <c r="V28" s="868" t="n"/>
      <c r="W28" s="743" t="n"/>
      <c r="X28" s="743" t="n"/>
      <c r="Y28" s="743" t="n"/>
      <c r="Z28" s="743" t="n"/>
      <c r="AA28" s="868" t="n"/>
      <c r="AB28" s="743" t="n"/>
      <c r="AC28" s="743" t="n"/>
      <c r="AD28" s="743" t="n"/>
      <c r="AE28" s="743" t="n"/>
      <c r="AF28" s="868" t="n"/>
      <c r="AG28" s="743" t="n"/>
      <c r="AH28" s="743" t="n"/>
      <c r="AI28" s="743" t="n"/>
      <c r="AJ28" s="743" t="n"/>
      <c r="AK28" s="868" t="n"/>
      <c r="AL28" s="743" t="n"/>
      <c r="AM28" s="291" t="n"/>
      <c r="AN28" s="291" t="n"/>
      <c r="AO28" s="291" t="n"/>
      <c r="AP28" s="868" t="n"/>
      <c r="AQ28" s="291" t="n"/>
      <c r="AR28" s="291" t="n"/>
      <c r="AS28" s="291" t="n"/>
      <c r="AT28" s="291" t="n"/>
      <c r="AU28" s="868" t="n"/>
      <c r="AV28" s="291" t="n"/>
      <c r="AW28" s="291" t="n"/>
      <c r="AX28" s="291" t="n"/>
      <c r="AY28" s="291" t="n"/>
      <c r="AZ28" s="868" t="n">
        <v>192.172</v>
      </c>
      <c r="BA28" s="291" t="n"/>
      <c r="BB28" s="291" t="n"/>
      <c r="BC28" s="291" t="n">
        <v>56.047</v>
      </c>
      <c r="BD28" s="291" t="n"/>
      <c r="BE28" s="868" t="n">
        <v>206.346</v>
      </c>
      <c r="BF28" s="743" t="n"/>
      <c r="BG28" s="743" t="n">
        <v>62.626</v>
      </c>
      <c r="BH28" s="743" t="n">
        <v>55.753</v>
      </c>
      <c r="BI28" s="291">
        <f>BJ28-SUM(BF28:BH28)</f>
        <v/>
      </c>
      <c r="BJ28" s="868" t="n">
        <v>230.189</v>
      </c>
      <c r="BK28" s="743" t="n">
        <v>71.02800000000001</v>
      </c>
      <c r="BL28" s="743" t="n">
        <v>127.37</v>
      </c>
      <c r="BM28" s="743" t="n">
        <v>96.628</v>
      </c>
      <c r="BN28" s="291">
        <f>BO28-SUM(BK28:BM28)</f>
        <v/>
      </c>
      <c r="BO28" s="868" t="n">
        <v>366.868</v>
      </c>
      <c r="BP28" s="743" t="n">
        <v>70.496</v>
      </c>
      <c r="BQ28" s="743" t="n">
        <v>66.18300000000001</v>
      </c>
      <c r="BR28" s="743" t="n">
        <v>50.057</v>
      </c>
      <c r="BS28" s="291" t="n"/>
      <c r="BT28" s="864" t="n">
        <v>237.393</v>
      </c>
      <c r="BU28" s="291" t="n">
        <v>41.464</v>
      </c>
      <c r="BV28" s="291" t="n"/>
      <c r="BW28" s="291" t="n"/>
      <c r="BX28" s="291" t="n"/>
      <c r="BY28" s="864" t="n"/>
      <c r="BZ28" s="291" t="n"/>
      <c r="CA28" s="291" t="n"/>
      <c r="CB28" s="291" t="n"/>
      <c r="CC28" s="291" t="n"/>
      <c r="CD28" s="864" t="n"/>
      <c r="CE28" s="291" t="n"/>
      <c r="CF28" s="291" t="n"/>
      <c r="CG28" s="291" t="n"/>
      <c r="CH28" s="291" t="n"/>
      <c r="CI28" s="749" t="n"/>
      <c r="CJ28" s="749" t="n"/>
      <c r="CK28" s="749" t="n"/>
      <c r="CL28" s="749" t="n"/>
      <c r="CM28" s="749" t="n"/>
      <c r="CN28" s="291" t="n"/>
      <c r="CO28" s="291" t="n"/>
      <c r="CP28" s="291" t="n"/>
      <c r="CQ28" s="693" t="n"/>
    </row>
    <row r="29" hidden="1" outlineLevel="1" ht="16.5" customHeight="1">
      <c r="B29" s="12" t="inlineStr">
        <is>
          <t xml:space="preserve">  Sales y/y %</t>
        </is>
      </c>
      <c r="C29" s="974" t="n"/>
      <c r="D29" s="974" t="n"/>
      <c r="E29" s="974" t="n"/>
      <c r="F29" s="974" t="n"/>
      <c r="G29" s="975" t="n"/>
      <c r="H29" s="974" t="n"/>
      <c r="I29" s="974" t="n"/>
      <c r="J29" s="974" t="n"/>
      <c r="K29" s="974" t="n"/>
      <c r="L29" s="975">
        <f>L27/G27-1</f>
        <v/>
      </c>
      <c r="M29" s="974" t="n"/>
      <c r="N29" s="974" t="n"/>
      <c r="O29" s="974" t="n"/>
      <c r="P29" s="974" t="n"/>
      <c r="Q29" s="975">
        <f>Q27/L27-1</f>
        <v/>
      </c>
      <c r="R29" s="974" t="n"/>
      <c r="S29" s="974" t="n"/>
      <c r="T29" s="974" t="n"/>
      <c r="U29" s="974" t="n"/>
      <c r="V29" s="975">
        <f>V27/Q27-1</f>
        <v/>
      </c>
      <c r="W29" s="974" t="n"/>
      <c r="X29" s="974" t="n"/>
      <c r="Y29" s="974" t="n"/>
      <c r="Z29" s="974" t="n"/>
      <c r="AA29" s="975">
        <f>AA27/V27-1</f>
        <v/>
      </c>
      <c r="AB29" s="974" t="n"/>
      <c r="AC29" s="974" t="n"/>
      <c r="AD29" s="974" t="n"/>
      <c r="AE29" s="974" t="n"/>
      <c r="AF29" s="975">
        <f>AF27/AA27-1</f>
        <v/>
      </c>
      <c r="AG29" s="974" t="n"/>
      <c r="AH29" s="974" t="n"/>
      <c r="AI29" s="974" t="n"/>
      <c r="AJ29" s="974" t="n"/>
      <c r="AK29" s="975">
        <f>AK27/AF27-1</f>
        <v/>
      </c>
      <c r="AL29" s="974" t="n"/>
      <c r="AM29" s="974" t="n"/>
      <c r="AN29" s="974" t="n"/>
      <c r="AO29" s="974" t="n"/>
      <c r="AP29" s="975">
        <f>AP27/AK27-1</f>
        <v/>
      </c>
      <c r="AQ29" s="974" t="n"/>
      <c r="AR29" s="974" t="n"/>
      <c r="AS29" s="974" t="n"/>
      <c r="AT29" s="974" t="n"/>
      <c r="AU29" s="975">
        <f>AU27/AP27-1</f>
        <v/>
      </c>
      <c r="AV29" s="974" t="n"/>
      <c r="AW29" s="974" t="n"/>
      <c r="AX29" s="974" t="n"/>
      <c r="AY29" s="974" t="n"/>
      <c r="AZ29" s="975">
        <f>AZ27/AU27-1</f>
        <v/>
      </c>
      <c r="BA29" s="974" t="n"/>
      <c r="BB29" s="974" t="n"/>
      <c r="BC29" s="974" t="n"/>
      <c r="BD29" s="974" t="n"/>
      <c r="BE29" s="975">
        <f>BE27/AZ27-1</f>
        <v/>
      </c>
      <c r="BF29" s="974" t="n"/>
      <c r="BG29" s="974" t="n"/>
      <c r="BH29" s="974" t="n"/>
      <c r="BI29" s="974" t="n"/>
      <c r="BJ29" s="975">
        <f>BJ27/BE27-1</f>
        <v/>
      </c>
      <c r="BK29" s="974">
        <f>BK27/BF27-1</f>
        <v/>
      </c>
      <c r="BL29" s="974">
        <f>BL27/BG27-1</f>
        <v/>
      </c>
      <c r="BM29" s="974">
        <f>BM27/BH27-1</f>
        <v/>
      </c>
      <c r="BN29" s="974" t="n"/>
      <c r="BO29" s="975">
        <f>IFERROR(BO27/BJ27-1,"")</f>
        <v/>
      </c>
      <c r="BP29" s="974">
        <f>BP27/BK27-1</f>
        <v/>
      </c>
      <c r="BQ29" s="974">
        <f>BQ27/BL27-1</f>
        <v/>
      </c>
      <c r="BR29" s="974">
        <f>BR27/BM27-1</f>
        <v/>
      </c>
      <c r="BS29" s="974" t="n"/>
      <c r="BT29" s="975">
        <f>IFERROR(BT27/BO27-1,"")</f>
        <v/>
      </c>
      <c r="BU29" s="974" t="n"/>
      <c r="BV29" s="974" t="n"/>
      <c r="BW29" s="974" t="n"/>
      <c r="BX29" s="974" t="n"/>
      <c r="BY29" s="975" t="n"/>
      <c r="BZ29" s="974" t="n"/>
      <c r="CA29" s="974" t="n"/>
      <c r="CB29" s="974" t="n"/>
      <c r="CC29" s="974" t="n"/>
      <c r="CD29" s="975" t="n"/>
      <c r="CE29" s="974" t="n"/>
      <c r="CF29" s="974" t="n"/>
      <c r="CG29" s="974" t="n"/>
      <c r="CH29" s="974" t="n"/>
      <c r="CI29" s="976" t="n"/>
      <c r="CJ29" s="976" t="n"/>
      <c r="CK29" s="976" t="n"/>
      <c r="CL29" s="976" t="n"/>
      <c r="CM29" s="976" t="n"/>
      <c r="CN29" s="974" t="n"/>
      <c r="CO29" s="974" t="n"/>
      <c r="CP29" s="974" t="n"/>
      <c r="CQ29" s="693" t="n"/>
    </row>
    <row r="30" hidden="1" outlineLevel="1" ht="16.5" customHeight="1">
      <c r="B30" s="12" t="inlineStr">
        <is>
          <t xml:space="preserve">  Operating margin %</t>
        </is>
      </c>
      <c r="C30" s="974" t="n"/>
      <c r="D30" s="974" t="n"/>
      <c r="E30" s="974" t="n"/>
      <c r="F30" s="974" t="n"/>
      <c r="G30" s="975">
        <f>G28/G27</f>
        <v/>
      </c>
      <c r="H30" s="974" t="n"/>
      <c r="I30" s="974" t="n"/>
      <c r="J30" s="974" t="n"/>
      <c r="K30" s="974" t="n"/>
      <c r="L30" s="975">
        <f>L28/L27</f>
        <v/>
      </c>
      <c r="M30" s="974" t="n"/>
      <c r="N30" s="974" t="n"/>
      <c r="O30" s="974" t="n"/>
      <c r="P30" s="974" t="n"/>
      <c r="Q30" s="975">
        <f>Q28/Q27</f>
        <v/>
      </c>
      <c r="R30" s="974" t="n"/>
      <c r="S30" s="974" t="n"/>
      <c r="T30" s="974" t="n"/>
      <c r="U30" s="974" t="n"/>
      <c r="V30" s="975">
        <f>V28/V27</f>
        <v/>
      </c>
      <c r="W30" s="974" t="n"/>
      <c r="X30" s="974" t="n"/>
      <c r="Y30" s="974" t="n"/>
      <c r="Z30" s="974" t="n"/>
      <c r="AA30" s="975">
        <f>AA28/AA27</f>
        <v/>
      </c>
      <c r="AB30" s="974" t="n"/>
      <c r="AC30" s="974" t="n"/>
      <c r="AD30" s="974" t="n"/>
      <c r="AE30" s="974" t="n"/>
      <c r="AF30" s="975">
        <f>AF28/AF27</f>
        <v/>
      </c>
      <c r="AG30" s="974" t="n"/>
      <c r="AH30" s="974" t="n"/>
      <c r="AI30" s="974" t="n"/>
      <c r="AJ30" s="974" t="n"/>
      <c r="AK30" s="975">
        <f>AK28/AK27</f>
        <v/>
      </c>
      <c r="AL30" s="974" t="n"/>
      <c r="AM30" s="974" t="n"/>
      <c r="AN30" s="974" t="n"/>
      <c r="AO30" s="974" t="n"/>
      <c r="AP30" s="975">
        <f>AP28/AP27</f>
        <v/>
      </c>
      <c r="AQ30" s="974" t="n"/>
      <c r="AR30" s="974" t="n"/>
      <c r="AS30" s="974" t="n"/>
      <c r="AT30" s="974" t="n"/>
      <c r="AU30" s="975">
        <f>AU28/AU27</f>
        <v/>
      </c>
      <c r="AV30" s="974" t="n"/>
      <c r="AW30" s="974" t="n"/>
      <c r="AX30" s="974" t="n"/>
      <c r="AY30" s="974" t="n"/>
      <c r="AZ30" s="975">
        <f>AZ28/AZ27</f>
        <v/>
      </c>
      <c r="BA30" s="974" t="n"/>
      <c r="BB30" s="974" t="n"/>
      <c r="BC30" s="974" t="n"/>
      <c r="BD30" s="974" t="n"/>
      <c r="BE30" s="975">
        <f>BE28/BE27</f>
        <v/>
      </c>
      <c r="BF30" s="974">
        <f>BF28/BF27</f>
        <v/>
      </c>
      <c r="BG30" s="974">
        <f>BG28/BG27</f>
        <v/>
      </c>
      <c r="BH30" s="974">
        <f>BH28/BH27</f>
        <v/>
      </c>
      <c r="BI30" s="974">
        <f>BI28/BI27</f>
        <v/>
      </c>
      <c r="BJ30" s="975">
        <f>BJ28/BJ27</f>
        <v/>
      </c>
      <c r="BK30" s="974">
        <f>BK28/BK27</f>
        <v/>
      </c>
      <c r="BL30" s="974">
        <f>BL28/BL27</f>
        <v/>
      </c>
      <c r="BM30" s="974">
        <f>BM28/BM27</f>
        <v/>
      </c>
      <c r="BN30" s="974" t="n"/>
      <c r="BO30" s="975">
        <f>BO28/BO27</f>
        <v/>
      </c>
      <c r="BP30" s="974">
        <f>BP28/BP27</f>
        <v/>
      </c>
      <c r="BQ30" s="974">
        <f>BQ28/BQ27</f>
        <v/>
      </c>
      <c r="BR30" s="974">
        <f>BR28/BR27</f>
        <v/>
      </c>
      <c r="BS30" s="974" t="n"/>
      <c r="BT30" s="975">
        <f>BT28/BT27</f>
        <v/>
      </c>
      <c r="BU30" s="974" t="n"/>
      <c r="BV30" s="974" t="n"/>
      <c r="BW30" s="974" t="n"/>
      <c r="BX30" s="974" t="n"/>
      <c r="BY30" s="975" t="n"/>
      <c r="BZ30" s="974" t="n"/>
      <c r="CA30" s="974" t="n"/>
      <c r="CB30" s="974" t="n"/>
      <c r="CC30" s="974" t="n"/>
      <c r="CD30" s="975" t="n"/>
      <c r="CE30" s="974" t="n"/>
      <c r="CF30" s="974" t="n"/>
      <c r="CG30" s="974" t="n"/>
      <c r="CH30" s="974" t="n"/>
      <c r="CI30" s="976" t="n"/>
      <c r="CJ30" s="976" t="n"/>
      <c r="CK30" s="976" t="n"/>
      <c r="CL30" s="976" t="n"/>
      <c r="CM30" s="976" t="n"/>
      <c r="CN30" s="974" t="n"/>
      <c r="CO30" s="974" t="n"/>
      <c r="CP30" s="974" t="n"/>
      <c r="CQ30" s="693" t="n"/>
    </row>
    <row r="31" hidden="1" outlineLevel="1" ht="16.5" customHeight="1">
      <c r="B31" t="inlineStr">
        <is>
          <t xml:space="preserve">  Backlog ($M)</t>
        </is>
      </c>
      <c r="C31" s="743" t="n"/>
      <c r="D31" s="743" t="n"/>
      <c r="E31" s="743" t="n"/>
      <c r="F31" s="743" t="n"/>
      <c r="G31" s="868" t="n"/>
      <c r="H31" s="743" t="n"/>
      <c r="I31" s="743" t="n"/>
      <c r="J31" s="743" t="n"/>
      <c r="K31" s="743" t="n"/>
      <c r="L31" s="868" t="n"/>
      <c r="M31" s="743" t="n"/>
      <c r="N31" s="743" t="n"/>
      <c r="O31" s="743" t="n"/>
      <c r="P31" s="743" t="n"/>
      <c r="Q31" s="868" t="n"/>
      <c r="R31" s="743" t="n"/>
      <c r="S31" s="743" t="n"/>
      <c r="T31" s="743" t="n"/>
      <c r="U31" s="743" t="n"/>
      <c r="V31" s="868" t="n"/>
      <c r="W31" s="743" t="n"/>
      <c r="X31" s="743" t="n"/>
      <c r="Y31" s="743" t="n"/>
      <c r="Z31" s="743" t="n"/>
      <c r="AA31" s="868" t="n"/>
      <c r="AB31" s="743" t="n"/>
      <c r="AC31" s="743" t="n"/>
      <c r="AD31" s="743" t="n"/>
      <c r="AE31" s="743" t="n"/>
      <c r="AF31" s="868" t="n"/>
      <c r="AG31" s="743" t="n"/>
      <c r="AH31" s="743" t="n"/>
      <c r="AI31" s="743" t="n"/>
      <c r="AJ31" s="743" t="n"/>
      <c r="AK31" s="868" t="n"/>
      <c r="AL31" s="743" t="n"/>
      <c r="AM31" s="291" t="n"/>
      <c r="AN31" s="291" t="n"/>
      <c r="AO31" s="291" t="n"/>
      <c r="AP31" s="868" t="n"/>
      <c r="AQ31" s="291" t="n"/>
      <c r="AR31" s="291" t="n"/>
      <c r="AS31" s="291" t="n"/>
      <c r="AT31" s="291" t="n"/>
      <c r="AU31" s="868" t="n"/>
      <c r="AV31" s="291" t="n"/>
      <c r="AW31" s="291" t="n"/>
      <c r="AX31" s="291" t="n"/>
      <c r="AY31" s="291" t="n"/>
      <c r="AZ31" s="864" t="n"/>
      <c r="BA31" s="291" t="n"/>
      <c r="BB31" s="291" t="n"/>
      <c r="BC31" s="291" t="n"/>
      <c r="BD31" s="291" t="n"/>
      <c r="BE31" s="864" t="n"/>
      <c r="BF31" s="291" t="n"/>
      <c r="BG31" s="291" t="n"/>
      <c r="BH31" s="291" t="n"/>
      <c r="BI31" s="291" t="n"/>
      <c r="BJ31" s="864" t="n"/>
      <c r="BK31" s="291" t="n"/>
      <c r="BL31" s="291" t="n"/>
      <c r="BM31" s="291" t="n"/>
      <c r="BN31" s="291" t="n"/>
      <c r="BO31" s="864" t="n"/>
      <c r="BP31" s="291" t="n"/>
      <c r="BQ31" s="291" t="n"/>
      <c r="BR31" s="291" t="n"/>
      <c r="BS31" s="291" t="n"/>
      <c r="BT31" s="864" t="n"/>
      <c r="BU31" s="291" t="n"/>
      <c r="BV31" s="291" t="n"/>
      <c r="BW31" s="291" t="n"/>
      <c r="BX31" s="291" t="n"/>
      <c r="BY31" s="864" t="n"/>
      <c r="BZ31" s="291" t="n"/>
      <c r="CA31" s="291" t="n"/>
      <c r="CB31" s="291" t="n"/>
      <c r="CC31" s="291" t="n"/>
      <c r="CD31" s="864" t="n"/>
      <c r="CE31" s="291" t="n"/>
      <c r="CF31" s="291" t="n"/>
      <c r="CG31" s="291" t="n"/>
      <c r="CH31" s="291" t="n"/>
      <c r="CI31" s="749" t="n"/>
      <c r="CJ31" s="749" t="n"/>
      <c r="CK31" s="749" t="n"/>
      <c r="CL31" s="749" t="n"/>
      <c r="CM31" s="749" t="n"/>
      <c r="CN31" s="291" t="n"/>
      <c r="CO31" s="291" t="n"/>
      <c r="CP31" s="291" t="n"/>
      <c r="CQ31" s="693" t="n"/>
    </row>
    <row r="32" hidden="1" outlineLevel="1" ht="16.5" customHeight="1">
      <c r="C32" s="291" t="n"/>
      <c r="D32" s="291" t="n"/>
      <c r="E32" s="291" t="n"/>
      <c r="F32" s="291" t="n"/>
      <c r="G32" s="864" t="n"/>
      <c r="H32" s="291" t="n"/>
      <c r="I32" s="291" t="n"/>
      <c r="J32" s="291" t="n"/>
      <c r="K32" s="291" t="n"/>
      <c r="L32" s="864" t="n"/>
      <c r="M32" s="291" t="n"/>
      <c r="N32" s="291" t="n"/>
      <c r="O32" s="291" t="n"/>
      <c r="P32" s="291" t="n"/>
      <c r="Q32" s="864" t="n"/>
      <c r="R32" s="291" t="n"/>
      <c r="S32" s="291" t="n"/>
      <c r="T32" s="291" t="n"/>
      <c r="U32" s="291" t="n"/>
      <c r="V32" s="864" t="n"/>
      <c r="W32" s="291" t="n"/>
      <c r="X32" s="291" t="n"/>
      <c r="Y32" s="291" t="n"/>
      <c r="Z32" s="291" t="n"/>
      <c r="AA32" s="864" t="n"/>
      <c r="AB32" s="291" t="n"/>
      <c r="AC32" s="291" t="n"/>
      <c r="AD32" s="291" t="n"/>
      <c r="AE32" s="291" t="n"/>
      <c r="AF32" s="864" t="n"/>
      <c r="AG32" s="291" t="n"/>
      <c r="AH32" s="291" t="n"/>
      <c r="AI32" s="291" t="n"/>
      <c r="AJ32" s="291" t="n"/>
      <c r="AK32" s="864" t="n"/>
      <c r="AL32" s="291" t="n"/>
      <c r="AM32" s="291" t="n"/>
      <c r="AN32" s="291" t="n"/>
      <c r="AO32" s="291" t="n"/>
      <c r="AP32" s="864" t="n"/>
      <c r="AQ32" s="291" t="n"/>
      <c r="AR32" s="291" t="n"/>
      <c r="AS32" s="291" t="n"/>
      <c r="AT32" s="291" t="n"/>
      <c r="AU32" s="864" t="n"/>
      <c r="AV32" s="291" t="n"/>
      <c r="AW32" s="291" t="n"/>
      <c r="AX32" s="291" t="n"/>
      <c r="AY32" s="291" t="n"/>
      <c r="AZ32" s="864" t="n"/>
      <c r="BA32" s="291" t="n"/>
      <c r="BB32" s="291" t="n"/>
      <c r="BC32" s="291" t="n"/>
      <c r="BD32" s="291" t="n"/>
      <c r="BE32" s="864" t="n"/>
      <c r="BF32" s="291" t="n"/>
      <c r="BG32" s="291" t="n"/>
      <c r="BH32" s="291" t="n"/>
      <c r="BI32" s="291" t="n"/>
      <c r="BJ32" s="864" t="n"/>
      <c r="BK32" s="291" t="n"/>
      <c r="BL32" s="291" t="n"/>
      <c r="BM32" s="291" t="n"/>
      <c r="BN32" s="291" t="n"/>
      <c r="BO32" s="864" t="n"/>
      <c r="BP32" s="291" t="n"/>
      <c r="BQ32" s="291" t="n"/>
      <c r="BR32" s="291" t="n"/>
      <c r="BS32" s="291" t="n"/>
      <c r="BT32" s="864" t="n"/>
      <c r="BU32" s="291" t="n"/>
      <c r="BV32" s="291" t="n"/>
      <c r="BW32" s="291" t="n"/>
      <c r="BX32" s="291" t="n"/>
      <c r="BY32" s="864" t="n"/>
      <c r="BZ32" s="291" t="n"/>
      <c r="CA32" s="291" t="n"/>
      <c r="CB32" s="291" t="n"/>
      <c r="CC32" s="291" t="n"/>
      <c r="CD32" s="864" t="n"/>
      <c r="CE32" s="291" t="n"/>
      <c r="CF32" s="291" t="n"/>
      <c r="CG32" s="291" t="n"/>
      <c r="CH32" s="291" t="n"/>
      <c r="CI32" s="749" t="n"/>
      <c r="CJ32" s="749" t="n"/>
      <c r="CK32" s="749" t="n"/>
      <c r="CL32" s="749" t="n"/>
      <c r="CM32" s="749" t="n"/>
      <c r="CN32" s="291" t="n"/>
      <c r="CO32" s="291" t="n"/>
      <c r="CP32" s="291" t="n"/>
      <c r="CQ32" s="693" t="n"/>
    </row>
    <row r="33" hidden="1" outlineLevel="1" ht="16.5" customHeight="1">
      <c r="B33" s="223" t="inlineStr">
        <is>
          <t>Logistics</t>
        </is>
      </c>
      <c r="C33" s="224" t="n"/>
      <c r="D33" s="224" t="n"/>
      <c r="E33" s="224" t="n"/>
      <c r="F33" s="224" t="n"/>
      <c r="G33" s="867" t="n"/>
      <c r="H33" s="224" t="n"/>
      <c r="I33" s="224" t="n"/>
      <c r="J33" s="224" t="n"/>
      <c r="K33" s="224" t="n"/>
      <c r="L33" s="867" t="n"/>
      <c r="M33" s="224" t="n"/>
      <c r="N33" s="224" t="n"/>
      <c r="O33" s="224" t="n"/>
      <c r="P33" s="224" t="n"/>
      <c r="Q33" s="867" t="n"/>
      <c r="R33" s="224" t="n"/>
      <c r="S33" s="224" t="n"/>
      <c r="T33" s="224" t="n"/>
      <c r="U33" s="224" t="n"/>
      <c r="V33" s="867" t="n"/>
      <c r="W33" s="224" t="n"/>
      <c r="X33" s="224" t="n"/>
      <c r="Y33" s="224" t="n"/>
      <c r="Z33" s="224" t="n"/>
      <c r="AA33" s="867" t="n"/>
      <c r="AB33" s="224" t="n"/>
      <c r="AC33" s="224" t="n"/>
      <c r="AD33" s="224" t="n"/>
      <c r="AE33" s="224" t="n"/>
      <c r="AF33" s="867" t="n"/>
      <c r="AG33" s="224" t="n"/>
      <c r="AH33" s="224" t="n"/>
      <c r="AI33" s="224" t="n"/>
      <c r="AJ33" s="224" t="n"/>
      <c r="AK33" s="867" t="n"/>
      <c r="AL33" s="224" t="n"/>
      <c r="AM33" s="224" t="n"/>
      <c r="AN33" s="224" t="n"/>
      <c r="AO33" s="224" t="n"/>
      <c r="AP33" s="867" t="n"/>
      <c r="AQ33" s="224" t="n"/>
      <c r="AR33" s="224" t="n"/>
      <c r="AS33" s="224" t="n"/>
      <c r="AT33" s="224" t="n"/>
      <c r="AU33" s="867" t="n"/>
      <c r="AV33" s="224" t="n"/>
      <c r="AW33" s="224" t="n"/>
      <c r="AX33" s="224" t="n"/>
      <c r="AY33" s="224" t="n"/>
      <c r="AZ33" s="867" t="n"/>
      <c r="BA33" s="224" t="n"/>
      <c r="BB33" s="224" t="n"/>
      <c r="BC33" s="224" t="n"/>
      <c r="BD33" s="224" t="n"/>
      <c r="BE33" s="867" t="n"/>
      <c r="BF33" s="224" t="n"/>
      <c r="BG33" s="224" t="n"/>
      <c r="BH33" s="224" t="n"/>
      <c r="BI33" s="224" t="n"/>
      <c r="BJ33" s="867" t="n"/>
      <c r="BK33" s="224" t="n"/>
      <c r="BL33" s="224" t="n"/>
      <c r="BM33" s="224" t="n"/>
      <c r="BN33" s="224" t="n"/>
      <c r="BO33" s="867" t="n"/>
      <c r="BP33" s="224" t="n"/>
      <c r="BQ33" s="224" t="n"/>
      <c r="BR33" s="224" t="n"/>
      <c r="BS33" s="224" t="n"/>
      <c r="BT33" s="867" t="n"/>
      <c r="BU33" s="224" t="n"/>
      <c r="BV33" s="224" t="n"/>
      <c r="BW33" s="224" t="n"/>
      <c r="BX33" s="224" t="n"/>
      <c r="BY33" s="867" t="n"/>
      <c r="BZ33" s="224" t="n"/>
      <c r="CA33" s="224" t="n"/>
      <c r="CB33" s="224" t="n"/>
      <c r="CC33" s="224" t="n"/>
      <c r="CD33" s="867" t="n"/>
      <c r="CE33" s="224" t="n"/>
      <c r="CF33" s="224" t="n"/>
      <c r="CG33" s="224" t="n"/>
      <c r="CH33" s="224" t="n"/>
      <c r="CI33" s="224" t="n"/>
      <c r="CJ33" s="224" t="n"/>
      <c r="CK33" s="224" t="n"/>
      <c r="CL33" s="224" t="n"/>
      <c r="CM33" s="224" t="n"/>
      <c r="CN33" s="224" t="n"/>
      <c r="CO33" s="224" t="n"/>
      <c r="CP33" s="224" t="n"/>
      <c r="CQ33" s="693" t="n"/>
    </row>
    <row r="34" hidden="1" outlineLevel="1" ht="16.5" customHeight="1">
      <c r="B34" t="inlineStr">
        <is>
          <t xml:space="preserve">  Net sales</t>
        </is>
      </c>
      <c r="C34" s="743" t="n"/>
      <c r="D34" s="743" t="n"/>
      <c r="E34" s="743" t="n"/>
      <c r="F34" s="743" t="n"/>
      <c r="G34" s="868" t="n"/>
      <c r="H34" s="743" t="n"/>
      <c r="I34" s="743" t="n"/>
      <c r="J34" s="743" t="n"/>
      <c r="K34" s="743" t="n"/>
      <c r="L34" s="868" t="n"/>
      <c r="M34" s="743" t="n"/>
      <c r="N34" s="743" t="n"/>
      <c r="O34" s="743" t="n"/>
      <c r="P34" s="743" t="n"/>
      <c r="Q34" s="868" t="n"/>
      <c r="R34" s="743" t="n"/>
      <c r="S34" s="743" t="n"/>
      <c r="T34" s="743" t="n"/>
      <c r="U34" s="743" t="n"/>
      <c r="V34" s="868" t="n"/>
      <c r="W34" s="743" t="n"/>
      <c r="X34" s="743" t="n"/>
      <c r="Y34" s="743" t="n"/>
      <c r="Z34" s="743" t="n"/>
      <c r="AA34" s="868" t="n"/>
      <c r="AB34" s="743" t="n"/>
      <c r="AC34" s="743" t="n"/>
      <c r="AD34" s="743" t="n"/>
      <c r="AE34" s="743" t="n"/>
      <c r="AF34" s="868" t="n"/>
      <c r="AG34" s="743" t="n"/>
      <c r="AH34" s="743" t="n"/>
      <c r="AI34" s="743" t="n"/>
      <c r="AJ34" s="743" t="n"/>
      <c r="AK34" s="868" t="n"/>
      <c r="AL34" s="743" t="n"/>
      <c r="AM34" s="291" t="n"/>
      <c r="AN34" s="291" t="n"/>
      <c r="AO34" s="291" t="n"/>
      <c r="AP34" s="868" t="n"/>
      <c r="AQ34" s="291" t="n"/>
      <c r="AR34" s="291" t="n"/>
      <c r="AS34" s="291" t="n"/>
      <c r="AT34" s="291" t="n"/>
      <c r="AU34" s="868" t="n"/>
      <c r="AV34" s="291" t="n"/>
      <c r="AW34" s="291" t="n"/>
      <c r="AX34" s="291" t="n"/>
      <c r="AY34" s="291" t="n"/>
      <c r="AZ34" s="868" t="n">
        <v>774.833</v>
      </c>
      <c r="BA34" s="291" t="n"/>
      <c r="BB34" s="291" t="n"/>
      <c r="BC34" s="291" t="n">
        <v>209.974</v>
      </c>
      <c r="BD34" s="291" t="n"/>
      <c r="BE34" s="868" t="n">
        <v>945.13</v>
      </c>
      <c r="BF34" s="743" t="n"/>
      <c r="BG34" s="743" t="n">
        <v>406.902</v>
      </c>
      <c r="BH34" s="743" t="n">
        <v>408.071</v>
      </c>
      <c r="BI34" s="743" t="n"/>
      <c r="BJ34" s="868" t="n">
        <v>1662.072</v>
      </c>
      <c r="BK34" s="291" t="n">
        <v>435.378</v>
      </c>
      <c r="BL34" s="291" t="n">
        <v>453.701</v>
      </c>
      <c r="BM34" s="291" t="n">
        <v>424.075</v>
      </c>
      <c r="BN34" s="291" t="n"/>
      <c r="BO34" s="864" t="n">
        <v>1763.28</v>
      </c>
      <c r="BP34" s="291" t="n">
        <v>355.251</v>
      </c>
      <c r="BQ34" s="291" t="n">
        <v>361.767</v>
      </c>
      <c r="BR34" s="291" t="n">
        <v>416.222</v>
      </c>
      <c r="BS34" s="291" t="n"/>
      <c r="BT34" s="864" t="n">
        <v>1697.016</v>
      </c>
      <c r="BU34" s="291" t="n">
        <v>441.905</v>
      </c>
      <c r="BV34" s="291" t="n"/>
      <c r="BW34" s="291" t="n"/>
      <c r="BX34" s="291" t="n"/>
      <c r="BY34" s="864" t="n"/>
      <c r="BZ34" s="291" t="n"/>
      <c r="CA34" s="291" t="n"/>
      <c r="CB34" s="291" t="n"/>
      <c r="CC34" s="291" t="n"/>
      <c r="CD34" s="864" t="n"/>
      <c r="CE34" s="291" t="n"/>
      <c r="CF34" s="291" t="n"/>
      <c r="CG34" s="291" t="n"/>
      <c r="CH34" s="291" t="n"/>
      <c r="CI34" s="749" t="n"/>
      <c r="CJ34" s="749" t="n"/>
      <c r="CK34" s="749" t="n"/>
      <c r="CL34" s="749" t="n"/>
      <c r="CM34" s="749" t="n"/>
      <c r="CN34" s="291" t="n"/>
      <c r="CO34" s="291" t="n"/>
      <c r="CP34" s="291" t="n"/>
      <c r="CQ34" s="693" t="n"/>
    </row>
    <row r="35" hidden="1" outlineLevel="1" ht="16.5" customHeight="1">
      <c r="B35" t="inlineStr">
        <is>
          <t xml:space="preserve">  Operating profit</t>
        </is>
      </c>
      <c r="C35" s="743" t="n"/>
      <c r="D35" s="743" t="n"/>
      <c r="E35" s="743" t="n"/>
      <c r="F35" s="743" t="n"/>
      <c r="G35" s="868" t="n"/>
      <c r="H35" s="743" t="n"/>
      <c r="I35" s="743" t="n"/>
      <c r="J35" s="743" t="n"/>
      <c r="K35" s="743" t="n"/>
      <c r="L35" s="868" t="n"/>
      <c r="M35" s="743" t="n"/>
      <c r="N35" s="743" t="n"/>
      <c r="O35" s="743" t="n"/>
      <c r="P35" s="743" t="n"/>
      <c r="Q35" s="868" t="n"/>
      <c r="R35" s="743" t="n"/>
      <c r="S35" s="743" t="n"/>
      <c r="T35" s="743" t="n"/>
      <c r="U35" s="743" t="n"/>
      <c r="V35" s="868" t="n"/>
      <c r="W35" s="743" t="n"/>
      <c r="X35" s="743" t="n"/>
      <c r="Y35" s="743" t="n"/>
      <c r="Z35" s="743" t="n"/>
      <c r="AA35" s="868" t="n"/>
      <c r="AB35" s="743" t="n"/>
      <c r="AC35" s="743" t="n"/>
      <c r="AD35" s="743" t="n"/>
      <c r="AE35" s="743" t="n"/>
      <c r="AF35" s="868" t="n"/>
      <c r="AG35" s="743" t="n"/>
      <c r="AH35" s="743" t="n"/>
      <c r="AI35" s="743" t="n"/>
      <c r="AJ35" s="743" t="n"/>
      <c r="AK35" s="868" t="n"/>
      <c r="AL35" s="743" t="n"/>
      <c r="AM35" s="291" t="n"/>
      <c r="AN35" s="291" t="n"/>
      <c r="AO35" s="291" t="n"/>
      <c r="AP35" s="868" t="n"/>
      <c r="AQ35" s="291" t="n"/>
      <c r="AR35" s="291" t="n"/>
      <c r="AS35" s="291" t="n"/>
      <c r="AT35" s="291" t="n"/>
      <c r="AU35" s="868" t="n"/>
      <c r="AV35" s="291" t="n"/>
      <c r="AW35" s="291" t="n"/>
      <c r="AX35" s="291" t="n"/>
      <c r="AY35" s="291" t="n"/>
      <c r="AZ35" s="868" t="n">
        <v>57.447</v>
      </c>
      <c r="BA35" s="291" t="n"/>
      <c r="BB35" s="291" t="n"/>
      <c r="BC35" s="291" t="n">
        <v>22.435</v>
      </c>
      <c r="BD35" s="291" t="n"/>
      <c r="BE35" s="868" t="n">
        <v>84.459</v>
      </c>
      <c r="BF35" s="743" t="n"/>
      <c r="BG35" s="743" t="n">
        <v>47.566</v>
      </c>
      <c r="BH35" s="743" t="n">
        <v>45.299</v>
      </c>
      <c r="BI35" s="743" t="n"/>
      <c r="BJ35" s="868" t="n">
        <v>142.794</v>
      </c>
      <c r="BK35" s="291" t="n">
        <v>34.882</v>
      </c>
      <c r="BL35" s="291" t="n">
        <v>42.368</v>
      </c>
      <c r="BM35" s="291" t="n">
        <v>28.992</v>
      </c>
      <c r="BN35" s="291" t="n"/>
      <c r="BO35" s="864" t="n">
        <v>140.446</v>
      </c>
      <c r="BP35" s="291" t="n">
        <v>31.71</v>
      </c>
      <c r="BQ35" s="291" t="n">
        <v>32.893</v>
      </c>
      <c r="BR35" s="291" t="n">
        <v>40.855</v>
      </c>
      <c r="BS35" s="291" t="n"/>
      <c r="BT35" s="864" t="n">
        <v>160.112</v>
      </c>
      <c r="BU35" s="291" t="n">
        <v>40.182</v>
      </c>
      <c r="BV35" s="291" t="n"/>
      <c r="BW35" s="291" t="n"/>
      <c r="BX35" s="291" t="n"/>
      <c r="BY35" s="864" t="n"/>
      <c r="BZ35" s="291" t="n"/>
      <c r="CA35" s="291" t="n"/>
      <c r="CB35" s="291" t="n"/>
      <c r="CC35" s="291" t="n"/>
      <c r="CD35" s="864" t="n"/>
      <c r="CE35" s="291" t="n"/>
      <c r="CF35" s="291" t="n"/>
      <c r="CG35" s="291" t="n"/>
      <c r="CH35" s="291" t="n"/>
      <c r="CI35" s="749" t="n"/>
      <c r="CJ35" s="749" t="n"/>
      <c r="CK35" s="749" t="n"/>
      <c r="CL35" s="749" t="n"/>
      <c r="CM35" s="749" t="n"/>
      <c r="CN35" s="291" t="n"/>
      <c r="CO35" s="291" t="n"/>
      <c r="CP35" s="291" t="n"/>
      <c r="CQ35" s="693" t="n"/>
    </row>
    <row r="36" hidden="1" outlineLevel="1" ht="16.5" customHeight="1">
      <c r="B36" s="12" t="inlineStr">
        <is>
          <t xml:space="preserve">  Operating margin %</t>
        </is>
      </c>
      <c r="C36" s="974" t="n"/>
      <c r="D36" s="974" t="n"/>
      <c r="E36" s="974" t="n"/>
      <c r="F36" s="974" t="n"/>
      <c r="G36" s="975" t="n"/>
      <c r="H36" s="974" t="n"/>
      <c r="I36" s="974" t="n"/>
      <c r="J36" s="974" t="n"/>
      <c r="K36" s="974" t="n"/>
      <c r="L36" s="975">
        <f>L34/G34-1</f>
        <v/>
      </c>
      <c r="M36" s="974" t="n"/>
      <c r="N36" s="974" t="n"/>
      <c r="O36" s="974" t="n"/>
      <c r="P36" s="974" t="n"/>
      <c r="Q36" s="975">
        <f>Q34/L34-1</f>
        <v/>
      </c>
      <c r="R36" s="974" t="n"/>
      <c r="S36" s="974" t="n"/>
      <c r="T36" s="974" t="n"/>
      <c r="U36" s="974" t="n"/>
      <c r="V36" s="975">
        <f>V34/Q34-1</f>
        <v/>
      </c>
      <c r="W36" s="974" t="n"/>
      <c r="X36" s="974" t="n"/>
      <c r="Y36" s="974" t="n"/>
      <c r="Z36" s="974" t="n"/>
      <c r="AA36" s="975">
        <f>AA34/V34-1</f>
        <v/>
      </c>
      <c r="AB36" s="974" t="n"/>
      <c r="AC36" s="974" t="n"/>
      <c r="AD36" s="974" t="n"/>
      <c r="AE36" s="974" t="n"/>
      <c r="AF36" s="975">
        <f>AF34/AA34-1</f>
        <v/>
      </c>
      <c r="AG36" s="974" t="n"/>
      <c r="AH36" s="974" t="n"/>
      <c r="AI36" s="974" t="n"/>
      <c r="AJ36" s="974" t="n"/>
      <c r="AK36" s="975">
        <f>AK34/AF34-1</f>
        <v/>
      </c>
      <c r="AL36" s="974" t="n"/>
      <c r="AM36" s="974" t="n"/>
      <c r="AN36" s="974" t="n"/>
      <c r="AO36" s="974" t="n"/>
      <c r="AP36" s="975">
        <f>AP34/AK34-1</f>
        <v/>
      </c>
      <c r="AQ36" s="974" t="n"/>
      <c r="AR36" s="974" t="n"/>
      <c r="AS36" s="974" t="n"/>
      <c r="AT36" s="974" t="n"/>
      <c r="AU36" s="975" t="n"/>
      <c r="AV36" s="974" t="n"/>
      <c r="AW36" s="974" t="n"/>
      <c r="AX36" s="974" t="n"/>
      <c r="AY36" s="974" t="n"/>
      <c r="AZ36" s="975" t="n"/>
      <c r="BA36" s="974" t="n"/>
      <c r="BB36" s="974" t="n"/>
      <c r="BC36" s="974" t="n"/>
      <c r="BD36" s="974" t="n"/>
      <c r="BE36" s="975">
        <f>BE35/BE34</f>
        <v/>
      </c>
      <c r="BF36" s="974" t="n"/>
      <c r="BG36" s="974" t="n"/>
      <c r="BH36" s="974" t="n"/>
      <c r="BI36" s="974" t="n"/>
      <c r="BJ36" s="975">
        <f>BJ35/BJ34</f>
        <v/>
      </c>
      <c r="BK36" s="974" t="n"/>
      <c r="BL36" s="974" t="n"/>
      <c r="BM36" s="974" t="n"/>
      <c r="BN36" s="974" t="n"/>
      <c r="BO36" s="975">
        <f>BO35/BO34</f>
        <v/>
      </c>
      <c r="BP36" s="974" t="n"/>
      <c r="BQ36" s="974" t="n"/>
      <c r="BR36" s="974" t="n"/>
      <c r="BS36" s="974" t="n"/>
      <c r="BT36" s="975">
        <f>BT35/BT34</f>
        <v/>
      </c>
      <c r="BU36" s="974" t="n"/>
      <c r="BV36" s="974" t="n"/>
      <c r="BW36" s="974" t="n"/>
      <c r="BX36" s="974" t="n"/>
      <c r="BY36" s="975" t="n"/>
      <c r="BZ36" s="974" t="n"/>
      <c r="CA36" s="974" t="n"/>
      <c r="CB36" s="974" t="n"/>
      <c r="CC36" s="974" t="n"/>
      <c r="CD36" s="975" t="n"/>
      <c r="CE36" s="974" t="n"/>
      <c r="CF36" s="974" t="n"/>
      <c r="CG36" s="974" t="n"/>
      <c r="CH36" s="974" t="n"/>
      <c r="CI36" s="976" t="n"/>
      <c r="CJ36" s="976" t="n"/>
      <c r="CK36" s="976" t="n"/>
      <c r="CL36" s="976" t="n"/>
      <c r="CM36" s="976" t="n"/>
      <c r="CN36" s="974" t="n"/>
      <c r="CO36" s="974" t="n"/>
      <c r="CP36" s="974" t="n"/>
      <c r="CQ36" s="693" t="n"/>
    </row>
    <row r="37" hidden="1" outlineLevel="1" ht="16.5" customHeight="1">
      <c r="C37" s="291" t="n"/>
      <c r="D37" s="291" t="n"/>
      <c r="E37" s="291" t="n"/>
      <c r="F37" s="291" t="n"/>
      <c r="G37" s="864">
        <f>G35/G34</f>
        <v/>
      </c>
      <c r="H37" s="291" t="n"/>
      <c r="I37" s="291" t="n"/>
      <c r="J37" s="291" t="n"/>
      <c r="K37" s="291" t="n"/>
      <c r="L37" s="864">
        <f>L35/L34</f>
        <v/>
      </c>
      <c r="M37" s="291" t="n"/>
      <c r="N37" s="291" t="n"/>
      <c r="O37" s="291" t="n"/>
      <c r="P37" s="291" t="n"/>
      <c r="Q37" s="864">
        <f>Q35/Q34</f>
        <v/>
      </c>
      <c r="R37" s="291" t="n"/>
      <c r="S37" s="291" t="n"/>
      <c r="T37" s="291" t="n"/>
      <c r="U37" s="291" t="n"/>
      <c r="V37" s="864">
        <f>V35/V34</f>
        <v/>
      </c>
      <c r="W37" s="291" t="n"/>
      <c r="X37" s="291" t="n"/>
      <c r="Y37" s="291" t="n"/>
      <c r="Z37" s="291" t="n"/>
      <c r="AA37" s="864">
        <f>AA35/AA34</f>
        <v/>
      </c>
      <c r="AB37" s="291" t="n"/>
      <c r="AC37" s="291" t="n"/>
      <c r="AD37" s="291" t="n"/>
      <c r="AE37" s="291" t="n"/>
      <c r="AF37" s="864">
        <f>AF35/AF34</f>
        <v/>
      </c>
      <c r="AG37" s="291" t="n"/>
      <c r="AH37" s="291" t="n"/>
      <c r="AI37" s="291" t="n"/>
      <c r="AJ37" s="291" t="n"/>
      <c r="AK37" s="864">
        <f>AK35/AK34</f>
        <v/>
      </c>
      <c r="AL37" s="291" t="n"/>
      <c r="AM37" s="291" t="n"/>
      <c r="AN37" s="291" t="n"/>
      <c r="AO37" s="291" t="n"/>
      <c r="AP37" s="864">
        <f>AP35/AP34</f>
        <v/>
      </c>
      <c r="AQ37" s="291" t="n"/>
      <c r="AR37" s="291" t="n"/>
      <c r="AS37" s="291" t="n"/>
      <c r="AT37" s="291" t="n"/>
      <c r="AU37" s="864">
        <f>AU35/AU34</f>
        <v/>
      </c>
      <c r="AV37" s="291" t="n"/>
      <c r="AW37" s="291" t="n"/>
      <c r="AX37" s="291" t="n"/>
      <c r="AY37" s="291" t="n"/>
      <c r="AZ37" s="864">
        <f>AZ35/AZ34</f>
        <v/>
      </c>
      <c r="BA37" s="291" t="n"/>
      <c r="BB37" s="291" t="n"/>
      <c r="BC37" s="291" t="n"/>
      <c r="BD37" s="291" t="n"/>
      <c r="BE37" s="864">
        <f>BE35/BE34</f>
        <v/>
      </c>
      <c r="BF37" s="291">
        <f>BF35/BF34</f>
        <v/>
      </c>
      <c r="BG37" s="291">
        <f>BG35/BG34</f>
        <v/>
      </c>
      <c r="BH37" s="291">
        <f>BH35/BH34</f>
        <v/>
      </c>
      <c r="BI37" s="291">
        <f>BI35/BI34</f>
        <v/>
      </c>
      <c r="BJ37" s="864">
        <f>BJ35/BJ34</f>
        <v/>
      </c>
      <c r="BK37" s="291" t="n"/>
      <c r="BL37" s="291" t="n"/>
      <c r="BM37" s="291" t="n"/>
      <c r="BN37" s="291" t="n"/>
      <c r="BO37" s="864" t="n"/>
      <c r="BP37" s="291" t="n"/>
      <c r="BQ37" s="291" t="n"/>
      <c r="BR37" s="291" t="n"/>
      <c r="BS37" s="291" t="n"/>
      <c r="BT37" s="864" t="n"/>
      <c r="BU37" s="291" t="n"/>
      <c r="BV37" s="291" t="n"/>
      <c r="BW37" s="291" t="n"/>
      <c r="BX37" s="291" t="n"/>
      <c r="BY37" s="864" t="n"/>
      <c r="BZ37" s="291" t="n"/>
      <c r="CA37" s="291" t="n"/>
      <c r="CB37" s="291" t="n"/>
      <c r="CC37" s="291" t="n"/>
      <c r="CD37" s="864" t="n"/>
      <c r="CE37" s="291" t="n"/>
      <c r="CF37" s="291" t="n"/>
      <c r="CG37" s="291" t="n"/>
      <c r="CH37" s="291" t="n"/>
      <c r="CI37" s="749" t="n"/>
      <c r="CJ37" s="749" t="n"/>
      <c r="CK37" s="749" t="n"/>
      <c r="CL37" s="749" t="n"/>
      <c r="CM37" s="749" t="n"/>
      <c r="CN37" s="291" t="n"/>
      <c r="CO37" s="291" t="n"/>
      <c r="CP37" s="291" t="n"/>
      <c r="CQ37" s="693" t="n"/>
    </row>
    <row r="38" hidden="1" outlineLevel="1" ht="16.5" customHeight="1">
      <c r="B38" s="223" t="inlineStr">
        <is>
          <t>[Legacy Segment 5]</t>
        </is>
      </c>
      <c r="C38" s="224" t="n"/>
      <c r="D38" s="224" t="n"/>
      <c r="E38" s="224" t="n"/>
      <c r="F38" s="224" t="n"/>
      <c r="G38" s="867" t="n"/>
      <c r="H38" s="224" t="n"/>
      <c r="I38" s="224" t="n"/>
      <c r="J38" s="224" t="n"/>
      <c r="K38" s="224" t="n"/>
      <c r="L38" s="867" t="n"/>
      <c r="M38" s="224" t="n"/>
      <c r="N38" s="224" t="n"/>
      <c r="O38" s="224" t="n"/>
      <c r="P38" s="224" t="n"/>
      <c r="Q38" s="867" t="n"/>
      <c r="R38" s="224" t="n"/>
      <c r="S38" s="224" t="n"/>
      <c r="T38" s="224" t="n"/>
      <c r="U38" s="224" t="n"/>
      <c r="V38" s="867" t="n"/>
      <c r="W38" s="224" t="n"/>
      <c r="X38" s="224" t="n"/>
      <c r="Y38" s="224" t="n"/>
      <c r="Z38" s="224" t="n"/>
      <c r="AA38" s="867" t="n"/>
      <c r="AB38" s="224" t="n"/>
      <c r="AC38" s="224" t="n"/>
      <c r="AD38" s="224" t="n"/>
      <c r="AE38" s="224" t="n"/>
      <c r="AF38" s="867" t="n"/>
      <c r="AG38" s="224" t="n"/>
      <c r="AH38" s="224" t="n"/>
      <c r="AI38" s="224" t="n"/>
      <c r="AJ38" s="224" t="n"/>
      <c r="AK38" s="867" t="n"/>
      <c r="AL38" s="224" t="n"/>
      <c r="AM38" s="224" t="n"/>
      <c r="AN38" s="224" t="n"/>
      <c r="AO38" s="224" t="n"/>
      <c r="AP38" s="867" t="n"/>
      <c r="AQ38" s="224" t="n"/>
      <c r="AR38" s="224" t="n"/>
      <c r="AS38" s="224" t="n"/>
      <c r="AT38" s="224" t="n"/>
      <c r="AU38" s="867" t="n"/>
      <c r="AV38" s="224" t="n"/>
      <c r="AW38" s="224" t="n"/>
      <c r="AX38" s="224" t="n"/>
      <c r="AY38" s="224" t="n"/>
      <c r="AZ38" s="867" t="n"/>
      <c r="BA38" s="224" t="n"/>
      <c r="BB38" s="224" t="n"/>
      <c r="BC38" s="224" t="n"/>
      <c r="BD38" s="224" t="n"/>
      <c r="BE38" s="867" t="n"/>
      <c r="BF38" s="224" t="n"/>
      <c r="BG38" s="224" t="n"/>
      <c r="BH38" s="224" t="n"/>
      <c r="BI38" s="224" t="n"/>
      <c r="BJ38" s="867" t="n"/>
      <c r="BK38" s="224" t="n"/>
      <c r="BL38" s="224" t="n"/>
      <c r="BM38" s="224" t="n"/>
      <c r="BN38" s="224" t="n"/>
      <c r="BO38" s="867" t="n"/>
      <c r="BP38" s="224" t="n"/>
      <c r="BQ38" s="224" t="n"/>
      <c r="BR38" s="224" t="n"/>
      <c r="BS38" s="224" t="n"/>
      <c r="BT38" s="867" t="n"/>
      <c r="BU38" s="224" t="n"/>
      <c r="BV38" s="224" t="n"/>
      <c r="BW38" s="224" t="n"/>
      <c r="BX38" s="224" t="n"/>
      <c r="BY38" s="867" t="n"/>
      <c r="BZ38" s="224" t="n"/>
      <c r="CA38" s="224" t="n"/>
      <c r="CB38" s="224" t="n"/>
      <c r="CC38" s="224" t="n"/>
      <c r="CD38" s="867" t="n"/>
      <c r="CE38" s="224" t="n"/>
      <c r="CF38" s="224" t="n"/>
      <c r="CG38" s="224" t="n"/>
      <c r="CH38" s="224" t="n"/>
      <c r="CI38" s="224" t="n"/>
      <c r="CJ38" s="224" t="n"/>
      <c r="CK38" s="224" t="n"/>
      <c r="CL38" s="224" t="n"/>
      <c r="CM38" s="224" t="n"/>
      <c r="CN38" s="224" t="n"/>
      <c r="CO38" s="224" t="n"/>
      <c r="CP38" s="224" t="n"/>
      <c r="CQ38" s="693" t="n"/>
    </row>
    <row r="39" hidden="1" outlineLevel="1" ht="16.5" customHeight="1">
      <c r="B39" t="inlineStr">
        <is>
          <t xml:space="preserve">  Net sales</t>
        </is>
      </c>
      <c r="C39" s="743" t="n"/>
      <c r="D39" s="743" t="n"/>
      <c r="E39" s="743" t="n"/>
      <c r="F39" s="743" t="n"/>
      <c r="G39" s="868" t="n"/>
      <c r="H39" s="743" t="n"/>
      <c r="I39" s="743" t="n"/>
      <c r="J39" s="743" t="n"/>
      <c r="K39" s="743" t="n"/>
      <c r="L39" s="868" t="n"/>
      <c r="M39" s="743" t="n"/>
      <c r="N39" s="743" t="n"/>
      <c r="O39" s="743" t="n"/>
      <c r="P39" s="743" t="n"/>
      <c r="Q39" s="868" t="n"/>
      <c r="R39" s="743" t="n"/>
      <c r="S39" s="743" t="n"/>
      <c r="T39" s="743" t="n"/>
      <c r="U39" s="743" t="n"/>
      <c r="V39" s="868" t="n"/>
      <c r="W39" s="743" t="n"/>
      <c r="X39" s="743" t="n"/>
      <c r="Y39" s="743" t="n"/>
      <c r="Z39" s="743" t="n"/>
      <c r="AA39" s="868" t="n"/>
      <c r="AB39" s="743" t="n"/>
      <c r="AC39" s="743" t="n"/>
      <c r="AD39" s="743" t="n"/>
      <c r="AE39" s="743" t="n"/>
      <c r="AF39" s="868" t="n"/>
      <c r="AG39" s="743" t="n"/>
      <c r="AH39" s="743" t="n"/>
      <c r="AI39" s="743" t="n"/>
      <c r="AJ39" s="743" t="n"/>
      <c r="AK39" s="868" t="n"/>
      <c r="AL39" s="743" t="n"/>
      <c r="AM39" s="291" t="n"/>
      <c r="AN39" s="291" t="n"/>
      <c r="AO39" s="291" t="n"/>
      <c r="AP39" s="868" t="n"/>
      <c r="AQ39" s="291" t="n"/>
      <c r="AR39" s="291" t="n"/>
      <c r="AS39" s="291" t="n"/>
      <c r="AT39" s="291" t="n"/>
      <c r="AU39" s="868" t="n"/>
      <c r="AV39" s="291" t="n"/>
      <c r="AW39" s="291" t="n"/>
      <c r="AX39" s="291" t="n"/>
      <c r="AY39" s="291" t="n"/>
      <c r="AZ39" s="868" t="n"/>
      <c r="BA39" s="291" t="n"/>
      <c r="BB39" s="291" t="n"/>
      <c r="BC39" s="291" t="n"/>
      <c r="BD39" s="291" t="n"/>
      <c r="BE39" s="868" t="n"/>
      <c r="BF39" s="743" t="n"/>
      <c r="BG39" s="743" t="n"/>
      <c r="BH39" s="743" t="n"/>
      <c r="BI39" s="743" t="n"/>
      <c r="BJ39" s="868" t="n"/>
      <c r="BK39" s="291" t="n"/>
      <c r="BL39" s="291" t="n"/>
      <c r="BM39" s="291" t="n"/>
      <c r="BN39" s="291" t="n"/>
      <c r="BO39" s="864" t="n"/>
      <c r="BP39" s="291" t="n"/>
      <c r="BQ39" s="291" t="n"/>
      <c r="BR39" s="291" t="n"/>
      <c r="BS39" s="291" t="n"/>
      <c r="BT39" s="864" t="n"/>
      <c r="BU39" s="291" t="n"/>
      <c r="BV39" s="291" t="n"/>
      <c r="BW39" s="291" t="n"/>
      <c r="BX39" s="291" t="n"/>
      <c r="BY39" s="864" t="n"/>
      <c r="BZ39" s="291" t="n"/>
      <c r="CA39" s="291" t="n"/>
      <c r="CB39" s="291" t="n"/>
      <c r="CC39" s="291" t="n"/>
      <c r="CD39" s="864" t="n"/>
      <c r="CE39" s="291" t="n"/>
      <c r="CF39" s="291" t="n"/>
      <c r="CG39" s="291" t="n"/>
      <c r="CH39" s="291" t="n"/>
      <c r="CI39" s="749" t="n"/>
      <c r="CJ39" s="749" t="n"/>
      <c r="CK39" s="749" t="n"/>
      <c r="CL39" s="749" t="n"/>
      <c r="CM39" s="749" t="n"/>
      <c r="CN39" s="291" t="n"/>
      <c r="CO39" s="291" t="n"/>
      <c r="CP39" s="291" t="n"/>
      <c r="CQ39" s="693" t="n"/>
    </row>
    <row r="40" hidden="1" outlineLevel="1" ht="16.5" customHeight="1">
      <c r="B40" t="inlineStr">
        <is>
          <t xml:space="preserve">  Operating profit</t>
        </is>
      </c>
      <c r="C40" s="743" t="n"/>
      <c r="D40" s="743" t="n"/>
      <c r="E40" s="743" t="n"/>
      <c r="F40" s="743" t="n"/>
      <c r="G40" s="868" t="n"/>
      <c r="H40" s="743" t="n"/>
      <c r="I40" s="743" t="n"/>
      <c r="J40" s="743" t="n"/>
      <c r="K40" s="743" t="n"/>
      <c r="L40" s="868" t="n"/>
      <c r="M40" s="743" t="n"/>
      <c r="N40" s="743" t="n"/>
      <c r="O40" s="743" t="n"/>
      <c r="P40" s="743" t="n"/>
      <c r="Q40" s="868" t="n"/>
      <c r="R40" s="743" t="n"/>
      <c r="S40" s="743" t="n"/>
      <c r="T40" s="743" t="n"/>
      <c r="U40" s="743" t="n"/>
      <c r="V40" s="868" t="n"/>
      <c r="W40" s="743" t="n"/>
      <c r="X40" s="743" t="n"/>
      <c r="Y40" s="743" t="n"/>
      <c r="Z40" s="743" t="n"/>
      <c r="AA40" s="868" t="n"/>
      <c r="AB40" s="743" t="n"/>
      <c r="AC40" s="743" t="n"/>
      <c r="AD40" s="743" t="n"/>
      <c r="AE40" s="743" t="n"/>
      <c r="AF40" s="868" t="n"/>
      <c r="AG40" s="743" t="n"/>
      <c r="AH40" s="743" t="n"/>
      <c r="AI40" s="743" t="n"/>
      <c r="AJ40" s="743" t="n"/>
      <c r="AK40" s="868" t="n"/>
      <c r="AL40" s="743" t="n"/>
      <c r="AM40" s="291" t="n"/>
      <c r="AN40" s="291" t="n"/>
      <c r="AO40" s="291" t="n"/>
      <c r="AP40" s="868" t="n"/>
      <c r="AQ40" s="291" t="n"/>
      <c r="AR40" s="291" t="n"/>
      <c r="AS40" s="291" t="n"/>
      <c r="AT40" s="291" t="n"/>
      <c r="AU40" s="868" t="n"/>
      <c r="AV40" s="291" t="n"/>
      <c r="AW40" s="291" t="n"/>
      <c r="AX40" s="291" t="n"/>
      <c r="AY40" s="291" t="n"/>
      <c r="AZ40" s="868" t="n"/>
      <c r="BA40" s="291" t="n"/>
      <c r="BB40" s="291" t="n"/>
      <c r="BC40" s="291" t="n"/>
      <c r="BD40" s="291" t="n"/>
      <c r="BE40" s="868" t="n"/>
      <c r="BF40" s="743" t="n"/>
      <c r="BG40" s="743" t="n"/>
      <c r="BH40" s="743" t="n"/>
      <c r="BI40" s="743" t="n"/>
      <c r="BJ40" s="868" t="n"/>
      <c r="BK40" s="291" t="n"/>
      <c r="BL40" s="291" t="n"/>
      <c r="BM40" s="291" t="n"/>
      <c r="BN40" s="291" t="n"/>
      <c r="BO40" s="864" t="n"/>
      <c r="BP40" s="291" t="n"/>
      <c r="BQ40" s="291" t="n"/>
      <c r="BR40" s="291" t="n"/>
      <c r="BS40" s="291" t="n"/>
      <c r="BT40" s="864" t="n"/>
      <c r="BU40" s="291" t="n"/>
      <c r="BV40" s="291" t="n"/>
      <c r="BW40" s="291" t="n"/>
      <c r="BX40" s="291" t="n"/>
      <c r="BY40" s="864" t="n"/>
      <c r="BZ40" s="291" t="n"/>
      <c r="CA40" s="291" t="n"/>
      <c r="CB40" s="291" t="n"/>
      <c r="CC40" s="291" t="n"/>
      <c r="CD40" s="864" t="n"/>
      <c r="CE40" s="291" t="n"/>
      <c r="CF40" s="291" t="n"/>
      <c r="CG40" s="291" t="n"/>
      <c r="CH40" s="291" t="n"/>
      <c r="CI40" s="749" t="n"/>
      <c r="CJ40" s="749" t="n"/>
      <c r="CK40" s="749" t="n"/>
      <c r="CL40" s="749" t="n"/>
      <c r="CM40" s="749" t="n"/>
      <c r="CN40" s="291" t="n"/>
      <c r="CO40" s="291" t="n"/>
      <c r="CP40" s="291" t="n"/>
      <c r="CQ40" s="693" t="n"/>
    </row>
    <row r="41" hidden="1" outlineLevel="1" ht="16.5" customHeight="1">
      <c r="B41" s="12" t="inlineStr">
        <is>
          <t xml:space="preserve">  Operating margin %</t>
        </is>
      </c>
      <c r="C41" s="974" t="n"/>
      <c r="D41" s="974" t="n"/>
      <c r="E41" s="974" t="n"/>
      <c r="F41" s="974" t="n"/>
      <c r="G41" s="975">
        <f>G40/G39</f>
        <v/>
      </c>
      <c r="H41" s="974" t="n"/>
      <c r="I41" s="974" t="n"/>
      <c r="J41" s="974" t="n"/>
      <c r="K41" s="974" t="n"/>
      <c r="L41" s="975">
        <f>L40/L39</f>
        <v/>
      </c>
      <c r="M41" s="974" t="n"/>
      <c r="N41" s="974" t="n"/>
      <c r="O41" s="974" t="n"/>
      <c r="P41" s="974" t="n"/>
      <c r="Q41" s="975">
        <f>Q40/Q39</f>
        <v/>
      </c>
      <c r="R41" s="974" t="n"/>
      <c r="S41" s="974" t="n"/>
      <c r="T41" s="974" t="n"/>
      <c r="U41" s="974" t="n"/>
      <c r="V41" s="975">
        <f>V40/V39</f>
        <v/>
      </c>
      <c r="W41" s="974" t="n"/>
      <c r="X41" s="974" t="n"/>
      <c r="Y41" s="974" t="n"/>
      <c r="Z41" s="974" t="n"/>
      <c r="AA41" s="975">
        <f>AA40/AA39</f>
        <v/>
      </c>
      <c r="AB41" s="974" t="n"/>
      <c r="AC41" s="974" t="n"/>
      <c r="AD41" s="974" t="n"/>
      <c r="AE41" s="974" t="n"/>
      <c r="AF41" s="975">
        <f>AF40/AF39</f>
        <v/>
      </c>
      <c r="AG41" s="974" t="n"/>
      <c r="AH41" s="974" t="n"/>
      <c r="AI41" s="974" t="n"/>
      <c r="AJ41" s="974" t="n"/>
      <c r="AK41" s="975">
        <f>AK40/AK39</f>
        <v/>
      </c>
      <c r="AL41" s="974" t="n"/>
      <c r="AM41" s="974" t="n"/>
      <c r="AN41" s="974" t="n"/>
      <c r="AO41" s="974" t="n"/>
      <c r="AP41" s="975">
        <f>AP40/AP39</f>
        <v/>
      </c>
      <c r="AQ41" s="974" t="n"/>
      <c r="AR41" s="974" t="n"/>
      <c r="AS41" s="974" t="n"/>
      <c r="AT41" s="974" t="n"/>
      <c r="AU41" s="975">
        <f>AU40/AU39</f>
        <v/>
      </c>
      <c r="AV41" s="974" t="n"/>
      <c r="AW41" s="974" t="n"/>
      <c r="AX41" s="974" t="n"/>
      <c r="AY41" s="974" t="n"/>
      <c r="AZ41" s="975">
        <f>AZ40/AZ39</f>
        <v/>
      </c>
      <c r="BA41" s="974" t="n"/>
      <c r="BB41" s="974" t="n"/>
      <c r="BC41" s="974" t="n"/>
      <c r="BD41" s="974" t="n"/>
      <c r="BE41" s="975">
        <f>BE40/BE39</f>
        <v/>
      </c>
      <c r="BF41" s="974">
        <f>BF40/BF39</f>
        <v/>
      </c>
      <c r="BG41" s="974">
        <f>BG40/BG39</f>
        <v/>
      </c>
      <c r="BH41" s="974">
        <f>BH40/BH39</f>
        <v/>
      </c>
      <c r="BI41" s="974">
        <f>BI40/BI39</f>
        <v/>
      </c>
      <c r="BJ41" s="975">
        <f>BJ40/BJ39</f>
        <v/>
      </c>
      <c r="BK41" s="974" t="n"/>
      <c r="BL41" s="974" t="n"/>
      <c r="BM41" s="974" t="n"/>
      <c r="BN41" s="974" t="n"/>
      <c r="BO41" s="975" t="n"/>
      <c r="BP41" s="974" t="n"/>
      <c r="BQ41" s="974" t="n"/>
      <c r="BR41" s="974" t="n"/>
      <c r="BS41" s="974" t="n"/>
      <c r="BT41" s="975" t="n"/>
      <c r="BU41" s="974" t="n"/>
      <c r="BV41" s="974" t="n"/>
      <c r="BW41" s="974" t="n"/>
      <c r="BX41" s="974" t="n"/>
      <c r="BY41" s="975" t="n"/>
      <c r="BZ41" s="974" t="n"/>
      <c r="CA41" s="974" t="n"/>
      <c r="CB41" s="974" t="n"/>
      <c r="CC41" s="974" t="n"/>
      <c r="CD41" s="975" t="n"/>
      <c r="CE41" s="974" t="n"/>
      <c r="CF41" s="974" t="n"/>
      <c r="CG41" s="974" t="n"/>
      <c r="CH41" s="974" t="n"/>
      <c r="CI41" s="976" t="n"/>
      <c r="CJ41" s="976" t="n"/>
      <c r="CK41" s="976" t="n"/>
      <c r="CL41" s="976" t="n"/>
      <c r="CM41" s="976" t="n"/>
      <c r="CN41" s="974" t="n"/>
      <c r="CO41" s="974" t="n"/>
      <c r="CP41" s="974" t="n"/>
      <c r="CQ41" s="693" t="n"/>
    </row>
    <row r="42" hidden="1" outlineLevel="1" ht="16.5" customHeight="1">
      <c r="C42" s="291" t="n"/>
      <c r="D42" s="291" t="n"/>
      <c r="E42" s="291" t="n"/>
      <c r="F42" s="291" t="n"/>
      <c r="G42" s="864" t="n"/>
      <c r="H42" s="291" t="n"/>
      <c r="I42" s="291" t="n"/>
      <c r="J42" s="291" t="n"/>
      <c r="K42" s="291" t="n"/>
      <c r="L42" s="864" t="n"/>
      <c r="M42" s="291" t="n"/>
      <c r="N42" s="291" t="n"/>
      <c r="O42" s="291" t="n"/>
      <c r="P42" s="291" t="n"/>
      <c r="Q42" s="864" t="n"/>
      <c r="R42" s="291" t="n"/>
      <c r="S42" s="291" t="n"/>
      <c r="T42" s="291" t="n"/>
      <c r="U42" s="291" t="n"/>
      <c r="V42" s="864" t="n"/>
      <c r="W42" s="291" t="n"/>
      <c r="X42" s="291" t="n"/>
      <c r="Y42" s="291" t="n"/>
      <c r="Z42" s="291" t="n"/>
      <c r="AA42" s="864" t="n"/>
      <c r="AB42" s="291" t="n"/>
      <c r="AC42" s="291" t="n"/>
      <c r="AD42" s="291" t="n"/>
      <c r="AE42" s="291" t="n"/>
      <c r="AF42" s="864" t="n"/>
      <c r="AG42" s="291" t="n"/>
      <c r="AH42" s="291" t="n"/>
      <c r="AI42" s="291" t="n"/>
      <c r="AJ42" s="291" t="n"/>
      <c r="AK42" s="864" t="n"/>
      <c r="AL42" s="291" t="n"/>
      <c r="AM42" s="291" t="n"/>
      <c r="AN42" s="291" t="n"/>
      <c r="AO42" s="291" t="n"/>
      <c r="AP42" s="864" t="n"/>
      <c r="AQ42" s="291" t="n"/>
      <c r="AR42" s="291" t="n"/>
      <c r="AS42" s="291" t="n"/>
      <c r="AT42" s="291" t="n"/>
      <c r="AU42" s="864" t="n"/>
      <c r="AV42" s="291" t="n"/>
      <c r="AW42" s="291" t="n"/>
      <c r="AX42" s="291" t="n"/>
      <c r="AY42" s="291" t="n"/>
      <c r="AZ42" s="864" t="n"/>
      <c r="BA42" s="291" t="n"/>
      <c r="BB42" s="291" t="n"/>
      <c r="BC42" s="291" t="n"/>
      <c r="BD42" s="291" t="n"/>
      <c r="BE42" s="864" t="n"/>
      <c r="BF42" s="291" t="n"/>
      <c r="BG42" s="291" t="n"/>
      <c r="BH42" s="291" t="n"/>
      <c r="BI42" s="291" t="n"/>
      <c r="BJ42" s="864" t="n"/>
      <c r="BK42" s="291" t="n"/>
      <c r="BL42" s="291" t="n"/>
      <c r="BM42" s="291" t="n"/>
      <c r="BN42" s="291" t="n"/>
      <c r="BO42" s="864" t="n"/>
      <c r="BP42" s="291" t="n"/>
      <c r="BQ42" s="291" t="n"/>
      <c r="BR42" s="291" t="n"/>
      <c r="BS42" s="291" t="n"/>
      <c r="BT42" s="864" t="n"/>
      <c r="BU42" s="291" t="n"/>
      <c r="BV42" s="291" t="n"/>
      <c r="BW42" s="291" t="n"/>
      <c r="BX42" s="291" t="n"/>
      <c r="BY42" s="864" t="n"/>
      <c r="BZ42" s="291" t="n"/>
      <c r="CA42" s="291" t="n"/>
      <c r="CB42" s="291" t="n"/>
      <c r="CC42" s="291" t="n"/>
      <c r="CD42" s="864" t="n"/>
      <c r="CE42" s="291" t="n"/>
      <c r="CF42" s="291" t="n"/>
      <c r="CG42" s="291" t="n"/>
      <c r="CH42" s="291" t="n"/>
      <c r="CI42" s="749" t="n"/>
      <c r="CJ42" s="749" t="n"/>
      <c r="CK42" s="749" t="n"/>
      <c r="CL42" s="749" t="n"/>
      <c r="CM42" s="749" t="n"/>
      <c r="CN42" s="291" t="n"/>
      <c r="CO42" s="291" t="n"/>
      <c r="CP42" s="291" t="n"/>
      <c r="CQ42" s="693" t="n"/>
    </row>
    <row r="43" hidden="1" outlineLevel="1" ht="16.5" customHeight="1">
      <c r="B43" s="223" t="inlineStr">
        <is>
          <t>Legacy Group Total (consolidated, FY10–FY21)</t>
        </is>
      </c>
      <c r="C43" s="224" t="n"/>
      <c r="D43" s="224" t="n"/>
      <c r="E43" s="224" t="n"/>
      <c r="F43" s="224" t="n"/>
      <c r="G43" s="867" t="n"/>
      <c r="H43" s="224" t="n"/>
      <c r="I43" s="224" t="n"/>
      <c r="J43" s="224" t="n"/>
      <c r="K43" s="224" t="n"/>
      <c r="L43" s="867" t="n"/>
      <c r="M43" s="224" t="n"/>
      <c r="N43" s="224" t="n"/>
      <c r="O43" s="224" t="n"/>
      <c r="P43" s="224" t="n"/>
      <c r="Q43" s="867" t="n"/>
      <c r="R43" s="224" t="n"/>
      <c r="S43" s="224" t="n"/>
      <c r="T43" s="224" t="n"/>
      <c r="U43" s="224" t="n"/>
      <c r="V43" s="867" t="n"/>
      <c r="W43" s="224" t="n"/>
      <c r="X43" s="224" t="n"/>
      <c r="Y43" s="224" t="n"/>
      <c r="Z43" s="224" t="n"/>
      <c r="AA43" s="867" t="n"/>
      <c r="AB43" s="224" t="n"/>
      <c r="AC43" s="224" t="n"/>
      <c r="AD43" s="224" t="n"/>
      <c r="AE43" s="224" t="n"/>
      <c r="AF43" s="867" t="n"/>
      <c r="AG43" s="224" t="n"/>
      <c r="AH43" s="224" t="n"/>
      <c r="AI43" s="224" t="n"/>
      <c r="AJ43" s="224" t="n"/>
      <c r="AK43" s="867" t="n"/>
      <c r="AL43" s="224" t="n"/>
      <c r="AM43" s="224" t="n"/>
      <c r="AN43" s="224" t="n"/>
      <c r="AO43" s="224" t="n"/>
      <c r="AP43" s="867" t="n"/>
      <c r="AQ43" s="224" t="n"/>
      <c r="AR43" s="224" t="n"/>
      <c r="AS43" s="224" t="n"/>
      <c r="AT43" s="224" t="n"/>
      <c r="AU43" s="867" t="n"/>
      <c r="AV43" s="224" t="n"/>
      <c r="AW43" s="224" t="n"/>
      <c r="AX43" s="224" t="n"/>
      <c r="AY43" s="224" t="n"/>
      <c r="AZ43" s="867" t="n"/>
      <c r="BA43" s="224" t="n"/>
      <c r="BB43" s="224" t="n"/>
      <c r="BC43" s="224" t="n"/>
      <c r="BD43" s="224" t="n"/>
      <c r="BE43" s="867" t="n"/>
      <c r="BF43" s="224" t="n"/>
      <c r="BG43" s="224" t="n"/>
      <c r="BH43" s="224" t="n"/>
      <c r="BI43" s="224" t="n"/>
      <c r="BJ43" s="867" t="n"/>
      <c r="BK43" s="224" t="n"/>
      <c r="BL43" s="224" t="n"/>
      <c r="BM43" s="224" t="n"/>
      <c r="BN43" s="224" t="n"/>
      <c r="BO43" s="867" t="n"/>
      <c r="BP43" s="224" t="n"/>
      <c r="BQ43" s="224" t="n"/>
      <c r="BR43" s="224" t="n"/>
      <c r="BS43" s="224" t="n"/>
      <c r="BT43" s="867" t="n"/>
      <c r="BU43" s="224" t="n"/>
      <c r="BV43" s="224" t="n"/>
      <c r="BW43" s="224" t="n"/>
      <c r="BX43" s="224" t="n"/>
      <c r="BY43" s="867" t="n"/>
      <c r="BZ43" s="224" t="n"/>
      <c r="CA43" s="224" t="n"/>
      <c r="CB43" s="224" t="n"/>
      <c r="CC43" s="224" t="n"/>
      <c r="CD43" s="867" t="n"/>
      <c r="CE43" s="224" t="n"/>
      <c r="CF43" s="224" t="n"/>
      <c r="CG43" s="224" t="n"/>
      <c r="CH43" s="224" t="n"/>
      <c r="CI43" s="224" t="n"/>
      <c r="CJ43" s="224" t="n"/>
      <c r="CK43" s="224" t="n"/>
      <c r="CL43" s="224" t="n"/>
      <c r="CM43" s="224" t="n"/>
      <c r="CN43" s="224" t="n"/>
      <c r="CO43" s="224" t="n"/>
      <c r="CP43" s="224" t="n"/>
      <c r="CQ43" s="693" t="n"/>
    </row>
    <row r="44" hidden="1" outlineLevel="1" ht="16.5" customHeight="1">
      <c r="B44" t="inlineStr">
        <is>
          <t xml:space="preserve">  Net sales</t>
        </is>
      </c>
      <c r="C44" s="678" t="n"/>
      <c r="D44" s="678" t="n"/>
      <c r="E44" s="678" t="n"/>
      <c r="F44" s="678" t="n"/>
      <c r="G44" s="870">
        <f>G12+G20+G27+G34+G39</f>
        <v/>
      </c>
      <c r="H44" s="678" t="n"/>
      <c r="I44" s="678" t="n"/>
      <c r="J44" s="678" t="n"/>
      <c r="K44" s="678" t="n"/>
      <c r="L44" s="870">
        <f>L12+L20+L27+L34+L39</f>
        <v/>
      </c>
      <c r="M44" s="678" t="n"/>
      <c r="N44" s="678" t="n"/>
      <c r="O44" s="678" t="n"/>
      <c r="P44" s="678" t="n"/>
      <c r="Q44" s="870">
        <f>Q12+Q20+Q27+Q34+Q39</f>
        <v/>
      </c>
      <c r="R44" s="678" t="n"/>
      <c r="S44" s="678" t="n"/>
      <c r="T44" s="678" t="n"/>
      <c r="U44" s="678" t="n"/>
      <c r="V44" s="870">
        <f>V12+V20+V27+V34+V39</f>
        <v/>
      </c>
      <c r="W44" s="678" t="n"/>
      <c r="X44" s="678" t="n"/>
      <c r="Y44" s="678" t="n"/>
      <c r="Z44" s="678" t="n"/>
      <c r="AA44" s="870">
        <f>AA12+AA20+AA27+AA34+AA39</f>
        <v/>
      </c>
      <c r="AB44" s="678" t="n"/>
      <c r="AC44" s="678" t="n"/>
      <c r="AD44" s="678" t="n"/>
      <c r="AE44" s="678" t="n"/>
      <c r="AF44" s="870">
        <f>AF12+AF20+AF27+AF34+AF39</f>
        <v/>
      </c>
      <c r="AG44" s="678" t="n"/>
      <c r="AH44" s="678" t="n"/>
      <c r="AI44" s="678" t="n"/>
      <c r="AJ44" s="678" t="n"/>
      <c r="AK44" s="870">
        <f>AK12+AK20+AK27+AK34</f>
        <v/>
      </c>
      <c r="AL44" s="678" t="n"/>
      <c r="AM44" s="678" t="n"/>
      <c r="AN44" s="678" t="n"/>
      <c r="AO44" s="678" t="n"/>
      <c r="AP44" s="870">
        <f>AP12+AP20+AP27+AP34</f>
        <v/>
      </c>
      <c r="AQ44" s="678" t="n"/>
      <c r="AR44" s="678" t="n"/>
      <c r="AS44" s="678" t="n"/>
      <c r="AT44" s="678" t="n"/>
      <c r="AU44" s="870">
        <f>AU12+AU20+AU27</f>
        <v/>
      </c>
      <c r="AV44" s="678" t="n"/>
      <c r="AW44" s="678" t="n"/>
      <c r="AX44" s="678" t="n"/>
      <c r="AY44" s="678" t="n"/>
      <c r="AZ44" s="870">
        <f>AZ12+AZ20+AZ27</f>
        <v/>
      </c>
      <c r="BA44" s="678" t="n"/>
      <c r="BB44" s="678" t="n"/>
      <c r="BC44" s="678" t="n"/>
      <c r="BD44" s="678" t="n"/>
      <c r="BE44" s="870">
        <f>BE12+BE20+BE27+BE34</f>
        <v/>
      </c>
      <c r="BF44" s="678">
        <f>BF12+BF20+BF27</f>
        <v/>
      </c>
      <c r="BG44" s="678">
        <f>BG12+BG20+BG27</f>
        <v/>
      </c>
      <c r="BH44" s="678">
        <f>BH12+BH20+BH27</f>
        <v/>
      </c>
      <c r="BI44" s="678" t="n"/>
      <c r="BJ44" s="870">
        <f>BJ12+BJ20+BJ27+BJ34</f>
        <v/>
      </c>
      <c r="BK44" s="678">
        <f>BK12+BK20+BK27</f>
        <v/>
      </c>
      <c r="BL44" s="678">
        <f>BL12+BL20+BL27</f>
        <v/>
      </c>
      <c r="BM44" s="678">
        <f>BM12+BM20+BM27</f>
        <v/>
      </c>
      <c r="BN44" s="678" t="n"/>
      <c r="BO44" s="870">
        <f>BO12+BO20+BO27+BO34</f>
        <v/>
      </c>
      <c r="BP44" s="678">
        <f>BP12+BP20+BP27</f>
        <v/>
      </c>
      <c r="BQ44" s="678">
        <f>BQ12+BQ20+BQ27</f>
        <v/>
      </c>
      <c r="BR44" s="678">
        <f>BR12+BR20+BR27</f>
        <v/>
      </c>
      <c r="BS44" s="678" t="n"/>
      <c r="BT44" s="870">
        <f>BT12+BT20+BT27+BT34</f>
        <v/>
      </c>
      <c r="BU44" s="678" t="n"/>
      <c r="BV44" s="678" t="n"/>
      <c r="BW44" s="678" t="n"/>
      <c r="BX44" s="678" t="n"/>
      <c r="BY44" s="870" t="n"/>
      <c r="BZ44" s="678" t="n"/>
      <c r="CA44" s="678" t="n"/>
      <c r="CB44" s="678" t="n"/>
      <c r="CC44" s="678" t="n"/>
      <c r="CD44" s="870" t="n"/>
      <c r="CE44" s="678" t="n"/>
      <c r="CF44" s="678" t="n"/>
      <c r="CG44" s="678" t="n"/>
      <c r="CH44" s="678" t="n"/>
      <c r="CI44" s="752" t="n"/>
      <c r="CJ44" s="752" t="n"/>
      <c r="CK44" s="752" t="n"/>
      <c r="CL44" s="752" t="n"/>
      <c r="CM44" s="752" t="n"/>
      <c r="CN44" s="678" t="n"/>
      <c r="CO44" s="678" t="n"/>
      <c r="CP44" s="678" t="n"/>
      <c r="CQ44" s="693" t="n"/>
    </row>
    <row r="45" hidden="1" outlineLevel="1" ht="16.5" customHeight="1">
      <c r="B45" s="3" t="inlineStr">
        <is>
          <t xml:space="preserve">  Operating profit</t>
        </is>
      </c>
      <c r="C45" s="274" t="n"/>
      <c r="D45" s="274" t="n"/>
      <c r="E45" s="274" t="n"/>
      <c r="F45" s="274" t="n"/>
      <c r="G45" s="871">
        <f>G13+G21+G28+G35+G40</f>
        <v/>
      </c>
      <c r="H45" s="274" t="n"/>
      <c r="I45" s="274" t="n"/>
      <c r="J45" s="274" t="n"/>
      <c r="K45" s="274" t="n"/>
      <c r="L45" s="871">
        <f>L13+L21+L28+L35+L40</f>
        <v/>
      </c>
      <c r="M45" s="274" t="n"/>
      <c r="N45" s="274" t="n"/>
      <c r="O45" s="274" t="n"/>
      <c r="P45" s="274" t="n"/>
      <c r="Q45" s="871">
        <f>Q13+Q21+Q28+Q35+Q40</f>
        <v/>
      </c>
      <c r="R45" s="274" t="n"/>
      <c r="S45" s="274" t="n"/>
      <c r="T45" s="274" t="n"/>
      <c r="U45" s="274" t="n"/>
      <c r="V45" s="871">
        <f>V13+V21+V28+V35+V40</f>
        <v/>
      </c>
      <c r="W45" s="274" t="n"/>
      <c r="X45" s="274" t="n"/>
      <c r="Y45" s="274" t="n"/>
      <c r="Z45" s="274" t="n"/>
      <c r="AA45" s="871">
        <f>AA13+AA21+AA28+AA35+AA40</f>
        <v/>
      </c>
      <c r="AB45" s="274" t="n"/>
      <c r="AC45" s="274" t="n"/>
      <c r="AD45" s="274" t="n"/>
      <c r="AE45" s="274" t="n"/>
      <c r="AF45" s="871">
        <f>AF13+AF21+AF28+AF35+AF40</f>
        <v/>
      </c>
      <c r="AG45" s="274" t="n"/>
      <c r="AH45" s="274" t="n"/>
      <c r="AI45" s="274" t="n"/>
      <c r="AJ45" s="274" t="n"/>
      <c r="AK45" s="871">
        <f>AK13+AK21+AK28+AK35</f>
        <v/>
      </c>
      <c r="AL45" s="274" t="n"/>
      <c r="AM45" s="274" t="n"/>
      <c r="AN45" s="274" t="n"/>
      <c r="AO45" s="274" t="n"/>
      <c r="AP45" s="871">
        <f>AP13+AP21+AP28+AP35</f>
        <v/>
      </c>
      <c r="AQ45" s="274" t="n"/>
      <c r="AR45" s="274" t="n"/>
      <c r="AS45" s="274" t="n"/>
      <c r="AT45" s="274" t="n"/>
      <c r="AU45" s="871">
        <f>AU13+AU21+AU28</f>
        <v/>
      </c>
      <c r="AV45" s="274" t="n"/>
      <c r="AW45" s="274" t="n"/>
      <c r="AX45" s="274" t="n"/>
      <c r="AY45" s="274" t="n"/>
      <c r="AZ45" s="871">
        <f>AZ13+AZ21+AZ28</f>
        <v/>
      </c>
      <c r="BA45" s="274" t="n"/>
      <c r="BB45" s="274" t="n"/>
      <c r="BC45" s="274" t="n"/>
      <c r="BD45" s="274" t="n"/>
      <c r="BE45" s="871">
        <f>BE13+BE21+BE28+BE35</f>
        <v/>
      </c>
      <c r="BF45" s="274">
        <f>BF13+BF21+BF28</f>
        <v/>
      </c>
      <c r="BG45" s="274">
        <f>BG13+BG21+BG28</f>
        <v/>
      </c>
      <c r="BH45" s="274">
        <f>BH13+BH21+BH28</f>
        <v/>
      </c>
      <c r="BI45" s="274" t="n"/>
      <c r="BJ45" s="871">
        <f>BJ13+BJ21+BJ28+BJ35</f>
        <v/>
      </c>
      <c r="BK45" s="274">
        <f>BK13+BK21+BK28</f>
        <v/>
      </c>
      <c r="BL45" s="274">
        <f>BL13+BL21+BL28</f>
        <v/>
      </c>
      <c r="BM45" s="274">
        <f>BM13+BM21+BM28</f>
        <v/>
      </c>
      <c r="BN45" s="274" t="n"/>
      <c r="BO45" s="871">
        <f>BO13+BO21+BO28+BO35</f>
        <v/>
      </c>
      <c r="BP45" s="274">
        <f>BP13+BP21+BP28</f>
        <v/>
      </c>
      <c r="BQ45" s="274">
        <f>BQ13+BQ21+BQ28</f>
        <v/>
      </c>
      <c r="BR45" s="274">
        <f>BR13+BR21+BR28</f>
        <v/>
      </c>
      <c r="BS45" s="274" t="n"/>
      <c r="BT45" s="871">
        <f>BT13+BT21+BT28+BT35</f>
        <v/>
      </c>
      <c r="BU45" s="274" t="n"/>
      <c r="BV45" s="274" t="n"/>
      <c r="BW45" s="274" t="n"/>
      <c r="BX45" s="274" t="n"/>
      <c r="BY45" s="871" t="n"/>
      <c r="BZ45" s="274" t="n"/>
      <c r="CA45" s="274" t="n"/>
      <c r="CB45" s="274" t="n"/>
      <c r="CC45" s="274" t="n"/>
      <c r="CD45" s="871" t="n"/>
      <c r="CE45" s="274" t="n"/>
      <c r="CF45" s="274" t="n"/>
      <c r="CG45" s="274" t="n"/>
      <c r="CH45" s="274" t="n"/>
      <c r="CI45" s="752" t="n"/>
      <c r="CJ45" s="752" t="n"/>
      <c r="CK45" s="752" t="n"/>
      <c r="CL45" s="752" t="n"/>
      <c r="CM45" s="752" t="n"/>
      <c r="CN45" s="274" t="n"/>
      <c r="CO45" s="274" t="n"/>
      <c r="CP45" s="274" t="n"/>
      <c r="CQ45" s="693" t="n"/>
    </row>
    <row r="46" hidden="1" outlineLevel="1" ht="16.5" customHeight="1">
      <c r="B46" s="12" t="inlineStr">
        <is>
          <t xml:space="preserve">  Sales y/y %</t>
        </is>
      </c>
      <c r="C46" s="974" t="n"/>
      <c r="D46" s="974" t="n"/>
      <c r="E46" s="974" t="n"/>
      <c r="F46" s="974" t="n"/>
      <c r="G46" s="975" t="n"/>
      <c r="H46" s="974" t="n"/>
      <c r="I46" s="974" t="n"/>
      <c r="J46" s="974" t="n"/>
      <c r="K46" s="974" t="n"/>
      <c r="L46" s="975">
        <f>L44/G44-1</f>
        <v/>
      </c>
      <c r="M46" s="974" t="n"/>
      <c r="N46" s="974" t="n"/>
      <c r="O46" s="974" t="n"/>
      <c r="P46" s="974" t="n"/>
      <c r="Q46" s="975">
        <f>Q44/L44-1</f>
        <v/>
      </c>
      <c r="R46" s="974" t="n"/>
      <c r="S46" s="974" t="n"/>
      <c r="T46" s="974" t="n"/>
      <c r="U46" s="974" t="n"/>
      <c r="V46" s="975">
        <f>V44/Q44-1</f>
        <v/>
      </c>
      <c r="W46" s="974" t="n"/>
      <c r="X46" s="974" t="n"/>
      <c r="Y46" s="974" t="n"/>
      <c r="Z46" s="974" t="n"/>
      <c r="AA46" s="975">
        <f>AA44/V44-1</f>
        <v/>
      </c>
      <c r="AB46" s="974" t="n"/>
      <c r="AC46" s="974" t="n"/>
      <c r="AD46" s="974" t="n"/>
      <c r="AE46" s="974" t="n"/>
      <c r="AF46" s="975">
        <f>AF44/AA44-1</f>
        <v/>
      </c>
      <c r="AG46" s="974" t="n"/>
      <c r="AH46" s="974" t="n"/>
      <c r="AI46" s="974" t="n"/>
      <c r="AJ46" s="974" t="n"/>
      <c r="AK46" s="975">
        <f>AK44/AF44-1</f>
        <v/>
      </c>
      <c r="AL46" s="974" t="n"/>
      <c r="AM46" s="974" t="n"/>
      <c r="AN46" s="974" t="n"/>
      <c r="AO46" s="974" t="n"/>
      <c r="AP46" s="975">
        <f>AP44/AK44-1</f>
        <v/>
      </c>
      <c r="AQ46" s="974" t="n"/>
      <c r="AR46" s="974" t="n"/>
      <c r="AS46" s="974" t="n"/>
      <c r="AT46" s="974" t="n"/>
      <c r="AU46" s="975">
        <f>AU44/AP44-1</f>
        <v/>
      </c>
      <c r="AV46" s="974" t="n"/>
      <c r="AW46" s="974" t="n"/>
      <c r="AX46" s="974" t="n"/>
      <c r="AY46" s="974" t="n"/>
      <c r="AZ46" s="975">
        <f>AZ44/AU44-1</f>
        <v/>
      </c>
      <c r="BA46" s="974" t="n"/>
      <c r="BB46" s="974" t="n"/>
      <c r="BC46" s="974" t="n"/>
      <c r="BD46" s="974" t="n"/>
      <c r="BE46" s="975">
        <f>BE44/AZ44-1</f>
        <v/>
      </c>
      <c r="BF46" s="974" t="n"/>
      <c r="BG46" s="974" t="n"/>
      <c r="BH46" s="974" t="n"/>
      <c r="BI46" s="974" t="n"/>
      <c r="BJ46" s="975">
        <f>BJ44/BE44-1</f>
        <v/>
      </c>
      <c r="BK46" s="974">
        <f>BK44/BF44-1</f>
        <v/>
      </c>
      <c r="BL46" s="974">
        <f>BL44/BG44-1</f>
        <v/>
      </c>
      <c r="BM46" s="974">
        <f>BM44/BH44-1</f>
        <v/>
      </c>
      <c r="BN46" s="974" t="n"/>
      <c r="BO46" s="975">
        <f>BO44/BJ44-1</f>
        <v/>
      </c>
      <c r="BP46" s="974">
        <f>BP44/BK44-1</f>
        <v/>
      </c>
      <c r="BQ46" s="974">
        <f>BQ44/BL44-1</f>
        <v/>
      </c>
      <c r="BR46" s="974">
        <f>BR44/BM44-1</f>
        <v/>
      </c>
      <c r="BS46" s="974" t="n"/>
      <c r="BT46" s="975">
        <f>IFERROR(BT44/BO44-1,"")</f>
        <v/>
      </c>
      <c r="BU46" s="974" t="n"/>
      <c r="BV46" s="974" t="n"/>
      <c r="BW46" s="974" t="n"/>
      <c r="BX46" s="974" t="n"/>
      <c r="BY46" s="975" t="n"/>
      <c r="BZ46" s="974" t="n"/>
      <c r="CA46" s="974" t="n"/>
      <c r="CB46" s="974" t="n"/>
      <c r="CC46" s="974" t="n"/>
      <c r="CD46" s="975" t="n"/>
      <c r="CE46" s="974" t="n"/>
      <c r="CF46" s="974" t="n"/>
      <c r="CG46" s="974" t="n"/>
      <c r="CH46" s="974" t="n"/>
      <c r="CI46" s="976" t="n"/>
      <c r="CJ46" s="976" t="n"/>
      <c r="CK46" s="976" t="n"/>
      <c r="CL46" s="976" t="n"/>
      <c r="CM46" s="976" t="n"/>
      <c r="CN46" s="974" t="n"/>
      <c r="CO46" s="974" t="n"/>
      <c r="CP46" s="974" t="n"/>
      <c r="CQ46" s="693" t="n"/>
    </row>
    <row r="47" hidden="1" outlineLevel="1" ht="16.5" customHeight="1">
      <c r="B47" s="12" t="inlineStr">
        <is>
          <t xml:space="preserve">  Operating margin %</t>
        </is>
      </c>
      <c r="C47" s="974" t="n"/>
      <c r="D47" s="974" t="n"/>
      <c r="E47" s="974" t="n"/>
      <c r="F47" s="974" t="n"/>
      <c r="G47" s="975">
        <f>G45/G44</f>
        <v/>
      </c>
      <c r="H47" s="974" t="n"/>
      <c r="I47" s="974" t="n"/>
      <c r="J47" s="974" t="n"/>
      <c r="K47" s="974" t="n"/>
      <c r="L47" s="975">
        <f>L45/L44</f>
        <v/>
      </c>
      <c r="M47" s="974" t="n"/>
      <c r="N47" s="974" t="n"/>
      <c r="O47" s="974" t="n"/>
      <c r="P47" s="974" t="n"/>
      <c r="Q47" s="975">
        <f>Q45/Q44</f>
        <v/>
      </c>
      <c r="R47" s="974" t="n"/>
      <c r="S47" s="974" t="n"/>
      <c r="T47" s="974" t="n"/>
      <c r="U47" s="974" t="n"/>
      <c r="V47" s="975">
        <f>V45/V44</f>
        <v/>
      </c>
      <c r="W47" s="974" t="n"/>
      <c r="X47" s="974" t="n"/>
      <c r="Y47" s="974" t="n"/>
      <c r="Z47" s="974" t="n"/>
      <c r="AA47" s="975">
        <f>AA45/AA44</f>
        <v/>
      </c>
      <c r="AB47" s="974" t="n"/>
      <c r="AC47" s="974" t="n"/>
      <c r="AD47" s="974" t="n"/>
      <c r="AE47" s="974" t="n"/>
      <c r="AF47" s="975">
        <f>AF45/AF44</f>
        <v/>
      </c>
      <c r="AG47" s="974" t="n"/>
      <c r="AH47" s="974" t="n"/>
      <c r="AI47" s="974" t="n"/>
      <c r="AJ47" s="974" t="n"/>
      <c r="AK47" s="975">
        <f>AK45/AK44</f>
        <v/>
      </c>
      <c r="AL47" s="974" t="n"/>
      <c r="AM47" s="974" t="n"/>
      <c r="AN47" s="974" t="n"/>
      <c r="AO47" s="974" t="n"/>
      <c r="AP47" s="975">
        <f>AP45/AP44</f>
        <v/>
      </c>
      <c r="AQ47" s="974" t="n"/>
      <c r="AR47" s="974" t="n"/>
      <c r="AS47" s="974" t="n"/>
      <c r="AT47" s="974" t="n"/>
      <c r="AU47" s="975">
        <f>AU45/AU44</f>
        <v/>
      </c>
      <c r="AV47" s="974" t="n"/>
      <c r="AW47" s="974" t="n"/>
      <c r="AX47" s="974" t="n"/>
      <c r="AY47" s="974" t="n"/>
      <c r="AZ47" s="975">
        <f>AZ45/AZ44</f>
        <v/>
      </c>
      <c r="BA47" s="974" t="n"/>
      <c r="BB47" s="974" t="n"/>
      <c r="BC47" s="974" t="n"/>
      <c r="BD47" s="974" t="n"/>
      <c r="BE47" s="975">
        <f>BE45/BE44</f>
        <v/>
      </c>
      <c r="BF47" s="974">
        <f>BF45/BF44</f>
        <v/>
      </c>
      <c r="BG47" s="974">
        <f>BG45/BG44</f>
        <v/>
      </c>
      <c r="BH47" s="974">
        <f>BH45/BH44</f>
        <v/>
      </c>
      <c r="BI47" s="974" t="n"/>
      <c r="BJ47" s="975">
        <f>BJ45/BJ44</f>
        <v/>
      </c>
      <c r="BK47" s="974">
        <f>BK45/BK44</f>
        <v/>
      </c>
      <c r="BL47" s="974">
        <f>BL45/BL44</f>
        <v/>
      </c>
      <c r="BM47" s="974">
        <f>BM45/BM44</f>
        <v/>
      </c>
      <c r="BN47" s="974" t="n"/>
      <c r="BO47" s="975">
        <f>BO45/BO44</f>
        <v/>
      </c>
      <c r="BP47" s="974">
        <f>BP45/BP44</f>
        <v/>
      </c>
      <c r="BQ47" s="974">
        <f>BQ45/BQ44</f>
        <v/>
      </c>
      <c r="BR47" s="974">
        <f>BR45/BR44</f>
        <v/>
      </c>
      <c r="BS47" s="974" t="n"/>
      <c r="BT47" s="975">
        <f>BT45/BT44</f>
        <v/>
      </c>
      <c r="BU47" s="974" t="n"/>
      <c r="BV47" s="974" t="n"/>
      <c r="BW47" s="974" t="n"/>
      <c r="BX47" s="974" t="n"/>
      <c r="BY47" s="975" t="n"/>
      <c r="BZ47" s="974" t="n"/>
      <c r="CA47" s="974" t="n"/>
      <c r="CB47" s="974" t="n"/>
      <c r="CC47" s="974" t="n"/>
      <c r="CD47" s="975" t="n"/>
      <c r="CE47" s="974" t="n"/>
      <c r="CF47" s="974" t="n"/>
      <c r="CG47" s="974" t="n"/>
      <c r="CH47" s="974" t="n"/>
      <c r="CI47" s="976" t="n"/>
      <c r="CJ47" s="976" t="n"/>
      <c r="CK47" s="976" t="n"/>
      <c r="CL47" s="976" t="n"/>
      <c r="CM47" s="976" t="n"/>
      <c r="CN47" s="974" t="n"/>
      <c r="CO47" s="974" t="n"/>
      <c r="CP47" s="974" t="n"/>
      <c r="CQ47" s="693" t="n"/>
    </row>
    <row r="48" hidden="1" outlineLevel="1" ht="16.5" customHeight="1">
      <c r="C48" s="291" t="n"/>
      <c r="D48" s="291" t="n"/>
      <c r="E48" s="291" t="n"/>
      <c r="F48" s="291" t="n"/>
      <c r="G48" s="864" t="n"/>
      <c r="H48" s="291" t="n"/>
      <c r="I48" s="291" t="n"/>
      <c r="J48" s="291" t="n"/>
      <c r="K48" s="291" t="n"/>
      <c r="L48" s="864" t="n"/>
      <c r="M48" s="291" t="n"/>
      <c r="N48" s="291" t="n"/>
      <c r="O48" s="291" t="n"/>
      <c r="P48" s="291" t="n"/>
      <c r="Q48" s="864" t="n"/>
      <c r="R48" s="291" t="n"/>
      <c r="S48" s="291" t="n"/>
      <c r="T48" s="291" t="n"/>
      <c r="U48" s="291" t="n"/>
      <c r="V48" s="864" t="n"/>
      <c r="W48" s="291" t="n"/>
      <c r="X48" s="291" t="n"/>
      <c r="Y48" s="291" t="n"/>
      <c r="Z48" s="291" t="n"/>
      <c r="AA48" s="864" t="n"/>
      <c r="AB48" s="291" t="n"/>
      <c r="AC48" s="291" t="n"/>
      <c r="AD48" s="291" t="n"/>
      <c r="AE48" s="291" t="n"/>
      <c r="AF48" s="864" t="n"/>
      <c r="AG48" s="291" t="n"/>
      <c r="AH48" s="291" t="n"/>
      <c r="AI48" s="291" t="n"/>
      <c r="AJ48" s="291" t="n"/>
      <c r="AK48" s="864" t="n"/>
      <c r="AL48" s="291" t="n"/>
      <c r="AM48" s="291" t="n"/>
      <c r="AN48" s="291" t="n"/>
      <c r="AO48" s="291" t="n"/>
      <c r="AP48" s="864" t="n"/>
      <c r="AQ48" s="291" t="n"/>
      <c r="AR48" s="291" t="n"/>
      <c r="AS48" s="291" t="n"/>
      <c r="AT48" s="291" t="n"/>
      <c r="AU48" s="864" t="n"/>
      <c r="AV48" s="291" t="n"/>
      <c r="AW48" s="291" t="n"/>
      <c r="AX48" s="291" t="n"/>
      <c r="AY48" s="291" t="n"/>
      <c r="AZ48" s="864" t="n"/>
      <c r="BA48" s="291" t="n"/>
      <c r="BB48" s="291" t="n"/>
      <c r="BC48" s="291" t="n"/>
      <c r="BD48" s="291" t="n"/>
      <c r="BE48" s="864" t="n"/>
      <c r="BF48" s="291" t="n"/>
      <c r="BG48" s="291" t="n"/>
      <c r="BH48" s="291" t="n"/>
      <c r="BI48" s="291" t="n"/>
      <c r="BJ48" s="864" t="n"/>
      <c r="BK48" s="291" t="n"/>
      <c r="BL48" s="291" t="n"/>
      <c r="BM48" s="291" t="n"/>
      <c r="BN48" s="291" t="n"/>
      <c r="BO48" s="864" t="n"/>
      <c r="BP48" s="291" t="n"/>
      <c r="BQ48" s="291" t="n"/>
      <c r="BR48" s="291" t="n"/>
      <c r="BS48" s="291" t="n"/>
      <c r="BT48" s="864" t="n"/>
      <c r="BU48" s="291" t="n"/>
      <c r="BV48" s="291" t="n"/>
      <c r="BW48" s="291" t="n"/>
      <c r="BX48" s="291" t="n"/>
      <c r="BY48" s="864" t="n"/>
      <c r="BZ48" s="291" t="n"/>
      <c r="CA48" s="291" t="n"/>
      <c r="CB48" s="291" t="n"/>
      <c r="CC48" s="291" t="n"/>
      <c r="CD48" s="864" t="n"/>
      <c r="CE48" s="291" t="n"/>
      <c r="CF48" s="291" t="n"/>
      <c r="CG48" s="291" t="n"/>
      <c r="CH48" s="291" t="n"/>
      <c r="CI48" s="749" t="n"/>
      <c r="CJ48" s="749" t="n"/>
      <c r="CK48" s="749" t="n"/>
      <c r="CL48" s="749" t="n"/>
      <c r="CM48" s="749" t="n"/>
      <c r="CN48" s="291" t="n"/>
      <c r="CO48" s="291" t="n"/>
      <c r="CP48" s="291" t="n"/>
      <c r="CQ48" s="693" t="n"/>
    </row>
    <row r="49" hidden="1" outlineLevel="1" ht="16.5" customHeight="1">
      <c r="C49" s="291" t="n"/>
      <c r="D49" s="291" t="n"/>
      <c r="E49" s="291" t="n"/>
      <c r="F49" s="291" t="n"/>
      <c r="G49" s="864" t="n"/>
      <c r="H49" s="291" t="n"/>
      <c r="I49" s="291" t="n"/>
      <c r="J49" s="291" t="n"/>
      <c r="K49" s="291" t="n"/>
      <c r="L49" s="864" t="n"/>
      <c r="M49" s="291" t="n"/>
      <c r="N49" s="291" t="n"/>
      <c r="O49" s="291" t="n"/>
      <c r="P49" s="291" t="n"/>
      <c r="Q49" s="864" t="n"/>
      <c r="R49" s="291" t="n"/>
      <c r="S49" s="291" t="n"/>
      <c r="T49" s="291" t="n"/>
      <c r="U49" s="291" t="n"/>
      <c r="V49" s="864" t="n"/>
      <c r="W49" s="291" t="n"/>
      <c r="X49" s="291" t="n"/>
      <c r="Y49" s="291" t="n"/>
      <c r="Z49" s="291" t="n"/>
      <c r="AA49" s="864" t="n"/>
      <c r="AB49" s="291" t="n"/>
      <c r="AC49" s="291" t="n"/>
      <c r="AD49" s="291" t="n"/>
      <c r="AE49" s="291" t="n"/>
      <c r="AF49" s="864" t="n"/>
      <c r="AG49" s="291" t="n"/>
      <c r="AH49" s="291" t="n"/>
      <c r="AI49" s="291" t="n"/>
      <c r="AJ49" s="291" t="n"/>
      <c r="AK49" s="864" t="n"/>
      <c r="AL49" s="291" t="n"/>
      <c r="AM49" s="291" t="n"/>
      <c r="AN49" s="291" t="n"/>
      <c r="AO49" s="291" t="n"/>
      <c r="AP49" s="864" t="n"/>
      <c r="AQ49" s="291" t="n"/>
      <c r="AR49" s="291" t="n"/>
      <c r="AS49" s="291" t="n"/>
      <c r="AT49" s="291" t="n"/>
      <c r="AU49" s="864" t="n"/>
      <c r="AV49" s="291" t="n"/>
      <c r="AW49" s="291" t="n"/>
      <c r="AX49" s="291" t="n"/>
      <c r="AY49" s="291" t="n"/>
      <c r="AZ49" s="864" t="n"/>
      <c r="BA49" s="291" t="n"/>
      <c r="BB49" s="291" t="n"/>
      <c r="BC49" s="291" t="n"/>
      <c r="BD49" s="291" t="n"/>
      <c r="BE49" s="864" t="n"/>
      <c r="BF49" s="291" t="n"/>
      <c r="BG49" s="291" t="n"/>
      <c r="BH49" s="291" t="n"/>
      <c r="BI49" s="291" t="n"/>
      <c r="BJ49" s="864" t="n"/>
      <c r="BK49" s="291" t="n"/>
      <c r="BL49" s="291" t="n"/>
      <c r="BM49" s="291" t="n"/>
      <c r="BN49" s="291" t="n"/>
      <c r="BO49" s="864" t="n"/>
      <c r="BP49" s="291" t="n"/>
      <c r="BQ49" s="291" t="n"/>
      <c r="BR49" s="291" t="n"/>
      <c r="BS49" s="291" t="n"/>
      <c r="BT49" s="864" t="n"/>
      <c r="BU49" s="291" t="n"/>
      <c r="BV49" s="291" t="n"/>
      <c r="BW49" s="291" t="n"/>
      <c r="BX49" s="291" t="n"/>
      <c r="BY49" s="864" t="n"/>
      <c r="BZ49" s="291" t="n"/>
      <c r="CA49" s="291" t="n"/>
      <c r="CB49" s="291" t="n"/>
      <c r="CC49" s="291" t="n"/>
      <c r="CD49" s="864" t="n"/>
      <c r="CE49" s="291" t="n"/>
      <c r="CF49" s="291" t="n"/>
      <c r="CG49" s="291" t="n"/>
      <c r="CH49" s="291" t="n"/>
      <c r="CI49" s="749" t="n"/>
      <c r="CJ49" s="749" t="n"/>
      <c r="CK49" s="749" t="n"/>
      <c r="CL49" s="749" t="n"/>
      <c r="CM49" s="749" t="n"/>
      <c r="CN49" s="291" t="n"/>
      <c r="CO49" s="291" t="n"/>
      <c r="CP49" s="291" t="n"/>
      <c r="CQ49" s="693" t="n"/>
    </row>
    <row r="50" collapsed="1" ht="16.5" customHeight="1">
      <c r="B50" s="221" t="inlineStr">
        <is>
          <t>SEGMENT P&amp;L — CURRENT STRUCTURE (FY22–present, includes forecast)</t>
        </is>
      </c>
      <c r="C50" s="222" t="n"/>
      <c r="D50" s="222" t="n"/>
      <c r="E50" s="222" t="n"/>
      <c r="F50" s="222" t="n"/>
      <c r="G50" s="865" t="n"/>
      <c r="H50" s="222" t="n"/>
      <c r="I50" s="222" t="n"/>
      <c r="J50" s="222" t="n"/>
      <c r="K50" s="222" t="n"/>
      <c r="L50" s="865" t="n"/>
      <c r="M50" s="222" t="n"/>
      <c r="N50" s="222" t="n"/>
      <c r="O50" s="222" t="n"/>
      <c r="P50" s="222" t="n"/>
      <c r="Q50" s="865" t="n"/>
      <c r="R50" s="222" t="n"/>
      <c r="S50" s="222" t="n"/>
      <c r="T50" s="222" t="n"/>
      <c r="U50" s="222" t="n"/>
      <c r="V50" s="865" t="n"/>
      <c r="W50" s="222" t="n"/>
      <c r="X50" s="222" t="n"/>
      <c r="Y50" s="222" t="n"/>
      <c r="Z50" s="222" t="n"/>
      <c r="AA50" s="865" t="n"/>
      <c r="AB50" s="222" t="n"/>
      <c r="AC50" s="222" t="n"/>
      <c r="AD50" s="222" t="n"/>
      <c r="AE50" s="222" t="n"/>
      <c r="AF50" s="865" t="n"/>
      <c r="AG50" s="222" t="n"/>
      <c r="AH50" s="222" t="n"/>
      <c r="AI50" s="222" t="n"/>
      <c r="AJ50" s="222" t="n"/>
      <c r="AK50" s="865" t="n"/>
      <c r="AL50" s="222" t="n"/>
      <c r="AM50" s="222" t="n"/>
      <c r="AN50" s="222" t="n"/>
      <c r="AO50" s="222" t="n"/>
      <c r="AP50" s="865" t="n"/>
      <c r="AQ50" s="222" t="n"/>
      <c r="AR50" s="222" t="n"/>
      <c r="AS50" s="222" t="n"/>
      <c r="AT50" s="222" t="n"/>
      <c r="AU50" s="865" t="n"/>
      <c r="AV50" s="222" t="n"/>
      <c r="AW50" s="222" t="n"/>
      <c r="AX50" s="222" t="n"/>
      <c r="AY50" s="222" t="n"/>
      <c r="AZ50" s="865" t="n"/>
      <c r="BA50" s="222" t="n"/>
      <c r="BB50" s="222" t="n"/>
      <c r="BC50" s="222" t="n"/>
      <c r="BD50" s="222" t="n"/>
      <c r="BE50" s="865" t="n"/>
      <c r="BF50" s="222" t="n"/>
      <c r="BG50" s="222" t="n"/>
      <c r="BH50" s="222" t="n"/>
      <c r="BI50" s="222" t="n"/>
      <c r="BJ50" s="865" t="n"/>
      <c r="BK50" s="222" t="n"/>
      <c r="BL50" s="222" t="n"/>
      <c r="BM50" s="222" t="n"/>
      <c r="BN50" s="222" t="n"/>
      <c r="BO50" s="865" t="n"/>
      <c r="BP50" s="222" t="n"/>
      <c r="BQ50" s="222" t="n"/>
      <c r="BR50" s="222" t="n"/>
      <c r="BS50" s="222" t="n"/>
      <c r="BT50" s="865" t="n"/>
      <c r="BU50" s="222" t="n"/>
      <c r="BV50" s="222" t="n"/>
      <c r="BW50" s="222" t="n"/>
      <c r="BX50" s="222" t="n"/>
      <c r="BY50" s="865" t="n"/>
      <c r="BZ50" s="222" t="n"/>
      <c r="CA50" s="222" t="n"/>
      <c r="CB50" s="222" t="n"/>
      <c r="CC50" s="222" t="n"/>
      <c r="CD50" s="865" t="n"/>
      <c r="CE50" s="222" t="n"/>
      <c r="CF50" s="222" t="n"/>
      <c r="CG50" s="222" t="n"/>
      <c r="CH50" s="222" t="n"/>
      <c r="CI50" s="222" t="n"/>
      <c r="CJ50" s="222" t="n"/>
      <c r="CK50" s="222" t="n"/>
      <c r="CL50" s="222" t="n"/>
      <c r="CM50" s="222" t="n"/>
      <c r="CN50" s="222" t="n"/>
      <c r="CO50" s="222" t="n"/>
      <c r="CP50" s="222" t="n"/>
      <c r="CQ50" s="694" t="n"/>
    </row>
    <row r="51" ht="16.5" customHeight="1">
      <c r="B51" s="210" t="inlineStr">
        <is>
          <t>Effective Q1 FY22: Aircraft Controls split into Military Aircraft + Commercial Aircraft; Space and Defense renamed; Industrial Systems renamed Industrial. FY21 restated comparatives used where TFI International disclosed them.</t>
        </is>
      </c>
      <c r="C51" s="677" t="n"/>
      <c r="D51" s="677" t="n"/>
      <c r="E51" s="677" t="n"/>
      <c r="F51" s="677" t="n"/>
      <c r="G51" s="866" t="n"/>
      <c r="H51" s="677" t="n"/>
      <c r="I51" s="677" t="n"/>
      <c r="J51" s="677" t="n"/>
      <c r="K51" s="677" t="n"/>
      <c r="L51" s="866" t="n"/>
      <c r="M51" s="677" t="n"/>
      <c r="N51" s="677" t="n"/>
      <c r="O51" s="677" t="n"/>
      <c r="P51" s="677" t="n"/>
      <c r="Q51" s="866" t="n"/>
      <c r="R51" s="677" t="n"/>
      <c r="S51" s="677" t="n"/>
      <c r="T51" s="677" t="n"/>
      <c r="U51" s="677" t="n"/>
      <c r="V51" s="866" t="n"/>
      <c r="W51" s="677" t="n"/>
      <c r="X51" s="677" t="n"/>
      <c r="Y51" s="677" t="n"/>
      <c r="Z51" s="677" t="n"/>
      <c r="AA51" s="866" t="n"/>
      <c r="AB51" s="677" t="n"/>
      <c r="AC51" s="677" t="n"/>
      <c r="AD51" s="677" t="n"/>
      <c r="AE51" s="677" t="n"/>
      <c r="AF51" s="866" t="n"/>
      <c r="AG51" s="677" t="n"/>
      <c r="AH51" s="677" t="n"/>
      <c r="AI51" s="677" t="n"/>
      <c r="AJ51" s="677" t="n"/>
      <c r="AK51" s="866" t="n"/>
      <c r="AL51" s="677" t="n"/>
      <c r="AM51" s="677" t="n"/>
      <c r="AN51" s="677" t="n"/>
      <c r="AO51" s="677" t="n"/>
      <c r="AP51" s="866" t="n"/>
      <c r="AQ51" s="677" t="n"/>
      <c r="AR51" s="677" t="n"/>
      <c r="AS51" s="677" t="n"/>
      <c r="AT51" s="677" t="n"/>
      <c r="AU51" s="866" t="n"/>
      <c r="AV51" s="677" t="n"/>
      <c r="AW51" s="677" t="n"/>
      <c r="AX51" s="677" t="n"/>
      <c r="AY51" s="677" t="n"/>
      <c r="AZ51" s="866" t="n"/>
      <c r="BA51" s="677" t="n"/>
      <c r="BB51" s="677" t="n"/>
      <c r="BC51" s="677" t="n"/>
      <c r="BD51" s="677" t="n"/>
      <c r="BE51" s="866" t="n"/>
      <c r="BF51" s="677" t="n"/>
      <c r="BG51" s="677" t="n"/>
      <c r="BH51" s="677" t="n"/>
      <c r="BI51" s="677" t="n"/>
      <c r="BJ51" s="866" t="n"/>
      <c r="BK51" s="677" t="n"/>
      <c r="BL51" s="677" t="n"/>
      <c r="BM51" s="677" t="n"/>
      <c r="BN51" s="677" t="n"/>
      <c r="BO51" s="866" t="n"/>
      <c r="BP51" s="677" t="n"/>
      <c r="BQ51" s="677" t="n"/>
      <c r="BR51" s="677" t="n"/>
      <c r="BS51" s="677" t="n"/>
      <c r="BT51" s="866" t="n"/>
      <c r="BU51" s="677" t="n"/>
      <c r="BV51" s="677" t="n"/>
      <c r="BW51" s="677" t="n"/>
      <c r="BX51" s="677" t="n"/>
      <c r="BY51" s="866" t="n"/>
      <c r="BZ51" s="677" t="n"/>
      <c r="CA51" s="677" t="n"/>
      <c r="CB51" s="677" t="n"/>
      <c r="CC51" s="677" t="n"/>
      <c r="CD51" s="866" t="n"/>
      <c r="CE51" s="677" t="n"/>
      <c r="CF51" s="677" t="n"/>
      <c r="CG51" s="677" t="n"/>
      <c r="CH51" s="677" t="n"/>
      <c r="CI51" s="750" t="n"/>
      <c r="CJ51" s="750" t="n"/>
      <c r="CK51" s="750" t="n"/>
      <c r="CL51" s="750" t="n"/>
      <c r="CM51" s="750" t="n"/>
      <c r="CN51" s="677" t="n"/>
      <c r="CO51" s="677" t="n"/>
      <c r="CP51" s="677" t="n"/>
      <c r="CQ51" s="693" t="n"/>
    </row>
    <row r="52" ht="16.5" customHeight="1">
      <c r="C52" s="291" t="n"/>
      <c r="D52" s="291" t="n"/>
      <c r="E52" s="291" t="n"/>
      <c r="F52" s="291" t="n"/>
      <c r="G52" s="864" t="n"/>
      <c r="H52" s="291" t="n"/>
      <c r="I52" s="291" t="n"/>
      <c r="J52" s="291" t="n"/>
      <c r="K52" s="291" t="n"/>
      <c r="L52" s="864" t="n"/>
      <c r="M52" s="291" t="n"/>
      <c r="N52" s="291" t="n"/>
      <c r="O52" s="291" t="n"/>
      <c r="P52" s="291" t="n"/>
      <c r="Q52" s="864" t="n"/>
      <c r="R52" s="291" t="n"/>
      <c r="S52" s="291" t="n"/>
      <c r="T52" s="291" t="n"/>
      <c r="U52" s="291" t="n"/>
      <c r="V52" s="864" t="n"/>
      <c r="W52" s="291" t="n"/>
      <c r="X52" s="291" t="n"/>
      <c r="Y52" s="291" t="n"/>
      <c r="Z52" s="291" t="n"/>
      <c r="AA52" s="864" t="n"/>
      <c r="AB52" s="291" t="n"/>
      <c r="AC52" s="291" t="n"/>
      <c r="AD52" s="291" t="n"/>
      <c r="AE52" s="291" t="n"/>
      <c r="AF52" s="864" t="n"/>
      <c r="AG52" s="291" t="n"/>
      <c r="AH52" s="291" t="n"/>
      <c r="AI52" s="291" t="n"/>
      <c r="AJ52" s="291" t="n"/>
      <c r="AK52" s="864" t="n"/>
      <c r="AL52" s="291" t="n"/>
      <c r="AM52" s="291" t="n"/>
      <c r="AN52" s="291" t="n"/>
      <c r="AO52" s="291" t="n"/>
      <c r="AP52" s="864" t="n"/>
      <c r="AQ52" s="291" t="n"/>
      <c r="AR52" s="291" t="n"/>
      <c r="AS52" s="291" t="n"/>
      <c r="AT52" s="291" t="n"/>
      <c r="AU52" s="864" t="n"/>
      <c r="AV52" s="291" t="n"/>
      <c r="AW52" s="291" t="n"/>
      <c r="AX52" s="291" t="n"/>
      <c r="AY52" s="291" t="n"/>
      <c r="AZ52" s="864" t="n"/>
      <c r="BA52" s="291" t="n"/>
      <c r="BB52" s="291" t="n"/>
      <c r="BC52" s="291" t="n"/>
      <c r="BD52" s="291" t="n"/>
      <c r="BE52" s="864" t="n"/>
      <c r="BF52" s="291" t="n"/>
      <c r="BG52" s="291" t="n"/>
      <c r="BH52" s="291" t="n"/>
      <c r="BI52" s="291" t="n"/>
      <c r="BJ52" s="864" t="n"/>
      <c r="BK52" s="291" t="n"/>
      <c r="BL52" s="291" t="n"/>
      <c r="BM52" s="291" t="n"/>
      <c r="BN52" s="291" t="n"/>
      <c r="BO52" s="864" t="n"/>
      <c r="BP52" s="291" t="n"/>
      <c r="BQ52" s="291" t="n"/>
      <c r="BR52" s="291" t="n"/>
      <c r="BS52" s="291" t="n"/>
      <c r="BT52" s="864" t="n"/>
      <c r="BU52" s="291" t="n"/>
      <c r="BV52" s="291" t="n"/>
      <c r="BW52" s="291" t="n"/>
      <c r="BX52" s="291" t="n"/>
      <c r="BY52" s="864" t="n"/>
      <c r="BZ52" s="291" t="n"/>
      <c r="CA52" s="291" t="n"/>
      <c r="CB52" s="291" t="n"/>
      <c r="CC52" s="291" t="n"/>
      <c r="CD52" s="864" t="n"/>
      <c r="CE52" s="291" t="n"/>
      <c r="CF52" s="291" t="n"/>
      <c r="CG52" s="291" t="n"/>
      <c r="CH52" s="291" t="n"/>
      <c r="CI52" s="749" t="n"/>
      <c r="CJ52" s="749" t="n"/>
      <c r="CK52" s="749" t="n"/>
      <c r="CL52" s="749" t="n"/>
      <c r="CM52" s="749" t="n"/>
      <c r="CN52" s="291" t="n"/>
      <c r="CO52" s="291" t="n"/>
      <c r="CP52" s="291" t="n"/>
      <c r="CQ52" s="693" t="n"/>
    </row>
    <row r="53" ht="16.5" customHeight="1">
      <c r="B53" s="223" t="inlineStr">
        <is>
          <t>Less-Than-Truckload</t>
        </is>
      </c>
      <c r="C53" s="224" t="n"/>
      <c r="D53" s="224" t="n"/>
      <c r="E53" s="224" t="n"/>
      <c r="F53" s="224" t="n"/>
      <c r="G53" s="867" t="n"/>
      <c r="H53" s="224" t="n"/>
      <c r="I53" s="224" t="n"/>
      <c r="J53" s="224" t="n"/>
      <c r="K53" s="224" t="n"/>
      <c r="L53" s="867" t="n"/>
      <c r="M53" s="224" t="n"/>
      <c r="N53" s="224" t="n"/>
      <c r="O53" s="224" t="n"/>
      <c r="P53" s="224" t="n"/>
      <c r="Q53" s="867" t="n"/>
      <c r="R53" s="224" t="n"/>
      <c r="S53" s="224" t="n"/>
      <c r="T53" s="224" t="n"/>
      <c r="U53" s="224" t="n"/>
      <c r="V53" s="867" t="n"/>
      <c r="W53" s="224" t="n"/>
      <c r="X53" s="224" t="n"/>
      <c r="Y53" s="224" t="n"/>
      <c r="Z53" s="224" t="n"/>
      <c r="AA53" s="867" t="n"/>
      <c r="AB53" s="224" t="n"/>
      <c r="AC53" s="224" t="n"/>
      <c r="AD53" s="224" t="n"/>
      <c r="AE53" s="224" t="n"/>
      <c r="AF53" s="867" t="n"/>
      <c r="AG53" s="224" t="n"/>
      <c r="AH53" s="224" t="n"/>
      <c r="AI53" s="224" t="n"/>
      <c r="AJ53" s="224" t="n"/>
      <c r="AK53" s="867" t="n"/>
      <c r="AL53" s="224" t="n"/>
      <c r="AM53" s="224" t="n"/>
      <c r="AN53" s="224" t="n"/>
      <c r="AO53" s="224" t="n"/>
      <c r="AP53" s="867" t="n"/>
      <c r="AQ53" s="224" t="n"/>
      <c r="AR53" s="224" t="n"/>
      <c r="AS53" s="224" t="n"/>
      <c r="AT53" s="224" t="n"/>
      <c r="AU53" s="867" t="n"/>
      <c r="AV53" s="224" t="n"/>
      <c r="AW53" s="224" t="n"/>
      <c r="AX53" s="224" t="n"/>
      <c r="AY53" s="224" t="n"/>
      <c r="AZ53" s="867" t="n"/>
      <c r="BA53" s="224" t="n"/>
      <c r="BB53" s="224" t="n"/>
      <c r="BC53" s="224" t="n"/>
      <c r="BD53" s="224" t="n"/>
      <c r="BE53" s="867" t="n"/>
      <c r="BF53" s="224" t="n"/>
      <c r="BG53" s="224" t="n"/>
      <c r="BH53" s="224" t="n"/>
      <c r="BI53" s="224" t="n"/>
      <c r="BJ53" s="867" t="n"/>
      <c r="BK53" s="224" t="n"/>
      <c r="BL53" s="224" t="n"/>
      <c r="BM53" s="224" t="n"/>
      <c r="BN53" s="224" t="n"/>
      <c r="BO53" s="867" t="n"/>
      <c r="BP53" s="224" t="n"/>
      <c r="BQ53" s="224" t="n"/>
      <c r="BR53" s="224" t="n"/>
      <c r="BS53" s="224" t="n"/>
      <c r="BT53" s="867" t="n"/>
      <c r="BU53" s="224" t="n"/>
      <c r="BV53" s="224" t="n"/>
      <c r="BW53" s="224" t="n"/>
      <c r="BX53" s="224" t="n"/>
      <c r="BY53" s="867" t="n"/>
      <c r="BZ53" s="224" t="n"/>
      <c r="CA53" s="224" t="n"/>
      <c r="CB53" s="224" t="n"/>
      <c r="CC53" s="224" t="n"/>
      <c r="CD53" s="867" t="n"/>
      <c r="CE53" s="224" t="n"/>
      <c r="CF53" s="224" t="n"/>
      <c r="CG53" s="224" t="n"/>
      <c r="CH53" s="224" t="n"/>
      <c r="CI53" s="224" t="n"/>
      <c r="CJ53" s="224" t="n"/>
      <c r="CK53" s="224" t="n"/>
      <c r="CL53" s="224" t="n"/>
      <c r="CM53" s="224" t="n"/>
      <c r="CN53" s="224" t="n"/>
      <c r="CO53" s="224" t="n"/>
      <c r="CP53" s="224" t="n"/>
      <c r="CQ53" s="693" t="n"/>
    </row>
    <row r="54" ht="16.5" customHeight="1">
      <c r="B54" t="inlineStr">
        <is>
          <t xml:space="preserve">  Net sales</t>
        </is>
      </c>
      <c r="C54" s="743" t="n"/>
      <c r="D54" s="743" t="n"/>
      <c r="E54" s="743" t="n"/>
      <c r="F54" s="743" t="n"/>
      <c r="G54" s="868" t="n"/>
      <c r="H54" s="743" t="n"/>
      <c r="I54" s="743" t="n"/>
      <c r="J54" s="743" t="n"/>
      <c r="K54" s="743" t="n"/>
      <c r="L54" s="868" t="n"/>
      <c r="M54" s="743" t="n"/>
      <c r="N54" s="743" t="n"/>
      <c r="O54" s="743" t="n"/>
      <c r="P54" s="743" t="n"/>
      <c r="Q54" s="868" t="n"/>
      <c r="R54" s="743" t="n"/>
      <c r="S54" s="743" t="n"/>
      <c r="T54" s="743" t="n"/>
      <c r="U54" s="743" t="n"/>
      <c r="V54" s="868" t="n"/>
      <c r="W54" s="743" t="n"/>
      <c r="X54" s="743" t="n"/>
      <c r="Y54" s="743" t="n"/>
      <c r="Z54" s="743" t="n"/>
      <c r="AA54" s="868" t="n"/>
      <c r="AB54" s="743" t="n"/>
      <c r="AC54" s="743" t="n"/>
      <c r="AD54" s="743" t="n"/>
      <c r="AE54" s="743" t="n"/>
      <c r="AF54" s="868" t="n"/>
      <c r="AG54" s="743" t="n"/>
      <c r="AH54" s="743" t="n"/>
      <c r="AI54" s="743" t="n"/>
      <c r="AJ54" s="743" t="n"/>
      <c r="AK54" s="868" t="n"/>
      <c r="AL54" s="743" t="n"/>
      <c r="AM54" s="291" t="n"/>
      <c r="AN54" s="291" t="n"/>
      <c r="AO54" s="291" t="n"/>
      <c r="AP54" s="864" t="n"/>
      <c r="AQ54" s="291" t="n"/>
      <c r="AR54" s="291" t="n"/>
      <c r="AS54" s="291" t="n"/>
      <c r="AT54" s="291" t="n"/>
      <c r="AU54" s="864" t="n"/>
      <c r="AV54" s="291" t="n"/>
      <c r="AW54" s="291" t="n"/>
      <c r="AX54" s="291" t="n"/>
      <c r="AY54" s="291" t="n"/>
      <c r="AZ54" s="864" t="n"/>
      <c r="BA54" s="291" t="n"/>
      <c r="BB54" s="291" t="n"/>
      <c r="BC54" s="291" t="n"/>
      <c r="BD54" s="291" t="n"/>
      <c r="BE54" s="864" t="n"/>
      <c r="BF54" s="291" t="n"/>
      <c r="BG54" s="291" t="n"/>
      <c r="BH54" s="291" t="n"/>
      <c r="BI54" s="291" t="n"/>
      <c r="BJ54" s="864" t="n"/>
      <c r="BK54" s="977" t="n"/>
      <c r="BL54" s="977" t="n"/>
      <c r="BM54" s="977" t="n"/>
      <c r="BN54" s="978">
        <f>BO54-BK54-BL54-BM54</f>
        <v/>
      </c>
      <c r="BO54" s="979" t="n"/>
      <c r="BP54" s="743" t="n"/>
      <c r="BQ54" s="743" t="n"/>
      <c r="BR54" s="743" t="n"/>
      <c r="BS54" s="291">
        <f>BT54-BP54-BQ54-BR54</f>
        <v/>
      </c>
      <c r="BT54" s="868" t="n"/>
      <c r="BU54" s="743" t="n"/>
      <c r="BV54" s="743" t="n">
        <v>794.158</v>
      </c>
      <c r="BW54" s="743" t="n">
        <v>770.7569999999999</v>
      </c>
      <c r="BX54" s="291">
        <f>BY54-BU54-BV54-BW54</f>
        <v/>
      </c>
      <c r="BY54" s="868" t="n">
        <v>3702.935</v>
      </c>
      <c r="BZ54" s="743" t="n">
        <v>678.95</v>
      </c>
      <c r="CA54" s="743" t="n">
        <v>703.698</v>
      </c>
      <c r="CB54" s="743" t="n">
        <v>687.044</v>
      </c>
      <c r="CC54" s="291">
        <f>CD54-BZ54-CA54-CB54</f>
        <v/>
      </c>
      <c r="CD54" s="868" t="n">
        <v>3270.514</v>
      </c>
      <c r="CE54" s="743" t="n"/>
      <c r="CF54" s="743" t="n"/>
      <c r="CG54" s="291">
        <f>CB54*(1+CG55)</f>
        <v/>
      </c>
      <c r="CH54" s="291">
        <f>CI54-CE54-CF54-CG54</f>
        <v/>
      </c>
      <c r="CI54" s="749">
        <f>CD54*(1+CI55)</f>
        <v/>
      </c>
      <c r="CJ54" s="749">
        <f>CI54*(1+CJ55)</f>
        <v/>
      </c>
      <c r="CK54" s="749">
        <f>CJ54*(1+CK55)</f>
        <v/>
      </c>
      <c r="CL54" s="749">
        <f>CK54*(1+CL55)</f>
        <v/>
      </c>
      <c r="CM54" s="749">
        <f>CL54*(1+CM55)</f>
        <v/>
      </c>
      <c r="CN54" s="291" t="n"/>
      <c r="CO54" s="766" t="n">
        <v>0.06294558260299569</v>
      </c>
      <c r="CP54" s="291" t="n"/>
      <c r="CQ54" s="694" t="n"/>
      <c r="CT54" s="966" t="inlineStr">
        <is>
          <t>SCENARIO ASSUMPTIONS (TFI 3-segment structure, FY26E-FY30E)</t>
        </is>
      </c>
    </row>
    <row r="55" ht="16.5" customHeight="1">
      <c r="B55" s="690" t="inlineStr">
        <is>
          <t xml:space="preserve">  Sales y/y %</t>
        </is>
      </c>
      <c r="C55" s="743" t="n"/>
      <c r="D55" s="743" t="n"/>
      <c r="E55" s="743" t="n"/>
      <c r="F55" s="743" t="n"/>
      <c r="G55" s="868" t="n"/>
      <c r="H55" s="743" t="n"/>
      <c r="I55" s="743" t="n"/>
      <c r="J55" s="743" t="n"/>
      <c r="K55" s="743" t="n"/>
      <c r="L55" s="868" t="n"/>
      <c r="M55" s="743" t="n"/>
      <c r="N55" s="743" t="n"/>
      <c r="O55" s="743" t="n"/>
      <c r="P55" s="743" t="n"/>
      <c r="Q55" s="868" t="n"/>
      <c r="R55" s="743" t="n"/>
      <c r="S55" s="743" t="n"/>
      <c r="T55" s="743" t="n"/>
      <c r="U55" s="743" t="n"/>
      <c r="V55" s="868" t="n"/>
      <c r="W55" s="743" t="n"/>
      <c r="X55" s="743" t="n"/>
      <c r="Y55" s="743" t="n"/>
      <c r="Z55" s="743" t="n"/>
      <c r="AA55" s="868" t="n"/>
      <c r="AB55" s="743" t="n"/>
      <c r="AC55" s="743" t="n"/>
      <c r="AD55" s="743" t="n"/>
      <c r="AE55" s="743" t="n"/>
      <c r="AF55" s="868" t="n"/>
      <c r="AG55" s="743" t="n"/>
      <c r="AH55" s="743" t="n"/>
      <c r="AI55" s="743" t="n"/>
      <c r="AJ55" s="743" t="n"/>
      <c r="AK55" s="868" t="n"/>
      <c r="AL55" s="743" t="n"/>
      <c r="AM55" s="291" t="n"/>
      <c r="AN55" s="291" t="n"/>
      <c r="AO55" s="291" t="n"/>
      <c r="AP55" s="864" t="n"/>
      <c r="AQ55" s="291" t="n"/>
      <c r="AR55" s="291" t="n"/>
      <c r="AS55" s="291" t="n"/>
      <c r="AT55" s="291" t="n"/>
      <c r="AU55" s="864" t="n"/>
      <c r="AV55" s="291" t="n"/>
      <c r="AW55" s="291" t="n"/>
      <c r="AX55" s="291" t="n"/>
      <c r="AY55" s="291" t="n"/>
      <c r="AZ55" s="864" t="n"/>
      <c r="BA55" s="291" t="n"/>
      <c r="BB55" s="291" t="n"/>
      <c r="BC55" s="291" t="n"/>
      <c r="BD55" s="291" t="n"/>
      <c r="BE55" s="864" t="n"/>
      <c r="BF55" s="291" t="n"/>
      <c r="BG55" s="291" t="n"/>
      <c r="BH55" s="291" t="n"/>
      <c r="BI55" s="291" t="n"/>
      <c r="BJ55" s="864" t="n"/>
      <c r="BK55" s="974">
        <f>IFERROR(BK54/BF54-1,"")</f>
        <v/>
      </c>
      <c r="BL55" s="974">
        <f>IFERROR(BL54/BG54-1,"")</f>
        <v/>
      </c>
      <c r="BM55" s="974">
        <f>IFERROR(BM54/BH54-1,"")</f>
        <v/>
      </c>
      <c r="BN55" s="974">
        <f>IFERROR(BN54/BI54-1,"")</f>
        <v/>
      </c>
      <c r="BO55" s="975">
        <f>IFERROR(BO54/BJ54-1,"")</f>
        <v/>
      </c>
      <c r="BP55" s="974">
        <f>IFERROR(BP54/BK54-1,"")</f>
        <v/>
      </c>
      <c r="BQ55" s="974">
        <f>IFERROR(BQ54/BL54-1,"")</f>
        <v/>
      </c>
      <c r="BR55" s="974">
        <f>IFERROR(BR54/BM54-1,"")</f>
        <v/>
      </c>
      <c r="BS55" s="974">
        <f>IFERROR(BS54/BN54-1,"")</f>
        <v/>
      </c>
      <c r="BT55" s="975">
        <f>IFERROR(BT54/BO54-1,"")</f>
        <v/>
      </c>
      <c r="BU55" s="974">
        <f>IFERROR(BU54/BP54-1,"")</f>
        <v/>
      </c>
      <c r="BV55" s="974">
        <f>IFERROR(BV54/BQ54-1,"")</f>
        <v/>
      </c>
      <c r="BW55" s="974">
        <f>IFERROR(BW54/BR54-1,"")</f>
        <v/>
      </c>
      <c r="BX55" s="974">
        <f>IFERROR(BX54/BS54-1,"")</f>
        <v/>
      </c>
      <c r="BY55" s="975">
        <f>IFERROR(BY54/(BT20+BT12)-1,"")</f>
        <v/>
      </c>
      <c r="BZ55" s="974">
        <f>IFERROR(BZ54/BU54-1,"")</f>
        <v/>
      </c>
      <c r="CA55" s="974">
        <f>IFERROR(CA54/BV54-1,"")</f>
        <v/>
      </c>
      <c r="CB55" s="974">
        <f>IFERROR(CB54/BW54-1,"")</f>
        <v/>
      </c>
      <c r="CC55" s="974">
        <f>IFERROR(CC54/BX54-1,"")</f>
        <v/>
      </c>
      <c r="CD55" s="975">
        <f>IFERROR(CD54/BY54-1,"")</f>
        <v/>
      </c>
      <c r="CE55" s="974">
        <f>IFERROR(CE54/BZ54-1,"")</f>
        <v/>
      </c>
      <c r="CF55" s="974">
        <f>IFERROR(CF54/CA54-1,"")</f>
        <v/>
      </c>
      <c r="CG55" s="980" t="n"/>
      <c r="CH55" s="974">
        <f>IFERROR(CH54/CC54-1,"")</f>
        <v/>
      </c>
      <c r="CI55" s="981">
        <f>CHOOSE(MATCH($CO$3,{"Base";"Bull";"Bear"},0),CU58,CU68,CU78)</f>
        <v/>
      </c>
      <c r="CJ55" s="981">
        <f>CHOOSE(MATCH($CO$3,{"Base";"Bull";"Bear"},0),CV58,CV68,CV78)</f>
        <v/>
      </c>
      <c r="CK55" s="981">
        <f>CHOOSE(MATCH($CO$3,{"Base";"Bull";"Bear"},0),CW58,CW68,CW78)</f>
        <v/>
      </c>
      <c r="CL55" s="981">
        <f>CHOOSE(MATCH($CO$3,{"Base";"Bull";"Bear"},0),CX58,CX68,CX78)</f>
        <v/>
      </c>
      <c r="CM55" s="981">
        <f>CHOOSE(MATCH($CO$3,{"Base";"Bull";"Bear"},0),CY58,CY68,CY78)</f>
        <v/>
      </c>
      <c r="CN55" s="291" t="n"/>
      <c r="CO55" s="766" t="n"/>
      <c r="CP55" s="291" t="n"/>
      <c r="CQ55" s="694" t="n"/>
      <c r="CT55" s="3" t="inlineStr">
        <is>
          <t>Case → toggle at Model!CO3 ("Base" / "Bull" / "Bear")</t>
        </is>
      </c>
    </row>
    <row r="56" ht="16.5" customHeight="1">
      <c r="B56" s="12" t="inlineStr">
        <is>
          <t xml:space="preserve">  EBIT</t>
        </is>
      </c>
      <c r="C56" s="974" t="n"/>
      <c r="D56" s="974" t="n"/>
      <c r="E56" s="974" t="n"/>
      <c r="F56" s="974" t="n"/>
      <c r="G56" s="975" t="n"/>
      <c r="H56" s="974" t="n"/>
      <c r="I56" s="974" t="n"/>
      <c r="J56" s="974" t="n"/>
      <c r="K56" s="974" t="n"/>
      <c r="L56" s="975" t="n"/>
      <c r="M56" s="974" t="n"/>
      <c r="N56" s="974" t="n"/>
      <c r="O56" s="974" t="n"/>
      <c r="P56" s="974" t="n"/>
      <c r="Q56" s="975" t="n"/>
      <c r="R56" s="974" t="n"/>
      <c r="S56" s="974" t="n"/>
      <c r="T56" s="974" t="n"/>
      <c r="U56" s="974" t="n"/>
      <c r="V56" s="975" t="n"/>
      <c r="W56" s="974" t="n"/>
      <c r="X56" s="974" t="n"/>
      <c r="Y56" s="974" t="n"/>
      <c r="Z56" s="974" t="n"/>
      <c r="AA56" s="975" t="n"/>
      <c r="AB56" s="974" t="n"/>
      <c r="AC56" s="974" t="n"/>
      <c r="AD56" s="974" t="n"/>
      <c r="AE56" s="974" t="n"/>
      <c r="AF56" s="975" t="n"/>
      <c r="AG56" s="974" t="n"/>
      <c r="AH56" s="974" t="n"/>
      <c r="AI56" s="974" t="n"/>
      <c r="AJ56" s="974" t="n"/>
      <c r="AK56" s="975" t="n"/>
      <c r="AL56" s="974" t="n"/>
      <c r="AM56" s="974" t="n"/>
      <c r="AN56" s="974" t="n"/>
      <c r="AO56" s="974" t="n"/>
      <c r="AP56" s="975" t="n"/>
      <c r="AQ56" s="974" t="n"/>
      <c r="AR56" s="974" t="n"/>
      <c r="AS56" s="974" t="n"/>
      <c r="AT56" s="974" t="n"/>
      <c r="AU56" s="975" t="n"/>
      <c r="AV56" s="974" t="n"/>
      <c r="AW56" s="974" t="n"/>
      <c r="AX56" s="974" t="n"/>
      <c r="AY56" s="974" t="n"/>
      <c r="AZ56" s="975" t="n"/>
      <c r="BA56" s="974" t="n"/>
      <c r="BB56" s="974" t="n"/>
      <c r="BC56" s="974" t="n"/>
      <c r="BD56" s="974" t="n"/>
      <c r="BE56" s="975" t="n"/>
      <c r="BF56" s="974" t="n"/>
      <c r="BG56" s="974" t="n"/>
      <c r="BH56" s="974" t="n"/>
      <c r="BI56" s="974" t="n"/>
      <c r="BJ56" s="975" t="n"/>
      <c r="BK56" s="978" t="n"/>
      <c r="BL56" s="978" t="n"/>
      <c r="BM56" s="978" t="n"/>
      <c r="BN56" s="978">
        <f>BO56-BK56-BL56-BM56</f>
        <v/>
      </c>
      <c r="BO56" s="979" t="n"/>
      <c r="BP56" s="977" t="n"/>
      <c r="BQ56" s="977" t="n"/>
      <c r="BR56" s="977" t="n"/>
      <c r="BS56" s="978">
        <f>BT56-BP56-BQ56-BR56</f>
        <v/>
      </c>
      <c r="BT56" s="982" t="n"/>
      <c r="BU56" s="977" t="n"/>
      <c r="BV56" s="977" t="n">
        <v>109.918</v>
      </c>
      <c r="BW56" s="977" t="n">
        <v>95.95999999999999</v>
      </c>
      <c r="BX56" s="978">
        <f>BY56-BU56-BV56-BW56</f>
        <v/>
      </c>
      <c r="BY56" s="982" t="n">
        <v>361.235</v>
      </c>
      <c r="BZ56" s="977" t="n">
        <v>47.123</v>
      </c>
      <c r="CA56" s="977" t="n">
        <v>73.56</v>
      </c>
      <c r="CB56" s="977" t="n">
        <v>77.72799999999999</v>
      </c>
      <c r="CC56" s="978">
        <f>CD56-BZ56-CA56-CB56</f>
        <v/>
      </c>
      <c r="CD56" s="982" t="n">
        <v>259.953</v>
      </c>
      <c r="CE56" s="977" t="n"/>
      <c r="CF56" s="977" t="n"/>
      <c r="CG56" s="978">
        <f>CG54*CG58</f>
        <v/>
      </c>
      <c r="CH56" s="978">
        <f>CH54*CH58</f>
        <v/>
      </c>
      <c r="CI56" s="983">
        <f>CI54*CI58</f>
        <v/>
      </c>
      <c r="CJ56" s="983">
        <f>CJ54*CJ58</f>
        <v/>
      </c>
      <c r="CK56" s="983">
        <f>CK54*CK58</f>
        <v/>
      </c>
      <c r="CL56" s="983">
        <f>CL54*CL58</f>
        <v/>
      </c>
      <c r="CM56" s="983">
        <f>CM54*CM58</f>
        <v/>
      </c>
      <c r="CN56" s="974" t="n"/>
      <c r="CO56" s="766" t="n"/>
      <c r="CP56" s="974" t="n"/>
      <c r="CQ56" s="693" t="n"/>
      <c r="CT56" s="968" t="inlineStr">
        <is>
          <t>Driver</t>
        </is>
      </c>
      <c r="CU56" s="968" t="inlineStr">
        <is>
          <t>FY26E</t>
        </is>
      </c>
      <c r="CV56" s="968" t="inlineStr">
        <is>
          <t>FY27E</t>
        </is>
      </c>
      <c r="CW56" s="968" t="inlineStr">
        <is>
          <t>FY28E</t>
        </is>
      </c>
      <c r="CX56" s="968" t="inlineStr">
        <is>
          <t>FY29E</t>
        </is>
      </c>
      <c r="CY56" s="968" t="inlineStr">
        <is>
          <t>FY30E</t>
        </is>
      </c>
    </row>
    <row r="57" ht="16.5" customHeight="1">
      <c r="B57" s="12" t="inlineStr">
        <is>
          <t xml:space="preserve">  EBIT y/y %</t>
        </is>
      </c>
      <c r="C57" s="974" t="n"/>
      <c r="D57" s="974" t="n"/>
      <c r="E57" s="974" t="n"/>
      <c r="F57" s="974" t="n"/>
      <c r="G57" s="975" t="n"/>
      <c r="H57" s="974" t="n"/>
      <c r="I57" s="974" t="n"/>
      <c r="J57" s="974" t="n"/>
      <c r="K57" s="974" t="n"/>
      <c r="L57" s="975" t="n"/>
      <c r="M57" s="974" t="n"/>
      <c r="N57" s="974" t="n"/>
      <c r="O57" s="974" t="n"/>
      <c r="P57" s="974" t="n"/>
      <c r="Q57" s="975" t="n"/>
      <c r="R57" s="974" t="n"/>
      <c r="S57" s="974" t="n"/>
      <c r="T57" s="974" t="n"/>
      <c r="U57" s="974" t="n"/>
      <c r="V57" s="975" t="n"/>
      <c r="W57" s="974" t="n"/>
      <c r="X57" s="974" t="n"/>
      <c r="Y57" s="974" t="n"/>
      <c r="Z57" s="974" t="n"/>
      <c r="AA57" s="975" t="n"/>
      <c r="AB57" s="974" t="n"/>
      <c r="AC57" s="974" t="n"/>
      <c r="AD57" s="974" t="n"/>
      <c r="AE57" s="974" t="n"/>
      <c r="AF57" s="975" t="n"/>
      <c r="AG57" s="974" t="n"/>
      <c r="AH57" s="974" t="n"/>
      <c r="AI57" s="974" t="n"/>
      <c r="AJ57" s="974" t="n"/>
      <c r="AK57" s="975" t="n"/>
      <c r="AL57" s="974" t="n"/>
      <c r="AM57" s="974" t="n"/>
      <c r="AN57" s="974" t="n"/>
      <c r="AO57" s="974" t="n"/>
      <c r="AP57" s="975" t="n"/>
      <c r="AQ57" s="974" t="n"/>
      <c r="AR57" s="974" t="n"/>
      <c r="AS57" s="974" t="n"/>
      <c r="AT57" s="974" t="n"/>
      <c r="AU57" s="975" t="n"/>
      <c r="AV57" s="974" t="n"/>
      <c r="AW57" s="974" t="n"/>
      <c r="AX57" s="974" t="n"/>
      <c r="AY57" s="974" t="n"/>
      <c r="AZ57" s="975" t="n"/>
      <c r="BA57" s="974" t="n"/>
      <c r="BB57" s="974" t="n"/>
      <c r="BC57" s="974" t="n"/>
      <c r="BD57" s="974" t="n"/>
      <c r="BE57" s="975" t="n"/>
      <c r="BF57" s="974" t="n"/>
      <c r="BG57" s="974" t="n"/>
      <c r="BH57" s="974" t="n"/>
      <c r="BI57" s="974" t="n"/>
      <c r="BJ57" s="975" t="n"/>
      <c r="BK57" s="974">
        <f>IFERROR(BK56/BF56-1,"")</f>
        <v/>
      </c>
      <c r="BL57" s="974">
        <f>IFERROR(BL56/BG56-1,"")</f>
        <v/>
      </c>
      <c r="BM57" s="974">
        <f>IFERROR(BM56/BH56-1,"")</f>
        <v/>
      </c>
      <c r="BN57" s="974">
        <f>IFERROR(BN56/BI56-1,"")</f>
        <v/>
      </c>
      <c r="BO57" s="975">
        <f>IFERROR(BO56/BJ56-1,"")</f>
        <v/>
      </c>
      <c r="BP57" s="974">
        <f>IFERROR(BP56/BK56-1,"")</f>
        <v/>
      </c>
      <c r="BQ57" s="974">
        <f>IFERROR(BQ56/BL56-1,"")</f>
        <v/>
      </c>
      <c r="BR57" s="974">
        <f>IFERROR(BR56/BM56-1,"")</f>
        <v/>
      </c>
      <c r="BS57" s="974">
        <f>IFERROR(BS56/BN56-1,"")</f>
        <v/>
      </c>
      <c r="BT57" s="975">
        <f>IFERROR(BT56/BO56-1,"")</f>
        <v/>
      </c>
      <c r="BU57" s="974">
        <f>IFERROR(BU56/BP56-1,"")</f>
        <v/>
      </c>
      <c r="BV57" s="974">
        <f>IFERROR(BV56/BQ56-1,"")</f>
        <v/>
      </c>
      <c r="BW57" s="974">
        <f>IFERROR(BW56/BR56-1,"")</f>
        <v/>
      </c>
      <c r="BX57" s="974">
        <f>IFERROR(BX56/BS56-1,"")</f>
        <v/>
      </c>
      <c r="BY57" s="975">
        <f>IFERROR(BY56/(BT21+BT13)-1,"")</f>
        <v/>
      </c>
      <c r="BZ57" s="974">
        <f>IFERROR(BZ56/BU56-1,"")</f>
        <v/>
      </c>
      <c r="CA57" s="974">
        <f>IFERROR(CA56/BV56-1,"")</f>
        <v/>
      </c>
      <c r="CB57" s="974">
        <f>IFERROR(CB56/BW56-1,"")</f>
        <v/>
      </c>
      <c r="CC57" s="974">
        <f>IFERROR(CC56/BX56-1,"")</f>
        <v/>
      </c>
      <c r="CD57" s="975">
        <f>IFERROR(CD56/BY56-1,"")</f>
        <v/>
      </c>
      <c r="CE57" s="974">
        <f>IFERROR(CE56/BZ56-1,"")</f>
        <v/>
      </c>
      <c r="CF57" s="974">
        <f>IFERROR(CF56/CA56-1,"")</f>
        <v/>
      </c>
      <c r="CG57" s="974">
        <f>IFERROR(CG56/CB56-1,"")</f>
        <v/>
      </c>
      <c r="CH57" s="974">
        <f>IFERROR(CH56/CC56-1,"")</f>
        <v/>
      </c>
      <c r="CI57" s="976">
        <f>IFERROR(CI56/CD56-1,"")</f>
        <v/>
      </c>
      <c r="CJ57" s="976">
        <f>IFERROR(CJ56/CI56-1,"")</f>
        <v/>
      </c>
      <c r="CK57" s="976">
        <f>IFERROR(CK56/CJ56-1,"")</f>
        <v/>
      </c>
      <c r="CL57" s="976">
        <f>IFERROR(CL56/CK56-1,"")</f>
        <v/>
      </c>
      <c r="CM57" s="976">
        <f>IFERROR(CM56/CL56-1,"")</f>
        <v/>
      </c>
      <c r="CN57" s="974" t="n"/>
      <c r="CO57" s="766" t="n"/>
      <c r="CP57" s="974" t="n"/>
      <c r="CQ57" s="693" t="n"/>
      <c r="CT57" s="967" t="inlineStr">
        <is>
          <t>BASE CASE</t>
        </is>
      </c>
    </row>
    <row r="58" ht="16.5" customHeight="1">
      <c r="B58" t="inlineStr">
        <is>
          <t xml:space="preserve">  EBIT %</t>
        </is>
      </c>
      <c r="C58" s="743" t="n"/>
      <c r="D58" s="743" t="n"/>
      <c r="E58" s="743" t="n"/>
      <c r="F58" s="743" t="n"/>
      <c r="G58" s="868" t="n"/>
      <c r="H58" s="743" t="n"/>
      <c r="I58" s="743" t="n"/>
      <c r="J58" s="743" t="n"/>
      <c r="K58" s="743" t="n"/>
      <c r="L58" s="868" t="n"/>
      <c r="M58" s="743" t="n"/>
      <c r="N58" s="743" t="n"/>
      <c r="O58" s="743" t="n"/>
      <c r="P58" s="743" t="n"/>
      <c r="Q58" s="868" t="n"/>
      <c r="R58" s="743" t="n"/>
      <c r="S58" s="743" t="n"/>
      <c r="T58" s="743" t="n"/>
      <c r="U58" s="743" t="n"/>
      <c r="V58" s="868" t="n"/>
      <c r="W58" s="743" t="n"/>
      <c r="X58" s="743" t="n"/>
      <c r="Y58" s="743" t="n"/>
      <c r="Z58" s="743" t="n"/>
      <c r="AA58" s="868" t="n"/>
      <c r="AB58" s="743" t="n"/>
      <c r="AC58" s="743" t="n"/>
      <c r="AD58" s="743" t="n"/>
      <c r="AE58" s="743" t="n"/>
      <c r="AF58" s="868" t="n"/>
      <c r="AG58" s="743" t="n"/>
      <c r="AH58" s="743" t="n"/>
      <c r="AI58" s="743" t="n"/>
      <c r="AJ58" s="743" t="n"/>
      <c r="AK58" s="868" t="n"/>
      <c r="AL58" s="743" t="n"/>
      <c r="AM58" s="291" t="n"/>
      <c r="AN58" s="291" t="n"/>
      <c r="AO58" s="291" t="n"/>
      <c r="AP58" s="864" t="n"/>
      <c r="AQ58" s="291" t="n"/>
      <c r="AR58" s="291" t="n"/>
      <c r="AS58" s="291" t="n"/>
      <c r="AT58" s="291" t="n"/>
      <c r="AU58" s="864" t="n"/>
      <c r="AV58" s="291" t="n"/>
      <c r="AW58" s="291" t="n"/>
      <c r="AX58" s="291" t="n"/>
      <c r="AY58" s="291" t="n"/>
      <c r="AZ58" s="864" t="n"/>
      <c r="BA58" s="291" t="n"/>
      <c r="BB58" s="291" t="n"/>
      <c r="BC58" s="291" t="n"/>
      <c r="BD58" s="291" t="n"/>
      <c r="BE58" s="864" t="n"/>
      <c r="BF58" s="291" t="n"/>
      <c r="BG58" s="291" t="n"/>
      <c r="BH58" s="291" t="n"/>
      <c r="BI58" s="291" t="n"/>
      <c r="BJ58" s="864" t="n"/>
      <c r="BK58" s="974">
        <f>IFERROR(BK56/BK54,"")</f>
        <v/>
      </c>
      <c r="BL58" s="974">
        <f>IFERROR(BL56/BL54,"")</f>
        <v/>
      </c>
      <c r="BM58" s="974">
        <f>IFERROR(BM56/BM54,"")</f>
        <v/>
      </c>
      <c r="BN58" s="974">
        <f>IFERROR(BN56/BN54,"")</f>
        <v/>
      </c>
      <c r="BO58" s="975">
        <f>IFERROR(BO56/BO54,"")</f>
        <v/>
      </c>
      <c r="BP58" s="974">
        <f>IFERROR(BP56/BP54,"")</f>
        <v/>
      </c>
      <c r="BQ58" s="974">
        <f>IFERROR(BQ56/BQ54,"")</f>
        <v/>
      </c>
      <c r="BR58" s="974">
        <f>IFERROR(BR56/BR54,"")</f>
        <v/>
      </c>
      <c r="BS58" s="974">
        <f>IFERROR(BS56/BS54,"")</f>
        <v/>
      </c>
      <c r="BT58" s="975">
        <f>IFERROR(BT56/BT54,"")</f>
        <v/>
      </c>
      <c r="BU58" s="974">
        <f>IFERROR(BU56/BU54,"")</f>
        <v/>
      </c>
      <c r="BV58" s="974">
        <f>IFERROR(BV56/BV54,"")</f>
        <v/>
      </c>
      <c r="BW58" s="974">
        <f>IFERROR(BW56/BW54,"")</f>
        <v/>
      </c>
      <c r="BX58" s="974">
        <f>IFERROR(BX56/BX54,"")</f>
        <v/>
      </c>
      <c r="BY58" s="975">
        <f>IFERROR(BY56/BY54,"")</f>
        <v/>
      </c>
      <c r="BZ58" s="974">
        <f>IFERROR(BZ56/BZ54,"")</f>
        <v/>
      </c>
      <c r="CA58" s="974">
        <f>IFERROR(CA56/CA54,"")</f>
        <v/>
      </c>
      <c r="CB58" s="974">
        <f>IFERROR(CB56/CB54,"")</f>
        <v/>
      </c>
      <c r="CC58" s="974">
        <f>IFERROR(CC56/CC54,"")</f>
        <v/>
      </c>
      <c r="CD58" s="975">
        <f>IFERROR(CD56/CD54,"")</f>
        <v/>
      </c>
      <c r="CE58" s="974">
        <f>IFERROR(CE56/CE54,"")</f>
        <v/>
      </c>
      <c r="CF58" s="974">
        <f>IFERROR(CF56/CF54,"")</f>
        <v/>
      </c>
      <c r="CG58" s="980" t="n"/>
      <c r="CH58" s="980" t="n"/>
      <c r="CI58" s="981">
        <f>CHOOSE(MATCH($CO$3,{"Base";"Bull";"Bear"},0),CU59,CU69,CU79)</f>
        <v/>
      </c>
      <c r="CJ58" s="981">
        <f>CHOOSE(MATCH($CO$3,{"Base";"Bull";"Bear"},0),CV59,CV69,CV79)</f>
        <v/>
      </c>
      <c r="CK58" s="981">
        <f>CHOOSE(MATCH($CO$3,{"Base";"Bull";"Bear"},0),CW59,CW69,CW79)</f>
        <v/>
      </c>
      <c r="CL58" s="981">
        <f>CHOOSE(MATCH($CO$3,{"Base";"Bull";"Bear"},0),CX59,CX69,CX79)</f>
        <v/>
      </c>
      <c r="CM58" s="981">
        <f>CHOOSE(MATCH($CO$3,{"Base";"Bull";"Bear"},0),CY59,CY69,CY79)</f>
        <v/>
      </c>
      <c r="CN58" s="291" t="n"/>
      <c r="CO58" s="766" t="n"/>
      <c r="CP58" s="291" t="n"/>
      <c r="CQ58" s="693" t="n"/>
      <c r="CT58" t="inlineStr">
        <is>
          <t xml:space="preserve">  Less-Than-Truckload Sales y/y %</t>
        </is>
      </c>
      <c r="CU58" s="984" t="n">
        <v>-0.01990000000000003</v>
      </c>
      <c r="CV58" s="984" t="n">
        <v>0.03529999999999989</v>
      </c>
      <c r="CW58" s="984" t="n">
        <v>0.05062499999999992</v>
      </c>
      <c r="CX58" s="984" t="n">
        <v>0.05062499999999992</v>
      </c>
      <c r="CY58" s="984" t="n">
        <v>0.04549999999999987</v>
      </c>
    </row>
    <row r="59" ht="16.5" customHeight="1">
      <c r="B59" s="12" t="inlineStr">
        <is>
          <t xml:space="preserve">  Incremental EBIT (ΔEBIT / ΔSales)</t>
        </is>
      </c>
      <c r="C59" s="974" t="n"/>
      <c r="D59" s="974" t="n"/>
      <c r="E59" s="974" t="n"/>
      <c r="F59" s="974" t="n"/>
      <c r="G59" s="975" t="n"/>
      <c r="H59" s="974" t="n"/>
      <c r="I59" s="974" t="n"/>
      <c r="J59" s="974" t="n"/>
      <c r="K59" s="974" t="n"/>
      <c r="L59" s="975" t="n"/>
      <c r="M59" s="974" t="n"/>
      <c r="N59" s="974" t="n"/>
      <c r="O59" s="974" t="n"/>
      <c r="P59" s="974" t="n"/>
      <c r="Q59" s="975" t="n"/>
      <c r="R59" s="974" t="n"/>
      <c r="S59" s="974" t="n"/>
      <c r="T59" s="974" t="n"/>
      <c r="U59" s="974" t="n"/>
      <c r="V59" s="975" t="n"/>
      <c r="W59" s="974" t="n"/>
      <c r="X59" s="974" t="n"/>
      <c r="Y59" s="974" t="n"/>
      <c r="Z59" s="974" t="n"/>
      <c r="AA59" s="975" t="n"/>
      <c r="AB59" s="974" t="n"/>
      <c r="AC59" s="974" t="n"/>
      <c r="AD59" s="974" t="n"/>
      <c r="AE59" s="974" t="n"/>
      <c r="AF59" s="975" t="n"/>
      <c r="AG59" s="974" t="n"/>
      <c r="AH59" s="974" t="n"/>
      <c r="AI59" s="974" t="n"/>
      <c r="AJ59" s="974" t="n"/>
      <c r="AK59" s="975" t="n"/>
      <c r="AL59" s="974" t="n"/>
      <c r="AM59" s="974" t="n"/>
      <c r="AN59" s="974" t="n"/>
      <c r="AO59" s="974" t="n"/>
      <c r="AP59" s="975" t="n"/>
      <c r="AQ59" s="974" t="n"/>
      <c r="AR59" s="974" t="n"/>
      <c r="AS59" s="974" t="n"/>
      <c r="AT59" s="974" t="n"/>
      <c r="AU59" s="975" t="n"/>
      <c r="AV59" s="974" t="n"/>
      <c r="AW59" s="974" t="n"/>
      <c r="AX59" s="974" t="n"/>
      <c r="AY59" s="974" t="n"/>
      <c r="AZ59" s="975" t="n"/>
      <c r="BA59" s="974" t="n"/>
      <c r="BB59" s="974" t="n"/>
      <c r="BC59" s="974" t="n"/>
      <c r="BD59" s="974" t="n"/>
      <c r="BE59" s="975" t="n"/>
      <c r="BF59" s="974" t="n"/>
      <c r="BG59" s="974" t="n"/>
      <c r="BH59" s="974" t="n"/>
      <c r="BI59" s="974" t="n"/>
      <c r="BJ59" s="975" t="n"/>
      <c r="BK59" s="974">
        <f>IFERROR((BK56-BF56)/(BK54-BF54),"")</f>
        <v/>
      </c>
      <c r="BL59" s="974">
        <f>IFERROR((BL56-BG56)/(BL54-BG54),"")</f>
        <v/>
      </c>
      <c r="BM59" s="974">
        <f>IFERROR((BM56-BH56)/(BM54-BH54),"")</f>
        <v/>
      </c>
      <c r="BN59" s="974">
        <f>IFERROR((BN56-BI56)/(BN54-BI54),"")</f>
        <v/>
      </c>
      <c r="BO59" s="975">
        <f>IFERROR((BO56-BJ56)/(BO54-BJ54),"")</f>
        <v/>
      </c>
      <c r="BP59" s="985">
        <f>IFERROR((BP56-BK56)/(BP54-BK54),"")</f>
        <v/>
      </c>
      <c r="BQ59" s="985">
        <f>IFERROR((BQ56-BL56)/(BQ54-BL54),"")</f>
        <v/>
      </c>
      <c r="BR59" s="985">
        <f>IFERROR((BR56-BM56)/(BR54-BM54),"")</f>
        <v/>
      </c>
      <c r="BS59" s="985">
        <f>IFERROR((BS56-BN56)/(BS54-BN54),"")</f>
        <v/>
      </c>
      <c r="BT59" s="986">
        <f>IFERROR((BT56-BO56)/(BT54-BO54),"")</f>
        <v/>
      </c>
      <c r="BU59" s="985">
        <f>IFERROR((BU56-BP56)/(BU54-BP54),"")</f>
        <v/>
      </c>
      <c r="BV59" s="985">
        <f>IFERROR((BV56-BQ56)/(BV54-BQ54),"")</f>
        <v/>
      </c>
      <c r="BW59" s="985">
        <f>IFERROR((BW56-BR56)/(BW54-BR54),"")</f>
        <v/>
      </c>
      <c r="BX59" s="985">
        <f>IFERROR((BX56-BS56)/(BX54-BS54),"")</f>
        <v/>
      </c>
      <c r="BY59" s="986">
        <f>IFERROR((BY56-(BT21+BT13))/(BY54-(BT20+BT12)),"")</f>
        <v/>
      </c>
      <c r="BZ59" s="985">
        <f>IFERROR((BZ56-BU56)/(BZ54-BU54),"")</f>
        <v/>
      </c>
      <c r="CA59" s="985">
        <f>IFERROR((CA56-BV56)/(CA54-BV54),"")</f>
        <v/>
      </c>
      <c r="CB59" s="985">
        <f>IFERROR((CB56-BW56)/(CB54-BW54),"")</f>
        <v/>
      </c>
      <c r="CC59" s="985">
        <f>IFERROR((CC56-BX56)/(CC54-BX54),"")</f>
        <v/>
      </c>
      <c r="CD59" s="986">
        <f>IFERROR((CD56-BY56)/(CD54-BY54),"")</f>
        <v/>
      </c>
      <c r="CE59" s="985" t="n"/>
      <c r="CF59" s="985" t="n"/>
      <c r="CG59" s="985" t="n"/>
      <c r="CH59" s="985" t="n"/>
      <c r="CI59" s="987">
        <f>IFERROR((CI56-CD56)/(CI54-CD54),"")</f>
        <v/>
      </c>
      <c r="CJ59" s="987">
        <f>IFERROR((CJ56-CI56)/(CJ54-CI54),"")</f>
        <v/>
      </c>
      <c r="CK59" s="987">
        <f>IFERROR((CK56-CJ56)/(CK54-CJ54),"")</f>
        <v/>
      </c>
      <c r="CL59" s="987">
        <f>IFERROR((CL56-CK56)/(CL54-CK54),"")</f>
        <v/>
      </c>
      <c r="CM59" s="987">
        <f>IFERROR((CM56-CL56)/(CM54-CL54),"")</f>
        <v/>
      </c>
      <c r="CN59" s="974" t="n"/>
      <c r="CO59" s="766" t="n"/>
      <c r="CP59" s="974" t="n"/>
      <c r="CQ59" s="693" t="n"/>
      <c r="CT59" t="inlineStr">
        <is>
          <t xml:space="preserve">  Less-Than-Truckload EBIT margin %</t>
        </is>
      </c>
      <c r="CU59" s="984" t="n">
        <v>0.06</v>
      </c>
      <c r="CV59" s="984" t="n">
        <v>0.09</v>
      </c>
      <c r="CW59" s="984" t="n">
        <v>0.115</v>
      </c>
      <c r="CX59" s="984" t="n">
        <v>0.135</v>
      </c>
      <c r="CY59" s="984" t="n">
        <v>0.15</v>
      </c>
    </row>
    <row r="60" ht="16.5" customHeight="1">
      <c r="B60" s="702" t="inlineStr">
        <is>
          <t xml:space="preserve">  Backlog ($M)</t>
        </is>
      </c>
      <c r="C60" s="974" t="n"/>
      <c r="D60" s="974" t="n"/>
      <c r="E60" s="974" t="n"/>
      <c r="F60" s="974" t="n"/>
      <c r="G60" s="975" t="n"/>
      <c r="H60" s="974" t="n"/>
      <c r="I60" s="974" t="n"/>
      <c r="J60" s="974" t="n"/>
      <c r="K60" s="974" t="n"/>
      <c r="L60" s="975" t="n"/>
      <c r="M60" s="974" t="n"/>
      <c r="N60" s="974" t="n"/>
      <c r="O60" s="974" t="n"/>
      <c r="P60" s="974" t="n"/>
      <c r="Q60" s="975" t="n"/>
      <c r="R60" s="974" t="n"/>
      <c r="S60" s="974" t="n"/>
      <c r="T60" s="974" t="n"/>
      <c r="U60" s="974" t="n"/>
      <c r="V60" s="975" t="n"/>
      <c r="W60" s="974" t="n"/>
      <c r="X60" s="974" t="n"/>
      <c r="Y60" s="974" t="n"/>
      <c r="Z60" s="974" t="n"/>
      <c r="AA60" s="975" t="n"/>
      <c r="AB60" s="974" t="n"/>
      <c r="AC60" s="974" t="n"/>
      <c r="AD60" s="974" t="n"/>
      <c r="AE60" s="974" t="n"/>
      <c r="AF60" s="975" t="n"/>
      <c r="AG60" s="974" t="n"/>
      <c r="AH60" s="974" t="n"/>
      <c r="AI60" s="974" t="n"/>
      <c r="AJ60" s="974" t="n"/>
      <c r="AK60" s="975" t="n"/>
      <c r="AL60" s="974" t="n"/>
      <c r="AM60" s="974" t="n"/>
      <c r="AN60" s="974" t="n"/>
      <c r="AO60" s="974" t="n"/>
      <c r="AP60" s="975" t="n"/>
      <c r="AQ60" s="974" t="n"/>
      <c r="AR60" s="974" t="n"/>
      <c r="AS60" s="974" t="n"/>
      <c r="AT60" s="974" t="n"/>
      <c r="AU60" s="975" t="n"/>
      <c r="AV60" s="974" t="n"/>
      <c r="AW60" s="974" t="n"/>
      <c r="AX60" s="974" t="n"/>
      <c r="AY60" s="974" t="n"/>
      <c r="AZ60" s="975" t="n"/>
      <c r="BA60" s="974" t="n"/>
      <c r="BB60" s="974" t="n"/>
      <c r="BC60" s="974" t="n"/>
      <c r="BD60" s="974" t="n"/>
      <c r="BE60" s="975" t="n"/>
      <c r="BF60" s="974" t="n"/>
      <c r="BG60" s="974" t="n"/>
      <c r="BH60" s="974" t="n"/>
      <c r="BI60" s="974" t="n"/>
      <c r="BJ60" s="975" t="n"/>
      <c r="BK60" s="988" t="n"/>
      <c r="BL60" s="988" t="n"/>
      <c r="BM60" s="988" t="n"/>
      <c r="BN60" s="988" t="n"/>
      <c r="BO60" s="989" t="n"/>
      <c r="BP60" s="988" t="n"/>
      <c r="BQ60" s="988" t="n"/>
      <c r="BR60" s="988" t="n"/>
      <c r="BS60" s="988" t="n"/>
      <c r="BT60" s="989" t="n"/>
      <c r="BU60" s="988" t="n"/>
      <c r="BV60" s="988" t="n"/>
      <c r="BW60" s="988" t="n"/>
      <c r="BX60" s="988" t="n"/>
      <c r="BY60" s="989" t="n"/>
      <c r="BZ60" s="988" t="n"/>
      <c r="CA60" s="988" t="n"/>
      <c r="CB60" s="988" t="n"/>
      <c r="CC60" s="988" t="n"/>
      <c r="CD60" s="989" t="n"/>
      <c r="CE60" s="988" t="n"/>
      <c r="CF60" s="988" t="n"/>
      <c r="CG60" s="988" t="n"/>
      <c r="CH60" s="988" t="n"/>
      <c r="CI60" s="990" t="n"/>
      <c r="CJ60" s="990" t="n"/>
      <c r="CK60" s="990" t="n"/>
      <c r="CL60" s="990" t="n"/>
      <c r="CM60" s="990" t="n"/>
      <c r="CN60" s="974" t="n"/>
      <c r="CO60" s="766" t="n"/>
      <c r="CP60" s="974" t="n"/>
      <c r="CQ60" s="693" t="n"/>
      <c r="CT60" t="inlineStr">
        <is>
          <t xml:space="preserve">  Truckload Sales y/y %</t>
        </is>
      </c>
      <c r="CU60" s="984" t="n">
        <v>0.01849999999999996</v>
      </c>
      <c r="CV60" s="984" t="n">
        <v>0.03499999999999992</v>
      </c>
      <c r="CW60" s="984" t="n">
        <v>0.04544999999999999</v>
      </c>
      <c r="CX60" s="984" t="n">
        <v>0.04549999999999987</v>
      </c>
      <c r="CY60" s="984" t="n">
        <v>0.04549999999999987</v>
      </c>
    </row>
    <row r="61" ht="16.5" customHeight="1">
      <c r="B61" s="702" t="inlineStr">
        <is>
          <t xml:space="preserve">  Backlog y/y %</t>
        </is>
      </c>
      <c r="C61" s="974" t="n"/>
      <c r="D61" s="974" t="n"/>
      <c r="E61" s="974" t="n"/>
      <c r="F61" s="974" t="n"/>
      <c r="G61" s="975" t="n"/>
      <c r="H61" s="974" t="n"/>
      <c r="I61" s="974" t="n"/>
      <c r="J61" s="974" t="n"/>
      <c r="K61" s="974" t="n"/>
      <c r="L61" s="975" t="n"/>
      <c r="M61" s="974" t="n"/>
      <c r="N61" s="974" t="n"/>
      <c r="O61" s="974" t="n"/>
      <c r="P61" s="974" t="n"/>
      <c r="Q61" s="975" t="n"/>
      <c r="R61" s="974" t="n"/>
      <c r="S61" s="974" t="n"/>
      <c r="T61" s="974" t="n"/>
      <c r="U61" s="974" t="n"/>
      <c r="V61" s="975" t="n"/>
      <c r="W61" s="974" t="n"/>
      <c r="X61" s="974" t="n"/>
      <c r="Y61" s="974" t="n"/>
      <c r="Z61" s="974" t="n"/>
      <c r="AA61" s="975" t="n"/>
      <c r="AB61" s="974" t="n"/>
      <c r="AC61" s="974" t="n"/>
      <c r="AD61" s="974" t="n"/>
      <c r="AE61" s="974" t="n"/>
      <c r="AF61" s="975" t="n"/>
      <c r="AG61" s="974" t="n"/>
      <c r="AH61" s="974" t="n"/>
      <c r="AI61" s="974" t="n"/>
      <c r="AJ61" s="974" t="n"/>
      <c r="AK61" s="975" t="n"/>
      <c r="AL61" s="974" t="n"/>
      <c r="AM61" s="974" t="n"/>
      <c r="AN61" s="974" t="n"/>
      <c r="AO61" s="974" t="n"/>
      <c r="AP61" s="975" t="n"/>
      <c r="AQ61" s="974" t="n"/>
      <c r="AR61" s="974" t="n"/>
      <c r="AS61" s="974" t="n"/>
      <c r="AT61" s="974" t="n"/>
      <c r="AU61" s="975" t="n"/>
      <c r="AV61" s="974" t="n"/>
      <c r="AW61" s="974" t="n"/>
      <c r="AX61" s="974" t="n"/>
      <c r="AY61" s="974" t="n"/>
      <c r="AZ61" s="975" t="n"/>
      <c r="BA61" s="974" t="n"/>
      <c r="BB61" s="974" t="n"/>
      <c r="BC61" s="974" t="n"/>
      <c r="BD61" s="974" t="n"/>
      <c r="BE61" s="975" t="n"/>
      <c r="BF61" s="974" t="n"/>
      <c r="BG61" s="974" t="n"/>
      <c r="BH61" s="974" t="n"/>
      <c r="BI61" s="974" t="n"/>
      <c r="BJ61" s="975" t="n"/>
      <c r="BK61" s="991" t="n"/>
      <c r="BL61" s="991" t="n"/>
      <c r="BM61" s="991" t="n"/>
      <c r="BN61" s="991" t="n"/>
      <c r="BO61" s="992" t="n"/>
      <c r="BP61" s="991" t="n"/>
      <c r="BQ61" s="991" t="n"/>
      <c r="BR61" s="991" t="n"/>
      <c r="BS61" s="991" t="n"/>
      <c r="BT61" s="992" t="n"/>
      <c r="BU61" s="991" t="n"/>
      <c r="BV61" s="991" t="n"/>
      <c r="BW61" s="991" t="n"/>
      <c r="BX61" s="991" t="n"/>
      <c r="BY61" s="992" t="n"/>
      <c r="BZ61" s="991" t="n"/>
      <c r="CA61" s="991" t="n"/>
      <c r="CB61" s="991" t="n"/>
      <c r="CC61" s="991" t="n"/>
      <c r="CD61" s="992" t="n"/>
      <c r="CE61" s="991" t="n"/>
      <c r="CF61" s="991" t="n"/>
      <c r="CG61" s="991" t="n"/>
      <c r="CH61" s="991" t="n"/>
      <c r="CI61" s="976" t="n"/>
      <c r="CJ61" s="976" t="n"/>
      <c r="CK61" s="976" t="n"/>
      <c r="CL61" s="976" t="n"/>
      <c r="CM61" s="976" t="n"/>
      <c r="CN61" s="974" t="n"/>
      <c r="CO61" s="766" t="n"/>
      <c r="CP61" s="974" t="n"/>
      <c r="CQ61" s="693" t="n"/>
      <c r="CT61" t="inlineStr">
        <is>
          <t xml:space="preserve">  Truckload EBIT margin %</t>
        </is>
      </c>
      <c r="CU61" s="984" t="n">
        <v>0.09</v>
      </c>
      <c r="CV61" s="984" t="n">
        <v>0.1</v>
      </c>
      <c r="CW61" s="984" t="n">
        <v>0.11</v>
      </c>
      <c r="CX61" s="984" t="n">
        <v>0.115</v>
      </c>
      <c r="CY61" s="984" t="n">
        <v>0.12</v>
      </c>
    </row>
    <row r="62" ht="16.5" customHeight="1">
      <c r="B62" s="702" t="inlineStr">
        <is>
          <t xml:space="preserve">  Book-to-bill (Bookings / Sales)</t>
        </is>
      </c>
      <c r="C62" s="974" t="n"/>
      <c r="D62" s="974" t="n"/>
      <c r="E62" s="974" t="n"/>
      <c r="F62" s="974" t="n"/>
      <c r="G62" s="975" t="n"/>
      <c r="H62" s="974" t="n"/>
      <c r="I62" s="974" t="n"/>
      <c r="J62" s="974" t="n"/>
      <c r="K62" s="974" t="n"/>
      <c r="L62" s="975" t="n"/>
      <c r="M62" s="974" t="n"/>
      <c r="N62" s="974" t="n"/>
      <c r="O62" s="974" t="n"/>
      <c r="P62" s="974" t="n"/>
      <c r="Q62" s="975" t="n"/>
      <c r="R62" s="974" t="n"/>
      <c r="S62" s="974" t="n"/>
      <c r="T62" s="974" t="n"/>
      <c r="U62" s="974" t="n"/>
      <c r="V62" s="975" t="n"/>
      <c r="W62" s="974" t="n"/>
      <c r="X62" s="974" t="n"/>
      <c r="Y62" s="974" t="n"/>
      <c r="Z62" s="974" t="n"/>
      <c r="AA62" s="975" t="n"/>
      <c r="AB62" s="974" t="n"/>
      <c r="AC62" s="974" t="n"/>
      <c r="AD62" s="974" t="n"/>
      <c r="AE62" s="974" t="n"/>
      <c r="AF62" s="975" t="n"/>
      <c r="AG62" s="974" t="n"/>
      <c r="AH62" s="974" t="n"/>
      <c r="AI62" s="974" t="n"/>
      <c r="AJ62" s="974" t="n"/>
      <c r="AK62" s="975" t="n"/>
      <c r="AL62" s="974" t="n"/>
      <c r="AM62" s="974" t="n"/>
      <c r="AN62" s="974" t="n"/>
      <c r="AO62" s="974" t="n"/>
      <c r="AP62" s="975" t="n"/>
      <c r="AQ62" s="974" t="n"/>
      <c r="AR62" s="974" t="n"/>
      <c r="AS62" s="974" t="n"/>
      <c r="AT62" s="974" t="n"/>
      <c r="AU62" s="975" t="n"/>
      <c r="AV62" s="974" t="n"/>
      <c r="AW62" s="974" t="n"/>
      <c r="AX62" s="974" t="n"/>
      <c r="AY62" s="974" t="n"/>
      <c r="AZ62" s="975" t="n"/>
      <c r="BA62" s="974" t="n"/>
      <c r="BB62" s="974" t="n"/>
      <c r="BC62" s="974" t="n"/>
      <c r="BD62" s="974" t="n"/>
      <c r="BE62" s="975" t="n"/>
      <c r="BF62" s="974" t="n"/>
      <c r="BG62" s="974" t="n"/>
      <c r="BH62" s="974" t="n"/>
      <c r="BI62" s="974" t="n"/>
      <c r="BJ62" s="975" t="n"/>
      <c r="BK62" s="763" t="n"/>
      <c r="BL62" s="763" t="n"/>
      <c r="BM62" s="763" t="n"/>
      <c r="BN62" s="763" t="n"/>
      <c r="BO62" s="934" t="n"/>
      <c r="BP62" s="763" t="n"/>
      <c r="BQ62" s="763" t="n"/>
      <c r="BR62" s="763" t="n"/>
      <c r="BS62" s="763" t="n"/>
      <c r="BT62" s="934" t="n"/>
      <c r="BU62" s="763" t="n"/>
      <c r="BV62" s="763" t="n"/>
      <c r="BW62" s="763" t="n"/>
      <c r="BX62" s="763" t="n"/>
      <c r="BY62" s="934" t="n"/>
      <c r="BZ62" s="763" t="n"/>
      <c r="CA62" s="763" t="n"/>
      <c r="CB62" s="763" t="n"/>
      <c r="CC62" s="763" t="n"/>
      <c r="CD62" s="934" t="n"/>
      <c r="CE62" s="763" t="n"/>
      <c r="CF62" s="763" t="n"/>
      <c r="CG62" s="763" t="n"/>
      <c r="CH62" s="763" t="n"/>
      <c r="CI62" s="764" t="n"/>
      <c r="CJ62" s="764" t="n"/>
      <c r="CK62" s="764" t="n"/>
      <c r="CL62" s="764" t="n"/>
      <c r="CM62" s="764" t="n"/>
      <c r="CN62" s="974" t="n"/>
      <c r="CO62" s="766" t="n"/>
      <c r="CP62" s="974" t="n"/>
      <c r="CQ62" s="693" t="n"/>
      <c r="CT62" t="inlineStr">
        <is>
          <t xml:space="preserve">  Logistics Sales y/y %</t>
        </is>
      </c>
      <c r="CU62" s="984" t="n">
        <v>0.03000000000000003</v>
      </c>
      <c r="CV62" s="984" t="n">
        <v>0.04499999999999993</v>
      </c>
      <c r="CW62" s="984" t="n">
        <v>0.05000000000000004</v>
      </c>
      <c r="CX62" s="984" t="n">
        <v>0.04499999999999993</v>
      </c>
      <c r="CY62" s="984" t="n">
        <v>0.04000000000000004</v>
      </c>
    </row>
    <row r="63" ht="16.5" customHeight="1">
      <c r="C63" s="291" t="n"/>
      <c r="D63" s="291" t="n"/>
      <c r="E63" s="291" t="n"/>
      <c r="F63" s="291" t="n"/>
      <c r="G63" s="864" t="n"/>
      <c r="H63" s="291" t="n"/>
      <c r="I63" s="291" t="n"/>
      <c r="J63" s="291" t="n"/>
      <c r="K63" s="291" t="n"/>
      <c r="L63" s="864" t="n"/>
      <c r="M63" s="291" t="n"/>
      <c r="N63" s="291" t="n"/>
      <c r="O63" s="291" t="n"/>
      <c r="P63" s="291" t="n"/>
      <c r="Q63" s="864" t="n"/>
      <c r="R63" s="291" t="n"/>
      <c r="S63" s="291" t="n"/>
      <c r="T63" s="291" t="n"/>
      <c r="U63" s="291" t="n"/>
      <c r="V63" s="864" t="n"/>
      <c r="W63" s="291" t="n"/>
      <c r="X63" s="291" t="n"/>
      <c r="Y63" s="291" t="n"/>
      <c r="Z63" s="291" t="n"/>
      <c r="AA63" s="864" t="n"/>
      <c r="AB63" s="291" t="n"/>
      <c r="AC63" s="291" t="n"/>
      <c r="AD63" s="291" t="n"/>
      <c r="AE63" s="291" t="n"/>
      <c r="AF63" s="864" t="n"/>
      <c r="AG63" s="291" t="n"/>
      <c r="AH63" s="291" t="n"/>
      <c r="AI63" s="291" t="n"/>
      <c r="AJ63" s="291" t="n"/>
      <c r="AK63" s="864" t="n"/>
      <c r="AL63" s="291" t="n"/>
      <c r="AM63" s="291" t="n"/>
      <c r="AN63" s="291" t="n"/>
      <c r="AO63" s="291" t="n"/>
      <c r="AP63" s="864" t="n"/>
      <c r="AQ63" s="291" t="n"/>
      <c r="AR63" s="291" t="n"/>
      <c r="AS63" s="291" t="n"/>
      <c r="AT63" s="291" t="n"/>
      <c r="AU63" s="864" t="n"/>
      <c r="AV63" s="291" t="n"/>
      <c r="AW63" s="291" t="n"/>
      <c r="AX63" s="291" t="n"/>
      <c r="AY63" s="291" t="n"/>
      <c r="AZ63" s="864" t="n"/>
      <c r="BA63" s="291" t="n"/>
      <c r="BB63" s="291" t="n"/>
      <c r="BC63" s="291" t="n"/>
      <c r="BD63" s="291" t="n"/>
      <c r="BE63" s="864" t="n"/>
      <c r="BF63" s="291" t="n"/>
      <c r="BG63" s="291" t="n"/>
      <c r="BH63" s="291" t="n"/>
      <c r="BI63" s="291" t="n"/>
      <c r="BJ63" s="864" t="n"/>
      <c r="BK63" s="291" t="n"/>
      <c r="BL63" s="291" t="n"/>
      <c r="BM63" s="291" t="n"/>
      <c r="BN63" s="291" t="n"/>
      <c r="BO63" s="864" t="n"/>
      <c r="BP63" s="291" t="n"/>
      <c r="BQ63" s="291" t="n"/>
      <c r="BR63" s="291" t="n"/>
      <c r="BS63" s="291" t="n"/>
      <c r="BT63" s="864" t="n"/>
      <c r="BU63" s="291" t="n"/>
      <c r="BV63" s="291" t="n"/>
      <c r="BW63" s="291" t="n"/>
      <c r="BX63" s="291" t="n"/>
      <c r="BY63" s="864" t="n"/>
      <c r="BZ63" s="291" t="n"/>
      <c r="CA63" s="291" t="n"/>
      <c r="CB63" s="291" t="n"/>
      <c r="CC63" s="291" t="n"/>
      <c r="CD63" s="864" t="n"/>
      <c r="CE63" s="291" t="n"/>
      <c r="CF63" s="291" t="n"/>
      <c r="CG63" s="291" t="n"/>
      <c r="CH63" s="291" t="n"/>
      <c r="CI63" s="749" t="n"/>
      <c r="CJ63" s="749" t="n"/>
      <c r="CK63" s="749" t="n"/>
      <c r="CL63" s="749" t="n"/>
      <c r="CM63" s="749" t="n"/>
      <c r="CN63" s="291" t="n"/>
      <c r="CO63" s="766" t="n"/>
      <c r="CP63" s="291" t="n"/>
      <c r="CQ63" s="693" t="n"/>
      <c r="CT63" t="inlineStr">
        <is>
          <t xml:space="preserve">  Logistics EBIT margin %</t>
        </is>
      </c>
      <c r="CU63" s="984" t="n">
        <v>0.09</v>
      </c>
      <c r="CV63" s="984" t="n">
        <v>0.095</v>
      </c>
      <c r="CW63" s="984" t="n">
        <v>0.1</v>
      </c>
      <c r="CX63" s="984" t="n">
        <v>0.1</v>
      </c>
      <c r="CY63" s="984" t="n">
        <v>0.1</v>
      </c>
    </row>
    <row r="64" ht="16.5" customHeight="1">
      <c r="B64" s="223" t="inlineStr">
        <is>
          <t>Truckload</t>
        </is>
      </c>
      <c r="C64" s="224" t="n"/>
      <c r="D64" s="224" t="n"/>
      <c r="E64" s="224" t="n"/>
      <c r="F64" s="224" t="n"/>
      <c r="G64" s="867" t="n"/>
      <c r="H64" s="224" t="n"/>
      <c r="I64" s="224" t="n"/>
      <c r="J64" s="224" t="n"/>
      <c r="K64" s="224" t="n"/>
      <c r="L64" s="867" t="n"/>
      <c r="M64" s="224" t="n"/>
      <c r="N64" s="224" t="n"/>
      <c r="O64" s="224" t="n"/>
      <c r="P64" s="224" t="n"/>
      <c r="Q64" s="867" t="n"/>
      <c r="R64" s="224" t="n"/>
      <c r="S64" s="224" t="n"/>
      <c r="T64" s="224" t="n"/>
      <c r="U64" s="224" t="n"/>
      <c r="V64" s="867" t="n"/>
      <c r="W64" s="224" t="n"/>
      <c r="X64" s="224" t="n"/>
      <c r="Y64" s="224" t="n"/>
      <c r="Z64" s="224" t="n"/>
      <c r="AA64" s="867" t="n"/>
      <c r="AB64" s="224" t="n"/>
      <c r="AC64" s="224" t="n"/>
      <c r="AD64" s="224" t="n"/>
      <c r="AE64" s="224" t="n"/>
      <c r="AF64" s="867" t="n"/>
      <c r="AG64" s="224" t="n"/>
      <c r="AH64" s="224" t="n"/>
      <c r="AI64" s="224" t="n"/>
      <c r="AJ64" s="224" t="n"/>
      <c r="AK64" s="867" t="n"/>
      <c r="AL64" s="224" t="n"/>
      <c r="AM64" s="224" t="n"/>
      <c r="AN64" s="224" t="n"/>
      <c r="AO64" s="224" t="n"/>
      <c r="AP64" s="867" t="n"/>
      <c r="AQ64" s="224" t="n"/>
      <c r="AR64" s="224" t="n"/>
      <c r="AS64" s="224" t="n"/>
      <c r="AT64" s="224" t="n"/>
      <c r="AU64" s="867" t="n"/>
      <c r="AV64" s="224" t="n"/>
      <c r="AW64" s="224" t="n"/>
      <c r="AX64" s="224" t="n"/>
      <c r="AY64" s="224" t="n"/>
      <c r="AZ64" s="867" t="n"/>
      <c r="BA64" s="224" t="n"/>
      <c r="BB64" s="224" t="n"/>
      <c r="BC64" s="224" t="n"/>
      <c r="BD64" s="224" t="n"/>
      <c r="BE64" s="867" t="n"/>
      <c r="BF64" s="224" t="n"/>
      <c r="BG64" s="224" t="n"/>
      <c r="BH64" s="224" t="n"/>
      <c r="BI64" s="224" t="n"/>
      <c r="BJ64" s="867" t="n"/>
      <c r="BK64" s="224" t="n"/>
      <c r="BL64" s="224" t="n"/>
      <c r="BM64" s="224" t="n"/>
      <c r="BN64" s="224" t="n"/>
      <c r="BO64" s="867" t="n"/>
      <c r="BP64" s="224" t="n"/>
      <c r="BQ64" s="224" t="n"/>
      <c r="BR64" s="224" t="n"/>
      <c r="BS64" s="224" t="n"/>
      <c r="BT64" s="867" t="n"/>
      <c r="BU64" s="224" t="n"/>
      <c r="BV64" s="224" t="n"/>
      <c r="BW64" s="224" t="n"/>
      <c r="BX64" s="224" t="n"/>
      <c r="BY64" s="867" t="n"/>
      <c r="BZ64" s="224" t="n"/>
      <c r="CA64" s="224" t="n"/>
      <c r="CB64" s="224" t="n"/>
      <c r="CC64" s="224" t="n"/>
      <c r="CD64" s="867" t="n"/>
      <c r="CE64" s="224" t="n"/>
      <c r="CF64" s="224" t="n"/>
      <c r="CG64" s="224" t="n"/>
      <c r="CH64" s="224" t="n"/>
      <c r="CI64" s="224" t="n"/>
      <c r="CJ64" s="224" t="n"/>
      <c r="CK64" s="224" t="n"/>
      <c r="CL64" s="224" t="n"/>
      <c r="CM64" s="224" t="n"/>
      <c r="CN64" s="224" t="n"/>
      <c r="CO64" s="684" t="n"/>
      <c r="CP64" s="224" t="n"/>
      <c r="CQ64" s="693" t="n"/>
      <c r="CT64" t="inlineStr">
        <is>
          <t>[Segment 4] sales y/y %</t>
        </is>
      </c>
      <c r="CU64" s="984" t="n"/>
      <c r="CV64" s="984" t="n"/>
      <c r="CW64" s="984" t="n"/>
      <c r="CX64" s="984" t="n"/>
      <c r="CY64" s="984" t="n"/>
    </row>
    <row r="65" ht="16.5" customHeight="1">
      <c r="B65" s="12" t="inlineStr">
        <is>
          <t xml:space="preserve">  Net sales</t>
        </is>
      </c>
      <c r="C65" s="743" t="n"/>
      <c r="D65" s="743" t="n"/>
      <c r="E65" s="743" t="n"/>
      <c r="F65" s="743" t="n"/>
      <c r="G65" s="868" t="n"/>
      <c r="H65" s="743" t="n"/>
      <c r="I65" s="743" t="n"/>
      <c r="J65" s="743" t="n"/>
      <c r="K65" s="743" t="n"/>
      <c r="L65" s="868" t="n"/>
      <c r="M65" s="743" t="n"/>
      <c r="N65" s="743" t="n"/>
      <c r="O65" s="743" t="n"/>
      <c r="P65" s="743" t="n"/>
      <c r="Q65" s="868" t="n"/>
      <c r="R65" s="743" t="n"/>
      <c r="S65" s="743" t="n"/>
      <c r="T65" s="743" t="n"/>
      <c r="U65" s="743" t="n"/>
      <c r="V65" s="868" t="n"/>
      <c r="W65" s="743" t="n"/>
      <c r="X65" s="743" t="n"/>
      <c r="Y65" s="743" t="n"/>
      <c r="Z65" s="743" t="n"/>
      <c r="AA65" s="868" t="n"/>
      <c r="AB65" s="743" t="n"/>
      <c r="AC65" s="743" t="n"/>
      <c r="AD65" s="743" t="n"/>
      <c r="AE65" s="743" t="n"/>
      <c r="AF65" s="868" t="n"/>
      <c r="AG65" s="743" t="n"/>
      <c r="AH65" s="743" t="n"/>
      <c r="AI65" s="743" t="n"/>
      <c r="AJ65" s="743" t="n"/>
      <c r="AK65" s="868" t="n"/>
      <c r="AL65" s="743" t="n"/>
      <c r="AM65" s="291" t="n"/>
      <c r="AN65" s="291" t="n"/>
      <c r="AO65" s="291" t="n"/>
      <c r="AP65" s="864" t="n"/>
      <c r="AQ65" s="291" t="n"/>
      <c r="AR65" s="291" t="n"/>
      <c r="AS65" s="291" t="n"/>
      <c r="AT65" s="291" t="n"/>
      <c r="AU65" s="864" t="n"/>
      <c r="AV65" s="291" t="n"/>
      <c r="AW65" s="291" t="n"/>
      <c r="AX65" s="291" t="n"/>
      <c r="AY65" s="291" t="n"/>
      <c r="AZ65" s="864" t="n"/>
      <c r="BA65" s="291" t="n"/>
      <c r="BB65" s="291" t="n"/>
      <c r="BC65" s="291" t="n"/>
      <c r="BD65" s="291" t="n"/>
      <c r="BE65" s="864" t="n"/>
      <c r="BF65" s="291" t="n"/>
      <c r="BG65" s="291" t="n"/>
      <c r="BH65" s="291" t="n"/>
      <c r="BI65" s="291" t="n"/>
      <c r="BJ65" s="864" t="n"/>
      <c r="BK65" s="977" t="n"/>
      <c r="BL65" s="977" t="n"/>
      <c r="BM65" s="977" t="n"/>
      <c r="BN65" s="978">
        <f>BO65-BK65-BL65-BM65</f>
        <v/>
      </c>
      <c r="BO65" s="979" t="n"/>
      <c r="BP65" s="743" t="n"/>
      <c r="BQ65" s="743" t="n"/>
      <c r="BR65" s="743" t="n"/>
      <c r="BS65" s="291">
        <f>BT65-BP65-BQ65-BR65</f>
        <v/>
      </c>
      <c r="BT65" s="868" t="n"/>
      <c r="BU65" s="743" t="n"/>
      <c r="BV65" s="743" t="n">
        <v>737.687</v>
      </c>
      <c r="BW65" s="743" t="n">
        <v>722.8819999999999</v>
      </c>
      <c r="BX65" s="291">
        <f>BY65-BU65-BV65-BW65</f>
        <v/>
      </c>
      <c r="BY65" s="868" t="n">
        <v>2937.305</v>
      </c>
      <c r="BZ65" s="743" t="n">
        <v>662.855</v>
      </c>
      <c r="CA65" s="743" t="n">
        <v>712.283</v>
      </c>
      <c r="CB65" s="743" t="n">
        <v>684.104</v>
      </c>
      <c r="CC65" s="291">
        <f>CD65-BZ65-CA65-CB65</f>
        <v/>
      </c>
      <c r="CD65" s="868" t="n">
        <v>3097.231</v>
      </c>
      <c r="CE65" s="743" t="n"/>
      <c r="CF65" s="743" t="n"/>
      <c r="CG65" s="291">
        <f>CB65*(1+CG66)</f>
        <v/>
      </c>
      <c r="CH65" s="291">
        <f>CI65-CE65-CF65-CG65</f>
        <v/>
      </c>
      <c r="CI65" s="749">
        <f>CD65*(1+CI66)</f>
        <v/>
      </c>
      <c r="CJ65" s="749">
        <f>CI65*(1+CJ66)</f>
        <v/>
      </c>
      <c r="CK65" s="749">
        <f>CJ65*(1+CK66)</f>
        <v/>
      </c>
      <c r="CL65" s="749">
        <f>CK65*(1+CL66)</f>
        <v/>
      </c>
      <c r="CM65" s="749">
        <f>CL65*(1+CM66)</f>
        <v/>
      </c>
      <c r="CN65" s="291" t="n"/>
      <c r="CO65" s="766" t="n">
        <v>0.07081634145252309</v>
      </c>
      <c r="CP65" s="291" t="n"/>
      <c r="CQ65" s="694" t="n"/>
      <c r="CT65" t="inlineStr">
        <is>
          <t>[Segment 4] EBIT margin %</t>
        </is>
      </c>
      <c r="CU65" s="984" t="n"/>
      <c r="CV65" s="984" t="n"/>
      <c r="CW65" s="984" t="n"/>
      <c r="CX65" s="984" t="n"/>
      <c r="CY65" s="984" t="n"/>
    </row>
    <row r="66" ht="16.5" customHeight="1">
      <c r="B66" s="690" t="inlineStr">
        <is>
          <t xml:space="preserve">  Sales y/y %</t>
        </is>
      </c>
      <c r="C66" s="743" t="n"/>
      <c r="D66" s="743" t="n"/>
      <c r="E66" s="743" t="n"/>
      <c r="F66" s="743" t="n"/>
      <c r="G66" s="868" t="n"/>
      <c r="H66" s="743" t="n"/>
      <c r="I66" s="743" t="n"/>
      <c r="J66" s="743" t="n"/>
      <c r="K66" s="743" t="n"/>
      <c r="L66" s="868" t="n"/>
      <c r="M66" s="743" t="n"/>
      <c r="N66" s="743" t="n"/>
      <c r="O66" s="743" t="n"/>
      <c r="P66" s="743" t="n"/>
      <c r="Q66" s="868" t="n"/>
      <c r="R66" s="743" t="n"/>
      <c r="S66" s="743" t="n"/>
      <c r="T66" s="743" t="n"/>
      <c r="U66" s="743" t="n"/>
      <c r="V66" s="868" t="n"/>
      <c r="W66" s="743" t="n"/>
      <c r="X66" s="743" t="n"/>
      <c r="Y66" s="743" t="n"/>
      <c r="Z66" s="743" t="n"/>
      <c r="AA66" s="868" t="n"/>
      <c r="AB66" s="743" t="n"/>
      <c r="AC66" s="743" t="n"/>
      <c r="AD66" s="743" t="n"/>
      <c r="AE66" s="743" t="n"/>
      <c r="AF66" s="868" t="n"/>
      <c r="AG66" s="743" t="n"/>
      <c r="AH66" s="743" t="n"/>
      <c r="AI66" s="743" t="n"/>
      <c r="AJ66" s="743" t="n"/>
      <c r="AK66" s="868" t="n"/>
      <c r="AL66" s="743" t="n"/>
      <c r="AM66" s="291" t="n"/>
      <c r="AN66" s="291" t="n"/>
      <c r="AO66" s="291" t="n"/>
      <c r="AP66" s="864" t="n"/>
      <c r="AQ66" s="291" t="n"/>
      <c r="AR66" s="291" t="n"/>
      <c r="AS66" s="291" t="n"/>
      <c r="AT66" s="291" t="n"/>
      <c r="AU66" s="864" t="n"/>
      <c r="AV66" s="291" t="n"/>
      <c r="AW66" s="291" t="n"/>
      <c r="AX66" s="291" t="n"/>
      <c r="AY66" s="291" t="n"/>
      <c r="AZ66" s="864" t="n"/>
      <c r="BA66" s="291" t="n"/>
      <c r="BB66" s="291" t="n"/>
      <c r="BC66" s="291" t="n"/>
      <c r="BD66" s="291" t="n"/>
      <c r="BE66" s="864" t="n"/>
      <c r="BF66" s="291" t="n"/>
      <c r="BG66" s="291" t="n"/>
      <c r="BH66" s="291" t="n"/>
      <c r="BI66" s="291" t="n"/>
      <c r="BJ66" s="864" t="n"/>
      <c r="BK66" s="974">
        <f>IFERROR(BK65/BF65-1,"")</f>
        <v/>
      </c>
      <c r="BL66" s="974">
        <f>IFERROR(BL65/BG65-1,"")</f>
        <v/>
      </c>
      <c r="BM66" s="974">
        <f>IFERROR(BM65/BH65-1,"")</f>
        <v/>
      </c>
      <c r="BN66" s="974">
        <f>IFERROR(BN65/BI65-1,"")</f>
        <v/>
      </c>
      <c r="BO66" s="975">
        <f>IFERROR(BO65/BJ65-1,"")</f>
        <v/>
      </c>
      <c r="BP66" s="974">
        <f>IFERROR(BP65/BK65-1,"")</f>
        <v/>
      </c>
      <c r="BQ66" s="974">
        <f>IFERROR(BQ65/BL65-1,"")</f>
        <v/>
      </c>
      <c r="BR66" s="974">
        <f>IFERROR(BR65/BM65-1,"")</f>
        <v/>
      </c>
      <c r="BS66" s="974">
        <f>IFERROR(BS65/BN65-1,"")</f>
        <v/>
      </c>
      <c r="BT66" s="975">
        <f>IFERROR(BT65/BO65-1,"")</f>
        <v/>
      </c>
      <c r="BU66" s="974">
        <f>IFERROR(BU65/BP65-1,"")</f>
        <v/>
      </c>
      <c r="BV66" s="974">
        <f>IFERROR(BV65/BQ65-1,"")</f>
        <v/>
      </c>
      <c r="BW66" s="974">
        <f>IFERROR(BW65/BR65-1,"")</f>
        <v/>
      </c>
      <c r="BX66" s="974">
        <f>IFERROR(BX65/BS65-1,"")</f>
        <v/>
      </c>
      <c r="BY66" s="975">
        <f>IFERROR(BY65/BT27-1,"")</f>
        <v/>
      </c>
      <c r="BZ66" s="974">
        <f>IFERROR(BZ65/BU65-1,"")</f>
        <v/>
      </c>
      <c r="CA66" s="974">
        <f>IFERROR(CA65/BV65-1,"")</f>
        <v/>
      </c>
      <c r="CB66" s="974">
        <f>IFERROR(CB65/BW65-1,"")</f>
        <v/>
      </c>
      <c r="CC66" s="974">
        <f>IFERROR(CC65/BX65-1,"")</f>
        <v/>
      </c>
      <c r="CD66" s="975">
        <f>IFERROR(CD65/BY65-1,"")</f>
        <v/>
      </c>
      <c r="CE66" s="974">
        <f>IFERROR(CE65/BZ65-1,"")</f>
        <v/>
      </c>
      <c r="CF66" s="974">
        <f>IFERROR(CF65/CA65-1,"")</f>
        <v/>
      </c>
      <c r="CG66" s="980" t="n"/>
      <c r="CH66" s="974">
        <f>IFERROR(CH65/CC65-1,"")</f>
        <v/>
      </c>
      <c r="CI66" s="981">
        <f>CHOOSE(MATCH($CO$3,{"Base";"Bull";"Bear"},0),CU60,CU70,CU80)</f>
        <v/>
      </c>
      <c r="CJ66" s="981">
        <f>CHOOSE(MATCH($CO$3,{"Base";"Bull";"Bear"},0),CV60,CV70,CV80)</f>
        <v/>
      </c>
      <c r="CK66" s="981">
        <f>CHOOSE(MATCH($CO$3,{"Base";"Bull";"Bear"},0),CW60,CW70,CW80)</f>
        <v/>
      </c>
      <c r="CL66" s="981">
        <f>CHOOSE(MATCH($CO$3,{"Base";"Bull";"Bear"},0),CX60,CX70,CX80)</f>
        <v/>
      </c>
      <c r="CM66" s="981">
        <f>CHOOSE(MATCH($CO$3,{"Base";"Bull";"Bear"},0),CY60,CY70,CY80)</f>
        <v/>
      </c>
      <c r="CN66" s="291" t="n"/>
      <c r="CO66" s="766" t="n"/>
      <c r="CP66" s="291" t="n"/>
      <c r="CQ66" s="694" t="n"/>
    </row>
    <row r="67" ht="16.5" customHeight="1">
      <c r="B67" s="12" t="inlineStr">
        <is>
          <t xml:space="preserve">  EBIT</t>
        </is>
      </c>
      <c r="C67" s="974" t="n"/>
      <c r="D67" s="974" t="n"/>
      <c r="E67" s="974" t="n"/>
      <c r="F67" s="974" t="n"/>
      <c r="G67" s="975" t="n"/>
      <c r="H67" s="974" t="n"/>
      <c r="I67" s="974" t="n"/>
      <c r="J67" s="974" t="n"/>
      <c r="K67" s="974" t="n"/>
      <c r="L67" s="975" t="n"/>
      <c r="M67" s="974" t="n"/>
      <c r="N67" s="974" t="n"/>
      <c r="O67" s="974" t="n"/>
      <c r="P67" s="974" t="n"/>
      <c r="Q67" s="975" t="n"/>
      <c r="R67" s="974" t="n"/>
      <c r="S67" s="974" t="n"/>
      <c r="T67" s="974" t="n"/>
      <c r="U67" s="974" t="n"/>
      <c r="V67" s="975" t="n"/>
      <c r="W67" s="974" t="n"/>
      <c r="X67" s="974" t="n"/>
      <c r="Y67" s="974" t="n"/>
      <c r="Z67" s="974" t="n"/>
      <c r="AA67" s="975" t="n"/>
      <c r="AB67" s="974" t="n"/>
      <c r="AC67" s="974" t="n"/>
      <c r="AD67" s="974" t="n"/>
      <c r="AE67" s="974" t="n"/>
      <c r="AF67" s="975" t="n"/>
      <c r="AG67" s="974" t="n"/>
      <c r="AH67" s="974" t="n"/>
      <c r="AI67" s="974" t="n"/>
      <c r="AJ67" s="974" t="n"/>
      <c r="AK67" s="975" t="n"/>
      <c r="AL67" s="974" t="n"/>
      <c r="AM67" s="974" t="n"/>
      <c r="AN67" s="974" t="n"/>
      <c r="AO67" s="974" t="n"/>
      <c r="AP67" s="975" t="n"/>
      <c r="AQ67" s="974" t="n"/>
      <c r="AR67" s="974" t="n"/>
      <c r="AS67" s="974" t="n"/>
      <c r="AT67" s="974" t="n"/>
      <c r="AU67" s="975" t="n"/>
      <c r="AV67" s="974" t="n"/>
      <c r="AW67" s="974" t="n"/>
      <c r="AX67" s="974" t="n"/>
      <c r="AY67" s="974" t="n"/>
      <c r="AZ67" s="975" t="n"/>
      <c r="BA67" s="974" t="n"/>
      <c r="BB67" s="974" t="n"/>
      <c r="BC67" s="974" t="n"/>
      <c r="BD67" s="974" t="n"/>
      <c r="BE67" s="975" t="n"/>
      <c r="BF67" s="974" t="n"/>
      <c r="BG67" s="974" t="n"/>
      <c r="BH67" s="974" t="n"/>
      <c r="BI67" s="974" t="n"/>
      <c r="BJ67" s="975" t="n"/>
      <c r="BK67" s="978" t="n"/>
      <c r="BL67" s="978" t="n"/>
      <c r="BM67" s="978" t="n"/>
      <c r="BN67" s="978">
        <f>BO67-BK67-BL67-BM67</f>
        <v/>
      </c>
      <c r="BO67" s="979" t="n"/>
      <c r="BP67" s="743" t="n"/>
      <c r="BQ67" s="743" t="n"/>
      <c r="BR67" s="743" t="n"/>
      <c r="BS67" s="291">
        <f>BT67-BP67-BQ67-BR67</f>
        <v/>
      </c>
      <c r="BT67" s="868" t="n"/>
      <c r="BU67" s="743" t="n"/>
      <c r="BV67" s="743" t="n">
        <v>83.32899999999999</v>
      </c>
      <c r="BW67" s="743" t="n">
        <v>70.10899999999999</v>
      </c>
      <c r="BX67" s="291">
        <f>BY67-BU67-BV67-BW67</f>
        <v/>
      </c>
      <c r="BY67" s="868" t="n">
        <v>252.434</v>
      </c>
      <c r="BZ67" s="743" t="n">
        <v>48.778</v>
      </c>
      <c r="CA67" s="743" t="n">
        <v>70.565</v>
      </c>
      <c r="CB67" s="743" t="n">
        <v>52.606</v>
      </c>
      <c r="CC67" s="291">
        <f>CD67-BZ67-CA67-CB67</f>
        <v/>
      </c>
      <c r="CD67" s="868" t="n">
        <v>220.145</v>
      </c>
      <c r="CE67" s="977" t="n"/>
      <c r="CF67" s="977" t="n"/>
      <c r="CG67" s="978">
        <f>CG65*CG69</f>
        <v/>
      </c>
      <c r="CH67" s="978">
        <f>CH65*CH69</f>
        <v/>
      </c>
      <c r="CI67" s="983">
        <f>CI65*CI69</f>
        <v/>
      </c>
      <c r="CJ67" s="749">
        <f>CJ65*CJ69</f>
        <v/>
      </c>
      <c r="CK67" s="749">
        <f>CK65*CK69</f>
        <v/>
      </c>
      <c r="CL67" s="749">
        <f>CL65*CL69</f>
        <v/>
      </c>
      <c r="CM67" s="749">
        <f>CM65*CM69</f>
        <v/>
      </c>
      <c r="CN67" s="974" t="n"/>
      <c r="CO67" s="766" t="n"/>
      <c r="CP67" s="974" t="n"/>
      <c r="CQ67" s="693" t="n"/>
      <c r="CT67" s="968" t="inlineStr">
        <is>
          <t>BULL CASE</t>
        </is>
      </c>
    </row>
    <row r="68" ht="16.5" customHeight="1">
      <c r="B68" s="12" t="inlineStr">
        <is>
          <t xml:space="preserve">  EBIT y/y %</t>
        </is>
      </c>
      <c r="C68" s="974" t="n"/>
      <c r="D68" s="974" t="n"/>
      <c r="E68" s="974" t="n"/>
      <c r="F68" s="974" t="n"/>
      <c r="G68" s="975" t="n"/>
      <c r="H68" s="974" t="n"/>
      <c r="I68" s="974" t="n"/>
      <c r="J68" s="974" t="n"/>
      <c r="K68" s="974" t="n"/>
      <c r="L68" s="975" t="n"/>
      <c r="M68" s="974" t="n"/>
      <c r="N68" s="974" t="n"/>
      <c r="O68" s="974" t="n"/>
      <c r="P68" s="974" t="n"/>
      <c r="Q68" s="975" t="n"/>
      <c r="R68" s="974" t="n"/>
      <c r="S68" s="974" t="n"/>
      <c r="T68" s="974" t="n"/>
      <c r="U68" s="974" t="n"/>
      <c r="V68" s="975" t="n"/>
      <c r="W68" s="974" t="n"/>
      <c r="X68" s="974" t="n"/>
      <c r="Y68" s="974" t="n"/>
      <c r="Z68" s="974" t="n"/>
      <c r="AA68" s="975" t="n"/>
      <c r="AB68" s="974" t="n"/>
      <c r="AC68" s="974" t="n"/>
      <c r="AD68" s="974" t="n"/>
      <c r="AE68" s="974" t="n"/>
      <c r="AF68" s="975" t="n"/>
      <c r="AG68" s="974" t="n"/>
      <c r="AH68" s="974" t="n"/>
      <c r="AI68" s="974" t="n"/>
      <c r="AJ68" s="974" t="n"/>
      <c r="AK68" s="975" t="n"/>
      <c r="AL68" s="974" t="n"/>
      <c r="AM68" s="974" t="n"/>
      <c r="AN68" s="974" t="n"/>
      <c r="AO68" s="974" t="n"/>
      <c r="AP68" s="975" t="n"/>
      <c r="AQ68" s="974" t="n"/>
      <c r="AR68" s="974" t="n"/>
      <c r="AS68" s="974" t="n"/>
      <c r="AT68" s="974" t="n"/>
      <c r="AU68" s="975" t="n"/>
      <c r="AV68" s="974" t="n"/>
      <c r="AW68" s="974" t="n"/>
      <c r="AX68" s="974" t="n"/>
      <c r="AY68" s="974" t="n"/>
      <c r="AZ68" s="975" t="n"/>
      <c r="BA68" s="974" t="n"/>
      <c r="BB68" s="974" t="n"/>
      <c r="BC68" s="974" t="n"/>
      <c r="BD68" s="974" t="n"/>
      <c r="BE68" s="975" t="n"/>
      <c r="BF68" s="974" t="n"/>
      <c r="BG68" s="974" t="n"/>
      <c r="BH68" s="974" t="n"/>
      <c r="BI68" s="974" t="n"/>
      <c r="BJ68" s="975" t="n"/>
      <c r="BK68" s="974">
        <f>IFERROR(BK67/BF67-1,"")</f>
        <v/>
      </c>
      <c r="BL68" s="974">
        <f>IFERROR(BL67/BG67-1,"")</f>
        <v/>
      </c>
      <c r="BM68" s="974">
        <f>IFERROR(BM67/BH67-1,"")</f>
        <v/>
      </c>
      <c r="BN68" s="974">
        <f>IFERROR(BN67/BI67-1,"")</f>
        <v/>
      </c>
      <c r="BO68" s="975">
        <f>IFERROR(BO67/BJ67-1,"")</f>
        <v/>
      </c>
      <c r="BP68" s="974">
        <f>IFERROR(BP67/BK67-1,"")</f>
        <v/>
      </c>
      <c r="BQ68" s="974">
        <f>IFERROR(BQ67/BL67-1,"")</f>
        <v/>
      </c>
      <c r="BR68" s="974">
        <f>IFERROR(BR67/BM67-1,"")</f>
        <v/>
      </c>
      <c r="BS68" s="974">
        <f>IFERROR(BS67/BN67-1,"")</f>
        <v/>
      </c>
      <c r="BT68" s="975">
        <f>IFERROR(BT67/BO67-1,"")</f>
        <v/>
      </c>
      <c r="BU68" s="974">
        <f>IFERROR(BU67/BP67-1,"")</f>
        <v/>
      </c>
      <c r="BV68" s="974">
        <f>IFERROR(BV67/BQ67-1,"")</f>
        <v/>
      </c>
      <c r="BW68" s="974">
        <f>IFERROR(BW67/BR67-1,"")</f>
        <v/>
      </c>
      <c r="BX68" s="974">
        <f>IFERROR(BX67/BS67-1,"")</f>
        <v/>
      </c>
      <c r="BY68" s="975">
        <f>IFERROR(BY67/BT28-1,"")</f>
        <v/>
      </c>
      <c r="BZ68" s="974">
        <f>IFERROR(BZ67/BU67-1,"")</f>
        <v/>
      </c>
      <c r="CA68" s="974">
        <f>IFERROR(CA67/BV67-1,"")</f>
        <v/>
      </c>
      <c r="CB68" s="974">
        <f>IFERROR(CB67/BW67-1,"")</f>
        <v/>
      </c>
      <c r="CC68" s="974">
        <f>IFERROR(CC67/BX67-1,"")</f>
        <v/>
      </c>
      <c r="CD68" s="975">
        <f>IFERROR(CD67/BY67-1,"")</f>
        <v/>
      </c>
      <c r="CE68" s="974">
        <f>IFERROR(CE67/BZ67-1,"")</f>
        <v/>
      </c>
      <c r="CF68" s="974">
        <f>IFERROR(CF67/CA67-1,"")</f>
        <v/>
      </c>
      <c r="CG68" s="974">
        <f>IFERROR(CG67/CB67-1,"")</f>
        <v/>
      </c>
      <c r="CH68" s="974">
        <f>IFERROR(CH67/CC67-1,"")</f>
        <v/>
      </c>
      <c r="CI68" s="976">
        <f>IFERROR(CI67/CD67-1,"")</f>
        <v/>
      </c>
      <c r="CJ68" s="976">
        <f>IFERROR(CJ67/CI67-1,"")</f>
        <v/>
      </c>
      <c r="CK68" s="976">
        <f>IFERROR(CK67/CJ67-1,"")</f>
        <v/>
      </c>
      <c r="CL68" s="976">
        <f>IFERROR(CL67/CK67-1,"")</f>
        <v/>
      </c>
      <c r="CM68" s="976">
        <f>IFERROR(CM67/CL67-1,"")</f>
        <v/>
      </c>
      <c r="CN68" s="974" t="n"/>
      <c r="CO68" s="766" t="n"/>
      <c r="CP68" s="974" t="n"/>
      <c r="CQ68" s="693" t="n"/>
      <c r="CT68" t="inlineStr">
        <is>
          <t xml:space="preserve">  Less-Than-Truckload Sales y/y %</t>
        </is>
      </c>
      <c r="CU68" s="984" t="n">
        <v>0.0302</v>
      </c>
      <c r="CV68" s="984" t="n">
        <v>0.07640000000000002</v>
      </c>
      <c r="CW68" s="984" t="n">
        <v>0.08160000000000012</v>
      </c>
      <c r="CX68" s="984" t="n">
        <v>0.07122499999999987</v>
      </c>
      <c r="CY68" s="984" t="n">
        <v>0.06089999999999995</v>
      </c>
    </row>
    <row r="69" ht="16.5" customHeight="1">
      <c r="B69" s="12" t="inlineStr">
        <is>
          <t xml:space="preserve">  EBIT %</t>
        </is>
      </c>
      <c r="C69" s="743" t="n"/>
      <c r="D69" s="743" t="n"/>
      <c r="E69" s="743" t="n"/>
      <c r="F69" s="743" t="n"/>
      <c r="G69" s="868" t="n"/>
      <c r="H69" s="743" t="n"/>
      <c r="I69" s="743" t="n"/>
      <c r="J69" s="743" t="n"/>
      <c r="K69" s="743" t="n"/>
      <c r="L69" s="868" t="n"/>
      <c r="M69" s="743" t="n"/>
      <c r="N69" s="743" t="n"/>
      <c r="O69" s="743" t="n"/>
      <c r="P69" s="743" t="n"/>
      <c r="Q69" s="868" t="n"/>
      <c r="R69" s="743" t="n"/>
      <c r="S69" s="743" t="n"/>
      <c r="T69" s="743" t="n"/>
      <c r="U69" s="743" t="n"/>
      <c r="V69" s="868" t="n"/>
      <c r="W69" s="743" t="n"/>
      <c r="X69" s="743" t="n"/>
      <c r="Y69" s="743" t="n"/>
      <c r="Z69" s="743" t="n"/>
      <c r="AA69" s="868" t="n"/>
      <c r="AB69" s="743" t="n"/>
      <c r="AC69" s="743" t="n"/>
      <c r="AD69" s="743" t="n"/>
      <c r="AE69" s="743" t="n"/>
      <c r="AF69" s="868" t="n"/>
      <c r="AG69" s="743" t="n"/>
      <c r="AH69" s="743" t="n"/>
      <c r="AI69" s="743" t="n"/>
      <c r="AJ69" s="743" t="n"/>
      <c r="AK69" s="868" t="n"/>
      <c r="AL69" s="743" t="n"/>
      <c r="AM69" s="291" t="n"/>
      <c r="AN69" s="291" t="n"/>
      <c r="AO69" s="291" t="n"/>
      <c r="AP69" s="864" t="n"/>
      <c r="AQ69" s="291" t="n"/>
      <c r="AR69" s="291" t="n"/>
      <c r="AS69" s="291" t="n"/>
      <c r="AT69" s="291" t="n"/>
      <c r="AU69" s="864" t="n"/>
      <c r="AV69" s="291" t="n"/>
      <c r="AW69" s="291" t="n"/>
      <c r="AX69" s="291" t="n"/>
      <c r="AY69" s="291" t="n"/>
      <c r="AZ69" s="864" t="n"/>
      <c r="BA69" s="291" t="n"/>
      <c r="BB69" s="291" t="n"/>
      <c r="BC69" s="291" t="n"/>
      <c r="BD69" s="291" t="n"/>
      <c r="BE69" s="864" t="n"/>
      <c r="BF69" s="291" t="n"/>
      <c r="BG69" s="291" t="n"/>
      <c r="BH69" s="291" t="n"/>
      <c r="BI69" s="291" t="n"/>
      <c r="BJ69" s="864" t="n"/>
      <c r="BK69" s="974">
        <f>IFERROR(BK67/BK65,"")</f>
        <v/>
      </c>
      <c r="BL69" s="974">
        <f>IFERROR(BL67/BL65,"")</f>
        <v/>
      </c>
      <c r="BM69" s="974">
        <f>IFERROR(BM67/BM65,"")</f>
        <v/>
      </c>
      <c r="BN69" s="974">
        <f>IFERROR(BN67/BN65,"")</f>
        <v/>
      </c>
      <c r="BO69" s="975">
        <f>IFERROR(BO67/BO65,"")</f>
        <v/>
      </c>
      <c r="BP69" s="974">
        <f>IFERROR(BP67/BP65,"")</f>
        <v/>
      </c>
      <c r="BQ69" s="974">
        <f>IFERROR(BQ67/BQ65,"")</f>
        <v/>
      </c>
      <c r="BR69" s="974">
        <f>IFERROR(BR67/BR65,"")</f>
        <v/>
      </c>
      <c r="BS69" s="974">
        <f>IFERROR(BS67/BS65,"")</f>
        <v/>
      </c>
      <c r="BT69" s="975">
        <f>IFERROR(BT67/BT65,"")</f>
        <v/>
      </c>
      <c r="BU69" s="974">
        <f>IFERROR(BU67/BU65,"")</f>
        <v/>
      </c>
      <c r="BV69" s="974">
        <f>IFERROR(BV67/BV65,"")</f>
        <v/>
      </c>
      <c r="BW69" s="974">
        <f>IFERROR(BW67/BW65,"")</f>
        <v/>
      </c>
      <c r="BX69" s="974">
        <f>IFERROR(BX67/BX65,"")</f>
        <v/>
      </c>
      <c r="BY69" s="975">
        <f>IFERROR(BY67/BY65,"")</f>
        <v/>
      </c>
      <c r="BZ69" s="974">
        <f>IFERROR(BZ67/BZ65,"")</f>
        <v/>
      </c>
      <c r="CA69" s="974">
        <f>IFERROR(CA67/CA65,"")</f>
        <v/>
      </c>
      <c r="CB69" s="974">
        <f>IFERROR(CB67/CB65,"")</f>
        <v/>
      </c>
      <c r="CC69" s="974">
        <f>IFERROR(CC67/CC65,"")</f>
        <v/>
      </c>
      <c r="CD69" s="975">
        <f>IFERROR(CD67/CD65,"")</f>
        <v/>
      </c>
      <c r="CE69" s="974">
        <f>IFERROR(CE67/CE65,"")</f>
        <v/>
      </c>
      <c r="CF69" s="974">
        <f>IFERROR(CF67/CF65,"")</f>
        <v/>
      </c>
      <c r="CG69" s="980" t="n"/>
      <c r="CH69" s="980" t="n"/>
      <c r="CI69" s="981">
        <f>CHOOSE(MATCH($CO$3,{"Base";"Bull";"Bear"},0),CU61,CU71,CU81)</f>
        <v/>
      </c>
      <c r="CJ69" s="981">
        <f>CHOOSE(MATCH($CO$3,{"Base";"Bull";"Bear"},0),CV61,CV71,CV81)</f>
        <v/>
      </c>
      <c r="CK69" s="981">
        <f>CHOOSE(MATCH($CO$3,{"Base";"Bull";"Bear"},0),CW61,CW71,CW81)</f>
        <v/>
      </c>
      <c r="CL69" s="981">
        <f>CHOOSE(MATCH($CO$3,{"Base";"Bull";"Bear"},0),CX61,CX71,CX81)</f>
        <v/>
      </c>
      <c r="CM69" s="981">
        <f>CHOOSE(MATCH($CO$3,{"Base";"Bull";"Bear"},0),CY61,CY71,CY81)</f>
        <v/>
      </c>
      <c r="CN69" s="291" t="n"/>
      <c r="CO69" s="766" t="n"/>
      <c r="CP69" s="291" t="n"/>
      <c r="CQ69" s="693" t="n"/>
      <c r="CT69" t="inlineStr">
        <is>
          <t xml:space="preserve">  Less-Than-Truckload EBIT margin %</t>
        </is>
      </c>
      <c r="CU69" s="984" t="n">
        <v>0.08500000000000001</v>
      </c>
      <c r="CV69" s="984" t="n">
        <v>0.115</v>
      </c>
      <c r="CW69" s="984" t="n">
        <v>0.14</v>
      </c>
      <c r="CX69" s="984" t="n">
        <v>0.15</v>
      </c>
      <c r="CY69" s="984" t="n">
        <v>0.155</v>
      </c>
    </row>
    <row r="70" ht="16.5" customHeight="1">
      <c r="B70" s="12" t="inlineStr">
        <is>
          <t xml:space="preserve">  Incremental EBIT (ΔEBIT / ΔSales)</t>
        </is>
      </c>
      <c r="C70" s="974" t="n"/>
      <c r="D70" s="974" t="n"/>
      <c r="E70" s="974" t="n"/>
      <c r="F70" s="974" t="n"/>
      <c r="G70" s="975" t="n"/>
      <c r="H70" s="974" t="n"/>
      <c r="I70" s="974" t="n"/>
      <c r="J70" s="974" t="n"/>
      <c r="K70" s="974" t="n"/>
      <c r="L70" s="975" t="n"/>
      <c r="M70" s="974" t="n"/>
      <c r="N70" s="974" t="n"/>
      <c r="O70" s="974" t="n"/>
      <c r="P70" s="974" t="n"/>
      <c r="Q70" s="975" t="n"/>
      <c r="R70" s="974" t="n"/>
      <c r="S70" s="974" t="n"/>
      <c r="T70" s="974" t="n"/>
      <c r="U70" s="974" t="n"/>
      <c r="V70" s="975" t="n"/>
      <c r="W70" s="974" t="n"/>
      <c r="X70" s="974" t="n"/>
      <c r="Y70" s="974" t="n"/>
      <c r="Z70" s="974" t="n"/>
      <c r="AA70" s="975" t="n"/>
      <c r="AB70" s="974" t="n"/>
      <c r="AC70" s="974" t="n"/>
      <c r="AD70" s="974" t="n"/>
      <c r="AE70" s="974" t="n"/>
      <c r="AF70" s="975" t="n"/>
      <c r="AG70" s="974" t="n"/>
      <c r="AH70" s="974" t="n"/>
      <c r="AI70" s="974" t="n"/>
      <c r="AJ70" s="974" t="n"/>
      <c r="AK70" s="975" t="n"/>
      <c r="AL70" s="974" t="n"/>
      <c r="AM70" s="974" t="n"/>
      <c r="AN70" s="974" t="n"/>
      <c r="AO70" s="974" t="n"/>
      <c r="AP70" s="975" t="n"/>
      <c r="AQ70" s="974" t="n"/>
      <c r="AR70" s="974" t="n"/>
      <c r="AS70" s="974" t="n"/>
      <c r="AT70" s="974" t="n"/>
      <c r="AU70" s="975" t="n"/>
      <c r="AV70" s="974" t="n"/>
      <c r="AW70" s="974" t="n"/>
      <c r="AX70" s="974" t="n"/>
      <c r="AY70" s="974" t="n"/>
      <c r="AZ70" s="975" t="n"/>
      <c r="BA70" s="974" t="n"/>
      <c r="BB70" s="974" t="n"/>
      <c r="BC70" s="974" t="n"/>
      <c r="BD70" s="974" t="n"/>
      <c r="BE70" s="975" t="n"/>
      <c r="BF70" s="974" t="n"/>
      <c r="BG70" s="974" t="n"/>
      <c r="BH70" s="974" t="n"/>
      <c r="BI70" s="974" t="n"/>
      <c r="BJ70" s="975" t="n"/>
      <c r="BK70" s="974">
        <f>IFERROR((BK67-BF67)/(BK65-BF65),"")</f>
        <v/>
      </c>
      <c r="BL70" s="974">
        <f>IFERROR((BL67-BG67)/(BL65-BG65),"")</f>
        <v/>
      </c>
      <c r="BM70" s="974">
        <f>IFERROR((BM67-BH67)/(BM65-BH65),"")</f>
        <v/>
      </c>
      <c r="BN70" s="974">
        <f>IFERROR((BN67-BI67)/(BN65-BI65),"")</f>
        <v/>
      </c>
      <c r="BO70" s="975">
        <f>IFERROR((BO67-BJ67)/(BO65-BJ65),"")</f>
        <v/>
      </c>
      <c r="BP70" s="985">
        <f>IFERROR((BP67-BK67)/(BP65-BK65),"")</f>
        <v/>
      </c>
      <c r="BQ70" s="985">
        <f>IFERROR((BQ67-BL67)/(BQ65-BL65),"")</f>
        <v/>
      </c>
      <c r="BR70" s="985">
        <f>IFERROR((BR67-BM67)/(BR65-BM65),"")</f>
        <v/>
      </c>
      <c r="BS70" s="985">
        <f>IFERROR((BS67-BN67)/(BS65-BN65),"")</f>
        <v/>
      </c>
      <c r="BT70" s="986">
        <f>IFERROR((BT67-BO67)/(BT65-BO65),"")</f>
        <v/>
      </c>
      <c r="BU70" s="985">
        <f>IFERROR((BU67-BP67)/(BU65-BP65),"")</f>
        <v/>
      </c>
      <c r="BV70" s="985">
        <f>IFERROR((BV67-BQ67)/(BV65-BQ65),"")</f>
        <v/>
      </c>
      <c r="BW70" s="985">
        <f>IFERROR((BW67-BR67)/(BW65-BR65),"")</f>
        <v/>
      </c>
      <c r="BX70" s="985">
        <f>IFERROR((BX67-BS67)/(BX65-BS65),"")</f>
        <v/>
      </c>
      <c r="BY70" s="986">
        <f>IFERROR((BY67-BT28)/(BY65-BT27),"")</f>
        <v/>
      </c>
      <c r="BZ70" s="985">
        <f>IFERROR((BZ67-BU67)/(BZ65-BU65),"")</f>
        <v/>
      </c>
      <c r="CA70" s="985">
        <f>IFERROR((CA67-BV67)/(CA65-BV65),"")</f>
        <v/>
      </c>
      <c r="CB70" s="985">
        <f>IFERROR((CB67-BW67)/(CB65-BW65),"")</f>
        <v/>
      </c>
      <c r="CC70" s="985">
        <f>IFERROR((CC67-BX67)/(CC65-BX65),"")</f>
        <v/>
      </c>
      <c r="CD70" s="986">
        <f>IFERROR((CD67-BY67)/(CD65-BY65),"")</f>
        <v/>
      </c>
      <c r="CE70" s="985" t="n"/>
      <c r="CF70" s="985" t="n"/>
      <c r="CG70" s="985" t="n"/>
      <c r="CH70" s="985" t="n"/>
      <c r="CI70" s="987">
        <f>IFERROR((CI67-CD67)/(CI65-CD65),"")</f>
        <v/>
      </c>
      <c r="CJ70" s="987">
        <f>IFERROR((CJ67-CI67)/(CJ65-CI65),"")</f>
        <v/>
      </c>
      <c r="CK70" s="987">
        <f>IFERROR((CK67-CJ67)/(CK65-CJ65),"")</f>
        <v/>
      </c>
      <c r="CL70" s="987">
        <f>IFERROR((CL67-CK67)/(CL65-CK65),"")</f>
        <v/>
      </c>
      <c r="CM70" s="987">
        <f>IFERROR((CM67-CL67)/(CM65-CL65),"")</f>
        <v/>
      </c>
      <c r="CN70" s="974" t="n"/>
      <c r="CO70" s="766" t="n"/>
      <c r="CP70" s="974" t="n"/>
      <c r="CQ70" s="693" t="n"/>
      <c r="CT70" t="inlineStr">
        <is>
          <t xml:space="preserve">  Truckload Sales y/y %</t>
        </is>
      </c>
      <c r="CU70" s="984" t="n">
        <v>0.07000000000000006</v>
      </c>
      <c r="CV70" s="984" t="n">
        <v>0.07100000000000017</v>
      </c>
      <c r="CW70" s="984" t="n">
        <v>0.07120000000000015</v>
      </c>
      <c r="CX70" s="984" t="n">
        <v>0.06604999999999994</v>
      </c>
      <c r="CY70" s="984" t="n">
        <v>0.05574999999999997</v>
      </c>
    </row>
    <row r="71" ht="16.5" customHeight="1">
      <c r="B71" s="702" t="inlineStr">
        <is>
          <t xml:space="preserve">  Backlog ($M)</t>
        </is>
      </c>
      <c r="C71" s="974" t="n"/>
      <c r="D71" s="974" t="n"/>
      <c r="E71" s="974" t="n"/>
      <c r="F71" s="974" t="n"/>
      <c r="G71" s="975" t="n"/>
      <c r="H71" s="974" t="n"/>
      <c r="I71" s="974" t="n"/>
      <c r="J71" s="974" t="n"/>
      <c r="K71" s="974" t="n"/>
      <c r="L71" s="975" t="n"/>
      <c r="M71" s="974" t="n"/>
      <c r="N71" s="974" t="n"/>
      <c r="O71" s="974" t="n"/>
      <c r="P71" s="974" t="n"/>
      <c r="Q71" s="975" t="n"/>
      <c r="R71" s="974" t="n"/>
      <c r="S71" s="974" t="n"/>
      <c r="T71" s="974" t="n"/>
      <c r="U71" s="974" t="n"/>
      <c r="V71" s="975" t="n"/>
      <c r="W71" s="974" t="n"/>
      <c r="X71" s="974" t="n"/>
      <c r="Y71" s="974" t="n"/>
      <c r="Z71" s="974" t="n"/>
      <c r="AA71" s="975" t="n"/>
      <c r="AB71" s="974" t="n"/>
      <c r="AC71" s="974" t="n"/>
      <c r="AD71" s="974" t="n"/>
      <c r="AE71" s="974" t="n"/>
      <c r="AF71" s="975" t="n"/>
      <c r="AG71" s="974" t="n"/>
      <c r="AH71" s="974" t="n"/>
      <c r="AI71" s="974" t="n"/>
      <c r="AJ71" s="974" t="n"/>
      <c r="AK71" s="975" t="n"/>
      <c r="AL71" s="974" t="n"/>
      <c r="AM71" s="974" t="n"/>
      <c r="AN71" s="974" t="n"/>
      <c r="AO71" s="974" t="n"/>
      <c r="AP71" s="975" t="n"/>
      <c r="AQ71" s="974" t="n"/>
      <c r="AR71" s="974" t="n"/>
      <c r="AS71" s="974" t="n"/>
      <c r="AT71" s="974" t="n"/>
      <c r="AU71" s="975" t="n"/>
      <c r="AV71" s="974" t="n"/>
      <c r="AW71" s="974" t="n"/>
      <c r="AX71" s="974" t="n"/>
      <c r="AY71" s="974" t="n"/>
      <c r="AZ71" s="975" t="n"/>
      <c r="BA71" s="974" t="n"/>
      <c r="BB71" s="974" t="n"/>
      <c r="BC71" s="974" t="n"/>
      <c r="BD71" s="974" t="n"/>
      <c r="BE71" s="975" t="n"/>
      <c r="BF71" s="974" t="n"/>
      <c r="BG71" s="974" t="n"/>
      <c r="BH71" s="974" t="n"/>
      <c r="BI71" s="974" t="n"/>
      <c r="BJ71" s="975" t="n"/>
      <c r="BK71" s="988" t="n"/>
      <c r="BL71" s="988" t="n"/>
      <c r="BM71" s="988" t="n"/>
      <c r="BN71" s="988" t="n"/>
      <c r="BO71" s="989" t="n"/>
      <c r="BP71" s="988" t="n"/>
      <c r="BQ71" s="988" t="n"/>
      <c r="BR71" s="988" t="n"/>
      <c r="BS71" s="988" t="n"/>
      <c r="BT71" s="989" t="n"/>
      <c r="BU71" s="988" t="n"/>
      <c r="BV71" s="988" t="n"/>
      <c r="BW71" s="988" t="n"/>
      <c r="BX71" s="988" t="n"/>
      <c r="BY71" s="989" t="n"/>
      <c r="BZ71" s="988" t="n"/>
      <c r="CA71" s="988" t="n"/>
      <c r="CB71" s="988" t="n"/>
      <c r="CC71" s="988" t="n"/>
      <c r="CD71" s="989" t="n"/>
      <c r="CE71" s="988" t="n"/>
      <c r="CF71" s="988" t="n"/>
      <c r="CG71" s="988" t="n"/>
      <c r="CH71" s="988" t="n"/>
      <c r="CI71" s="990" t="n"/>
      <c r="CJ71" s="990" t="n"/>
      <c r="CK71" s="990" t="n"/>
      <c r="CL71" s="990" t="n"/>
      <c r="CM71" s="990" t="n"/>
      <c r="CN71" s="974" t="n"/>
      <c r="CO71" s="766" t="n"/>
      <c r="CP71" s="974" t="n"/>
      <c r="CQ71" s="693" t="n"/>
      <c r="CT71" t="inlineStr">
        <is>
          <t xml:space="preserve">  Truckload EBIT margin %</t>
        </is>
      </c>
      <c r="CU71" s="984" t="n">
        <v>0.11</v>
      </c>
      <c r="CV71" s="984" t="n">
        <v>0.12</v>
      </c>
      <c r="CW71" s="984" t="n">
        <v>0.13</v>
      </c>
      <c r="CX71" s="984" t="n">
        <v>0.13</v>
      </c>
      <c r="CY71" s="984" t="n">
        <v>0.13</v>
      </c>
    </row>
    <row r="72" ht="16.5" customHeight="1">
      <c r="B72" s="702" t="inlineStr">
        <is>
          <t xml:space="preserve">  Backlog y/y %</t>
        </is>
      </c>
      <c r="C72" s="974" t="n"/>
      <c r="D72" s="974" t="n"/>
      <c r="E72" s="974" t="n"/>
      <c r="F72" s="974" t="n"/>
      <c r="G72" s="975" t="n"/>
      <c r="H72" s="974" t="n"/>
      <c r="I72" s="974" t="n"/>
      <c r="J72" s="974" t="n"/>
      <c r="K72" s="974" t="n"/>
      <c r="L72" s="975" t="n"/>
      <c r="M72" s="974" t="n"/>
      <c r="N72" s="974" t="n"/>
      <c r="O72" s="974" t="n"/>
      <c r="P72" s="974" t="n"/>
      <c r="Q72" s="975" t="n"/>
      <c r="R72" s="974" t="n"/>
      <c r="S72" s="974" t="n"/>
      <c r="T72" s="974" t="n"/>
      <c r="U72" s="974" t="n"/>
      <c r="V72" s="975" t="n"/>
      <c r="W72" s="974" t="n"/>
      <c r="X72" s="974" t="n"/>
      <c r="Y72" s="974" t="n"/>
      <c r="Z72" s="974" t="n"/>
      <c r="AA72" s="975" t="n"/>
      <c r="AB72" s="974" t="n"/>
      <c r="AC72" s="974" t="n"/>
      <c r="AD72" s="974" t="n"/>
      <c r="AE72" s="974" t="n"/>
      <c r="AF72" s="975" t="n"/>
      <c r="AG72" s="974" t="n"/>
      <c r="AH72" s="974" t="n"/>
      <c r="AI72" s="974" t="n"/>
      <c r="AJ72" s="974" t="n"/>
      <c r="AK72" s="975" t="n"/>
      <c r="AL72" s="974" t="n"/>
      <c r="AM72" s="974" t="n"/>
      <c r="AN72" s="974" t="n"/>
      <c r="AO72" s="974" t="n"/>
      <c r="AP72" s="975" t="n"/>
      <c r="AQ72" s="974" t="n"/>
      <c r="AR72" s="974" t="n"/>
      <c r="AS72" s="974" t="n"/>
      <c r="AT72" s="974" t="n"/>
      <c r="AU72" s="975" t="n"/>
      <c r="AV72" s="974" t="n"/>
      <c r="AW72" s="974" t="n"/>
      <c r="AX72" s="974" t="n"/>
      <c r="AY72" s="974" t="n"/>
      <c r="AZ72" s="975" t="n"/>
      <c r="BA72" s="974" t="n"/>
      <c r="BB72" s="974" t="n"/>
      <c r="BC72" s="974" t="n"/>
      <c r="BD72" s="974" t="n"/>
      <c r="BE72" s="975" t="n"/>
      <c r="BF72" s="974" t="n"/>
      <c r="BG72" s="974" t="n"/>
      <c r="BH72" s="974" t="n"/>
      <c r="BI72" s="974" t="n"/>
      <c r="BJ72" s="975" t="n"/>
      <c r="BK72" s="991" t="n"/>
      <c r="BL72" s="991" t="n"/>
      <c r="BM72" s="991" t="n"/>
      <c r="BN72" s="991" t="n"/>
      <c r="BO72" s="992" t="n"/>
      <c r="BP72" s="991" t="n"/>
      <c r="BQ72" s="991" t="n"/>
      <c r="BR72" s="991" t="n"/>
      <c r="BS72" s="991" t="n"/>
      <c r="BT72" s="992" t="n"/>
      <c r="BU72" s="991" t="n"/>
      <c r="BV72" s="991" t="n"/>
      <c r="BW72" s="991" t="n"/>
      <c r="BX72" s="991" t="n"/>
      <c r="BY72" s="992" t="n"/>
      <c r="BZ72" s="991" t="n"/>
      <c r="CA72" s="991" t="n"/>
      <c r="CB72" s="991" t="n"/>
      <c r="CC72" s="991" t="n"/>
      <c r="CD72" s="992" t="n"/>
      <c r="CE72" s="991" t="n"/>
      <c r="CF72" s="991" t="n"/>
      <c r="CG72" s="991" t="n"/>
      <c r="CH72" s="991" t="n"/>
      <c r="CI72" s="976" t="n"/>
      <c r="CJ72" s="976" t="n"/>
      <c r="CK72" s="976" t="n"/>
      <c r="CL72" s="976" t="n"/>
      <c r="CM72" s="976" t="n"/>
      <c r="CN72" s="974" t="n"/>
      <c r="CO72" s="766" t="n"/>
      <c r="CP72" s="974" t="n"/>
      <c r="CQ72" s="693" t="n"/>
      <c r="CT72" t="inlineStr">
        <is>
          <t xml:space="preserve">  Logistics Sales y/y %</t>
        </is>
      </c>
      <c r="CU72" s="984" t="n">
        <v>0.05000000000000004</v>
      </c>
      <c r="CV72" s="984" t="n">
        <v>0.07000000000000006</v>
      </c>
      <c r="CW72" s="984" t="n">
        <v>0.07000000000000006</v>
      </c>
      <c r="CX72" s="984" t="n">
        <v>0.06000000000000005</v>
      </c>
      <c r="CY72" s="984" t="n">
        <v>0.05000000000000004</v>
      </c>
    </row>
    <row r="73" ht="16.5" customHeight="1">
      <c r="B73" s="702" t="inlineStr">
        <is>
          <t xml:space="preserve">  Book-to-bill (Bookings / Sales)</t>
        </is>
      </c>
      <c r="C73" s="974" t="n"/>
      <c r="D73" s="974" t="n"/>
      <c r="E73" s="974" t="n"/>
      <c r="F73" s="974" t="n"/>
      <c r="G73" s="975" t="n"/>
      <c r="H73" s="974" t="n"/>
      <c r="I73" s="974" t="n"/>
      <c r="J73" s="974" t="n"/>
      <c r="K73" s="974" t="n"/>
      <c r="L73" s="975" t="n"/>
      <c r="M73" s="974" t="n"/>
      <c r="N73" s="974" t="n"/>
      <c r="O73" s="974" t="n"/>
      <c r="P73" s="974" t="n"/>
      <c r="Q73" s="975" t="n"/>
      <c r="R73" s="974" t="n"/>
      <c r="S73" s="974" t="n"/>
      <c r="T73" s="974" t="n"/>
      <c r="U73" s="974" t="n"/>
      <c r="V73" s="975" t="n"/>
      <c r="W73" s="974" t="n"/>
      <c r="X73" s="974" t="n"/>
      <c r="Y73" s="974" t="n"/>
      <c r="Z73" s="974" t="n"/>
      <c r="AA73" s="975" t="n"/>
      <c r="AB73" s="974" t="n"/>
      <c r="AC73" s="974" t="n"/>
      <c r="AD73" s="974" t="n"/>
      <c r="AE73" s="974" t="n"/>
      <c r="AF73" s="975" t="n"/>
      <c r="AG73" s="974" t="n"/>
      <c r="AH73" s="974" t="n"/>
      <c r="AI73" s="974" t="n"/>
      <c r="AJ73" s="974" t="n"/>
      <c r="AK73" s="975" t="n"/>
      <c r="AL73" s="974" t="n"/>
      <c r="AM73" s="974" t="n"/>
      <c r="AN73" s="974" t="n"/>
      <c r="AO73" s="974" t="n"/>
      <c r="AP73" s="975" t="n"/>
      <c r="AQ73" s="974" t="n"/>
      <c r="AR73" s="974" t="n"/>
      <c r="AS73" s="974" t="n"/>
      <c r="AT73" s="974" t="n"/>
      <c r="AU73" s="975" t="n"/>
      <c r="AV73" s="974" t="n"/>
      <c r="AW73" s="974" t="n"/>
      <c r="AX73" s="974" t="n"/>
      <c r="AY73" s="974" t="n"/>
      <c r="AZ73" s="975" t="n"/>
      <c r="BA73" s="974" t="n"/>
      <c r="BB73" s="974" t="n"/>
      <c r="BC73" s="974" t="n"/>
      <c r="BD73" s="974" t="n"/>
      <c r="BE73" s="975" t="n"/>
      <c r="BF73" s="974" t="n"/>
      <c r="BG73" s="974" t="n"/>
      <c r="BH73" s="974" t="n"/>
      <c r="BI73" s="974" t="n"/>
      <c r="BJ73" s="975" t="n"/>
      <c r="BK73" s="763" t="n"/>
      <c r="BL73" s="763" t="n"/>
      <c r="BM73" s="763" t="n"/>
      <c r="BN73" s="763" t="n"/>
      <c r="BO73" s="934" t="n"/>
      <c r="BP73" s="763" t="n"/>
      <c r="BQ73" s="763" t="n"/>
      <c r="BR73" s="763" t="n"/>
      <c r="BS73" s="763" t="n"/>
      <c r="BT73" s="934" t="n"/>
      <c r="BU73" s="763" t="n"/>
      <c r="BV73" s="763" t="n"/>
      <c r="BW73" s="763" t="n"/>
      <c r="BX73" s="763" t="n"/>
      <c r="BY73" s="934" t="n"/>
      <c r="BZ73" s="763" t="n"/>
      <c r="CA73" s="763" t="n"/>
      <c r="CB73" s="763" t="n"/>
      <c r="CC73" s="763" t="n"/>
      <c r="CD73" s="934" t="n"/>
      <c r="CE73" s="763" t="n"/>
      <c r="CF73" s="763" t="n"/>
      <c r="CG73" s="763" t="n"/>
      <c r="CH73" s="763" t="n"/>
      <c r="CI73" s="764" t="n"/>
      <c r="CJ73" s="764" t="n"/>
      <c r="CK73" s="764" t="n"/>
      <c r="CL73" s="764" t="n"/>
      <c r="CM73" s="764" t="n"/>
      <c r="CN73" s="974" t="n"/>
      <c r="CO73" s="766" t="n"/>
      <c r="CP73" s="974" t="n"/>
      <c r="CQ73" s="693" t="n"/>
      <c r="CT73" t="inlineStr">
        <is>
          <t xml:space="preserve">  Logistics EBIT margin %</t>
        </is>
      </c>
      <c r="CU73" s="984" t="n">
        <v>0.1</v>
      </c>
      <c r="CV73" s="984" t="n">
        <v>0.11</v>
      </c>
      <c r="CW73" s="984" t="n">
        <v>0.12</v>
      </c>
      <c r="CX73" s="984" t="n">
        <v>0.12</v>
      </c>
      <c r="CY73" s="984" t="n">
        <v>0.12</v>
      </c>
    </row>
    <row r="74" ht="16.5" customHeight="1">
      <c r="C74" s="291" t="n"/>
      <c r="D74" s="291" t="n"/>
      <c r="E74" s="291" t="n"/>
      <c r="F74" s="291" t="n"/>
      <c r="G74" s="864" t="n"/>
      <c r="H74" s="291" t="n"/>
      <c r="I74" s="291" t="n"/>
      <c r="J74" s="291" t="n"/>
      <c r="K74" s="291" t="n"/>
      <c r="L74" s="864" t="n"/>
      <c r="M74" s="291" t="n"/>
      <c r="N74" s="291" t="n"/>
      <c r="O74" s="291" t="n"/>
      <c r="P74" s="291" t="n"/>
      <c r="Q74" s="864" t="n"/>
      <c r="R74" s="291" t="n"/>
      <c r="S74" s="291" t="n"/>
      <c r="T74" s="291" t="n"/>
      <c r="U74" s="291" t="n"/>
      <c r="V74" s="864" t="n"/>
      <c r="W74" s="291" t="n"/>
      <c r="X74" s="291" t="n"/>
      <c r="Y74" s="291" t="n"/>
      <c r="Z74" s="291" t="n"/>
      <c r="AA74" s="864" t="n"/>
      <c r="AB74" s="291" t="n"/>
      <c r="AC74" s="291" t="n"/>
      <c r="AD74" s="291" t="n"/>
      <c r="AE74" s="291" t="n"/>
      <c r="AF74" s="864" t="n"/>
      <c r="AG74" s="291" t="n"/>
      <c r="AH74" s="291" t="n"/>
      <c r="AI74" s="291" t="n"/>
      <c r="AJ74" s="291" t="n"/>
      <c r="AK74" s="864" t="n"/>
      <c r="AL74" s="291" t="n"/>
      <c r="AM74" s="291" t="n"/>
      <c r="AN74" s="291" t="n"/>
      <c r="AO74" s="291" t="n"/>
      <c r="AP74" s="864" t="n"/>
      <c r="AQ74" s="291" t="n"/>
      <c r="AR74" s="291" t="n"/>
      <c r="AS74" s="291" t="n"/>
      <c r="AT74" s="291" t="n"/>
      <c r="AU74" s="864" t="n"/>
      <c r="AV74" s="291" t="n"/>
      <c r="AW74" s="291" t="n"/>
      <c r="AX74" s="291" t="n"/>
      <c r="AY74" s="291" t="n"/>
      <c r="AZ74" s="864" t="n"/>
      <c r="BA74" s="291" t="n"/>
      <c r="BB74" s="291" t="n"/>
      <c r="BC74" s="291" t="n"/>
      <c r="BD74" s="291" t="n"/>
      <c r="BE74" s="864" t="n"/>
      <c r="BF74" s="291" t="n"/>
      <c r="BG74" s="291" t="n"/>
      <c r="BH74" s="291" t="n"/>
      <c r="BI74" s="291" t="n"/>
      <c r="BJ74" s="864" t="n"/>
      <c r="BK74" s="291" t="n"/>
      <c r="BL74" s="291" t="n"/>
      <c r="BM74" s="291" t="n"/>
      <c r="BN74" s="291" t="n"/>
      <c r="BO74" s="864" t="n"/>
      <c r="BP74" s="291" t="n"/>
      <c r="BQ74" s="291" t="n"/>
      <c r="BR74" s="291" t="n"/>
      <c r="BS74" s="291" t="n"/>
      <c r="BT74" s="864" t="n"/>
      <c r="BU74" s="291" t="n"/>
      <c r="BV74" s="291" t="n"/>
      <c r="BW74" s="291" t="n"/>
      <c r="BX74" s="291" t="n"/>
      <c r="BY74" s="864" t="n"/>
      <c r="BZ74" s="291" t="n"/>
      <c r="CA74" s="291" t="n"/>
      <c r="CB74" s="291" t="n"/>
      <c r="CC74" s="291" t="n"/>
      <c r="CD74" s="864" t="n"/>
      <c r="CE74" s="291" t="n"/>
      <c r="CF74" s="291" t="n"/>
      <c r="CG74" s="291" t="n"/>
      <c r="CH74" s="291" t="n"/>
      <c r="CI74" s="749" t="n"/>
      <c r="CJ74" s="749" t="n"/>
      <c r="CK74" s="749" t="n"/>
      <c r="CL74" s="749" t="n"/>
      <c r="CM74" s="749" t="n"/>
      <c r="CN74" s="291" t="n"/>
      <c r="CO74" s="766" t="n"/>
      <c r="CP74" s="291" t="n"/>
      <c r="CQ74" s="693" t="n"/>
      <c r="CT74" t="inlineStr">
        <is>
          <t>[Segment 4] sales y/y %</t>
        </is>
      </c>
      <c r="CU74" s="984" t="n"/>
      <c r="CV74" s="984" t="n"/>
      <c r="CW74" s="984" t="n"/>
      <c r="CX74" s="984" t="n"/>
      <c r="CY74" s="984" t="n"/>
    </row>
    <row r="75" ht="16.5" customHeight="1">
      <c r="B75" s="223" t="inlineStr">
        <is>
          <t>Logistics</t>
        </is>
      </c>
      <c r="C75" s="224" t="n"/>
      <c r="D75" s="224" t="n"/>
      <c r="E75" s="224" t="n"/>
      <c r="F75" s="224" t="n"/>
      <c r="G75" s="867" t="n"/>
      <c r="H75" s="224" t="n"/>
      <c r="I75" s="224" t="n"/>
      <c r="J75" s="224" t="n"/>
      <c r="K75" s="224" t="n"/>
      <c r="L75" s="867" t="n"/>
      <c r="M75" s="224" t="n"/>
      <c r="N75" s="224" t="n"/>
      <c r="O75" s="224" t="n"/>
      <c r="P75" s="224" t="n"/>
      <c r="Q75" s="867" t="n"/>
      <c r="R75" s="224" t="n"/>
      <c r="S75" s="224" t="n"/>
      <c r="T75" s="224" t="n"/>
      <c r="U75" s="224" t="n"/>
      <c r="V75" s="867" t="n"/>
      <c r="W75" s="224" t="n"/>
      <c r="X75" s="224" t="n"/>
      <c r="Y75" s="224" t="n"/>
      <c r="Z75" s="224" t="n"/>
      <c r="AA75" s="867" t="n"/>
      <c r="AB75" s="224" t="n"/>
      <c r="AC75" s="224" t="n"/>
      <c r="AD75" s="224" t="n"/>
      <c r="AE75" s="224" t="n"/>
      <c r="AF75" s="867" t="n"/>
      <c r="AG75" s="224" t="n"/>
      <c r="AH75" s="224" t="n"/>
      <c r="AI75" s="224" t="n"/>
      <c r="AJ75" s="224" t="n"/>
      <c r="AK75" s="867" t="n"/>
      <c r="AL75" s="224" t="n"/>
      <c r="AM75" s="224" t="n"/>
      <c r="AN75" s="224" t="n"/>
      <c r="AO75" s="224" t="n"/>
      <c r="AP75" s="867" t="n"/>
      <c r="AQ75" s="224" t="n"/>
      <c r="AR75" s="224" t="n"/>
      <c r="AS75" s="224" t="n"/>
      <c r="AT75" s="224" t="n"/>
      <c r="AU75" s="867" t="n"/>
      <c r="AV75" s="224" t="n"/>
      <c r="AW75" s="224" t="n"/>
      <c r="AX75" s="224" t="n"/>
      <c r="AY75" s="224" t="n"/>
      <c r="AZ75" s="867" t="n"/>
      <c r="BA75" s="224" t="n"/>
      <c r="BB75" s="224" t="n"/>
      <c r="BC75" s="224" t="n"/>
      <c r="BD75" s="224" t="n"/>
      <c r="BE75" s="867" t="n"/>
      <c r="BF75" s="224" t="n"/>
      <c r="BG75" s="224" t="n"/>
      <c r="BH75" s="224" t="n"/>
      <c r="BI75" s="224" t="n"/>
      <c r="BJ75" s="867" t="n"/>
      <c r="BK75" s="224" t="n"/>
      <c r="BL75" s="224" t="n"/>
      <c r="BM75" s="224" t="n"/>
      <c r="BN75" s="224" t="n"/>
      <c r="BO75" s="867" t="n"/>
      <c r="BP75" s="224" t="n"/>
      <c r="BQ75" s="224" t="n"/>
      <c r="BR75" s="224" t="n"/>
      <c r="BS75" s="224" t="n"/>
      <c r="BT75" s="867" t="n"/>
      <c r="BU75" s="224" t="n"/>
      <c r="BV75" s="224" t="n"/>
      <c r="BW75" s="224" t="n"/>
      <c r="BX75" s="224" t="n"/>
      <c r="BY75" s="867" t="n"/>
      <c r="BZ75" s="224" t="n"/>
      <c r="CA75" s="224" t="n"/>
      <c r="CB75" s="224" t="n"/>
      <c r="CC75" s="224" t="n"/>
      <c r="CD75" s="867" t="n"/>
      <c r="CE75" s="224" t="n"/>
      <c r="CF75" s="224" t="n"/>
      <c r="CG75" s="224" t="n"/>
      <c r="CH75" s="224" t="n"/>
      <c r="CI75" s="224" t="n"/>
      <c r="CJ75" s="224" t="n"/>
      <c r="CK75" s="224" t="n"/>
      <c r="CL75" s="224" t="n"/>
      <c r="CM75" s="224" t="n"/>
      <c r="CN75" s="224" t="n"/>
      <c r="CO75" s="684" t="n"/>
      <c r="CP75" s="224" t="n"/>
      <c r="CQ75" s="693" t="n"/>
      <c r="CT75" t="inlineStr">
        <is>
          <t>[Segment 4] EBIT margin %</t>
        </is>
      </c>
      <c r="CU75" s="984" t="n"/>
      <c r="CV75" s="984" t="n"/>
      <c r="CW75" s="984" t="n"/>
      <c r="CX75" s="984" t="n"/>
      <c r="CY75" s="984" t="n"/>
    </row>
    <row r="76" ht="16.5" customHeight="1">
      <c r="B76" s="12" t="inlineStr">
        <is>
          <t xml:space="preserve">  Net sales</t>
        </is>
      </c>
      <c r="C76" s="743" t="n"/>
      <c r="D76" s="743" t="n"/>
      <c r="E76" s="743" t="n"/>
      <c r="F76" s="743" t="n"/>
      <c r="G76" s="868" t="n"/>
      <c r="H76" s="743" t="n"/>
      <c r="I76" s="743" t="n"/>
      <c r="J76" s="743" t="n"/>
      <c r="K76" s="743" t="n"/>
      <c r="L76" s="868" t="n"/>
      <c r="M76" s="743" t="n"/>
      <c r="N76" s="743" t="n"/>
      <c r="O76" s="743" t="n"/>
      <c r="P76" s="743" t="n"/>
      <c r="Q76" s="868" t="n"/>
      <c r="R76" s="743" t="n"/>
      <c r="S76" s="743" t="n"/>
      <c r="T76" s="743" t="n"/>
      <c r="U76" s="743" t="n"/>
      <c r="V76" s="868" t="n"/>
      <c r="W76" s="743" t="n"/>
      <c r="X76" s="743" t="n"/>
      <c r="Y76" s="743" t="n"/>
      <c r="Z76" s="743" t="n"/>
      <c r="AA76" s="868" t="n"/>
      <c r="AB76" s="743" t="n"/>
      <c r="AC76" s="743" t="n"/>
      <c r="AD76" s="743" t="n"/>
      <c r="AE76" s="743" t="n"/>
      <c r="AF76" s="868" t="n"/>
      <c r="AG76" s="743" t="n"/>
      <c r="AH76" s="743" t="n"/>
      <c r="AI76" s="743" t="n"/>
      <c r="AJ76" s="743" t="n"/>
      <c r="AK76" s="868" t="n"/>
      <c r="AL76" s="743" t="n"/>
      <c r="AM76" s="291" t="n"/>
      <c r="AN76" s="291" t="n"/>
      <c r="AO76" s="291" t="n"/>
      <c r="AP76" s="864" t="n"/>
      <c r="AQ76" s="291" t="n"/>
      <c r="AR76" s="291" t="n"/>
      <c r="AS76" s="291" t="n"/>
      <c r="AT76" s="291" t="n"/>
      <c r="AU76" s="864" t="n"/>
      <c r="AV76" s="291" t="n"/>
      <c r="AW76" s="291" t="n"/>
      <c r="AX76" s="291" t="n"/>
      <c r="AY76" s="291" t="n"/>
      <c r="AZ76" s="864" t="n"/>
      <c r="BA76" s="291" t="n"/>
      <c r="BB76" s="291" t="n"/>
      <c r="BC76" s="291" t="n"/>
      <c r="BD76" s="291" t="n"/>
      <c r="BE76" s="864" t="n"/>
      <c r="BF76" s="291" t="n"/>
      <c r="BG76" s="291" t="n"/>
      <c r="BH76" s="291" t="n"/>
      <c r="BI76" s="291" t="n"/>
      <c r="BJ76" s="864" t="n"/>
      <c r="BK76" s="977" t="n"/>
      <c r="BL76" s="977" t="n"/>
      <c r="BM76" s="977" t="n"/>
      <c r="BN76" s="978">
        <f>BO76-BK76-BL76-BM76</f>
        <v/>
      </c>
      <c r="BO76" s="979" t="n"/>
      <c r="BP76" s="743" t="n"/>
      <c r="BQ76" s="743" t="n"/>
      <c r="BR76" s="743" t="n"/>
      <c r="BS76" s="291">
        <f>BT76-BP76-BQ76-BR76</f>
        <v/>
      </c>
      <c r="BT76" s="937" t="n"/>
      <c r="BU76" s="743" t="n"/>
      <c r="BV76" s="743" t="n">
        <v>442.393</v>
      </c>
      <c r="BW76" s="743" t="n">
        <v>426.48</v>
      </c>
      <c r="BX76" s="291">
        <f>BY76-BU76-BV76-BW76</f>
        <v/>
      </c>
      <c r="BY76" s="937" t="n">
        <v>1821.711</v>
      </c>
      <c r="BZ76" s="743" t="n">
        <v>384.948</v>
      </c>
      <c r="CA76" s="743" t="n">
        <v>393.11</v>
      </c>
      <c r="CB76" s="743" t="n">
        <v>367.774</v>
      </c>
      <c r="CC76" s="291">
        <f>CD76-BZ76-CA76-CB76</f>
        <v/>
      </c>
      <c r="CD76" s="868" t="n">
        <v>1581.986</v>
      </c>
      <c r="CE76" s="743" t="n"/>
      <c r="CF76" s="743" t="n"/>
      <c r="CG76" s="291">
        <f>CB76*(1+CG77)</f>
        <v/>
      </c>
      <c r="CH76" s="291">
        <f>CI76-CE76-CF76-CG76</f>
        <v/>
      </c>
      <c r="CI76" s="749">
        <f>CD76*(1+CI77)</f>
        <v/>
      </c>
      <c r="CJ76" s="749">
        <f>CI76*(1+CJ77)</f>
        <v/>
      </c>
      <c r="CK76" s="749">
        <f>CJ76*(1+CK77)</f>
        <v/>
      </c>
      <c r="CL76" s="749">
        <f>CK76*(1+CL77)</f>
        <v/>
      </c>
      <c r="CM76" s="749">
        <f>CL76*(1+CM77)</f>
        <v/>
      </c>
      <c r="CN76" s="291" t="n"/>
      <c r="CO76" s="766" t="n">
        <v>0.07189432827692931</v>
      </c>
      <c r="CP76" s="291" t="n"/>
      <c r="CQ76" s="694" t="n"/>
    </row>
    <row r="77" ht="16.5" customHeight="1">
      <c r="B77" s="690" t="inlineStr">
        <is>
          <t xml:space="preserve">  Sales y/y %</t>
        </is>
      </c>
      <c r="C77" s="743" t="n"/>
      <c r="D77" s="743" t="n"/>
      <c r="E77" s="743" t="n"/>
      <c r="F77" s="743" t="n"/>
      <c r="G77" s="868" t="n"/>
      <c r="H77" s="743" t="n"/>
      <c r="I77" s="743" t="n"/>
      <c r="J77" s="743" t="n"/>
      <c r="K77" s="743" t="n"/>
      <c r="L77" s="868" t="n"/>
      <c r="M77" s="743" t="n"/>
      <c r="N77" s="743" t="n"/>
      <c r="O77" s="743" t="n"/>
      <c r="P77" s="743" t="n"/>
      <c r="Q77" s="868" t="n"/>
      <c r="R77" s="743" t="n"/>
      <c r="S77" s="743" t="n"/>
      <c r="T77" s="743" t="n"/>
      <c r="U77" s="743" t="n"/>
      <c r="V77" s="868" t="n"/>
      <c r="W77" s="743" t="n"/>
      <c r="X77" s="743" t="n"/>
      <c r="Y77" s="743" t="n"/>
      <c r="Z77" s="743" t="n"/>
      <c r="AA77" s="868" t="n"/>
      <c r="AB77" s="743" t="n"/>
      <c r="AC77" s="743" t="n"/>
      <c r="AD77" s="743" t="n"/>
      <c r="AE77" s="743" t="n"/>
      <c r="AF77" s="868" t="n"/>
      <c r="AG77" s="743" t="n"/>
      <c r="AH77" s="743" t="n"/>
      <c r="AI77" s="743" t="n"/>
      <c r="AJ77" s="743" t="n"/>
      <c r="AK77" s="868" t="n"/>
      <c r="AL77" s="743" t="n"/>
      <c r="AM77" s="291" t="n"/>
      <c r="AN77" s="291" t="n"/>
      <c r="AO77" s="291" t="n"/>
      <c r="AP77" s="864" t="n"/>
      <c r="AQ77" s="291" t="n"/>
      <c r="AR77" s="291" t="n"/>
      <c r="AS77" s="291" t="n"/>
      <c r="AT77" s="291" t="n"/>
      <c r="AU77" s="864" t="n"/>
      <c r="AV77" s="291" t="n"/>
      <c r="AW77" s="291" t="n"/>
      <c r="AX77" s="291" t="n"/>
      <c r="AY77" s="291" t="n"/>
      <c r="AZ77" s="864" t="n"/>
      <c r="BA77" s="291" t="n"/>
      <c r="BB77" s="291" t="n"/>
      <c r="BC77" s="291" t="n"/>
      <c r="BD77" s="291" t="n"/>
      <c r="BE77" s="864" t="n"/>
      <c r="BF77" s="291" t="n"/>
      <c r="BG77" s="291" t="n"/>
      <c r="BH77" s="291" t="n"/>
      <c r="BI77" s="291" t="n"/>
      <c r="BJ77" s="864" t="n"/>
      <c r="BK77" s="974">
        <f>IFERROR(BK76/BF76-1,"")</f>
        <v/>
      </c>
      <c r="BL77" s="974">
        <f>IFERROR(BL76/BG76-1,"")</f>
        <v/>
      </c>
      <c r="BM77" s="974">
        <f>IFERROR(BM76/BH76-1,"")</f>
        <v/>
      </c>
      <c r="BN77" s="974">
        <f>IFERROR(BN76/BI76-1,"")</f>
        <v/>
      </c>
      <c r="BO77" s="975">
        <f>IFERROR(BO76/BJ76-1,"")</f>
        <v/>
      </c>
      <c r="BP77" s="974">
        <f>IFERROR(BP76/BK76-1,"")</f>
        <v/>
      </c>
      <c r="BQ77" s="974">
        <f>IFERROR(BQ76/BL76-1,"")</f>
        <v/>
      </c>
      <c r="BR77" s="974">
        <f>IFERROR(BR76/BM76-1,"")</f>
        <v/>
      </c>
      <c r="BS77" s="974">
        <f>IFERROR(BS76/BN76-1,"")</f>
        <v/>
      </c>
      <c r="BT77" s="975">
        <f>IFERROR(BT76/BO76-1,"")</f>
        <v/>
      </c>
      <c r="BU77" s="974">
        <f>IFERROR(BU76/BP76-1,"")</f>
        <v/>
      </c>
      <c r="BV77" s="974">
        <f>IFERROR(BV76/BQ76-1,"")</f>
        <v/>
      </c>
      <c r="BW77" s="974">
        <f>IFERROR(BW76/BR76-1,"")</f>
        <v/>
      </c>
      <c r="BX77" s="974">
        <f>IFERROR(BX76/BS76-1,"")</f>
        <v/>
      </c>
      <c r="BY77" s="975">
        <f>IFERROR(BY76/BT34-1,"")</f>
        <v/>
      </c>
      <c r="BZ77" s="974">
        <f>IFERROR(BZ76/BU76-1,"")</f>
        <v/>
      </c>
      <c r="CA77" s="974">
        <f>IFERROR(CA76/BV76-1,"")</f>
        <v/>
      </c>
      <c r="CB77" s="974">
        <f>IFERROR(CB76/BW76-1,"")</f>
        <v/>
      </c>
      <c r="CC77" s="974">
        <f>IFERROR(CC76/BX76-1,"")</f>
        <v/>
      </c>
      <c r="CD77" s="975">
        <f>IFERROR(CD76/BY76-1,"")</f>
        <v/>
      </c>
      <c r="CE77" s="974">
        <f>IFERROR(CE76/BZ76-1,"")</f>
        <v/>
      </c>
      <c r="CF77" s="974">
        <f>IFERROR(CF76/CA76-1,"")</f>
        <v/>
      </c>
      <c r="CG77" s="980" t="n"/>
      <c r="CH77" s="974">
        <f>IFERROR(CH76/CC76-1,"")</f>
        <v/>
      </c>
      <c r="CI77" s="981">
        <f>CHOOSE(MATCH($CO$3,{"Base";"Bull";"Bear"},0),CU62,CU72,CU82)</f>
        <v/>
      </c>
      <c r="CJ77" s="981">
        <f>CHOOSE(MATCH($CO$3,{"Base";"Bull";"Bear"},0),CV62,CV72,CV82)</f>
        <v/>
      </c>
      <c r="CK77" s="981">
        <f>CHOOSE(MATCH($CO$3,{"Base";"Bull";"Bear"},0),CW62,CW72,CW82)</f>
        <v/>
      </c>
      <c r="CL77" s="981">
        <f>CHOOSE(MATCH($CO$3,{"Base";"Bull";"Bear"},0),CX62,CX72,CX82)</f>
        <v/>
      </c>
      <c r="CM77" s="981">
        <f>CHOOSE(MATCH($CO$3,{"Base";"Bull";"Bear"},0),CY62,CY72,CY82)</f>
        <v/>
      </c>
      <c r="CN77" s="291" t="n"/>
      <c r="CO77" s="766" t="n"/>
      <c r="CP77" s="291" t="n"/>
      <c r="CQ77" s="694" t="n"/>
      <c r="CT77" s="969" t="inlineStr">
        <is>
          <t>BEAR CASE</t>
        </is>
      </c>
    </row>
    <row r="78" ht="16.5" customHeight="1">
      <c r="B78" s="12" t="inlineStr">
        <is>
          <t xml:space="preserve">  EBIT</t>
        </is>
      </c>
      <c r="C78" s="974" t="n"/>
      <c r="D78" s="974" t="n"/>
      <c r="E78" s="974" t="n"/>
      <c r="F78" s="974" t="n"/>
      <c r="G78" s="975" t="n"/>
      <c r="H78" s="974" t="n"/>
      <c r="I78" s="974" t="n"/>
      <c r="J78" s="974" t="n"/>
      <c r="K78" s="974" t="n"/>
      <c r="L78" s="975" t="n"/>
      <c r="M78" s="974" t="n"/>
      <c r="N78" s="974" t="n"/>
      <c r="O78" s="974" t="n"/>
      <c r="P78" s="974" t="n"/>
      <c r="Q78" s="975" t="n"/>
      <c r="R78" s="974" t="n"/>
      <c r="S78" s="974" t="n"/>
      <c r="T78" s="974" t="n"/>
      <c r="U78" s="974" t="n"/>
      <c r="V78" s="975" t="n"/>
      <c r="W78" s="974" t="n"/>
      <c r="X78" s="974" t="n"/>
      <c r="Y78" s="974" t="n"/>
      <c r="Z78" s="974" t="n"/>
      <c r="AA78" s="975" t="n"/>
      <c r="AB78" s="974" t="n"/>
      <c r="AC78" s="974" t="n"/>
      <c r="AD78" s="974" t="n"/>
      <c r="AE78" s="974" t="n"/>
      <c r="AF78" s="975" t="n"/>
      <c r="AG78" s="974" t="n"/>
      <c r="AH78" s="974" t="n"/>
      <c r="AI78" s="974" t="n"/>
      <c r="AJ78" s="974" t="n"/>
      <c r="AK78" s="975" t="n"/>
      <c r="AL78" s="974" t="n"/>
      <c r="AM78" s="974" t="n"/>
      <c r="AN78" s="974" t="n"/>
      <c r="AO78" s="974" t="n"/>
      <c r="AP78" s="975" t="n"/>
      <c r="AQ78" s="974" t="n"/>
      <c r="AR78" s="974" t="n"/>
      <c r="AS78" s="974" t="n"/>
      <c r="AT78" s="974" t="n"/>
      <c r="AU78" s="975" t="n"/>
      <c r="AV78" s="974" t="n"/>
      <c r="AW78" s="974" t="n"/>
      <c r="AX78" s="974" t="n"/>
      <c r="AY78" s="974" t="n"/>
      <c r="AZ78" s="975" t="n"/>
      <c r="BA78" s="974" t="n"/>
      <c r="BB78" s="974" t="n"/>
      <c r="BC78" s="974" t="n"/>
      <c r="BD78" s="974" t="n"/>
      <c r="BE78" s="975" t="n"/>
      <c r="BF78" s="974" t="n"/>
      <c r="BG78" s="974" t="n"/>
      <c r="BH78" s="974" t="n"/>
      <c r="BI78" s="974" t="n"/>
      <c r="BJ78" s="975" t="n"/>
      <c r="BK78" s="978" t="n"/>
      <c r="BL78" s="978" t="n"/>
      <c r="BM78" s="978" t="n"/>
      <c r="BN78" s="978">
        <f>BO78-BK78-BL78-BM78</f>
        <v/>
      </c>
      <c r="BO78" s="979" t="n"/>
      <c r="BP78" s="743" t="n"/>
      <c r="BQ78" s="743" t="n"/>
      <c r="BR78" s="743" t="n"/>
      <c r="BS78" s="291">
        <f>BT78-BP78-BQ78-BR78</f>
        <v/>
      </c>
      <c r="BT78" s="868" t="n"/>
      <c r="BU78" s="743" t="n"/>
      <c r="BV78" s="743" t="n">
        <v>50.59</v>
      </c>
      <c r="BW78" s="743" t="n">
        <v>48.695</v>
      </c>
      <c r="BX78" s="291">
        <f>BY78-BU78-BV78-BW78</f>
        <v/>
      </c>
      <c r="BY78" s="868" t="n">
        <v>182.364</v>
      </c>
      <c r="BZ78" s="743" t="n">
        <v>31.233</v>
      </c>
      <c r="CA78" s="743" t="n">
        <v>37.728</v>
      </c>
      <c r="CB78" s="743" t="n">
        <v>31.027</v>
      </c>
      <c r="CC78" s="291">
        <f>CD78-BZ78-CA78-CB78</f>
        <v/>
      </c>
      <c r="CD78" s="868" t="n">
        <v>131.279</v>
      </c>
      <c r="CE78" s="977" t="n"/>
      <c r="CF78" s="977" t="n"/>
      <c r="CG78" s="978">
        <f>CG76*CG80</f>
        <v/>
      </c>
      <c r="CH78" s="978">
        <f>CH76*CH80</f>
        <v/>
      </c>
      <c r="CI78" s="983">
        <f>CI76*CI80</f>
        <v/>
      </c>
      <c r="CJ78" s="749">
        <f>CJ76*CJ80</f>
        <v/>
      </c>
      <c r="CK78" s="749">
        <f>CK76*CK80</f>
        <v/>
      </c>
      <c r="CL78" s="749">
        <f>CL76*CL80</f>
        <v/>
      </c>
      <c r="CM78" s="749">
        <f>CM76*CM80</f>
        <v/>
      </c>
      <c r="CN78" s="974" t="n"/>
      <c r="CO78" s="766" t="n"/>
      <c r="CP78" s="974" t="n"/>
      <c r="CQ78" s="693" t="n"/>
      <c r="CT78" t="inlineStr">
        <is>
          <t xml:space="preserve">  Less-Than-Truckload Sales y/y %</t>
        </is>
      </c>
      <c r="CU78" s="984" t="n">
        <v>-0.06880000000000008</v>
      </c>
      <c r="CV78" s="984" t="n">
        <v>-0.01495000000000002</v>
      </c>
      <c r="CW78" s="984" t="n">
        <v>0.01505000000000001</v>
      </c>
      <c r="CX78" s="984" t="n">
        <v>0.03529999999999989</v>
      </c>
      <c r="CY78" s="984" t="n">
        <v>0.04039999999999999</v>
      </c>
    </row>
    <row r="79" ht="16.5" customHeight="1">
      <c r="B79" s="12" t="inlineStr">
        <is>
          <t xml:space="preserve">  EBIT y/y %</t>
        </is>
      </c>
      <c r="C79" s="974" t="n"/>
      <c r="D79" s="974" t="n"/>
      <c r="E79" s="974" t="n"/>
      <c r="F79" s="974" t="n"/>
      <c r="G79" s="975" t="n"/>
      <c r="H79" s="974" t="n"/>
      <c r="I79" s="974" t="n"/>
      <c r="J79" s="974" t="n"/>
      <c r="K79" s="974" t="n"/>
      <c r="L79" s="975" t="n"/>
      <c r="M79" s="974" t="n"/>
      <c r="N79" s="974" t="n"/>
      <c r="O79" s="974" t="n"/>
      <c r="P79" s="974" t="n"/>
      <c r="Q79" s="975" t="n"/>
      <c r="R79" s="974" t="n"/>
      <c r="S79" s="974" t="n"/>
      <c r="T79" s="974" t="n"/>
      <c r="U79" s="974" t="n"/>
      <c r="V79" s="975" t="n"/>
      <c r="W79" s="974" t="n"/>
      <c r="X79" s="974" t="n"/>
      <c r="Y79" s="974" t="n"/>
      <c r="Z79" s="974" t="n"/>
      <c r="AA79" s="975" t="n"/>
      <c r="AB79" s="974" t="n"/>
      <c r="AC79" s="974" t="n"/>
      <c r="AD79" s="974" t="n"/>
      <c r="AE79" s="974" t="n"/>
      <c r="AF79" s="975" t="n"/>
      <c r="AG79" s="974" t="n"/>
      <c r="AH79" s="974" t="n"/>
      <c r="AI79" s="974" t="n"/>
      <c r="AJ79" s="974" t="n"/>
      <c r="AK79" s="975" t="n"/>
      <c r="AL79" s="974" t="n"/>
      <c r="AM79" s="974" t="n"/>
      <c r="AN79" s="974" t="n"/>
      <c r="AO79" s="974" t="n"/>
      <c r="AP79" s="975" t="n"/>
      <c r="AQ79" s="974" t="n"/>
      <c r="AR79" s="974" t="n"/>
      <c r="AS79" s="974" t="n"/>
      <c r="AT79" s="974" t="n"/>
      <c r="AU79" s="975" t="n"/>
      <c r="AV79" s="974" t="n"/>
      <c r="AW79" s="974" t="n"/>
      <c r="AX79" s="974" t="n"/>
      <c r="AY79" s="974" t="n"/>
      <c r="AZ79" s="975" t="n"/>
      <c r="BA79" s="974" t="n"/>
      <c r="BB79" s="974" t="n"/>
      <c r="BC79" s="974" t="n"/>
      <c r="BD79" s="974" t="n"/>
      <c r="BE79" s="975" t="n"/>
      <c r="BF79" s="974" t="n"/>
      <c r="BG79" s="974" t="n"/>
      <c r="BH79" s="974" t="n"/>
      <c r="BI79" s="974" t="n"/>
      <c r="BJ79" s="975" t="n"/>
      <c r="BK79" s="974">
        <f>IFERROR(BK78/BF78-1,"")</f>
        <v/>
      </c>
      <c r="BL79" s="974">
        <f>IFERROR(BL78/BG78-1,"")</f>
        <v/>
      </c>
      <c r="BM79" s="974">
        <f>IFERROR(BM78/BH78-1,"")</f>
        <v/>
      </c>
      <c r="BN79" s="974">
        <f>IFERROR(BN78/BI78-1,"")</f>
        <v/>
      </c>
      <c r="BO79" s="975">
        <f>IFERROR(BO78/BJ78-1,"")</f>
        <v/>
      </c>
      <c r="BP79" s="974">
        <f>IFERROR(BP78/BK78-1,"")</f>
        <v/>
      </c>
      <c r="BQ79" s="974">
        <f>IFERROR(BQ78/BL78-1,"")</f>
        <v/>
      </c>
      <c r="BR79" s="974">
        <f>IFERROR(BR78/BM78-1,"")</f>
        <v/>
      </c>
      <c r="BS79" s="974">
        <f>IFERROR(BS78/BN78-1,"")</f>
        <v/>
      </c>
      <c r="BT79" s="975">
        <f>IFERROR(BT78/BO78-1,"")</f>
        <v/>
      </c>
      <c r="BU79" s="974">
        <f>IFERROR(BU78/BP78-1,"")</f>
        <v/>
      </c>
      <c r="BV79" s="974">
        <f>IFERROR(BV78/BQ78-1,"")</f>
        <v/>
      </c>
      <c r="BW79" s="974">
        <f>IFERROR(BW78/BR78-1,"")</f>
        <v/>
      </c>
      <c r="BX79" s="974">
        <f>IFERROR(BX78/BS78-1,"")</f>
        <v/>
      </c>
      <c r="BY79" s="975">
        <f>IFERROR(BY78/BT35-1,"")</f>
        <v/>
      </c>
      <c r="BZ79" s="974">
        <f>IFERROR(BZ78/BU78-1,"")</f>
        <v/>
      </c>
      <c r="CA79" s="974">
        <f>IFERROR(CA78/BV78-1,"")</f>
        <v/>
      </c>
      <c r="CB79" s="974">
        <f>IFERROR(CB78/BW78-1,"")</f>
        <v/>
      </c>
      <c r="CC79" s="974">
        <f>IFERROR(CC78/BX78-1,"")</f>
        <v/>
      </c>
      <c r="CD79" s="975">
        <f>IFERROR(CD78/BY78-1,"")</f>
        <v/>
      </c>
      <c r="CE79" s="974">
        <f>IFERROR(CE78/BZ78-1,"")</f>
        <v/>
      </c>
      <c r="CF79" s="974">
        <f>IFERROR(CF78/CA78-1,"")</f>
        <v/>
      </c>
      <c r="CG79" s="974">
        <f>IFERROR(CG78/CB78-1,"")</f>
        <v/>
      </c>
      <c r="CH79" s="974">
        <f>IFERROR(CH78/CC78-1,"")</f>
        <v/>
      </c>
      <c r="CI79" s="976">
        <f>IFERROR(CI78/CD78-1,"")</f>
        <v/>
      </c>
      <c r="CJ79" s="976">
        <f>IFERROR(CJ78/CI78-1,"")</f>
        <v/>
      </c>
      <c r="CK79" s="976">
        <f>IFERROR(CK78/CJ78-1,"")</f>
        <v/>
      </c>
      <c r="CL79" s="976">
        <f>IFERROR(CL78/CK78-1,"")</f>
        <v/>
      </c>
      <c r="CM79" s="976">
        <f>IFERROR(CM78/CL78-1,"")</f>
        <v/>
      </c>
      <c r="CN79" s="974" t="n"/>
      <c r="CO79" s="766" t="n"/>
      <c r="CP79" s="974" t="n"/>
      <c r="CQ79" s="693" t="n"/>
      <c r="CT79" t="inlineStr">
        <is>
          <t xml:space="preserve">  Less-Than-Truckload EBIT margin %</t>
        </is>
      </c>
      <c r="CU79" s="984" t="n">
        <v>0.04</v>
      </c>
      <c r="CV79" s="984" t="n">
        <v>0.045</v>
      </c>
      <c r="CW79" s="984" t="n">
        <v>0.055</v>
      </c>
      <c r="CX79" s="984" t="n">
        <v>0.07000000000000001</v>
      </c>
      <c r="CY79" s="984" t="n">
        <v>0.08500000000000001</v>
      </c>
    </row>
    <row r="80" ht="16.5" customHeight="1">
      <c r="B80" s="12" t="inlineStr">
        <is>
          <t xml:space="preserve">  EBIT %</t>
        </is>
      </c>
      <c r="C80" s="743" t="n"/>
      <c r="D80" s="743" t="n"/>
      <c r="E80" s="743" t="n"/>
      <c r="F80" s="743" t="n"/>
      <c r="G80" s="868" t="n"/>
      <c r="H80" s="743" t="n"/>
      <c r="I80" s="743" t="n"/>
      <c r="J80" s="743" t="n"/>
      <c r="K80" s="743" t="n"/>
      <c r="L80" s="868" t="n"/>
      <c r="M80" s="743" t="n"/>
      <c r="N80" s="743" t="n"/>
      <c r="O80" s="743" t="n"/>
      <c r="P80" s="743" t="n"/>
      <c r="Q80" s="868" t="n"/>
      <c r="R80" s="743" t="n"/>
      <c r="S80" s="743" t="n"/>
      <c r="T80" s="743" t="n"/>
      <c r="U80" s="743" t="n"/>
      <c r="V80" s="868" t="n"/>
      <c r="W80" s="743" t="n"/>
      <c r="X80" s="743" t="n"/>
      <c r="Y80" s="743" t="n"/>
      <c r="Z80" s="743" t="n"/>
      <c r="AA80" s="868" t="n"/>
      <c r="AB80" s="743" t="n"/>
      <c r="AC80" s="743" t="n"/>
      <c r="AD80" s="743" t="n"/>
      <c r="AE80" s="743" t="n"/>
      <c r="AF80" s="868" t="n"/>
      <c r="AG80" s="743" t="n"/>
      <c r="AH80" s="743" t="n"/>
      <c r="AI80" s="743" t="n"/>
      <c r="AJ80" s="743" t="n"/>
      <c r="AK80" s="868" t="n"/>
      <c r="AL80" s="743" t="n"/>
      <c r="AM80" s="291" t="n"/>
      <c r="AN80" s="291" t="n"/>
      <c r="AO80" s="291" t="n"/>
      <c r="AP80" s="864" t="n"/>
      <c r="AQ80" s="291" t="n"/>
      <c r="AR80" s="291" t="n"/>
      <c r="AS80" s="291" t="n"/>
      <c r="AT80" s="291" t="n"/>
      <c r="AU80" s="864" t="n"/>
      <c r="AV80" s="291" t="n"/>
      <c r="AW80" s="291" t="n"/>
      <c r="AX80" s="291" t="n"/>
      <c r="AY80" s="291" t="n"/>
      <c r="AZ80" s="864" t="n"/>
      <c r="BA80" s="291" t="n"/>
      <c r="BB80" s="291" t="n"/>
      <c r="BC80" s="291" t="n"/>
      <c r="BD80" s="291" t="n"/>
      <c r="BE80" s="864" t="n"/>
      <c r="BF80" s="291" t="n"/>
      <c r="BG80" s="291" t="n"/>
      <c r="BH80" s="291" t="n"/>
      <c r="BI80" s="291" t="n"/>
      <c r="BJ80" s="864" t="n"/>
      <c r="BK80" s="974">
        <f>IFERROR(BK78/BK76,"")</f>
        <v/>
      </c>
      <c r="BL80" s="974">
        <f>IFERROR(BL78/BL76,"")</f>
        <v/>
      </c>
      <c r="BM80" s="974">
        <f>IFERROR(BM78/BM76,"")</f>
        <v/>
      </c>
      <c r="BN80" s="974">
        <f>IFERROR(BN78/BN76,"")</f>
        <v/>
      </c>
      <c r="BO80" s="975">
        <f>IFERROR(BO78/BO76,"")</f>
        <v/>
      </c>
      <c r="BP80" s="974">
        <f>IFERROR(BP78/BP76,"")</f>
        <v/>
      </c>
      <c r="BQ80" s="974">
        <f>IFERROR(BQ78/BQ76,"")</f>
        <v/>
      </c>
      <c r="BR80" s="974">
        <f>IFERROR(BR78/BR76,"")</f>
        <v/>
      </c>
      <c r="BS80" s="974">
        <f>IFERROR(BS78/BS76,"")</f>
        <v/>
      </c>
      <c r="BT80" s="975">
        <f>IFERROR(BT78/BT76,"")</f>
        <v/>
      </c>
      <c r="BU80" s="974">
        <f>IFERROR(BU78/BU76,"")</f>
        <v/>
      </c>
      <c r="BV80" s="974">
        <f>IFERROR(BV78/BV76,"")</f>
        <v/>
      </c>
      <c r="BW80" s="974">
        <f>IFERROR(BW78/BW76,"")</f>
        <v/>
      </c>
      <c r="BX80" s="974">
        <f>IFERROR(BX78/BX76,"")</f>
        <v/>
      </c>
      <c r="BY80" s="975">
        <f>IFERROR(BY78/BY76,"")</f>
        <v/>
      </c>
      <c r="BZ80" s="974">
        <f>IFERROR(BZ78/BZ76,"")</f>
        <v/>
      </c>
      <c r="CA80" s="974">
        <f>IFERROR(CA78/CA76,"")</f>
        <v/>
      </c>
      <c r="CB80" s="974">
        <f>IFERROR(CB78/CB76,"")</f>
        <v/>
      </c>
      <c r="CC80" s="974">
        <f>IFERROR(CC78/CC76,"")</f>
        <v/>
      </c>
      <c r="CD80" s="975">
        <f>IFERROR(CD78/CD76,"")</f>
        <v/>
      </c>
      <c r="CE80" s="974">
        <f>IFERROR(CE78/CE76,"")</f>
        <v/>
      </c>
      <c r="CF80" s="974">
        <f>IFERROR(CF78/CF76,"")</f>
        <v/>
      </c>
      <c r="CG80" s="980" t="n"/>
      <c r="CH80" s="980" t="n"/>
      <c r="CI80" s="981">
        <f>CHOOSE(MATCH($CO$3,{"Base";"Bull";"Bear"},0),CU63,CU73,CU83)</f>
        <v/>
      </c>
      <c r="CJ80" s="981">
        <f>CHOOSE(MATCH($CO$3,{"Base";"Bull";"Bear"},0),CV63,CV73,CV83)</f>
        <v/>
      </c>
      <c r="CK80" s="981">
        <f>CHOOSE(MATCH($CO$3,{"Base";"Bull";"Bear"},0),CW63,CW73,CW83)</f>
        <v/>
      </c>
      <c r="CL80" s="981">
        <f>CHOOSE(MATCH($CO$3,{"Base";"Bull";"Bear"},0),CX63,CX73,CX83)</f>
        <v/>
      </c>
      <c r="CM80" s="981">
        <f>CHOOSE(MATCH($CO$3,{"Base";"Bull";"Bear"},0),CY63,CY73,CY83)</f>
        <v/>
      </c>
      <c r="CN80" s="291" t="n"/>
      <c r="CO80" s="766" t="n"/>
      <c r="CP80" s="291" t="n"/>
      <c r="CQ80" s="693" t="n"/>
      <c r="CT80" t="inlineStr">
        <is>
          <t xml:space="preserve">  Truckload Sales y/y %</t>
        </is>
      </c>
      <c r="CU80" s="984" t="n">
        <v>-0.03100000000000003</v>
      </c>
      <c r="CV80" s="984" t="n">
        <v>-0.01019999999999999</v>
      </c>
      <c r="CW80" s="984" t="n">
        <v>0.01000000000000001</v>
      </c>
      <c r="CX80" s="984" t="n">
        <v>0.02515000000000001</v>
      </c>
      <c r="CY80" s="984" t="n">
        <v>0.0302</v>
      </c>
    </row>
    <row r="81" ht="16.5" customHeight="1">
      <c r="B81" s="12" t="inlineStr">
        <is>
          <t xml:space="preserve">  Incremental EBIT (ΔEBIT / ΔSales)</t>
        </is>
      </c>
      <c r="C81" s="974" t="n"/>
      <c r="D81" s="974" t="n"/>
      <c r="E81" s="974" t="n"/>
      <c r="F81" s="974" t="n"/>
      <c r="G81" s="975" t="n"/>
      <c r="H81" s="974" t="n"/>
      <c r="I81" s="974" t="n"/>
      <c r="J81" s="974" t="n"/>
      <c r="K81" s="974" t="n"/>
      <c r="L81" s="975" t="n"/>
      <c r="M81" s="974" t="n"/>
      <c r="N81" s="974" t="n"/>
      <c r="O81" s="974" t="n"/>
      <c r="P81" s="974" t="n"/>
      <c r="Q81" s="975" t="n"/>
      <c r="R81" s="974" t="n"/>
      <c r="S81" s="974" t="n"/>
      <c r="T81" s="974" t="n"/>
      <c r="U81" s="974" t="n"/>
      <c r="V81" s="975" t="n"/>
      <c r="W81" s="974" t="n"/>
      <c r="X81" s="974" t="n"/>
      <c r="Y81" s="974" t="n"/>
      <c r="Z81" s="974" t="n"/>
      <c r="AA81" s="975" t="n"/>
      <c r="AB81" s="974" t="n"/>
      <c r="AC81" s="974" t="n"/>
      <c r="AD81" s="974" t="n"/>
      <c r="AE81" s="974" t="n"/>
      <c r="AF81" s="975" t="n"/>
      <c r="AG81" s="974" t="n"/>
      <c r="AH81" s="974" t="n"/>
      <c r="AI81" s="974" t="n"/>
      <c r="AJ81" s="974" t="n"/>
      <c r="AK81" s="975" t="n"/>
      <c r="AL81" s="974" t="n"/>
      <c r="AM81" s="974" t="n"/>
      <c r="AN81" s="974" t="n"/>
      <c r="AO81" s="974" t="n"/>
      <c r="AP81" s="975" t="n"/>
      <c r="AQ81" s="974" t="n"/>
      <c r="AR81" s="974" t="n"/>
      <c r="AS81" s="974" t="n"/>
      <c r="AT81" s="974" t="n"/>
      <c r="AU81" s="975" t="n"/>
      <c r="AV81" s="974" t="n"/>
      <c r="AW81" s="974" t="n"/>
      <c r="AX81" s="974" t="n"/>
      <c r="AY81" s="974" t="n"/>
      <c r="AZ81" s="975" t="n"/>
      <c r="BA81" s="974" t="n"/>
      <c r="BB81" s="974" t="n"/>
      <c r="BC81" s="974" t="n"/>
      <c r="BD81" s="974" t="n"/>
      <c r="BE81" s="975" t="n"/>
      <c r="BF81" s="974" t="n"/>
      <c r="BG81" s="974" t="n"/>
      <c r="BH81" s="974" t="n"/>
      <c r="BI81" s="974" t="n"/>
      <c r="BJ81" s="975" t="n"/>
      <c r="BK81" s="974">
        <f>IFERROR((BK78-BF78)/(BK76-BF76),"")</f>
        <v/>
      </c>
      <c r="BL81" s="974">
        <f>IFERROR((BL78-BG78)/(BL76-BG76),"")</f>
        <v/>
      </c>
      <c r="BM81" s="974">
        <f>IFERROR((BM78-BH78)/(BM76-BH76),"")</f>
        <v/>
      </c>
      <c r="BN81" s="974">
        <f>IFERROR((BN78-BI78)/(BN76-BI76),"")</f>
        <v/>
      </c>
      <c r="BO81" s="975">
        <f>IFERROR((BO78-BJ78)/(BO76-BJ76),"")</f>
        <v/>
      </c>
      <c r="BP81" s="985">
        <f>IFERROR((BP78-BK78)/(BP76-BK76),"")</f>
        <v/>
      </c>
      <c r="BQ81" s="985">
        <f>IFERROR((BQ78-BL78)/(BQ76-BL76),"")</f>
        <v/>
      </c>
      <c r="BR81" s="985">
        <f>IFERROR((BR78-BM78)/(BR76-BM76),"")</f>
        <v/>
      </c>
      <c r="BS81" s="985">
        <f>IFERROR((BS78-BN78)/(BS76-BN76),"")</f>
        <v/>
      </c>
      <c r="BT81" s="986">
        <f>IFERROR((BT78-BO78)/(BT76-BO76),"")</f>
        <v/>
      </c>
      <c r="BU81" s="985">
        <f>IFERROR((BU78-BP78)/(BU76-BP76),"")</f>
        <v/>
      </c>
      <c r="BV81" s="985">
        <f>IFERROR((BV78-BQ78)/(BV76-BQ76),"")</f>
        <v/>
      </c>
      <c r="BW81" s="985">
        <f>IFERROR((BW78-BR78)/(BW76-BR76),"")</f>
        <v/>
      </c>
      <c r="BX81" s="985">
        <f>IFERROR((BX78-BS78)/(BX76-BS76),"")</f>
        <v/>
      </c>
      <c r="BY81" s="986">
        <f>IFERROR((BY78-BT35)/(BY76-BT34),"")</f>
        <v/>
      </c>
      <c r="BZ81" s="985">
        <f>IFERROR((BZ78-BU78)/(BZ76-BU76),"")</f>
        <v/>
      </c>
      <c r="CA81" s="985">
        <f>IFERROR((CA78-BV78)/(CA76-BV76),"")</f>
        <v/>
      </c>
      <c r="CB81" s="985">
        <f>IFERROR((CB78-BW78)/(CB76-BW76),"")</f>
        <v/>
      </c>
      <c r="CC81" s="985">
        <f>IFERROR((CC78-BX78)/(CC76-BX76),"")</f>
        <v/>
      </c>
      <c r="CD81" s="986">
        <f>IFERROR((CD78-BY78)/(CD76-BY76),"")</f>
        <v/>
      </c>
      <c r="CE81" s="985" t="n"/>
      <c r="CF81" s="985" t="n"/>
      <c r="CG81" s="985" t="n"/>
      <c r="CH81" s="985" t="n"/>
      <c r="CI81" s="987">
        <f>IFERROR((CI78-CD78)/(CI76-CD76),"")</f>
        <v/>
      </c>
      <c r="CJ81" s="987">
        <f>IFERROR((CJ78-CI78)/(CJ76-CI76),"")</f>
        <v/>
      </c>
      <c r="CK81" s="987">
        <f>IFERROR((CK78-CJ78)/(CK76-CJ76),"")</f>
        <v/>
      </c>
      <c r="CL81" s="987">
        <f>IFERROR((CL78-CK78)/(CL76-CK76),"")</f>
        <v/>
      </c>
      <c r="CM81" s="987">
        <f>IFERROR((CM78-CL78)/(CM76-CL76),"")</f>
        <v/>
      </c>
      <c r="CN81" s="974" t="n"/>
      <c r="CO81" s="766" t="n"/>
      <c r="CP81" s="974" t="n"/>
      <c r="CQ81" s="693" t="n"/>
      <c r="CT81" t="inlineStr">
        <is>
          <t xml:space="preserve">  Truckload EBIT margin %</t>
        </is>
      </c>
      <c r="CU81" s="984" t="n">
        <v>0.07000000000000001</v>
      </c>
      <c r="CV81" s="984" t="n">
        <v>0.07000000000000001</v>
      </c>
      <c r="CW81" s="984" t="n">
        <v>0.08</v>
      </c>
      <c r="CX81" s="984" t="n">
        <v>0.09</v>
      </c>
      <c r="CY81" s="984" t="n">
        <v>0.09</v>
      </c>
    </row>
    <row r="82" ht="16.5" customHeight="1">
      <c r="B82" s="702" t="inlineStr">
        <is>
          <t xml:space="preserve">  Backlog ($M)</t>
        </is>
      </c>
      <c r="C82" s="974" t="n"/>
      <c r="D82" s="974" t="n"/>
      <c r="E82" s="974" t="n"/>
      <c r="F82" s="974" t="n"/>
      <c r="G82" s="975" t="n"/>
      <c r="H82" s="974" t="n"/>
      <c r="I82" s="974" t="n"/>
      <c r="J82" s="974" t="n"/>
      <c r="K82" s="974" t="n"/>
      <c r="L82" s="975" t="n"/>
      <c r="M82" s="974" t="n"/>
      <c r="N82" s="974" t="n"/>
      <c r="O82" s="974" t="n"/>
      <c r="P82" s="974" t="n"/>
      <c r="Q82" s="975" t="n"/>
      <c r="R82" s="974" t="n"/>
      <c r="S82" s="974" t="n"/>
      <c r="T82" s="974" t="n"/>
      <c r="U82" s="974" t="n"/>
      <c r="V82" s="975" t="n"/>
      <c r="W82" s="974" t="n"/>
      <c r="X82" s="974" t="n"/>
      <c r="Y82" s="974" t="n"/>
      <c r="Z82" s="974" t="n"/>
      <c r="AA82" s="975" t="n"/>
      <c r="AB82" s="974" t="n"/>
      <c r="AC82" s="974" t="n"/>
      <c r="AD82" s="974" t="n"/>
      <c r="AE82" s="974" t="n"/>
      <c r="AF82" s="975" t="n"/>
      <c r="AG82" s="974" t="n"/>
      <c r="AH82" s="974" t="n"/>
      <c r="AI82" s="974" t="n"/>
      <c r="AJ82" s="974" t="n"/>
      <c r="AK82" s="975" t="n"/>
      <c r="AL82" s="974" t="n"/>
      <c r="AM82" s="974" t="n"/>
      <c r="AN82" s="974" t="n"/>
      <c r="AO82" s="974" t="n"/>
      <c r="AP82" s="975" t="n"/>
      <c r="AQ82" s="974" t="n"/>
      <c r="AR82" s="974" t="n"/>
      <c r="AS82" s="974" t="n"/>
      <c r="AT82" s="974" t="n"/>
      <c r="AU82" s="975" t="n"/>
      <c r="AV82" s="974" t="n"/>
      <c r="AW82" s="974" t="n"/>
      <c r="AX82" s="974" t="n"/>
      <c r="AY82" s="974" t="n"/>
      <c r="AZ82" s="975" t="n"/>
      <c r="BA82" s="974" t="n"/>
      <c r="BB82" s="974" t="n"/>
      <c r="BC82" s="974" t="n"/>
      <c r="BD82" s="974" t="n"/>
      <c r="BE82" s="975" t="n"/>
      <c r="BF82" s="974" t="n"/>
      <c r="BG82" s="974" t="n"/>
      <c r="BH82" s="974" t="n"/>
      <c r="BI82" s="974" t="n"/>
      <c r="BJ82" s="975" t="n"/>
      <c r="BK82" s="988" t="n"/>
      <c r="BL82" s="988" t="n"/>
      <c r="BM82" s="988" t="n"/>
      <c r="BN82" s="988" t="n"/>
      <c r="BO82" s="989" t="n"/>
      <c r="BP82" s="988" t="n"/>
      <c r="BQ82" s="988" t="n"/>
      <c r="BR82" s="988" t="n"/>
      <c r="BS82" s="988" t="n"/>
      <c r="BT82" s="989" t="n"/>
      <c r="BU82" s="988" t="n"/>
      <c r="BV82" s="988" t="n"/>
      <c r="BW82" s="988" t="n"/>
      <c r="BX82" s="988" t="n"/>
      <c r="BY82" s="989" t="n"/>
      <c r="BZ82" s="988" t="n"/>
      <c r="CA82" s="988" t="n"/>
      <c r="CB82" s="988" t="n"/>
      <c r="CC82" s="988" t="n"/>
      <c r="CD82" s="989" t="n"/>
      <c r="CE82" s="988" t="n"/>
      <c r="CF82" s="988" t="n"/>
      <c r="CG82" s="988" t="n"/>
      <c r="CH82" s="988" t="n"/>
      <c r="CI82" s="990" t="n"/>
      <c r="CJ82" s="990" t="n"/>
      <c r="CK82" s="990" t="n"/>
      <c r="CL82" s="990" t="n"/>
      <c r="CM82" s="990" t="n"/>
      <c r="CN82" s="974" t="n"/>
      <c r="CO82" s="766" t="n"/>
      <c r="CP82" s="974" t="n"/>
      <c r="CQ82" s="693" t="n"/>
      <c r="CT82" t="inlineStr">
        <is>
          <t xml:space="preserve">  Logistics Sales y/y %</t>
        </is>
      </c>
      <c r="CU82" s="984" t="n">
        <v>0</v>
      </c>
      <c r="CV82" s="984" t="n">
        <v>0.01000000000000001</v>
      </c>
      <c r="CW82" s="984" t="n">
        <v>0.02000000000000002</v>
      </c>
      <c r="CX82" s="984" t="n">
        <v>0.03000000000000003</v>
      </c>
      <c r="CY82" s="984" t="n">
        <v>0.03000000000000003</v>
      </c>
    </row>
    <row r="83" ht="16.5" customHeight="1">
      <c r="B83" s="702" t="inlineStr">
        <is>
          <t xml:space="preserve">  Backlog y/y %</t>
        </is>
      </c>
      <c r="C83" s="974" t="n"/>
      <c r="D83" s="974" t="n"/>
      <c r="E83" s="974" t="n"/>
      <c r="F83" s="974" t="n"/>
      <c r="G83" s="975" t="n"/>
      <c r="H83" s="974" t="n"/>
      <c r="I83" s="974" t="n"/>
      <c r="J83" s="974" t="n"/>
      <c r="K83" s="974" t="n"/>
      <c r="L83" s="975" t="n"/>
      <c r="M83" s="974" t="n"/>
      <c r="N83" s="974" t="n"/>
      <c r="O83" s="974" t="n"/>
      <c r="P83" s="974" t="n"/>
      <c r="Q83" s="975" t="n"/>
      <c r="R83" s="974" t="n"/>
      <c r="S83" s="974" t="n"/>
      <c r="T83" s="974" t="n"/>
      <c r="U83" s="974" t="n"/>
      <c r="V83" s="975" t="n"/>
      <c r="W83" s="974" t="n"/>
      <c r="X83" s="974" t="n"/>
      <c r="Y83" s="974" t="n"/>
      <c r="Z83" s="974" t="n"/>
      <c r="AA83" s="975" t="n"/>
      <c r="AB83" s="974" t="n"/>
      <c r="AC83" s="974" t="n"/>
      <c r="AD83" s="974" t="n"/>
      <c r="AE83" s="974" t="n"/>
      <c r="AF83" s="975" t="n"/>
      <c r="AG83" s="974" t="n"/>
      <c r="AH83" s="974" t="n"/>
      <c r="AI83" s="974" t="n"/>
      <c r="AJ83" s="974" t="n"/>
      <c r="AK83" s="975" t="n"/>
      <c r="AL83" s="974" t="n"/>
      <c r="AM83" s="974" t="n"/>
      <c r="AN83" s="974" t="n"/>
      <c r="AO83" s="974" t="n"/>
      <c r="AP83" s="975" t="n"/>
      <c r="AQ83" s="974" t="n"/>
      <c r="AR83" s="974" t="n"/>
      <c r="AS83" s="974" t="n"/>
      <c r="AT83" s="974" t="n"/>
      <c r="AU83" s="975" t="n"/>
      <c r="AV83" s="974" t="n"/>
      <c r="AW83" s="974" t="n"/>
      <c r="AX83" s="974" t="n"/>
      <c r="AY83" s="974" t="n"/>
      <c r="AZ83" s="975" t="n"/>
      <c r="BA83" s="974" t="n"/>
      <c r="BB83" s="974" t="n"/>
      <c r="BC83" s="974" t="n"/>
      <c r="BD83" s="974" t="n"/>
      <c r="BE83" s="975" t="n"/>
      <c r="BF83" s="974" t="n"/>
      <c r="BG83" s="974" t="n"/>
      <c r="BH83" s="974" t="n"/>
      <c r="BI83" s="974" t="n"/>
      <c r="BJ83" s="975" t="n"/>
      <c r="BK83" s="991" t="n"/>
      <c r="BL83" s="991" t="n"/>
      <c r="BM83" s="991" t="n"/>
      <c r="BN83" s="991" t="n"/>
      <c r="BO83" s="992" t="n"/>
      <c r="BP83" s="991" t="n"/>
      <c r="BQ83" s="991" t="n"/>
      <c r="BR83" s="991" t="n"/>
      <c r="BS83" s="991" t="n"/>
      <c r="BT83" s="992" t="n"/>
      <c r="BU83" s="991" t="n"/>
      <c r="BV83" s="991" t="n"/>
      <c r="BW83" s="991" t="n"/>
      <c r="BX83" s="991" t="n"/>
      <c r="BY83" s="992" t="n"/>
      <c r="BZ83" s="991" t="n"/>
      <c r="CA83" s="991" t="n"/>
      <c r="CB83" s="991" t="n"/>
      <c r="CC83" s="991" t="n"/>
      <c r="CD83" s="992" t="n"/>
      <c r="CE83" s="991" t="n"/>
      <c r="CF83" s="991" t="n"/>
      <c r="CG83" s="991" t="n"/>
      <c r="CH83" s="991" t="n"/>
      <c r="CI83" s="976" t="n"/>
      <c r="CJ83" s="976" t="n"/>
      <c r="CK83" s="976" t="n"/>
      <c r="CL83" s="976" t="n"/>
      <c r="CM83" s="976" t="n"/>
      <c r="CN83" s="974" t="n"/>
      <c r="CO83" s="766" t="n"/>
      <c r="CP83" s="974" t="n"/>
      <c r="CQ83" s="693" t="n"/>
      <c r="CT83" t="inlineStr">
        <is>
          <t xml:space="preserve">  Logistics EBIT margin %</t>
        </is>
      </c>
      <c r="CU83" s="984" t="n">
        <v>0.07000000000000001</v>
      </c>
      <c r="CV83" s="984" t="n">
        <v>0.075</v>
      </c>
      <c r="CW83" s="984" t="n">
        <v>0.08</v>
      </c>
      <c r="CX83" s="984" t="n">
        <v>0.08</v>
      </c>
      <c r="CY83" s="984" t="n">
        <v>0.08</v>
      </c>
    </row>
    <row r="84" ht="16.5" customHeight="1">
      <c r="B84" s="702" t="inlineStr">
        <is>
          <t xml:space="preserve">  Book-to-bill (Bookings / Sales)</t>
        </is>
      </c>
      <c r="C84" s="974" t="n"/>
      <c r="D84" s="974" t="n"/>
      <c r="E84" s="974" t="n"/>
      <c r="F84" s="974" t="n"/>
      <c r="G84" s="975" t="n"/>
      <c r="H84" s="974" t="n"/>
      <c r="I84" s="974" t="n"/>
      <c r="J84" s="974" t="n"/>
      <c r="K84" s="974" t="n"/>
      <c r="L84" s="975" t="n"/>
      <c r="M84" s="974" t="n"/>
      <c r="N84" s="974" t="n"/>
      <c r="O84" s="974" t="n"/>
      <c r="P84" s="974" t="n"/>
      <c r="Q84" s="975" t="n"/>
      <c r="R84" s="974" t="n"/>
      <c r="S84" s="974" t="n"/>
      <c r="T84" s="974" t="n"/>
      <c r="U84" s="974" t="n"/>
      <c r="V84" s="975" t="n"/>
      <c r="W84" s="974" t="n"/>
      <c r="X84" s="974" t="n"/>
      <c r="Y84" s="974" t="n"/>
      <c r="Z84" s="974" t="n"/>
      <c r="AA84" s="975" t="n"/>
      <c r="AB84" s="974" t="n"/>
      <c r="AC84" s="974" t="n"/>
      <c r="AD84" s="974" t="n"/>
      <c r="AE84" s="974" t="n"/>
      <c r="AF84" s="975" t="n"/>
      <c r="AG84" s="974" t="n"/>
      <c r="AH84" s="974" t="n"/>
      <c r="AI84" s="974" t="n"/>
      <c r="AJ84" s="974" t="n"/>
      <c r="AK84" s="975" t="n"/>
      <c r="AL84" s="974" t="n"/>
      <c r="AM84" s="974" t="n"/>
      <c r="AN84" s="974" t="n"/>
      <c r="AO84" s="974" t="n"/>
      <c r="AP84" s="975" t="n"/>
      <c r="AQ84" s="974" t="n"/>
      <c r="AR84" s="974" t="n"/>
      <c r="AS84" s="974" t="n"/>
      <c r="AT84" s="974" t="n"/>
      <c r="AU84" s="975" t="n"/>
      <c r="AV84" s="974" t="n"/>
      <c r="AW84" s="974" t="n"/>
      <c r="AX84" s="974" t="n"/>
      <c r="AY84" s="974" t="n"/>
      <c r="AZ84" s="975" t="n"/>
      <c r="BA84" s="974" t="n"/>
      <c r="BB84" s="974" t="n"/>
      <c r="BC84" s="974" t="n"/>
      <c r="BD84" s="974" t="n"/>
      <c r="BE84" s="975" t="n"/>
      <c r="BF84" s="974" t="n"/>
      <c r="BG84" s="974" t="n"/>
      <c r="BH84" s="974" t="n"/>
      <c r="BI84" s="974" t="n"/>
      <c r="BJ84" s="975" t="n"/>
      <c r="BK84" s="763" t="n"/>
      <c r="BL84" s="763" t="n"/>
      <c r="BM84" s="763" t="n"/>
      <c r="BN84" s="763" t="n"/>
      <c r="BO84" s="934" t="n"/>
      <c r="BP84" s="763" t="n"/>
      <c r="BQ84" s="763" t="n"/>
      <c r="BR84" s="763" t="n"/>
      <c r="BS84" s="763" t="n"/>
      <c r="BT84" s="934" t="n"/>
      <c r="BU84" s="763" t="n"/>
      <c r="BV84" s="763" t="n"/>
      <c r="BW84" s="763" t="n"/>
      <c r="BX84" s="763" t="n"/>
      <c r="BY84" s="934" t="n"/>
      <c r="BZ84" s="763" t="n"/>
      <c r="CA84" s="763" t="n"/>
      <c r="CB84" s="763" t="n"/>
      <c r="CC84" s="763" t="n"/>
      <c r="CD84" s="934" t="n"/>
      <c r="CE84" s="763" t="n"/>
      <c r="CF84" s="763" t="n"/>
      <c r="CG84" s="763" t="n"/>
      <c r="CH84" s="763" t="n"/>
      <c r="CI84" s="764" t="n"/>
      <c r="CJ84" s="764" t="n"/>
      <c r="CK84" s="764" t="n"/>
      <c r="CL84" s="764" t="n"/>
      <c r="CM84" s="764" t="n"/>
      <c r="CN84" s="974" t="n"/>
      <c r="CO84" s="766" t="n"/>
      <c r="CP84" s="974" t="n"/>
      <c r="CQ84" s="693" t="n"/>
      <c r="CT84" t="inlineStr">
        <is>
          <t>[Segment 4] sales y/y %</t>
        </is>
      </c>
      <c r="CU84" s="984" t="n"/>
      <c r="CV84" s="984" t="n"/>
      <c r="CW84" s="984" t="n"/>
      <c r="CX84" s="984" t="n"/>
      <c r="CY84" s="984" t="n"/>
    </row>
    <row r="85" ht="16.5" customHeight="1">
      <c r="C85" s="291" t="n"/>
      <c r="D85" s="291" t="n"/>
      <c r="E85" s="291" t="n"/>
      <c r="F85" s="291" t="n"/>
      <c r="G85" s="864" t="n"/>
      <c r="H85" s="291" t="n"/>
      <c r="I85" s="291" t="n"/>
      <c r="J85" s="291" t="n"/>
      <c r="K85" s="291" t="n"/>
      <c r="L85" s="864" t="n"/>
      <c r="M85" s="291" t="n"/>
      <c r="N85" s="291" t="n"/>
      <c r="O85" s="291" t="n"/>
      <c r="P85" s="291" t="n"/>
      <c r="Q85" s="864" t="n"/>
      <c r="R85" s="291" t="n"/>
      <c r="S85" s="291" t="n"/>
      <c r="T85" s="291" t="n"/>
      <c r="U85" s="291" t="n"/>
      <c r="V85" s="864" t="n"/>
      <c r="W85" s="291" t="n"/>
      <c r="X85" s="291" t="n"/>
      <c r="Y85" s="291" t="n"/>
      <c r="Z85" s="291" t="n"/>
      <c r="AA85" s="864" t="n"/>
      <c r="AB85" s="291" t="n"/>
      <c r="AC85" s="291" t="n"/>
      <c r="AD85" s="291" t="n"/>
      <c r="AE85" s="291" t="n"/>
      <c r="AF85" s="864" t="n"/>
      <c r="AG85" s="291" t="n"/>
      <c r="AH85" s="291" t="n"/>
      <c r="AI85" s="291" t="n"/>
      <c r="AJ85" s="291" t="n"/>
      <c r="AK85" s="864" t="n"/>
      <c r="AL85" s="291" t="n"/>
      <c r="AM85" s="291" t="n"/>
      <c r="AN85" s="291" t="n"/>
      <c r="AO85" s="291" t="n"/>
      <c r="AP85" s="864" t="n"/>
      <c r="AQ85" s="291" t="n"/>
      <c r="AR85" s="291" t="n"/>
      <c r="AS85" s="291" t="n"/>
      <c r="AT85" s="291" t="n"/>
      <c r="AU85" s="864" t="n"/>
      <c r="AV85" s="291" t="n"/>
      <c r="AW85" s="291" t="n"/>
      <c r="AX85" s="291" t="n"/>
      <c r="AY85" s="291" t="n"/>
      <c r="AZ85" s="864" t="n"/>
      <c r="BA85" s="291" t="n"/>
      <c r="BB85" s="291" t="n"/>
      <c r="BC85" s="291" t="n"/>
      <c r="BD85" s="291" t="n"/>
      <c r="BE85" s="864" t="n"/>
      <c r="BF85" s="291" t="n"/>
      <c r="BG85" s="291" t="n"/>
      <c r="BH85" s="291" t="n"/>
      <c r="BI85" s="291" t="n"/>
      <c r="BJ85" s="864" t="n"/>
      <c r="BK85" s="291" t="n"/>
      <c r="BL85" s="291" t="n"/>
      <c r="BM85" s="291" t="n"/>
      <c r="BN85" s="291" t="n"/>
      <c r="BO85" s="864" t="n"/>
      <c r="BP85" s="291" t="n"/>
      <c r="BQ85" s="291" t="n"/>
      <c r="BR85" s="291" t="n"/>
      <c r="BS85" s="291" t="n"/>
      <c r="BT85" s="864" t="n"/>
      <c r="BU85" s="291" t="n"/>
      <c r="BV85" s="291" t="n"/>
      <c r="BW85" s="291" t="n"/>
      <c r="BX85" s="291" t="n"/>
      <c r="BY85" s="864" t="n"/>
      <c r="BZ85" s="291" t="n"/>
      <c r="CA85" s="291" t="n"/>
      <c r="CB85" s="291" t="n"/>
      <c r="CC85" s="291" t="n"/>
      <c r="CD85" s="864" t="n"/>
      <c r="CE85" s="291" t="n"/>
      <c r="CF85" s="291" t="n"/>
      <c r="CG85" s="291" t="n"/>
      <c r="CH85" s="291" t="n"/>
      <c r="CI85" s="749" t="n"/>
      <c r="CJ85" s="749" t="n"/>
      <c r="CK85" s="749" t="n"/>
      <c r="CL85" s="749" t="n"/>
      <c r="CM85" s="749" t="n"/>
      <c r="CN85" s="291" t="n"/>
      <c r="CO85" s="766" t="n"/>
      <c r="CP85" s="291" t="n"/>
      <c r="CQ85" s="693" t="n"/>
      <c r="CT85" t="inlineStr">
        <is>
          <t>[Segment 4] EBIT margin %</t>
        </is>
      </c>
      <c r="CU85" s="984" t="n"/>
      <c r="CV85" s="984" t="n"/>
      <c r="CW85" s="984" t="n"/>
      <c r="CX85" s="984" t="n"/>
      <c r="CY85" s="984" t="n"/>
    </row>
    <row r="86" ht="16.5" customHeight="1">
      <c r="B86" s="223" t="inlineStr">
        <is>
          <t>[Segment 4]</t>
        </is>
      </c>
      <c r="C86" s="224" t="n"/>
      <c r="D86" s="224" t="n"/>
      <c r="E86" s="224" t="n"/>
      <c r="F86" s="224" t="n"/>
      <c r="G86" s="867" t="n"/>
      <c r="H86" s="224" t="n"/>
      <c r="I86" s="224" t="n"/>
      <c r="J86" s="224" t="n"/>
      <c r="K86" s="224" t="n"/>
      <c r="L86" s="867" t="n"/>
      <c r="M86" s="224" t="n"/>
      <c r="N86" s="224" t="n"/>
      <c r="O86" s="224" t="n"/>
      <c r="P86" s="224" t="n"/>
      <c r="Q86" s="867" t="n"/>
      <c r="R86" s="224" t="n"/>
      <c r="S86" s="224" t="n"/>
      <c r="T86" s="224" t="n"/>
      <c r="U86" s="224" t="n"/>
      <c r="V86" s="867" t="n"/>
      <c r="W86" s="224" t="n"/>
      <c r="X86" s="224" t="n"/>
      <c r="Y86" s="224" t="n"/>
      <c r="Z86" s="224" t="n"/>
      <c r="AA86" s="867" t="n"/>
      <c r="AB86" s="224" t="n"/>
      <c r="AC86" s="224" t="n"/>
      <c r="AD86" s="224" t="n"/>
      <c r="AE86" s="224" t="n"/>
      <c r="AF86" s="867" t="n"/>
      <c r="AG86" s="224" t="n"/>
      <c r="AH86" s="224" t="n"/>
      <c r="AI86" s="224" t="n"/>
      <c r="AJ86" s="224" t="n"/>
      <c r="AK86" s="867" t="n"/>
      <c r="AL86" s="224" t="n"/>
      <c r="AM86" s="224" t="n"/>
      <c r="AN86" s="224" t="n"/>
      <c r="AO86" s="224" t="n"/>
      <c r="AP86" s="867" t="n"/>
      <c r="AQ86" s="224" t="n"/>
      <c r="AR86" s="224" t="n"/>
      <c r="AS86" s="224" t="n"/>
      <c r="AT86" s="224" t="n"/>
      <c r="AU86" s="867" t="n"/>
      <c r="AV86" s="224" t="n"/>
      <c r="AW86" s="224" t="n"/>
      <c r="AX86" s="224" t="n"/>
      <c r="AY86" s="224" t="n"/>
      <c r="AZ86" s="867" t="n"/>
      <c r="BA86" s="224" t="n"/>
      <c r="BB86" s="224" t="n"/>
      <c r="BC86" s="224" t="n"/>
      <c r="BD86" s="224" t="n"/>
      <c r="BE86" s="867" t="n"/>
      <c r="BF86" s="224" t="n"/>
      <c r="BG86" s="224" t="n"/>
      <c r="BH86" s="224" t="n"/>
      <c r="BI86" s="224" t="n"/>
      <c r="BJ86" s="867" t="n"/>
      <c r="BK86" s="224" t="n"/>
      <c r="BL86" s="224" t="n"/>
      <c r="BM86" s="224" t="n"/>
      <c r="BN86" s="224" t="n"/>
      <c r="BO86" s="867" t="n"/>
      <c r="BP86" s="224" t="n"/>
      <c r="BQ86" s="224" t="n"/>
      <c r="BR86" s="224" t="n"/>
      <c r="BS86" s="224" t="n"/>
      <c r="BT86" s="867" t="n"/>
      <c r="BU86" s="224" t="n"/>
      <c r="BV86" s="224" t="n"/>
      <c r="BW86" s="224" t="n"/>
      <c r="BX86" s="224" t="n"/>
      <c r="BY86" s="867" t="n"/>
      <c r="BZ86" s="224" t="n"/>
      <c r="CA86" s="224" t="n"/>
      <c r="CB86" s="224" t="n"/>
      <c r="CC86" s="224" t="n"/>
      <c r="CD86" s="867" t="n"/>
      <c r="CE86" s="224" t="n"/>
      <c r="CF86" s="224" t="n"/>
      <c r="CG86" s="224" t="n"/>
      <c r="CH86" s="224" t="n"/>
      <c r="CI86" s="224" t="n"/>
      <c r="CJ86" s="224" t="n"/>
      <c r="CK86" s="224" t="n"/>
      <c r="CL86" s="224" t="n"/>
      <c r="CM86" s="224" t="n"/>
      <c r="CN86" s="224" t="n"/>
      <c r="CO86" s="684" t="n"/>
      <c r="CP86" s="224" t="n"/>
      <c r="CQ86" s="693" t="n"/>
    </row>
    <row r="87" ht="16.5" customHeight="1">
      <c r="B87" s="12" t="inlineStr">
        <is>
          <t xml:space="preserve">  Net sales</t>
        </is>
      </c>
      <c r="C87" s="743" t="n"/>
      <c r="D87" s="743" t="n"/>
      <c r="E87" s="743" t="n"/>
      <c r="F87" s="743" t="n"/>
      <c r="G87" s="868" t="n"/>
      <c r="H87" s="743" t="n"/>
      <c r="I87" s="743" t="n"/>
      <c r="J87" s="743" t="n"/>
      <c r="K87" s="743" t="n"/>
      <c r="L87" s="868" t="n"/>
      <c r="M87" s="743" t="n"/>
      <c r="N87" s="743" t="n"/>
      <c r="O87" s="743" t="n"/>
      <c r="P87" s="743" t="n"/>
      <c r="Q87" s="868" t="n"/>
      <c r="R87" s="743" t="n"/>
      <c r="S87" s="743" t="n"/>
      <c r="T87" s="743" t="n"/>
      <c r="U87" s="743" t="n"/>
      <c r="V87" s="868" t="n"/>
      <c r="W87" s="743" t="n"/>
      <c r="X87" s="743" t="n"/>
      <c r="Y87" s="743" t="n"/>
      <c r="Z87" s="743" t="n"/>
      <c r="AA87" s="868" t="n"/>
      <c r="AB87" s="743" t="n"/>
      <c r="AC87" s="743" t="n"/>
      <c r="AD87" s="743" t="n"/>
      <c r="AE87" s="743" t="n"/>
      <c r="AF87" s="868" t="n"/>
      <c r="AG87" s="743" t="n"/>
      <c r="AH87" s="743" t="n"/>
      <c r="AI87" s="743" t="n"/>
      <c r="AJ87" s="743" t="n"/>
      <c r="AK87" s="868" t="n"/>
      <c r="AL87" s="743" t="n"/>
      <c r="AM87" s="291" t="n"/>
      <c r="AN87" s="291" t="n"/>
      <c r="AO87" s="291" t="n"/>
      <c r="AP87" s="864" t="n"/>
      <c r="AQ87" s="291" t="n"/>
      <c r="AR87" s="291" t="n"/>
      <c r="AS87" s="291" t="n"/>
      <c r="AT87" s="291" t="n"/>
      <c r="AU87" s="864" t="n"/>
      <c r="AV87" s="291" t="n"/>
      <c r="AW87" s="291" t="n"/>
      <c r="AX87" s="291" t="n"/>
      <c r="AY87" s="291" t="n"/>
      <c r="AZ87" s="864" t="n"/>
      <c r="BA87" s="291" t="n"/>
      <c r="BB87" s="291" t="n"/>
      <c r="BC87" s="291" t="n"/>
      <c r="BD87" s="291" t="n"/>
      <c r="BE87" s="864" t="n"/>
      <c r="BF87" s="291" t="n"/>
      <c r="BG87" s="291" t="n"/>
      <c r="BH87" s="291" t="n"/>
      <c r="BI87" s="291" t="n"/>
      <c r="BJ87" s="864" t="n"/>
      <c r="BK87" s="977" t="n"/>
      <c r="BL87" s="977" t="n"/>
      <c r="BM87" s="977" t="n"/>
      <c r="BN87" s="978">
        <f>BO87-BK87-BL87-BM87</f>
        <v/>
      </c>
      <c r="BO87" s="979" t="n"/>
      <c r="BP87" s="743" t="n"/>
      <c r="BQ87" s="743" t="n"/>
      <c r="BR87" s="743" t="n"/>
      <c r="BS87" s="291">
        <f>BT87-BP87-BQ87-BR87</f>
        <v/>
      </c>
      <c r="BT87" s="868" t="n"/>
      <c r="BU87" s="743" t="n"/>
      <c r="BV87" s="743" t="n"/>
      <c r="BW87" s="743" t="n"/>
      <c r="BX87" s="291">
        <f>BY87-BU87-BV87-BW87</f>
        <v/>
      </c>
      <c r="BY87" s="868" t="n"/>
      <c r="BZ87" s="743" t="n"/>
      <c r="CA87" s="743" t="n"/>
      <c r="CB87" s="743" t="n"/>
      <c r="CC87" s="291">
        <f>CD87-BZ87-CA87-CB87</f>
        <v/>
      </c>
      <c r="CD87" s="868" t="n"/>
      <c r="CE87" s="743" t="n"/>
      <c r="CF87" s="743" t="n"/>
      <c r="CG87" s="291">
        <f>CB87*(1+CG88)</f>
        <v/>
      </c>
      <c r="CH87" s="291">
        <f>CI87-CE87-CF87-CG87</f>
        <v/>
      </c>
      <c r="CI87" s="749" t="n"/>
      <c r="CJ87" s="749">
        <f>CI87*(1+CJ88)</f>
        <v/>
      </c>
      <c r="CK87" s="749">
        <f>CJ87*(1+CK88)</f>
        <v/>
      </c>
      <c r="CL87" s="749">
        <f>CK87*(1+CL88)</f>
        <v/>
      </c>
      <c r="CM87" s="749">
        <f>CL87*(1+CM88)</f>
        <v/>
      </c>
      <c r="CN87" s="291" t="n"/>
      <c r="CO87" s="766" t="n">
        <v>0.0359932375934673</v>
      </c>
      <c r="CP87" s="291" t="n"/>
      <c r="CQ87" s="694" t="n"/>
    </row>
    <row r="88" ht="16.5" customHeight="1">
      <c r="B88" s="690" t="inlineStr">
        <is>
          <t xml:space="preserve">  Sales y/y %</t>
        </is>
      </c>
      <c r="C88" s="743" t="n"/>
      <c r="D88" s="743" t="n"/>
      <c r="E88" s="743" t="n"/>
      <c r="F88" s="743" t="n"/>
      <c r="G88" s="868" t="n"/>
      <c r="H88" s="743" t="n"/>
      <c r="I88" s="743" t="n"/>
      <c r="J88" s="743" t="n"/>
      <c r="K88" s="743" t="n"/>
      <c r="L88" s="868" t="n"/>
      <c r="M88" s="743" t="n"/>
      <c r="N88" s="743" t="n"/>
      <c r="O88" s="743" t="n"/>
      <c r="P88" s="743" t="n"/>
      <c r="Q88" s="868" t="n"/>
      <c r="R88" s="743" t="n"/>
      <c r="S88" s="743" t="n"/>
      <c r="T88" s="743" t="n"/>
      <c r="U88" s="743" t="n"/>
      <c r="V88" s="868" t="n"/>
      <c r="W88" s="743" t="n"/>
      <c r="X88" s="743" t="n"/>
      <c r="Y88" s="743" t="n"/>
      <c r="Z88" s="743" t="n"/>
      <c r="AA88" s="868" t="n"/>
      <c r="AB88" s="743" t="n"/>
      <c r="AC88" s="743" t="n"/>
      <c r="AD88" s="743" t="n"/>
      <c r="AE88" s="743" t="n"/>
      <c r="AF88" s="868" t="n"/>
      <c r="AG88" s="743" t="n"/>
      <c r="AH88" s="743" t="n"/>
      <c r="AI88" s="743" t="n"/>
      <c r="AJ88" s="743" t="n"/>
      <c r="AK88" s="868" t="n"/>
      <c r="AL88" s="743" t="n"/>
      <c r="AM88" s="291" t="n"/>
      <c r="AN88" s="291" t="n"/>
      <c r="AO88" s="291" t="n"/>
      <c r="AP88" s="864" t="n"/>
      <c r="AQ88" s="291" t="n"/>
      <c r="AR88" s="291" t="n"/>
      <c r="AS88" s="291" t="n"/>
      <c r="AT88" s="291" t="n"/>
      <c r="AU88" s="864" t="n"/>
      <c r="AV88" s="291" t="n"/>
      <c r="AW88" s="291" t="n"/>
      <c r="AX88" s="291" t="n"/>
      <c r="AY88" s="291" t="n"/>
      <c r="AZ88" s="864" t="n"/>
      <c r="BA88" s="291" t="n"/>
      <c r="BB88" s="291" t="n"/>
      <c r="BC88" s="291" t="n"/>
      <c r="BD88" s="291" t="n"/>
      <c r="BE88" s="864" t="n"/>
      <c r="BF88" s="291" t="n"/>
      <c r="BG88" s="291" t="n"/>
      <c r="BH88" s="291" t="n"/>
      <c r="BI88" s="291" t="n"/>
      <c r="BJ88" s="864" t="n"/>
      <c r="BK88" s="974">
        <f>IFERROR(BK87/BF87-1,"")</f>
        <v/>
      </c>
      <c r="BL88" s="974">
        <f>IFERROR(BL87/BG87-1,"")</f>
        <v/>
      </c>
      <c r="BM88" s="974">
        <f>IFERROR(BM87/BH87-1,"")</f>
        <v/>
      </c>
      <c r="BN88" s="974">
        <f>IFERROR(BN87/BI87-1,"")</f>
        <v/>
      </c>
      <c r="BO88" s="975">
        <f>IFERROR(BO87/BJ87-1,"")</f>
        <v/>
      </c>
      <c r="BP88" s="974">
        <f>IFERROR(BP87/BK87-1,"")</f>
        <v/>
      </c>
      <c r="BQ88" s="974">
        <f>IFERROR(BQ87/BL87-1,"")</f>
        <v/>
      </c>
      <c r="BR88" s="974">
        <f>IFERROR(BR87/BM87-1,"")</f>
        <v/>
      </c>
      <c r="BS88" s="974">
        <f>IFERROR(BS87/BN87-1,"")</f>
        <v/>
      </c>
      <c r="BT88" s="975">
        <f>IFERROR(BT87/BO87-1,"")</f>
        <v/>
      </c>
      <c r="BU88" s="974">
        <f>IFERROR(BU87/BP87-1,"")</f>
        <v/>
      </c>
      <c r="BV88" s="974">
        <f>IFERROR(BV87/BQ87-1,"")</f>
        <v/>
      </c>
      <c r="BW88" s="974">
        <f>IFERROR(BW87/BR87-1,"")</f>
        <v/>
      </c>
      <c r="BX88" s="974">
        <f>IFERROR(BX87/BS87-1,"")</f>
        <v/>
      </c>
      <c r="BY88" s="975">
        <f>IFERROR(BY87/BT87-1,"")</f>
        <v/>
      </c>
      <c r="BZ88" s="974">
        <f>IFERROR(BZ87/BU87-1,"")</f>
        <v/>
      </c>
      <c r="CA88" s="974">
        <f>IFERROR(CA87/BV87-1,"")</f>
        <v/>
      </c>
      <c r="CB88" s="974">
        <f>IFERROR(CB87/BW87-1,"")</f>
        <v/>
      </c>
      <c r="CC88" s="974">
        <f>IFERROR(CC87/BX87-1,"")</f>
        <v/>
      </c>
      <c r="CD88" s="975">
        <f>IFERROR(CD87/BY87-1,"")</f>
        <v/>
      </c>
      <c r="CE88" s="974">
        <f>IFERROR(CE87/BZ87-1,"")</f>
        <v/>
      </c>
      <c r="CF88" s="974">
        <f>IFERROR(CF87/CA87-1,"")</f>
        <v/>
      </c>
      <c r="CG88" s="980" t="n"/>
      <c r="CH88" s="974">
        <f>IFERROR(CH87/CC87-1,"")</f>
        <v/>
      </c>
      <c r="CI88" s="981" t="n"/>
      <c r="CJ88" s="981">
        <f>CHOOSE(MATCH($CO$3,{"Base";"Bull";"Bear"},0),CV64,CV74,CV84)</f>
        <v/>
      </c>
      <c r="CK88" s="981">
        <f>CHOOSE(MATCH($CO$3,{"Base";"Bull";"Bear"},0),CW64,CW74,CW84)</f>
        <v/>
      </c>
      <c r="CL88" s="981">
        <f>CHOOSE(MATCH($CO$3,{"Base";"Bull";"Bear"},0),CX64,CX74,CX84)</f>
        <v/>
      </c>
      <c r="CM88" s="981">
        <f>CHOOSE(MATCH($CO$3,{"Base";"Bull";"Bear"},0),CY64,CY74,CY84)</f>
        <v/>
      </c>
      <c r="CN88" s="291" t="n"/>
      <c r="CO88" s="766" t="n"/>
      <c r="CP88" s="291" t="n"/>
      <c r="CQ88" s="694" t="n"/>
    </row>
    <row r="89" ht="16.5" customHeight="1">
      <c r="B89" s="12" t="inlineStr">
        <is>
          <t xml:space="preserve">  EBIT</t>
        </is>
      </c>
      <c r="C89" s="974" t="n"/>
      <c r="D89" s="974" t="n"/>
      <c r="E89" s="974" t="n"/>
      <c r="F89" s="974" t="n"/>
      <c r="G89" s="975" t="n"/>
      <c r="H89" s="974" t="n"/>
      <c r="I89" s="974" t="n"/>
      <c r="J89" s="974" t="n"/>
      <c r="K89" s="974" t="n"/>
      <c r="L89" s="975" t="n"/>
      <c r="M89" s="974" t="n"/>
      <c r="N89" s="974" t="n"/>
      <c r="O89" s="974" t="n"/>
      <c r="P89" s="974" t="n"/>
      <c r="Q89" s="975" t="n"/>
      <c r="R89" s="974" t="n"/>
      <c r="S89" s="974" t="n"/>
      <c r="T89" s="974" t="n"/>
      <c r="U89" s="974" t="n"/>
      <c r="V89" s="975" t="n"/>
      <c r="W89" s="974" t="n"/>
      <c r="X89" s="974" t="n"/>
      <c r="Y89" s="974" t="n"/>
      <c r="Z89" s="974" t="n"/>
      <c r="AA89" s="975" t="n"/>
      <c r="AB89" s="974" t="n"/>
      <c r="AC89" s="974" t="n"/>
      <c r="AD89" s="974" t="n"/>
      <c r="AE89" s="974" t="n"/>
      <c r="AF89" s="975" t="n"/>
      <c r="AG89" s="974" t="n"/>
      <c r="AH89" s="974" t="n"/>
      <c r="AI89" s="974" t="n"/>
      <c r="AJ89" s="974" t="n"/>
      <c r="AK89" s="975" t="n"/>
      <c r="AL89" s="974" t="n"/>
      <c r="AM89" s="974" t="n"/>
      <c r="AN89" s="974" t="n"/>
      <c r="AO89" s="974" t="n"/>
      <c r="AP89" s="975" t="n"/>
      <c r="AQ89" s="974" t="n"/>
      <c r="AR89" s="974" t="n"/>
      <c r="AS89" s="974" t="n"/>
      <c r="AT89" s="974" t="n"/>
      <c r="AU89" s="975" t="n"/>
      <c r="AV89" s="974" t="n"/>
      <c r="AW89" s="974" t="n"/>
      <c r="AX89" s="974" t="n"/>
      <c r="AY89" s="974" t="n"/>
      <c r="AZ89" s="975" t="n"/>
      <c r="BA89" s="974" t="n"/>
      <c r="BB89" s="974" t="n"/>
      <c r="BC89" s="974" t="n"/>
      <c r="BD89" s="974" t="n"/>
      <c r="BE89" s="975" t="n"/>
      <c r="BF89" s="974" t="n"/>
      <c r="BG89" s="974" t="n"/>
      <c r="BH89" s="974" t="n"/>
      <c r="BI89" s="974" t="n"/>
      <c r="BJ89" s="975" t="n"/>
      <c r="BK89" s="978" t="n"/>
      <c r="BL89" s="978" t="n"/>
      <c r="BM89" s="978" t="n"/>
      <c r="BN89" s="978">
        <f>BO89-BK89-BL89-BM89</f>
        <v/>
      </c>
      <c r="BO89" s="979" t="n"/>
      <c r="BP89" s="743" t="n"/>
      <c r="BQ89" s="743" t="n"/>
      <c r="BR89" s="743" t="n"/>
      <c r="BS89" s="291">
        <f>BT89-BP89-BQ89-BR89</f>
        <v/>
      </c>
      <c r="BT89" s="868" t="n"/>
      <c r="BU89" s="743" t="n"/>
      <c r="BV89" s="743" t="n"/>
      <c r="BW89" s="743" t="n"/>
      <c r="BX89" s="291">
        <f>BY89-BU89-BV89-BW89</f>
        <v/>
      </c>
      <c r="BY89" s="868" t="n"/>
      <c r="BZ89" s="743" t="n"/>
      <c r="CA89" s="743" t="n"/>
      <c r="CB89" s="743" t="n"/>
      <c r="CC89" s="291">
        <f>CD89-BZ89-CA89-CB89</f>
        <v/>
      </c>
      <c r="CD89" s="868" t="n"/>
      <c r="CE89" s="977" t="n"/>
      <c r="CF89" s="977" t="n"/>
      <c r="CG89" s="978">
        <f>CG87*CG91</f>
        <v/>
      </c>
      <c r="CH89" s="978">
        <f>CH87*CH91</f>
        <v/>
      </c>
      <c r="CI89" s="983">
        <f>CI87*CI91</f>
        <v/>
      </c>
      <c r="CJ89" s="749">
        <f>CJ87*CJ91</f>
        <v/>
      </c>
      <c r="CK89" s="749">
        <f>CK87*CK91</f>
        <v/>
      </c>
      <c r="CL89" s="749">
        <f>CL87*CL91</f>
        <v/>
      </c>
      <c r="CM89" s="749">
        <f>CM87*CM91</f>
        <v/>
      </c>
      <c r="CN89" s="974" t="n"/>
      <c r="CO89" s="766" t="n"/>
      <c r="CP89" s="974" t="n"/>
      <c r="CQ89" s="693" t="n"/>
    </row>
    <row r="90" ht="16.5" customHeight="1">
      <c r="B90" s="12" t="inlineStr">
        <is>
          <t xml:space="preserve">  EBIT y/y %</t>
        </is>
      </c>
      <c r="C90" s="974" t="n"/>
      <c r="D90" s="974" t="n"/>
      <c r="E90" s="974" t="n"/>
      <c r="F90" s="974" t="n"/>
      <c r="G90" s="975" t="n"/>
      <c r="H90" s="974" t="n"/>
      <c r="I90" s="974" t="n"/>
      <c r="J90" s="974" t="n"/>
      <c r="K90" s="974" t="n"/>
      <c r="L90" s="975" t="n"/>
      <c r="M90" s="974" t="n"/>
      <c r="N90" s="974" t="n"/>
      <c r="O90" s="974" t="n"/>
      <c r="P90" s="974" t="n"/>
      <c r="Q90" s="975" t="n"/>
      <c r="R90" s="974" t="n"/>
      <c r="S90" s="974" t="n"/>
      <c r="T90" s="974" t="n"/>
      <c r="U90" s="974" t="n"/>
      <c r="V90" s="975" t="n"/>
      <c r="W90" s="974" t="n"/>
      <c r="X90" s="974" t="n"/>
      <c r="Y90" s="974" t="n"/>
      <c r="Z90" s="974" t="n"/>
      <c r="AA90" s="975" t="n"/>
      <c r="AB90" s="974" t="n"/>
      <c r="AC90" s="974" t="n"/>
      <c r="AD90" s="974" t="n"/>
      <c r="AE90" s="974" t="n"/>
      <c r="AF90" s="975" t="n"/>
      <c r="AG90" s="974" t="n"/>
      <c r="AH90" s="974" t="n"/>
      <c r="AI90" s="974" t="n"/>
      <c r="AJ90" s="974" t="n"/>
      <c r="AK90" s="975" t="n"/>
      <c r="AL90" s="974" t="n"/>
      <c r="AM90" s="974" t="n"/>
      <c r="AN90" s="974" t="n"/>
      <c r="AO90" s="974" t="n"/>
      <c r="AP90" s="975" t="n"/>
      <c r="AQ90" s="974" t="n"/>
      <c r="AR90" s="974" t="n"/>
      <c r="AS90" s="974" t="n"/>
      <c r="AT90" s="974" t="n"/>
      <c r="AU90" s="975" t="n"/>
      <c r="AV90" s="974" t="n"/>
      <c r="AW90" s="974" t="n"/>
      <c r="AX90" s="974" t="n"/>
      <c r="AY90" s="974" t="n"/>
      <c r="AZ90" s="975" t="n"/>
      <c r="BA90" s="974" t="n"/>
      <c r="BB90" s="974" t="n"/>
      <c r="BC90" s="974" t="n"/>
      <c r="BD90" s="974" t="n"/>
      <c r="BE90" s="975" t="n"/>
      <c r="BF90" s="974" t="n"/>
      <c r="BG90" s="974" t="n"/>
      <c r="BH90" s="974" t="n"/>
      <c r="BI90" s="974" t="n"/>
      <c r="BJ90" s="975" t="n"/>
      <c r="BK90" s="974">
        <f>IFERROR(BK89/BF89-1,"")</f>
        <v/>
      </c>
      <c r="BL90" s="974">
        <f>IFERROR(BL89/BG89-1,"")</f>
        <v/>
      </c>
      <c r="BM90" s="974">
        <f>IFERROR(BM89/BH89-1,"")</f>
        <v/>
      </c>
      <c r="BN90" s="974">
        <f>IFERROR(BN89/BI89-1,"")</f>
        <v/>
      </c>
      <c r="BO90" s="975">
        <f>IFERROR(BO89/BJ89-1,"")</f>
        <v/>
      </c>
      <c r="BP90" s="974">
        <f>IFERROR(BP89/BK89-1,"")</f>
        <v/>
      </c>
      <c r="BQ90" s="974">
        <f>IFERROR(BQ89/BL89-1,"")</f>
        <v/>
      </c>
      <c r="BR90" s="974">
        <f>IFERROR(BR89/BM89-1,"")</f>
        <v/>
      </c>
      <c r="BS90" s="974">
        <f>IFERROR(BS89/BN89-1,"")</f>
        <v/>
      </c>
      <c r="BT90" s="975">
        <f>IFERROR(BT89/BO89-1,"")</f>
        <v/>
      </c>
      <c r="BU90" s="974">
        <f>IFERROR(BU89/BP89-1,"")</f>
        <v/>
      </c>
      <c r="BV90" s="974">
        <f>IFERROR(BV89/BQ89-1,"")</f>
        <v/>
      </c>
      <c r="BW90" s="974">
        <f>IFERROR(BW89/BR89-1,"")</f>
        <v/>
      </c>
      <c r="BX90" s="974">
        <f>IFERROR(BX89/BS89-1,"")</f>
        <v/>
      </c>
      <c r="BY90" s="975">
        <f>IFERROR(BY89/BT89-1,"")</f>
        <v/>
      </c>
      <c r="BZ90" s="974">
        <f>IFERROR(BZ89/BU89-1,"")</f>
        <v/>
      </c>
      <c r="CA90" s="974">
        <f>IFERROR(CA89/BV89-1,"")</f>
        <v/>
      </c>
      <c r="CB90" s="974">
        <f>IFERROR(CB89/BW89-1,"")</f>
        <v/>
      </c>
      <c r="CC90" s="974">
        <f>IFERROR(CC89/BX89-1,"")</f>
        <v/>
      </c>
      <c r="CD90" s="975">
        <f>IFERROR(CD89/BY89-1,"")</f>
        <v/>
      </c>
      <c r="CE90" s="974">
        <f>IFERROR(CE89/BZ89-1,"")</f>
        <v/>
      </c>
      <c r="CF90" s="974">
        <f>IFERROR(CF89/CA89-1,"")</f>
        <v/>
      </c>
      <c r="CG90" s="974">
        <f>IFERROR(CG89/CB89-1,"")</f>
        <v/>
      </c>
      <c r="CH90" s="974">
        <f>IFERROR(CH89/CC89-1,"")</f>
        <v/>
      </c>
      <c r="CI90" s="976">
        <f>IFERROR(CI89/CD89-1,"")</f>
        <v/>
      </c>
      <c r="CJ90" s="976">
        <f>IFERROR(CJ89/CI89-1,"")</f>
        <v/>
      </c>
      <c r="CK90" s="976">
        <f>IFERROR(CK89/CJ89-1,"")</f>
        <v/>
      </c>
      <c r="CL90" s="976">
        <f>IFERROR(CL89/CK89-1,"")</f>
        <v/>
      </c>
      <c r="CM90" s="976">
        <f>IFERROR(CM89/CL89-1,"")</f>
        <v/>
      </c>
      <c r="CN90" s="974" t="n"/>
      <c r="CO90" s="766" t="n"/>
      <c r="CP90" s="974" t="n"/>
      <c r="CQ90" s="693" t="n"/>
    </row>
    <row r="91" ht="16.5" customHeight="1">
      <c r="B91" s="12" t="inlineStr">
        <is>
          <t xml:space="preserve">  EBIT %</t>
        </is>
      </c>
      <c r="C91" s="743" t="n"/>
      <c r="D91" s="743" t="n"/>
      <c r="E91" s="743" t="n"/>
      <c r="F91" s="743" t="n"/>
      <c r="G91" s="868" t="n"/>
      <c r="H91" s="743" t="n"/>
      <c r="I91" s="743" t="n"/>
      <c r="J91" s="743" t="n"/>
      <c r="K91" s="743" t="n"/>
      <c r="L91" s="868" t="n"/>
      <c r="M91" s="743" t="n"/>
      <c r="N91" s="743" t="n"/>
      <c r="O91" s="743" t="n"/>
      <c r="P91" s="743" t="n"/>
      <c r="Q91" s="868" t="n"/>
      <c r="R91" s="743" t="n"/>
      <c r="S91" s="743" t="n"/>
      <c r="T91" s="743" t="n"/>
      <c r="U91" s="743" t="n"/>
      <c r="V91" s="868" t="n"/>
      <c r="W91" s="743" t="n"/>
      <c r="X91" s="743" t="n"/>
      <c r="Y91" s="743" t="n"/>
      <c r="Z91" s="743" t="n"/>
      <c r="AA91" s="868" t="n"/>
      <c r="AB91" s="743" t="n"/>
      <c r="AC91" s="743" t="n"/>
      <c r="AD91" s="743" t="n"/>
      <c r="AE91" s="743" t="n"/>
      <c r="AF91" s="868" t="n"/>
      <c r="AG91" s="743" t="n"/>
      <c r="AH91" s="743" t="n"/>
      <c r="AI91" s="743" t="n"/>
      <c r="AJ91" s="743" t="n"/>
      <c r="AK91" s="868" t="n"/>
      <c r="AL91" s="743" t="n"/>
      <c r="AM91" s="291" t="n"/>
      <c r="AN91" s="291" t="n"/>
      <c r="AO91" s="291" t="n"/>
      <c r="AP91" s="864" t="n"/>
      <c r="AQ91" s="291" t="n"/>
      <c r="AR91" s="291" t="n"/>
      <c r="AS91" s="291" t="n"/>
      <c r="AT91" s="291" t="n"/>
      <c r="AU91" s="864" t="n"/>
      <c r="AV91" s="291" t="n"/>
      <c r="AW91" s="291" t="n"/>
      <c r="AX91" s="291" t="n"/>
      <c r="AY91" s="291" t="n"/>
      <c r="AZ91" s="864" t="n"/>
      <c r="BA91" s="291" t="n"/>
      <c r="BB91" s="291" t="n"/>
      <c r="BC91" s="291" t="n"/>
      <c r="BD91" s="291" t="n"/>
      <c r="BE91" s="864" t="n"/>
      <c r="BF91" s="291" t="n"/>
      <c r="BG91" s="291" t="n"/>
      <c r="BH91" s="291" t="n"/>
      <c r="BI91" s="291" t="n"/>
      <c r="BJ91" s="864" t="n"/>
      <c r="BK91" s="974">
        <f>IFERROR(BK89/BK87,"")</f>
        <v/>
      </c>
      <c r="BL91" s="974">
        <f>IFERROR(BL89/BL87,"")</f>
        <v/>
      </c>
      <c r="BM91" s="974">
        <f>IFERROR(BM89/BM87,"")</f>
        <v/>
      </c>
      <c r="BN91" s="974">
        <f>IFERROR(BN89/BN87,"")</f>
        <v/>
      </c>
      <c r="BO91" s="975">
        <f>IFERROR(BO89/BO87,"")</f>
        <v/>
      </c>
      <c r="BP91" s="974">
        <f>IFERROR(BP89/BP87,"")</f>
        <v/>
      </c>
      <c r="BQ91" s="974">
        <f>IFERROR(BQ89/BQ87,"")</f>
        <v/>
      </c>
      <c r="BR91" s="974">
        <f>IFERROR(BR89/BR87,"")</f>
        <v/>
      </c>
      <c r="BS91" s="974">
        <f>IFERROR(BS89/BS87,"")</f>
        <v/>
      </c>
      <c r="BT91" s="975">
        <f>IFERROR(BT89/BT87,"")</f>
        <v/>
      </c>
      <c r="BU91" s="974">
        <f>IFERROR(BU89/BU87,"")</f>
        <v/>
      </c>
      <c r="BV91" s="974">
        <f>IFERROR(BV89/BV87,"")</f>
        <v/>
      </c>
      <c r="BW91" s="974">
        <f>IFERROR(BW89/BW87,"")</f>
        <v/>
      </c>
      <c r="BX91" s="974">
        <f>IFERROR(BX89/BX87,"")</f>
        <v/>
      </c>
      <c r="BY91" s="975">
        <f>IFERROR(BY89/BY87,"")</f>
        <v/>
      </c>
      <c r="BZ91" s="974">
        <f>IFERROR(BZ89/BZ87,"")</f>
        <v/>
      </c>
      <c r="CA91" s="974">
        <f>IFERROR(CA89/CA87,"")</f>
        <v/>
      </c>
      <c r="CB91" s="974">
        <f>IFERROR(CB89/CB87,"")</f>
        <v/>
      </c>
      <c r="CC91" s="974">
        <f>IFERROR(CC89/CC87,"")</f>
        <v/>
      </c>
      <c r="CD91" s="975">
        <f>IFERROR(CD89/CD87,"")</f>
        <v/>
      </c>
      <c r="CE91" s="974">
        <f>IFERROR(CE89/CE87,"")</f>
        <v/>
      </c>
      <c r="CF91" s="974">
        <f>IFERROR(CF89/CF87,"")</f>
        <v/>
      </c>
      <c r="CG91" s="980" t="n"/>
      <c r="CH91" s="980" t="n"/>
      <c r="CI91" s="981" t="n"/>
      <c r="CJ91" s="981">
        <f>CHOOSE(MATCH($CO$3,{"Base";"Bull";"Bear"},0),CV65,CV75,CV85)</f>
        <v/>
      </c>
      <c r="CK91" s="981">
        <f>CHOOSE(MATCH($CO$3,{"Base";"Bull";"Bear"},0),CW65,CW75,CW85)</f>
        <v/>
      </c>
      <c r="CL91" s="981">
        <f>CHOOSE(MATCH($CO$3,{"Base";"Bull";"Bear"},0),CX65,CX75,CX85)</f>
        <v/>
      </c>
      <c r="CM91" s="981">
        <f>CHOOSE(MATCH($CO$3,{"Base";"Bull";"Bear"},0),CY65,CY75,CY85)</f>
        <v/>
      </c>
      <c r="CN91" s="291" t="n"/>
      <c r="CO91" s="766" t="n"/>
      <c r="CP91" s="291" t="n"/>
      <c r="CQ91" s="693" t="n"/>
    </row>
    <row r="92" ht="16.5" customHeight="1">
      <c r="B92" s="12" t="inlineStr">
        <is>
          <t xml:space="preserve">  Incremental EBIT (ΔEBIT / ΔSales)</t>
        </is>
      </c>
      <c r="C92" s="974" t="n"/>
      <c r="D92" s="974" t="n"/>
      <c r="E92" s="974" t="n"/>
      <c r="F92" s="974" t="n"/>
      <c r="G92" s="975" t="n"/>
      <c r="H92" s="974" t="n"/>
      <c r="I92" s="974" t="n"/>
      <c r="J92" s="974" t="n"/>
      <c r="K92" s="974" t="n"/>
      <c r="L92" s="975" t="n"/>
      <c r="M92" s="974" t="n"/>
      <c r="N92" s="974" t="n"/>
      <c r="O92" s="974" t="n"/>
      <c r="P92" s="974" t="n"/>
      <c r="Q92" s="975" t="n"/>
      <c r="R92" s="974" t="n"/>
      <c r="S92" s="974" t="n"/>
      <c r="T92" s="974" t="n"/>
      <c r="U92" s="974" t="n"/>
      <c r="V92" s="975" t="n"/>
      <c r="W92" s="974" t="n"/>
      <c r="X92" s="974" t="n"/>
      <c r="Y92" s="974" t="n"/>
      <c r="Z92" s="974" t="n"/>
      <c r="AA92" s="975" t="n"/>
      <c r="AB92" s="974" t="n"/>
      <c r="AC92" s="974" t="n"/>
      <c r="AD92" s="974" t="n"/>
      <c r="AE92" s="974" t="n"/>
      <c r="AF92" s="975" t="n"/>
      <c r="AG92" s="974" t="n"/>
      <c r="AH92" s="974" t="n"/>
      <c r="AI92" s="974" t="n"/>
      <c r="AJ92" s="974" t="n"/>
      <c r="AK92" s="975" t="n"/>
      <c r="AL92" s="974" t="n"/>
      <c r="AM92" s="974" t="n"/>
      <c r="AN92" s="974" t="n"/>
      <c r="AO92" s="974" t="n"/>
      <c r="AP92" s="975" t="n"/>
      <c r="AQ92" s="974" t="n"/>
      <c r="AR92" s="974" t="n"/>
      <c r="AS92" s="974" t="n"/>
      <c r="AT92" s="974" t="n"/>
      <c r="AU92" s="975" t="n"/>
      <c r="AV92" s="974" t="n"/>
      <c r="AW92" s="974" t="n"/>
      <c r="AX92" s="974" t="n"/>
      <c r="AY92" s="974" t="n"/>
      <c r="AZ92" s="975" t="n"/>
      <c r="BA92" s="974" t="n"/>
      <c r="BB92" s="974" t="n"/>
      <c r="BC92" s="974" t="n"/>
      <c r="BD92" s="974" t="n"/>
      <c r="BE92" s="975" t="n"/>
      <c r="BF92" s="974" t="n"/>
      <c r="BG92" s="974" t="n"/>
      <c r="BH92" s="974" t="n"/>
      <c r="BI92" s="974" t="n"/>
      <c r="BJ92" s="975" t="n"/>
      <c r="BK92" s="974">
        <f>IFERROR((BK89-BF89)/(BK87-BF87),"")</f>
        <v/>
      </c>
      <c r="BL92" s="974">
        <f>IFERROR((BL89-BG89)/(BL87-BG87),"")</f>
        <v/>
      </c>
      <c r="BM92" s="974">
        <f>IFERROR((BM89-BH89)/(BM87-BH87),"")</f>
        <v/>
      </c>
      <c r="BN92" s="974">
        <f>IFERROR((BN89-BI89)/(BN87-BI87),"")</f>
        <v/>
      </c>
      <c r="BO92" s="975">
        <f>IFERROR((BO89-BJ89)/(BO87-BJ87),"")</f>
        <v/>
      </c>
      <c r="BP92" s="985">
        <f>IFERROR((BP89-BK89)/(BP87-BK87),"")</f>
        <v/>
      </c>
      <c r="BQ92" s="985">
        <f>IFERROR((BQ89-BL89)/(BQ87-BL87),"")</f>
        <v/>
      </c>
      <c r="BR92" s="985">
        <f>IFERROR((BR89-BM89)/(BR87-BM87),"")</f>
        <v/>
      </c>
      <c r="BS92" s="985">
        <f>IFERROR((BS89-BN89)/(BS87-BN87),"")</f>
        <v/>
      </c>
      <c r="BT92" s="986">
        <f>IFERROR((BT89-BO89)/(BT87-BO87),"")</f>
        <v/>
      </c>
      <c r="BU92" s="985">
        <f>IFERROR((BU89-BP89)/(BU87-BP87),"")</f>
        <v/>
      </c>
      <c r="BV92" s="985">
        <f>IFERROR((BV89-BQ89)/(BV87-BQ87),"")</f>
        <v/>
      </c>
      <c r="BW92" s="985">
        <f>IFERROR((BW89-BR89)/(BW87-BR87),"")</f>
        <v/>
      </c>
      <c r="BX92" s="985">
        <f>IFERROR((BX89-BS89)/(BX87-BS87),"")</f>
        <v/>
      </c>
      <c r="BY92" s="986">
        <f>IFERROR((BY89-BT89)/(BY87-BT87),"")</f>
        <v/>
      </c>
      <c r="BZ92" s="985">
        <f>IFERROR((BZ89-BU89)/(BZ87-BU87),"")</f>
        <v/>
      </c>
      <c r="CA92" s="985">
        <f>IFERROR((CA89-BV89)/(CA87-BV87),"")</f>
        <v/>
      </c>
      <c r="CB92" s="985">
        <f>IFERROR((CB89-BW89)/(CB87-BW87),"")</f>
        <v/>
      </c>
      <c r="CC92" s="985">
        <f>IFERROR((CC89-BX89)/(CC87-BX87),"")</f>
        <v/>
      </c>
      <c r="CD92" s="986">
        <f>IFERROR((CD89-BY89)/(CD87-BY87),"")</f>
        <v/>
      </c>
      <c r="CE92" s="985" t="n"/>
      <c r="CF92" s="985" t="n"/>
      <c r="CG92" s="985" t="n"/>
      <c r="CH92" s="985" t="n"/>
      <c r="CI92" s="987">
        <f>IFERROR((CI89-CD89)/(CI87-CD87),"")</f>
        <v/>
      </c>
      <c r="CJ92" s="987">
        <f>IFERROR((CJ89-CI89)/(CJ87-CI87),"")</f>
        <v/>
      </c>
      <c r="CK92" s="987">
        <f>IFERROR((CK89-CJ89)/(CK87-CJ87),"")</f>
        <v/>
      </c>
      <c r="CL92" s="987">
        <f>IFERROR((CL89-CK89)/(CL87-CK87),"")</f>
        <v/>
      </c>
      <c r="CM92" s="987">
        <f>IFERROR((CM89-CL89)/(CM87-CL87),"")</f>
        <v/>
      </c>
      <c r="CN92" s="974" t="n"/>
      <c r="CO92" s="766" t="n"/>
      <c r="CP92" s="974" t="n"/>
      <c r="CQ92" s="693" t="n"/>
    </row>
    <row r="93" ht="16.5" customHeight="1">
      <c r="B93" s="702" t="inlineStr">
        <is>
          <t xml:space="preserve">  Backlog ($M)</t>
        </is>
      </c>
      <c r="C93" s="974" t="n"/>
      <c r="D93" s="974" t="n"/>
      <c r="E93" s="974" t="n"/>
      <c r="F93" s="974" t="n"/>
      <c r="G93" s="975" t="n"/>
      <c r="H93" s="974" t="n"/>
      <c r="I93" s="974" t="n"/>
      <c r="J93" s="974" t="n"/>
      <c r="K93" s="974" t="n"/>
      <c r="L93" s="975" t="n"/>
      <c r="M93" s="974" t="n"/>
      <c r="N93" s="974" t="n"/>
      <c r="O93" s="974" t="n"/>
      <c r="P93" s="974" t="n"/>
      <c r="Q93" s="975" t="n"/>
      <c r="R93" s="974" t="n"/>
      <c r="S93" s="974" t="n"/>
      <c r="T93" s="974" t="n"/>
      <c r="U93" s="974" t="n"/>
      <c r="V93" s="975" t="n"/>
      <c r="W93" s="974" t="n"/>
      <c r="X93" s="974" t="n"/>
      <c r="Y93" s="974" t="n"/>
      <c r="Z93" s="974" t="n"/>
      <c r="AA93" s="975" t="n"/>
      <c r="AB93" s="974" t="n"/>
      <c r="AC93" s="974" t="n"/>
      <c r="AD93" s="974" t="n"/>
      <c r="AE93" s="974" t="n"/>
      <c r="AF93" s="975" t="n"/>
      <c r="AG93" s="974" t="n"/>
      <c r="AH93" s="974" t="n"/>
      <c r="AI93" s="974" t="n"/>
      <c r="AJ93" s="974" t="n"/>
      <c r="AK93" s="975" t="n"/>
      <c r="AL93" s="974" t="n"/>
      <c r="AM93" s="974" t="n"/>
      <c r="AN93" s="974" t="n"/>
      <c r="AO93" s="974" t="n"/>
      <c r="AP93" s="975" t="n"/>
      <c r="AQ93" s="974" t="n"/>
      <c r="AR93" s="974" t="n"/>
      <c r="AS93" s="974" t="n"/>
      <c r="AT93" s="974" t="n"/>
      <c r="AU93" s="975" t="n"/>
      <c r="AV93" s="974" t="n"/>
      <c r="AW93" s="974" t="n"/>
      <c r="AX93" s="974" t="n"/>
      <c r="AY93" s="974" t="n"/>
      <c r="AZ93" s="975" t="n"/>
      <c r="BA93" s="974" t="n"/>
      <c r="BB93" s="974" t="n"/>
      <c r="BC93" s="974" t="n"/>
      <c r="BD93" s="974" t="n"/>
      <c r="BE93" s="975" t="n"/>
      <c r="BF93" s="974" t="n"/>
      <c r="BG93" s="974" t="n"/>
      <c r="BH93" s="974" t="n"/>
      <c r="BI93" s="974" t="n"/>
      <c r="BJ93" s="975" t="n"/>
      <c r="BK93" s="988" t="n"/>
      <c r="BL93" s="988" t="n"/>
      <c r="BM93" s="988" t="n"/>
      <c r="BN93" s="988" t="n"/>
      <c r="BO93" s="989" t="n"/>
      <c r="BP93" s="988" t="n"/>
      <c r="BQ93" s="988" t="n"/>
      <c r="BR93" s="988" t="n"/>
      <c r="BS93" s="988" t="n"/>
      <c r="BT93" s="989" t="n"/>
      <c r="BU93" s="988" t="n"/>
      <c r="BV93" s="988" t="n"/>
      <c r="BW93" s="988" t="n"/>
      <c r="BX93" s="988" t="n"/>
      <c r="BY93" s="989" t="n"/>
      <c r="BZ93" s="988" t="n"/>
      <c r="CA93" s="988" t="n"/>
      <c r="CB93" s="988" t="n"/>
      <c r="CC93" s="988" t="n"/>
      <c r="CD93" s="989" t="n"/>
      <c r="CE93" s="988" t="n"/>
      <c r="CF93" s="988" t="n"/>
      <c r="CG93" s="988" t="n"/>
      <c r="CH93" s="988" t="n"/>
      <c r="CI93" s="990" t="n"/>
      <c r="CJ93" s="990" t="n"/>
      <c r="CK93" s="990" t="n"/>
      <c r="CL93" s="990" t="n"/>
      <c r="CM93" s="990" t="n"/>
      <c r="CN93" s="974" t="n"/>
      <c r="CO93" s="766" t="n"/>
      <c r="CP93" s="974" t="n"/>
      <c r="CQ93" s="693" t="n"/>
    </row>
    <row r="94" ht="16.5" customHeight="1">
      <c r="B94" s="702" t="inlineStr">
        <is>
          <t xml:space="preserve">  Backlog y/y %</t>
        </is>
      </c>
      <c r="C94" s="974" t="n"/>
      <c r="D94" s="974" t="n"/>
      <c r="E94" s="974" t="n"/>
      <c r="F94" s="974" t="n"/>
      <c r="G94" s="975" t="n"/>
      <c r="H94" s="974" t="n"/>
      <c r="I94" s="974" t="n"/>
      <c r="J94" s="974" t="n"/>
      <c r="K94" s="974" t="n"/>
      <c r="L94" s="975" t="n"/>
      <c r="M94" s="974" t="n"/>
      <c r="N94" s="974" t="n"/>
      <c r="O94" s="974" t="n"/>
      <c r="P94" s="974" t="n"/>
      <c r="Q94" s="975" t="n"/>
      <c r="R94" s="974" t="n"/>
      <c r="S94" s="974" t="n"/>
      <c r="T94" s="974" t="n"/>
      <c r="U94" s="974" t="n"/>
      <c r="V94" s="975" t="n"/>
      <c r="W94" s="974" t="n"/>
      <c r="X94" s="974" t="n"/>
      <c r="Y94" s="974" t="n"/>
      <c r="Z94" s="974" t="n"/>
      <c r="AA94" s="975" t="n"/>
      <c r="AB94" s="974" t="n"/>
      <c r="AC94" s="974" t="n"/>
      <c r="AD94" s="974" t="n"/>
      <c r="AE94" s="974" t="n"/>
      <c r="AF94" s="975" t="n"/>
      <c r="AG94" s="974" t="n"/>
      <c r="AH94" s="974" t="n"/>
      <c r="AI94" s="974" t="n"/>
      <c r="AJ94" s="974" t="n"/>
      <c r="AK94" s="975" t="n"/>
      <c r="AL94" s="974" t="n"/>
      <c r="AM94" s="974" t="n"/>
      <c r="AN94" s="974" t="n"/>
      <c r="AO94" s="974" t="n"/>
      <c r="AP94" s="975" t="n"/>
      <c r="AQ94" s="974" t="n"/>
      <c r="AR94" s="974" t="n"/>
      <c r="AS94" s="974" t="n"/>
      <c r="AT94" s="974" t="n"/>
      <c r="AU94" s="975" t="n"/>
      <c r="AV94" s="974" t="n"/>
      <c r="AW94" s="974" t="n"/>
      <c r="AX94" s="974" t="n"/>
      <c r="AY94" s="974" t="n"/>
      <c r="AZ94" s="975" t="n"/>
      <c r="BA94" s="974" t="n"/>
      <c r="BB94" s="974" t="n"/>
      <c r="BC94" s="974" t="n"/>
      <c r="BD94" s="974" t="n"/>
      <c r="BE94" s="975" t="n"/>
      <c r="BF94" s="974" t="n"/>
      <c r="BG94" s="974" t="n"/>
      <c r="BH94" s="974" t="n"/>
      <c r="BI94" s="974" t="n"/>
      <c r="BJ94" s="975" t="n"/>
      <c r="BK94" s="991" t="n"/>
      <c r="BL94" s="991" t="n"/>
      <c r="BM94" s="991" t="n"/>
      <c r="BN94" s="991" t="n"/>
      <c r="BO94" s="992" t="n"/>
      <c r="BP94" s="991" t="n"/>
      <c r="BQ94" s="991" t="n"/>
      <c r="BR94" s="991" t="n"/>
      <c r="BS94" s="991" t="n"/>
      <c r="BT94" s="992" t="n"/>
      <c r="BU94" s="991" t="n"/>
      <c r="BV94" s="991" t="n"/>
      <c r="BW94" s="991" t="n"/>
      <c r="BX94" s="991" t="n"/>
      <c r="BY94" s="992" t="n"/>
      <c r="BZ94" s="991" t="n"/>
      <c r="CA94" s="991" t="n"/>
      <c r="CB94" s="991" t="n"/>
      <c r="CC94" s="991" t="n"/>
      <c r="CD94" s="992" t="n"/>
      <c r="CE94" s="991" t="n"/>
      <c r="CF94" s="991" t="n"/>
      <c r="CG94" s="991" t="n"/>
      <c r="CH94" s="991" t="n"/>
      <c r="CI94" s="976" t="n"/>
      <c r="CJ94" s="976" t="n"/>
      <c r="CK94" s="976" t="n"/>
      <c r="CL94" s="976" t="n"/>
      <c r="CM94" s="976" t="n"/>
      <c r="CN94" s="974" t="n"/>
      <c r="CO94" s="766" t="n"/>
      <c r="CP94" s="974" t="n"/>
      <c r="CQ94" s="693" t="n"/>
    </row>
    <row r="95" ht="16.5" customHeight="1">
      <c r="B95" s="702" t="inlineStr">
        <is>
          <t xml:space="preserve">  Book-to-bill (Bookings / Sales)</t>
        </is>
      </c>
      <c r="C95" s="974" t="n"/>
      <c r="D95" s="974" t="n"/>
      <c r="E95" s="974" t="n"/>
      <c r="F95" s="974" t="n"/>
      <c r="G95" s="975" t="n"/>
      <c r="H95" s="974" t="n"/>
      <c r="I95" s="974" t="n"/>
      <c r="J95" s="974" t="n"/>
      <c r="K95" s="974" t="n"/>
      <c r="L95" s="975" t="n"/>
      <c r="M95" s="974" t="n"/>
      <c r="N95" s="974" t="n"/>
      <c r="O95" s="974" t="n"/>
      <c r="P95" s="974" t="n"/>
      <c r="Q95" s="975" t="n"/>
      <c r="R95" s="974" t="n"/>
      <c r="S95" s="974" t="n"/>
      <c r="T95" s="974" t="n"/>
      <c r="U95" s="974" t="n"/>
      <c r="V95" s="975" t="n"/>
      <c r="W95" s="974" t="n"/>
      <c r="X95" s="974" t="n"/>
      <c r="Y95" s="974" t="n"/>
      <c r="Z95" s="974" t="n"/>
      <c r="AA95" s="975" t="n"/>
      <c r="AB95" s="974" t="n"/>
      <c r="AC95" s="974" t="n"/>
      <c r="AD95" s="974" t="n"/>
      <c r="AE95" s="974" t="n"/>
      <c r="AF95" s="975" t="n"/>
      <c r="AG95" s="974" t="n"/>
      <c r="AH95" s="974" t="n"/>
      <c r="AI95" s="974" t="n"/>
      <c r="AJ95" s="974" t="n"/>
      <c r="AK95" s="975" t="n"/>
      <c r="AL95" s="974" t="n"/>
      <c r="AM95" s="974" t="n"/>
      <c r="AN95" s="974" t="n"/>
      <c r="AO95" s="974" t="n"/>
      <c r="AP95" s="975" t="n"/>
      <c r="AQ95" s="974" t="n"/>
      <c r="AR95" s="974" t="n"/>
      <c r="AS95" s="974" t="n"/>
      <c r="AT95" s="974" t="n"/>
      <c r="AU95" s="975" t="n"/>
      <c r="AV95" s="974" t="n"/>
      <c r="AW95" s="974" t="n"/>
      <c r="AX95" s="974" t="n"/>
      <c r="AY95" s="974" t="n"/>
      <c r="AZ95" s="975" t="n"/>
      <c r="BA95" s="974" t="n"/>
      <c r="BB95" s="974" t="n"/>
      <c r="BC95" s="974" t="n"/>
      <c r="BD95" s="974" t="n"/>
      <c r="BE95" s="975" t="n"/>
      <c r="BF95" s="974" t="n"/>
      <c r="BG95" s="974" t="n"/>
      <c r="BH95" s="974" t="n"/>
      <c r="BI95" s="974" t="n"/>
      <c r="BJ95" s="975" t="n"/>
      <c r="BK95" s="763" t="n"/>
      <c r="BL95" s="763" t="n"/>
      <c r="BM95" s="763" t="n"/>
      <c r="BN95" s="763" t="n"/>
      <c r="BO95" s="934" t="n"/>
      <c r="BP95" s="763" t="n"/>
      <c r="BQ95" s="763" t="n"/>
      <c r="BR95" s="763" t="n"/>
      <c r="BS95" s="763" t="n"/>
      <c r="BT95" s="934" t="n"/>
      <c r="BU95" s="763" t="n"/>
      <c r="BV95" s="763" t="n"/>
      <c r="BW95" s="763" t="n"/>
      <c r="BX95" s="763" t="n"/>
      <c r="BY95" s="934" t="n"/>
      <c r="BZ95" s="763" t="n"/>
      <c r="CA95" s="763" t="n"/>
      <c r="CB95" s="763" t="n"/>
      <c r="CC95" s="763" t="n"/>
      <c r="CD95" s="934" t="n"/>
      <c r="CE95" s="763" t="n"/>
      <c r="CF95" s="763" t="n"/>
      <c r="CG95" s="763" t="n"/>
      <c r="CH95" s="763" t="n"/>
      <c r="CI95" s="764" t="n"/>
      <c r="CJ95" s="764" t="n"/>
      <c r="CK95" s="764" t="n"/>
      <c r="CL95" s="764" t="n"/>
      <c r="CM95" s="764" t="n"/>
      <c r="CN95" s="974" t="n"/>
      <c r="CO95" s="766" t="n"/>
      <c r="CP95" s="974" t="n"/>
      <c r="CQ95" s="693" t="n"/>
    </row>
    <row r="96" ht="16.5" customHeight="1">
      <c r="C96" s="291" t="n"/>
      <c r="D96" s="291" t="n"/>
      <c r="E96" s="291" t="n"/>
      <c r="F96" s="291" t="n"/>
      <c r="G96" s="864" t="n"/>
      <c r="H96" s="291" t="n"/>
      <c r="I96" s="291" t="n"/>
      <c r="J96" s="291" t="n"/>
      <c r="K96" s="291" t="n"/>
      <c r="L96" s="864" t="n"/>
      <c r="M96" s="291" t="n"/>
      <c r="N96" s="291" t="n"/>
      <c r="O96" s="291" t="n"/>
      <c r="P96" s="291" t="n"/>
      <c r="Q96" s="864" t="n"/>
      <c r="R96" s="291" t="n"/>
      <c r="S96" s="291" t="n"/>
      <c r="T96" s="291" t="n"/>
      <c r="U96" s="291" t="n"/>
      <c r="V96" s="864" t="n"/>
      <c r="W96" s="291" t="n"/>
      <c r="X96" s="291" t="n"/>
      <c r="Y96" s="291" t="n"/>
      <c r="Z96" s="291" t="n"/>
      <c r="AA96" s="864" t="n"/>
      <c r="AB96" s="291" t="n"/>
      <c r="AC96" s="291" t="n"/>
      <c r="AD96" s="291" t="n"/>
      <c r="AE96" s="291" t="n"/>
      <c r="AF96" s="864" t="n"/>
      <c r="AG96" s="291" t="n"/>
      <c r="AH96" s="291" t="n"/>
      <c r="AI96" s="291" t="n"/>
      <c r="AJ96" s="291" t="n"/>
      <c r="AK96" s="864" t="n"/>
      <c r="AL96" s="291" t="n"/>
      <c r="AM96" s="291" t="n"/>
      <c r="AN96" s="291" t="n"/>
      <c r="AO96" s="291" t="n"/>
      <c r="AP96" s="864" t="n"/>
      <c r="AQ96" s="291" t="n"/>
      <c r="AR96" s="291" t="n"/>
      <c r="AS96" s="291" t="n"/>
      <c r="AT96" s="291" t="n"/>
      <c r="AU96" s="864" t="n"/>
      <c r="AV96" s="291" t="n"/>
      <c r="AW96" s="291" t="n"/>
      <c r="AX96" s="291" t="n"/>
      <c r="AY96" s="291" t="n"/>
      <c r="AZ96" s="864" t="n"/>
      <c r="BA96" s="291" t="n"/>
      <c r="BB96" s="291" t="n"/>
      <c r="BC96" s="291" t="n"/>
      <c r="BD96" s="291" t="n"/>
      <c r="BE96" s="864" t="n"/>
      <c r="BF96" s="291" t="n"/>
      <c r="BG96" s="291" t="n"/>
      <c r="BH96" s="291" t="n"/>
      <c r="BI96" s="291" t="n"/>
      <c r="BJ96" s="864" t="n"/>
      <c r="BK96" s="291" t="n"/>
      <c r="BL96" s="291" t="n"/>
      <c r="BM96" s="291" t="n"/>
      <c r="BN96" s="291" t="n"/>
      <c r="BO96" s="864" t="n"/>
      <c r="BP96" s="291" t="n"/>
      <c r="BQ96" s="291" t="n"/>
      <c r="BR96" s="291" t="n"/>
      <c r="BS96" s="291" t="n"/>
      <c r="BT96" s="864" t="n"/>
      <c r="BU96" s="291" t="n"/>
      <c r="BV96" s="291" t="n"/>
      <c r="BW96" s="291" t="n"/>
      <c r="BX96" s="291" t="n"/>
      <c r="BY96" s="864" t="n"/>
      <c r="BZ96" s="291" t="n"/>
      <c r="CA96" s="291" t="n"/>
      <c r="CB96" s="291" t="n"/>
      <c r="CC96" s="291" t="n"/>
      <c r="CD96" s="864" t="n"/>
      <c r="CE96" s="291" t="n"/>
      <c r="CF96" s="291" t="n"/>
      <c r="CG96" s="291" t="n"/>
      <c r="CH96" s="291" t="n"/>
      <c r="CI96" s="749" t="n"/>
      <c r="CJ96" s="749" t="n"/>
      <c r="CK96" s="749" t="n"/>
      <c r="CL96" s="749" t="n"/>
      <c r="CM96" s="749" t="n"/>
      <c r="CN96" s="291" t="n"/>
      <c r="CO96" s="766" t="n"/>
      <c r="CP96" s="291" t="n"/>
      <c r="CQ96" s="693" t="n"/>
    </row>
    <row r="97" ht="16.5" customHeight="1">
      <c r="B97" s="223" t="inlineStr">
        <is>
          <t>Group Total (consolidated, FY22–forecast)</t>
        </is>
      </c>
      <c r="C97" s="224" t="n"/>
      <c r="D97" s="224" t="n"/>
      <c r="E97" s="224" t="n"/>
      <c r="F97" s="224" t="n"/>
      <c r="G97" s="867" t="n"/>
      <c r="H97" s="224" t="n"/>
      <c r="I97" s="224" t="n"/>
      <c r="J97" s="224" t="n"/>
      <c r="K97" s="224" t="n"/>
      <c r="L97" s="867" t="n"/>
      <c r="M97" s="224" t="n"/>
      <c r="N97" s="224" t="n"/>
      <c r="O97" s="224" t="n"/>
      <c r="P97" s="224" t="n"/>
      <c r="Q97" s="867" t="n"/>
      <c r="R97" s="224" t="n"/>
      <c r="S97" s="224" t="n"/>
      <c r="T97" s="224" t="n"/>
      <c r="U97" s="224" t="n"/>
      <c r="V97" s="867" t="n"/>
      <c r="W97" s="224" t="n"/>
      <c r="X97" s="224" t="n"/>
      <c r="Y97" s="224" t="n"/>
      <c r="Z97" s="224" t="n"/>
      <c r="AA97" s="867" t="n"/>
      <c r="AB97" s="224" t="n"/>
      <c r="AC97" s="224" t="n"/>
      <c r="AD97" s="224" t="n"/>
      <c r="AE97" s="224" t="n"/>
      <c r="AF97" s="867" t="n"/>
      <c r="AG97" s="224" t="n"/>
      <c r="AH97" s="224" t="n"/>
      <c r="AI97" s="224" t="n"/>
      <c r="AJ97" s="224" t="n"/>
      <c r="AK97" s="867" t="n"/>
      <c r="AL97" s="224" t="n"/>
      <c r="AM97" s="224" t="n"/>
      <c r="AN97" s="224" t="n"/>
      <c r="AO97" s="224" t="n"/>
      <c r="AP97" s="867" t="n"/>
      <c r="AQ97" s="224" t="n"/>
      <c r="AR97" s="224" t="n"/>
      <c r="AS97" s="224" t="n"/>
      <c r="AT97" s="224" t="n"/>
      <c r="AU97" s="867" t="n"/>
      <c r="AV97" s="224" t="n"/>
      <c r="AW97" s="224" t="n"/>
      <c r="AX97" s="224" t="n"/>
      <c r="AY97" s="224" t="n"/>
      <c r="AZ97" s="867" t="n"/>
      <c r="BA97" s="224" t="n"/>
      <c r="BB97" s="224" t="n"/>
      <c r="BC97" s="224" t="n"/>
      <c r="BD97" s="224" t="n"/>
      <c r="BE97" s="867" t="n"/>
      <c r="BF97" s="224" t="n"/>
      <c r="BG97" s="224" t="n"/>
      <c r="BH97" s="224" t="n"/>
      <c r="BI97" s="224" t="n"/>
      <c r="BJ97" s="867" t="n"/>
      <c r="BK97" s="224" t="n"/>
      <c r="BL97" s="224" t="n"/>
      <c r="BM97" s="224" t="n"/>
      <c r="BN97" s="224" t="n"/>
      <c r="BO97" s="867" t="n"/>
      <c r="BP97" s="224" t="n"/>
      <c r="BQ97" s="224" t="n"/>
      <c r="BR97" s="224" t="n"/>
      <c r="BS97" s="224" t="n"/>
      <c r="BT97" s="867" t="n"/>
      <c r="BU97" s="224" t="n"/>
      <c r="BV97" s="224" t="n"/>
      <c r="BW97" s="224" t="n"/>
      <c r="BX97" s="224" t="n"/>
      <c r="BY97" s="867" t="n"/>
      <c r="BZ97" s="224" t="n"/>
      <c r="CA97" s="224" t="n"/>
      <c r="CB97" s="224" t="n"/>
      <c r="CC97" s="224" t="n"/>
      <c r="CD97" s="867" t="n"/>
      <c r="CE97" s="224" t="n"/>
      <c r="CF97" s="224" t="n"/>
      <c r="CG97" s="224" t="n"/>
      <c r="CH97" s="224" t="n"/>
      <c r="CI97" s="224" t="n"/>
      <c r="CJ97" s="224" t="n"/>
      <c r="CK97" s="224" t="n"/>
      <c r="CL97" s="224" t="n"/>
      <c r="CM97" s="224" t="n"/>
      <c r="CN97" s="224" t="n"/>
      <c r="CO97" s="684" t="n"/>
      <c r="CP97" s="224" t="n"/>
      <c r="CQ97" s="693" t="n"/>
    </row>
    <row r="98" ht="16.5" customHeight="1">
      <c r="B98" s="12" t="inlineStr">
        <is>
          <t xml:space="preserve">  Net sales</t>
        </is>
      </c>
      <c r="C98" s="291" t="n"/>
      <c r="D98" s="291" t="n"/>
      <c r="E98" s="291" t="n"/>
      <c r="F98" s="291" t="n"/>
      <c r="G98" s="864">
        <f>G114</f>
        <v/>
      </c>
      <c r="H98" s="291" t="n"/>
      <c r="I98" s="291" t="n"/>
      <c r="J98" s="291" t="n"/>
      <c r="K98" s="291" t="n"/>
      <c r="L98" s="864">
        <f>L114</f>
        <v/>
      </c>
      <c r="M98" s="291" t="n"/>
      <c r="N98" s="291" t="n"/>
      <c r="O98" s="291" t="n"/>
      <c r="P98" s="291" t="n"/>
      <c r="Q98" s="864">
        <f>Q114</f>
        <v/>
      </c>
      <c r="R98" s="291" t="n"/>
      <c r="S98" s="291" t="n"/>
      <c r="T98" s="291" t="n"/>
      <c r="U98" s="291" t="n"/>
      <c r="V98" s="864">
        <f>V114</f>
        <v/>
      </c>
      <c r="W98" s="291" t="n"/>
      <c r="X98" s="291" t="n"/>
      <c r="Y98" s="291" t="n"/>
      <c r="Z98" s="291" t="n"/>
      <c r="AA98" s="864">
        <f>AA114</f>
        <v/>
      </c>
      <c r="AB98" s="291" t="n"/>
      <c r="AC98" s="291" t="n"/>
      <c r="AD98" s="291" t="n"/>
      <c r="AE98" s="291" t="n"/>
      <c r="AF98" s="864">
        <f>AF114</f>
        <v/>
      </c>
      <c r="AG98" s="291" t="n"/>
      <c r="AH98" s="291" t="n"/>
      <c r="AI98" s="291" t="n"/>
      <c r="AJ98" s="291" t="n"/>
      <c r="AK98" s="864">
        <f>AK114</f>
        <v/>
      </c>
      <c r="AL98" s="291" t="n"/>
      <c r="AM98" s="291" t="n"/>
      <c r="AN98" s="291" t="n"/>
      <c r="AO98" s="291" t="n"/>
      <c r="AP98" s="864">
        <f>AP114</f>
        <v/>
      </c>
      <c r="AQ98" s="291" t="n"/>
      <c r="AR98" s="291" t="n"/>
      <c r="AS98" s="291" t="n"/>
      <c r="AT98" s="291" t="n"/>
      <c r="AU98" s="864">
        <f>AU114</f>
        <v/>
      </c>
      <c r="AV98" s="291" t="n"/>
      <c r="AW98" s="291" t="n"/>
      <c r="AX98" s="291" t="n"/>
      <c r="AY98" s="291" t="n"/>
      <c r="AZ98" s="864">
        <f>AZ114</f>
        <v/>
      </c>
      <c r="BA98" s="291" t="n"/>
      <c r="BB98" s="291" t="n"/>
      <c r="BC98" s="291" t="n"/>
      <c r="BD98" s="291" t="n"/>
      <c r="BE98" s="864">
        <f>BE44</f>
        <v/>
      </c>
      <c r="BF98" s="291" t="n"/>
      <c r="BG98" s="291" t="n"/>
      <c r="BH98" s="291" t="n"/>
      <c r="BI98" s="291" t="n"/>
      <c r="BJ98" s="864">
        <f>BJ44</f>
        <v/>
      </c>
      <c r="BK98" s="993">
        <f>BK54+BK65+BK76+BK87</f>
        <v/>
      </c>
      <c r="BL98" s="993">
        <f>BL54+BL65+BL76+BL87</f>
        <v/>
      </c>
      <c r="BM98" s="993">
        <f>BM54+BM65+BM76+BM87</f>
        <v/>
      </c>
      <c r="BN98" s="993">
        <f>BN54+BN65+BN76+BN87</f>
        <v/>
      </c>
      <c r="BO98" s="864">
        <f>BO44</f>
        <v/>
      </c>
      <c r="BP98" s="291">
        <f>BP54+BP65+BP76+BP87</f>
        <v/>
      </c>
      <c r="BQ98" s="291">
        <f>BQ54+BQ65+BQ76+BQ87</f>
        <v/>
      </c>
      <c r="BR98" s="291">
        <f>BR54+BR65+BR76+BR87</f>
        <v/>
      </c>
      <c r="BS98" s="291">
        <f>BS54+BS65+BS76+BS87</f>
        <v/>
      </c>
      <c r="BT98" s="864">
        <f>BT44</f>
        <v/>
      </c>
      <c r="BU98" s="291">
        <f>BU54+BU65+BU76+BU87</f>
        <v/>
      </c>
      <c r="BV98" s="291">
        <f>BV54+BV65+BV76+BV87</f>
        <v/>
      </c>
      <c r="BW98" s="291">
        <f>BW54+BW65+BW76+BW87</f>
        <v/>
      </c>
      <c r="BX98" s="291">
        <f>BX54+BX65+BX76+BX87</f>
        <v/>
      </c>
      <c r="BY98" s="864">
        <f>BY54+BY65+BY76+BY87</f>
        <v/>
      </c>
      <c r="BZ98" s="291">
        <f>BZ54+BZ65+BZ76+BZ87</f>
        <v/>
      </c>
      <c r="CA98" s="291">
        <f>CA54+CA65+CA76+CA87</f>
        <v/>
      </c>
      <c r="CB98" s="291">
        <f>CB54+CB65+CB76+CB87</f>
        <v/>
      </c>
      <c r="CC98" s="291">
        <f>CC54+CC65+CC76+CC87</f>
        <v/>
      </c>
      <c r="CD98" s="864">
        <f>CD54+CD65+CD76+CD87</f>
        <v/>
      </c>
      <c r="CE98" s="291">
        <f>CE54+CE65+CE76+CE87</f>
        <v/>
      </c>
      <c r="CF98" s="291">
        <f>CF54+CF65+CF76+CF87</f>
        <v/>
      </c>
      <c r="CG98" s="291">
        <f>CG54+CG65+CG76+CG87</f>
        <v/>
      </c>
      <c r="CH98" s="291">
        <f>CH54+CH65+CH76+CH87</f>
        <v/>
      </c>
      <c r="CI98" s="749">
        <f>CI54+CI65+CI76+CI87</f>
        <v/>
      </c>
      <c r="CJ98" s="749">
        <f>CJ54+CJ65+CJ76+CJ87</f>
        <v/>
      </c>
      <c r="CK98" s="749">
        <f>CK54+CK65+CK76+CK87</f>
        <v/>
      </c>
      <c r="CL98" s="749">
        <f>CL54+CL65+CL76+CL87</f>
        <v/>
      </c>
      <c r="CM98" s="749">
        <f>CM54+CM65+CM76+CM87</f>
        <v/>
      </c>
      <c r="CN98" s="678" t="n"/>
      <c r="CO98" s="766" t="n">
        <v>0.0605619272208084</v>
      </c>
      <c r="CP98" s="678" t="n"/>
      <c r="CQ98" s="693" t="n"/>
    </row>
    <row r="99" ht="16.5" customHeight="1">
      <c r="B99" s="690" t="inlineStr">
        <is>
          <t xml:space="preserve">  Sales y/y %</t>
        </is>
      </c>
      <c r="C99" s="274" t="n"/>
      <c r="D99" s="274" t="n"/>
      <c r="E99" s="274" t="n"/>
      <c r="F99" s="274" t="n"/>
      <c r="G99" s="864" t="n"/>
      <c r="H99" s="291" t="n"/>
      <c r="I99" s="291" t="n"/>
      <c r="J99" s="291" t="n"/>
      <c r="K99" s="291" t="n"/>
      <c r="L99" s="975">
        <f>IFERROR(L98/G98-1,"")</f>
        <v/>
      </c>
      <c r="M99" s="291" t="n"/>
      <c r="N99" s="291" t="n"/>
      <c r="O99" s="291" t="n"/>
      <c r="P99" s="291" t="n"/>
      <c r="Q99" s="975">
        <f>IFERROR(Q98/L98-1,"")</f>
        <v/>
      </c>
      <c r="R99" s="291" t="n"/>
      <c r="S99" s="291" t="n"/>
      <c r="T99" s="291" t="n"/>
      <c r="U99" s="291" t="n"/>
      <c r="V99" s="975">
        <f>IFERROR(V98/Q98-1,"")</f>
        <v/>
      </c>
      <c r="W99" s="291" t="n"/>
      <c r="X99" s="291" t="n"/>
      <c r="Y99" s="291" t="n"/>
      <c r="Z99" s="291" t="n"/>
      <c r="AA99" s="975">
        <f>IFERROR(AA98/V98-1,"")</f>
        <v/>
      </c>
      <c r="AB99" s="291" t="n"/>
      <c r="AC99" s="291" t="n"/>
      <c r="AD99" s="291" t="n"/>
      <c r="AE99" s="291" t="n"/>
      <c r="AF99" s="975">
        <f>IFERROR(AF98/AA98-1,"")</f>
        <v/>
      </c>
      <c r="AG99" s="291" t="n"/>
      <c r="AH99" s="291" t="n"/>
      <c r="AI99" s="291" t="n"/>
      <c r="AJ99" s="291" t="n"/>
      <c r="AK99" s="975">
        <f>IFERROR(AK98/AF98-1,"")</f>
        <v/>
      </c>
      <c r="AL99" s="291" t="n"/>
      <c r="AM99" s="291" t="n"/>
      <c r="AN99" s="291" t="n"/>
      <c r="AO99" s="291" t="n"/>
      <c r="AP99" s="975">
        <f>IFERROR(AP98/AK98-1,"")</f>
        <v/>
      </c>
      <c r="AQ99" s="291" t="n"/>
      <c r="AR99" s="291" t="n"/>
      <c r="AS99" s="291" t="n"/>
      <c r="AT99" s="291" t="n"/>
      <c r="AU99" s="975">
        <f>IFERROR(AU98/AP98-1,"")</f>
        <v/>
      </c>
      <c r="AV99" s="291" t="n"/>
      <c r="AW99" s="291" t="n"/>
      <c r="AX99" s="291" t="n"/>
      <c r="AY99" s="291" t="n"/>
      <c r="AZ99" s="975">
        <f>IFERROR(AZ98/AU98-1,"")</f>
        <v/>
      </c>
      <c r="BA99" s="291" t="n"/>
      <c r="BB99" s="291" t="n"/>
      <c r="BC99" s="291" t="n"/>
      <c r="BD99" s="291" t="n"/>
      <c r="BE99" s="975">
        <f>IFERROR(BE98/AZ98-1,"")</f>
        <v/>
      </c>
      <c r="BF99" s="291" t="n"/>
      <c r="BG99" s="291" t="n"/>
      <c r="BH99" s="291" t="n"/>
      <c r="BI99" s="291" t="n"/>
      <c r="BJ99" s="975">
        <f>IFERROR(BJ98/BE98-1,"")</f>
        <v/>
      </c>
      <c r="BK99" s="974">
        <f>IFERROR(BK98/BF98-1,"")</f>
        <v/>
      </c>
      <c r="BL99" s="974">
        <f>IFERROR(BL98/BG98-1,"")</f>
        <v/>
      </c>
      <c r="BM99" s="974">
        <f>IFERROR(BM98/BH98-1,"")</f>
        <v/>
      </c>
      <c r="BN99" s="974">
        <f>IFERROR(BN98/BI98-1,"")</f>
        <v/>
      </c>
      <c r="BO99" s="975">
        <f>IFERROR(BO98/BJ98-1,"")</f>
        <v/>
      </c>
      <c r="BP99" s="974">
        <f>IFERROR(BP98/BK98-1,"")</f>
        <v/>
      </c>
      <c r="BQ99" s="974">
        <f>IFERROR(BQ98/BL98-1,"")</f>
        <v/>
      </c>
      <c r="BR99" s="974">
        <f>IFERROR(BR98/BM98-1,"")</f>
        <v/>
      </c>
      <c r="BS99" s="974">
        <f>IFERROR(BS98/BN98-1,"")</f>
        <v/>
      </c>
      <c r="BT99" s="975">
        <f>IFERROR(BT98/BO98-1,"")</f>
        <v/>
      </c>
      <c r="BU99" s="974">
        <f>IFERROR(BU98/BP98-1,"")</f>
        <v/>
      </c>
      <c r="BV99" s="974">
        <f>IFERROR(BV98/BQ98-1,"")</f>
        <v/>
      </c>
      <c r="BW99" s="974">
        <f>IFERROR(BW98/BR98-1,"")</f>
        <v/>
      </c>
      <c r="BX99" s="974">
        <f>IFERROR(BX98/BS98-1,"")</f>
        <v/>
      </c>
      <c r="BY99" s="975">
        <f>IFERROR(BY98/BT98-1,"")</f>
        <v/>
      </c>
      <c r="BZ99" s="985">
        <f>IFERROR(BZ98/BU98-1,"")</f>
        <v/>
      </c>
      <c r="CA99" s="985">
        <f>IFERROR(CA98/BV98-1,"")</f>
        <v/>
      </c>
      <c r="CB99" s="985">
        <f>IFERROR(CB98/BW98-1,"")</f>
        <v/>
      </c>
      <c r="CC99" s="985">
        <f>IFERROR(CC98/BX98-1,"")</f>
        <v/>
      </c>
      <c r="CD99" s="975">
        <f>IFERROR(CD98/BY98-1,"")</f>
        <v/>
      </c>
      <c r="CE99" s="974">
        <f>IFERROR(CE98/BZ98-1,"")</f>
        <v/>
      </c>
      <c r="CF99" s="974">
        <f>IFERROR(CF98/CA98-1,"")</f>
        <v/>
      </c>
      <c r="CG99" s="974">
        <f>IFERROR(CG98/CB98-1,"")</f>
        <v/>
      </c>
      <c r="CH99" s="974">
        <f>IFERROR(CH98/CC98-1,"")</f>
        <v/>
      </c>
      <c r="CI99" s="987">
        <f>IFERROR(CI98/CD98-1,"")</f>
        <v/>
      </c>
      <c r="CJ99" s="987">
        <f>IFERROR(CJ98/CI98-1,"")</f>
        <v/>
      </c>
      <c r="CK99" s="987">
        <f>IFERROR(CK98/CJ98-1,"")</f>
        <v/>
      </c>
      <c r="CL99" s="987">
        <f>IFERROR(CL98/CK98-1,"")</f>
        <v/>
      </c>
      <c r="CM99" s="987">
        <f>IFERROR(CM98/CL98-1,"")</f>
        <v/>
      </c>
      <c r="CN99" s="766" t="n"/>
      <c r="CO99" s="766" t="n"/>
      <c r="CP99" s="291" t="n"/>
      <c r="CQ99" s="693" t="n"/>
    </row>
    <row r="100" ht="16.5" customHeight="1">
      <c r="B100" s="690" t="inlineStr">
        <is>
          <t xml:space="preserve">  Sales - Acquisition contribution y/y %</t>
        </is>
      </c>
      <c r="C100" s="274" t="n"/>
      <c r="D100" s="274" t="n"/>
      <c r="E100" s="274" t="n"/>
      <c r="F100" s="274" t="n"/>
      <c r="G100" s="864" t="n"/>
      <c r="H100" s="291" t="n"/>
      <c r="I100" s="291" t="n"/>
      <c r="J100" s="291" t="n"/>
      <c r="K100" s="291" t="n"/>
      <c r="L100" s="994" t="n"/>
      <c r="M100" s="291" t="n"/>
      <c r="N100" s="291" t="n"/>
      <c r="O100" s="291" t="n"/>
      <c r="P100" s="291" t="n"/>
      <c r="Q100" s="994" t="n"/>
      <c r="R100" s="291" t="n"/>
      <c r="S100" s="291" t="n"/>
      <c r="T100" s="291" t="n"/>
      <c r="U100" s="291" t="n"/>
      <c r="V100" s="994" t="n"/>
      <c r="W100" s="291" t="n"/>
      <c r="X100" s="291" t="n"/>
      <c r="Y100" s="291" t="n"/>
      <c r="Z100" s="291" t="n"/>
      <c r="AA100" s="994" t="n"/>
      <c r="AB100" s="291" t="n"/>
      <c r="AC100" s="291" t="n"/>
      <c r="AD100" s="291" t="n"/>
      <c r="AE100" s="291" t="n"/>
      <c r="AF100" s="994" t="n"/>
      <c r="AG100" s="291" t="n"/>
      <c r="AH100" s="291" t="n"/>
      <c r="AI100" s="291" t="n"/>
      <c r="AJ100" s="291" t="n"/>
      <c r="AK100" s="994" t="n"/>
      <c r="AL100" s="291" t="n"/>
      <c r="AM100" s="291" t="n"/>
      <c r="AN100" s="291" t="n"/>
      <c r="AO100" s="291" t="n"/>
      <c r="AP100" s="994" t="n"/>
      <c r="AQ100" s="291" t="n"/>
      <c r="AR100" s="291" t="n"/>
      <c r="AS100" s="291" t="n"/>
      <c r="AT100" s="291" t="n"/>
      <c r="AU100" s="994" t="n"/>
      <c r="AV100" s="291" t="n"/>
      <c r="AW100" s="291" t="n"/>
      <c r="AX100" s="291" t="n"/>
      <c r="AY100" s="291" t="n"/>
      <c r="AZ100" s="994" t="n"/>
      <c r="BA100" s="291" t="n"/>
      <c r="BB100" s="291" t="n"/>
      <c r="BC100" s="291" t="n"/>
      <c r="BD100" s="291" t="n"/>
      <c r="BE100" s="994" t="n"/>
      <c r="BF100" s="291" t="n"/>
      <c r="BG100" s="291" t="n"/>
      <c r="BH100" s="291" t="n"/>
      <c r="BI100" s="291" t="n"/>
      <c r="BJ100" s="994" t="n"/>
      <c r="BK100" s="974" t="n"/>
      <c r="BL100" s="974" t="n"/>
      <c r="BM100" s="974" t="n"/>
      <c r="BN100" s="974" t="n"/>
      <c r="BO100" s="994" t="n"/>
      <c r="BP100" s="974" t="n"/>
      <c r="BQ100" s="974" t="n"/>
      <c r="BR100" s="974" t="n"/>
      <c r="BS100" s="974" t="n"/>
      <c r="BT100" s="994" t="n"/>
      <c r="BU100" s="974" t="n"/>
      <c r="BV100" s="974" t="n"/>
      <c r="BW100" s="974" t="n"/>
      <c r="BX100" s="974" t="n"/>
      <c r="BY100" s="994" t="n"/>
      <c r="BZ100" s="985" t="n"/>
      <c r="CA100" s="985" t="n"/>
      <c r="CB100" s="985" t="n"/>
      <c r="CC100" s="985" t="n"/>
      <c r="CD100" s="994" t="n"/>
      <c r="CE100" s="995" t="n"/>
      <c r="CF100" s="995" t="n"/>
      <c r="CG100" s="995" t="n"/>
      <c r="CH100" s="995" t="n"/>
      <c r="CI100" s="996" t="n"/>
      <c r="CJ100" s="987" t="n"/>
      <c r="CK100" s="987" t="n"/>
      <c r="CL100" s="987" t="n"/>
      <c r="CM100" s="987" t="n"/>
      <c r="CN100" s="766" t="n"/>
      <c r="CO100" s="766" t="n"/>
      <c r="CP100" s="291" t="n"/>
      <c r="CQ100" s="693" t="n"/>
    </row>
    <row r="101" ht="16.5" customHeight="1">
      <c r="B101" s="690" t="inlineStr">
        <is>
          <t xml:space="preserve">  Sales - Organic y/y % (implied)</t>
        </is>
      </c>
      <c r="C101" s="274" t="n"/>
      <c r="D101" s="274" t="n"/>
      <c r="E101" s="274" t="n"/>
      <c r="F101" s="274" t="n"/>
      <c r="G101" s="864" t="n"/>
      <c r="H101" s="291" t="n"/>
      <c r="I101" s="291" t="n"/>
      <c r="J101" s="291" t="n"/>
      <c r="K101" s="291" t="n"/>
      <c r="L101" s="975">
        <f>IFERROR(L99-L100,"")</f>
        <v/>
      </c>
      <c r="M101" s="291" t="n"/>
      <c r="N101" s="291" t="n"/>
      <c r="O101" s="291" t="n"/>
      <c r="P101" s="291" t="n"/>
      <c r="Q101" s="975">
        <f>IFERROR(Q99-Q100,"")</f>
        <v/>
      </c>
      <c r="R101" s="291" t="n"/>
      <c r="S101" s="291" t="n"/>
      <c r="T101" s="291" t="n"/>
      <c r="U101" s="291" t="n"/>
      <c r="V101" s="975">
        <f>IFERROR(V99-V100,"")</f>
        <v/>
      </c>
      <c r="W101" s="291" t="n"/>
      <c r="X101" s="291" t="n"/>
      <c r="Y101" s="291" t="n"/>
      <c r="Z101" s="291" t="n"/>
      <c r="AA101" s="975">
        <f>IFERROR(AA99-AA100,"")</f>
        <v/>
      </c>
      <c r="AB101" s="291" t="n"/>
      <c r="AC101" s="291" t="n"/>
      <c r="AD101" s="291" t="n"/>
      <c r="AE101" s="291" t="n"/>
      <c r="AF101" s="975">
        <f>IFERROR(AF99-AF100,"")</f>
        <v/>
      </c>
      <c r="AG101" s="291" t="n"/>
      <c r="AH101" s="291" t="n"/>
      <c r="AI101" s="291" t="n"/>
      <c r="AJ101" s="291" t="n"/>
      <c r="AK101" s="975">
        <f>IFERROR(AK99-AK100,"")</f>
        <v/>
      </c>
      <c r="AL101" s="291" t="n"/>
      <c r="AM101" s="291" t="n"/>
      <c r="AN101" s="291" t="n"/>
      <c r="AO101" s="291" t="n"/>
      <c r="AP101" s="975">
        <f>IFERROR(AP99-AP100,"")</f>
        <v/>
      </c>
      <c r="AQ101" s="291" t="n"/>
      <c r="AR101" s="291" t="n"/>
      <c r="AS101" s="291" t="n"/>
      <c r="AT101" s="291" t="n"/>
      <c r="AU101" s="975">
        <f>IFERROR(AU99-AU100,"")</f>
        <v/>
      </c>
      <c r="AV101" s="291" t="n"/>
      <c r="AW101" s="291" t="n"/>
      <c r="AX101" s="291" t="n"/>
      <c r="AY101" s="291" t="n"/>
      <c r="AZ101" s="975">
        <f>IFERROR(AZ99-AZ100,"")</f>
        <v/>
      </c>
      <c r="BA101" s="291" t="n"/>
      <c r="BB101" s="291" t="n"/>
      <c r="BC101" s="291" t="n"/>
      <c r="BD101" s="291" t="n"/>
      <c r="BE101" s="975">
        <f>IFERROR(BE99-BE100,"")</f>
        <v/>
      </c>
      <c r="BF101" s="291" t="n"/>
      <c r="BG101" s="291" t="n"/>
      <c r="BH101" s="291" t="n"/>
      <c r="BI101" s="291" t="n"/>
      <c r="BJ101" s="975">
        <f>IFERROR(BJ99-BJ100,"")</f>
        <v/>
      </c>
      <c r="BK101" s="974" t="n"/>
      <c r="BL101" s="974" t="n"/>
      <c r="BM101" s="974" t="n"/>
      <c r="BN101" s="974" t="n"/>
      <c r="BO101" s="975">
        <f>IFERROR(BO99-BO100,"")</f>
        <v/>
      </c>
      <c r="BP101" s="974" t="n"/>
      <c r="BQ101" s="974" t="n"/>
      <c r="BR101" s="974" t="n"/>
      <c r="BS101" s="974" t="n"/>
      <c r="BT101" s="975">
        <f>IFERROR(BT99-BT100,"")</f>
        <v/>
      </c>
      <c r="BU101" s="974" t="n"/>
      <c r="BV101" s="974" t="n"/>
      <c r="BW101" s="974" t="n"/>
      <c r="BX101" s="974" t="n"/>
      <c r="BY101" s="975">
        <f>IFERROR(BY99-BY100,"")</f>
        <v/>
      </c>
      <c r="BZ101" s="985" t="n"/>
      <c r="CA101" s="985" t="n"/>
      <c r="CB101" s="985" t="n"/>
      <c r="CC101" s="985" t="n"/>
      <c r="CD101" s="975">
        <f>IFERROR(CD99-CD100,"")</f>
        <v/>
      </c>
      <c r="CE101" s="974" t="n"/>
      <c r="CF101" s="974" t="n"/>
      <c r="CG101" s="974" t="n"/>
      <c r="CH101" s="974" t="n"/>
      <c r="CI101" s="987">
        <f>IFERROR(CI99-CI100,"")</f>
        <v/>
      </c>
      <c r="CJ101" s="987">
        <f>IFERROR(CJ99-CJ100,"")</f>
        <v/>
      </c>
      <c r="CK101" s="987">
        <f>IFERROR(CK99-CK100,"")</f>
        <v/>
      </c>
      <c r="CL101" s="987">
        <f>IFERROR(CL99-CL100,"")</f>
        <v/>
      </c>
      <c r="CM101" s="987">
        <f>IFERROR(CM99-CM100,"")</f>
        <v/>
      </c>
      <c r="CN101" s="766" t="n"/>
      <c r="CO101" s="766" t="n"/>
      <c r="CP101" s="291" t="n"/>
      <c r="CQ101" s="693" t="n"/>
    </row>
    <row r="102" ht="16.5" customHeight="1">
      <c r="B102" s="12" t="inlineStr">
        <is>
          <t xml:space="preserve">  EBIT</t>
        </is>
      </c>
      <c r="C102" s="974" t="n"/>
      <c r="D102" s="974" t="n"/>
      <c r="E102" s="974" t="n"/>
      <c r="F102" s="974" t="n"/>
      <c r="G102" s="975" t="n"/>
      <c r="H102" s="974" t="n"/>
      <c r="I102" s="974" t="n"/>
      <c r="J102" s="974" t="n"/>
      <c r="K102" s="974" t="n"/>
      <c r="L102" s="975" t="n"/>
      <c r="M102" s="974" t="n"/>
      <c r="N102" s="974" t="n"/>
      <c r="O102" s="974" t="n"/>
      <c r="P102" s="974" t="n"/>
      <c r="Q102" s="975" t="n"/>
      <c r="R102" s="974" t="n"/>
      <c r="S102" s="974" t="n"/>
      <c r="T102" s="974" t="n"/>
      <c r="U102" s="974" t="n"/>
      <c r="V102" s="975" t="n"/>
      <c r="W102" s="974" t="n"/>
      <c r="X102" s="974" t="n"/>
      <c r="Y102" s="974" t="n"/>
      <c r="Z102" s="974" t="n"/>
      <c r="AA102" s="975" t="n"/>
      <c r="AB102" s="974" t="n"/>
      <c r="AC102" s="974" t="n"/>
      <c r="AD102" s="974" t="n"/>
      <c r="AE102" s="974" t="n"/>
      <c r="AF102" s="975" t="n"/>
      <c r="AG102" s="974" t="n"/>
      <c r="AH102" s="974" t="n"/>
      <c r="AI102" s="974" t="n"/>
      <c r="AJ102" s="974" t="n"/>
      <c r="AK102" s="975" t="n"/>
      <c r="AL102" s="974" t="n"/>
      <c r="AM102" s="974" t="n"/>
      <c r="AN102" s="974" t="n"/>
      <c r="AO102" s="974" t="n"/>
      <c r="AP102" s="975" t="n"/>
      <c r="AQ102" s="974" t="n"/>
      <c r="AR102" s="974" t="n"/>
      <c r="AS102" s="974" t="n"/>
      <c r="AT102" s="974" t="n"/>
      <c r="AU102" s="975" t="n"/>
      <c r="AV102" s="974" t="n"/>
      <c r="AW102" s="974" t="n"/>
      <c r="AX102" s="974" t="n"/>
      <c r="AY102" s="974" t="n"/>
      <c r="AZ102" s="975" t="n"/>
      <c r="BA102" s="974" t="n"/>
      <c r="BB102" s="974" t="n"/>
      <c r="BC102" s="974" t="n"/>
      <c r="BD102" s="974" t="n"/>
      <c r="BE102" s="975">
        <f>BE45</f>
        <v/>
      </c>
      <c r="BF102" s="974" t="n"/>
      <c r="BG102" s="974" t="n"/>
      <c r="BH102" s="974" t="n"/>
      <c r="BI102" s="974" t="n"/>
      <c r="BJ102" s="975">
        <f>BJ45</f>
        <v/>
      </c>
      <c r="BK102" s="978">
        <f>BK56+BK67+BK78+BK89</f>
        <v/>
      </c>
      <c r="BL102" s="978">
        <f>BL56+BL67+BL78+BL89</f>
        <v/>
      </c>
      <c r="BM102" s="978">
        <f>BM56+BM67+BM78+BM89</f>
        <v/>
      </c>
      <c r="BN102" s="978">
        <f>BN56+BN67+BN78+BN89</f>
        <v/>
      </c>
      <c r="BO102" s="979">
        <f>BO45</f>
        <v/>
      </c>
      <c r="BP102" s="291">
        <f>BP56+BP67+BP78+BP89</f>
        <v/>
      </c>
      <c r="BQ102" s="291">
        <f>BQ56+BQ67+BQ78+BQ89</f>
        <v/>
      </c>
      <c r="BR102" s="291">
        <f>BR56+BR67+BR78+BR89</f>
        <v/>
      </c>
      <c r="BS102" s="291">
        <f>BS56+BS67+BS78+BS89</f>
        <v/>
      </c>
      <c r="BT102" s="864">
        <f>BT45</f>
        <v/>
      </c>
      <c r="BU102" s="291">
        <f>BU56+BU67+BU78+BU89</f>
        <v/>
      </c>
      <c r="BV102" s="291">
        <f>BV56+BV67+BV78+BV89</f>
        <v/>
      </c>
      <c r="BW102" s="291">
        <f>BW56+BW67+BW78+BW89</f>
        <v/>
      </c>
      <c r="BX102" s="291">
        <f>BX56+BX67+BX78+BX89</f>
        <v/>
      </c>
      <c r="BY102" s="864">
        <f>BY56+BY67+BY78+BY89</f>
        <v/>
      </c>
      <c r="BZ102" s="291">
        <f>BZ56+BZ67+BZ78+BZ89</f>
        <v/>
      </c>
      <c r="CA102" s="291">
        <f>CA56+CA67+CA78+CA89</f>
        <v/>
      </c>
      <c r="CB102" s="291">
        <f>CB56+CB67+CB78+CB89</f>
        <v/>
      </c>
      <c r="CC102" s="291">
        <f>CC56+CC67+CC78+CC89</f>
        <v/>
      </c>
      <c r="CD102" s="864">
        <f>CD56+CD67+CD78+CD89</f>
        <v/>
      </c>
      <c r="CE102" s="291">
        <f>CE56+CE67+CE78+CE89</f>
        <v/>
      </c>
      <c r="CF102" s="291">
        <f>CF56+CF67+CF78+CF89</f>
        <v/>
      </c>
      <c r="CG102" s="291">
        <f>CG56+CG67+CG78+CG89</f>
        <v/>
      </c>
      <c r="CH102" s="291">
        <f>CH56+CH67+CH78+CH89</f>
        <v/>
      </c>
      <c r="CI102" s="749">
        <f>CI56+CI67+CI78+CI89</f>
        <v/>
      </c>
      <c r="CJ102" s="749">
        <f>CJ56+CJ67+CJ78+CJ89</f>
        <v/>
      </c>
      <c r="CK102" s="749">
        <f>CK56+CK67+CK78+CK89</f>
        <v/>
      </c>
      <c r="CL102" s="749">
        <f>CL56+CL67+CL78+CL89</f>
        <v/>
      </c>
      <c r="CM102" s="749">
        <f>CM56+CM67+CM78+CM89</f>
        <v/>
      </c>
      <c r="CN102" s="974" t="n"/>
      <c r="CO102" s="766" t="n">
        <v>0.09217574053009089</v>
      </c>
      <c r="CP102" s="974" t="n"/>
      <c r="CQ102" s="693" t="n"/>
    </row>
    <row r="103" ht="16.5" customHeight="1">
      <c r="B103" s="12" t="inlineStr">
        <is>
          <t xml:space="preserve">  EBIT y/y %</t>
        </is>
      </c>
      <c r="C103" s="974" t="n"/>
      <c r="D103" s="974" t="n"/>
      <c r="E103" s="974" t="n"/>
      <c r="F103" s="974" t="n"/>
      <c r="G103" s="975" t="n"/>
      <c r="H103" s="974" t="n"/>
      <c r="I103" s="974" t="n"/>
      <c r="J103" s="974" t="n"/>
      <c r="K103" s="974" t="n"/>
      <c r="L103" s="975" t="n"/>
      <c r="M103" s="974" t="n"/>
      <c r="N103" s="974" t="n"/>
      <c r="O103" s="974" t="n"/>
      <c r="P103" s="974" t="n"/>
      <c r="Q103" s="975" t="n"/>
      <c r="R103" s="974" t="n"/>
      <c r="S103" s="974" t="n"/>
      <c r="T103" s="974" t="n"/>
      <c r="U103" s="974" t="n"/>
      <c r="V103" s="975" t="n"/>
      <c r="W103" s="974" t="n"/>
      <c r="X103" s="974" t="n"/>
      <c r="Y103" s="974" t="n"/>
      <c r="Z103" s="974" t="n"/>
      <c r="AA103" s="975" t="n"/>
      <c r="AB103" s="974" t="n"/>
      <c r="AC103" s="974" t="n"/>
      <c r="AD103" s="974" t="n"/>
      <c r="AE103" s="974" t="n"/>
      <c r="AF103" s="975" t="n"/>
      <c r="AG103" s="974" t="n"/>
      <c r="AH103" s="974" t="n"/>
      <c r="AI103" s="974" t="n"/>
      <c r="AJ103" s="974" t="n"/>
      <c r="AK103" s="975" t="n"/>
      <c r="AL103" s="974" t="n"/>
      <c r="AM103" s="974" t="n"/>
      <c r="AN103" s="974" t="n"/>
      <c r="AO103" s="974" t="n"/>
      <c r="AP103" s="975" t="n"/>
      <c r="AQ103" s="974" t="n"/>
      <c r="AR103" s="974" t="n"/>
      <c r="AS103" s="974" t="n"/>
      <c r="AT103" s="974" t="n"/>
      <c r="AU103" s="975" t="n"/>
      <c r="AV103" s="974" t="n"/>
      <c r="AW103" s="974" t="n"/>
      <c r="AX103" s="974" t="n"/>
      <c r="AY103" s="974" t="n"/>
      <c r="AZ103" s="975" t="n"/>
      <c r="BA103" s="974" t="n"/>
      <c r="BB103" s="974" t="n"/>
      <c r="BC103" s="974" t="n"/>
      <c r="BD103" s="974" t="n"/>
      <c r="BE103" s="975" t="n"/>
      <c r="BF103" s="974" t="n"/>
      <c r="BG103" s="974" t="n"/>
      <c r="BH103" s="974" t="n"/>
      <c r="BI103" s="974" t="n"/>
      <c r="BJ103" s="975" t="n"/>
      <c r="BK103" s="974">
        <f>IFERROR(BK102/BF102-1,"")</f>
        <v/>
      </c>
      <c r="BL103" s="974">
        <f>IFERROR(BL102/BG102-1,"")</f>
        <v/>
      </c>
      <c r="BM103" s="974">
        <f>IFERROR(BM102/BH102-1,"")</f>
        <v/>
      </c>
      <c r="BN103" s="974">
        <f>IFERROR(BN102/BI102-1,"")</f>
        <v/>
      </c>
      <c r="BO103" s="975">
        <f>IFERROR(BO102/BJ102-1,"")</f>
        <v/>
      </c>
      <c r="BP103" s="974">
        <f>IFERROR(BP102/BK102-1,"")</f>
        <v/>
      </c>
      <c r="BQ103" s="974">
        <f>IFERROR(BQ102/BL102-1,"")</f>
        <v/>
      </c>
      <c r="BR103" s="974">
        <f>IFERROR(BR102/BM102-1,"")</f>
        <v/>
      </c>
      <c r="BS103" s="974">
        <f>IFERROR(BS102/BN102-1,"")</f>
        <v/>
      </c>
      <c r="BT103" s="975">
        <f>IFERROR(BT102/BO102-1,"")</f>
        <v/>
      </c>
      <c r="BU103" s="974">
        <f>IFERROR(BU102/BP102-1,"")</f>
        <v/>
      </c>
      <c r="BV103" s="974">
        <f>IFERROR(BV102/BQ102-1,"")</f>
        <v/>
      </c>
      <c r="BW103" s="974">
        <f>IFERROR(BW102/BR102-1,"")</f>
        <v/>
      </c>
      <c r="BX103" s="974">
        <f>IFERROR(BX102/BS102-1,"")</f>
        <v/>
      </c>
      <c r="BY103" s="975">
        <f>IFERROR(BY102/BT102-1,"")</f>
        <v/>
      </c>
      <c r="BZ103" s="974">
        <f>IFERROR(BZ102/BU102-1,"")</f>
        <v/>
      </c>
      <c r="CA103" s="974">
        <f>IFERROR(CA102/BV102-1,"")</f>
        <v/>
      </c>
      <c r="CB103" s="974">
        <f>IFERROR(CB102/BW102-1,"")</f>
        <v/>
      </c>
      <c r="CC103" s="974">
        <f>IFERROR(CC102/BX102-1,"")</f>
        <v/>
      </c>
      <c r="CD103" s="975">
        <f>IFERROR(CD102/BY102-1,"")</f>
        <v/>
      </c>
      <c r="CE103" s="974">
        <f>IFERROR(CE102/BZ102-1,"")</f>
        <v/>
      </c>
      <c r="CF103" s="974">
        <f>IFERROR(CF102/CA102-1,"")</f>
        <v/>
      </c>
      <c r="CG103" s="974">
        <f>IFERROR(CG102/CB102-1,"")</f>
        <v/>
      </c>
      <c r="CH103" s="974">
        <f>IFERROR(CH102/CC102-1,"")</f>
        <v/>
      </c>
      <c r="CI103" s="976">
        <f>IFERROR(CI102/CD102-1,"")</f>
        <v/>
      </c>
      <c r="CJ103" s="976">
        <f>IFERROR(CJ102/CI102-1,"")</f>
        <v/>
      </c>
      <c r="CK103" s="976">
        <f>IFERROR(CK102/CJ102-1,"")</f>
        <v/>
      </c>
      <c r="CL103" s="976">
        <f>IFERROR(CL102/CK102-1,"")</f>
        <v/>
      </c>
      <c r="CM103" s="976">
        <f>IFERROR(CM102/CL102-1,"")</f>
        <v/>
      </c>
      <c r="CN103" s="974" t="n"/>
      <c r="CO103" s="766" t="n"/>
      <c r="CP103" s="974" t="n"/>
      <c r="CQ103" s="693" t="n"/>
    </row>
    <row r="104" ht="16.5" customHeight="1">
      <c r="B104" s="12" t="inlineStr">
        <is>
          <t xml:space="preserve">  EBIT %</t>
        </is>
      </c>
      <c r="C104" s="743" t="n"/>
      <c r="D104" s="743" t="n"/>
      <c r="E104" s="743" t="n"/>
      <c r="F104" s="743" t="n"/>
      <c r="G104" s="868" t="n"/>
      <c r="H104" s="743" t="n"/>
      <c r="I104" s="743" t="n"/>
      <c r="J104" s="743" t="n"/>
      <c r="K104" s="743" t="n"/>
      <c r="L104" s="868" t="n"/>
      <c r="M104" s="743" t="n"/>
      <c r="N104" s="743" t="n"/>
      <c r="O104" s="743" t="n"/>
      <c r="P104" s="743" t="n"/>
      <c r="Q104" s="868" t="n"/>
      <c r="R104" s="743" t="n"/>
      <c r="S104" s="743" t="n"/>
      <c r="T104" s="743" t="n"/>
      <c r="U104" s="743" t="n"/>
      <c r="V104" s="868" t="n"/>
      <c r="W104" s="743" t="n"/>
      <c r="X104" s="743" t="n"/>
      <c r="Y104" s="743" t="n"/>
      <c r="Z104" s="743" t="n"/>
      <c r="AA104" s="868" t="n"/>
      <c r="AB104" s="743" t="n"/>
      <c r="AC104" s="743" t="n"/>
      <c r="AD104" s="743" t="n"/>
      <c r="AE104" s="743" t="n"/>
      <c r="AF104" s="868" t="n"/>
      <c r="AG104" s="743" t="n"/>
      <c r="AH104" s="743" t="n"/>
      <c r="AI104" s="743" t="n"/>
      <c r="AJ104" s="743" t="n"/>
      <c r="AK104" s="868" t="n"/>
      <c r="AL104" s="743" t="n"/>
      <c r="AM104" s="291" t="n"/>
      <c r="AN104" s="291" t="n"/>
      <c r="AO104" s="291" t="n"/>
      <c r="AP104" s="864" t="n"/>
      <c r="AQ104" s="291" t="n"/>
      <c r="AR104" s="291" t="n"/>
      <c r="AS104" s="291" t="n"/>
      <c r="AT104" s="291" t="n"/>
      <c r="AU104" s="864" t="n"/>
      <c r="AV104" s="291" t="n"/>
      <c r="AW104" s="291" t="n"/>
      <c r="AX104" s="291" t="n"/>
      <c r="AY104" s="291" t="n"/>
      <c r="AZ104" s="864" t="n"/>
      <c r="BA104" s="291" t="n"/>
      <c r="BB104" s="291" t="n"/>
      <c r="BC104" s="291" t="n"/>
      <c r="BD104" s="291" t="n"/>
      <c r="BE104" s="864" t="n"/>
      <c r="BF104" s="291" t="n"/>
      <c r="BG104" s="291" t="n"/>
      <c r="BH104" s="291" t="n"/>
      <c r="BI104" s="291" t="n"/>
      <c r="BJ104" s="864" t="n"/>
      <c r="BK104" s="974">
        <f>IFERROR(BK102/BK98,"")</f>
        <v/>
      </c>
      <c r="BL104" s="974">
        <f>IFERROR(BL102/BL98,"")</f>
        <v/>
      </c>
      <c r="BM104" s="974">
        <f>IFERROR(BM102/BM98,"")</f>
        <v/>
      </c>
      <c r="BN104" s="974">
        <f>IFERROR(BN102/BN98,"")</f>
        <v/>
      </c>
      <c r="BO104" s="975">
        <f>IFERROR(BO102/BO98,"")</f>
        <v/>
      </c>
      <c r="BP104" s="974">
        <f>IFERROR(BP102/BP98,"")</f>
        <v/>
      </c>
      <c r="BQ104" s="974">
        <f>IFERROR(BQ102/BQ98,"")</f>
        <v/>
      </c>
      <c r="BR104" s="974">
        <f>IFERROR(BR102/BR98,"")</f>
        <v/>
      </c>
      <c r="BS104" s="974">
        <f>IFERROR(BS102/BS98,"")</f>
        <v/>
      </c>
      <c r="BT104" s="975">
        <f>IFERROR(BT102/BT98,"")</f>
        <v/>
      </c>
      <c r="BU104" s="974">
        <f>IFERROR(BU102/BU98,"")</f>
        <v/>
      </c>
      <c r="BV104" s="974">
        <f>IFERROR(BV102/BV98,"")</f>
        <v/>
      </c>
      <c r="BW104" s="974">
        <f>IFERROR(BW102/BW98,"")</f>
        <v/>
      </c>
      <c r="BX104" s="974">
        <f>IFERROR(BX102/BX98,"")</f>
        <v/>
      </c>
      <c r="BY104" s="975">
        <f>IFERROR(BY102/BY98,"")</f>
        <v/>
      </c>
      <c r="BZ104" s="974">
        <f>IFERROR(BZ102/BZ98,"")</f>
        <v/>
      </c>
      <c r="CA104" s="974">
        <f>IFERROR(CA102/CA98,"")</f>
        <v/>
      </c>
      <c r="CB104" s="974">
        <f>IFERROR(CB102/CB98,"")</f>
        <v/>
      </c>
      <c r="CC104" s="974">
        <f>IFERROR(CC102/CC98,"")</f>
        <v/>
      </c>
      <c r="CD104" s="975">
        <f>IFERROR(CD102/CD98,"")</f>
        <v/>
      </c>
      <c r="CE104" s="974">
        <f>IFERROR(CE102/CE98,"")</f>
        <v/>
      </c>
      <c r="CF104" s="974">
        <f>IFERROR(CF102/CF98,"")</f>
        <v/>
      </c>
      <c r="CG104" s="974">
        <f>IFERROR(CG102/CG98,"")</f>
        <v/>
      </c>
      <c r="CH104" s="974">
        <f>IFERROR(CH102/CH98,"")</f>
        <v/>
      </c>
      <c r="CI104" s="976">
        <f>IFERROR(CI102/CI98,"")</f>
        <v/>
      </c>
      <c r="CJ104" s="976">
        <f>IFERROR(CJ102/CJ98,"")</f>
        <v/>
      </c>
      <c r="CK104" s="976">
        <f>IFERROR(CK102/CK98,"")</f>
        <v/>
      </c>
      <c r="CL104" s="976">
        <f>IFERROR(CL102/CL98,"")</f>
        <v/>
      </c>
      <c r="CM104" s="976">
        <f>IFERROR(CM102/CM98,"")</f>
        <v/>
      </c>
      <c r="CN104" s="291" t="n"/>
      <c r="CO104" s="766" t="n"/>
      <c r="CP104" s="291" t="n"/>
      <c r="CQ104" s="693" t="n"/>
    </row>
    <row r="105" ht="16.5" customHeight="1">
      <c r="B105" s="12" t="inlineStr">
        <is>
          <t xml:space="preserve">  Incremental EBIT (ΔEBIT / ΔSales)</t>
        </is>
      </c>
      <c r="C105" s="743" t="n"/>
      <c r="D105" s="743" t="n"/>
      <c r="E105" s="743" t="n"/>
      <c r="F105" s="743" t="n"/>
      <c r="G105" s="868" t="n"/>
      <c r="H105" s="743" t="n"/>
      <c r="I105" s="743" t="n"/>
      <c r="J105" s="743" t="n"/>
      <c r="K105" s="743" t="n"/>
      <c r="L105" s="868" t="n"/>
      <c r="M105" s="743" t="n"/>
      <c r="N105" s="743" t="n"/>
      <c r="O105" s="743" t="n"/>
      <c r="P105" s="743" t="n"/>
      <c r="Q105" s="868" t="n"/>
      <c r="R105" s="743" t="n"/>
      <c r="S105" s="743" t="n"/>
      <c r="T105" s="743" t="n"/>
      <c r="U105" s="743" t="n"/>
      <c r="V105" s="868" t="n"/>
      <c r="W105" s="743" t="n"/>
      <c r="X105" s="743" t="n"/>
      <c r="Y105" s="743" t="n"/>
      <c r="Z105" s="743" t="n"/>
      <c r="AA105" s="868" t="n"/>
      <c r="AB105" s="743" t="n"/>
      <c r="AC105" s="743" t="n"/>
      <c r="AD105" s="743" t="n"/>
      <c r="AE105" s="743" t="n"/>
      <c r="AF105" s="868" t="n"/>
      <c r="AG105" s="743" t="n"/>
      <c r="AH105" s="743" t="n"/>
      <c r="AI105" s="743" t="n"/>
      <c r="AJ105" s="743" t="n"/>
      <c r="AK105" s="868" t="n"/>
      <c r="AL105" s="743" t="n"/>
      <c r="AM105" s="291" t="n"/>
      <c r="AN105" s="291" t="n"/>
      <c r="AO105" s="291" t="n"/>
      <c r="AP105" s="864" t="n"/>
      <c r="AQ105" s="291" t="n"/>
      <c r="AR105" s="291" t="n"/>
      <c r="AS105" s="291" t="n"/>
      <c r="AT105" s="291" t="n"/>
      <c r="AU105" s="864" t="n"/>
      <c r="AV105" s="291" t="n"/>
      <c r="AW105" s="291" t="n"/>
      <c r="AX105" s="291" t="n"/>
      <c r="AY105" s="291" t="n"/>
      <c r="AZ105" s="864" t="n"/>
      <c r="BA105" s="291" t="n"/>
      <c r="BB105" s="291" t="n"/>
      <c r="BC105" s="291" t="n"/>
      <c r="BD105" s="291" t="n"/>
      <c r="BE105" s="864" t="n"/>
      <c r="BF105" s="291" t="n"/>
      <c r="BG105" s="291" t="n"/>
      <c r="BH105" s="291" t="n"/>
      <c r="BI105" s="291" t="n"/>
      <c r="BJ105" s="864" t="n"/>
      <c r="BK105" s="974">
        <f>IFERROR((BK102-BF102)/(BK98-BF98),"")</f>
        <v/>
      </c>
      <c r="BL105" s="974">
        <f>IFERROR((BL102-BG102)/(BL98-BG98),"")</f>
        <v/>
      </c>
      <c r="BM105" s="974">
        <f>IFERROR((BM102-BH102)/(BM98-BH98),"")</f>
        <v/>
      </c>
      <c r="BN105" s="974">
        <f>IFERROR((BN102-BI102)/(BN98-BI98),"")</f>
        <v/>
      </c>
      <c r="BO105" s="975">
        <f>IFERROR((BO102-BJ102)/(BO98-BJ98),"")</f>
        <v/>
      </c>
      <c r="BP105" s="985">
        <f>IFERROR((BP102-BK102)/(BP98-BK98),"")</f>
        <v/>
      </c>
      <c r="BQ105" s="985">
        <f>IFERROR((BQ102-BL102)/(BQ98-BL98),"")</f>
        <v/>
      </c>
      <c r="BR105" s="985">
        <f>IFERROR((BR102-BM102)/(BR98-BM98),"")</f>
        <v/>
      </c>
      <c r="BS105" s="985">
        <f>IFERROR((BS102-BN102)/(BS98-BN98),"")</f>
        <v/>
      </c>
      <c r="BT105" s="986">
        <f>IFERROR((BT102-BO102)/(BT98-BO98),"")</f>
        <v/>
      </c>
      <c r="BU105" s="985">
        <f>IFERROR((BU102-BP102)/(BU98-BP98),"")</f>
        <v/>
      </c>
      <c r="BV105" s="985">
        <f>IFERROR((BV102-BQ102)/(BV98-BQ98),"")</f>
        <v/>
      </c>
      <c r="BW105" s="985">
        <f>IFERROR((BW102-BR102)/(BW98-BR98),"")</f>
        <v/>
      </c>
      <c r="BX105" s="985">
        <f>IFERROR((BX102-BS102)/(BX98-BS98),"")</f>
        <v/>
      </c>
      <c r="BY105" s="986">
        <f>IFERROR((BY102-BT45)/(BY98-BT44),"")</f>
        <v/>
      </c>
      <c r="BZ105" s="985">
        <f>IFERROR((BZ102-BU102)/(BZ98-BU98),"")</f>
        <v/>
      </c>
      <c r="CA105" s="985">
        <f>IFERROR((CA102-BV102)/(CA98-BV98),"")</f>
        <v/>
      </c>
      <c r="CB105" s="985">
        <f>IFERROR((CB102-BW102)/(CB98-BW98),"")</f>
        <v/>
      </c>
      <c r="CC105" s="985">
        <f>IFERROR((CC102-BX102)/(CC98-BX98),"")</f>
        <v/>
      </c>
      <c r="CD105" s="986">
        <f>IFERROR((CD102-BY102)/(CD98-BY98),"")</f>
        <v/>
      </c>
      <c r="CE105" s="985">
        <f>IFERROR((CE102-BZ102)/(CE98-BZ98),"")</f>
        <v/>
      </c>
      <c r="CF105" s="985">
        <f>IFERROR((CF102-CA102)/(CF98-CA98),"")</f>
        <v/>
      </c>
      <c r="CG105" s="985" t="n"/>
      <c r="CH105" s="985" t="n"/>
      <c r="CI105" s="987">
        <f>IFERROR((CI102-CD102)/(CI98-CD98),"")</f>
        <v/>
      </c>
      <c r="CJ105" s="987">
        <f>IFERROR((CJ102-CI102)/(CJ98-CI98),"")</f>
        <v/>
      </c>
      <c r="CK105" s="987">
        <f>IFERROR((CK102-CJ102)/(CK98-CJ98),"")</f>
        <v/>
      </c>
      <c r="CL105" s="987">
        <f>IFERROR((CL102-CK102)/(CL98-CK98),"")</f>
        <v/>
      </c>
      <c r="CM105" s="987">
        <f>IFERROR((CM102-CL102)/(CM98-CL98),"")</f>
        <v/>
      </c>
      <c r="CN105" s="291" t="n"/>
      <c r="CO105" s="766" t="n"/>
      <c r="CP105" s="291" t="n"/>
      <c r="CQ105" s="693" t="n"/>
    </row>
    <row r="106" ht="16.5" customHeight="1">
      <c r="B106" s="699" t="inlineStr">
        <is>
          <t xml:space="preserve">  Twelve-month backlog ($M)</t>
        </is>
      </c>
      <c r="C106" s="743" t="n"/>
      <c r="D106" s="743" t="n"/>
      <c r="E106" s="743" t="n"/>
      <c r="F106" s="743" t="n"/>
      <c r="G106" s="868" t="n"/>
      <c r="H106" s="743" t="n"/>
      <c r="I106" s="743" t="n"/>
      <c r="J106" s="743" t="n"/>
      <c r="K106" s="743" t="n"/>
      <c r="L106" s="868" t="n"/>
      <c r="M106" s="743" t="n"/>
      <c r="N106" s="743" t="n"/>
      <c r="O106" s="743" t="n"/>
      <c r="P106" s="743" t="n"/>
      <c r="Q106" s="868" t="n"/>
      <c r="R106" s="743" t="n"/>
      <c r="S106" s="743" t="n"/>
      <c r="T106" s="743" t="n"/>
      <c r="U106" s="743" t="n"/>
      <c r="V106" s="868" t="n"/>
      <c r="W106" s="743" t="n"/>
      <c r="X106" s="743" t="n"/>
      <c r="Y106" s="743" t="n"/>
      <c r="Z106" s="743" t="n"/>
      <c r="AA106" s="868" t="n"/>
      <c r="AB106" s="743" t="n"/>
      <c r="AC106" s="743" t="n"/>
      <c r="AD106" s="743" t="n"/>
      <c r="AE106" s="743" t="n"/>
      <c r="AF106" s="868" t="n"/>
      <c r="AG106" s="743" t="n"/>
      <c r="AH106" s="743" t="n"/>
      <c r="AI106" s="743" t="n"/>
      <c r="AJ106" s="743" t="n"/>
      <c r="AK106" s="868" t="n"/>
      <c r="AL106" s="743" t="n"/>
      <c r="AM106" s="291" t="n"/>
      <c r="AN106" s="291" t="n"/>
      <c r="AO106" s="291" t="n"/>
      <c r="AP106" s="864" t="n"/>
      <c r="AQ106" s="291" t="n"/>
      <c r="AR106" s="291" t="n"/>
      <c r="AS106" s="291" t="n"/>
      <c r="AT106" s="291" t="n"/>
      <c r="AU106" s="864" t="n"/>
      <c r="AV106" s="291" t="n"/>
      <c r="AW106" s="291" t="n"/>
      <c r="AX106" s="291" t="n"/>
      <c r="AY106" s="291" t="n"/>
      <c r="AZ106" s="864" t="n"/>
      <c r="BA106" s="291" t="n"/>
      <c r="BB106" s="291" t="n"/>
      <c r="BC106" s="291" t="n"/>
      <c r="BD106" s="291" t="n"/>
      <c r="BE106" s="864" t="n"/>
      <c r="BF106" s="769" t="n"/>
      <c r="BG106" s="769" t="n"/>
      <c r="BH106" s="769" t="n"/>
      <c r="BI106" s="769" t="n"/>
      <c r="BJ106" s="926" t="n"/>
      <c r="BK106" s="769" t="n"/>
      <c r="BL106" s="769" t="n"/>
      <c r="BM106" s="769" t="n"/>
      <c r="BN106" s="769" t="n"/>
      <c r="BO106" s="926" t="n"/>
      <c r="BP106" s="769" t="n"/>
      <c r="BQ106" s="769" t="n"/>
      <c r="BR106" s="769" t="n"/>
      <c r="BS106" s="769" t="n"/>
      <c r="BT106" s="926" t="n"/>
      <c r="BU106" s="769" t="n"/>
      <c r="BV106" s="769" t="n"/>
      <c r="BW106" s="769" t="n"/>
      <c r="BX106" s="769" t="n"/>
      <c r="BY106" s="926" t="n"/>
      <c r="BZ106" s="769" t="n"/>
      <c r="CA106" s="769" t="n"/>
      <c r="CB106" s="769" t="n"/>
      <c r="CC106" s="769" t="n"/>
      <c r="CD106" s="926" t="n"/>
      <c r="CE106" s="769" t="n"/>
      <c r="CF106" s="769" t="n"/>
      <c r="CG106" s="770" t="n"/>
      <c r="CH106" s="770" t="n"/>
      <c r="CI106" s="752" t="n"/>
      <c r="CJ106" s="752" t="n"/>
      <c r="CK106" s="752" t="n"/>
      <c r="CL106" s="752" t="n"/>
      <c r="CM106" s="752" t="n"/>
      <c r="CN106" s="291" t="n"/>
      <c r="CO106" s="766" t="n"/>
      <c r="CP106" s="291" t="n"/>
      <c r="CQ106" s="693" t="n"/>
    </row>
    <row r="107" ht="16.5" customHeight="1">
      <c r="B107" s="697" t="inlineStr">
        <is>
          <t xml:space="preserve">  12-mo backlog y/y %</t>
        </is>
      </c>
      <c r="C107" s="743" t="n"/>
      <c r="D107" s="743" t="n"/>
      <c r="E107" s="743" t="n"/>
      <c r="F107" s="743" t="n"/>
      <c r="G107" s="868" t="n"/>
      <c r="H107" s="743" t="n"/>
      <c r="I107" s="743" t="n"/>
      <c r="J107" s="743" t="n"/>
      <c r="K107" s="743" t="n"/>
      <c r="L107" s="868" t="n"/>
      <c r="M107" s="743" t="n"/>
      <c r="N107" s="743" t="n"/>
      <c r="O107" s="743" t="n"/>
      <c r="P107" s="743" t="n"/>
      <c r="Q107" s="868" t="n"/>
      <c r="R107" s="743" t="n"/>
      <c r="S107" s="743" t="n"/>
      <c r="T107" s="743" t="n"/>
      <c r="U107" s="743" t="n"/>
      <c r="V107" s="868" t="n"/>
      <c r="W107" s="743" t="n"/>
      <c r="X107" s="743" t="n"/>
      <c r="Y107" s="743" t="n"/>
      <c r="Z107" s="743" t="n"/>
      <c r="AA107" s="868" t="n"/>
      <c r="AB107" s="743" t="n"/>
      <c r="AC107" s="743" t="n"/>
      <c r="AD107" s="743" t="n"/>
      <c r="AE107" s="743" t="n"/>
      <c r="AF107" s="868" t="n"/>
      <c r="AG107" s="743" t="n"/>
      <c r="AH107" s="743" t="n"/>
      <c r="AI107" s="743" t="n"/>
      <c r="AJ107" s="743" t="n"/>
      <c r="AK107" s="868" t="n"/>
      <c r="AL107" s="743" t="n"/>
      <c r="AM107" s="291" t="n"/>
      <c r="AN107" s="291" t="n"/>
      <c r="AO107" s="291" t="n"/>
      <c r="AP107" s="864" t="n"/>
      <c r="AQ107" s="291" t="n"/>
      <c r="AR107" s="291" t="n"/>
      <c r="AS107" s="291" t="n"/>
      <c r="AT107" s="291" t="n"/>
      <c r="AU107" s="864" t="n"/>
      <c r="AV107" s="291" t="n"/>
      <c r="AW107" s="291" t="n"/>
      <c r="AX107" s="291" t="n"/>
      <c r="AY107" s="291" t="n"/>
      <c r="AZ107" s="864" t="n"/>
      <c r="BA107" s="291" t="n"/>
      <c r="BB107" s="291" t="n"/>
      <c r="BC107" s="291" t="n"/>
      <c r="BD107" s="291" t="n"/>
      <c r="BE107" s="864" t="n"/>
      <c r="BF107" s="997" t="n"/>
      <c r="BG107" s="997" t="n"/>
      <c r="BH107" s="997" t="n"/>
      <c r="BI107" s="997" t="n"/>
      <c r="BJ107" s="998" t="n"/>
      <c r="BK107" s="974" t="n"/>
      <c r="BL107" s="974" t="n"/>
      <c r="BM107" s="974" t="n"/>
      <c r="BN107" s="974" t="n"/>
      <c r="BO107" s="975" t="n"/>
      <c r="BP107" s="974" t="n"/>
      <c r="BQ107" s="974" t="n"/>
      <c r="BR107" s="974" t="n"/>
      <c r="BS107" s="974" t="n"/>
      <c r="BT107" s="975" t="n"/>
      <c r="BU107" s="974" t="n"/>
      <c r="BV107" s="974" t="n"/>
      <c r="BW107" s="974" t="n"/>
      <c r="BX107" s="974" t="n"/>
      <c r="BY107" s="975" t="n"/>
      <c r="BZ107" s="974" t="n"/>
      <c r="CA107" s="974" t="n"/>
      <c r="CB107" s="974" t="n"/>
      <c r="CC107" s="974" t="n"/>
      <c r="CD107" s="975" t="n"/>
      <c r="CE107" s="974" t="n"/>
      <c r="CF107" s="974" t="n"/>
      <c r="CG107" s="974" t="n"/>
      <c r="CH107" s="974" t="n"/>
      <c r="CI107" s="976" t="n"/>
      <c r="CJ107" s="976" t="n"/>
      <c r="CK107" s="976" t="n"/>
      <c r="CL107" s="976" t="n"/>
      <c r="CM107" s="976" t="n"/>
      <c r="CN107" s="291" t="n"/>
      <c r="CO107" s="766" t="n"/>
      <c r="CP107" s="291" t="n"/>
      <c r="CQ107" s="693" t="n"/>
    </row>
    <row r="108" ht="16.5" customHeight="1">
      <c r="B108" s="705" t="inlineStr">
        <is>
          <t xml:space="preserve">  Total backlog ($M)</t>
        </is>
      </c>
      <c r="C108" s="743" t="n"/>
      <c r="D108" s="743" t="n"/>
      <c r="E108" s="743" t="n"/>
      <c r="F108" s="743" t="n"/>
      <c r="G108" s="868" t="n"/>
      <c r="H108" s="743" t="n"/>
      <c r="I108" s="743" t="n"/>
      <c r="J108" s="743" t="n"/>
      <c r="K108" s="743" t="n"/>
      <c r="L108" s="868" t="n"/>
      <c r="M108" s="743" t="n"/>
      <c r="N108" s="743" t="n"/>
      <c r="O108" s="743" t="n"/>
      <c r="P108" s="743" t="n"/>
      <c r="Q108" s="868" t="n"/>
      <c r="R108" s="743" t="n"/>
      <c r="S108" s="743" t="n"/>
      <c r="T108" s="743" t="n"/>
      <c r="U108" s="743" t="n"/>
      <c r="V108" s="868" t="n"/>
      <c r="W108" s="743" t="n"/>
      <c r="X108" s="743" t="n"/>
      <c r="Y108" s="743" t="n"/>
      <c r="Z108" s="743" t="n"/>
      <c r="AA108" s="868" t="n"/>
      <c r="AB108" s="743" t="n"/>
      <c r="AC108" s="743" t="n"/>
      <c r="AD108" s="743" t="n"/>
      <c r="AE108" s="743" t="n"/>
      <c r="AF108" s="868" t="n"/>
      <c r="AG108" s="743" t="n"/>
      <c r="AH108" s="743" t="n"/>
      <c r="AI108" s="743" t="n"/>
      <c r="AJ108" s="743" t="n"/>
      <c r="AK108" s="868" t="n"/>
      <c r="AL108" s="743" t="n"/>
      <c r="AM108" s="291" t="n"/>
      <c r="AN108" s="291" t="n"/>
      <c r="AO108" s="291" t="n"/>
      <c r="AP108" s="864" t="n"/>
      <c r="AQ108" s="291" t="n"/>
      <c r="AR108" s="291" t="n"/>
      <c r="AS108" s="291" t="n"/>
      <c r="AT108" s="291" t="n"/>
      <c r="AU108" s="864" t="n"/>
      <c r="AV108" s="291" t="n"/>
      <c r="AW108" s="291" t="n"/>
      <c r="AX108" s="291" t="n"/>
      <c r="AY108" s="291" t="n"/>
      <c r="AZ108" s="864" t="n"/>
      <c r="BA108" s="291" t="n"/>
      <c r="BB108" s="291" t="n"/>
      <c r="BC108" s="291" t="n"/>
      <c r="BD108" s="291" t="n"/>
      <c r="BE108" s="864" t="n"/>
      <c r="BF108" s="772" t="n"/>
      <c r="BG108" s="772" t="n"/>
      <c r="BH108" s="772" t="n"/>
      <c r="BI108" s="772" t="n"/>
      <c r="BJ108" s="928" t="n"/>
      <c r="BK108" s="772" t="n"/>
      <c r="BL108" s="772" t="n"/>
      <c r="BM108" s="772" t="n"/>
      <c r="BN108" s="772" t="n"/>
      <c r="BO108" s="928" t="n"/>
      <c r="BP108" s="772" t="n"/>
      <c r="BQ108" s="772" t="n"/>
      <c r="BR108" s="772" t="n"/>
      <c r="BS108" s="772" t="n"/>
      <c r="BT108" s="868" t="n"/>
      <c r="BU108" s="772" t="n"/>
      <c r="BV108" s="772" t="n"/>
      <c r="BW108" s="772" t="n"/>
      <c r="BX108" s="772" t="n"/>
      <c r="BY108" s="868" t="n"/>
      <c r="BZ108" s="772" t="n"/>
      <c r="CA108" s="772" t="n"/>
      <c r="CB108" s="772" t="n"/>
      <c r="CC108" s="772" t="n"/>
      <c r="CD108" s="868" t="n"/>
      <c r="CE108" s="291" t="n"/>
      <c r="CF108" s="291" t="n"/>
      <c r="CG108" s="291" t="n"/>
      <c r="CH108" s="291" t="n"/>
      <c r="CI108" s="749" t="n"/>
      <c r="CJ108" s="749" t="n"/>
      <c r="CK108" s="749" t="n"/>
      <c r="CL108" s="749" t="n"/>
      <c r="CM108" s="749" t="n"/>
      <c r="CN108" s="291" t="n"/>
      <c r="CO108" s="766" t="n"/>
      <c r="CP108" s="291" t="n"/>
      <c r="CQ108" s="693" t="n"/>
    </row>
    <row r="109" ht="16.5" customHeight="1">
      <c r="B109" s="12" t="inlineStr">
        <is>
          <t xml:space="preserve">  Total backlog y/y %</t>
        </is>
      </c>
      <c r="C109" s="743" t="n"/>
      <c r="D109" s="743" t="n"/>
      <c r="E109" s="743" t="n"/>
      <c r="F109" s="743" t="n"/>
      <c r="G109" s="868" t="n"/>
      <c r="H109" s="743" t="n"/>
      <c r="I109" s="743" t="n"/>
      <c r="J109" s="743" t="n"/>
      <c r="K109" s="743" t="n"/>
      <c r="L109" s="868" t="n"/>
      <c r="M109" s="743" t="n"/>
      <c r="N109" s="743" t="n"/>
      <c r="O109" s="743" t="n"/>
      <c r="P109" s="743" t="n"/>
      <c r="Q109" s="868" t="n"/>
      <c r="R109" s="743" t="n"/>
      <c r="S109" s="743" t="n"/>
      <c r="T109" s="743" t="n"/>
      <c r="U109" s="743" t="n"/>
      <c r="V109" s="868" t="n"/>
      <c r="W109" s="743" t="n"/>
      <c r="X109" s="743" t="n"/>
      <c r="Y109" s="743" t="n"/>
      <c r="Z109" s="743" t="n"/>
      <c r="AA109" s="868" t="n"/>
      <c r="AB109" s="743" t="n"/>
      <c r="AC109" s="743" t="n"/>
      <c r="AD109" s="743" t="n"/>
      <c r="AE109" s="743" t="n"/>
      <c r="AF109" s="868" t="n"/>
      <c r="AG109" s="743" t="n"/>
      <c r="AH109" s="743" t="n"/>
      <c r="AI109" s="743" t="n"/>
      <c r="AJ109" s="743" t="n"/>
      <c r="AK109" s="868" t="n"/>
      <c r="AL109" s="743" t="n"/>
      <c r="AM109" s="291" t="n"/>
      <c r="AN109" s="291" t="n"/>
      <c r="AO109" s="291" t="n"/>
      <c r="AP109" s="864" t="n"/>
      <c r="AQ109" s="291" t="n"/>
      <c r="AR109" s="291" t="n"/>
      <c r="AS109" s="291" t="n"/>
      <c r="AT109" s="291" t="n"/>
      <c r="AU109" s="864" t="n"/>
      <c r="AV109" s="291" t="n"/>
      <c r="AW109" s="291" t="n"/>
      <c r="AX109" s="291" t="n"/>
      <c r="AY109" s="291" t="n"/>
      <c r="AZ109" s="864" t="n"/>
      <c r="BA109" s="291" t="n"/>
      <c r="BB109" s="291" t="n"/>
      <c r="BC109" s="291" t="n"/>
      <c r="BD109" s="291" t="n"/>
      <c r="BE109" s="864" t="n"/>
      <c r="BF109" s="291" t="n"/>
      <c r="BG109" s="291" t="n"/>
      <c r="BH109" s="291" t="n"/>
      <c r="BI109" s="291" t="n"/>
      <c r="BJ109" s="864" t="n"/>
      <c r="BK109" s="974" t="n"/>
      <c r="BL109" s="974" t="n"/>
      <c r="BM109" s="974" t="n"/>
      <c r="BN109" s="974" t="n"/>
      <c r="BO109" s="975" t="n"/>
      <c r="BP109" s="974" t="n"/>
      <c r="BQ109" s="974" t="n"/>
      <c r="BR109" s="974" t="n"/>
      <c r="BS109" s="974" t="n"/>
      <c r="BT109" s="975" t="n"/>
      <c r="BU109" s="974" t="n"/>
      <c r="BV109" s="974" t="n"/>
      <c r="BW109" s="974" t="n"/>
      <c r="BX109" s="974" t="n"/>
      <c r="BY109" s="975" t="n"/>
      <c r="BZ109" s="974" t="n"/>
      <c r="CA109" s="974" t="n"/>
      <c r="CB109" s="974" t="n"/>
      <c r="CC109" s="974" t="n"/>
      <c r="CD109" s="975" t="n"/>
      <c r="CE109" s="974" t="n"/>
      <c r="CF109" s="974" t="n"/>
      <c r="CG109" s="974" t="n"/>
      <c r="CH109" s="974" t="n"/>
      <c r="CI109" s="976" t="n"/>
      <c r="CJ109" s="976" t="n"/>
      <c r="CK109" s="976" t="n"/>
      <c r="CL109" s="976" t="n"/>
      <c r="CM109" s="976" t="n"/>
      <c r="CN109" s="291" t="n"/>
      <c r="CO109" s="766" t="n"/>
      <c r="CP109" s="291" t="n"/>
      <c r="CQ109" s="693" t="n"/>
    </row>
    <row r="110" ht="16.5" customHeight="1">
      <c r="B110" s="12" t="inlineStr">
        <is>
          <t xml:space="preserve">  Book-to-bill (Bookings / Sales)</t>
        </is>
      </c>
      <c r="C110" s="291" t="n"/>
      <c r="D110" s="291" t="n"/>
      <c r="E110" s="291" t="n"/>
      <c r="F110" s="291" t="n"/>
      <c r="G110" s="864" t="n"/>
      <c r="H110" s="291" t="n"/>
      <c r="I110" s="291" t="n"/>
      <c r="J110" s="291" t="n"/>
      <c r="K110" s="291" t="n"/>
      <c r="L110" s="864" t="n"/>
      <c r="M110" s="291" t="n"/>
      <c r="N110" s="291" t="n"/>
      <c r="O110" s="291" t="n"/>
      <c r="P110" s="291" t="n"/>
      <c r="Q110" s="864" t="n"/>
      <c r="R110" s="291" t="n"/>
      <c r="S110" s="291" t="n"/>
      <c r="T110" s="291" t="n"/>
      <c r="U110" s="291" t="n"/>
      <c r="V110" s="864" t="n"/>
      <c r="W110" s="291" t="n"/>
      <c r="X110" s="291" t="n"/>
      <c r="Y110" s="291" t="n"/>
      <c r="Z110" s="291" t="n"/>
      <c r="AA110" s="864" t="n"/>
      <c r="AB110" s="291" t="n"/>
      <c r="AC110" s="291" t="n"/>
      <c r="AD110" s="291" t="n"/>
      <c r="AE110" s="291" t="n"/>
      <c r="AF110" s="864" t="n"/>
      <c r="AG110" s="291" t="n"/>
      <c r="AH110" s="291" t="n"/>
      <c r="AI110" s="291" t="n"/>
      <c r="AJ110" s="291" t="n"/>
      <c r="AK110" s="864" t="n"/>
      <c r="AL110" s="291" t="n"/>
      <c r="AM110" s="291" t="n"/>
      <c r="AN110" s="291" t="n"/>
      <c r="AO110" s="291" t="n"/>
      <c r="AP110" s="864" t="n"/>
      <c r="AQ110" s="291" t="n"/>
      <c r="AR110" s="291" t="n"/>
      <c r="AS110" s="291" t="n"/>
      <c r="AT110" s="291" t="n"/>
      <c r="AU110" s="864" t="n"/>
      <c r="AV110" s="291" t="n"/>
      <c r="AW110" s="291" t="n"/>
      <c r="AX110" s="291" t="n"/>
      <c r="AY110" s="291" t="n"/>
      <c r="AZ110" s="864" t="n"/>
      <c r="BA110" s="291" t="n"/>
      <c r="BB110" s="291" t="n"/>
      <c r="BC110" s="291" t="n"/>
      <c r="BD110" s="291" t="n"/>
      <c r="BE110" s="864" t="n"/>
      <c r="BF110" s="291" t="n"/>
      <c r="BG110" s="291" t="n"/>
      <c r="BH110" s="291" t="n"/>
      <c r="BI110" s="291" t="n"/>
      <c r="BJ110" s="864" t="n"/>
      <c r="BK110" s="773" t="n"/>
      <c r="BL110" s="773" t="n"/>
      <c r="BM110" s="773" t="n"/>
      <c r="BN110" s="773" t="n"/>
      <c r="BO110" s="935" t="n"/>
      <c r="BP110" s="773" t="n"/>
      <c r="BQ110" s="773" t="n"/>
      <c r="BR110" s="773" t="n"/>
      <c r="BS110" s="773" t="n"/>
      <c r="BT110" s="935" t="n"/>
      <c r="BU110" s="773" t="n"/>
      <c r="BV110" s="773" t="n"/>
      <c r="BW110" s="773" t="n"/>
      <c r="BX110" s="773" t="n"/>
      <c r="BY110" s="935" t="n"/>
      <c r="BZ110" s="773" t="n"/>
      <c r="CA110" s="773" t="n"/>
      <c r="CB110" s="773" t="n"/>
      <c r="CC110" s="773" t="n"/>
      <c r="CD110" s="935" t="n"/>
      <c r="CE110" s="773" t="n"/>
      <c r="CF110" s="773" t="n"/>
      <c r="CG110" s="773" t="n"/>
      <c r="CH110" s="773" t="n"/>
      <c r="CI110" s="764" t="n"/>
      <c r="CJ110" s="764" t="n"/>
      <c r="CK110" s="764" t="n"/>
      <c r="CL110" s="764" t="n"/>
      <c r="CM110" s="764" t="n"/>
      <c r="CN110" s="291" t="n"/>
      <c r="CO110" s="766" t="n"/>
      <c r="CP110" s="291" t="n"/>
      <c r="CQ110" s="693" t="n"/>
    </row>
    <row r="111" ht="16.5" customHeight="1">
      <c r="C111" s="291" t="n"/>
      <c r="D111" s="291" t="n"/>
      <c r="E111" s="291" t="n"/>
      <c r="F111" s="291" t="n"/>
      <c r="G111" s="864" t="n"/>
      <c r="H111" s="291" t="n"/>
      <c r="I111" s="291" t="n"/>
      <c r="J111" s="291" t="n"/>
      <c r="K111" s="291" t="n"/>
      <c r="L111" s="864" t="n"/>
      <c r="M111" s="291" t="n"/>
      <c r="N111" s="291" t="n"/>
      <c r="O111" s="291" t="n"/>
      <c r="P111" s="291" t="n"/>
      <c r="Q111" s="864" t="n"/>
      <c r="R111" s="291" t="n"/>
      <c r="S111" s="291" t="n"/>
      <c r="T111" s="291" t="n"/>
      <c r="U111" s="291" t="n"/>
      <c r="V111" s="864" t="n"/>
      <c r="W111" s="291" t="n"/>
      <c r="X111" s="291" t="n"/>
      <c r="Y111" s="291" t="n"/>
      <c r="Z111" s="291" t="n"/>
      <c r="AA111" s="864" t="n"/>
      <c r="AB111" s="291" t="n"/>
      <c r="AC111" s="291" t="n"/>
      <c r="AD111" s="291" t="n"/>
      <c r="AE111" s="291" t="n"/>
      <c r="AF111" s="864" t="n"/>
      <c r="AG111" s="291" t="n"/>
      <c r="AH111" s="291" t="n"/>
      <c r="AI111" s="291" t="n"/>
      <c r="AJ111" s="291" t="n"/>
      <c r="AK111" s="864" t="n"/>
      <c r="AL111" s="291" t="n"/>
      <c r="AM111" s="291" t="n"/>
      <c r="AN111" s="291" t="n"/>
      <c r="AO111" s="291" t="n"/>
      <c r="AP111" s="864" t="n"/>
      <c r="AQ111" s="291" t="n"/>
      <c r="AR111" s="291" t="n"/>
      <c r="AS111" s="291" t="n"/>
      <c r="AT111" s="291" t="n"/>
      <c r="AU111" s="864" t="n"/>
      <c r="AV111" s="291" t="n"/>
      <c r="AW111" s="291" t="n"/>
      <c r="AX111" s="291" t="n"/>
      <c r="AY111" s="291" t="n"/>
      <c r="AZ111" s="864" t="n"/>
      <c r="BA111" s="291" t="n"/>
      <c r="BB111" s="291" t="n"/>
      <c r="BC111" s="291" t="n"/>
      <c r="BD111" s="291" t="n"/>
      <c r="BE111" s="864" t="n"/>
      <c r="BF111" s="291" t="n"/>
      <c r="BG111" s="291" t="n"/>
      <c r="BH111" s="291" t="n"/>
      <c r="BI111" s="291" t="n"/>
      <c r="BJ111" s="864" t="n"/>
      <c r="BK111" s="291" t="n"/>
      <c r="BL111" s="291" t="n"/>
      <c r="BM111" s="291" t="n"/>
      <c r="BN111" s="291" t="n"/>
      <c r="BO111" s="864" t="n"/>
      <c r="BP111" s="291" t="n"/>
      <c r="BQ111" s="291" t="n"/>
      <c r="BR111" s="291" t="n"/>
      <c r="BS111" s="291" t="n"/>
      <c r="BT111" s="864" t="n"/>
      <c r="BU111" s="291" t="n"/>
      <c r="BV111" s="291" t="n"/>
      <c r="BW111" s="291" t="n"/>
      <c r="BX111" s="291" t="n"/>
      <c r="BY111" s="864" t="n"/>
      <c r="BZ111" s="291" t="n"/>
      <c r="CA111" s="291" t="n"/>
      <c r="CB111" s="291" t="n"/>
      <c r="CC111" s="291" t="n"/>
      <c r="CD111" s="864" t="n"/>
      <c r="CE111" s="291" t="n"/>
      <c r="CF111" s="291" t="n"/>
      <c r="CG111" s="291" t="n"/>
      <c r="CH111" s="291" t="n"/>
      <c r="CI111" s="749" t="n"/>
      <c r="CJ111" s="749" t="n"/>
      <c r="CK111" s="749" t="n"/>
      <c r="CL111" s="749" t="n"/>
      <c r="CM111" s="749" t="n"/>
      <c r="CN111" s="291" t="n"/>
      <c r="CO111" s="766" t="n"/>
      <c r="CP111" s="291" t="n"/>
      <c r="CQ111" s="693" t="n"/>
    </row>
    <row r="112" ht="16.5" customHeight="1">
      <c r="B112" s="221" t="inlineStr">
        <is>
          <t>CONSOLIDATED INCOME STATEMENT (US GAAP)</t>
        </is>
      </c>
      <c r="C112" s="222" t="n"/>
      <c r="D112" s="222" t="n"/>
      <c r="E112" s="222" t="n"/>
      <c r="F112" s="222" t="n"/>
      <c r="G112" s="865" t="n"/>
      <c r="H112" s="222" t="n"/>
      <c r="I112" s="222" t="n"/>
      <c r="J112" s="222" t="n"/>
      <c r="K112" s="222" t="n"/>
      <c r="L112" s="865" t="n"/>
      <c r="M112" s="222" t="n"/>
      <c r="N112" s="222" t="n"/>
      <c r="O112" s="222" t="n"/>
      <c r="P112" s="222" t="n"/>
      <c r="Q112" s="865" t="n"/>
      <c r="R112" s="222" t="n"/>
      <c r="S112" s="222" t="n"/>
      <c r="T112" s="222" t="n"/>
      <c r="U112" s="222" t="n"/>
      <c r="V112" s="865" t="n"/>
      <c r="W112" s="222" t="n"/>
      <c r="X112" s="222" t="n"/>
      <c r="Y112" s="222" t="n"/>
      <c r="Z112" s="222" t="n"/>
      <c r="AA112" s="865" t="n"/>
      <c r="AB112" s="222" t="n"/>
      <c r="AC112" s="222" t="n"/>
      <c r="AD112" s="222" t="n"/>
      <c r="AE112" s="222" t="n"/>
      <c r="AF112" s="865" t="n"/>
      <c r="AG112" s="222" t="n"/>
      <c r="AH112" s="222" t="n"/>
      <c r="AI112" s="222" t="n"/>
      <c r="AJ112" s="222" t="n"/>
      <c r="AK112" s="865" t="n"/>
      <c r="AL112" s="222" t="n"/>
      <c r="AM112" s="222" t="n"/>
      <c r="AN112" s="222" t="n"/>
      <c r="AO112" s="222" t="n"/>
      <c r="AP112" s="865" t="n"/>
      <c r="AQ112" s="222" t="n"/>
      <c r="AR112" s="222" t="n"/>
      <c r="AS112" s="222" t="n"/>
      <c r="AT112" s="222" t="n"/>
      <c r="AU112" s="865" t="n"/>
      <c r="AV112" s="222" t="n"/>
      <c r="AW112" s="222" t="n"/>
      <c r="AX112" s="222" t="n"/>
      <c r="AY112" s="222" t="n"/>
      <c r="AZ112" s="865" t="n"/>
      <c r="BA112" s="222" t="n"/>
      <c r="BB112" s="222" t="n"/>
      <c r="BC112" s="222" t="n"/>
      <c r="BD112" s="222" t="n"/>
      <c r="BE112" s="865" t="n"/>
      <c r="BF112" s="222" t="n"/>
      <c r="BG112" s="222" t="n"/>
      <c r="BH112" s="222" t="n"/>
      <c r="BI112" s="222" t="n"/>
      <c r="BJ112" s="865" t="n"/>
      <c r="BK112" s="222" t="n"/>
      <c r="BL112" s="222" t="n"/>
      <c r="BM112" s="222" t="n"/>
      <c r="BN112" s="222" t="n"/>
      <c r="BO112" s="865" t="n"/>
      <c r="BP112" s="222" t="n"/>
      <c r="BQ112" s="222" t="n"/>
      <c r="BR112" s="222" t="n"/>
      <c r="BS112" s="222" t="n"/>
      <c r="BT112" s="865" t="n"/>
      <c r="BU112" s="222" t="n"/>
      <c r="BV112" s="222" t="n"/>
      <c r="BW112" s="222" t="n"/>
      <c r="BX112" s="222" t="n"/>
      <c r="BY112" s="865" t="n"/>
      <c r="BZ112" s="222" t="n"/>
      <c r="CA112" s="222" t="n"/>
      <c r="CB112" s="222" t="n"/>
      <c r="CC112" s="222" t="n"/>
      <c r="CD112" s="865" t="n"/>
      <c r="CE112" s="222" t="n"/>
      <c r="CF112" s="222" t="n"/>
      <c r="CG112" s="222" t="n"/>
      <c r="CH112" s="222" t="n"/>
      <c r="CI112" s="222" t="n"/>
      <c r="CJ112" s="222" t="n"/>
      <c r="CK112" s="222" t="n"/>
      <c r="CL112" s="222" t="n"/>
      <c r="CM112" s="222" t="n"/>
      <c r="CN112" s="222" t="n"/>
      <c r="CO112" s="687" t="n"/>
      <c r="CP112" s="222" t="n"/>
      <c r="CQ112" s="692" t="n"/>
    </row>
    <row r="113" ht="16.5" customHeight="1">
      <c r="C113" s="291" t="n"/>
      <c r="D113" s="291" t="n"/>
      <c r="E113" s="291" t="n"/>
      <c r="F113" s="291" t="n"/>
      <c r="G113" s="864" t="n"/>
      <c r="H113" s="291" t="n"/>
      <c r="I113" s="291" t="n"/>
      <c r="J113" s="291" t="n"/>
      <c r="K113" s="291" t="n"/>
      <c r="L113" s="864" t="n"/>
      <c r="M113" s="291" t="n"/>
      <c r="N113" s="291" t="n"/>
      <c r="O113" s="291" t="n"/>
      <c r="P113" s="291" t="n"/>
      <c r="Q113" s="864" t="n"/>
      <c r="R113" s="291" t="n"/>
      <c r="S113" s="291" t="n"/>
      <c r="T113" s="291" t="n"/>
      <c r="U113" s="291" t="n"/>
      <c r="V113" s="864" t="n"/>
      <c r="W113" s="291" t="n"/>
      <c r="X113" s="291" t="n"/>
      <c r="Y113" s="291" t="n"/>
      <c r="Z113" s="291" t="n"/>
      <c r="AA113" s="864" t="n"/>
      <c r="AB113" s="291" t="n"/>
      <c r="AC113" s="291" t="n"/>
      <c r="AD113" s="291" t="n"/>
      <c r="AE113" s="291" t="n"/>
      <c r="AF113" s="864" t="n"/>
      <c r="AG113" s="291" t="n"/>
      <c r="AH113" s="291" t="n"/>
      <c r="AI113" s="291" t="n"/>
      <c r="AJ113" s="291" t="n"/>
      <c r="AK113" s="864" t="n"/>
      <c r="AL113" s="291" t="n"/>
      <c r="AM113" s="291" t="n"/>
      <c r="AN113" s="291" t="n"/>
      <c r="AO113" s="291" t="n"/>
      <c r="AP113" s="864" t="n"/>
      <c r="AQ113" s="291" t="n"/>
      <c r="AR113" s="291" t="n"/>
      <c r="AS113" s="291" t="n"/>
      <c r="AT113" s="291" t="n"/>
      <c r="AU113" s="864" t="n"/>
      <c r="AV113" s="291" t="n"/>
      <c r="AW113" s="291" t="n"/>
      <c r="AX113" s="291" t="n"/>
      <c r="AY113" s="291" t="n"/>
      <c r="AZ113" s="864" t="n"/>
      <c r="BA113" s="291" t="n"/>
      <c r="BB113" s="291" t="n"/>
      <c r="BC113" s="291" t="n"/>
      <c r="BD113" s="291" t="n"/>
      <c r="BE113" s="864" t="n"/>
      <c r="BF113" s="291" t="n"/>
      <c r="BG113" s="291" t="n"/>
      <c r="BH113" s="291" t="n"/>
      <c r="BI113" s="291" t="n"/>
      <c r="BJ113" s="864" t="n"/>
      <c r="BK113" s="291" t="n"/>
      <c r="BL113" s="291" t="n"/>
      <c r="BM113" s="291" t="n"/>
      <c r="BN113" s="291" t="n"/>
      <c r="BO113" s="864" t="n"/>
      <c r="BP113" s="291" t="n"/>
      <c r="BQ113" s="291" t="n"/>
      <c r="BR113" s="291" t="n"/>
      <c r="BS113" s="291" t="n"/>
      <c r="BT113" s="864" t="n"/>
      <c r="BU113" s="291" t="n"/>
      <c r="BV113" s="291" t="n"/>
      <c r="BW113" s="291" t="n"/>
      <c r="BX113" s="291" t="n"/>
      <c r="BY113" s="864" t="n"/>
      <c r="BZ113" s="291" t="n"/>
      <c r="CA113" s="291" t="n"/>
      <c r="CB113" s="291" t="n"/>
      <c r="CC113" s="291" t="n"/>
      <c r="CD113" s="864" t="n"/>
      <c r="CE113" s="291" t="n"/>
      <c r="CF113" s="291" t="n"/>
      <c r="CG113" s="291" t="n"/>
      <c r="CH113" s="291" t="n"/>
      <c r="CI113" s="749" t="n"/>
      <c r="CJ113" s="749" t="n"/>
      <c r="CK113" s="749" t="n"/>
      <c r="CL113" s="749" t="n"/>
      <c r="CM113" s="749" t="n"/>
      <c r="CN113" s="291" t="n"/>
      <c r="CO113" s="766" t="n"/>
      <c r="CP113" s="291" t="n"/>
      <c r="CQ113" s="693" t="n"/>
    </row>
    <row r="114" ht="16.5" customHeight="1">
      <c r="B114" t="inlineStr">
        <is>
          <t>Net sales</t>
        </is>
      </c>
      <c r="C114" s="743" t="n"/>
      <c r="D114" s="743" t="n"/>
      <c r="E114" s="743" t="n"/>
      <c r="F114" s="743" t="n"/>
      <c r="G114" s="868" t="n"/>
      <c r="H114" s="743" t="n"/>
      <c r="I114" s="743" t="n"/>
      <c r="J114" s="743" t="n"/>
      <c r="K114" s="743" t="n"/>
      <c r="L114" s="868" t="n"/>
      <c r="M114" s="743" t="n"/>
      <c r="N114" s="743" t="n"/>
      <c r="O114" s="743" t="n"/>
      <c r="P114" s="743" t="n"/>
      <c r="Q114" s="868" t="n"/>
      <c r="R114" s="743" t="n"/>
      <c r="S114" s="743" t="n"/>
      <c r="T114" s="743" t="n"/>
      <c r="U114" s="743" t="n"/>
      <c r="V114" s="868" t="n"/>
      <c r="W114" s="743" t="n"/>
      <c r="X114" s="743" t="n"/>
      <c r="Y114" s="743" t="n"/>
      <c r="Z114" s="743" t="n"/>
      <c r="AA114" s="868" t="n"/>
      <c r="AB114" s="743" t="n"/>
      <c r="AC114" s="743" t="n"/>
      <c r="AD114" s="743" t="n"/>
      <c r="AE114" s="743" t="n"/>
      <c r="AF114" s="868" t="n"/>
      <c r="AG114" s="743" t="n"/>
      <c r="AH114" s="743" t="n"/>
      <c r="AI114" s="743" t="n"/>
      <c r="AJ114" s="743" t="n"/>
      <c r="AK114" s="868" t="n"/>
      <c r="AL114" s="743" t="n"/>
      <c r="AM114" s="291" t="n"/>
      <c r="AN114" s="291" t="n"/>
      <c r="AO114" s="291" t="n"/>
      <c r="AP114" s="868" t="n"/>
      <c r="AQ114" s="291" t="n"/>
      <c r="AR114" s="291" t="n"/>
      <c r="AS114" s="291" t="n"/>
      <c r="AT114" s="291" t="n"/>
      <c r="AU114" s="868" t="n"/>
      <c r="AV114" s="291" t="n"/>
      <c r="AW114" s="291" t="n"/>
      <c r="AX114" s="291" t="n"/>
      <c r="AY114" s="291" t="n"/>
      <c r="AZ114" s="868" t="n">
        <v>3903.545</v>
      </c>
      <c r="BA114" s="291" t="n"/>
      <c r="BB114" s="291" t="n"/>
      <c r="BC114" s="291" t="n"/>
      <c r="BD114" s="291" t="n"/>
      <c r="BE114" s="868" t="n">
        <v>3781.134</v>
      </c>
      <c r="BF114" s="743" t="n"/>
      <c r="BG114" s="743" t="n"/>
      <c r="BH114" s="743" t="n"/>
      <c r="BI114" s="743" t="n"/>
      <c r="BJ114" s="864" t="n">
        <v>7220.429</v>
      </c>
      <c r="BK114" s="743" t="n"/>
      <c r="BL114" s="743" t="n"/>
      <c r="BM114" s="743" t="n"/>
      <c r="BN114" s="743" t="n"/>
      <c r="BO114" s="864" t="n">
        <v>8812.491</v>
      </c>
      <c r="BP114" s="743" t="n"/>
      <c r="BQ114" s="743" t="n"/>
      <c r="BR114" s="743" t="n"/>
      <c r="BS114" s="743" t="n"/>
      <c r="BT114" s="864" t="n">
        <v>7521.167</v>
      </c>
      <c r="BU114" s="743" t="n"/>
      <c r="BV114" s="743" t="n"/>
      <c r="BW114" s="743" t="n"/>
      <c r="BX114" s="743" t="n"/>
      <c r="BY114" s="864" t="n">
        <v>8396.83</v>
      </c>
      <c r="BZ114" s="743" t="n"/>
      <c r="CA114" s="743" t="n"/>
      <c r="CB114" s="743" t="n"/>
      <c r="CC114" s="743" t="n"/>
      <c r="CD114" s="864" t="n">
        <v>7884.671</v>
      </c>
      <c r="CE114" s="743" t="n"/>
      <c r="CF114" s="743" t="n"/>
      <c r="CG114" s="291">
        <f>CG98</f>
        <v/>
      </c>
      <c r="CH114" s="291">
        <f>CH98</f>
        <v/>
      </c>
      <c r="CI114" s="749">
        <f>CI98</f>
        <v/>
      </c>
      <c r="CJ114" s="749">
        <f>CJ98</f>
        <v/>
      </c>
      <c r="CK114" s="749">
        <f>CK98</f>
        <v/>
      </c>
      <c r="CL114" s="749">
        <f>CL98</f>
        <v/>
      </c>
      <c r="CM114" s="749">
        <f>CM98</f>
        <v/>
      </c>
      <c r="CN114" s="291" t="n"/>
      <c r="CO114" s="766">
        <f>(CM114/CD114)^(1/5)-1</f>
        <v/>
      </c>
      <c r="CP114" s="291" t="n"/>
      <c r="CQ114" s="694" t="n"/>
    </row>
    <row r="115" ht="16.5" customHeight="1">
      <c r="B115" t="inlineStr">
        <is>
          <t>Cost of sales</t>
        </is>
      </c>
      <c r="C115" s="825" t="n"/>
      <c r="D115" s="825" t="n"/>
      <c r="E115" s="825" t="n"/>
      <c r="F115" s="825" t="n"/>
      <c r="G115" s="872" t="n"/>
      <c r="H115" s="825" t="n"/>
      <c r="I115" s="825" t="n"/>
      <c r="J115" s="825" t="n"/>
      <c r="K115" s="825" t="n"/>
      <c r="L115" s="872" t="n"/>
      <c r="M115" s="825" t="n"/>
      <c r="N115" s="825" t="n"/>
      <c r="O115" s="825" t="n"/>
      <c r="P115" s="825" t="n"/>
      <c r="Q115" s="872" t="n"/>
      <c r="R115" s="825" t="n"/>
      <c r="S115" s="825" t="n"/>
      <c r="T115" s="825" t="n"/>
      <c r="U115" s="825" t="n"/>
      <c r="V115" s="872" t="n"/>
      <c r="W115" s="825" t="n"/>
      <c r="X115" s="825" t="n"/>
      <c r="Y115" s="825" t="n"/>
      <c r="Z115" s="825" t="n"/>
      <c r="AA115" s="872" t="n"/>
      <c r="AB115" s="825" t="n"/>
      <c r="AC115" s="825" t="n"/>
      <c r="AD115" s="825" t="n"/>
      <c r="AE115" s="825" t="n"/>
      <c r="AF115" s="872" t="n"/>
      <c r="AG115" s="825" t="n"/>
      <c r="AH115" s="825" t="n"/>
      <c r="AI115" s="825" t="n"/>
      <c r="AJ115" s="825" t="n"/>
      <c r="AK115" s="872" t="n"/>
      <c r="AL115" s="825" t="n"/>
      <c r="AM115" s="826" t="n"/>
      <c r="AN115" s="826" t="n"/>
      <c r="AO115" s="826" t="n"/>
      <c r="AP115" s="872" t="n"/>
      <c r="AQ115" s="826" t="n"/>
      <c r="AR115" s="826" t="n"/>
      <c r="AS115" s="826" t="n"/>
      <c r="AT115" s="826" t="n"/>
      <c r="AU115" s="872" t="n"/>
      <c r="AV115" s="826" t="n"/>
      <c r="AW115" s="826" t="n"/>
      <c r="AX115" s="826" t="n"/>
      <c r="AY115" s="826" t="n"/>
      <c r="AZ115" s="872" t="n"/>
      <c r="BA115" s="826" t="n"/>
      <c r="BB115" s="826" t="n"/>
      <c r="BC115" s="826" t="n"/>
      <c r="BD115" s="826" t="n"/>
      <c r="BE115" s="872" t="n"/>
      <c r="BF115" s="825" t="n"/>
      <c r="BG115" s="825" t="n"/>
      <c r="BH115" s="825" t="n"/>
      <c r="BI115" s="825" t="n"/>
      <c r="BJ115" s="878" t="n"/>
      <c r="BK115" s="825" t="n"/>
      <c r="BL115" s="825" t="n"/>
      <c r="BM115" s="825" t="n"/>
      <c r="BN115" s="825" t="n"/>
      <c r="BO115" s="878" t="n"/>
      <c r="BP115" s="825" t="n"/>
      <c r="BQ115" s="825" t="n"/>
      <c r="BR115" s="825" t="n"/>
      <c r="BS115" s="825" t="n"/>
      <c r="BT115" s="878" t="n"/>
      <c r="BU115" s="825" t="n"/>
      <c r="BV115" s="825" t="n"/>
      <c r="BW115" s="825" t="n"/>
      <c r="BX115" s="825" t="n"/>
      <c r="BY115" s="878" t="n"/>
      <c r="BZ115" s="825" t="n"/>
      <c r="CA115" s="825" t="n"/>
      <c r="CB115" s="825" t="n"/>
      <c r="CC115" s="825" t="n"/>
      <c r="CD115" s="878" t="n"/>
      <c r="CE115" s="743" t="n"/>
      <c r="CF115" s="743" t="n"/>
      <c r="CG115" s="291" t="n"/>
      <c r="CH115" s="291" t="n"/>
      <c r="CI115" s="851" t="n"/>
      <c r="CJ115" s="851" t="n"/>
      <c r="CK115" s="851" t="n"/>
      <c r="CL115" s="851" t="n"/>
      <c r="CM115" s="851" t="n"/>
      <c r="CN115" s="291" t="n"/>
      <c r="CO115" s="766" t="n"/>
      <c r="CP115" s="291" t="n"/>
      <c r="CQ115" s="694" t="n"/>
    </row>
    <row r="116" ht="16.5" customHeight="1">
      <c r="B116" s="8" t="inlineStr">
        <is>
          <t>Gross profit</t>
        </is>
      </c>
      <c r="C116" s="678" t="n"/>
      <c r="D116" s="678" t="n"/>
      <c r="E116" s="678" t="n"/>
      <c r="F116" s="678" t="n"/>
      <c r="G116" s="870" t="n"/>
      <c r="H116" s="678" t="n"/>
      <c r="I116" s="678" t="n"/>
      <c r="J116" s="678" t="n"/>
      <c r="K116" s="678" t="n"/>
      <c r="L116" s="870" t="n"/>
      <c r="M116" s="678" t="n"/>
      <c r="N116" s="678" t="n"/>
      <c r="O116" s="678" t="n"/>
      <c r="P116" s="678" t="n"/>
      <c r="Q116" s="870" t="n"/>
      <c r="R116" s="678" t="n"/>
      <c r="S116" s="678" t="n"/>
      <c r="T116" s="678" t="n"/>
      <c r="U116" s="678" t="n"/>
      <c r="V116" s="870" t="n"/>
      <c r="W116" s="678" t="n"/>
      <c r="X116" s="678" t="n"/>
      <c r="Y116" s="678" t="n"/>
      <c r="Z116" s="678" t="n"/>
      <c r="AA116" s="870" t="n"/>
      <c r="AB116" s="678" t="n"/>
      <c r="AC116" s="678" t="n"/>
      <c r="AD116" s="678" t="n"/>
      <c r="AE116" s="678" t="n"/>
      <c r="AF116" s="870" t="n"/>
      <c r="AG116" s="678" t="n"/>
      <c r="AH116" s="678" t="n"/>
      <c r="AI116" s="678" t="n"/>
      <c r="AJ116" s="678" t="n"/>
      <c r="AK116" s="870" t="n"/>
      <c r="AL116" s="678" t="n"/>
      <c r="AM116" s="678" t="n"/>
      <c r="AN116" s="678" t="n"/>
      <c r="AO116" s="678" t="n"/>
      <c r="AP116" s="870" t="n"/>
      <c r="AQ116" s="678" t="n"/>
      <c r="AR116" s="678" t="n"/>
      <c r="AS116" s="678" t="n"/>
      <c r="AT116" s="678" t="n"/>
      <c r="AU116" s="870" t="n"/>
      <c r="AV116" s="678" t="n"/>
      <c r="AW116" s="678" t="n"/>
      <c r="AX116" s="678" t="n"/>
      <c r="AY116" s="678" t="n"/>
      <c r="AZ116" s="870" t="n"/>
      <c r="BA116" s="678" t="n"/>
      <c r="BB116" s="678" t="n"/>
      <c r="BC116" s="678" t="n"/>
      <c r="BD116" s="678" t="n"/>
      <c r="BE116" s="870" t="n"/>
      <c r="BF116" s="678" t="n"/>
      <c r="BG116" s="678" t="n"/>
      <c r="BH116" s="678" t="n"/>
      <c r="BI116" s="678" t="n"/>
      <c r="BJ116" s="870" t="n"/>
      <c r="BK116" s="678" t="n"/>
      <c r="BL116" s="678" t="n"/>
      <c r="BM116" s="678" t="n"/>
      <c r="BN116" s="678" t="n"/>
      <c r="BO116" s="870" t="n"/>
      <c r="BP116" s="678" t="n"/>
      <c r="BQ116" s="678" t="n"/>
      <c r="BR116" s="678" t="n"/>
      <c r="BS116" s="678" t="n"/>
      <c r="BT116" s="870" t="n"/>
      <c r="BU116" s="678" t="n"/>
      <c r="BV116" s="678" t="n"/>
      <c r="BW116" s="678" t="n"/>
      <c r="BX116" s="678" t="n"/>
      <c r="BY116" s="870" t="n"/>
      <c r="BZ116" s="678" t="n"/>
      <c r="CA116" s="678" t="n"/>
      <c r="CB116" s="678" t="n"/>
      <c r="CC116" s="678" t="n"/>
      <c r="CD116" s="870" t="n"/>
      <c r="CE116" s="678" t="n"/>
      <c r="CF116" s="678" t="n"/>
      <c r="CG116" s="678" t="n"/>
      <c r="CH116" s="678" t="n"/>
      <c r="CI116" s="752" t="n"/>
      <c r="CJ116" s="752" t="n"/>
      <c r="CK116" s="752" t="n"/>
      <c r="CL116" s="752" t="n"/>
      <c r="CM116" s="752" t="n"/>
      <c r="CN116" s="678" t="n"/>
      <c r="CO116" s="689" t="n"/>
      <c r="CP116" s="678" t="n"/>
      <c r="CQ116" s="694" t="n"/>
    </row>
    <row r="117" ht="16.5" customHeight="1">
      <c r="B117" t="inlineStr">
        <is>
          <t>Research and development expenses</t>
        </is>
      </c>
      <c r="C117" s="743" t="n"/>
      <c r="D117" s="743" t="n"/>
      <c r="E117" s="743" t="n"/>
      <c r="F117" s="743" t="n"/>
      <c r="G117" s="868" t="n"/>
      <c r="H117" s="743" t="n"/>
      <c r="I117" s="743" t="n"/>
      <c r="J117" s="743" t="n"/>
      <c r="K117" s="743" t="n"/>
      <c r="L117" s="868" t="n"/>
      <c r="M117" s="743" t="n"/>
      <c r="N117" s="743" t="n"/>
      <c r="O117" s="743" t="n"/>
      <c r="P117" s="743" t="n"/>
      <c r="Q117" s="868" t="n"/>
      <c r="R117" s="743" t="n"/>
      <c r="S117" s="743" t="n"/>
      <c r="T117" s="743" t="n"/>
      <c r="U117" s="743" t="n"/>
      <c r="V117" s="868" t="n"/>
      <c r="W117" s="743" t="n"/>
      <c r="X117" s="743" t="n"/>
      <c r="Y117" s="743" t="n"/>
      <c r="Z117" s="743" t="n"/>
      <c r="AA117" s="868" t="n"/>
      <c r="AB117" s="743" t="n"/>
      <c r="AC117" s="743" t="n"/>
      <c r="AD117" s="743" t="n"/>
      <c r="AE117" s="743" t="n"/>
      <c r="AF117" s="868" t="n"/>
      <c r="AG117" s="743" t="n"/>
      <c r="AH117" s="743" t="n"/>
      <c r="AI117" s="743" t="n"/>
      <c r="AJ117" s="743" t="n"/>
      <c r="AK117" s="868" t="n"/>
      <c r="AL117" s="743" t="n"/>
      <c r="AM117" s="291" t="n"/>
      <c r="AN117" s="291" t="n"/>
      <c r="AO117" s="291" t="n"/>
      <c r="AP117" s="868" t="n"/>
      <c r="AQ117" s="291" t="n"/>
      <c r="AR117" s="291" t="n"/>
      <c r="AS117" s="291" t="n"/>
      <c r="AT117" s="291" t="n"/>
      <c r="AU117" s="868" t="n"/>
      <c r="AV117" s="291" t="n"/>
      <c r="AW117" s="291" t="n"/>
      <c r="AX117" s="291" t="n"/>
      <c r="AY117" s="291" t="n"/>
      <c r="AZ117" s="868" t="n"/>
      <c r="BA117" s="291" t="n"/>
      <c r="BB117" s="291" t="n"/>
      <c r="BC117" s="291" t="n"/>
      <c r="BD117" s="291" t="n"/>
      <c r="BE117" s="868" t="n"/>
      <c r="BF117" s="743" t="n"/>
      <c r="BG117" s="743" t="n"/>
      <c r="BH117" s="743" t="n"/>
      <c r="BI117" s="743" t="n"/>
      <c r="BJ117" s="864" t="n"/>
      <c r="BK117" s="743" t="n"/>
      <c r="BL117" s="743" t="n"/>
      <c r="BM117" s="743" t="n"/>
      <c r="BN117" s="743" t="n"/>
      <c r="BO117" s="864" t="n"/>
      <c r="BP117" s="743" t="n"/>
      <c r="BQ117" s="743" t="n"/>
      <c r="BR117" s="743" t="n"/>
      <c r="BS117" s="743" t="n"/>
      <c r="BT117" s="864" t="n"/>
      <c r="BU117" s="743" t="n"/>
      <c r="BV117" s="743" t="n"/>
      <c r="BW117" s="743" t="n"/>
      <c r="BX117" s="743" t="n"/>
      <c r="BY117" s="864" t="n"/>
      <c r="BZ117" s="743" t="n"/>
      <c r="CA117" s="743" t="n"/>
      <c r="CB117" s="743" t="n"/>
      <c r="CC117" s="743" t="n"/>
      <c r="CD117" s="864" t="n"/>
      <c r="CE117" s="743" t="n"/>
      <c r="CF117" s="743" t="n"/>
      <c r="CG117" s="291" t="n"/>
      <c r="CH117" s="291" t="n"/>
      <c r="CI117" s="749" t="n"/>
      <c r="CJ117" s="749" t="n"/>
      <c r="CK117" s="749" t="n"/>
      <c r="CL117" s="749" t="n"/>
      <c r="CM117" s="749" t="n"/>
      <c r="CN117" s="291" t="n"/>
      <c r="CO117" s="766" t="n"/>
      <c r="CP117" s="291" t="n"/>
      <c r="CQ117" s="694" t="n"/>
    </row>
    <row r="118" ht="16.5" customHeight="1">
      <c r="B118" t="inlineStr">
        <is>
          <t>Selling, general and administrative expenses</t>
        </is>
      </c>
      <c r="C118" s="743" t="n"/>
      <c r="D118" s="743" t="n"/>
      <c r="E118" s="743" t="n"/>
      <c r="F118" s="743" t="n"/>
      <c r="G118" s="868" t="n"/>
      <c r="H118" s="743" t="n"/>
      <c r="I118" s="743" t="n"/>
      <c r="J118" s="743" t="n"/>
      <c r="K118" s="743" t="n"/>
      <c r="L118" s="868" t="n"/>
      <c r="M118" s="743" t="n"/>
      <c r="N118" s="743" t="n"/>
      <c r="O118" s="743" t="n"/>
      <c r="P118" s="743" t="n"/>
      <c r="Q118" s="868" t="n"/>
      <c r="R118" s="743" t="n"/>
      <c r="S118" s="743" t="n"/>
      <c r="T118" s="743" t="n"/>
      <c r="U118" s="743" t="n"/>
      <c r="V118" s="868" t="n"/>
      <c r="W118" s="743" t="n"/>
      <c r="X118" s="743" t="n"/>
      <c r="Y118" s="743" t="n"/>
      <c r="Z118" s="743" t="n"/>
      <c r="AA118" s="868" t="n"/>
      <c r="AB118" s="743" t="n"/>
      <c r="AC118" s="743" t="n"/>
      <c r="AD118" s="743" t="n"/>
      <c r="AE118" s="743" t="n"/>
      <c r="AF118" s="868" t="n"/>
      <c r="AG118" s="743" t="n"/>
      <c r="AH118" s="743" t="n"/>
      <c r="AI118" s="743" t="n"/>
      <c r="AJ118" s="743" t="n"/>
      <c r="AK118" s="868" t="n"/>
      <c r="AL118" s="743" t="n"/>
      <c r="AM118" s="291" t="n"/>
      <c r="AN118" s="291" t="n"/>
      <c r="AO118" s="291" t="n"/>
      <c r="AP118" s="868" t="n"/>
      <c r="AQ118" s="291" t="n"/>
      <c r="AR118" s="291" t="n"/>
      <c r="AS118" s="291" t="n"/>
      <c r="AT118" s="291" t="n"/>
      <c r="AU118" s="868" t="n"/>
      <c r="AV118" s="291" t="n"/>
      <c r="AW118" s="291" t="n"/>
      <c r="AX118" s="291" t="n"/>
      <c r="AY118" s="291" t="n"/>
      <c r="AZ118" s="868" t="n"/>
      <c r="BA118" s="291" t="n"/>
      <c r="BB118" s="291" t="n"/>
      <c r="BC118" s="291" t="n"/>
      <c r="BD118" s="291" t="n"/>
      <c r="BE118" s="868" t="n"/>
      <c r="BF118" s="743" t="n"/>
      <c r="BG118" s="743" t="n"/>
      <c r="BH118" s="743" t="n"/>
      <c r="BI118" s="743" t="n"/>
      <c r="BJ118" s="864" t="n"/>
      <c r="BK118" s="743" t="n"/>
      <c r="BL118" s="743" t="n"/>
      <c r="BM118" s="743" t="n"/>
      <c r="BN118" s="743" t="n"/>
      <c r="BO118" s="864" t="n"/>
      <c r="BP118" s="743" t="n"/>
      <c r="BQ118" s="743" t="n"/>
      <c r="BR118" s="743" t="n"/>
      <c r="BS118" s="743" t="n"/>
      <c r="BT118" s="864" t="n"/>
      <c r="BU118" s="743" t="n"/>
      <c r="BV118" s="743" t="n"/>
      <c r="BW118" s="743" t="n"/>
      <c r="BX118" s="743" t="n"/>
      <c r="BY118" s="864" t="n"/>
      <c r="BZ118" s="743" t="n"/>
      <c r="CA118" s="743" t="n"/>
      <c r="CB118" s="743" t="n"/>
      <c r="CC118" s="743" t="n"/>
      <c r="CD118" s="864" t="n"/>
      <c r="CE118" s="743" t="n"/>
      <c r="CF118" s="743" t="n"/>
      <c r="CG118" s="291" t="n"/>
      <c r="CH118" s="291" t="n"/>
      <c r="CI118" s="749" t="n"/>
      <c r="CJ118" s="749" t="n"/>
      <c r="CK118" s="749" t="n"/>
      <c r="CL118" s="749" t="n"/>
      <c r="CM118" s="749" t="n"/>
      <c r="CN118" s="291" t="n"/>
      <c r="CO118" s="766" t="n"/>
      <c r="CP118" s="291" t="n"/>
      <c r="CQ118" s="694" t="n"/>
    </row>
    <row r="119" ht="16.5" customHeight="1">
      <c r="B119" t="inlineStr">
        <is>
          <t>Restructuring expense</t>
        </is>
      </c>
      <c r="C119" s="743" t="n"/>
      <c r="D119" s="743" t="n"/>
      <c r="E119" s="743" t="n"/>
      <c r="F119" s="743" t="n"/>
      <c r="G119" s="868" t="n"/>
      <c r="H119" s="743" t="n"/>
      <c r="I119" s="743" t="n"/>
      <c r="J119" s="743" t="n"/>
      <c r="K119" s="743" t="n"/>
      <c r="L119" s="868" t="n"/>
      <c r="M119" s="743" t="n"/>
      <c r="N119" s="743" t="n"/>
      <c r="O119" s="743" t="n"/>
      <c r="P119" s="743" t="n"/>
      <c r="Q119" s="868" t="n"/>
      <c r="R119" s="743" t="n"/>
      <c r="S119" s="743" t="n"/>
      <c r="T119" s="743" t="n"/>
      <c r="U119" s="743" t="n"/>
      <c r="V119" s="868" t="n"/>
      <c r="W119" s="743" t="n"/>
      <c r="X119" s="743" t="n"/>
      <c r="Y119" s="743" t="n"/>
      <c r="Z119" s="743" t="n"/>
      <c r="AA119" s="868" t="n"/>
      <c r="AB119" s="743" t="n"/>
      <c r="AC119" s="743" t="n"/>
      <c r="AD119" s="743" t="n"/>
      <c r="AE119" s="743" t="n"/>
      <c r="AF119" s="868" t="n"/>
      <c r="AG119" s="743" t="n"/>
      <c r="AH119" s="743" t="n"/>
      <c r="AI119" s="743" t="n"/>
      <c r="AJ119" s="743" t="n"/>
      <c r="AK119" s="868" t="n"/>
      <c r="AL119" s="743" t="n"/>
      <c r="AM119" s="291" t="n"/>
      <c r="AN119" s="291" t="n"/>
      <c r="AO119" s="291" t="n"/>
      <c r="AP119" s="868" t="n"/>
      <c r="AQ119" s="291" t="n"/>
      <c r="AR119" s="291" t="n"/>
      <c r="AS119" s="291" t="n"/>
      <c r="AT119" s="291" t="n"/>
      <c r="AU119" s="868" t="n"/>
      <c r="AV119" s="291" t="n"/>
      <c r="AW119" s="291" t="n"/>
      <c r="AX119" s="291" t="n"/>
      <c r="AY119" s="291" t="n"/>
      <c r="AZ119" s="868" t="n"/>
      <c r="BA119" s="291" t="n"/>
      <c r="BB119" s="291" t="n"/>
      <c r="BC119" s="291" t="n"/>
      <c r="BD119" s="291" t="n"/>
      <c r="BE119" s="868" t="n"/>
      <c r="BF119" s="291" t="n"/>
      <c r="BG119" s="291" t="n"/>
      <c r="BH119" s="743" t="n"/>
      <c r="BI119" s="743" t="n"/>
      <c r="BJ119" s="864" t="n"/>
      <c r="BK119" s="291" t="n"/>
      <c r="BL119" s="743" t="n"/>
      <c r="BM119" s="743" t="n"/>
      <c r="BN119" s="743" t="n"/>
      <c r="BO119" s="864" t="n"/>
      <c r="BP119" s="743" t="n"/>
      <c r="BQ119" s="743" t="n"/>
      <c r="BR119" s="743" t="n"/>
      <c r="BS119" s="743" t="n"/>
      <c r="BT119" s="864" t="n"/>
      <c r="BU119" s="743" t="n"/>
      <c r="BV119" s="743" t="n"/>
      <c r="BW119" s="743" t="n"/>
      <c r="BX119" s="743" t="n"/>
      <c r="BY119" s="864" t="n"/>
      <c r="BZ119" s="743" t="n"/>
      <c r="CA119" s="743" t="n"/>
      <c r="CB119" s="743" t="n"/>
      <c r="CC119" s="743" t="n"/>
      <c r="CD119" s="864" t="n"/>
      <c r="CE119" s="743" t="n"/>
      <c r="CF119" s="743" t="n"/>
      <c r="CG119" s="291" t="n"/>
      <c r="CH119" s="291" t="n"/>
      <c r="CI119" s="749" t="n"/>
      <c r="CJ119" s="774" t="n"/>
      <c r="CK119" s="774" t="n"/>
      <c r="CL119" s="774" t="n"/>
      <c r="CM119" s="774" t="n"/>
      <c r="CN119" s="291" t="n"/>
      <c r="CO119" s="766" t="n"/>
      <c r="CP119" s="291" t="n"/>
      <c r="CQ119" s="694" t="n"/>
    </row>
    <row r="120" ht="16.5" customHeight="1">
      <c r="B120" t="inlineStr">
        <is>
          <t xml:space="preserve">  Inventory write-down</t>
        </is>
      </c>
      <c r="C120" s="743" t="n"/>
      <c r="D120" s="743" t="n"/>
      <c r="E120" s="743" t="n"/>
      <c r="F120" s="743" t="n"/>
      <c r="G120" s="868" t="n"/>
      <c r="H120" s="743" t="n"/>
      <c r="I120" s="743" t="n"/>
      <c r="J120" s="743" t="n"/>
      <c r="K120" s="743" t="n"/>
      <c r="L120" s="868" t="n"/>
      <c r="M120" s="743" t="n"/>
      <c r="N120" s="743" t="n"/>
      <c r="O120" s="743" t="n"/>
      <c r="P120" s="743" t="n"/>
      <c r="Q120" s="868" t="n"/>
      <c r="R120" s="743" t="n"/>
      <c r="S120" s="743" t="n"/>
      <c r="T120" s="743" t="n"/>
      <c r="U120" s="743" t="n"/>
      <c r="V120" s="868" t="n"/>
      <c r="W120" s="743" t="n"/>
      <c r="X120" s="743" t="n"/>
      <c r="Y120" s="743" t="n"/>
      <c r="Z120" s="743" t="n"/>
      <c r="AA120" s="868" t="n"/>
      <c r="AB120" s="743" t="n"/>
      <c r="AC120" s="743" t="n"/>
      <c r="AD120" s="743" t="n"/>
      <c r="AE120" s="743" t="n"/>
      <c r="AF120" s="868" t="n"/>
      <c r="AG120" s="743" t="n"/>
      <c r="AH120" s="743" t="n"/>
      <c r="AI120" s="743" t="n"/>
      <c r="AJ120" s="743" t="n"/>
      <c r="AK120" s="868" t="n"/>
      <c r="AL120" s="743" t="n"/>
      <c r="AM120" s="291" t="n"/>
      <c r="AN120" s="291" t="n"/>
      <c r="AO120" s="291" t="n"/>
      <c r="AP120" s="864" t="n"/>
      <c r="AQ120" s="291" t="n"/>
      <c r="AR120" s="291" t="n"/>
      <c r="AS120" s="291" t="n"/>
      <c r="AT120" s="291" t="n"/>
      <c r="AU120" s="864" t="n"/>
      <c r="AV120" s="291" t="n"/>
      <c r="AW120" s="291" t="n"/>
      <c r="AX120" s="291" t="n"/>
      <c r="AY120" s="291" t="n"/>
      <c r="AZ120" s="864" t="n"/>
      <c r="BA120" s="291" t="n"/>
      <c r="BB120" s="291" t="n"/>
      <c r="BC120" s="291" t="n"/>
      <c r="BD120" s="291" t="n"/>
      <c r="BE120" s="864" t="n"/>
      <c r="BF120" s="291" t="n"/>
      <c r="BG120" s="291" t="n"/>
      <c r="BH120" s="743" t="n"/>
      <c r="BI120" s="743" t="n"/>
      <c r="BJ120" s="864" t="n"/>
      <c r="BK120" s="743" t="n"/>
      <c r="BL120" s="743" t="n"/>
      <c r="BM120" s="743" t="n"/>
      <c r="BN120" s="743" t="n"/>
      <c r="BO120" s="864" t="n"/>
      <c r="BP120" s="743" t="n"/>
      <c r="BQ120" s="743" t="n"/>
      <c r="BR120" s="743" t="n"/>
      <c r="BS120" s="743" t="n"/>
      <c r="BT120" s="864" t="n"/>
      <c r="BU120" s="291" t="n"/>
      <c r="BV120" s="743" t="n"/>
      <c r="BW120" s="743" t="n"/>
      <c r="BX120" s="743" t="n"/>
      <c r="BY120" s="864" t="n"/>
      <c r="BZ120" s="291" t="n"/>
      <c r="CA120" s="743" t="n"/>
      <c r="CB120" s="743" t="n"/>
      <c r="CC120" s="743" t="n"/>
      <c r="CD120" s="864" t="n"/>
      <c r="CE120" s="743" t="n"/>
      <c r="CF120" s="743" t="n"/>
      <c r="CG120" s="743" t="n"/>
      <c r="CH120" s="743" t="n"/>
      <c r="CI120" s="749" t="n"/>
      <c r="CJ120" s="749" t="n"/>
      <c r="CK120" s="749" t="n"/>
      <c r="CL120" s="749" t="n"/>
      <c r="CM120" s="749" t="n"/>
      <c r="CN120" s="291" t="n"/>
      <c r="CO120" s="766" t="n"/>
      <c r="CP120" s="291" t="n"/>
      <c r="CQ120" s="693" t="n"/>
    </row>
    <row r="121" ht="16.5" customHeight="1">
      <c r="B121" t="inlineStr">
        <is>
          <t xml:space="preserve">  Asset impairment and fair value adjustment</t>
        </is>
      </c>
      <c r="C121" s="743" t="n"/>
      <c r="D121" s="743" t="n"/>
      <c r="E121" s="743" t="n"/>
      <c r="F121" s="743" t="n"/>
      <c r="G121" s="868" t="n"/>
      <c r="H121" s="743" t="n"/>
      <c r="I121" s="743" t="n"/>
      <c r="J121" s="743" t="n"/>
      <c r="K121" s="743" t="n"/>
      <c r="L121" s="868" t="n"/>
      <c r="M121" s="743" t="n"/>
      <c r="N121" s="743" t="n"/>
      <c r="O121" s="743" t="n"/>
      <c r="P121" s="743" t="n"/>
      <c r="Q121" s="868" t="n"/>
      <c r="R121" s="743" t="n"/>
      <c r="S121" s="743" t="n"/>
      <c r="T121" s="743" t="n"/>
      <c r="U121" s="743" t="n"/>
      <c r="V121" s="868" t="n"/>
      <c r="W121" s="743" t="n"/>
      <c r="X121" s="743" t="n"/>
      <c r="Y121" s="743" t="n"/>
      <c r="Z121" s="743" t="n"/>
      <c r="AA121" s="868" t="n"/>
      <c r="AB121" s="743" t="n"/>
      <c r="AC121" s="743" t="n"/>
      <c r="AD121" s="743" t="n"/>
      <c r="AE121" s="743" t="n"/>
      <c r="AF121" s="868" t="n"/>
      <c r="AG121" s="743" t="n"/>
      <c r="AH121" s="743" t="n"/>
      <c r="AI121" s="743" t="n"/>
      <c r="AJ121" s="743" t="n"/>
      <c r="AK121" s="868" t="n"/>
      <c r="AL121" s="743" t="n"/>
      <c r="AM121" s="291" t="n"/>
      <c r="AN121" s="291" t="n"/>
      <c r="AO121" s="291" t="n"/>
      <c r="AP121" s="864" t="n"/>
      <c r="AQ121" s="291" t="n"/>
      <c r="AR121" s="291" t="n"/>
      <c r="AS121" s="291" t="n"/>
      <c r="AT121" s="291" t="n"/>
      <c r="AU121" s="864" t="n"/>
      <c r="AV121" s="291" t="n"/>
      <c r="AW121" s="291" t="n"/>
      <c r="AX121" s="291" t="n"/>
      <c r="AY121" s="291" t="n"/>
      <c r="AZ121" s="864" t="n"/>
      <c r="BA121" s="291" t="n"/>
      <c r="BB121" s="291" t="n"/>
      <c r="BC121" s="291" t="n"/>
      <c r="BD121" s="291" t="n"/>
      <c r="BE121" s="864" t="n"/>
      <c r="BF121" s="291" t="n"/>
      <c r="BG121" s="291" t="n"/>
      <c r="BH121" s="743" t="n"/>
      <c r="BI121" s="743" t="n"/>
      <c r="BJ121" s="864" t="n"/>
      <c r="BK121" s="291" t="n"/>
      <c r="BL121" s="743" t="n"/>
      <c r="BM121" s="743" t="n"/>
      <c r="BN121" s="743" t="n"/>
      <c r="BO121" s="864" t="n"/>
      <c r="BP121" s="291" t="n"/>
      <c r="BQ121" s="743" t="n"/>
      <c r="BR121" s="743" t="n"/>
      <c r="BS121" s="743" t="n"/>
      <c r="BT121" s="864" t="n"/>
      <c r="BU121" s="291" t="n"/>
      <c r="BV121" s="743" t="n"/>
      <c r="BW121" s="743" t="n"/>
      <c r="BX121" s="743" t="n"/>
      <c r="BY121" s="864" t="n"/>
      <c r="BZ121" s="291" t="n"/>
      <c r="CA121" s="743" t="n"/>
      <c r="CB121" s="743" t="n"/>
      <c r="CC121" s="743" t="n"/>
      <c r="CD121" s="864" t="n"/>
      <c r="CE121" s="743" t="n"/>
      <c r="CF121" s="743" t="n"/>
      <c r="CG121" s="743" t="n"/>
      <c r="CH121" s="743" t="n"/>
      <c r="CI121" s="749" t="n"/>
      <c r="CJ121" s="749" t="n"/>
      <c r="CK121" s="749" t="n"/>
      <c r="CL121" s="749" t="n"/>
      <c r="CM121" s="749" t="n"/>
      <c r="CN121" s="291" t="n"/>
      <c r="CO121" s="766" t="n"/>
      <c r="CP121" s="291" t="n"/>
      <c r="CQ121" s="693" t="n"/>
    </row>
    <row r="122" ht="16.5" customHeight="1">
      <c r="B122" t="inlineStr">
        <is>
          <t xml:space="preserve">  Loss on sale of businesses</t>
        </is>
      </c>
      <c r="C122" s="743" t="n"/>
      <c r="D122" s="743" t="n"/>
      <c r="E122" s="743" t="n"/>
      <c r="F122" s="743" t="n"/>
      <c r="G122" s="868" t="n"/>
      <c r="H122" s="743" t="n"/>
      <c r="I122" s="743" t="n"/>
      <c r="J122" s="743" t="n"/>
      <c r="K122" s="743" t="n"/>
      <c r="L122" s="868" t="n"/>
      <c r="M122" s="743" t="n"/>
      <c r="N122" s="743" t="n"/>
      <c r="O122" s="743" t="n"/>
      <c r="P122" s="743" t="n"/>
      <c r="Q122" s="868" t="n"/>
      <c r="R122" s="743" t="n"/>
      <c r="S122" s="743" t="n"/>
      <c r="T122" s="743" t="n"/>
      <c r="U122" s="743" t="n"/>
      <c r="V122" s="868" t="n"/>
      <c r="W122" s="743" t="n"/>
      <c r="X122" s="743" t="n"/>
      <c r="Y122" s="743" t="n"/>
      <c r="Z122" s="743" t="n"/>
      <c r="AA122" s="868" t="n"/>
      <c r="AB122" s="743" t="n"/>
      <c r="AC122" s="743" t="n"/>
      <c r="AD122" s="743" t="n"/>
      <c r="AE122" s="743" t="n"/>
      <c r="AF122" s="868" t="n"/>
      <c r="AG122" s="743" t="n"/>
      <c r="AH122" s="743" t="n"/>
      <c r="AI122" s="743" t="n"/>
      <c r="AJ122" s="743" t="n"/>
      <c r="AK122" s="868" t="n"/>
      <c r="AL122" s="743" t="n"/>
      <c r="AM122" s="291" t="n"/>
      <c r="AN122" s="291" t="n"/>
      <c r="AO122" s="291" t="n"/>
      <c r="AP122" s="864" t="n"/>
      <c r="AQ122" s="291" t="n"/>
      <c r="AR122" s="291" t="n"/>
      <c r="AS122" s="291" t="n"/>
      <c r="AT122" s="291" t="n"/>
      <c r="AU122" s="864" t="n"/>
      <c r="AV122" s="291" t="n"/>
      <c r="AW122" s="291" t="n"/>
      <c r="AX122" s="291" t="n"/>
      <c r="AY122" s="291" t="n"/>
      <c r="AZ122" s="864" t="n"/>
      <c r="BA122" s="291" t="n"/>
      <c r="BB122" s="291" t="n"/>
      <c r="BC122" s="291" t="n"/>
      <c r="BD122" s="291" t="n"/>
      <c r="BE122" s="864" t="n"/>
      <c r="BF122" s="291" t="n"/>
      <c r="BG122" s="291" t="n"/>
      <c r="BH122" s="291" t="n"/>
      <c r="BI122" s="743" t="n"/>
      <c r="BJ122" s="864" t="n"/>
      <c r="BK122" s="291" t="n"/>
      <c r="BL122" s="291" t="n"/>
      <c r="BM122" s="291" t="n"/>
      <c r="BN122" s="743" t="n"/>
      <c r="BO122" s="864" t="n"/>
      <c r="BP122" s="291" t="n"/>
      <c r="BQ122" s="291" t="n"/>
      <c r="BR122" s="291" t="n"/>
      <c r="BS122" s="743" t="n"/>
      <c r="BT122" s="864" t="n"/>
      <c r="BU122" s="291" t="n"/>
      <c r="BV122" s="291" t="n"/>
      <c r="BW122" s="291" t="n"/>
      <c r="BX122" s="743" t="n"/>
      <c r="BY122" s="864" t="n"/>
      <c r="BZ122" s="291" t="n"/>
      <c r="CA122" s="291" t="n"/>
      <c r="CB122" s="291" t="n"/>
      <c r="CC122" s="743" t="n"/>
      <c r="CD122" s="864" t="n"/>
      <c r="CE122" s="743" t="n"/>
      <c r="CF122" s="743" t="n"/>
      <c r="CG122" s="743" t="n"/>
      <c r="CH122" s="743" t="n"/>
      <c r="CI122" s="749" t="n"/>
      <c r="CJ122" s="749" t="n"/>
      <c r="CK122" s="749" t="n"/>
      <c r="CL122" s="749" t="n"/>
      <c r="CM122" s="749" t="n"/>
      <c r="CN122" s="291" t="n"/>
      <c r="CO122" s="766" t="n"/>
      <c r="CP122" s="291" t="n"/>
      <c r="CQ122" s="693" t="n"/>
    </row>
    <row r="123" ht="16.5" customHeight="1">
      <c r="B123" t="inlineStr">
        <is>
          <t xml:space="preserve">  Gain on sale of buildings</t>
        </is>
      </c>
      <c r="C123" s="743" t="n"/>
      <c r="D123" s="743" t="n"/>
      <c r="E123" s="743" t="n"/>
      <c r="F123" s="743" t="n"/>
      <c r="G123" s="868" t="n"/>
      <c r="H123" s="743" t="n"/>
      <c r="I123" s="743" t="n"/>
      <c r="J123" s="743" t="n"/>
      <c r="K123" s="743" t="n"/>
      <c r="L123" s="868" t="n"/>
      <c r="M123" s="743" t="n"/>
      <c r="N123" s="743" t="n"/>
      <c r="O123" s="743" t="n"/>
      <c r="P123" s="743" t="n"/>
      <c r="Q123" s="868" t="n"/>
      <c r="R123" s="743" t="n"/>
      <c r="S123" s="743" t="n"/>
      <c r="T123" s="743" t="n"/>
      <c r="U123" s="743" t="n"/>
      <c r="V123" s="868" t="n"/>
      <c r="W123" s="743" t="n"/>
      <c r="X123" s="743" t="n"/>
      <c r="Y123" s="743" t="n"/>
      <c r="Z123" s="743" t="n"/>
      <c r="AA123" s="868" t="n"/>
      <c r="AB123" s="743" t="n"/>
      <c r="AC123" s="743" t="n"/>
      <c r="AD123" s="743" t="n"/>
      <c r="AE123" s="743" t="n"/>
      <c r="AF123" s="868" t="n"/>
      <c r="AG123" s="743" t="n"/>
      <c r="AH123" s="743" t="n"/>
      <c r="AI123" s="743" t="n"/>
      <c r="AJ123" s="743" t="n"/>
      <c r="AK123" s="868" t="n"/>
      <c r="AL123" s="743" t="n"/>
      <c r="AM123" s="291" t="n"/>
      <c r="AN123" s="291" t="n"/>
      <c r="AO123" s="291" t="n"/>
      <c r="AP123" s="864" t="n"/>
      <c r="AQ123" s="291" t="n"/>
      <c r="AR123" s="291" t="n"/>
      <c r="AS123" s="291" t="n"/>
      <c r="AT123" s="291" t="n"/>
      <c r="AU123" s="864" t="n"/>
      <c r="AV123" s="291" t="n"/>
      <c r="AW123" s="291" t="n"/>
      <c r="AX123" s="291" t="n"/>
      <c r="AY123" s="291" t="n"/>
      <c r="AZ123" s="864" t="n"/>
      <c r="BA123" s="291" t="n"/>
      <c r="BB123" s="291" t="n"/>
      <c r="BC123" s="291" t="n"/>
      <c r="BD123" s="291" t="n"/>
      <c r="BE123" s="864" t="n"/>
      <c r="BF123" s="291" t="n"/>
      <c r="BG123" s="291" t="n"/>
      <c r="BH123" s="291" t="n"/>
      <c r="BI123" s="291" t="n"/>
      <c r="BJ123" s="864" t="n"/>
      <c r="BK123" s="291" t="n"/>
      <c r="BL123" s="291" t="n"/>
      <c r="BM123" s="291" t="n"/>
      <c r="BN123" s="291" t="n"/>
      <c r="BO123" s="864" t="n"/>
      <c r="BP123" s="743" t="n"/>
      <c r="BQ123" s="743" t="n"/>
      <c r="BR123" s="743" t="n"/>
      <c r="BS123" s="743" t="n"/>
      <c r="BT123" s="864" t="n"/>
      <c r="BU123" s="743" t="n"/>
      <c r="BV123" s="743" t="n"/>
      <c r="BW123" s="743" t="n"/>
      <c r="BX123" s="743" t="n"/>
      <c r="BY123" s="864" t="n"/>
      <c r="BZ123" s="291" t="n"/>
      <c r="CA123" s="291" t="n"/>
      <c r="CB123" s="291" t="n"/>
      <c r="CC123" s="743" t="n"/>
      <c r="CD123" s="864" t="n"/>
      <c r="CE123" s="743" t="n"/>
      <c r="CF123" s="743" t="n"/>
      <c r="CG123" s="743" t="n"/>
      <c r="CH123" s="743" t="n"/>
      <c r="CI123" s="749" t="n"/>
      <c r="CJ123" s="749" t="n"/>
      <c r="CK123" s="749" t="n"/>
      <c r="CL123" s="749" t="n"/>
      <c r="CM123" s="749" t="n"/>
      <c r="CN123" s="291" t="n"/>
      <c r="CO123" s="766" t="n"/>
      <c r="CP123" s="291" t="n"/>
      <c r="CQ123" s="693" t="n"/>
    </row>
    <row r="124" ht="16.5" customHeight="1">
      <c r="B124" t="inlineStr">
        <is>
          <t xml:space="preserve">  Pension settlement</t>
        </is>
      </c>
      <c r="C124" s="743" t="n"/>
      <c r="D124" s="743" t="n"/>
      <c r="E124" s="743" t="n"/>
      <c r="F124" s="743" t="n"/>
      <c r="G124" s="868" t="n"/>
      <c r="H124" s="743" t="n"/>
      <c r="I124" s="743" t="n"/>
      <c r="J124" s="743" t="n"/>
      <c r="K124" s="743" t="n"/>
      <c r="L124" s="868" t="n"/>
      <c r="M124" s="743" t="n"/>
      <c r="N124" s="743" t="n"/>
      <c r="O124" s="743" t="n"/>
      <c r="P124" s="743" t="n"/>
      <c r="Q124" s="868" t="n"/>
      <c r="R124" s="743" t="n"/>
      <c r="S124" s="743" t="n"/>
      <c r="T124" s="743" t="n"/>
      <c r="U124" s="743" t="n"/>
      <c r="V124" s="868" t="n"/>
      <c r="W124" s="743" t="n"/>
      <c r="X124" s="743" t="n"/>
      <c r="Y124" s="743" t="n"/>
      <c r="Z124" s="743" t="n"/>
      <c r="AA124" s="868" t="n"/>
      <c r="AB124" s="743" t="n"/>
      <c r="AC124" s="743" t="n"/>
      <c r="AD124" s="743" t="n"/>
      <c r="AE124" s="743" t="n"/>
      <c r="AF124" s="868" t="n"/>
      <c r="AG124" s="743" t="n"/>
      <c r="AH124" s="743" t="n"/>
      <c r="AI124" s="743" t="n"/>
      <c r="AJ124" s="743" t="n"/>
      <c r="AK124" s="868" t="n"/>
      <c r="AL124" s="743" t="n"/>
      <c r="AM124" s="291" t="n"/>
      <c r="AN124" s="291" t="n"/>
      <c r="AO124" s="291" t="n"/>
      <c r="AP124" s="864" t="n"/>
      <c r="AQ124" s="291" t="n"/>
      <c r="AR124" s="291" t="n"/>
      <c r="AS124" s="291" t="n"/>
      <c r="AT124" s="291" t="n"/>
      <c r="AU124" s="864" t="n"/>
      <c r="AV124" s="291" t="n"/>
      <c r="AW124" s="291" t="n"/>
      <c r="AX124" s="291" t="n"/>
      <c r="AY124" s="291" t="n"/>
      <c r="AZ124" s="864" t="n"/>
      <c r="BA124" s="291" t="n"/>
      <c r="BB124" s="291" t="n"/>
      <c r="BC124" s="291" t="n"/>
      <c r="BD124" s="291" t="n"/>
      <c r="BE124" s="864" t="n"/>
      <c r="BF124" s="291" t="n"/>
      <c r="BG124" s="291" t="n"/>
      <c r="BH124" s="291" t="n"/>
      <c r="BI124" s="743" t="n"/>
      <c r="BJ124" s="864" t="n"/>
      <c r="BK124" s="291" t="n"/>
      <c r="BL124" s="291" t="n"/>
      <c r="BM124" s="291" t="n"/>
      <c r="BN124" s="743" t="n"/>
      <c r="BO124" s="864" t="n"/>
      <c r="BP124" s="291" t="n"/>
      <c r="BQ124" s="291" t="n"/>
      <c r="BR124" s="291" t="n"/>
      <c r="BS124" s="743" t="n"/>
      <c r="BT124" s="864" t="n"/>
      <c r="BU124" s="291" t="n"/>
      <c r="BV124" s="291" t="n"/>
      <c r="BW124" s="291" t="n"/>
      <c r="BX124" s="743" t="n"/>
      <c r="BY124" s="864" t="n"/>
      <c r="BZ124" s="291" t="n"/>
      <c r="CA124" s="291" t="n"/>
      <c r="CB124" s="291" t="n"/>
      <c r="CC124" s="743" t="n"/>
      <c r="CD124" s="864" t="n"/>
      <c r="CE124" s="743" t="n"/>
      <c r="CF124" s="743" t="n"/>
      <c r="CG124" s="743" t="n"/>
      <c r="CH124" s="743" t="n"/>
      <c r="CI124" s="749" t="n"/>
      <c r="CJ124" s="749" t="n"/>
      <c r="CK124" s="749" t="n"/>
      <c r="CL124" s="749" t="n"/>
      <c r="CM124" s="749" t="n"/>
      <c r="CN124" s="291" t="n"/>
      <c r="CO124" s="766" t="n"/>
      <c r="CP124" s="291" t="n"/>
      <c r="CQ124" s="693" t="n"/>
    </row>
    <row r="125" ht="16.5" customHeight="1">
      <c r="B125" t="inlineStr">
        <is>
          <t>Other operating (income) expense, net</t>
        </is>
      </c>
      <c r="C125" s="825" t="n"/>
      <c r="D125" s="825" t="n"/>
      <c r="E125" s="825" t="n"/>
      <c r="F125" s="825" t="n"/>
      <c r="G125" s="872" t="n"/>
      <c r="H125" s="825" t="n"/>
      <c r="I125" s="825" t="n"/>
      <c r="J125" s="825" t="n"/>
      <c r="K125" s="825" t="n"/>
      <c r="L125" s="872" t="n"/>
      <c r="M125" s="825" t="n"/>
      <c r="N125" s="825" t="n"/>
      <c r="O125" s="825" t="n"/>
      <c r="P125" s="825" t="n"/>
      <c r="Q125" s="872" t="n"/>
      <c r="R125" s="825" t="n"/>
      <c r="S125" s="825" t="n"/>
      <c r="T125" s="825" t="n"/>
      <c r="U125" s="825" t="n"/>
      <c r="V125" s="872" t="n"/>
      <c r="W125" s="825" t="n"/>
      <c r="X125" s="825" t="n"/>
      <c r="Y125" s="825" t="n"/>
      <c r="Z125" s="825" t="n"/>
      <c r="AA125" s="872" t="n"/>
      <c r="AB125" s="825" t="n"/>
      <c r="AC125" s="825" t="n"/>
      <c r="AD125" s="825" t="n"/>
      <c r="AE125" s="825" t="n"/>
      <c r="AF125" s="872" t="n"/>
      <c r="AG125" s="825" t="n"/>
      <c r="AH125" s="825" t="n"/>
      <c r="AI125" s="825" t="n"/>
      <c r="AJ125" s="825" t="n"/>
      <c r="AK125" s="872" t="n"/>
      <c r="AL125" s="825" t="n"/>
      <c r="AM125" s="826" t="n"/>
      <c r="AN125" s="826" t="n"/>
      <c r="AO125" s="826" t="n"/>
      <c r="AP125" s="872" t="n"/>
      <c r="AQ125" s="826" t="n"/>
      <c r="AR125" s="826" t="n"/>
      <c r="AS125" s="826" t="n"/>
      <c r="AT125" s="826" t="n"/>
      <c r="AU125" s="872" t="n"/>
      <c r="AV125" s="826" t="n"/>
      <c r="AW125" s="826" t="n"/>
      <c r="AX125" s="826" t="n"/>
      <c r="AY125" s="826" t="n"/>
      <c r="AZ125" s="872" t="n"/>
      <c r="BA125" s="826" t="n"/>
      <c r="BB125" s="826" t="n"/>
      <c r="BC125" s="826" t="n"/>
      <c r="BD125" s="826" t="n"/>
      <c r="BE125" s="878" t="n"/>
      <c r="BF125" s="825" t="n"/>
      <c r="BG125" s="825" t="n"/>
      <c r="BH125" s="825" t="n"/>
      <c r="BI125" s="825" t="n"/>
      <c r="BJ125" s="878" t="n"/>
      <c r="BK125" s="825" t="n"/>
      <c r="BL125" s="825" t="n"/>
      <c r="BM125" s="825" t="n"/>
      <c r="BN125" s="825" t="n"/>
      <c r="BO125" s="878" t="n"/>
      <c r="BP125" s="825" t="n"/>
      <c r="BQ125" s="825" t="n"/>
      <c r="BR125" s="825" t="n"/>
      <c r="BS125" s="825" t="n"/>
      <c r="BT125" s="878" t="n"/>
      <c r="BU125" s="825" t="n"/>
      <c r="BV125" s="825" t="n"/>
      <c r="BW125" s="825" t="n"/>
      <c r="BX125" s="825" t="n"/>
      <c r="BY125" s="878" t="n"/>
      <c r="BZ125" s="825" t="n"/>
      <c r="CA125" s="825" t="n"/>
      <c r="CB125" s="825" t="n"/>
      <c r="CC125" s="825" t="n"/>
      <c r="CD125" s="878" t="n"/>
      <c r="CE125" s="743" t="n"/>
      <c r="CF125" s="743" t="n"/>
      <c r="CG125" s="291" t="n"/>
      <c r="CH125" s="291" t="n"/>
      <c r="CI125" s="851" t="n"/>
      <c r="CJ125" s="861" t="n"/>
      <c r="CK125" s="861" t="n"/>
      <c r="CL125" s="861" t="n"/>
      <c r="CM125" s="861" t="n"/>
      <c r="CN125" s="291" t="n"/>
      <c r="CO125" s="766" t="n"/>
      <c r="CP125" s="291" t="n"/>
      <c r="CQ125" s="694" t="n"/>
    </row>
    <row r="126" ht="16.5" customHeight="1">
      <c r="B126" s="701" t="inlineStr">
        <is>
          <t>EBIT</t>
        </is>
      </c>
      <c r="C126" s="274" t="n"/>
      <c r="D126" s="274" t="n"/>
      <c r="E126" s="274" t="n"/>
      <c r="F126" s="274" t="n"/>
      <c r="G126" s="871">
        <f>G116-G117-G118-IFERROR(G119,0)-IFERROR(G121,0)-IFERROR(G122,0)-IFERROR(G123,0)-IFERROR(G124,0)-IFERROR(G125,0)</f>
        <v/>
      </c>
      <c r="H126" s="274" t="n"/>
      <c r="I126" s="274" t="n"/>
      <c r="J126" s="274" t="n"/>
      <c r="K126" s="274" t="n"/>
      <c r="L126" s="871">
        <f>L116-L117-L118-IFERROR(L119,0)-IFERROR(L121,0)-IFERROR(L122,0)-IFERROR(L123,0)-IFERROR(L124,0)-IFERROR(L125,0)</f>
        <v/>
      </c>
      <c r="M126" s="274" t="n"/>
      <c r="N126" s="274" t="n"/>
      <c r="O126" s="274" t="n"/>
      <c r="P126" s="274" t="n"/>
      <c r="Q126" s="871">
        <f>Q116-Q117-Q118-IFERROR(Q119,0)-IFERROR(Q121,0)-IFERROR(Q122,0)-IFERROR(Q123,0)-IFERROR(Q124,0)-IFERROR(Q125,0)</f>
        <v/>
      </c>
      <c r="R126" s="274" t="n"/>
      <c r="S126" s="274" t="n"/>
      <c r="T126" s="274" t="n"/>
      <c r="U126" s="274" t="n"/>
      <c r="V126" s="871">
        <f>V116-V117-V118-IFERROR(V119,0)-IFERROR(V121,0)-IFERROR(V122,0)-IFERROR(V123,0)-IFERROR(V124,0)-IFERROR(V125,0)</f>
        <v/>
      </c>
      <c r="W126" s="274" t="n"/>
      <c r="X126" s="274" t="n"/>
      <c r="Y126" s="274" t="n"/>
      <c r="Z126" s="274" t="n"/>
      <c r="AA126" s="871">
        <f>AA116-AA117-AA118-IFERROR(AA119,0)-IFERROR(AA121,0)-IFERROR(AA122,0)-IFERROR(AA123,0)-IFERROR(AA124,0)-IFERROR(AA125,0)</f>
        <v/>
      </c>
      <c r="AB126" s="274" t="n"/>
      <c r="AC126" s="274" t="n"/>
      <c r="AD126" s="274" t="n"/>
      <c r="AE126" s="274" t="n"/>
      <c r="AF126" s="871">
        <f>AF116-AF117-AF118-IFERROR(AF119,0)-IFERROR(AF121,0)-IFERROR(AF122,0)-IFERROR(AF123,0)-IFERROR(AF124,0)-IFERROR(AF125,0)</f>
        <v/>
      </c>
      <c r="AG126" s="274" t="n"/>
      <c r="AH126" s="274" t="n"/>
      <c r="AI126" s="274" t="n"/>
      <c r="AJ126" s="274" t="n"/>
      <c r="AK126" s="871">
        <f>AK116-AK117-AK118-IFERROR(AK119,0)-IFERROR(AK121,0)-IFERROR(AK122,0)-IFERROR(AK123,0)-IFERROR(AK124,0)-IFERROR(AK125,0)</f>
        <v/>
      </c>
      <c r="AL126" s="274" t="n"/>
      <c r="AM126" s="274" t="n"/>
      <c r="AN126" s="274" t="n"/>
      <c r="AO126" s="274" t="n"/>
      <c r="AP126" s="871">
        <f>AP116-AP117-AP118-IFERROR(AP119,0)-IFERROR(AP121,0)-IFERROR(AP122,0)-IFERROR(AP123,0)-IFERROR(AP124,0)-IFERROR(AP125,0)</f>
        <v/>
      </c>
      <c r="AQ126" s="274" t="n"/>
      <c r="AR126" s="274" t="n"/>
      <c r="AS126" s="274" t="n"/>
      <c r="AT126" s="274" t="n"/>
      <c r="AU126" s="871">
        <f>AU116-AU117-AU118-IFERROR(AU119,0)-IFERROR(AU121,0)-IFERROR(AU122,0)-IFERROR(AU123,0)-IFERROR(AU124,0)-IFERROR(AU125,0)</f>
        <v/>
      </c>
      <c r="AV126" s="274" t="n"/>
      <c r="AW126" s="274" t="n"/>
      <c r="AX126" s="274" t="n"/>
      <c r="AY126" s="274" t="n"/>
      <c r="AZ126" s="871" t="n">
        <v>382.868</v>
      </c>
      <c r="BA126" s="274" t="n"/>
      <c r="BB126" s="274" t="n"/>
      <c r="BC126" s="274" t="n"/>
      <c r="BD126" s="274" t="n"/>
      <c r="BE126" s="871" t="n">
        <v>416.567</v>
      </c>
      <c r="BF126" s="274">
        <f>BF116-BF117-BF118-IFERROR(BF119,0)-IFERROR(BF121,0)-IFERROR(BF122,0)-IFERROR(BF123,0)-IFERROR(BF124,0)-IFERROR(BF125,0)</f>
        <v/>
      </c>
      <c r="BG126" s="274">
        <f>BG116-BG117-BG118-IFERROR(BG119,0)-IFERROR(BG121,0)-IFERROR(BG122,0)-IFERROR(BG123,0)-IFERROR(BG124,0)-IFERROR(BG125,0)</f>
        <v/>
      </c>
      <c r="BH126" s="274">
        <f>BH116-BH117-BH118-IFERROR(BH119,0)-IFERROR(BH121,0)-IFERROR(BH122,0)-IFERROR(BH123,0)-IFERROR(BH124,0)-IFERROR(BH125,0)</f>
        <v/>
      </c>
      <c r="BI126" s="274">
        <f>BI116-BI117-BI118-IFERROR(BI119,0)-IFERROR(BI121,0)-IFERROR(BI122,0)-IFERROR(BI123,0)-IFERROR(BI124,0)-IFERROR(BI125,0)</f>
        <v/>
      </c>
      <c r="BJ126" s="871" t="n">
        <v>979.229</v>
      </c>
      <c r="BK126" s="274">
        <f>BK116-BK117-BK118-IFERROR(BK119,0)-IFERROR(BK121,0)-IFERROR(BK122,0)-IFERROR(BK123,0)-IFERROR(BK124,0)-IFERROR(BK125,0)</f>
        <v/>
      </c>
      <c r="BL126" s="274">
        <f>BL116-BL117-BL118-IFERROR(BL119,0)-IFERROR(BL121,0)-IFERROR(BL122,0)-IFERROR(BL123,0)-IFERROR(BL124,0)-IFERROR(BL125,0)</f>
        <v/>
      </c>
      <c r="BM126" s="274">
        <f>BM116-BM117-BM118-IFERROR(BM119,0)-IFERROR(BM121,0)-IFERROR(BM122,0)-IFERROR(BM123,0)-IFERROR(BM124,0)-IFERROR(BM125,0)</f>
        <v/>
      </c>
      <c r="BN126" s="274">
        <f>BN116-BN117-BN118-IFERROR(BN119,0)-IFERROR(BN121,0)-IFERROR(BN122,0)-IFERROR(BN123,0)-IFERROR(BN124,0)-IFERROR(BN125,0)</f>
        <v/>
      </c>
      <c r="BO126" s="871" t="n">
        <v>1146.038</v>
      </c>
      <c r="BP126" s="274">
        <f>BP116-BP117-BP118-IFERROR(BP119,0)-IFERROR(BP121,0)-IFERROR(BP122,0)-IFERROR(BP123,0)-IFERROR(BP124,0)-IFERROR(BP125,0)</f>
        <v/>
      </c>
      <c r="BQ126" s="274">
        <f>BQ116-BQ117-BQ118-IFERROR(BQ119,0)-IFERROR(BQ121,0)-IFERROR(BQ122,0)-IFERROR(BQ123,0)-IFERROR(BQ124,0)-IFERROR(BQ125,0)</f>
        <v/>
      </c>
      <c r="BR126" s="274">
        <f>BR116-BR117-BR118-IFERROR(BR119,0)-IFERROR(BR121,0)-IFERROR(BR122,0)-IFERROR(BR123,0)-IFERROR(BR124,0)-IFERROR(BR125,0)</f>
        <v/>
      </c>
      <c r="BS126" s="274">
        <f>BS116-BS117-BS118-IFERROR(BS119,0)-IFERROR(BS121,0)-IFERROR(BS122,0)-IFERROR(BS123,0)-IFERROR(BS124,0)-IFERROR(BS125,0)</f>
        <v/>
      </c>
      <c r="BT126" s="871" t="n">
        <v>757.635</v>
      </c>
      <c r="BU126" s="274">
        <f>BU116-BU117-BU118-IFERROR(BU119,0)-IFERROR(BU121,0)-IFERROR(BU122,0)-IFERROR(BU123,0)-IFERROR(BU124,0)-IFERROR(BU125,0)</f>
        <v/>
      </c>
      <c r="BV126" s="274">
        <f>BV116-BV117-BV118-IFERROR(BV119,0)-IFERROR(BV121,0)-IFERROR(BV122,0)-IFERROR(BV123,0)-IFERROR(BV124,0)-IFERROR(BV125,0)</f>
        <v/>
      </c>
      <c r="BW126" s="274">
        <f>BW116-BW117-BW118-IFERROR(BW119,0)-IFERROR(BW121,0)-IFERROR(BW122,0)-IFERROR(BW123,0)-IFERROR(BW124,0)-IFERROR(BW125,0)</f>
        <v/>
      </c>
      <c r="BX126" s="274">
        <f>BX116-BX117-BX118-IFERROR(BX119,0)-IFERROR(BX121,0)-IFERROR(BX122,0)-IFERROR(BX123,0)-IFERROR(BX124,0)-IFERROR(BX125,0)</f>
        <v/>
      </c>
      <c r="BY126" s="871" t="n">
        <v>718.962</v>
      </c>
      <c r="BZ126" s="274">
        <f>BZ116-BZ117-BZ118-IFERROR(BZ119,0)-IFERROR(BZ121,0)-IFERROR(BZ122,0)-IFERROR(BZ123,0)-IFERROR(BZ124,0)-IFERROR(BZ125,0)</f>
        <v/>
      </c>
      <c r="CA126" s="274">
        <f>CA116-CA117-CA118-IFERROR(CA119,0)-IFERROR(CA121,0)-IFERROR(CA122,0)-IFERROR(CA123,0)-IFERROR(CA124,0)-IFERROR(CA125,0)</f>
        <v/>
      </c>
      <c r="CB126" s="274">
        <f>CB116-CB117-CB118-IFERROR(CB119,0)-IFERROR(CB121,0)-IFERROR(CB122,0)-IFERROR(CB123,0)-IFERROR(CB124,0)-IFERROR(CB125,0)</f>
        <v/>
      </c>
      <c r="CC126" s="274">
        <f>CC116-CC117-CC118-IFERROR(CC119,0)-IFERROR(CC121,0)-IFERROR(CC122,0)-IFERROR(CC123,0)-IFERROR(CC124,0)-IFERROR(CC125,0)</f>
        <v/>
      </c>
      <c r="CD126" s="871" t="n">
        <v>565.316</v>
      </c>
      <c r="CE126" s="274">
        <f>CE116-CE117-CE118-IFERROR(CE119,0)-IFERROR(CE121,0)-IFERROR(CE122,0)-IFERROR(CE123,0)-IFERROR(CE124,0)-IFERROR(CE125,0)</f>
        <v/>
      </c>
      <c r="CF126" s="274">
        <f>CF116-CF117-CF118-IFERROR(CF119,0)-IFERROR(CF121,0)-IFERROR(CF122,0)-IFERROR(CF123,0)-IFERROR(CF124,0)-IFERROR(CF125,0)</f>
        <v/>
      </c>
      <c r="CG126" s="274">
        <f>CG116-CG117-CG118-IFERROR(CG119,0)-IFERROR(CG121,0)-IFERROR(CG122,0)-IFERROR(CG123,0)-IFERROR(CG124,0)-IFERROR(CG125,0)</f>
        <v/>
      </c>
      <c r="CH126" s="274">
        <f>CH116-CH117-CH118-IFERROR(CH119,0)-IFERROR(CH121,0)-IFERROR(CH122,0)-IFERROR(CH123,0)-IFERROR(CH124,0)-IFERROR(CH125,0)</f>
        <v/>
      </c>
      <c r="CI126" s="274">
        <f>CI102-60</f>
        <v/>
      </c>
      <c r="CJ126" s="274">
        <f>CJ102-60</f>
        <v/>
      </c>
      <c r="CK126" s="274">
        <f>CK102-60</f>
        <v/>
      </c>
      <c r="CL126" s="274">
        <f>CL102-60</f>
        <v/>
      </c>
      <c r="CM126" s="274">
        <f>CM102-60</f>
        <v/>
      </c>
      <c r="CN126" s="274" t="n"/>
      <c r="CO126" s="686">
        <f>(CM126/CD126)^(1/5)-1</f>
        <v/>
      </c>
      <c r="CP126" s="274" t="n"/>
      <c r="CQ126" s="694" t="n"/>
    </row>
    <row r="127" ht="16.5" customHeight="1">
      <c r="B127" t="inlineStr">
        <is>
          <t>Interest expense</t>
        </is>
      </c>
      <c r="C127" s="743" t="n"/>
      <c r="D127" s="743" t="n"/>
      <c r="E127" s="743" t="n"/>
      <c r="F127" s="743" t="n"/>
      <c r="G127" s="868" t="n"/>
      <c r="H127" s="743" t="n"/>
      <c r="I127" s="743" t="n"/>
      <c r="J127" s="743" t="n"/>
      <c r="K127" s="743" t="n"/>
      <c r="L127" s="868" t="n"/>
      <c r="M127" s="743" t="n"/>
      <c r="N127" s="743" t="n"/>
      <c r="O127" s="743" t="n"/>
      <c r="P127" s="743" t="n"/>
      <c r="Q127" s="868" t="n"/>
      <c r="R127" s="743" t="n"/>
      <c r="S127" s="743" t="n"/>
      <c r="T127" s="743" t="n"/>
      <c r="U127" s="743" t="n"/>
      <c r="V127" s="868" t="n"/>
      <c r="W127" s="743" t="n"/>
      <c r="X127" s="743" t="n"/>
      <c r="Y127" s="743" t="n"/>
      <c r="Z127" s="743" t="n"/>
      <c r="AA127" s="868" t="n"/>
      <c r="AB127" s="743" t="n"/>
      <c r="AC127" s="743" t="n"/>
      <c r="AD127" s="743" t="n"/>
      <c r="AE127" s="743" t="n"/>
      <c r="AF127" s="868" t="n"/>
      <c r="AG127" s="743" t="n"/>
      <c r="AH127" s="743" t="n"/>
      <c r="AI127" s="743" t="n"/>
      <c r="AJ127" s="743" t="n"/>
      <c r="AK127" s="868" t="n"/>
      <c r="AL127" s="743" t="n"/>
      <c r="AM127" s="291" t="n"/>
      <c r="AN127" s="291" t="n"/>
      <c r="AO127" s="291" t="n"/>
      <c r="AP127" s="868" t="n"/>
      <c r="AQ127" s="291" t="n"/>
      <c r="AR127" s="291" t="n"/>
      <c r="AS127" s="291" t="n"/>
      <c r="AT127" s="291" t="n"/>
      <c r="AU127" s="868" t="n"/>
      <c r="AV127" s="291" t="n"/>
      <c r="AW127" s="291" t="n"/>
      <c r="AX127" s="291" t="n"/>
      <c r="AY127" s="291" t="n"/>
      <c r="AZ127" s="868" t="n">
        <v>64.392</v>
      </c>
      <c r="BA127" s="291" t="n"/>
      <c r="BB127" s="291" t="n"/>
      <c r="BC127" s="291" t="n"/>
      <c r="BD127" s="291" t="n"/>
      <c r="BE127" s="868" t="n">
        <v>56.686</v>
      </c>
      <c r="BF127" s="743" t="n"/>
      <c r="BG127" s="743" t="n"/>
      <c r="BH127" s="743" t="n"/>
      <c r="BI127" s="743" t="n"/>
      <c r="BJ127" s="864" t="n">
        <v>78.145</v>
      </c>
      <c r="BK127" s="743" t="n"/>
      <c r="BL127" s="743" t="n"/>
      <c r="BM127" s="743" t="n"/>
      <c r="BN127" s="743" t="n"/>
      <c r="BO127" s="864" t="n">
        <v>82.14700000000001</v>
      </c>
      <c r="BP127" s="743" t="n"/>
      <c r="BQ127" s="743" t="n"/>
      <c r="BR127" s="743" t="n"/>
      <c r="BS127" s="743" t="n"/>
      <c r="BT127" s="864" t="n">
        <v>89.483</v>
      </c>
      <c r="BU127" s="743" t="n"/>
      <c r="BV127" s="743" t="n"/>
      <c r="BW127" s="743" t="n"/>
      <c r="BX127" s="743" t="n"/>
      <c r="BY127" s="864" t="n">
        <v>171.999</v>
      </c>
      <c r="BZ127" s="743" t="n"/>
      <c r="CA127" s="743" t="n"/>
      <c r="CB127" s="743" t="n"/>
      <c r="CC127" s="743" t="n"/>
      <c r="CD127" s="864" t="n">
        <v>162.268</v>
      </c>
      <c r="CE127" s="743" t="n"/>
      <c r="CF127" s="743" t="n"/>
      <c r="CG127" s="291">
        <f>(CI127-CE127-CF127)/2</f>
        <v/>
      </c>
      <c r="CH127" s="291">
        <f>CI127-CE127-CF127-CG127</f>
        <v/>
      </c>
      <c r="CI127" s="774">
        <f>CD127</f>
        <v/>
      </c>
      <c r="CJ127" s="774">
        <f>CD127</f>
        <v/>
      </c>
      <c r="CK127" s="774">
        <f>CD127</f>
        <v/>
      </c>
      <c r="CL127" s="774">
        <f>CD127</f>
        <v/>
      </c>
      <c r="CM127" s="774">
        <f>CD127</f>
        <v/>
      </c>
      <c r="CN127" s="291" t="n"/>
      <c r="CO127" s="766" t="n"/>
      <c r="CP127" s="291" t="n"/>
      <c r="CQ127" s="694" t="n"/>
    </row>
    <row r="128" ht="16.5" customHeight="1">
      <c r="B128" t="inlineStr">
        <is>
          <t>Interest income</t>
        </is>
      </c>
      <c r="C128" s="743" t="n"/>
      <c r="D128" s="743" t="n"/>
      <c r="E128" s="743" t="n"/>
      <c r="F128" s="743" t="n"/>
      <c r="G128" s="868" t="n"/>
      <c r="H128" s="743" t="n"/>
      <c r="I128" s="743" t="n"/>
      <c r="J128" s="743" t="n"/>
      <c r="K128" s="743" t="n"/>
      <c r="L128" s="868" t="n"/>
      <c r="M128" s="743" t="n"/>
      <c r="N128" s="743" t="n"/>
      <c r="O128" s="743" t="n"/>
      <c r="P128" s="743" t="n"/>
      <c r="Q128" s="868" t="n"/>
      <c r="R128" s="743" t="n"/>
      <c r="S128" s="743" t="n"/>
      <c r="T128" s="743" t="n"/>
      <c r="U128" s="743" t="n"/>
      <c r="V128" s="868" t="n"/>
      <c r="W128" s="743" t="n"/>
      <c r="X128" s="743" t="n"/>
      <c r="Y128" s="743" t="n"/>
      <c r="Z128" s="743" t="n"/>
      <c r="AA128" s="868" t="n"/>
      <c r="AB128" s="743" t="n"/>
      <c r="AC128" s="743" t="n"/>
      <c r="AD128" s="743" t="n"/>
      <c r="AE128" s="743" t="n"/>
      <c r="AF128" s="868" t="n"/>
      <c r="AG128" s="743" t="n"/>
      <c r="AH128" s="743" t="n"/>
      <c r="AI128" s="743" t="n"/>
      <c r="AJ128" s="743" t="n"/>
      <c r="AK128" s="868" t="n"/>
      <c r="AL128" s="743" t="n"/>
      <c r="AM128" s="291" t="n"/>
      <c r="AN128" s="291" t="n"/>
      <c r="AO128" s="291" t="n"/>
      <c r="AP128" s="864" t="n"/>
      <c r="AQ128" s="291" t="n"/>
      <c r="AR128" s="291" t="n"/>
      <c r="AS128" s="291" t="n"/>
      <c r="AT128" s="291" t="n"/>
      <c r="AU128" s="864" t="n"/>
      <c r="AV128" s="291" t="n"/>
      <c r="AW128" s="291" t="n"/>
      <c r="AX128" s="291" t="n"/>
      <c r="AY128" s="291" t="n"/>
      <c r="AZ128" s="864" t="n">
        <v>2.285</v>
      </c>
      <c r="BA128" s="291" t="n"/>
      <c r="BB128" s="291" t="n"/>
      <c r="BC128" s="291" t="n"/>
      <c r="BD128" s="291" t="n"/>
      <c r="BE128" s="868" t="n">
        <v>2.776</v>
      </c>
      <c r="BF128" s="291" t="n"/>
      <c r="BG128" s="291" t="n"/>
      <c r="BH128" s="291" t="n"/>
      <c r="BI128" s="291" t="n"/>
      <c r="BJ128" s="868" t="n">
        <v>5.127</v>
      </c>
      <c r="BK128" s="291" t="n"/>
      <c r="BL128" s="291" t="n"/>
      <c r="BM128" s="291" t="n"/>
      <c r="BN128" s="291" t="n"/>
      <c r="BO128" s="868" t="n">
        <v>1.75</v>
      </c>
      <c r="BP128" s="291" t="n"/>
      <c r="BQ128" s="291" t="n"/>
      <c r="BR128" s="291" t="n"/>
      <c r="BS128" s="291" t="n"/>
      <c r="BT128" s="868" t="n">
        <v>8.612</v>
      </c>
      <c r="BU128" s="291" t="n"/>
      <c r="BV128" s="291" t="n"/>
      <c r="BW128" s="291" t="n"/>
      <c r="BX128" s="291" t="n"/>
      <c r="BY128" s="868" t="n">
        <v>13.76</v>
      </c>
      <c r="BZ128" s="291" t="n"/>
      <c r="CA128" s="291" t="n"/>
      <c r="CB128" s="291" t="n"/>
      <c r="CC128" s="291" t="n"/>
      <c r="CD128" s="868" t="n">
        <v>2.312</v>
      </c>
      <c r="CE128" s="743" t="n"/>
      <c r="CF128" s="743" t="n"/>
      <c r="CG128" s="743" t="n"/>
      <c r="CH128" s="743" t="n"/>
      <c r="CI128" s="774" t="n"/>
      <c r="CJ128" s="774" t="n"/>
      <c r="CK128" s="774" t="n"/>
      <c r="CL128" s="774" t="n"/>
      <c r="CM128" s="774" t="n"/>
      <c r="CN128" s="291" t="n"/>
      <c r="CO128" s="766" t="n"/>
      <c r="CP128" s="291" t="n"/>
      <c r="CQ128" s="693" t="n"/>
    </row>
    <row r="129" ht="16.5" customHeight="1">
      <c r="B129" t="inlineStr">
        <is>
          <t>Other non-operating income (expense)</t>
        </is>
      </c>
      <c r="C129" s="743" t="n"/>
      <c r="D129" s="743" t="n"/>
      <c r="E129" s="743" t="n"/>
      <c r="F129" s="743" t="n"/>
      <c r="G129" s="868" t="n"/>
      <c r="H129" s="743" t="n"/>
      <c r="I129" s="743" t="n"/>
      <c r="J129" s="743" t="n"/>
      <c r="K129" s="743" t="n"/>
      <c r="L129" s="868" t="n"/>
      <c r="M129" s="743" t="n"/>
      <c r="N129" s="743" t="n"/>
      <c r="O129" s="743" t="n"/>
      <c r="P129" s="743" t="n"/>
      <c r="Q129" s="868" t="n"/>
      <c r="R129" s="743" t="n"/>
      <c r="S129" s="743" t="n"/>
      <c r="T129" s="743" t="n"/>
      <c r="U129" s="743" t="n"/>
      <c r="V129" s="868" t="n"/>
      <c r="W129" s="743" t="n"/>
      <c r="X129" s="743" t="n"/>
      <c r="Y129" s="743" t="n"/>
      <c r="Z129" s="743" t="n"/>
      <c r="AA129" s="868" t="n"/>
      <c r="AB129" s="743" t="n"/>
      <c r="AC129" s="743" t="n"/>
      <c r="AD129" s="743" t="n"/>
      <c r="AE129" s="743" t="n"/>
      <c r="AF129" s="868" t="n"/>
      <c r="AG129" s="743" t="n"/>
      <c r="AH129" s="743" t="n"/>
      <c r="AI129" s="743" t="n"/>
      <c r="AJ129" s="743" t="n"/>
      <c r="AK129" s="868" t="n"/>
      <c r="AL129" s="743" t="n"/>
      <c r="AM129" s="291" t="n"/>
      <c r="AN129" s="291" t="n"/>
      <c r="AO129" s="291" t="n"/>
      <c r="AP129" s="864" t="n"/>
      <c r="AQ129" s="291" t="n"/>
      <c r="AR129" s="291" t="n"/>
      <c r="AS129" s="291" t="n"/>
      <c r="AT129" s="291" t="n"/>
      <c r="AU129" s="864" t="n"/>
      <c r="AV129" s="291" t="n"/>
      <c r="AW129" s="291" t="n"/>
      <c r="AX129" s="291" t="n"/>
      <c r="AY129" s="291" t="n"/>
      <c r="AZ129" s="864" t="n"/>
      <c r="BA129" s="291" t="n"/>
      <c r="BB129" s="291" t="n"/>
      <c r="BC129" s="291" t="n"/>
      <c r="BD129" s="291" t="n"/>
      <c r="BE129" s="868" t="n"/>
      <c r="BF129" s="291" t="n"/>
      <c r="BG129" s="291" t="n"/>
      <c r="BH129" s="291" t="n"/>
      <c r="BI129" s="291" t="n"/>
      <c r="BJ129" s="868" t="n"/>
      <c r="BK129" s="291" t="n"/>
      <c r="BL129" s="291" t="n"/>
      <c r="BM129" s="291" t="n"/>
      <c r="BN129" s="291" t="n"/>
      <c r="BO129" s="868" t="n"/>
      <c r="BP129" s="291" t="n"/>
      <c r="BQ129" s="291" t="n"/>
      <c r="BR129" s="291" t="n"/>
      <c r="BS129" s="291" t="n"/>
      <c r="BT129" s="868" t="n"/>
      <c r="BU129" s="291" t="n"/>
      <c r="BV129" s="291" t="n"/>
      <c r="BW129" s="291" t="n"/>
      <c r="BX129" s="291" t="n"/>
      <c r="BY129" s="868" t="n"/>
      <c r="BZ129" s="291" t="n"/>
      <c r="CA129" s="291" t="n"/>
      <c r="CB129" s="291" t="n"/>
      <c r="CC129" s="291" t="n"/>
      <c r="CD129" s="868" t="n"/>
      <c r="CE129" s="743" t="n"/>
      <c r="CF129" s="743" t="n"/>
      <c r="CG129" s="743" t="n"/>
      <c r="CH129" s="743" t="n"/>
      <c r="CI129" s="774" t="n"/>
      <c r="CJ129" s="774" t="n"/>
      <c r="CK129" s="774" t="n"/>
      <c r="CL129" s="774" t="n"/>
      <c r="CM129" s="774" t="n"/>
      <c r="CN129" s="291" t="n"/>
      <c r="CO129" s="766" t="n"/>
      <c r="CP129" s="291" t="n"/>
      <c r="CQ129" s="693" t="n"/>
    </row>
    <row r="130" ht="16.5" customHeight="1">
      <c r="B130" t="inlineStr">
        <is>
          <t>Earnings before income taxes</t>
        </is>
      </c>
      <c r="C130" s="678" t="n"/>
      <c r="D130" s="678" t="n"/>
      <c r="E130" s="678" t="n"/>
      <c r="F130" s="678" t="n"/>
      <c r="G130" s="870">
        <f>G126-G127+G128+G129</f>
        <v/>
      </c>
      <c r="H130" s="678" t="n"/>
      <c r="I130" s="678" t="n"/>
      <c r="J130" s="678" t="n"/>
      <c r="K130" s="678" t="n"/>
      <c r="L130" s="870">
        <f>L126-L127+L128+L129</f>
        <v/>
      </c>
      <c r="M130" s="678" t="n"/>
      <c r="N130" s="678" t="n"/>
      <c r="O130" s="678" t="n"/>
      <c r="P130" s="678" t="n"/>
      <c r="Q130" s="870">
        <f>Q126-Q127+Q128+Q129</f>
        <v/>
      </c>
      <c r="R130" s="678" t="n"/>
      <c r="S130" s="678" t="n"/>
      <c r="T130" s="678" t="n"/>
      <c r="U130" s="678" t="n"/>
      <c r="V130" s="870">
        <f>V126-V127+V128+V129</f>
        <v/>
      </c>
      <c r="W130" s="678" t="n"/>
      <c r="X130" s="678" t="n"/>
      <c r="Y130" s="678" t="n"/>
      <c r="Z130" s="678" t="n"/>
      <c r="AA130" s="870">
        <f>AA126-AA127+AA128+AA129</f>
        <v/>
      </c>
      <c r="AB130" s="678" t="n"/>
      <c r="AC130" s="678" t="n"/>
      <c r="AD130" s="678" t="n"/>
      <c r="AE130" s="678" t="n"/>
      <c r="AF130" s="870">
        <f>AF126-AF127+AF128+AF129</f>
        <v/>
      </c>
      <c r="AG130" s="678" t="n"/>
      <c r="AH130" s="678" t="n"/>
      <c r="AI130" s="678" t="n"/>
      <c r="AJ130" s="678" t="n"/>
      <c r="AK130" s="870">
        <f>AK126-AK127+AK128+AK129</f>
        <v/>
      </c>
      <c r="AL130" s="678" t="n"/>
      <c r="AM130" s="678" t="n"/>
      <c r="AN130" s="678" t="n"/>
      <c r="AO130" s="678" t="n"/>
      <c r="AP130" s="870">
        <f>AP126-AP127+AP128+AP129</f>
        <v/>
      </c>
      <c r="AQ130" s="678" t="n"/>
      <c r="AR130" s="678" t="n"/>
      <c r="AS130" s="678" t="n"/>
      <c r="AT130" s="678" t="n"/>
      <c r="AU130" s="870">
        <f>AU126-AU127+AU128+AU129</f>
        <v/>
      </c>
      <c r="AV130" s="678" t="n"/>
      <c r="AW130" s="678" t="n"/>
      <c r="AX130" s="678" t="n"/>
      <c r="AY130" s="678" t="n"/>
      <c r="AZ130" s="870" t="n">
        <v>320.761</v>
      </c>
      <c r="BA130" s="678" t="n"/>
      <c r="BB130" s="678" t="n"/>
      <c r="BC130" s="678" t="n"/>
      <c r="BD130" s="678" t="n"/>
      <c r="BE130" s="870" t="n">
        <v>362.657</v>
      </c>
      <c r="BF130" s="775" t="n"/>
      <c r="BG130" s="775" t="n"/>
      <c r="BH130" s="775" t="n"/>
      <c r="BI130" s="775" t="n"/>
      <c r="BJ130" s="870" t="n">
        <v>906.211</v>
      </c>
      <c r="BK130" s="775" t="n"/>
      <c r="BL130" s="775" t="n"/>
      <c r="BM130" s="775" t="n"/>
      <c r="BN130" s="775" t="n"/>
      <c r="BO130" s="870" t="n">
        <v>1065.641</v>
      </c>
      <c r="BP130" s="775" t="n"/>
      <c r="BQ130" s="775" t="n"/>
      <c r="BR130" s="775" t="n"/>
      <c r="BS130" s="775" t="n"/>
      <c r="BT130" s="870" t="n">
        <v>676.764</v>
      </c>
      <c r="BU130" s="775" t="n"/>
      <c r="BV130" s="775" t="n"/>
      <c r="BW130" s="775" t="n"/>
      <c r="BX130" s="775" t="n"/>
      <c r="BY130" s="870" t="n">
        <v>560.723</v>
      </c>
      <c r="BZ130" s="775" t="n"/>
      <c r="CA130" s="775" t="n"/>
      <c r="CB130" s="775" t="n"/>
      <c r="CC130" s="775" t="n"/>
      <c r="CD130" s="870" t="n">
        <v>405.36</v>
      </c>
      <c r="CE130" s="678">
        <f>CE126-CE127+CE128+CE129</f>
        <v/>
      </c>
      <c r="CF130" s="678">
        <f>CF126-CF127+CF128+CF129</f>
        <v/>
      </c>
      <c r="CG130" s="678">
        <f>CG126-CG127+CG128+CG129</f>
        <v/>
      </c>
      <c r="CH130" s="678">
        <f>CH126-CH127+CH128+CH129</f>
        <v/>
      </c>
      <c r="CI130" s="752">
        <f>CI126-CI127+CI128+CI129</f>
        <v/>
      </c>
      <c r="CJ130" s="752">
        <f>CJ126-CJ127+CJ128+CJ129</f>
        <v/>
      </c>
      <c r="CK130" s="752">
        <f>CK126-CK127+CK128+CK129</f>
        <v/>
      </c>
      <c r="CL130" s="752">
        <f>CL126-CL127+CL128+CL129</f>
        <v/>
      </c>
      <c r="CM130" s="752">
        <f>CM126-CM127+CM128+CM129</f>
        <v/>
      </c>
      <c r="CN130" s="678" t="n"/>
      <c r="CO130" s="689" t="n"/>
      <c r="CP130" s="678" t="n"/>
      <c r="CQ130" s="693" t="n"/>
    </row>
    <row r="131" ht="16.5" customHeight="1">
      <c r="B131" t="inlineStr">
        <is>
          <t>Income tax expense</t>
        </is>
      </c>
      <c r="C131" s="743" t="n"/>
      <c r="D131" s="743" t="n"/>
      <c r="E131" s="743" t="n"/>
      <c r="F131" s="743" t="n"/>
      <c r="G131" s="868" t="n"/>
      <c r="H131" s="743" t="n"/>
      <c r="I131" s="743" t="n"/>
      <c r="J131" s="743" t="n"/>
      <c r="K131" s="743" t="n"/>
      <c r="L131" s="868" t="n"/>
      <c r="M131" s="743" t="n"/>
      <c r="N131" s="743" t="n"/>
      <c r="O131" s="743" t="n"/>
      <c r="P131" s="743" t="n"/>
      <c r="Q131" s="868" t="n"/>
      <c r="R131" s="743" t="n"/>
      <c r="S131" s="743" t="n"/>
      <c r="T131" s="743" t="n"/>
      <c r="U131" s="743" t="n"/>
      <c r="V131" s="868" t="n"/>
      <c r="W131" s="743" t="n"/>
      <c r="X131" s="743" t="n"/>
      <c r="Y131" s="743" t="n"/>
      <c r="Z131" s="743" t="n"/>
      <c r="AA131" s="868" t="n"/>
      <c r="AB131" s="743" t="n"/>
      <c r="AC131" s="743" t="n"/>
      <c r="AD131" s="743" t="n"/>
      <c r="AE131" s="743" t="n"/>
      <c r="AF131" s="868" t="n"/>
      <c r="AG131" s="743" t="n"/>
      <c r="AH131" s="743" t="n"/>
      <c r="AI131" s="743" t="n"/>
      <c r="AJ131" s="743" t="n"/>
      <c r="AK131" s="868" t="n"/>
      <c r="AL131" s="743" t="n"/>
      <c r="AM131" s="291" t="n"/>
      <c r="AN131" s="291" t="n"/>
      <c r="AO131" s="291" t="n"/>
      <c r="AP131" s="868" t="n"/>
      <c r="AQ131" s="291" t="n"/>
      <c r="AR131" s="291" t="n"/>
      <c r="AS131" s="291" t="n"/>
      <c r="AT131" s="291" t="n"/>
      <c r="AU131" s="868" t="n"/>
      <c r="AV131" s="291" t="n"/>
      <c r="AW131" s="291" t="n"/>
      <c r="AX131" s="291" t="n"/>
      <c r="AY131" s="291" t="n"/>
      <c r="AZ131" s="868" t="n">
        <v>76.536</v>
      </c>
      <c r="BA131" s="291" t="n"/>
      <c r="BB131" s="291" t="n"/>
      <c r="BC131" s="291" t="n"/>
      <c r="BD131" s="291" t="n"/>
      <c r="BE131" s="868" t="n">
        <v>86.982</v>
      </c>
      <c r="BF131" s="743" t="n"/>
      <c r="BG131" s="743" t="n"/>
      <c r="BH131" s="743" t="n"/>
      <c r="BI131" s="743" t="n"/>
      <c r="BJ131" s="864" t="n">
        <v>151.806</v>
      </c>
      <c r="BK131" s="743" t="n"/>
      <c r="BL131" s="743" t="n"/>
      <c r="BM131" s="743" t="n"/>
      <c r="BN131" s="743" t="n"/>
      <c r="BO131" s="864" t="n">
        <v>242.409</v>
      </c>
      <c r="BP131" s="743" t="n"/>
      <c r="BQ131" s="743" t="n"/>
      <c r="BR131" s="743" t="n"/>
      <c r="BS131" s="743" t="n"/>
      <c r="BT131" s="864" t="n">
        <v>171.887</v>
      </c>
      <c r="BU131" s="743" t="n"/>
      <c r="BV131" s="743" t="n"/>
      <c r="BW131" s="743" t="n"/>
      <c r="BX131" s="743" t="n"/>
      <c r="BY131" s="864" t="n">
        <v>138.239</v>
      </c>
      <c r="BZ131" s="743" t="n"/>
      <c r="CA131" s="743" t="n"/>
      <c r="CB131" s="743" t="n"/>
      <c r="CC131" s="743" t="n"/>
      <c r="CD131" s="864" t="n">
        <v>94.807</v>
      </c>
      <c r="CE131" s="743" t="n"/>
      <c r="CF131" s="743" t="n"/>
      <c r="CG131" s="291">
        <f>CG130*CI132</f>
        <v/>
      </c>
      <c r="CH131" s="291">
        <f>CI131-CE131-CF131-CG131</f>
        <v/>
      </c>
      <c r="CI131" s="749">
        <f>CI130*CI132</f>
        <v/>
      </c>
      <c r="CJ131" s="749">
        <f>CJ130*CJ132</f>
        <v/>
      </c>
      <c r="CK131" s="749">
        <f>CK130*CK132</f>
        <v/>
      </c>
      <c r="CL131" s="749">
        <f>CL130*CL132</f>
        <v/>
      </c>
      <c r="CM131" s="749">
        <f>CM130*CM132</f>
        <v/>
      </c>
      <c r="CN131" s="291" t="n"/>
      <c r="CO131" s="766" t="n"/>
      <c r="CP131" s="291" t="n"/>
      <c r="CQ131" s="694" t="n"/>
    </row>
    <row r="132" ht="16.5" customHeight="1">
      <c r="B132" s="12" t="inlineStr">
        <is>
          <t xml:space="preserve">  Effective tax rate</t>
        </is>
      </c>
      <c r="C132" s="999" t="n"/>
      <c r="D132" s="999" t="n"/>
      <c r="E132" s="999" t="n"/>
      <c r="F132" s="999" t="n"/>
      <c r="G132" s="1000">
        <f>G131/G130</f>
        <v/>
      </c>
      <c r="H132" s="999" t="n"/>
      <c r="I132" s="999" t="n"/>
      <c r="J132" s="999" t="n"/>
      <c r="K132" s="999" t="n"/>
      <c r="L132" s="1000">
        <f>L131/L130</f>
        <v/>
      </c>
      <c r="M132" s="999" t="n"/>
      <c r="N132" s="999" t="n"/>
      <c r="O132" s="999" t="n"/>
      <c r="P132" s="999" t="n"/>
      <c r="Q132" s="1000">
        <f>Q131/Q130</f>
        <v/>
      </c>
      <c r="R132" s="999" t="n"/>
      <c r="S132" s="999" t="n"/>
      <c r="T132" s="999" t="n"/>
      <c r="U132" s="999" t="n"/>
      <c r="V132" s="1000">
        <f>V131/V130</f>
        <v/>
      </c>
      <c r="W132" s="999" t="n"/>
      <c r="X132" s="999" t="n"/>
      <c r="Y132" s="999" t="n"/>
      <c r="Z132" s="999" t="n"/>
      <c r="AA132" s="1000">
        <f>AA131/AA130</f>
        <v/>
      </c>
      <c r="AB132" s="999" t="n"/>
      <c r="AC132" s="999" t="n"/>
      <c r="AD132" s="999" t="n"/>
      <c r="AE132" s="999" t="n"/>
      <c r="AF132" s="1000">
        <f>AF131/AF130</f>
        <v/>
      </c>
      <c r="AG132" s="999" t="n"/>
      <c r="AH132" s="999" t="n"/>
      <c r="AI132" s="999" t="n"/>
      <c r="AJ132" s="999" t="n"/>
      <c r="AK132" s="1000">
        <f>AK131/AK130</f>
        <v/>
      </c>
      <c r="AL132" s="999" t="n"/>
      <c r="AM132" s="999" t="n"/>
      <c r="AN132" s="999" t="n"/>
      <c r="AO132" s="999" t="n"/>
      <c r="AP132" s="1000">
        <f>AP131/AP130</f>
        <v/>
      </c>
      <c r="AQ132" s="999" t="n"/>
      <c r="AR132" s="999" t="n"/>
      <c r="AS132" s="999" t="n"/>
      <c r="AT132" s="999" t="n"/>
      <c r="AU132" s="1000">
        <f>AU131/AU130</f>
        <v/>
      </c>
      <c r="AV132" s="999" t="n"/>
      <c r="AW132" s="999" t="n"/>
      <c r="AX132" s="999" t="n"/>
      <c r="AY132" s="999" t="n"/>
      <c r="AZ132" s="1000">
        <f>AZ131/AZ130</f>
        <v/>
      </c>
      <c r="BA132" s="999" t="n"/>
      <c r="BB132" s="999" t="n"/>
      <c r="BC132" s="999" t="n"/>
      <c r="BD132" s="999" t="n"/>
      <c r="BE132" s="1000">
        <f>BE131/BE130</f>
        <v/>
      </c>
      <c r="BF132" s="999">
        <f>IFERROR(BF131/BF130,0)</f>
        <v/>
      </c>
      <c r="BG132" s="999">
        <f>IFERROR(BG131/BG130,0)</f>
        <v/>
      </c>
      <c r="BH132" s="999">
        <f>IFERROR(BH131/BH130,0)</f>
        <v/>
      </c>
      <c r="BI132" s="999">
        <f>IFERROR(BI131/BI130,0)</f>
        <v/>
      </c>
      <c r="BJ132" s="1000">
        <f>IFERROR(BJ131/BJ130,0)</f>
        <v/>
      </c>
      <c r="BK132" s="999">
        <f>IFERROR(BK131/BK130,0)</f>
        <v/>
      </c>
      <c r="BL132" s="999">
        <f>IFERROR(BL131/BL130,0)</f>
        <v/>
      </c>
      <c r="BM132" s="999">
        <f>IFERROR(BM131/BM130,0)</f>
        <v/>
      </c>
      <c r="BN132" s="999">
        <f>IFERROR(BN131/BN130,0)</f>
        <v/>
      </c>
      <c r="BO132" s="1000">
        <f>IFERROR(BO131/BO130,0)</f>
        <v/>
      </c>
      <c r="BP132" s="999">
        <f>IFERROR(BP131/BP130,0)</f>
        <v/>
      </c>
      <c r="BQ132" s="999">
        <f>IFERROR(BQ131/BQ130,0)</f>
        <v/>
      </c>
      <c r="BR132" s="999">
        <f>IFERROR(BR131/BR130,0)</f>
        <v/>
      </c>
      <c r="BS132" s="999">
        <f>IFERROR(BS131/BS130,0)</f>
        <v/>
      </c>
      <c r="BT132" s="1000">
        <f>IFERROR(BT131/BT130,0)</f>
        <v/>
      </c>
      <c r="BU132" s="999">
        <f>IFERROR(BU131/BU130,0)</f>
        <v/>
      </c>
      <c r="BV132" s="999">
        <f>IFERROR(BV131/BV130,0)</f>
        <v/>
      </c>
      <c r="BW132" s="999">
        <f>IFERROR(BW131/BW130,0)</f>
        <v/>
      </c>
      <c r="BX132" s="999">
        <f>IFERROR(BX131/BX130,0)</f>
        <v/>
      </c>
      <c r="BY132" s="1000">
        <f>IFERROR(BY131/BY130,0)</f>
        <v/>
      </c>
      <c r="BZ132" s="999">
        <f>IFERROR(BZ131/BZ130,0)</f>
        <v/>
      </c>
      <c r="CA132" s="999">
        <f>IFERROR(CA131/CA130,0)</f>
        <v/>
      </c>
      <c r="CB132" s="999">
        <f>IFERROR(CB131/CB130,0)</f>
        <v/>
      </c>
      <c r="CC132" s="999">
        <f>IFERROR(CC131/CC130,0)</f>
        <v/>
      </c>
      <c r="CD132" s="1000">
        <f>IFERROR(CD131/CD130,0)</f>
        <v/>
      </c>
      <c r="CE132" s="974">
        <f>IFERROR(CE131/CE130,0)</f>
        <v/>
      </c>
      <c r="CF132" s="974">
        <f>IFERROR(CF131/CF130,0)</f>
        <v/>
      </c>
      <c r="CG132" s="974">
        <f>CI132</f>
        <v/>
      </c>
      <c r="CH132" s="974">
        <f>IFERROR(CH131/CH130,0)</f>
        <v/>
      </c>
      <c r="CI132" s="1001" t="n">
        <v>0.24</v>
      </c>
      <c r="CJ132" s="1001" t="n">
        <v>0.24</v>
      </c>
      <c r="CK132" s="1001" t="n">
        <v>0.24</v>
      </c>
      <c r="CL132" s="1001" t="n">
        <v>0.24</v>
      </c>
      <c r="CM132" s="1001" t="n">
        <v>0.24</v>
      </c>
      <c r="CN132" s="974" t="n"/>
      <c r="CO132" s="766" t="n"/>
      <c r="CP132" s="974" t="n"/>
      <c r="CQ132" s="693" t="n"/>
    </row>
    <row r="133" ht="16.5" customHeight="1">
      <c r="B133" s="701" t="inlineStr">
        <is>
          <t>Net Earnings</t>
        </is>
      </c>
      <c r="C133" s="274" t="n"/>
      <c r="D133" s="274" t="n"/>
      <c r="E133" s="274" t="n"/>
      <c r="F133" s="274" t="n"/>
      <c r="G133" s="871">
        <f>G130-G131</f>
        <v/>
      </c>
      <c r="H133" s="274" t="n"/>
      <c r="I133" s="274" t="n"/>
      <c r="J133" s="274" t="n"/>
      <c r="K133" s="274" t="n"/>
      <c r="L133" s="871">
        <f>L130-L131</f>
        <v/>
      </c>
      <c r="M133" s="274" t="n"/>
      <c r="N133" s="274" t="n"/>
      <c r="O133" s="274" t="n"/>
      <c r="P133" s="274" t="n"/>
      <c r="Q133" s="871">
        <f>Q130-Q131</f>
        <v/>
      </c>
      <c r="R133" s="274" t="n"/>
      <c r="S133" s="274" t="n"/>
      <c r="T133" s="274" t="n"/>
      <c r="U133" s="274" t="n"/>
      <c r="V133" s="871">
        <f>V130-V131</f>
        <v/>
      </c>
      <c r="W133" s="274" t="n"/>
      <c r="X133" s="274" t="n"/>
      <c r="Y133" s="274" t="n"/>
      <c r="Z133" s="274" t="n"/>
      <c r="AA133" s="871">
        <f>AA130-AA131</f>
        <v/>
      </c>
      <c r="AB133" s="274" t="n"/>
      <c r="AC133" s="274" t="n"/>
      <c r="AD133" s="274" t="n"/>
      <c r="AE133" s="274" t="n"/>
      <c r="AF133" s="871">
        <f>AF130-AF131</f>
        <v/>
      </c>
      <c r="AG133" s="274" t="n"/>
      <c r="AH133" s="274" t="n"/>
      <c r="AI133" s="274" t="n"/>
      <c r="AJ133" s="274" t="n"/>
      <c r="AK133" s="871">
        <f>AK130-AK131</f>
        <v/>
      </c>
      <c r="AL133" s="274" t="n"/>
      <c r="AM133" s="274" t="n"/>
      <c r="AN133" s="274" t="n"/>
      <c r="AO133" s="274" t="n"/>
      <c r="AP133" s="871">
        <f>AP130-AP131</f>
        <v/>
      </c>
      <c r="AQ133" s="274" t="n"/>
      <c r="AR133" s="274" t="n"/>
      <c r="AS133" s="274" t="n"/>
      <c r="AT133" s="274" t="n"/>
      <c r="AU133" s="871">
        <f>AU130-AU131</f>
        <v/>
      </c>
      <c r="AV133" s="274" t="n"/>
      <c r="AW133" s="274" t="n"/>
      <c r="AX133" s="274" t="n"/>
      <c r="AY133" s="274" t="n"/>
      <c r="AZ133" s="871" t="n">
        <v>233.677</v>
      </c>
      <c r="BA133" s="274" t="n"/>
      <c r="BB133" s="274" t="n"/>
      <c r="BC133" s="274" t="n"/>
      <c r="BD133" s="274" t="n"/>
      <c r="BE133" s="871" t="n">
        <v>275.675</v>
      </c>
      <c r="BF133" s="274">
        <f>BF130-BF131</f>
        <v/>
      </c>
      <c r="BG133" s="274">
        <f>BG130-BG131</f>
        <v/>
      </c>
      <c r="BH133" s="274">
        <f>BH130-BH131</f>
        <v/>
      </c>
      <c r="BI133" s="274">
        <f>BI130-BI131</f>
        <v/>
      </c>
      <c r="BJ133" s="871" t="n">
        <v>754.405</v>
      </c>
      <c r="BK133" s="274">
        <f>BK130-BK131</f>
        <v/>
      </c>
      <c r="BL133" s="274">
        <f>BL130-BL131</f>
        <v/>
      </c>
      <c r="BM133" s="274">
        <f>BM130-BM131</f>
        <v/>
      </c>
      <c r="BN133" s="274">
        <f>BN130-BN131</f>
        <v/>
      </c>
      <c r="BO133" s="871" t="n">
        <v>823.232</v>
      </c>
      <c r="BP133" s="274">
        <f>BP130-BP131</f>
        <v/>
      </c>
      <c r="BQ133" s="274">
        <f>BQ130-BQ131</f>
        <v/>
      </c>
      <c r="BR133" s="274">
        <f>BR130-BR131</f>
        <v/>
      </c>
      <c r="BS133" s="274">
        <f>BS130-BS131</f>
        <v/>
      </c>
      <c r="BT133" s="871" t="n">
        <v>504.877</v>
      </c>
      <c r="BU133" s="274">
        <f>BU130-BU131</f>
        <v/>
      </c>
      <c r="BV133" s="274">
        <f>BV130-BV131</f>
        <v/>
      </c>
      <c r="BW133" s="274">
        <f>BW130-BW131</f>
        <v/>
      </c>
      <c r="BX133" s="274">
        <f>BX130-BX131</f>
        <v/>
      </c>
      <c r="BY133" s="871" t="n">
        <v>422.484</v>
      </c>
      <c r="BZ133" s="274">
        <f>BZ130-BZ131</f>
        <v/>
      </c>
      <c r="CA133" s="274">
        <f>CA130-CA131</f>
        <v/>
      </c>
      <c r="CB133" s="274">
        <f>CB130-CB131</f>
        <v/>
      </c>
      <c r="CC133" s="274">
        <f>CC130-CC131</f>
        <v/>
      </c>
      <c r="CD133" s="871" t="n">
        <v>310.553</v>
      </c>
      <c r="CE133" s="274">
        <f>CE130-CE131</f>
        <v/>
      </c>
      <c r="CF133" s="274">
        <f>CF130-CF131</f>
        <v/>
      </c>
      <c r="CG133" s="274">
        <f>CG130-CG131</f>
        <v/>
      </c>
      <c r="CH133" s="274">
        <f>CH130-CH131</f>
        <v/>
      </c>
      <c r="CI133" s="274">
        <f>CI130-CI131</f>
        <v/>
      </c>
      <c r="CJ133" s="274">
        <f>CJ130-CJ131</f>
        <v/>
      </c>
      <c r="CK133" s="274">
        <f>CK130-CK131</f>
        <v/>
      </c>
      <c r="CL133" s="274">
        <f>CL130-CL131</f>
        <v/>
      </c>
      <c r="CM133" s="274">
        <f>CM130-CM131</f>
        <v/>
      </c>
      <c r="CN133" s="274" t="n"/>
      <c r="CO133" s="686">
        <f>(CM133/CD133)^(1/5)-1</f>
        <v/>
      </c>
      <c r="CP133" s="274" t="n"/>
      <c r="CQ133" s="694" t="n"/>
    </row>
    <row r="134" ht="16.5" customHeight="1">
      <c r="C134" s="291" t="n"/>
      <c r="D134" s="291" t="n"/>
      <c r="E134" s="291" t="n"/>
      <c r="F134" s="291" t="n"/>
      <c r="G134" s="864" t="n"/>
      <c r="H134" s="291" t="n"/>
      <c r="I134" s="291" t="n"/>
      <c r="J134" s="291" t="n"/>
      <c r="K134" s="291" t="n"/>
      <c r="L134" s="864" t="n"/>
      <c r="M134" s="291" t="n"/>
      <c r="N134" s="291" t="n"/>
      <c r="O134" s="291" t="n"/>
      <c r="P134" s="291" t="n"/>
      <c r="Q134" s="864" t="n"/>
      <c r="R134" s="291" t="n"/>
      <c r="S134" s="291" t="n"/>
      <c r="T134" s="291" t="n"/>
      <c r="U134" s="291" t="n"/>
      <c r="V134" s="864" t="n"/>
      <c r="W134" s="291" t="n"/>
      <c r="X134" s="291" t="n"/>
      <c r="Y134" s="291" t="n"/>
      <c r="Z134" s="291" t="n"/>
      <c r="AA134" s="864" t="n"/>
      <c r="AB134" s="291" t="n"/>
      <c r="AC134" s="291" t="n"/>
      <c r="AD134" s="291" t="n"/>
      <c r="AE134" s="291" t="n"/>
      <c r="AF134" s="864" t="n"/>
      <c r="AG134" s="291" t="n"/>
      <c r="AH134" s="291" t="n"/>
      <c r="AI134" s="291" t="n"/>
      <c r="AJ134" s="291" t="n"/>
      <c r="AK134" s="864" t="n"/>
      <c r="AL134" s="291" t="n"/>
      <c r="AM134" s="291" t="n"/>
      <c r="AN134" s="291" t="n"/>
      <c r="AO134" s="291" t="n"/>
      <c r="AP134" s="864" t="n"/>
      <c r="AQ134" s="291" t="n"/>
      <c r="AR134" s="291" t="n"/>
      <c r="AS134" s="291" t="n"/>
      <c r="AT134" s="291" t="n"/>
      <c r="AU134" s="864" t="n"/>
      <c r="AV134" s="291" t="n"/>
      <c r="AW134" s="291" t="n"/>
      <c r="AX134" s="291" t="n"/>
      <c r="AY134" s="291" t="n"/>
      <c r="AZ134" s="864" t="n"/>
      <c r="BA134" s="291" t="n"/>
      <c r="BB134" s="291" t="n"/>
      <c r="BC134" s="291" t="n"/>
      <c r="BD134" s="291" t="n"/>
      <c r="BE134" s="864" t="n"/>
      <c r="BF134" s="291" t="n"/>
      <c r="BG134" s="291" t="n"/>
      <c r="BH134" s="291" t="n"/>
      <c r="BI134" s="291" t="n"/>
      <c r="BJ134" s="864" t="n"/>
      <c r="BK134" s="291" t="n"/>
      <c r="BL134" s="291" t="n"/>
      <c r="BM134" s="291" t="n"/>
      <c r="BN134" s="291" t="n"/>
      <c r="BO134" s="864" t="n"/>
      <c r="BP134" s="291" t="n"/>
      <c r="BQ134" s="291" t="n"/>
      <c r="BR134" s="291" t="n"/>
      <c r="BS134" s="291" t="n"/>
      <c r="BT134" s="864" t="n"/>
      <c r="BU134" s="291" t="n"/>
      <c r="BV134" s="291" t="n"/>
      <c r="BW134" s="291" t="n"/>
      <c r="BX134" s="291" t="n"/>
      <c r="BY134" s="864" t="n"/>
      <c r="BZ134" s="291" t="n"/>
      <c r="CA134" s="291" t="n"/>
      <c r="CB134" s="291" t="n"/>
      <c r="CC134" s="291" t="n"/>
      <c r="CD134" s="864" t="n"/>
      <c r="CE134" s="291" t="n"/>
      <c r="CF134" s="291" t="n"/>
      <c r="CG134" s="291" t="n"/>
      <c r="CH134" s="291" t="n"/>
      <c r="CI134" s="749" t="n"/>
      <c r="CJ134" s="749" t="n"/>
      <c r="CK134" s="749" t="n"/>
      <c r="CL134" s="749" t="n"/>
      <c r="CM134" s="749" t="n"/>
      <c r="CN134" s="291" t="n"/>
      <c r="CO134" s="766" t="n"/>
      <c r="CP134" s="291" t="n"/>
      <c r="CQ134" s="693" t="n"/>
    </row>
    <row r="135" ht="16.5" customHeight="1">
      <c r="B135" s="223" t="inlineStr">
        <is>
          <t>(Per share data)</t>
        </is>
      </c>
      <c r="C135" s="828" t="n"/>
      <c r="D135" s="828" t="n"/>
      <c r="E135" s="828" t="n"/>
      <c r="F135" s="828" t="n"/>
      <c r="G135" s="874" t="n"/>
      <c r="H135" s="828" t="n"/>
      <c r="I135" s="828" t="n"/>
      <c r="J135" s="828" t="n"/>
      <c r="K135" s="828" t="n"/>
      <c r="L135" s="874" t="n"/>
      <c r="M135" s="828" t="n"/>
      <c r="N135" s="828" t="n"/>
      <c r="O135" s="828" t="n"/>
      <c r="P135" s="828" t="n"/>
      <c r="Q135" s="874" t="n"/>
      <c r="R135" s="828" t="n"/>
      <c r="S135" s="828" t="n"/>
      <c r="T135" s="828" t="n"/>
      <c r="U135" s="828" t="n"/>
      <c r="V135" s="874" t="n"/>
      <c r="W135" s="828" t="n"/>
      <c r="X135" s="828" t="n"/>
      <c r="Y135" s="828" t="n"/>
      <c r="Z135" s="828" t="n"/>
      <c r="AA135" s="874" t="n"/>
      <c r="AB135" s="828" t="n"/>
      <c r="AC135" s="828" t="n"/>
      <c r="AD135" s="828" t="n"/>
      <c r="AE135" s="828" t="n"/>
      <c r="AF135" s="874" t="n"/>
      <c r="AG135" s="828" t="n"/>
      <c r="AH135" s="828" t="n"/>
      <c r="AI135" s="828" t="n"/>
      <c r="AJ135" s="828" t="n"/>
      <c r="AK135" s="874" t="n"/>
      <c r="AL135" s="828" t="n"/>
      <c r="AM135" s="828" t="n"/>
      <c r="AN135" s="828" t="n"/>
      <c r="AO135" s="828" t="n"/>
      <c r="AP135" s="874" t="n"/>
      <c r="AQ135" s="828" t="n"/>
      <c r="AR135" s="828" t="n"/>
      <c r="AS135" s="828" t="n"/>
      <c r="AT135" s="828" t="n"/>
      <c r="AU135" s="874" t="n"/>
      <c r="AV135" s="828" t="n"/>
      <c r="AW135" s="828" t="n"/>
      <c r="AX135" s="828" t="n"/>
      <c r="AY135" s="828" t="n"/>
      <c r="AZ135" s="874" t="n"/>
      <c r="BA135" s="828" t="n"/>
      <c r="BB135" s="828" t="n"/>
      <c r="BC135" s="828" t="n"/>
      <c r="BD135" s="828" t="n"/>
      <c r="BE135" s="874" t="n"/>
      <c r="BF135" s="828" t="n"/>
      <c r="BG135" s="828" t="n"/>
      <c r="BH135" s="828" t="n"/>
      <c r="BI135" s="828" t="n"/>
      <c r="BJ135" s="874" t="n"/>
      <c r="BK135" s="828" t="n"/>
      <c r="BL135" s="828" t="n"/>
      <c r="BM135" s="828" t="n"/>
      <c r="BN135" s="828" t="n"/>
      <c r="BO135" s="874" t="n"/>
      <c r="BP135" s="828" t="n"/>
      <c r="BQ135" s="828" t="n"/>
      <c r="BR135" s="828" t="n"/>
      <c r="BS135" s="828" t="n"/>
      <c r="BT135" s="874" t="n"/>
      <c r="BU135" s="828" t="n"/>
      <c r="BV135" s="828" t="n"/>
      <c r="BW135" s="828" t="n"/>
      <c r="BX135" s="828" t="n"/>
      <c r="BY135" s="874" t="n"/>
      <c r="BZ135" s="828" t="n"/>
      <c r="CA135" s="828" t="n"/>
      <c r="CB135" s="828" t="n"/>
      <c r="CC135" s="828" t="n"/>
      <c r="CD135" s="874" t="n"/>
      <c r="CE135" s="224" t="n"/>
      <c r="CF135" s="224" t="n"/>
      <c r="CG135" s="224" t="n"/>
      <c r="CH135" s="224" t="n"/>
      <c r="CI135" s="828" t="n"/>
      <c r="CJ135" s="828" t="n"/>
      <c r="CK135" s="828" t="n"/>
      <c r="CL135" s="828" t="n"/>
      <c r="CM135" s="828" t="n"/>
      <c r="CN135" s="224" t="n"/>
      <c r="CO135" s="684" t="n"/>
      <c r="CP135" s="224" t="n"/>
      <c r="CQ135" s="693" t="n"/>
    </row>
    <row r="136" ht="16.5" customHeight="1">
      <c r="B136" s="8" t="inlineStr">
        <is>
          <t>EPS — basic</t>
        </is>
      </c>
      <c r="C136" s="1002" t="n"/>
      <c r="D136" s="1002" t="n"/>
      <c r="E136" s="1002" t="n"/>
      <c r="F136" s="1002" t="n"/>
      <c r="G136" s="1003" t="n"/>
      <c r="H136" s="1002" t="n"/>
      <c r="I136" s="1002" t="n"/>
      <c r="J136" s="1002" t="n"/>
      <c r="K136" s="1002" t="n"/>
      <c r="L136" s="1003" t="n"/>
      <c r="M136" s="1002" t="n"/>
      <c r="N136" s="1002" t="n"/>
      <c r="O136" s="1002" t="n"/>
      <c r="P136" s="1002" t="n"/>
      <c r="Q136" s="1003" t="n"/>
      <c r="R136" s="1002" t="n"/>
      <c r="S136" s="1002" t="n"/>
      <c r="T136" s="1002" t="n"/>
      <c r="U136" s="1002" t="n"/>
      <c r="V136" s="1003" t="n"/>
      <c r="W136" s="1002" t="n"/>
      <c r="X136" s="1002" t="n"/>
      <c r="Y136" s="1002" t="n"/>
      <c r="Z136" s="1002" t="n"/>
      <c r="AA136" s="1003" t="n"/>
      <c r="AB136" s="1002" t="n"/>
      <c r="AC136" s="1002" t="n"/>
      <c r="AD136" s="1002" t="n"/>
      <c r="AE136" s="1002" t="n"/>
      <c r="AF136" s="1004">
        <f>IFERROR(AF133/AF138*1000,"")</f>
        <v/>
      </c>
      <c r="AG136" s="1002" t="n"/>
      <c r="AH136" s="1002" t="n"/>
      <c r="AI136" s="1002" t="n"/>
      <c r="AJ136" s="1002" t="n"/>
      <c r="AK136" s="1004">
        <f>IFERROR(AK133/AK138*1000,"")</f>
        <v/>
      </c>
      <c r="AL136" s="1002" t="n"/>
      <c r="AM136" s="1005" t="n"/>
      <c r="AN136" s="1005" t="n"/>
      <c r="AO136" s="1005" t="n"/>
      <c r="AP136" s="1004">
        <f>IFERROR(AP133/AP138*1000,"")</f>
        <v/>
      </c>
      <c r="AQ136" s="1005" t="n"/>
      <c r="AR136" s="1005" t="n"/>
      <c r="AS136" s="1005" t="n"/>
      <c r="AT136" s="1005" t="n"/>
      <c r="AU136" s="1004">
        <f>IFERROR(AU133/AU138*1000,"")</f>
        <v/>
      </c>
      <c r="AV136" s="1005" t="n"/>
      <c r="AW136" s="1005" t="n"/>
      <c r="AX136" s="1005" t="n"/>
      <c r="AY136" s="1005" t="n"/>
      <c r="AZ136" s="1004" t="n">
        <v>2.8</v>
      </c>
      <c r="BA136" s="1005" t="n"/>
      <c r="BB136" s="1005" t="n"/>
      <c r="BC136" s="1005" t="n"/>
      <c r="BD136" s="1005" t="n"/>
      <c r="BE136" s="1004" t="n">
        <v>3.09</v>
      </c>
      <c r="BF136" s="1005">
        <f>IFERROR(BF133/BF138*1000,"")</f>
        <v/>
      </c>
      <c r="BG136" s="1005">
        <f>IFERROR(BG133/BG138*1000,"")</f>
        <v/>
      </c>
      <c r="BH136" s="1005">
        <f>IFERROR(BH133/BH138*1000,"")</f>
        <v/>
      </c>
      <c r="BI136" s="1005">
        <f>IFERROR(BI133/BI138*1000,"")</f>
        <v/>
      </c>
      <c r="BJ136" s="1004" t="n">
        <v>8.109999999999999</v>
      </c>
      <c r="BK136" s="1005">
        <f>IFERROR(BK133/BK138*1000,"")</f>
        <v/>
      </c>
      <c r="BL136" s="1005">
        <f>IFERROR(BL133/BL138*1000,"")</f>
        <v/>
      </c>
      <c r="BM136" s="1005">
        <f>IFERROR(BM133/BM138*1000,"")</f>
        <v/>
      </c>
      <c r="BN136" s="1005">
        <f>IFERROR(BN133/BN138*1000,"")</f>
        <v/>
      </c>
      <c r="BO136" s="1004" t="n">
        <v>9.210000000000001</v>
      </c>
      <c r="BP136" s="1005">
        <f>IFERROR(BP133/BP138*1000,"")</f>
        <v/>
      </c>
      <c r="BQ136" s="1005">
        <f>IFERROR(BQ133/BQ138*1000,"")</f>
        <v/>
      </c>
      <c r="BR136" s="1005">
        <f>IFERROR(BR133/BR138*1000,"")</f>
        <v/>
      </c>
      <c r="BS136" s="1005">
        <f>IFERROR(BS133/BS138*1000,"")</f>
        <v/>
      </c>
      <c r="BT136" s="1004" t="n">
        <v>5.88</v>
      </c>
      <c r="BU136" s="1005">
        <f>IFERROR(BU133/BU138*1000,"")</f>
        <v/>
      </c>
      <c r="BV136" s="1005">
        <f>IFERROR(BV133/BV138*1000,"")</f>
        <v/>
      </c>
      <c r="BW136" s="1005">
        <f>IFERROR(BW133/BW138*1000,"")</f>
        <v/>
      </c>
      <c r="BX136" s="1005">
        <f>IFERROR(BX133/BX138*1000,"")</f>
        <v/>
      </c>
      <c r="BY136" s="1004" t="n">
        <v>5</v>
      </c>
      <c r="BZ136" s="1005">
        <f>IFERROR(BZ133/BZ138*1000,"")</f>
        <v/>
      </c>
      <c r="CA136" s="1005">
        <f>IFERROR(CA133/CA138*1000,"")</f>
        <v/>
      </c>
      <c r="CB136" s="1005">
        <f>IFERROR(CB133/CB138*1000,"")</f>
        <v/>
      </c>
      <c r="CC136" s="1005">
        <f>IFERROR(CC133/CC138*1000,"")</f>
        <v/>
      </c>
      <c r="CD136" s="1004" t="n">
        <v>3.74</v>
      </c>
      <c r="CE136" s="1005">
        <f>IFERROR(CE133/CE138*1000,"")</f>
        <v/>
      </c>
      <c r="CF136" s="1005">
        <f>IFERROR(CF133/CF138*1000,"")</f>
        <v/>
      </c>
      <c r="CG136" s="1005">
        <f>IFERROR(CG133/CG138*1000,"")</f>
        <v/>
      </c>
      <c r="CH136" s="1005">
        <f>IFERROR(CH133/CH138*1000,"")</f>
        <v/>
      </c>
      <c r="CI136" s="1006">
        <f>CI133/CI138*1000</f>
        <v/>
      </c>
      <c r="CJ136" s="1006">
        <f>CJ133/CJ138*1000</f>
        <v/>
      </c>
      <c r="CK136" s="1006">
        <f>CK133/CK138*1000</f>
        <v/>
      </c>
      <c r="CL136" s="1006">
        <f>CL133/CL138*1000</f>
        <v/>
      </c>
      <c r="CM136" s="1006">
        <f>CM133/CM138*1000</f>
        <v/>
      </c>
      <c r="CN136" s="1007" t="n"/>
      <c r="CO136" s="766" t="n"/>
      <c r="CP136" s="1007" t="n"/>
      <c r="CQ136" s="694" t="n"/>
    </row>
    <row r="137" ht="16.5" customHeight="1">
      <c r="B137" s="700" t="inlineStr">
        <is>
          <t>EPS — diluted</t>
        </is>
      </c>
      <c r="C137" s="1008" t="n"/>
      <c r="D137" s="1008" t="n"/>
      <c r="E137" s="1008" t="n"/>
      <c r="F137" s="1008" t="n"/>
      <c r="G137" s="1009" t="n"/>
      <c r="H137" s="1008" t="n"/>
      <c r="I137" s="1008" t="n"/>
      <c r="J137" s="1008" t="n"/>
      <c r="K137" s="1008" t="n"/>
      <c r="L137" s="1009" t="n"/>
      <c r="M137" s="1008" t="n"/>
      <c r="N137" s="1008" t="n"/>
      <c r="O137" s="1008" t="n"/>
      <c r="P137" s="1008" t="n"/>
      <c r="Q137" s="1009" t="n"/>
      <c r="R137" s="1008" t="n"/>
      <c r="S137" s="1008" t="n"/>
      <c r="T137" s="1008" t="n"/>
      <c r="U137" s="1008" t="n"/>
      <c r="V137" s="1009" t="n"/>
      <c r="W137" s="1008" t="n"/>
      <c r="X137" s="1008" t="n"/>
      <c r="Y137" s="1008" t="n"/>
      <c r="Z137" s="1008" t="n"/>
      <c r="AA137" s="1009" t="n"/>
      <c r="AB137" s="1008" t="n"/>
      <c r="AC137" s="1008" t="n"/>
      <c r="AD137" s="1008" t="n"/>
      <c r="AE137" s="1008" t="n"/>
      <c r="AF137" s="1010">
        <f>IFERROR(AF133/AF139*1000,"")</f>
        <v/>
      </c>
      <c r="AG137" s="1008" t="n"/>
      <c r="AH137" s="1008" t="n"/>
      <c r="AI137" s="1008" t="n"/>
      <c r="AJ137" s="1008" t="n"/>
      <c r="AK137" s="1010">
        <f>IFERROR(AK133/AK139*1000,"")</f>
        <v/>
      </c>
      <c r="AL137" s="1008" t="n"/>
      <c r="AM137" s="1011" t="n"/>
      <c r="AN137" s="1011" t="n"/>
      <c r="AO137" s="1011" t="n"/>
      <c r="AP137" s="1010">
        <f>IFERROR(AP133/AP139*1000,"")</f>
        <v/>
      </c>
      <c r="AQ137" s="1011" t="n"/>
      <c r="AR137" s="1011" t="n"/>
      <c r="AS137" s="1011" t="n"/>
      <c r="AT137" s="1011" t="n"/>
      <c r="AU137" s="1010">
        <f>IFERROR(AU133/AU139*1000,"")</f>
        <v/>
      </c>
      <c r="AV137" s="1011" t="n"/>
      <c r="AW137" s="1011" t="n"/>
      <c r="AX137" s="1011" t="n"/>
      <c r="AY137" s="1011" t="n"/>
      <c r="AZ137" s="1010" t="n">
        <v>2.74</v>
      </c>
      <c r="BA137" s="1011" t="n"/>
      <c r="BB137" s="1011" t="n"/>
      <c r="BC137" s="1011" t="n"/>
      <c r="BD137" s="1011" t="n"/>
      <c r="BE137" s="1010" t="n">
        <v>3.03</v>
      </c>
      <c r="BF137" s="1011">
        <f>IFERROR(BF133/BF139*1000,"")</f>
        <v/>
      </c>
      <c r="BG137" s="1011">
        <f>IFERROR(BG133/BG139*1000,"")</f>
        <v/>
      </c>
      <c r="BH137" s="1011">
        <f>IFERROR(BH133/BH139*1000,"")</f>
        <v/>
      </c>
      <c r="BI137" s="1011">
        <f>IFERROR(BI133/BI139*1000,"")</f>
        <v/>
      </c>
      <c r="BJ137" s="1010" t="n">
        <v>7.91</v>
      </c>
      <c r="BK137" s="1011">
        <f>IFERROR(BK133/BK139*1000,"")</f>
        <v/>
      </c>
      <c r="BL137" s="1011">
        <f>IFERROR(BL133/BL139*1000,"")</f>
        <v/>
      </c>
      <c r="BM137" s="1011">
        <f>IFERROR(BM133/BM139*1000,"")</f>
        <v/>
      </c>
      <c r="BN137" s="1011">
        <f>IFERROR(BN133/BN139*1000,"")</f>
        <v/>
      </c>
      <c r="BO137" s="1010" t="n">
        <v>9.02</v>
      </c>
      <c r="BP137" s="1011">
        <f>IFERROR(BP133/BP139*1000,"")</f>
        <v/>
      </c>
      <c r="BQ137" s="1011">
        <f>IFERROR(BQ133/BQ139*1000,"")</f>
        <v/>
      </c>
      <c r="BR137" s="1011">
        <f>IFERROR(BR133/BR139*1000,"")</f>
        <v/>
      </c>
      <c r="BS137" s="1011">
        <f>IFERROR(BS133/BS139*1000,"")</f>
        <v/>
      </c>
      <c r="BT137" s="1010" t="n">
        <v>5.8</v>
      </c>
      <c r="BU137" s="1011">
        <f>IFERROR(BU133/BU139*1000,"")</f>
        <v/>
      </c>
      <c r="BV137" s="1011">
        <f>IFERROR(BV133/BV139*1000,"")</f>
        <v/>
      </c>
      <c r="BW137" s="1011">
        <f>IFERROR(BW133/BW139*1000,"")</f>
        <v/>
      </c>
      <c r="BX137" s="1011">
        <f>IFERROR(BX133/BX139*1000,"")</f>
        <v/>
      </c>
      <c r="BY137" s="1010" t="n">
        <v>4.96</v>
      </c>
      <c r="BZ137" s="1011">
        <f>IFERROR(BZ133/BZ139*1000,"")</f>
        <v/>
      </c>
      <c r="CA137" s="1011">
        <f>IFERROR(CA133/CA139*1000,"")</f>
        <v/>
      </c>
      <c r="CB137" s="1011">
        <f>IFERROR(CB133/CB139*1000,"")</f>
        <v/>
      </c>
      <c r="CC137" s="1011">
        <f>IFERROR(CC133/CC139*1000,"")</f>
        <v/>
      </c>
      <c r="CD137" s="1010" t="n">
        <v>3.72</v>
      </c>
      <c r="CE137" s="1005">
        <f>IFERROR(CE133/CE139*1000,"")</f>
        <v/>
      </c>
      <c r="CF137" s="1005">
        <f>IFERROR(CF133/CF139*1000,"")</f>
        <v/>
      </c>
      <c r="CG137" s="1005">
        <f>IFERROR(CG133/CG139*1000,"")</f>
        <v/>
      </c>
      <c r="CH137" s="1005">
        <f>IFERROR(CH133/CH139*1000,"")</f>
        <v/>
      </c>
      <c r="CI137" s="1012">
        <f>CI133/CI139*1000</f>
        <v/>
      </c>
      <c r="CJ137" s="1012">
        <f>CJ133/CJ139*1000</f>
        <v/>
      </c>
      <c r="CK137" s="1012">
        <f>CK133/CK139*1000</f>
        <v/>
      </c>
      <c r="CL137" s="1012">
        <f>CL133/CL139*1000</f>
        <v/>
      </c>
      <c r="CM137" s="1012">
        <f>CM133/CM139*1000</f>
        <v/>
      </c>
      <c r="CN137" s="1007" t="n"/>
      <c r="CO137" s="766">
        <f>(CM137/CD137)^(1/5)-1</f>
        <v/>
      </c>
      <c r="CP137" s="1007" t="n"/>
      <c r="CQ137" s="694" t="n"/>
    </row>
    <row r="138" ht="16.5" customHeight="1">
      <c r="B138" t="inlineStr">
        <is>
          <t>Weighted avg shares — basic ('000)</t>
        </is>
      </c>
      <c r="C138" s="743" t="n"/>
      <c r="D138" s="743" t="n"/>
      <c r="E138" s="743" t="n"/>
      <c r="F138" s="743" t="n"/>
      <c r="G138" s="868" t="n"/>
      <c r="H138" s="743" t="n"/>
      <c r="I138" s="743" t="n"/>
      <c r="J138" s="743" t="n"/>
      <c r="K138" s="743" t="n"/>
      <c r="L138" s="868" t="n"/>
      <c r="M138" s="743" t="n"/>
      <c r="N138" s="743" t="n"/>
      <c r="O138" s="743" t="n"/>
      <c r="P138" s="743" t="n"/>
      <c r="Q138" s="868" t="n"/>
      <c r="R138" s="743" t="n"/>
      <c r="S138" s="743" t="n"/>
      <c r="T138" s="743" t="n"/>
      <c r="U138" s="743" t="n"/>
      <c r="V138" s="868" t="n"/>
      <c r="W138" s="743" t="n"/>
      <c r="X138" s="743" t="n"/>
      <c r="Y138" s="743" t="n"/>
      <c r="Z138" s="743" t="n"/>
      <c r="AA138" s="868" t="n"/>
      <c r="AB138" s="743" t="n"/>
      <c r="AC138" s="743" t="n"/>
      <c r="AD138" s="743" t="n"/>
      <c r="AE138" s="743" t="n"/>
      <c r="AF138" s="868" t="n"/>
      <c r="AG138" s="743" t="n"/>
      <c r="AH138" s="743" t="n"/>
      <c r="AI138" s="743" t="n"/>
      <c r="AJ138" s="743" t="n"/>
      <c r="AK138" s="868" t="n"/>
      <c r="AL138" s="743" t="n"/>
      <c r="AM138" s="743" t="n"/>
      <c r="AN138" s="743" t="n"/>
      <c r="AO138" s="743" t="n"/>
      <c r="AP138" s="868" t="n"/>
      <c r="AQ138" s="743" t="n"/>
      <c r="AR138" s="743" t="n"/>
      <c r="AS138" s="743" t="n"/>
      <c r="AT138" s="743" t="n"/>
      <c r="AU138" s="868" t="n"/>
      <c r="AV138" s="743" t="n"/>
      <c r="AW138" s="743" t="n"/>
      <c r="AX138" s="743" t="n"/>
      <c r="AY138" s="743" t="n"/>
      <c r="AZ138" s="868" t="n">
        <v>83390.145</v>
      </c>
      <c r="BA138" s="743" t="n"/>
      <c r="BB138" s="743" t="n"/>
      <c r="BC138" s="743" t="n"/>
      <c r="BD138" s="743" t="n"/>
      <c r="BE138" s="868" t="n">
        <v>89113.35400000001</v>
      </c>
      <c r="BF138" s="743" t="n"/>
      <c r="BG138" s="743" t="n"/>
      <c r="BH138" s="743" t="n"/>
      <c r="BI138" s="291">
        <f>BJ138</f>
        <v/>
      </c>
      <c r="BJ138" s="1013" t="n">
        <v>93054.245</v>
      </c>
      <c r="BK138" s="1014" t="n"/>
      <c r="BL138" s="1014" t="n"/>
      <c r="BM138" s="1014" t="n"/>
      <c r="BN138" s="1015">
        <f>BO138</f>
        <v/>
      </c>
      <c r="BO138" s="1013" t="n">
        <v>89359.58199999999</v>
      </c>
      <c r="BP138" s="1014" t="n"/>
      <c r="BQ138" s="1014" t="n"/>
      <c r="BR138" s="1014" t="n"/>
      <c r="BS138" s="1015">
        <f>BT138</f>
        <v/>
      </c>
      <c r="BT138" s="1013" t="n">
        <v>85907.746</v>
      </c>
      <c r="BU138" s="1014" t="n"/>
      <c r="BV138" s="1014" t="n"/>
      <c r="BW138" s="1014" t="n"/>
      <c r="BX138" s="1015">
        <f>BY138</f>
        <v/>
      </c>
      <c r="BY138" s="1013" t="n">
        <v>84551.576</v>
      </c>
      <c r="BZ138" s="1014" t="n"/>
      <c r="CA138" s="1014" t="n"/>
      <c r="CB138" s="1014" t="n"/>
      <c r="CC138" s="1015">
        <f>CD138</f>
        <v/>
      </c>
      <c r="CD138" s="1013" t="n">
        <v>83067.25199999999</v>
      </c>
      <c r="CE138" s="1014" t="n"/>
      <c r="CF138" s="1014" t="n"/>
      <c r="CG138" s="1015">
        <f>CF138</f>
        <v/>
      </c>
      <c r="CH138" s="1015">
        <f>CF138</f>
        <v/>
      </c>
      <c r="CI138" s="749">
        <f>CI139*0.985</f>
        <v/>
      </c>
      <c r="CJ138" s="749">
        <f>CJ139*0.985</f>
        <v/>
      </c>
      <c r="CK138" s="749">
        <f>CK139*0.985</f>
        <v/>
      </c>
      <c r="CL138" s="749">
        <f>CL139*0.985</f>
        <v/>
      </c>
      <c r="CM138" s="749">
        <f>CM139*0.985</f>
        <v/>
      </c>
      <c r="CN138" s="291" t="n"/>
      <c r="CO138" s="766" t="n"/>
      <c r="CP138" s="291" t="n"/>
      <c r="CQ138" s="693" t="n"/>
    </row>
    <row r="139" ht="16.5" customHeight="1">
      <c r="B139" t="inlineStr">
        <is>
          <t>Weighted avg shares — diluted ('000)</t>
        </is>
      </c>
      <c r="C139" s="743" t="n"/>
      <c r="D139" s="743" t="n"/>
      <c r="E139" s="743" t="n"/>
      <c r="F139" s="743" t="n"/>
      <c r="G139" s="868" t="n"/>
      <c r="H139" s="743" t="n"/>
      <c r="I139" s="743" t="n"/>
      <c r="J139" s="743" t="n"/>
      <c r="K139" s="743" t="n"/>
      <c r="L139" s="868" t="n"/>
      <c r="M139" s="743" t="n"/>
      <c r="N139" s="743" t="n"/>
      <c r="O139" s="743" t="n"/>
      <c r="P139" s="743" t="n"/>
      <c r="Q139" s="868" t="n"/>
      <c r="R139" s="743" t="n"/>
      <c r="S139" s="743" t="n"/>
      <c r="T139" s="743" t="n"/>
      <c r="U139" s="743" t="n"/>
      <c r="V139" s="868" t="n"/>
      <c r="W139" s="743" t="n"/>
      <c r="X139" s="743" t="n"/>
      <c r="Y139" s="743" t="n"/>
      <c r="Z139" s="743" t="n"/>
      <c r="AA139" s="868" t="n"/>
      <c r="AB139" s="743" t="n"/>
      <c r="AC139" s="743" t="n"/>
      <c r="AD139" s="743" t="n"/>
      <c r="AE139" s="743" t="n"/>
      <c r="AF139" s="868" t="n"/>
      <c r="AG139" s="743" t="n"/>
      <c r="AH139" s="743" t="n"/>
      <c r="AI139" s="743" t="n"/>
      <c r="AJ139" s="743" t="n"/>
      <c r="AK139" s="868" t="n"/>
      <c r="AL139" s="743" t="n"/>
      <c r="AM139" s="743" t="n"/>
      <c r="AN139" s="743" t="n"/>
      <c r="AO139" s="743" t="n"/>
      <c r="AP139" s="868" t="n"/>
      <c r="AQ139" s="743" t="n"/>
      <c r="AR139" s="743" t="n"/>
      <c r="AS139" s="743" t="n"/>
      <c r="AT139" s="743" t="n"/>
      <c r="AU139" s="868" t="n"/>
      <c r="AV139" s="743" t="n"/>
      <c r="AW139" s="743" t="n"/>
      <c r="AX139" s="743" t="n"/>
      <c r="AY139" s="743" t="n"/>
      <c r="AZ139" s="868" t="n">
        <v>85364.183</v>
      </c>
      <c r="BA139" s="743" t="n"/>
      <c r="BB139" s="743" t="n"/>
      <c r="BC139" s="743" t="n"/>
      <c r="BD139" s="743" t="n"/>
      <c r="BE139" s="868" t="n">
        <v>90934.806</v>
      </c>
      <c r="BF139" s="743" t="n"/>
      <c r="BG139" s="743" t="n"/>
      <c r="BH139" s="743" t="n"/>
      <c r="BI139" s="291">
        <f>BJ139</f>
        <v/>
      </c>
      <c r="BJ139" s="1013" t="n">
        <v>95336.023</v>
      </c>
      <c r="BK139" s="1014" t="n"/>
      <c r="BL139" s="1014" t="n"/>
      <c r="BM139" s="1014" t="n"/>
      <c r="BN139" s="1015">
        <f>BO139</f>
        <v/>
      </c>
      <c r="BO139" s="1013" t="n">
        <v>91257.679</v>
      </c>
      <c r="BP139" s="1014" t="n"/>
      <c r="BQ139" s="1014" t="n"/>
      <c r="BR139" s="1014" t="n"/>
      <c r="BS139" s="1015">
        <f>BT139</f>
        <v/>
      </c>
      <c r="BT139" s="1013" t="n">
        <v>87054.769</v>
      </c>
      <c r="BU139" s="1014" t="n"/>
      <c r="BV139" s="1014" t="n"/>
      <c r="BW139" s="1014" t="n"/>
      <c r="BX139" s="1015">
        <f>BY139</f>
        <v/>
      </c>
      <c r="BY139" s="1013" t="n">
        <v>85243.10799999999</v>
      </c>
      <c r="BZ139" s="1014" t="n"/>
      <c r="CA139" s="1014" t="n"/>
      <c r="CB139" s="1014" t="n"/>
      <c r="CC139" s="1015">
        <f>CD139</f>
        <v/>
      </c>
      <c r="CD139" s="1013" t="n">
        <v>83414.31</v>
      </c>
      <c r="CE139" s="1014" t="n"/>
      <c r="CF139" s="1014" t="n"/>
      <c r="CG139" s="1015">
        <f>CF139</f>
        <v/>
      </c>
      <c r="CH139" s="1015">
        <f>CF139</f>
        <v/>
      </c>
      <c r="CI139" s="749">
        <f>CI220</f>
        <v/>
      </c>
      <c r="CJ139" s="749">
        <f>CJ220</f>
        <v/>
      </c>
      <c r="CK139" s="749">
        <f>CK220</f>
        <v/>
      </c>
      <c r="CL139" s="749">
        <f>CL220</f>
        <v/>
      </c>
      <c r="CM139" s="749">
        <f>CM220</f>
        <v/>
      </c>
      <c r="CN139" s="291" t="n"/>
      <c r="CO139" s="766" t="n"/>
      <c r="CP139" s="291" t="n"/>
      <c r="CQ139" s="693" t="n"/>
    </row>
    <row r="140" outlineLevel="1" ht="16.5" customHeight="1">
      <c r="B140" t="inlineStr">
        <is>
          <t>Dividends declared per share</t>
        </is>
      </c>
      <c r="C140" s="1016" t="n"/>
      <c r="D140" s="1016" t="n"/>
      <c r="E140" s="1016" t="n"/>
      <c r="F140" s="1016" t="n"/>
      <c r="G140" s="1017" t="n"/>
      <c r="H140" s="1016" t="n"/>
      <c r="I140" s="1016" t="n"/>
      <c r="J140" s="1016" t="n"/>
      <c r="K140" s="1016" t="n"/>
      <c r="L140" s="1017" t="n"/>
      <c r="M140" s="1016" t="n"/>
      <c r="N140" s="1016" t="n"/>
      <c r="O140" s="1016" t="n"/>
      <c r="P140" s="1016" t="n"/>
      <c r="Q140" s="1017" t="n"/>
      <c r="R140" s="1016" t="n"/>
      <c r="S140" s="1016" t="n"/>
      <c r="T140" s="1016" t="n"/>
      <c r="U140" s="1016" t="n"/>
      <c r="V140" s="1017" t="n"/>
      <c r="W140" s="1016" t="n"/>
      <c r="X140" s="1016" t="n"/>
      <c r="Y140" s="1016" t="n"/>
      <c r="Z140" s="1016" t="n"/>
      <c r="AA140" s="1017" t="n"/>
      <c r="AB140" s="1016" t="n"/>
      <c r="AC140" s="1016" t="n"/>
      <c r="AD140" s="1016" t="n"/>
      <c r="AE140" s="1016" t="n"/>
      <c r="AF140" s="1017" t="n"/>
      <c r="AG140" s="1016" t="n"/>
      <c r="AH140" s="1016" t="n"/>
      <c r="AI140" s="1016" t="n"/>
      <c r="AJ140" s="1016" t="n"/>
      <c r="AK140" s="1017" t="n"/>
      <c r="AL140" s="1016" t="n"/>
      <c r="AM140" s="1007" t="n"/>
      <c r="AN140" s="1007" t="n"/>
      <c r="AO140" s="1007" t="n"/>
      <c r="AP140" s="1018" t="n"/>
      <c r="AQ140" s="1007" t="n"/>
      <c r="AR140" s="1007" t="n"/>
      <c r="AS140" s="1007" t="n"/>
      <c r="AT140" s="1007" t="n"/>
      <c r="AU140" s="1018" t="n"/>
      <c r="AV140" s="1007" t="n"/>
      <c r="AW140" s="1007" t="n"/>
      <c r="AX140" s="1007" t="n"/>
      <c r="AY140" s="1007" t="n"/>
      <c r="AZ140" s="1018" t="n"/>
      <c r="BA140" s="1007" t="n"/>
      <c r="BB140" s="1007" t="n"/>
      <c r="BC140" s="1007" t="n"/>
      <c r="BD140" s="1007" t="n"/>
      <c r="BE140" s="1017" t="n"/>
      <c r="BF140" s="1016" t="n"/>
      <c r="BG140" s="1016" t="n"/>
      <c r="BH140" s="1016" t="n"/>
      <c r="BI140" s="1007" t="n"/>
      <c r="BJ140" s="1017" t="n"/>
      <c r="BK140" s="1016" t="n"/>
      <c r="BL140" s="1016" t="n"/>
      <c r="BM140" s="1016" t="n"/>
      <c r="BN140" s="1007" t="n"/>
      <c r="BO140" s="1017" t="n"/>
      <c r="BP140" s="1016" t="n"/>
      <c r="BQ140" s="1016" t="n"/>
      <c r="BR140" s="1016" t="n"/>
      <c r="BS140" s="1007" t="n"/>
      <c r="BT140" s="1017" t="n"/>
      <c r="BU140" s="1016" t="n"/>
      <c r="BV140" s="1016" t="n"/>
      <c r="BW140" s="1016" t="n"/>
      <c r="BX140" s="1007" t="n"/>
      <c r="BY140" s="1017" t="n"/>
      <c r="BZ140" s="1016" t="n"/>
      <c r="CA140" s="1016" t="n"/>
      <c r="CB140" s="1016" t="n"/>
      <c r="CC140" s="1007" t="n"/>
      <c r="CD140" s="1017" t="n"/>
      <c r="CE140" s="1016" t="n"/>
      <c r="CF140" s="1016" t="n"/>
      <c r="CG140" s="1007">
        <f>CI140/4</f>
        <v/>
      </c>
      <c r="CH140" s="1007">
        <f>CI140/4</f>
        <v/>
      </c>
      <c r="CI140" s="1019" t="n"/>
      <c r="CJ140" s="1019" t="n"/>
      <c r="CK140" s="1019" t="n"/>
      <c r="CL140" s="1019" t="n"/>
      <c r="CM140" s="1019" t="n"/>
      <c r="CN140" s="1007" t="n"/>
      <c r="CO140" s="766" t="n"/>
      <c r="CP140" s="1007" t="n"/>
      <c r="CQ140" s="694" t="n"/>
    </row>
    <row r="141" outlineLevel="1" ht="16.5" customHeight="1">
      <c r="C141" s="291" t="n"/>
      <c r="D141" s="291" t="n"/>
      <c r="E141" s="291" t="n"/>
      <c r="F141" s="291" t="n"/>
      <c r="G141" s="864" t="n"/>
      <c r="H141" s="291" t="n"/>
      <c r="I141" s="291" t="n"/>
      <c r="J141" s="291" t="n"/>
      <c r="K141" s="291" t="n"/>
      <c r="L141" s="864" t="n"/>
      <c r="M141" s="291" t="n"/>
      <c r="N141" s="291" t="n"/>
      <c r="O141" s="291" t="n"/>
      <c r="P141" s="291" t="n"/>
      <c r="Q141" s="864" t="n"/>
      <c r="R141" s="291" t="n"/>
      <c r="S141" s="291" t="n"/>
      <c r="T141" s="291" t="n"/>
      <c r="U141" s="291" t="n"/>
      <c r="V141" s="864" t="n"/>
      <c r="W141" s="291" t="n"/>
      <c r="X141" s="291" t="n"/>
      <c r="Y141" s="291" t="n"/>
      <c r="Z141" s="291" t="n"/>
      <c r="AA141" s="864" t="n"/>
      <c r="AB141" s="291" t="n"/>
      <c r="AC141" s="291" t="n"/>
      <c r="AD141" s="291" t="n"/>
      <c r="AE141" s="291" t="n"/>
      <c r="AF141" s="864" t="n"/>
      <c r="AG141" s="291" t="n"/>
      <c r="AH141" s="291" t="n"/>
      <c r="AI141" s="291" t="n"/>
      <c r="AJ141" s="291" t="n"/>
      <c r="AK141" s="864" t="n"/>
      <c r="AL141" s="291" t="n"/>
      <c r="AM141" s="291" t="n"/>
      <c r="AN141" s="291" t="n"/>
      <c r="AO141" s="291" t="n"/>
      <c r="AP141" s="864" t="n"/>
      <c r="AQ141" s="291" t="n"/>
      <c r="AR141" s="291" t="n"/>
      <c r="AS141" s="291" t="n"/>
      <c r="AT141" s="291" t="n"/>
      <c r="AU141" s="864" t="n"/>
      <c r="AV141" s="291" t="n"/>
      <c r="AW141" s="291" t="n"/>
      <c r="AX141" s="291" t="n"/>
      <c r="AY141" s="291" t="n"/>
      <c r="AZ141" s="864" t="n"/>
      <c r="BA141" s="291" t="n"/>
      <c r="BB141" s="291" t="n"/>
      <c r="BC141" s="291" t="n"/>
      <c r="BD141" s="291" t="n"/>
      <c r="BE141" s="864" t="n"/>
      <c r="BF141" s="291" t="n"/>
      <c r="BG141" s="291" t="n"/>
      <c r="BH141" s="291" t="n"/>
      <c r="BI141" s="291" t="n"/>
      <c r="BJ141" s="864" t="n"/>
      <c r="BK141" s="291" t="n"/>
      <c r="BL141" s="291" t="n"/>
      <c r="BM141" s="291" t="n"/>
      <c r="BN141" s="291" t="n"/>
      <c r="BO141" s="864" t="n"/>
      <c r="BP141" s="291" t="n"/>
      <c r="BQ141" s="291" t="n"/>
      <c r="BR141" s="291" t="n"/>
      <c r="BS141" s="291" t="n"/>
      <c r="BT141" s="864" t="n"/>
      <c r="BU141" s="291" t="n"/>
      <c r="BV141" s="291" t="n"/>
      <c r="BW141" s="291" t="n"/>
      <c r="BX141" s="291" t="n"/>
      <c r="BY141" s="864" t="n"/>
      <c r="BZ141" s="291" t="n"/>
      <c r="CA141" s="291" t="n"/>
      <c r="CB141" s="291" t="n"/>
      <c r="CC141" s="291" t="n"/>
      <c r="CD141" s="864" t="n"/>
      <c r="CE141" s="291" t="n"/>
      <c r="CF141" s="291" t="n"/>
      <c r="CG141" s="291" t="n"/>
      <c r="CH141" s="291" t="n"/>
      <c r="CI141" s="749" t="n"/>
      <c r="CJ141" s="749" t="n"/>
      <c r="CK141" s="749" t="n"/>
      <c r="CL141" s="749" t="n"/>
      <c r="CM141" s="749" t="n"/>
      <c r="CN141" s="291" t="n"/>
      <c r="CO141" s="766" t="n"/>
      <c r="CP141" s="291" t="n"/>
      <c r="CQ141" s="693" t="n"/>
    </row>
    <row r="142" outlineLevel="1" ht="16.5" customHeight="1">
      <c r="B142" s="223" t="inlineStr">
        <is>
          <t>GAAP → Adjusted bridge (FY15–FY25)</t>
        </is>
      </c>
      <c r="C142" s="224" t="n"/>
      <c r="D142" s="224" t="n"/>
      <c r="E142" s="224" t="n"/>
      <c r="F142" s="224" t="n"/>
      <c r="G142" s="867" t="n"/>
      <c r="H142" s="224" t="n"/>
      <c r="I142" s="224" t="n"/>
      <c r="J142" s="224" t="n"/>
      <c r="K142" s="224" t="n"/>
      <c r="L142" s="867" t="n"/>
      <c r="M142" s="224" t="n"/>
      <c r="N142" s="224" t="n"/>
      <c r="O142" s="224" t="n"/>
      <c r="P142" s="224" t="n"/>
      <c r="Q142" s="867" t="n"/>
      <c r="R142" s="224" t="n"/>
      <c r="S142" s="224" t="n"/>
      <c r="T142" s="224" t="n"/>
      <c r="U142" s="224" t="n"/>
      <c r="V142" s="867" t="n"/>
      <c r="W142" s="224" t="n"/>
      <c r="X142" s="224" t="n"/>
      <c r="Y142" s="224" t="n"/>
      <c r="Z142" s="224" t="n"/>
      <c r="AA142" s="867" t="n"/>
      <c r="AB142" s="224" t="n"/>
      <c r="AC142" s="224" t="n"/>
      <c r="AD142" s="224" t="n"/>
      <c r="AE142" s="224" t="n"/>
      <c r="AF142" s="867" t="n"/>
      <c r="AG142" s="224" t="n"/>
      <c r="AH142" s="224" t="n"/>
      <c r="AI142" s="224" t="n"/>
      <c r="AJ142" s="224" t="n"/>
      <c r="AK142" s="867" t="n"/>
      <c r="AL142" s="224" t="n"/>
      <c r="AM142" s="224" t="n"/>
      <c r="AN142" s="224" t="n"/>
      <c r="AO142" s="224" t="n"/>
      <c r="AP142" s="867" t="n"/>
      <c r="AQ142" s="224" t="n"/>
      <c r="AR142" s="224" t="n"/>
      <c r="AS142" s="224" t="n"/>
      <c r="AT142" s="224" t="n"/>
      <c r="AU142" s="867" t="n"/>
      <c r="AV142" s="224" t="n"/>
      <c r="AW142" s="224" t="n"/>
      <c r="AX142" s="224" t="n"/>
      <c r="AY142" s="224" t="n"/>
      <c r="AZ142" s="867" t="n"/>
      <c r="BA142" s="224" t="n"/>
      <c r="BB142" s="224" t="n"/>
      <c r="BC142" s="224" t="n"/>
      <c r="BD142" s="224" t="n"/>
      <c r="BE142" s="867" t="n"/>
      <c r="BF142" s="224" t="n"/>
      <c r="BG142" s="224" t="n"/>
      <c r="BH142" s="224" t="n"/>
      <c r="BI142" s="224" t="n"/>
      <c r="BJ142" s="867" t="n"/>
      <c r="BK142" s="224" t="n"/>
      <c r="BL142" s="224" t="n"/>
      <c r="BM142" s="224" t="n"/>
      <c r="BN142" s="224" t="n"/>
      <c r="BO142" s="867" t="n"/>
      <c r="BP142" s="224" t="n"/>
      <c r="BQ142" s="224" t="n"/>
      <c r="BR142" s="224" t="n"/>
      <c r="BS142" s="224" t="n"/>
      <c r="BT142" s="867" t="n"/>
      <c r="BU142" s="224" t="n"/>
      <c r="BV142" s="224" t="n"/>
      <c r="BW142" s="224" t="n"/>
      <c r="BX142" s="224" t="n"/>
      <c r="BY142" s="867" t="n"/>
      <c r="BZ142" s="224" t="n"/>
      <c r="CA142" s="224" t="n"/>
      <c r="CB142" s="224" t="n"/>
      <c r="CC142" s="224" t="n"/>
      <c r="CD142" s="867" t="n"/>
      <c r="CE142" s="224" t="n"/>
      <c r="CF142" s="224" t="n"/>
      <c r="CG142" s="224" t="n"/>
      <c r="CH142" s="224" t="n"/>
      <c r="CI142" s="224" t="n"/>
      <c r="CJ142" s="224" t="n"/>
      <c r="CK142" s="224" t="n"/>
      <c r="CL142" s="224" t="n"/>
      <c r="CM142" s="224" t="n"/>
      <c r="CN142" s="224" t="n"/>
      <c r="CO142" s="684" t="n"/>
      <c r="CP142" s="224" t="n"/>
      <c r="CQ142" s="693" t="n"/>
    </row>
    <row r="143" outlineLevel="1" ht="16.5" customHeight="1">
      <c r="B143" s="695" t="inlineStr">
        <is>
          <t>GAAP segment operating profit</t>
        </is>
      </c>
      <c r="C143" s="743" t="n"/>
      <c r="D143" s="743" t="n"/>
      <c r="E143" s="743" t="n"/>
      <c r="F143" s="743" t="n"/>
      <c r="G143" s="868" t="n"/>
      <c r="H143" s="743" t="n"/>
      <c r="I143" s="743" t="n"/>
      <c r="J143" s="743" t="n"/>
      <c r="K143" s="743" t="n"/>
      <c r="L143" s="868" t="n"/>
      <c r="M143" s="743" t="n"/>
      <c r="N143" s="743" t="n"/>
      <c r="O143" s="743" t="n"/>
      <c r="P143" s="743" t="n"/>
      <c r="Q143" s="868" t="n"/>
      <c r="R143" s="743" t="n"/>
      <c r="S143" s="743" t="n"/>
      <c r="T143" s="743" t="n"/>
      <c r="U143" s="743" t="n"/>
      <c r="V143" s="868" t="n"/>
      <c r="W143" s="743" t="n"/>
      <c r="X143" s="743" t="n"/>
      <c r="Y143" s="743" t="n"/>
      <c r="Z143" s="743" t="n"/>
      <c r="AA143" s="868" t="n"/>
      <c r="AB143" s="743" t="n"/>
      <c r="AC143" s="743" t="n"/>
      <c r="AD143" s="743" t="n"/>
      <c r="AE143" s="779" t="n"/>
      <c r="AF143" s="910" t="n"/>
      <c r="AG143" s="775" t="n"/>
      <c r="AH143" s="775" t="n"/>
      <c r="AI143" s="775" t="n"/>
      <c r="AJ143" s="780" t="n"/>
      <c r="AK143" s="910" t="n"/>
      <c r="AL143" s="775" t="n"/>
      <c r="AM143" s="678" t="n"/>
      <c r="AN143" s="678" t="n"/>
      <c r="AO143" s="678" t="n"/>
      <c r="AP143" s="870" t="n"/>
      <c r="AQ143" s="678" t="n"/>
      <c r="AR143" s="678" t="n"/>
      <c r="AS143" s="678" t="n"/>
      <c r="AT143" s="678" t="n"/>
      <c r="AU143" s="870" t="n"/>
      <c r="AV143" s="678" t="n"/>
      <c r="AW143" s="678" t="n"/>
      <c r="AX143" s="678" t="n"/>
      <c r="AY143" s="678" t="n"/>
      <c r="AZ143" s="870" t="n"/>
      <c r="BA143" s="678" t="n"/>
      <c r="BB143" s="678" t="n"/>
      <c r="BC143" s="678" t="n"/>
      <c r="BD143" s="678" t="n"/>
      <c r="BE143" s="870" t="n"/>
      <c r="BF143" s="678" t="n"/>
      <c r="BG143" s="678" t="n"/>
      <c r="BH143" s="678" t="n"/>
      <c r="BI143" s="678" t="n"/>
      <c r="BJ143" s="870" t="n"/>
      <c r="BK143" s="678" t="n"/>
      <c r="BL143" s="678" t="n"/>
      <c r="BM143" s="678" t="n"/>
      <c r="BN143" s="678" t="n"/>
      <c r="BO143" s="870" t="n"/>
      <c r="BP143" s="678" t="n"/>
      <c r="BQ143" s="678" t="n"/>
      <c r="BR143" s="678" t="n"/>
      <c r="BS143" s="678" t="n"/>
      <c r="BT143" s="870" t="n"/>
      <c r="BU143" s="678" t="n"/>
      <c r="BV143" s="678" t="n"/>
      <c r="BW143" s="678" t="n"/>
      <c r="BX143" s="678" t="n"/>
      <c r="BY143" s="1020" t="n"/>
      <c r="BZ143" s="678" t="n"/>
      <c r="CA143" s="678" t="n"/>
      <c r="CB143" s="678" t="n"/>
      <c r="CC143" s="1021" t="n"/>
      <c r="CD143" s="1020" t="n"/>
      <c r="CE143" s="993" t="n"/>
      <c r="CF143" s="993" t="n"/>
      <c r="CG143" s="993" t="n"/>
      <c r="CH143" s="993" t="n"/>
      <c r="CI143" s="752" t="n"/>
      <c r="CJ143" s="752" t="n"/>
      <c r="CK143" s="752" t="n"/>
      <c r="CL143" s="752" t="n"/>
      <c r="CM143" s="752" t="n"/>
      <c r="CN143" s="291" t="n"/>
      <c r="CO143" s="766" t="n"/>
      <c r="CP143" s="291" t="n"/>
      <c r="CQ143" s="693" t="n"/>
    </row>
    <row r="144" outlineLevel="1" ht="16.5" customHeight="1">
      <c r="B144" s="12" t="inlineStr">
        <is>
          <t xml:space="preserve">  + Program terminations</t>
        </is>
      </c>
      <c r="C144" s="743" t="n"/>
      <c r="D144" s="743" t="n"/>
      <c r="E144" s="743" t="n"/>
      <c r="F144" s="743" t="n"/>
      <c r="G144" s="868" t="n"/>
      <c r="H144" s="743" t="n"/>
      <c r="I144" s="743" t="n"/>
      <c r="J144" s="743" t="n"/>
      <c r="K144" s="743" t="n"/>
      <c r="L144" s="868" t="n"/>
      <c r="M144" s="743" t="n"/>
      <c r="N144" s="743" t="n"/>
      <c r="O144" s="743" t="n"/>
      <c r="P144" s="743" t="n"/>
      <c r="Q144" s="868" t="n"/>
      <c r="R144" s="743" t="n"/>
      <c r="S144" s="743" t="n"/>
      <c r="T144" s="743" t="n"/>
      <c r="U144" s="743" t="n"/>
      <c r="V144" s="868" t="n"/>
      <c r="W144" s="743" t="n"/>
      <c r="X144" s="743" t="n"/>
      <c r="Y144" s="743" t="n"/>
      <c r="Z144" s="743" t="n"/>
      <c r="AA144" s="868" t="n"/>
      <c r="AB144" s="743" t="n"/>
      <c r="AC144" s="743" t="n"/>
      <c r="AD144" s="743" t="n"/>
      <c r="AE144" s="743" t="n"/>
      <c r="AF144" s="979" t="n"/>
      <c r="AG144" s="743" t="n"/>
      <c r="AH144" s="743" t="n"/>
      <c r="AI144" s="743" t="n"/>
      <c r="AJ144" s="743" t="n"/>
      <c r="AK144" s="979" t="n"/>
      <c r="AL144" s="743" t="n"/>
      <c r="AM144" s="291" t="n"/>
      <c r="AN144" s="291" t="n"/>
      <c r="AO144" s="291" t="n"/>
      <c r="AP144" s="979" t="n"/>
      <c r="AQ144" s="291" t="n"/>
      <c r="AR144" s="291" t="n"/>
      <c r="AS144" s="291" t="n"/>
      <c r="AT144" s="291" t="n"/>
      <c r="AU144" s="979" t="n"/>
      <c r="AV144" s="291" t="n"/>
      <c r="AW144" s="291" t="n"/>
      <c r="AX144" s="291" t="n"/>
      <c r="AY144" s="291" t="n"/>
      <c r="AZ144" s="979" t="n"/>
      <c r="BA144" s="291" t="n"/>
      <c r="BB144" s="291" t="n"/>
      <c r="BC144" s="291" t="n"/>
      <c r="BD144" s="291" t="n"/>
      <c r="BE144" s="979" t="n"/>
      <c r="BF144" s="978" t="n"/>
      <c r="BG144" s="978" t="n"/>
      <c r="BH144" s="978" t="n"/>
      <c r="BI144" s="978" t="n"/>
      <c r="BJ144" s="979" t="n"/>
      <c r="BK144" s="978" t="n"/>
      <c r="BL144" s="978" t="n"/>
      <c r="BM144" s="978" t="n"/>
      <c r="BN144" s="978" t="n"/>
      <c r="BO144" s="979" t="n"/>
      <c r="BP144" s="978" t="n"/>
      <c r="BQ144" s="978" t="n"/>
      <c r="BR144" s="978" t="n"/>
      <c r="BS144" s="978" t="n"/>
      <c r="BT144" s="979" t="n"/>
      <c r="BU144" s="978" t="n"/>
      <c r="BV144" s="978" t="n"/>
      <c r="BW144" s="978" t="n"/>
      <c r="BX144" s="978" t="n"/>
      <c r="BY144" s="982" t="n"/>
      <c r="BZ144" s="978" t="n"/>
      <c r="CA144" s="978" t="n"/>
      <c r="CB144" s="978" t="n"/>
      <c r="CC144" s="977" t="n"/>
      <c r="CD144" s="982" t="n"/>
      <c r="CE144" s="977" t="n"/>
      <c r="CF144" s="977" t="n"/>
      <c r="CG144" s="978" t="n"/>
      <c r="CH144" s="978" t="n"/>
      <c r="CI144" s="749" t="n"/>
      <c r="CJ144" s="749" t="n"/>
      <c r="CK144" s="749" t="n"/>
      <c r="CL144" s="749" t="n"/>
      <c r="CM144" s="749" t="n"/>
      <c r="CN144" s="291" t="n"/>
      <c r="CO144" s="766" t="n"/>
      <c r="CP144" s="291" t="n"/>
      <c r="CQ144" s="693" t="n"/>
    </row>
    <row r="145" outlineLevel="1" ht="16.5" customHeight="1">
      <c r="B145" s="12" t="inlineStr">
        <is>
          <t xml:space="preserve">  + Simplification initiatives</t>
        </is>
      </c>
      <c r="C145" s="743" t="n"/>
      <c r="D145" s="743" t="n"/>
      <c r="E145" s="743" t="n"/>
      <c r="F145" s="743" t="n"/>
      <c r="G145" s="868" t="n"/>
      <c r="H145" s="743" t="n"/>
      <c r="I145" s="743" t="n"/>
      <c r="J145" s="743" t="n"/>
      <c r="K145" s="743" t="n"/>
      <c r="L145" s="868" t="n"/>
      <c r="M145" s="743" t="n"/>
      <c r="N145" s="743" t="n"/>
      <c r="O145" s="743" t="n"/>
      <c r="P145" s="743" t="n"/>
      <c r="Q145" s="868" t="n"/>
      <c r="R145" s="743" t="n"/>
      <c r="S145" s="743" t="n"/>
      <c r="T145" s="743" t="n"/>
      <c r="U145" s="743" t="n"/>
      <c r="V145" s="868" t="n"/>
      <c r="W145" s="743" t="n"/>
      <c r="X145" s="743" t="n"/>
      <c r="Y145" s="743" t="n"/>
      <c r="Z145" s="743" t="n"/>
      <c r="AA145" s="868" t="n"/>
      <c r="AB145" s="743" t="n"/>
      <c r="AC145" s="743" t="n"/>
      <c r="AD145" s="743" t="n"/>
      <c r="AE145" s="743" t="n"/>
      <c r="AF145" s="979" t="n"/>
      <c r="AG145" s="743" t="n"/>
      <c r="AH145" s="743" t="n"/>
      <c r="AI145" s="743" t="n"/>
      <c r="AJ145" s="743" t="n"/>
      <c r="AK145" s="979" t="n"/>
      <c r="AL145" s="743" t="n"/>
      <c r="AM145" s="291" t="n"/>
      <c r="AN145" s="291" t="n"/>
      <c r="AO145" s="291" t="n"/>
      <c r="AP145" s="979" t="n"/>
      <c r="AQ145" s="291" t="n"/>
      <c r="AR145" s="291" t="n"/>
      <c r="AS145" s="291" t="n"/>
      <c r="AT145" s="291" t="n"/>
      <c r="AU145" s="979" t="n"/>
      <c r="AV145" s="291" t="n"/>
      <c r="AW145" s="291" t="n"/>
      <c r="AX145" s="291" t="n"/>
      <c r="AY145" s="291" t="n"/>
      <c r="AZ145" s="979" t="n"/>
      <c r="BA145" s="291" t="n"/>
      <c r="BB145" s="291" t="n"/>
      <c r="BC145" s="291" t="n"/>
      <c r="BD145" s="291" t="n"/>
      <c r="BE145" s="979" t="n"/>
      <c r="BF145" s="978" t="n"/>
      <c r="BG145" s="978" t="n"/>
      <c r="BH145" s="978" t="n"/>
      <c r="BI145" s="978" t="n"/>
      <c r="BJ145" s="979" t="n"/>
      <c r="BK145" s="978" t="n"/>
      <c r="BL145" s="978" t="n"/>
      <c r="BM145" s="978" t="n"/>
      <c r="BN145" s="978" t="n"/>
      <c r="BO145" s="979" t="n"/>
      <c r="BP145" s="978" t="n"/>
      <c r="BQ145" s="978" t="n"/>
      <c r="BR145" s="978" t="n"/>
      <c r="BS145" s="978" t="n"/>
      <c r="BT145" s="979" t="n"/>
      <c r="BU145" s="978" t="n"/>
      <c r="BV145" s="978" t="n"/>
      <c r="BW145" s="978" t="n"/>
      <c r="BX145" s="978" t="n"/>
      <c r="BY145" s="982" t="n"/>
      <c r="BZ145" s="978" t="n"/>
      <c r="CA145" s="978" t="n"/>
      <c r="CB145" s="978" t="n"/>
      <c r="CC145" s="977" t="n"/>
      <c r="CD145" s="982" t="n"/>
      <c r="CE145" s="977" t="n"/>
      <c r="CF145" s="977" t="n"/>
      <c r="CG145" s="978" t="n"/>
      <c r="CH145" s="978" t="n"/>
      <c r="CI145" s="749" t="n"/>
      <c r="CJ145" s="749" t="n"/>
      <c r="CK145" s="749" t="n"/>
      <c r="CL145" s="749" t="n"/>
      <c r="CM145" s="749" t="n"/>
      <c r="CN145" s="291" t="n"/>
      <c r="CO145" s="766" t="n"/>
      <c r="CP145" s="291" t="n"/>
      <c r="CQ145" s="693" t="n"/>
    </row>
    <row r="146" outlineLevel="1" ht="16.5" customHeight="1">
      <c r="B146" s="12" t="inlineStr">
        <is>
          <t xml:space="preserve">  + Dispute resolution</t>
        </is>
      </c>
      <c r="C146" s="743" t="n"/>
      <c r="D146" s="743" t="n"/>
      <c r="E146" s="743" t="n"/>
      <c r="F146" s="743" t="n"/>
      <c r="G146" s="868" t="n"/>
      <c r="H146" s="743" t="n"/>
      <c r="I146" s="743" t="n"/>
      <c r="J146" s="743" t="n"/>
      <c r="K146" s="743" t="n"/>
      <c r="L146" s="868" t="n"/>
      <c r="M146" s="743" t="n"/>
      <c r="N146" s="743" t="n"/>
      <c r="O146" s="743" t="n"/>
      <c r="P146" s="743" t="n"/>
      <c r="Q146" s="868" t="n"/>
      <c r="R146" s="743" t="n"/>
      <c r="S146" s="743" t="n"/>
      <c r="T146" s="743" t="n"/>
      <c r="U146" s="743" t="n"/>
      <c r="V146" s="868" t="n"/>
      <c r="W146" s="743" t="n"/>
      <c r="X146" s="743" t="n"/>
      <c r="Y146" s="743" t="n"/>
      <c r="Z146" s="743" t="n"/>
      <c r="AA146" s="868" t="n"/>
      <c r="AB146" s="743" t="n"/>
      <c r="AC146" s="743" t="n"/>
      <c r="AD146" s="743" t="n"/>
      <c r="AE146" s="743" t="n"/>
      <c r="AF146" s="979" t="n"/>
      <c r="AG146" s="743" t="n"/>
      <c r="AH146" s="743" t="n"/>
      <c r="AI146" s="743" t="n"/>
      <c r="AJ146" s="743" t="n"/>
      <c r="AK146" s="979" t="n"/>
      <c r="AL146" s="743" t="n"/>
      <c r="AM146" s="291" t="n"/>
      <c r="AN146" s="291" t="n"/>
      <c r="AO146" s="291" t="n"/>
      <c r="AP146" s="979" t="n"/>
      <c r="AQ146" s="291" t="n"/>
      <c r="AR146" s="291" t="n"/>
      <c r="AS146" s="291" t="n"/>
      <c r="AT146" s="291" t="n"/>
      <c r="AU146" s="979" t="n"/>
      <c r="AV146" s="291" t="n"/>
      <c r="AW146" s="291" t="n"/>
      <c r="AX146" s="291" t="n"/>
      <c r="AY146" s="291" t="n"/>
      <c r="AZ146" s="979" t="n"/>
      <c r="BA146" s="291" t="n"/>
      <c r="BB146" s="291" t="n"/>
      <c r="BC146" s="291" t="n"/>
      <c r="BD146" s="291" t="n"/>
      <c r="BE146" s="979" t="n"/>
      <c r="BF146" s="978" t="n"/>
      <c r="BG146" s="978" t="n"/>
      <c r="BH146" s="978" t="n"/>
      <c r="BI146" s="978" t="n"/>
      <c r="BJ146" s="979" t="n"/>
      <c r="BK146" s="978" t="n"/>
      <c r="BL146" s="978" t="n"/>
      <c r="BM146" s="978" t="n"/>
      <c r="BN146" s="978" t="n"/>
      <c r="BO146" s="979" t="n"/>
      <c r="BP146" s="978" t="n"/>
      <c r="BQ146" s="978" t="n"/>
      <c r="BR146" s="978" t="n"/>
      <c r="BS146" s="978" t="n"/>
      <c r="BT146" s="979" t="n"/>
      <c r="BU146" s="978" t="n"/>
      <c r="BV146" s="978" t="n"/>
      <c r="BW146" s="978" t="n"/>
      <c r="BX146" s="978" t="n"/>
      <c r="BY146" s="982" t="n"/>
      <c r="BZ146" s="978" t="n"/>
      <c r="CA146" s="978" t="n"/>
      <c r="CB146" s="978" t="n"/>
      <c r="CC146" s="977" t="n"/>
      <c r="CD146" s="982" t="n"/>
      <c r="CE146" s="977" t="n"/>
      <c r="CF146" s="977" t="n"/>
      <c r="CG146" s="978" t="n"/>
      <c r="CH146" s="978" t="n"/>
      <c r="CI146" s="749" t="n"/>
      <c r="CJ146" s="749" t="n"/>
      <c r="CK146" s="749" t="n"/>
      <c r="CL146" s="749" t="n"/>
      <c r="CM146" s="749" t="n"/>
      <c r="CN146" s="291" t="n"/>
      <c r="CO146" s="766" t="n"/>
      <c r="CP146" s="291" t="n"/>
      <c r="CQ146" s="693" t="n"/>
    </row>
    <row r="147" outlineLevel="1" ht="16.5" customHeight="1">
      <c r="B147" s="12" t="inlineStr">
        <is>
          <t xml:space="preserve">  + Investment losses</t>
        </is>
      </c>
      <c r="C147" s="678" t="n"/>
      <c r="D147" s="678" t="n"/>
      <c r="E147" s="678" t="n"/>
      <c r="F147" s="678" t="n"/>
      <c r="G147" s="870" t="n"/>
      <c r="H147" s="678" t="n"/>
      <c r="I147" s="678" t="n"/>
      <c r="J147" s="678" t="n"/>
      <c r="K147" s="678" t="n"/>
      <c r="L147" s="870" t="n"/>
      <c r="M147" s="678" t="n"/>
      <c r="N147" s="678" t="n"/>
      <c r="O147" s="678" t="n"/>
      <c r="P147" s="678" t="n"/>
      <c r="Q147" s="870" t="n"/>
      <c r="R147" s="678" t="n"/>
      <c r="S147" s="678" t="n"/>
      <c r="T147" s="678" t="n"/>
      <c r="U147" s="678" t="n"/>
      <c r="V147" s="870" t="n"/>
      <c r="W147" s="678" t="n"/>
      <c r="X147" s="678" t="n"/>
      <c r="Y147" s="678" t="n"/>
      <c r="Z147" s="678" t="n"/>
      <c r="AA147" s="870" t="n"/>
      <c r="AB147" s="678" t="n"/>
      <c r="AC147" s="678" t="n"/>
      <c r="AD147" s="678" t="n"/>
      <c r="AE147" s="678" t="n"/>
      <c r="AF147" s="1022" t="n"/>
      <c r="AG147" s="678" t="n"/>
      <c r="AH147" s="678" t="n"/>
      <c r="AI147" s="678" t="n"/>
      <c r="AJ147" s="678" t="n"/>
      <c r="AK147" s="1022" t="n"/>
      <c r="AL147" s="678" t="n"/>
      <c r="AM147" s="678" t="n"/>
      <c r="AN147" s="678" t="n"/>
      <c r="AO147" s="678" t="n"/>
      <c r="AP147" s="1022" t="n"/>
      <c r="AQ147" s="678" t="n"/>
      <c r="AR147" s="678" t="n"/>
      <c r="AS147" s="678" t="n"/>
      <c r="AT147" s="678" t="n"/>
      <c r="AU147" s="1022" t="n"/>
      <c r="AV147" s="678" t="n"/>
      <c r="AW147" s="678" t="n"/>
      <c r="AX147" s="678" t="n"/>
      <c r="AY147" s="678" t="n"/>
      <c r="AZ147" s="1022" t="n"/>
      <c r="BA147" s="678" t="n"/>
      <c r="BB147" s="678" t="n"/>
      <c r="BC147" s="678" t="n"/>
      <c r="BD147" s="678" t="n"/>
      <c r="BE147" s="1022" t="n"/>
      <c r="BF147" s="993" t="n"/>
      <c r="BG147" s="993" t="n"/>
      <c r="BH147" s="993" t="n"/>
      <c r="BI147" s="993" t="n"/>
      <c r="BJ147" s="1022" t="n"/>
      <c r="BK147" s="993" t="n"/>
      <c r="BL147" s="993" t="n"/>
      <c r="BM147" s="993" t="n"/>
      <c r="BN147" s="993" t="n"/>
      <c r="BO147" s="1022" t="n"/>
      <c r="BP147" s="993" t="n"/>
      <c r="BQ147" s="993" t="n"/>
      <c r="BR147" s="993" t="n"/>
      <c r="BS147" s="993" t="n"/>
      <c r="BT147" s="979" t="n"/>
      <c r="BU147" s="993" t="n"/>
      <c r="BV147" s="993" t="n"/>
      <c r="BW147" s="993" t="n"/>
      <c r="BX147" s="993" t="n"/>
      <c r="BY147" s="982" t="n"/>
      <c r="BZ147" s="978" t="n"/>
      <c r="CA147" s="978" t="n"/>
      <c r="CB147" s="978" t="n"/>
      <c r="CC147" s="977" t="n"/>
      <c r="CD147" s="982" t="n"/>
      <c r="CE147" s="977" t="n"/>
      <c r="CF147" s="977" t="n"/>
      <c r="CG147" s="978" t="n"/>
      <c r="CH147" s="978" t="n"/>
      <c r="CI147" s="749" t="n"/>
      <c r="CJ147" s="749" t="n"/>
      <c r="CK147" s="749" t="n"/>
      <c r="CL147" s="749" t="n"/>
      <c r="CM147" s="749" t="n"/>
      <c r="CN147" s="678" t="n"/>
      <c r="CO147" s="689" t="n"/>
      <c r="CP147" s="678" t="n"/>
      <c r="CQ147" s="693" t="n"/>
    </row>
    <row r="148" outlineLevel="1" ht="16.5" customHeight="1">
      <c r="B148" s="12" t="inlineStr">
        <is>
          <t xml:space="preserve">  + Acquisition integration</t>
        </is>
      </c>
      <c r="C148" s="678" t="n"/>
      <c r="D148" s="678" t="n"/>
      <c r="E148" s="678" t="n"/>
      <c r="F148" s="678" t="n"/>
      <c r="G148" s="870" t="n"/>
      <c r="H148" s="678" t="n"/>
      <c r="I148" s="678" t="n"/>
      <c r="J148" s="678" t="n"/>
      <c r="K148" s="678" t="n"/>
      <c r="L148" s="870" t="n"/>
      <c r="M148" s="678" t="n"/>
      <c r="N148" s="678" t="n"/>
      <c r="O148" s="678" t="n"/>
      <c r="P148" s="678" t="n"/>
      <c r="Q148" s="870" t="n"/>
      <c r="R148" s="678" t="n"/>
      <c r="S148" s="678" t="n"/>
      <c r="T148" s="678" t="n"/>
      <c r="U148" s="678" t="n"/>
      <c r="V148" s="870" t="n"/>
      <c r="W148" s="678" t="n"/>
      <c r="X148" s="678" t="n"/>
      <c r="Y148" s="678" t="n"/>
      <c r="Z148" s="678" t="n"/>
      <c r="AA148" s="870" t="n"/>
      <c r="AB148" s="678" t="n"/>
      <c r="AC148" s="678" t="n"/>
      <c r="AD148" s="678" t="n"/>
      <c r="AE148" s="678" t="n"/>
      <c r="AF148" s="1022" t="n"/>
      <c r="AG148" s="678" t="n"/>
      <c r="AH148" s="678" t="n"/>
      <c r="AI148" s="678" t="n"/>
      <c r="AJ148" s="678" t="n"/>
      <c r="AK148" s="1022" t="n"/>
      <c r="AL148" s="678" t="n"/>
      <c r="AM148" s="678" t="n"/>
      <c r="AN148" s="678" t="n"/>
      <c r="AO148" s="678" t="n"/>
      <c r="AP148" s="1022" t="n"/>
      <c r="AQ148" s="678" t="n"/>
      <c r="AR148" s="678" t="n"/>
      <c r="AS148" s="678" t="n"/>
      <c r="AT148" s="678" t="n"/>
      <c r="AU148" s="1022" t="n"/>
      <c r="AV148" s="678" t="n"/>
      <c r="AW148" s="678" t="n"/>
      <c r="AX148" s="678" t="n"/>
      <c r="AY148" s="678" t="n"/>
      <c r="AZ148" s="1022" t="n"/>
      <c r="BA148" s="678" t="n"/>
      <c r="BB148" s="678" t="n"/>
      <c r="BC148" s="678" t="n"/>
      <c r="BD148" s="678" t="n"/>
      <c r="BE148" s="1022" t="n"/>
      <c r="BF148" s="993" t="n"/>
      <c r="BG148" s="993" t="n"/>
      <c r="BH148" s="993" t="n"/>
      <c r="BI148" s="993" t="n"/>
      <c r="BJ148" s="1022" t="n"/>
      <c r="BK148" s="993" t="n"/>
      <c r="BL148" s="993" t="n"/>
      <c r="BM148" s="993" t="n"/>
      <c r="BN148" s="993" t="n"/>
      <c r="BO148" s="1022" t="n"/>
      <c r="BP148" s="993" t="n"/>
      <c r="BQ148" s="993" t="n"/>
      <c r="BR148" s="993" t="n"/>
      <c r="BS148" s="993" t="n"/>
      <c r="BT148" s="979" t="n"/>
      <c r="BU148" s="993" t="n"/>
      <c r="BV148" s="993" t="n"/>
      <c r="BW148" s="993" t="n"/>
      <c r="BX148" s="993" t="n"/>
      <c r="BY148" s="982" t="n"/>
      <c r="BZ148" s="978" t="n"/>
      <c r="CA148" s="978" t="n"/>
      <c r="CB148" s="978" t="n"/>
      <c r="CC148" s="977" t="n"/>
      <c r="CD148" s="982" t="n"/>
      <c r="CE148" s="977" t="n"/>
      <c r="CF148" s="977" t="n"/>
      <c r="CG148" s="978" t="n"/>
      <c r="CH148" s="978" t="n"/>
      <c r="CI148" s="749" t="n"/>
      <c r="CJ148" s="749" t="n"/>
      <c r="CK148" s="749" t="n"/>
      <c r="CL148" s="749" t="n"/>
      <c r="CM148" s="749" t="n"/>
      <c r="CN148" s="1007" t="n"/>
      <c r="CO148" s="766" t="n"/>
      <c r="CP148" s="1007" t="n"/>
      <c r="CQ148" s="693" t="n"/>
    </row>
    <row r="149" outlineLevel="1" ht="16.5" customHeight="1">
      <c r="B149" s="12" t="inlineStr">
        <is>
          <t xml:space="preserve">  + Other charges</t>
        </is>
      </c>
      <c r="C149" s="826" t="n"/>
      <c r="D149" s="826" t="n"/>
      <c r="E149" s="826" t="n"/>
      <c r="F149" s="826" t="n"/>
      <c r="G149" s="878" t="n"/>
      <c r="H149" s="826" t="n"/>
      <c r="I149" s="826" t="n"/>
      <c r="J149" s="826" t="n"/>
      <c r="K149" s="826" t="n"/>
      <c r="L149" s="878" t="n"/>
      <c r="M149" s="826" t="n"/>
      <c r="N149" s="826" t="n"/>
      <c r="O149" s="826" t="n"/>
      <c r="P149" s="826" t="n"/>
      <c r="Q149" s="878" t="n"/>
      <c r="R149" s="826" t="n"/>
      <c r="S149" s="826" t="n"/>
      <c r="T149" s="826" t="n"/>
      <c r="U149" s="826" t="n"/>
      <c r="V149" s="878" t="n"/>
      <c r="W149" s="826" t="n"/>
      <c r="X149" s="826" t="n"/>
      <c r="Y149" s="826" t="n"/>
      <c r="Z149" s="826" t="n"/>
      <c r="AA149" s="878" t="n"/>
      <c r="AB149" s="826" t="n"/>
      <c r="AC149" s="826" t="n"/>
      <c r="AD149" s="826" t="n"/>
      <c r="AE149" s="826" t="n"/>
      <c r="AF149" s="1000" t="n"/>
      <c r="AG149" s="826" t="n"/>
      <c r="AH149" s="826" t="n"/>
      <c r="AI149" s="826" t="n"/>
      <c r="AJ149" s="826" t="n"/>
      <c r="AK149" s="1000" t="n"/>
      <c r="AL149" s="826" t="n"/>
      <c r="AM149" s="826" t="n"/>
      <c r="AN149" s="826" t="n"/>
      <c r="AO149" s="826" t="n"/>
      <c r="AP149" s="1000" t="n"/>
      <c r="AQ149" s="826" t="n"/>
      <c r="AR149" s="826" t="n"/>
      <c r="AS149" s="826" t="n"/>
      <c r="AT149" s="826" t="n"/>
      <c r="AU149" s="1023" t="n"/>
      <c r="AV149" s="1024" t="n"/>
      <c r="AW149" s="1024" t="n"/>
      <c r="AX149" s="1024" t="n"/>
      <c r="AY149" s="1024" t="n"/>
      <c r="AZ149" s="1023" t="n"/>
      <c r="BA149" s="1024" t="n"/>
      <c r="BB149" s="1024" t="n"/>
      <c r="BC149" s="1024" t="n"/>
      <c r="BD149" s="1024" t="n"/>
      <c r="BE149" s="1023" t="n"/>
      <c r="BF149" s="1024" t="n"/>
      <c r="BG149" s="1024" t="n"/>
      <c r="BH149" s="1024" t="n"/>
      <c r="BI149" s="1024" t="n"/>
      <c r="BJ149" s="1023" t="n"/>
      <c r="BK149" s="1024" t="n"/>
      <c r="BL149" s="1024" t="n"/>
      <c r="BM149" s="1024" t="n"/>
      <c r="BN149" s="1024" t="n"/>
      <c r="BO149" s="1023" t="n"/>
      <c r="BP149" s="1024" t="n"/>
      <c r="BQ149" s="1024" t="n"/>
      <c r="BR149" s="1024" t="n"/>
      <c r="BS149" s="1024" t="n"/>
      <c r="BT149" s="1023" t="n"/>
      <c r="BU149" s="999" t="n"/>
      <c r="BV149" s="999" t="n"/>
      <c r="BW149" s="999" t="n"/>
      <c r="BX149" s="999" t="n"/>
      <c r="BY149" s="1025" t="n"/>
      <c r="BZ149" s="999" t="n"/>
      <c r="CA149" s="999" t="n"/>
      <c r="CB149" s="999" t="n"/>
      <c r="CC149" s="1026" t="n"/>
      <c r="CD149" s="1025" t="n"/>
      <c r="CE149" s="977" t="n"/>
      <c r="CF149" s="977" t="n"/>
      <c r="CG149" s="978" t="n"/>
      <c r="CH149" s="978" t="n"/>
      <c r="CI149" s="1027" t="n"/>
      <c r="CJ149" s="1027" t="n"/>
      <c r="CK149" s="1027" t="n"/>
      <c r="CL149" s="1027" t="n"/>
      <c r="CM149" s="1027" t="n"/>
      <c r="CN149" s="291" t="n"/>
      <c r="CO149" s="766" t="n"/>
      <c r="CP149" s="291" t="n"/>
      <c r="CQ149" s="693" t="n"/>
    </row>
    <row r="150" outlineLevel="1" ht="16.5" customHeight="1">
      <c r="B150" s="701" t="inlineStr">
        <is>
          <t>Adjusted operating profit</t>
        </is>
      </c>
      <c r="C150" s="274" t="n"/>
      <c r="D150" s="274" t="n"/>
      <c r="E150" s="274" t="n"/>
      <c r="F150" s="274" t="n"/>
      <c r="G150" s="871" t="n"/>
      <c r="H150" s="274" t="n"/>
      <c r="I150" s="274" t="n"/>
      <c r="J150" s="274" t="n"/>
      <c r="K150" s="274" t="n"/>
      <c r="L150" s="871" t="n"/>
      <c r="M150" s="274" t="n"/>
      <c r="N150" s="274" t="n"/>
      <c r="O150" s="274" t="n"/>
      <c r="P150" s="274" t="n"/>
      <c r="Q150" s="871" t="n"/>
      <c r="R150" s="274" t="n"/>
      <c r="S150" s="274" t="n"/>
      <c r="T150" s="274" t="n"/>
      <c r="U150" s="274" t="n"/>
      <c r="V150" s="871" t="n"/>
      <c r="W150" s="274" t="n"/>
      <c r="X150" s="274" t="n"/>
      <c r="Y150" s="274" t="n"/>
      <c r="Z150" s="274" t="n"/>
      <c r="AA150" s="871" t="n"/>
      <c r="AB150" s="274" t="n"/>
      <c r="AC150" s="274" t="n"/>
      <c r="AD150" s="274" t="n"/>
      <c r="AE150" s="274" t="n"/>
      <c r="AF150" s="871" t="n"/>
      <c r="AG150" s="274" t="n"/>
      <c r="AH150" s="274" t="n"/>
      <c r="AI150" s="274" t="n"/>
      <c r="AJ150" s="274" t="n"/>
      <c r="AK150" s="871" t="n"/>
      <c r="AL150" s="274" t="n"/>
      <c r="AM150" s="274" t="n"/>
      <c r="AN150" s="274" t="n"/>
      <c r="AO150" s="274" t="n"/>
      <c r="AP150" s="871" t="n"/>
      <c r="AQ150" s="274" t="n"/>
      <c r="AR150" s="274" t="n"/>
      <c r="AS150" s="274" t="n"/>
      <c r="AT150" s="274" t="n"/>
      <c r="AU150" s="871" t="n"/>
      <c r="AV150" s="274" t="n"/>
      <c r="AW150" s="274" t="n"/>
      <c r="AX150" s="274" t="n"/>
      <c r="AY150" s="274" t="n"/>
      <c r="AZ150" s="871" t="n"/>
      <c r="BA150" s="274" t="n"/>
      <c r="BB150" s="274" t="n"/>
      <c r="BC150" s="274" t="n"/>
      <c r="BD150" s="274" t="n"/>
      <c r="BE150" s="871" t="n"/>
      <c r="BF150" s="274" t="n"/>
      <c r="BG150" s="274" t="n"/>
      <c r="BH150" s="274" t="n"/>
      <c r="BI150" s="274" t="n"/>
      <c r="BJ150" s="871" t="n"/>
      <c r="BK150" s="274" t="n"/>
      <c r="BL150" s="274" t="n"/>
      <c r="BM150" s="274" t="n"/>
      <c r="BN150" s="274" t="n"/>
      <c r="BO150" s="871" t="n"/>
      <c r="BP150" s="274" t="n"/>
      <c r="BQ150" s="274" t="n"/>
      <c r="BR150" s="274" t="n"/>
      <c r="BS150" s="274" t="n"/>
      <c r="BT150" s="871" t="n"/>
      <c r="BU150" s="274" t="n"/>
      <c r="BV150" s="274" t="n"/>
      <c r="BW150" s="274" t="n"/>
      <c r="BX150" s="274" t="n"/>
      <c r="BY150" s="871" t="n"/>
      <c r="BZ150" s="274" t="n"/>
      <c r="CA150" s="274" t="n"/>
      <c r="CB150" s="274" t="n"/>
      <c r="CC150" s="274" t="n"/>
      <c r="CD150" s="871" t="n"/>
      <c r="CE150" s="274" t="n"/>
      <c r="CF150" s="274" t="n"/>
      <c r="CG150" s="274" t="n"/>
      <c r="CH150" s="274" t="n"/>
      <c r="CI150" s="274" t="n"/>
      <c r="CJ150" s="274" t="n"/>
      <c r="CK150" s="274" t="n"/>
      <c r="CL150" s="274" t="n"/>
      <c r="CM150" s="274" t="n"/>
      <c r="CN150" s="291" t="n"/>
      <c r="CO150" s="766" t="n"/>
      <c r="CP150" s="291" t="n"/>
      <c r="CQ150" s="693" t="n"/>
    </row>
    <row r="151" outlineLevel="1" ht="16.5" customHeight="1">
      <c r="B151" s="12" t="inlineStr">
        <is>
          <t>Adj. operating margin</t>
        </is>
      </c>
      <c r="C151" s="291" t="n"/>
      <c r="D151" s="291" t="n"/>
      <c r="E151" s="291" t="n"/>
      <c r="F151" s="291" t="n"/>
      <c r="G151" s="864" t="n"/>
      <c r="H151" s="291" t="n"/>
      <c r="I151" s="291" t="n"/>
      <c r="J151" s="291" t="n"/>
      <c r="K151" s="291" t="n"/>
      <c r="L151" s="864" t="n"/>
      <c r="M151" s="291" t="n"/>
      <c r="N151" s="291" t="n"/>
      <c r="O151" s="291" t="n"/>
      <c r="P151" s="291" t="n"/>
      <c r="Q151" s="864" t="n"/>
      <c r="R151" s="291" t="n"/>
      <c r="S151" s="291" t="n"/>
      <c r="T151" s="291" t="n"/>
      <c r="U151" s="291" t="n"/>
      <c r="V151" s="864" t="n"/>
      <c r="W151" s="291" t="n"/>
      <c r="X151" s="291" t="n"/>
      <c r="Y151" s="291" t="n"/>
      <c r="Z151" s="291" t="n"/>
      <c r="AA151" s="864" t="n"/>
      <c r="AB151" s="291" t="n"/>
      <c r="AC151" s="291" t="n"/>
      <c r="AD151" s="291" t="n"/>
      <c r="AE151" s="291" t="n"/>
      <c r="AF151" s="1028" t="n"/>
      <c r="AG151" s="782" t="n"/>
      <c r="AH151" s="782" t="n"/>
      <c r="AI151" s="782" t="n"/>
      <c r="AJ151" s="782" t="n"/>
      <c r="AK151" s="1028" t="n"/>
      <c r="AL151" s="782" t="n"/>
      <c r="AM151" s="782" t="n"/>
      <c r="AN151" s="782" t="n"/>
      <c r="AO151" s="782" t="n"/>
      <c r="AP151" s="1028" t="n"/>
      <c r="AQ151" s="782" t="n"/>
      <c r="AR151" s="782" t="n"/>
      <c r="AS151" s="782" t="n"/>
      <c r="AT151" s="782" t="n"/>
      <c r="AU151" s="1028" t="n"/>
      <c r="AV151" s="782" t="n"/>
      <c r="AW151" s="782" t="n"/>
      <c r="AX151" s="782" t="n"/>
      <c r="AY151" s="782" t="n"/>
      <c r="AZ151" s="1028" t="n"/>
      <c r="BA151" s="782" t="n"/>
      <c r="BB151" s="782" t="n"/>
      <c r="BC151" s="782" t="n"/>
      <c r="BD151" s="782" t="n"/>
      <c r="BE151" s="1028" t="n"/>
      <c r="BF151" s="978" t="n"/>
      <c r="BG151" s="978" t="n"/>
      <c r="BH151" s="978" t="n"/>
      <c r="BJ151" s="1029" t="n"/>
      <c r="BK151" s="978" t="n"/>
      <c r="BL151" s="978" t="n"/>
      <c r="BM151" s="978" t="n"/>
      <c r="BO151" s="1029" t="n"/>
      <c r="BP151" s="978" t="n"/>
      <c r="BQ151" s="978" t="n"/>
      <c r="BR151" s="978" t="n"/>
      <c r="BT151" s="1029" t="n"/>
      <c r="BU151" s="978" t="n"/>
      <c r="BV151" s="978" t="n"/>
      <c r="BW151" s="978" t="n"/>
      <c r="BX151" s="978" t="n"/>
      <c r="BY151" s="1029" t="n"/>
      <c r="BZ151" s="980" t="n"/>
      <c r="CA151" s="980" t="n"/>
      <c r="CB151" s="980" t="n"/>
      <c r="CC151" s="1030" t="n"/>
      <c r="CD151" s="1029" t="n"/>
      <c r="CE151" s="1030" t="n"/>
      <c r="CF151" s="1030" t="n"/>
      <c r="CG151" s="1030" t="n"/>
      <c r="CH151" s="1030" t="n"/>
      <c r="CI151" s="1031" t="n"/>
      <c r="CJ151" s="1031" t="n"/>
      <c r="CK151" s="1031" t="n"/>
      <c r="CL151" s="1031" t="n"/>
      <c r="CM151" s="1031" t="n"/>
      <c r="CN151" s="291" t="n"/>
      <c r="CO151" s="766" t="n"/>
      <c r="CP151" s="291" t="n"/>
      <c r="CQ151" s="693" t="n"/>
    </row>
    <row r="152" outlineLevel="1" ht="16.5" customHeight="1">
      <c r="B152" s="12" t="inlineStr">
        <is>
          <t xml:space="preserve">  Incremental Adj. EBIT % (ΔAdj OP / ΔSales)</t>
        </is>
      </c>
      <c r="C152" s="291" t="n"/>
      <c r="D152" s="291" t="n"/>
      <c r="E152" s="291" t="n"/>
      <c r="F152" s="291" t="n"/>
      <c r="G152" s="864" t="n"/>
      <c r="H152" s="974" t="n"/>
      <c r="I152" s="974" t="n"/>
      <c r="J152" s="974" t="n"/>
      <c r="K152" s="974" t="n"/>
      <c r="L152" s="975" t="n"/>
      <c r="M152" s="974" t="n"/>
      <c r="N152" s="974" t="n"/>
      <c r="O152" s="974" t="n"/>
      <c r="P152" s="974" t="n"/>
      <c r="Q152" s="975" t="n"/>
      <c r="R152" s="974" t="n"/>
      <c r="S152" s="974" t="n"/>
      <c r="T152" s="974" t="n"/>
      <c r="U152" s="974" t="n"/>
      <c r="V152" s="975" t="n"/>
      <c r="W152" s="974" t="n"/>
      <c r="X152" s="974" t="n"/>
      <c r="Y152" s="974" t="n"/>
      <c r="Z152" s="974" t="n"/>
      <c r="AA152" s="975" t="n"/>
      <c r="AB152" s="974" t="n"/>
      <c r="AC152" s="974" t="n"/>
      <c r="AD152" s="974" t="n"/>
      <c r="AE152" s="974" t="n"/>
      <c r="AF152" s="975" t="n"/>
      <c r="AG152" s="974" t="n"/>
      <c r="AH152" s="974" t="n"/>
      <c r="AI152" s="974" t="n"/>
      <c r="AJ152" s="974" t="n"/>
      <c r="AK152" s="975" t="n"/>
      <c r="AL152" s="974" t="n"/>
      <c r="AM152" s="974" t="n"/>
      <c r="AN152" s="974" t="n"/>
      <c r="AO152" s="974" t="n"/>
      <c r="AP152" s="975" t="n"/>
      <c r="AQ152" s="974" t="n"/>
      <c r="AR152" s="974" t="n"/>
      <c r="AS152" s="974" t="n"/>
      <c r="AT152" s="974" t="n"/>
      <c r="AU152" s="975" t="n"/>
      <c r="AV152" s="974" t="n"/>
      <c r="AW152" s="974" t="n"/>
      <c r="AX152" s="974" t="n"/>
      <c r="AY152" s="974" t="n"/>
      <c r="AZ152" s="975" t="n"/>
      <c r="BA152" s="974" t="n"/>
      <c r="BB152" s="974" t="n"/>
      <c r="BC152" s="974" t="n"/>
      <c r="BD152" s="974" t="n"/>
      <c r="BE152" s="975" t="n"/>
      <c r="BF152" s="974" t="n"/>
      <c r="BG152" s="974" t="n"/>
      <c r="BH152" s="974" t="n"/>
      <c r="BI152" s="974" t="n"/>
      <c r="BJ152" s="975" t="n"/>
      <c r="BK152" s="974" t="n"/>
      <c r="BL152" s="974" t="n"/>
      <c r="BM152" s="974" t="n"/>
      <c r="BN152" s="974" t="n"/>
      <c r="BO152" s="975" t="n"/>
      <c r="BP152" s="974" t="n"/>
      <c r="BQ152" s="974" t="n"/>
      <c r="BR152" s="974" t="n"/>
      <c r="BS152" s="974" t="n"/>
      <c r="BT152" s="975" t="n"/>
      <c r="BU152" s="974" t="n"/>
      <c r="BV152" s="974" t="n"/>
      <c r="BW152" s="974" t="n"/>
      <c r="BX152" s="974" t="n"/>
      <c r="BY152" s="975" t="n"/>
      <c r="BZ152" s="974" t="n"/>
      <c r="CA152" s="974" t="n"/>
      <c r="CB152" s="974" t="n"/>
      <c r="CC152" s="974" t="n"/>
      <c r="CD152" s="975" t="n"/>
      <c r="CE152" s="974" t="n"/>
      <c r="CF152" s="974" t="n"/>
      <c r="CG152" s="974" t="n"/>
      <c r="CH152" s="974" t="n"/>
      <c r="CI152" s="976" t="n"/>
      <c r="CJ152" s="976" t="n"/>
      <c r="CK152" s="976" t="n"/>
      <c r="CL152" s="976" t="n"/>
      <c r="CM152" s="976" t="n"/>
      <c r="CN152" s="291" t="n"/>
      <c r="CO152" s="766" t="n"/>
      <c r="CP152" s="291" t="n"/>
      <c r="CQ152" s="693" t="n"/>
    </row>
    <row r="153" outlineLevel="1" ht="16.5" customHeight="1">
      <c r="B153" s="679" t="inlineStr">
        <is>
          <t>GAAP net earnings</t>
        </is>
      </c>
      <c r="C153" s="291" t="n"/>
      <c r="D153" s="291" t="n"/>
      <c r="E153" s="291" t="n"/>
      <c r="F153" s="291" t="n"/>
      <c r="G153" s="864" t="n"/>
      <c r="H153" s="291" t="n"/>
      <c r="I153" s="291" t="n"/>
      <c r="J153" s="291" t="n"/>
      <c r="K153" s="291" t="n"/>
      <c r="L153" s="864" t="n"/>
      <c r="M153" s="291" t="n"/>
      <c r="N153" s="291" t="n"/>
      <c r="O153" s="291" t="n"/>
      <c r="P153" s="291" t="n"/>
      <c r="Q153" s="864" t="n"/>
      <c r="R153" s="291" t="n"/>
      <c r="S153" s="291" t="n"/>
      <c r="T153" s="291" t="n"/>
      <c r="U153" s="291" t="n"/>
      <c r="V153" s="864" t="n"/>
      <c r="W153" s="291" t="n"/>
      <c r="X153" s="291" t="n"/>
      <c r="Y153" s="291" t="n"/>
      <c r="Z153" s="291" t="n"/>
      <c r="AA153" s="864" t="n"/>
      <c r="AB153" s="291" t="n"/>
      <c r="AC153" s="291" t="n"/>
      <c r="AD153" s="291" t="n"/>
      <c r="AE153" s="291" t="n"/>
      <c r="AF153" s="870" t="n"/>
      <c r="AG153" s="678" t="n"/>
      <c r="AH153" s="678" t="n"/>
      <c r="AI153" s="678" t="n"/>
      <c r="AJ153" s="678" t="n"/>
      <c r="AK153" s="870" t="n"/>
      <c r="AL153" s="678" t="n"/>
      <c r="AM153" s="678" t="n"/>
      <c r="AN153" s="678" t="n"/>
      <c r="AO153" s="678" t="n"/>
      <c r="AP153" s="870" t="n"/>
      <c r="AQ153" s="678" t="n"/>
      <c r="AR153" s="678" t="n"/>
      <c r="AS153" s="678" t="n"/>
      <c r="AT153" s="678" t="n"/>
      <c r="AU153" s="870" t="n"/>
      <c r="AV153" s="678" t="n"/>
      <c r="AW153" s="678" t="n"/>
      <c r="AX153" s="678" t="n"/>
      <c r="AY153" s="678" t="n"/>
      <c r="AZ153" s="870" t="n"/>
      <c r="BA153" s="678" t="n"/>
      <c r="BB153" s="678" t="n"/>
      <c r="BC153" s="678" t="n"/>
      <c r="BD153" s="678" t="n"/>
      <c r="BE153" s="870" t="n"/>
      <c r="BF153" s="678" t="n"/>
      <c r="BG153" s="678" t="n"/>
      <c r="BH153" s="678" t="n"/>
      <c r="BI153" s="678" t="n"/>
      <c r="BJ153" s="870" t="n"/>
      <c r="BK153" s="678" t="n"/>
      <c r="BL153" s="678" t="n"/>
      <c r="BM153" s="678" t="n"/>
      <c r="BN153" s="678" t="n"/>
      <c r="BO153" s="870" t="n"/>
      <c r="BP153" s="678" t="n"/>
      <c r="BQ153" s="678" t="n"/>
      <c r="BR153" s="678" t="n"/>
      <c r="BS153" s="678" t="n"/>
      <c r="BT153" s="870" t="n"/>
      <c r="BU153" s="678" t="n"/>
      <c r="BV153" s="678" t="n"/>
      <c r="BW153" s="678" t="n"/>
      <c r="BX153" s="678" t="n"/>
      <c r="BY153" s="870" t="n"/>
      <c r="BZ153" s="678" t="n"/>
      <c r="CA153" s="678" t="n"/>
      <c r="CB153" s="678" t="n"/>
      <c r="CC153" s="678" t="n"/>
      <c r="CD153" s="870" t="n"/>
      <c r="CE153" s="678" t="n"/>
      <c r="CF153" s="678" t="n"/>
      <c r="CG153" s="678" t="n"/>
      <c r="CH153" s="678" t="n"/>
      <c r="CI153" s="752" t="n"/>
      <c r="CJ153" s="752" t="n"/>
      <c r="CK153" s="752" t="n"/>
      <c r="CL153" s="752" t="n"/>
      <c r="CM153" s="752" t="n"/>
      <c r="CN153" s="291" t="n"/>
      <c r="CO153" s="766" t="n"/>
      <c r="CP153" s="291" t="n"/>
      <c r="CQ153" s="693" t="n"/>
    </row>
    <row r="154" outlineLevel="1" ht="16.5" customHeight="1">
      <c r="B154" s="12" t="inlineStr">
        <is>
          <t xml:space="preserve">  + After-tax adjustments</t>
        </is>
      </c>
      <c r="C154" s="817" t="n"/>
      <c r="D154" s="817" t="n"/>
      <c r="E154" s="817" t="n"/>
      <c r="F154" s="817" t="n"/>
      <c r="G154" s="879" t="n"/>
      <c r="H154" s="817" t="n"/>
      <c r="I154" s="817" t="n"/>
      <c r="J154" s="817" t="n"/>
      <c r="K154" s="817" t="n"/>
      <c r="L154" s="879" t="n"/>
      <c r="M154" s="817" t="n"/>
      <c r="N154" s="817" t="n"/>
      <c r="O154" s="817" t="n"/>
      <c r="P154" s="817" t="n"/>
      <c r="Q154" s="879" t="n"/>
      <c r="R154" s="817" t="n"/>
      <c r="S154" s="817" t="n"/>
      <c r="T154" s="817" t="n"/>
      <c r="U154" s="817" t="n"/>
      <c r="V154" s="879" t="n"/>
      <c r="W154" s="817" t="n"/>
      <c r="X154" s="817" t="n"/>
      <c r="Y154" s="817" t="n"/>
      <c r="Z154" s="817" t="n"/>
      <c r="AA154" s="879" t="n"/>
      <c r="AB154" s="817" t="n"/>
      <c r="AC154" s="817" t="n"/>
      <c r="AD154" s="817" t="n"/>
      <c r="AE154" s="817" t="n"/>
      <c r="AF154" s="1032" t="n"/>
      <c r="AG154" s="817" t="n"/>
      <c r="AH154" s="817" t="n"/>
      <c r="AI154" s="817" t="n"/>
      <c r="AJ154" s="817" t="n"/>
      <c r="AK154" s="1032" t="n"/>
      <c r="AL154" s="817" t="n"/>
      <c r="AM154" s="817" t="n"/>
      <c r="AN154" s="817" t="n"/>
      <c r="AO154" s="817" t="n"/>
      <c r="AP154" s="1032" t="n"/>
      <c r="AQ154" s="817" t="n"/>
      <c r="AR154" s="817" t="n"/>
      <c r="AS154" s="817" t="n"/>
      <c r="AT154" s="817" t="n"/>
      <c r="AU154" s="1032" t="n"/>
      <c r="AV154" s="817" t="n"/>
      <c r="AW154" s="817" t="n"/>
      <c r="AX154" s="817" t="n"/>
      <c r="AY154" s="817" t="n"/>
      <c r="AZ154" s="1032" t="n"/>
      <c r="BA154" s="817" t="n"/>
      <c r="BB154" s="817" t="n"/>
      <c r="BC154" s="817" t="n"/>
      <c r="BD154" s="817" t="n"/>
      <c r="BE154" s="1032" t="n"/>
      <c r="BF154" s="1033" t="n"/>
      <c r="BG154" s="1033" t="n"/>
      <c r="BH154" s="1033" t="n"/>
      <c r="BI154" s="1033" t="n"/>
      <c r="BJ154" s="1032" t="n"/>
      <c r="BK154" s="1033" t="n"/>
      <c r="BL154" s="1033" t="n"/>
      <c r="BM154" s="1033" t="n"/>
      <c r="BN154" s="1033" t="n"/>
      <c r="BO154" s="1032" t="n"/>
      <c r="BP154" s="1033" t="n"/>
      <c r="BQ154" s="1033" t="n"/>
      <c r="BR154" s="1033" t="n"/>
      <c r="BS154" s="1033" t="n"/>
      <c r="BT154" s="1032" t="n"/>
      <c r="BU154" s="1033" t="n"/>
      <c r="BV154" s="1033" t="n"/>
      <c r="BW154" s="1033" t="n"/>
      <c r="BX154" s="1033" t="n"/>
      <c r="BY154" s="1034" t="n"/>
      <c r="BZ154" s="1033" t="n"/>
      <c r="CA154" s="1033" t="n"/>
      <c r="CB154" s="1033" t="n"/>
      <c r="CC154" s="1035" t="n"/>
      <c r="CD154" s="1034" t="n"/>
      <c r="CE154" s="993" t="n"/>
      <c r="CF154" s="993" t="n"/>
      <c r="CG154" s="993" t="n"/>
      <c r="CH154" s="993" t="n"/>
      <c r="CI154" s="1036" t="n"/>
      <c r="CJ154" s="1036" t="n"/>
      <c r="CK154" s="1036" t="n"/>
      <c r="CL154" s="1036" t="n"/>
      <c r="CM154" s="1036" t="n"/>
      <c r="CN154" s="291" t="n"/>
      <c r="CO154" s="766" t="n"/>
      <c r="CP154" s="291" t="n"/>
      <c r="CQ154" s="693" t="n"/>
    </row>
    <row r="155" ht="16.5" customHeight="1">
      <c r="B155" s="739" t="inlineStr">
        <is>
          <t>Adjusted net earnings</t>
        </is>
      </c>
      <c r="C155" s="817" t="n"/>
      <c r="D155" s="817" t="n"/>
      <c r="E155" s="817" t="n"/>
      <c r="F155" s="817" t="n"/>
      <c r="G155" s="879" t="n"/>
      <c r="H155" s="817" t="n"/>
      <c r="I155" s="817" t="n"/>
      <c r="J155" s="817" t="n"/>
      <c r="K155" s="817" t="n"/>
      <c r="L155" s="879" t="n"/>
      <c r="M155" s="817" t="n"/>
      <c r="N155" s="817" t="n"/>
      <c r="O155" s="817" t="n"/>
      <c r="P155" s="817" t="n"/>
      <c r="Q155" s="879" t="n"/>
      <c r="R155" s="817" t="n"/>
      <c r="S155" s="817" t="n"/>
      <c r="T155" s="817" t="n"/>
      <c r="U155" s="817" t="n"/>
      <c r="V155" s="879" t="n"/>
      <c r="W155" s="817" t="n"/>
      <c r="X155" s="817" t="n"/>
      <c r="Y155" s="817" t="n"/>
      <c r="Z155" s="817" t="n"/>
      <c r="AA155" s="879" t="n"/>
      <c r="AB155" s="817" t="n"/>
      <c r="AC155" s="817" t="n"/>
      <c r="AD155" s="817" t="n"/>
      <c r="AE155" s="817" t="n"/>
      <c r="AF155" s="915" t="n"/>
      <c r="AG155" s="818" t="n"/>
      <c r="AH155" s="818" t="n"/>
      <c r="AI155" s="818" t="n"/>
      <c r="AJ155" s="818" t="n"/>
      <c r="AK155" s="915" t="n"/>
      <c r="AL155" s="818" t="n"/>
      <c r="AM155" s="818" t="n"/>
      <c r="AN155" s="818" t="n"/>
      <c r="AO155" s="818" t="n"/>
      <c r="AP155" s="915" t="n"/>
      <c r="AQ155" s="818" t="n"/>
      <c r="AR155" s="818" t="n"/>
      <c r="AS155" s="818" t="n"/>
      <c r="AT155" s="818" t="n"/>
      <c r="AU155" s="915" t="n"/>
      <c r="AV155" s="818" t="n"/>
      <c r="AW155" s="818" t="n"/>
      <c r="AX155" s="818" t="n"/>
      <c r="AY155" s="818" t="n"/>
      <c r="AZ155" s="915" t="n"/>
      <c r="BA155" s="818" t="n"/>
      <c r="BB155" s="818" t="n"/>
      <c r="BC155" s="818" t="n"/>
      <c r="BD155" s="818" t="n"/>
      <c r="BE155" s="915" t="n"/>
      <c r="BF155" s="818" t="n"/>
      <c r="BG155" s="818" t="n"/>
      <c r="BH155" s="818" t="n"/>
      <c r="BI155" s="818" t="n"/>
      <c r="BJ155" s="915" t="n"/>
      <c r="BK155" s="818" t="n"/>
      <c r="BL155" s="818" t="n"/>
      <c r="BM155" s="818" t="n"/>
      <c r="BN155" s="818" t="n"/>
      <c r="BO155" s="915" t="n"/>
      <c r="BP155" s="818" t="n"/>
      <c r="BQ155" s="818" t="n"/>
      <c r="BR155" s="818" t="n"/>
      <c r="BS155" s="818" t="n"/>
      <c r="BT155" s="915" t="n"/>
      <c r="BU155" s="818" t="n"/>
      <c r="BV155" s="818" t="n"/>
      <c r="BW155" s="818" t="n"/>
      <c r="BX155" s="818" t="n"/>
      <c r="BY155" s="915" t="n"/>
      <c r="BZ155" s="822" t="n"/>
      <c r="CA155" s="822" t="n"/>
      <c r="CB155" s="822" t="n"/>
      <c r="CC155" s="822" t="n"/>
      <c r="CD155" s="915" t="n"/>
      <c r="CE155" s="814" t="n"/>
      <c r="CF155" s="814" t="n"/>
      <c r="CG155" s="814" t="n"/>
      <c r="CH155" s="814" t="n"/>
      <c r="CI155" s="849" t="n"/>
      <c r="CJ155" s="849" t="n"/>
      <c r="CK155" s="849" t="n"/>
      <c r="CL155" s="849" t="n"/>
      <c r="CM155" s="849" t="n"/>
      <c r="CN155" s="291" t="n"/>
      <c r="CO155" s="766">
        <f>(CM155/CD155)^(1/5)-1</f>
        <v/>
      </c>
      <c r="CP155" s="291" t="n"/>
      <c r="CQ155" s="693" t="n"/>
    </row>
    <row r="156" ht="16.5" customHeight="1" thickBot="1">
      <c r="B156" s="740" t="inlineStr">
        <is>
          <t>Adjusted EPS — diluted (calc)</t>
        </is>
      </c>
      <c r="C156" s="819" t="n"/>
      <c r="D156" s="819" t="n"/>
      <c r="E156" s="819" t="n"/>
      <c r="F156" s="819" t="n"/>
      <c r="G156" s="880" t="n"/>
      <c r="H156" s="819" t="n"/>
      <c r="I156" s="819" t="n"/>
      <c r="J156" s="819" t="n"/>
      <c r="K156" s="819" t="n"/>
      <c r="L156" s="880" t="n"/>
      <c r="M156" s="819" t="n"/>
      <c r="N156" s="819" t="n"/>
      <c r="O156" s="819" t="n"/>
      <c r="P156" s="819" t="n"/>
      <c r="Q156" s="880" t="n"/>
      <c r="R156" s="819" t="n"/>
      <c r="S156" s="819" t="n"/>
      <c r="T156" s="819" t="n"/>
      <c r="U156" s="819" t="n"/>
      <c r="V156" s="880" t="n"/>
      <c r="W156" s="819" t="n"/>
      <c r="X156" s="819" t="n"/>
      <c r="Y156" s="819" t="n"/>
      <c r="Z156" s="819" t="n"/>
      <c r="AA156" s="880" t="n"/>
      <c r="AB156" s="819" t="n"/>
      <c r="AC156" s="819" t="n"/>
      <c r="AD156" s="819" t="n"/>
      <c r="AE156" s="819" t="n"/>
      <c r="AF156" s="916" t="n"/>
      <c r="AG156" s="823" t="n"/>
      <c r="AH156" s="823" t="n"/>
      <c r="AI156" s="823" t="n"/>
      <c r="AJ156" s="823" t="n"/>
      <c r="AK156" s="916" t="n"/>
      <c r="AL156" s="823" t="n"/>
      <c r="AM156" s="823" t="n"/>
      <c r="AN156" s="823" t="n"/>
      <c r="AO156" s="823" t="n"/>
      <c r="AP156" s="916" t="n"/>
      <c r="AQ156" s="823" t="n"/>
      <c r="AR156" s="823" t="n"/>
      <c r="AS156" s="823" t="n"/>
      <c r="AT156" s="823" t="n"/>
      <c r="AU156" s="916" t="n"/>
      <c r="AV156" s="823" t="n"/>
      <c r="AW156" s="823" t="n"/>
      <c r="AX156" s="823" t="n"/>
      <c r="AY156" s="823" t="n"/>
      <c r="AZ156" s="916" t="n"/>
      <c r="BA156" s="823" t="n"/>
      <c r="BB156" s="823" t="n"/>
      <c r="BC156" s="823" t="n"/>
      <c r="BD156" s="823" t="n"/>
      <c r="BE156" s="916" t="n"/>
      <c r="BF156" s="823" t="n"/>
      <c r="BG156" s="823" t="n"/>
      <c r="BH156" s="823" t="n"/>
      <c r="BI156" s="823" t="n"/>
      <c r="BJ156" s="916" t="n"/>
      <c r="BK156" s="823" t="n"/>
      <c r="BL156" s="823" t="n"/>
      <c r="BM156" s="823" t="n"/>
      <c r="BN156" s="823" t="n"/>
      <c r="BO156" s="916" t="n"/>
      <c r="BP156" s="823" t="n"/>
      <c r="BQ156" s="823" t="n"/>
      <c r="BR156" s="823" t="n"/>
      <c r="BS156" s="823" t="n"/>
      <c r="BT156" s="916" t="n"/>
      <c r="BU156" s="823" t="n"/>
      <c r="BV156" s="823" t="n"/>
      <c r="BW156" s="823" t="n"/>
      <c r="BX156" s="823" t="n"/>
      <c r="BY156" s="916" t="n"/>
      <c r="BZ156" s="823" t="n"/>
      <c r="CA156" s="823" t="n"/>
      <c r="CB156" s="823" t="n"/>
      <c r="CC156" s="823" t="n"/>
      <c r="CD156" s="916" t="n"/>
      <c r="CE156" s="815" t="n"/>
      <c r="CF156" s="815" t="n"/>
      <c r="CG156" s="815" t="n"/>
      <c r="CH156" s="815" t="n"/>
      <c r="CI156" s="823" t="n"/>
      <c r="CJ156" s="823" t="n"/>
      <c r="CK156" s="823" t="n"/>
      <c r="CL156" s="823" t="n"/>
      <c r="CM156" s="823" t="n"/>
      <c r="CN156" s="274" t="n"/>
      <c r="CO156" s="686">
        <f>(CM156/CD156)^(1/5)-1</f>
        <v/>
      </c>
      <c r="CP156" s="274" t="n"/>
      <c r="CQ156" s="693" t="n"/>
    </row>
    <row r="157" ht="16.5" customHeight="1">
      <c r="B157" s="698" t="inlineStr">
        <is>
          <t xml:space="preserve">  y/y % growth</t>
        </is>
      </c>
      <c r="C157" s="1037" t="n"/>
      <c r="D157" s="1037" t="n"/>
      <c r="E157" s="1037" t="n"/>
      <c r="F157" s="1037" t="n"/>
      <c r="G157" s="1038" t="n"/>
      <c r="H157" s="1037" t="n"/>
      <c r="I157" s="1037" t="n"/>
      <c r="J157" s="1037" t="n"/>
      <c r="K157" s="1037" t="n"/>
      <c r="L157" s="1038" t="n"/>
      <c r="M157" s="1037" t="n"/>
      <c r="N157" s="1037" t="n"/>
      <c r="O157" s="1037" t="n"/>
      <c r="P157" s="1037" t="n"/>
      <c r="Q157" s="1038" t="n"/>
      <c r="R157" s="1037" t="n"/>
      <c r="S157" s="1037" t="n"/>
      <c r="T157" s="1037" t="n"/>
      <c r="U157" s="1037" t="n"/>
      <c r="V157" s="1038" t="n"/>
      <c r="W157" s="1037" t="n"/>
      <c r="X157" s="1037" t="n"/>
      <c r="Y157" s="1037" t="n"/>
      <c r="Z157" s="1037" t="n"/>
      <c r="AA157" s="1038" t="n"/>
      <c r="AB157" s="1037" t="n"/>
      <c r="AC157" s="1037" t="n"/>
      <c r="AD157" s="1037" t="n"/>
      <c r="AE157" s="1037" t="n"/>
      <c r="AF157" s="1038" t="n"/>
      <c r="AG157" s="1037" t="n"/>
      <c r="AH157" s="1037" t="n"/>
      <c r="AI157" s="1037" t="n"/>
      <c r="AJ157" s="1037" t="n"/>
      <c r="AK157" s="1038" t="n"/>
      <c r="AL157" s="1039" t="n"/>
      <c r="AM157" s="1039" t="n"/>
      <c r="AN157" s="1039" t="n"/>
      <c r="AO157" s="1039" t="n"/>
      <c r="AP157" s="1038" t="n"/>
      <c r="AQ157" s="1039" t="n"/>
      <c r="AR157" s="1039" t="n"/>
      <c r="AS157" s="1039" t="n"/>
      <c r="AT157" s="1039" t="n"/>
      <c r="AU157" s="1038" t="n"/>
      <c r="AV157" s="1039" t="n"/>
      <c r="AW157" s="1039" t="n"/>
      <c r="AX157" s="1039" t="n"/>
      <c r="AY157" s="1039" t="n"/>
      <c r="AZ157" s="1038" t="n"/>
      <c r="BA157" s="1039" t="n"/>
      <c r="BB157" s="1039" t="n"/>
      <c r="BC157" s="1039" t="n"/>
      <c r="BD157" s="1039" t="n"/>
      <c r="BE157" s="1038" t="n"/>
      <c r="BF157" s="1039" t="n"/>
      <c r="BG157" s="1039" t="n"/>
      <c r="BH157" s="1039" t="n"/>
      <c r="BI157" s="1039" t="n"/>
      <c r="BJ157" s="1038" t="n"/>
      <c r="BK157" s="1040" t="n"/>
      <c r="BL157" s="1040" t="n"/>
      <c r="BM157" s="1040" t="n"/>
      <c r="BN157" s="1040" t="n"/>
      <c r="BO157" s="1038" t="n"/>
      <c r="BP157" s="1040" t="n"/>
      <c r="BQ157" s="1040" t="n"/>
      <c r="BR157" s="1040" t="n"/>
      <c r="BS157" s="1040" t="n"/>
      <c r="BT157" s="1038" t="n"/>
      <c r="BU157" s="1040" t="n"/>
      <c r="BV157" s="1040" t="n"/>
      <c r="BW157" s="1040" t="n"/>
      <c r="BX157" s="1040" t="n"/>
      <c r="BY157" s="1041" t="n"/>
      <c r="BZ157" s="1037" t="n"/>
      <c r="CA157" s="1037" t="n"/>
      <c r="CB157" s="1037" t="n"/>
      <c r="CC157" s="1040" t="n"/>
      <c r="CD157" s="1041" t="n"/>
      <c r="CE157" s="974" t="n"/>
      <c r="CF157" s="974" t="n"/>
      <c r="CG157" s="974" t="n"/>
      <c r="CH157" s="974" t="n"/>
      <c r="CI157" s="1042" t="n"/>
      <c r="CJ157" s="1042" t="n"/>
      <c r="CK157" s="1042" t="n"/>
      <c r="CL157" s="1042" t="n"/>
      <c r="CM157" s="1042" t="n"/>
      <c r="CN157" s="291" t="n"/>
      <c r="CO157" s="766" t="n"/>
      <c r="CP157" s="291" t="n"/>
      <c r="CQ157" s="693" t="n"/>
    </row>
    <row r="158" ht="16.5" customHeight="1">
      <c r="B158" s="696" t="inlineStr">
        <is>
          <t>Adjusted EPS — TFI International reported</t>
        </is>
      </c>
      <c r="C158" s="1043" t="n"/>
      <c r="D158" s="1043" t="n"/>
      <c r="E158" s="1043" t="n"/>
      <c r="F158" s="1043" t="n"/>
      <c r="G158" s="882" t="n"/>
      <c r="H158" s="841" t="n"/>
      <c r="I158" s="841" t="n"/>
      <c r="J158" s="841" t="n"/>
      <c r="K158" s="841" t="n"/>
      <c r="L158" s="882" t="n"/>
      <c r="M158" s="841" t="n"/>
      <c r="N158" s="841" t="n"/>
      <c r="O158" s="841" t="n"/>
      <c r="P158" s="841" t="n"/>
      <c r="Q158" s="882" t="n"/>
      <c r="R158" s="841" t="n"/>
      <c r="S158" s="841" t="n"/>
      <c r="T158" s="841" t="n"/>
      <c r="U158" s="841" t="n"/>
      <c r="V158" s="882" t="n"/>
      <c r="W158" s="841" t="n"/>
      <c r="X158" s="841" t="n"/>
      <c r="Y158" s="841" t="n"/>
      <c r="Z158" s="841" t="n"/>
      <c r="AA158" s="882" t="n"/>
      <c r="AB158" s="1043" t="n"/>
      <c r="AC158" s="1043" t="n"/>
      <c r="AD158" s="1043" t="n"/>
      <c r="AE158" s="1043" t="n"/>
      <c r="AF158" s="1044" t="n"/>
      <c r="AG158" s="1043" t="n"/>
      <c r="AH158" s="1043" t="n"/>
      <c r="AI158" s="1043" t="n"/>
      <c r="AJ158" s="1043" t="n"/>
      <c r="AK158" s="1044" t="n"/>
      <c r="AL158" s="1045" t="n"/>
      <c r="AM158" s="1045" t="n"/>
      <c r="AN158" s="1045" t="n"/>
      <c r="AO158" s="1045" t="n"/>
      <c r="AP158" s="1044" t="n"/>
      <c r="AQ158" s="1045" t="n"/>
      <c r="AR158" s="1045" t="n"/>
      <c r="AS158" s="1045" t="n"/>
      <c r="AT158" s="1045" t="n"/>
      <c r="AU158" s="1044" t="n"/>
      <c r="AV158" s="1045" t="n"/>
      <c r="AW158" s="1045" t="n"/>
      <c r="AX158" s="1045" t="n"/>
      <c r="AY158" s="1045" t="n"/>
      <c r="AZ158" s="1044" t="n"/>
      <c r="BA158" s="1045" t="n"/>
      <c r="BB158" s="1045" t="n"/>
      <c r="BC158" s="1045" t="n"/>
      <c r="BD158" s="1045" t="n"/>
      <c r="BE158" s="1044" t="n"/>
      <c r="BF158" s="1046" t="n"/>
      <c r="BG158" s="1046" t="n"/>
      <c r="BH158" s="1046" t="n"/>
      <c r="BI158" s="1046" t="n"/>
      <c r="BJ158" s="1044" t="n"/>
      <c r="BK158" s="1046" t="n"/>
      <c r="BL158" s="1046" t="n"/>
      <c r="BM158" s="1046" t="n"/>
      <c r="BN158" s="1046" t="n"/>
      <c r="BO158" s="1044" t="n"/>
      <c r="BP158" s="1046" t="n"/>
      <c r="BQ158" s="1046" t="n"/>
      <c r="BR158" s="1046" t="n"/>
      <c r="BS158" s="1046" t="n"/>
      <c r="BT158" s="1044" t="n"/>
      <c r="BU158" s="1046" t="n"/>
      <c r="BV158" s="1046" t="n"/>
      <c r="BW158" s="1046" t="n"/>
      <c r="BX158" s="1046" t="n"/>
      <c r="BY158" s="1044" t="n"/>
      <c r="BZ158" s="1046" t="n"/>
      <c r="CA158" s="1046" t="n"/>
      <c r="CB158" s="1046" t="n"/>
      <c r="CC158" s="1047" t="n"/>
      <c r="CD158" s="1044" t="n"/>
      <c r="CE158" s="1048" t="n"/>
      <c r="CF158" s="1048" t="n"/>
      <c r="CG158" s="1049" t="n"/>
      <c r="CH158" s="1049" t="n"/>
      <c r="CI158" s="1046" t="n"/>
      <c r="CJ158" s="1046" t="n"/>
      <c r="CK158" s="1046" t="n"/>
      <c r="CL158" s="1046" t="n"/>
      <c r="CM158" s="1046" t="n"/>
      <c r="CN158" s="291" t="n"/>
      <c r="CO158" s="766" t="n"/>
      <c r="CP158" s="291" t="n"/>
      <c r="CQ158" s="693" t="n"/>
    </row>
    <row r="159" ht="16.5" customHeight="1">
      <c r="B159" s="738" t="inlineStr">
        <is>
          <t>Variance ($)</t>
        </is>
      </c>
      <c r="C159" s="1050" t="n"/>
      <c r="D159" s="1050" t="n"/>
      <c r="E159" s="1050" t="n"/>
      <c r="F159" s="1050" t="n"/>
      <c r="G159" s="1051" t="n"/>
      <c r="H159" s="1050" t="n"/>
      <c r="I159" s="1050" t="n"/>
      <c r="J159" s="1050" t="n"/>
      <c r="K159" s="1050" t="n"/>
      <c r="L159" s="1051" t="n"/>
      <c r="M159" s="1050" t="n"/>
      <c r="N159" s="1050" t="n"/>
      <c r="O159" s="1050" t="n"/>
      <c r="P159" s="1050" t="n"/>
      <c r="Q159" s="1051" t="n"/>
      <c r="R159" s="1050" t="n"/>
      <c r="S159" s="1050" t="n"/>
      <c r="T159" s="1050" t="n"/>
      <c r="U159" s="1050" t="n"/>
      <c r="V159" s="1051" t="n"/>
      <c r="W159" s="1050" t="n"/>
      <c r="X159" s="1050" t="n"/>
      <c r="Y159" s="1050" t="n"/>
      <c r="Z159" s="1050" t="n"/>
      <c r="AA159" s="1051" t="n"/>
      <c r="AB159" s="1050" t="n"/>
      <c r="AC159" s="1050" t="n"/>
      <c r="AD159" s="1050" t="n"/>
      <c r="AE159" s="1050" t="n"/>
      <c r="AF159" s="1052" t="n"/>
      <c r="AG159" s="1050" t="n"/>
      <c r="AH159" s="1050" t="n"/>
      <c r="AI159" s="1050" t="n"/>
      <c r="AJ159" s="1050" t="n"/>
      <c r="AK159" s="1052" t="n"/>
      <c r="AL159" s="1053" t="n"/>
      <c r="AM159" s="1053" t="n"/>
      <c r="AN159" s="1053" t="n"/>
      <c r="AO159" s="1053" t="n"/>
      <c r="AP159" s="1052" t="n"/>
      <c r="AQ159" s="1053" t="n"/>
      <c r="AR159" s="1053" t="n"/>
      <c r="AS159" s="1053" t="n"/>
      <c r="AT159" s="1053" t="n"/>
      <c r="AU159" s="1052" t="n"/>
      <c r="AV159" s="1053" t="n"/>
      <c r="AW159" s="1053" t="n"/>
      <c r="AX159" s="1053" t="n"/>
      <c r="AY159" s="1053" t="n"/>
      <c r="AZ159" s="1052" t="n"/>
      <c r="BA159" s="1053" t="n"/>
      <c r="BB159" s="1053" t="n"/>
      <c r="BC159" s="1053" t="n"/>
      <c r="BD159" s="1053" t="n"/>
      <c r="BE159" s="1052" t="n"/>
      <c r="BF159" s="1054" t="n"/>
      <c r="BG159" s="1054" t="n"/>
      <c r="BH159" s="1054" t="n"/>
      <c r="BI159" s="1054" t="n"/>
      <c r="BJ159" s="1052" t="n"/>
      <c r="BK159" s="1054" t="n"/>
      <c r="BL159" s="1054" t="n"/>
      <c r="BM159" s="1054" t="n"/>
      <c r="BN159" s="1054" t="n"/>
      <c r="BO159" s="1052" t="n"/>
      <c r="BP159" s="1054" t="n"/>
      <c r="BQ159" s="1054" t="n"/>
      <c r="BR159" s="1054" t="n"/>
      <c r="BS159" s="1054" t="n"/>
      <c r="BT159" s="1052" t="n"/>
      <c r="BU159" s="1054" t="n"/>
      <c r="BV159" s="1054" t="n"/>
      <c r="BW159" s="1054" t="n"/>
      <c r="BX159" s="1054" t="n"/>
      <c r="BY159" s="1052" t="n"/>
      <c r="BZ159" s="1055" t="n"/>
      <c r="CA159" s="1055" t="n"/>
      <c r="CB159" s="1055" t="n"/>
      <c r="CC159" s="1055" t="n"/>
      <c r="CD159" s="1052" t="n"/>
      <c r="CE159" s="1055" t="n"/>
      <c r="CF159" s="1055" t="n"/>
      <c r="CG159" s="1055" t="n"/>
      <c r="CH159" s="1055" t="n"/>
      <c r="CI159" s="1056" t="n"/>
      <c r="CJ159" s="1056" t="n"/>
      <c r="CK159" s="1056" t="n"/>
      <c r="CL159" s="1056" t="n"/>
      <c r="CM159" s="1056" t="n"/>
      <c r="CN159" s="291" t="n"/>
      <c r="CO159" s="766" t="n"/>
      <c r="CP159" s="291" t="n"/>
      <c r="CQ159" s="693" t="n"/>
    </row>
    <row r="160" ht="16.5" customHeight="1">
      <c r="B160" s="223" t="inlineStr">
        <is>
          <t>GROWTH &amp; MARGINS</t>
        </is>
      </c>
      <c r="C160" s="224" t="n"/>
      <c r="D160" s="224" t="n"/>
      <c r="E160" s="224" t="n"/>
      <c r="F160" s="224" t="n"/>
      <c r="G160" s="867" t="n"/>
      <c r="H160" s="224" t="n"/>
      <c r="I160" s="224" t="n"/>
      <c r="J160" s="224" t="n"/>
      <c r="K160" s="224" t="n"/>
      <c r="L160" s="867" t="n"/>
      <c r="M160" s="224" t="n"/>
      <c r="N160" s="224" t="n"/>
      <c r="O160" s="224" t="n"/>
      <c r="P160" s="224" t="n"/>
      <c r="Q160" s="867" t="n"/>
      <c r="R160" s="224" t="n"/>
      <c r="S160" s="224" t="n"/>
      <c r="T160" s="224" t="n"/>
      <c r="U160" s="224" t="n"/>
      <c r="V160" s="867" t="n"/>
      <c r="W160" s="224" t="n"/>
      <c r="X160" s="224" t="n"/>
      <c r="Y160" s="224" t="n"/>
      <c r="Z160" s="224" t="n"/>
      <c r="AA160" s="867" t="n"/>
      <c r="AB160" s="224" t="n"/>
      <c r="AC160" s="224" t="n"/>
      <c r="AD160" s="224" t="n"/>
      <c r="AE160" s="224" t="n"/>
      <c r="AF160" s="867" t="n"/>
      <c r="AG160" s="224" t="n"/>
      <c r="AH160" s="224" t="n"/>
      <c r="AI160" s="224" t="n"/>
      <c r="AJ160" s="224" t="n"/>
      <c r="AK160" s="867" t="n"/>
      <c r="AL160" s="224" t="n"/>
      <c r="AM160" s="224" t="n"/>
      <c r="AN160" s="224" t="n"/>
      <c r="AO160" s="224" t="n"/>
      <c r="AP160" s="867" t="n"/>
      <c r="AQ160" s="224" t="n"/>
      <c r="AR160" s="224" t="n"/>
      <c r="AS160" s="224" t="n"/>
      <c r="AT160" s="224" t="n"/>
      <c r="AU160" s="867" t="n"/>
      <c r="AV160" s="224" t="n"/>
      <c r="AW160" s="224" t="n"/>
      <c r="AX160" s="224" t="n"/>
      <c r="AY160" s="224" t="n"/>
      <c r="AZ160" s="867" t="n"/>
      <c r="BA160" s="224" t="n"/>
      <c r="BB160" s="224" t="n"/>
      <c r="BC160" s="224" t="n"/>
      <c r="BD160" s="224" t="n"/>
      <c r="BE160" s="867" t="n"/>
      <c r="BF160" s="224" t="n"/>
      <c r="BG160" s="224" t="n"/>
      <c r="BH160" s="224" t="n"/>
      <c r="BI160" s="224" t="n"/>
      <c r="BJ160" s="867" t="n"/>
      <c r="BK160" s="224" t="n"/>
      <c r="BL160" s="224" t="n"/>
      <c r="BM160" s="224" t="n"/>
      <c r="BN160" s="224" t="n"/>
      <c r="BO160" s="867" t="n"/>
      <c r="BP160" s="224" t="n"/>
      <c r="BQ160" s="224" t="n"/>
      <c r="BR160" s="224" t="n"/>
      <c r="BS160" s="224" t="n"/>
      <c r="BT160" s="867" t="n"/>
      <c r="BU160" s="224" t="n"/>
      <c r="BV160" s="224" t="n"/>
      <c r="BW160" s="224" t="n"/>
      <c r="BX160" s="224" t="n"/>
      <c r="BY160" s="867" t="n"/>
      <c r="BZ160" s="224" t="n"/>
      <c r="CA160" s="224" t="n"/>
      <c r="CB160" s="224" t="n"/>
      <c r="CC160" s="224" t="n"/>
      <c r="CD160" s="867" t="n"/>
      <c r="CE160" s="224" t="n"/>
      <c r="CF160" s="224" t="n"/>
      <c r="CG160" s="224" t="n"/>
      <c r="CH160" s="224" t="n"/>
      <c r="CI160" s="224" t="n"/>
      <c r="CJ160" s="224" t="n"/>
      <c r="CK160" s="224" t="n"/>
      <c r="CL160" s="224" t="n"/>
      <c r="CM160" s="224" t="n"/>
      <c r="CN160" s="224" t="n"/>
      <c r="CO160" s="684" t="n"/>
      <c r="CP160" s="224" t="n"/>
      <c r="CQ160" s="693" t="n"/>
    </row>
    <row r="161" ht="16.5" customHeight="1">
      <c r="B161" s="12" t="inlineStr">
        <is>
          <t xml:space="preserve">  Net sales y/y %</t>
        </is>
      </c>
      <c r="C161" s="974" t="n"/>
      <c r="D161" s="974" t="n"/>
      <c r="E161" s="974" t="n"/>
      <c r="F161" s="974" t="n"/>
      <c r="G161" s="975" t="n"/>
      <c r="H161" s="974" t="n"/>
      <c r="I161" s="974" t="n"/>
      <c r="J161" s="974" t="n"/>
      <c r="K161" s="974" t="n"/>
      <c r="L161" s="986">
        <f>L114/G114-1</f>
        <v/>
      </c>
      <c r="M161" s="985" t="n"/>
      <c r="N161" s="985" t="n"/>
      <c r="O161" s="985" t="n"/>
      <c r="P161" s="985" t="n"/>
      <c r="Q161" s="986">
        <f>Q114/L114-1</f>
        <v/>
      </c>
      <c r="R161" s="985" t="n"/>
      <c r="S161" s="985" t="n"/>
      <c r="T161" s="985" t="n"/>
      <c r="U161" s="985" t="n"/>
      <c r="V161" s="986">
        <f>V114/Q114-1</f>
        <v/>
      </c>
      <c r="W161" s="985" t="n"/>
      <c r="X161" s="985" t="n"/>
      <c r="Y161" s="985" t="n"/>
      <c r="Z161" s="985" t="n"/>
      <c r="AA161" s="986">
        <f>AA114/V114-1</f>
        <v/>
      </c>
      <c r="AB161" s="985" t="n"/>
      <c r="AC161" s="985" t="n"/>
      <c r="AD161" s="985" t="n"/>
      <c r="AE161" s="985" t="n"/>
      <c r="AF161" s="986">
        <f>AF114/AA114-1</f>
        <v/>
      </c>
      <c r="AG161" s="985" t="n"/>
      <c r="AH161" s="985" t="n"/>
      <c r="AI161" s="985" t="n"/>
      <c r="AJ161" s="985" t="n"/>
      <c r="AK161" s="986">
        <f>AK114/AF114-1</f>
        <v/>
      </c>
      <c r="AL161" s="985" t="n"/>
      <c r="AM161" s="985" t="n"/>
      <c r="AN161" s="985" t="n"/>
      <c r="AO161" s="985" t="n"/>
      <c r="AP161" s="986">
        <f>AP114/AK114-1</f>
        <v/>
      </c>
      <c r="AQ161" s="985" t="n"/>
      <c r="AR161" s="985" t="n"/>
      <c r="AS161" s="985" t="n"/>
      <c r="AT161" s="985" t="n"/>
      <c r="AU161" s="986">
        <f>AU114/AP114-1</f>
        <v/>
      </c>
      <c r="AV161" s="985" t="n"/>
      <c r="AW161" s="985" t="n"/>
      <c r="AX161" s="985" t="n"/>
      <c r="AY161" s="985" t="n"/>
      <c r="AZ161" s="986">
        <f>AZ114/AU114-1</f>
        <v/>
      </c>
      <c r="BA161" s="985" t="n"/>
      <c r="BB161" s="985" t="n"/>
      <c r="BC161" s="985" t="n"/>
      <c r="BD161" s="985" t="n"/>
      <c r="BE161" s="986">
        <f>BE114/AZ114-1</f>
        <v/>
      </c>
      <c r="BF161" s="985" t="n"/>
      <c r="BG161" s="985" t="n"/>
      <c r="BH161" s="985" t="n"/>
      <c r="BI161" s="985" t="n"/>
      <c r="BJ161" s="986">
        <f>BJ114/BE114-1</f>
        <v/>
      </c>
      <c r="BK161" s="985" t="n"/>
      <c r="BL161" s="985" t="n"/>
      <c r="BM161" s="985" t="n"/>
      <c r="BN161" s="985" t="n"/>
      <c r="BO161" s="986">
        <f>BO114/BJ114-1</f>
        <v/>
      </c>
      <c r="BP161" s="985" t="n"/>
      <c r="BQ161" s="985" t="n"/>
      <c r="BR161" s="985" t="n"/>
      <c r="BS161" s="985" t="n"/>
      <c r="BT161" s="986">
        <f>BT114/BO114-1</f>
        <v/>
      </c>
      <c r="BU161" s="985" t="n"/>
      <c r="BV161" s="985" t="n"/>
      <c r="BW161" s="985" t="n"/>
      <c r="BX161" s="985" t="n"/>
      <c r="BY161" s="986">
        <f>BY114/BT114-1</f>
        <v/>
      </c>
      <c r="BZ161" s="985" t="n"/>
      <c r="CA161" s="985" t="n"/>
      <c r="CB161" s="985" t="n"/>
      <c r="CC161" s="985" t="n"/>
      <c r="CD161" s="986">
        <f>CD114/BY114-1</f>
        <v/>
      </c>
      <c r="CE161" s="985">
        <f>CE114/BZ114-1</f>
        <v/>
      </c>
      <c r="CF161" s="985">
        <f>CF114/CA114-1</f>
        <v/>
      </c>
      <c r="CG161" s="985">
        <f>CG114/CB114-1</f>
        <v/>
      </c>
      <c r="CH161" s="985">
        <f>CH114/CC114-1</f>
        <v/>
      </c>
      <c r="CI161" s="987">
        <f>CI114/CD114-1</f>
        <v/>
      </c>
      <c r="CJ161" s="987">
        <f>CJ114/CI114-1</f>
        <v/>
      </c>
      <c r="CK161" s="987">
        <f>CK114/CJ114-1</f>
        <v/>
      </c>
      <c r="CL161" s="987">
        <f>CL114/CK114-1</f>
        <v/>
      </c>
      <c r="CM161" s="987">
        <f>CM114/CL114-1</f>
        <v/>
      </c>
      <c r="CN161" s="974" t="n"/>
      <c r="CO161" s="766" t="n"/>
      <c r="CP161" s="974" t="n"/>
      <c r="CQ161" s="693" t="n"/>
    </row>
    <row r="162" ht="16.5" customHeight="1">
      <c r="B162" s="12" t="inlineStr">
        <is>
          <t xml:space="preserve">  Gross profit y/y %</t>
        </is>
      </c>
      <c r="C162" s="974" t="n"/>
      <c r="D162" s="974" t="n"/>
      <c r="E162" s="974" t="n"/>
      <c r="F162" s="974" t="n"/>
      <c r="G162" s="975" t="n"/>
      <c r="H162" s="974" t="n"/>
      <c r="I162" s="974" t="n"/>
      <c r="J162" s="974" t="n"/>
      <c r="K162" s="974" t="n"/>
      <c r="L162" s="986">
        <f>L116/G116-1</f>
        <v/>
      </c>
      <c r="M162" s="985" t="n"/>
      <c r="N162" s="985" t="n"/>
      <c r="O162" s="985" t="n"/>
      <c r="P162" s="985" t="n"/>
      <c r="Q162" s="986">
        <f>Q116/L116-1</f>
        <v/>
      </c>
      <c r="R162" s="985" t="n"/>
      <c r="S162" s="985" t="n"/>
      <c r="T162" s="985" t="n"/>
      <c r="U162" s="985" t="n"/>
      <c r="V162" s="986">
        <f>V116/Q116-1</f>
        <v/>
      </c>
      <c r="W162" s="985" t="n"/>
      <c r="X162" s="985" t="n"/>
      <c r="Y162" s="985" t="n"/>
      <c r="Z162" s="985" t="n"/>
      <c r="AA162" s="986">
        <f>AA116/V116-1</f>
        <v/>
      </c>
      <c r="AB162" s="985" t="n"/>
      <c r="AC162" s="985" t="n"/>
      <c r="AD162" s="985" t="n"/>
      <c r="AE162" s="985" t="n"/>
      <c r="AF162" s="986">
        <f>AF116/AA116-1</f>
        <v/>
      </c>
      <c r="AG162" s="985" t="n"/>
      <c r="AH162" s="985" t="n"/>
      <c r="AI162" s="985" t="n"/>
      <c r="AJ162" s="985" t="n"/>
      <c r="AK162" s="986">
        <f>AK116/AF116-1</f>
        <v/>
      </c>
      <c r="AL162" s="985" t="n"/>
      <c r="AM162" s="985" t="n"/>
      <c r="AN162" s="985" t="n"/>
      <c r="AO162" s="985" t="n"/>
      <c r="AP162" s="986">
        <f>AP116/AK116-1</f>
        <v/>
      </c>
      <c r="AQ162" s="985" t="n"/>
      <c r="AR162" s="985" t="n"/>
      <c r="AS162" s="985" t="n"/>
      <c r="AT162" s="985" t="n"/>
      <c r="AU162" s="986">
        <f>AU116/AP116-1</f>
        <v/>
      </c>
      <c r="AV162" s="985" t="n"/>
      <c r="AW162" s="985" t="n"/>
      <c r="AX162" s="985" t="n"/>
      <c r="AY162" s="985" t="n"/>
      <c r="AZ162" s="986">
        <f>AZ116/AU116-1</f>
        <v/>
      </c>
      <c r="BA162" s="985" t="n"/>
      <c r="BB162" s="985" t="n"/>
      <c r="BC162" s="985" t="n"/>
      <c r="BD162" s="985" t="n"/>
      <c r="BE162" s="986">
        <f>BE116/AZ116-1</f>
        <v/>
      </c>
      <c r="BF162" s="985" t="n"/>
      <c r="BG162" s="985" t="n"/>
      <c r="BH162" s="985" t="n"/>
      <c r="BI162" s="985" t="n"/>
      <c r="BJ162" s="986">
        <f>BJ116/BE116-1</f>
        <v/>
      </c>
      <c r="BK162" s="985" t="n"/>
      <c r="BL162" s="985" t="n"/>
      <c r="BM162" s="985" t="n"/>
      <c r="BN162" s="985" t="n"/>
      <c r="BO162" s="986">
        <f>BO116/BJ116-1</f>
        <v/>
      </c>
      <c r="BP162" s="985" t="n"/>
      <c r="BQ162" s="985" t="n"/>
      <c r="BR162" s="985" t="n"/>
      <c r="BS162" s="985" t="n"/>
      <c r="BT162" s="986">
        <f>BT116/BO116-1</f>
        <v/>
      </c>
      <c r="BU162" s="985" t="n"/>
      <c r="BV162" s="985" t="n"/>
      <c r="BW162" s="985" t="n"/>
      <c r="BX162" s="985" t="n"/>
      <c r="BY162" s="986">
        <f>BY116/BT116-1</f>
        <v/>
      </c>
      <c r="BZ162" s="985" t="n"/>
      <c r="CA162" s="985" t="n"/>
      <c r="CB162" s="985" t="n"/>
      <c r="CC162" s="985" t="n"/>
      <c r="CD162" s="986">
        <f>CD116/BY116-1</f>
        <v/>
      </c>
      <c r="CE162" s="985">
        <f>CE116/BZ116-1</f>
        <v/>
      </c>
      <c r="CF162" s="985">
        <f>CF116/CA116-1</f>
        <v/>
      </c>
      <c r="CG162" s="985">
        <f>CG116/CB116-1</f>
        <v/>
      </c>
      <c r="CH162" s="985">
        <f>CH116/CC116-1</f>
        <v/>
      </c>
      <c r="CI162" s="987">
        <f>CI116/CD116-1</f>
        <v/>
      </c>
      <c r="CJ162" s="987">
        <f>CJ116/CI116-1</f>
        <v/>
      </c>
      <c r="CK162" s="987">
        <f>CK116/CJ116-1</f>
        <v/>
      </c>
      <c r="CL162" s="987">
        <f>CL116/CK116-1</f>
        <v/>
      </c>
      <c r="CM162" s="987">
        <f>CM116/CL116-1</f>
        <v/>
      </c>
      <c r="CN162" s="974" t="n"/>
      <c r="CO162" s="766" t="n"/>
      <c r="CP162" s="974" t="n"/>
      <c r="CQ162" s="693" t="n"/>
    </row>
    <row r="163" ht="16.5" customHeight="1">
      <c r="B163" s="12" t="inlineStr">
        <is>
          <t xml:space="preserve">  Operating earnings y/y %</t>
        </is>
      </c>
      <c r="C163" s="974" t="n"/>
      <c r="D163" s="974" t="n"/>
      <c r="E163" s="974" t="n"/>
      <c r="F163" s="974" t="n"/>
      <c r="G163" s="975" t="n"/>
      <c r="H163" s="974" t="n"/>
      <c r="I163" s="974" t="n"/>
      <c r="J163" s="974" t="n"/>
      <c r="K163" s="974" t="n"/>
      <c r="L163" s="986">
        <f>L126/G126-1</f>
        <v/>
      </c>
      <c r="M163" s="985" t="n"/>
      <c r="N163" s="985" t="n"/>
      <c r="O163" s="985" t="n"/>
      <c r="P163" s="985" t="n"/>
      <c r="Q163" s="986">
        <f>Q126/L126-1</f>
        <v/>
      </c>
      <c r="R163" s="985" t="n"/>
      <c r="S163" s="985" t="n"/>
      <c r="T163" s="985" t="n"/>
      <c r="U163" s="985" t="n"/>
      <c r="V163" s="986">
        <f>V126/Q126-1</f>
        <v/>
      </c>
      <c r="W163" s="985" t="n"/>
      <c r="X163" s="985" t="n"/>
      <c r="Y163" s="985" t="n"/>
      <c r="Z163" s="985" t="n"/>
      <c r="AA163" s="986">
        <f>AA126/V126-1</f>
        <v/>
      </c>
      <c r="AB163" s="985" t="n"/>
      <c r="AC163" s="985" t="n"/>
      <c r="AD163" s="985" t="n"/>
      <c r="AE163" s="985" t="n"/>
      <c r="AF163" s="986">
        <f>AF126/AA126-1</f>
        <v/>
      </c>
      <c r="AG163" s="985" t="n"/>
      <c r="AH163" s="985" t="n"/>
      <c r="AI163" s="985" t="n"/>
      <c r="AJ163" s="985" t="n"/>
      <c r="AK163" s="986">
        <f>AK126/AF126-1</f>
        <v/>
      </c>
      <c r="AL163" s="985" t="n"/>
      <c r="AM163" s="985" t="n"/>
      <c r="AN163" s="985" t="n"/>
      <c r="AO163" s="985" t="n"/>
      <c r="AP163" s="986">
        <f>AP126/AK126-1</f>
        <v/>
      </c>
      <c r="AQ163" s="985" t="n"/>
      <c r="AR163" s="985" t="n"/>
      <c r="AS163" s="985" t="n"/>
      <c r="AT163" s="985" t="n"/>
      <c r="AU163" s="986">
        <f>AU126/AP126-1</f>
        <v/>
      </c>
      <c r="AV163" s="985" t="n"/>
      <c r="AW163" s="985" t="n"/>
      <c r="AX163" s="985" t="n"/>
      <c r="AY163" s="985" t="n"/>
      <c r="AZ163" s="986">
        <f>AZ126/AU126-1</f>
        <v/>
      </c>
      <c r="BA163" s="985" t="n"/>
      <c r="BB163" s="985" t="n"/>
      <c r="BC163" s="985" t="n"/>
      <c r="BD163" s="985" t="n"/>
      <c r="BE163" s="986">
        <f>BE126/AZ126-1</f>
        <v/>
      </c>
      <c r="BF163" s="985" t="n"/>
      <c r="BG163" s="985" t="n"/>
      <c r="BH163" s="985" t="n"/>
      <c r="BI163" s="985" t="n"/>
      <c r="BJ163" s="986">
        <f>BJ126/BE126-1</f>
        <v/>
      </c>
      <c r="BK163" s="985" t="n"/>
      <c r="BL163" s="985" t="n"/>
      <c r="BM163" s="985" t="n"/>
      <c r="BN163" s="985" t="n"/>
      <c r="BO163" s="986">
        <f>BO126/BJ126-1</f>
        <v/>
      </c>
      <c r="BP163" s="985" t="n"/>
      <c r="BQ163" s="985" t="n"/>
      <c r="BR163" s="985" t="n"/>
      <c r="BS163" s="985" t="n"/>
      <c r="BT163" s="986">
        <f>BT126/BO126-1</f>
        <v/>
      </c>
      <c r="BU163" s="985" t="n"/>
      <c r="BV163" s="985" t="n"/>
      <c r="BW163" s="985" t="n"/>
      <c r="BX163" s="985" t="n"/>
      <c r="BY163" s="986">
        <f>BY126/BT126-1</f>
        <v/>
      </c>
      <c r="BZ163" s="985" t="n"/>
      <c r="CA163" s="985" t="n"/>
      <c r="CB163" s="985" t="n"/>
      <c r="CC163" s="985" t="n"/>
      <c r="CD163" s="986">
        <f>CD126/BY126-1</f>
        <v/>
      </c>
      <c r="CE163" s="985">
        <f>CE126/BZ126-1</f>
        <v/>
      </c>
      <c r="CF163" s="985">
        <f>CF126/CA126-1</f>
        <v/>
      </c>
      <c r="CG163" s="985">
        <f>CG126/CB126-1</f>
        <v/>
      </c>
      <c r="CH163" s="985">
        <f>CH126/CC126-1</f>
        <v/>
      </c>
      <c r="CI163" s="987">
        <f>CI126/CD126-1</f>
        <v/>
      </c>
      <c r="CJ163" s="987">
        <f>CJ126/CI126-1</f>
        <v/>
      </c>
      <c r="CK163" s="987">
        <f>CK126/CJ126-1</f>
        <v/>
      </c>
      <c r="CL163" s="987">
        <f>CL126/CK126-1</f>
        <v/>
      </c>
      <c r="CM163" s="987">
        <f>CM126/CL126-1</f>
        <v/>
      </c>
      <c r="CN163" s="974" t="n"/>
      <c r="CO163" s="766" t="n"/>
      <c r="CP163" s="974" t="n"/>
      <c r="CQ163" s="693" t="n"/>
    </row>
    <row r="164" ht="16.5" customHeight="1">
      <c r="B164" s="12" t="inlineStr">
        <is>
          <t xml:space="preserve">  Net earnings y/y %</t>
        </is>
      </c>
      <c r="C164" s="974" t="n"/>
      <c r="D164" s="974" t="n"/>
      <c r="E164" s="974" t="n"/>
      <c r="F164" s="974" t="n"/>
      <c r="G164" s="975" t="n"/>
      <c r="H164" s="974" t="n"/>
      <c r="I164" s="974" t="n"/>
      <c r="J164" s="974" t="n"/>
      <c r="K164" s="974" t="n"/>
      <c r="L164" s="986">
        <f>L133/G133-1</f>
        <v/>
      </c>
      <c r="M164" s="985" t="n"/>
      <c r="N164" s="985" t="n"/>
      <c r="O164" s="985" t="n"/>
      <c r="P164" s="985" t="n"/>
      <c r="Q164" s="986">
        <f>Q133/L133-1</f>
        <v/>
      </c>
      <c r="R164" s="985" t="n"/>
      <c r="S164" s="985" t="n"/>
      <c r="T164" s="985" t="n"/>
      <c r="U164" s="985" t="n"/>
      <c r="V164" s="986">
        <f>V133/Q133-1</f>
        <v/>
      </c>
      <c r="W164" s="985" t="n"/>
      <c r="X164" s="985" t="n"/>
      <c r="Y164" s="985" t="n"/>
      <c r="Z164" s="985" t="n"/>
      <c r="AA164" s="986">
        <f>AA133/V133-1</f>
        <v/>
      </c>
      <c r="AB164" s="985" t="n"/>
      <c r="AC164" s="985" t="n"/>
      <c r="AD164" s="985" t="n"/>
      <c r="AE164" s="985" t="n"/>
      <c r="AF164" s="986">
        <f>AF133/AA133-1</f>
        <v/>
      </c>
      <c r="AG164" s="985" t="n"/>
      <c r="AH164" s="985" t="n"/>
      <c r="AI164" s="985" t="n"/>
      <c r="AJ164" s="985" t="n"/>
      <c r="AK164" s="986">
        <f>AK133/AF133-1</f>
        <v/>
      </c>
      <c r="AL164" s="985" t="n"/>
      <c r="AM164" s="985" t="n"/>
      <c r="AN164" s="985" t="n"/>
      <c r="AO164" s="985" t="n"/>
      <c r="AP164" s="986">
        <f>AP133/AK133-1</f>
        <v/>
      </c>
      <c r="AQ164" s="985" t="n"/>
      <c r="AR164" s="985" t="n"/>
      <c r="AS164" s="985" t="n"/>
      <c r="AT164" s="985" t="n"/>
      <c r="AU164" s="986">
        <f>AU133/AP133-1</f>
        <v/>
      </c>
      <c r="AV164" s="985" t="n"/>
      <c r="AW164" s="985" t="n"/>
      <c r="AX164" s="985" t="n"/>
      <c r="AY164" s="985" t="n"/>
      <c r="AZ164" s="986">
        <f>AZ133/AU133-1</f>
        <v/>
      </c>
      <c r="BA164" s="985" t="n"/>
      <c r="BB164" s="985" t="n"/>
      <c r="BC164" s="985" t="n"/>
      <c r="BD164" s="985" t="n"/>
      <c r="BE164" s="986">
        <f>BE133/AZ133-1</f>
        <v/>
      </c>
      <c r="BF164" s="985" t="n"/>
      <c r="BG164" s="985" t="n"/>
      <c r="BH164" s="985" t="n"/>
      <c r="BI164" s="985" t="n"/>
      <c r="BJ164" s="986">
        <f>BJ133/BE133-1</f>
        <v/>
      </c>
      <c r="BK164" s="985" t="n"/>
      <c r="BL164" s="985" t="n"/>
      <c r="BM164" s="985" t="n"/>
      <c r="BN164" s="985" t="n"/>
      <c r="BO164" s="986">
        <f>BO133/BJ133-1</f>
        <v/>
      </c>
      <c r="BP164" s="985" t="n"/>
      <c r="BQ164" s="985" t="n"/>
      <c r="BR164" s="985" t="n"/>
      <c r="BS164" s="985" t="n"/>
      <c r="BT164" s="986">
        <f>BT133/BO133-1</f>
        <v/>
      </c>
      <c r="BU164" s="985" t="n"/>
      <c r="BV164" s="985" t="n"/>
      <c r="BW164" s="985" t="n"/>
      <c r="BX164" s="985" t="n"/>
      <c r="BY164" s="986">
        <f>BY133/BT133-1</f>
        <v/>
      </c>
      <c r="BZ164" s="985" t="n"/>
      <c r="CA164" s="985" t="n"/>
      <c r="CB164" s="985" t="n"/>
      <c r="CC164" s="985" t="n"/>
      <c r="CD164" s="986">
        <f>CD133/BY133-1</f>
        <v/>
      </c>
      <c r="CE164" s="985">
        <f>CE133/BZ133-1</f>
        <v/>
      </c>
      <c r="CF164" s="985">
        <f>CF133/CA133-1</f>
        <v/>
      </c>
      <c r="CG164" s="985">
        <f>CG133/CB133-1</f>
        <v/>
      </c>
      <c r="CH164" s="985">
        <f>CH133/CC133-1</f>
        <v/>
      </c>
      <c r="CI164" s="987">
        <f>CI133/CD133-1</f>
        <v/>
      </c>
      <c r="CJ164" s="987">
        <f>CJ133/CI133-1</f>
        <v/>
      </c>
      <c r="CK164" s="987">
        <f>CK133/CJ133-1</f>
        <v/>
      </c>
      <c r="CL164" s="987">
        <f>CL133/CK133-1</f>
        <v/>
      </c>
      <c r="CM164" s="987">
        <f>CM133/CL133-1</f>
        <v/>
      </c>
      <c r="CN164" s="974" t="n"/>
      <c r="CO164" s="766" t="n"/>
      <c r="CP164" s="974" t="n"/>
      <c r="CQ164" s="693" t="n"/>
    </row>
    <row r="165" ht="16.5" customHeight="1">
      <c r="B165" s="12" t="inlineStr">
        <is>
          <t xml:space="preserve">  Gross margin %</t>
        </is>
      </c>
      <c r="C165" s="974" t="n"/>
      <c r="D165" s="974" t="n"/>
      <c r="E165" s="974" t="n"/>
      <c r="F165" s="974" t="n"/>
      <c r="G165" s="975" t="n"/>
      <c r="H165" s="974" t="n"/>
      <c r="I165" s="974" t="n"/>
      <c r="J165" s="974" t="n"/>
      <c r="K165" s="974" t="n"/>
      <c r="L165" s="975" t="n"/>
      <c r="M165" s="974" t="n"/>
      <c r="N165" s="974" t="n"/>
      <c r="O165" s="974" t="n"/>
      <c r="P165" s="974" t="n"/>
      <c r="Q165" s="975" t="n"/>
      <c r="R165" s="974" t="n"/>
      <c r="S165" s="974" t="n"/>
      <c r="T165" s="974" t="n"/>
      <c r="U165" s="974" t="n"/>
      <c r="V165" s="975" t="n"/>
      <c r="W165" s="974" t="n"/>
      <c r="X165" s="974" t="n"/>
      <c r="Y165" s="974" t="n"/>
      <c r="Z165" s="974" t="n"/>
      <c r="AA165" s="975" t="n"/>
      <c r="AB165" s="974" t="n"/>
      <c r="AC165" s="974" t="n"/>
      <c r="AD165" s="974" t="n"/>
      <c r="AE165" s="974" t="n"/>
      <c r="AF165" s="975" t="n"/>
      <c r="AG165" s="974" t="n"/>
      <c r="AH165" s="974" t="n"/>
      <c r="AI165" s="974" t="n"/>
      <c r="AJ165" s="974" t="n"/>
      <c r="AK165" s="975" t="n"/>
      <c r="AL165" s="974" t="n"/>
      <c r="AM165" s="974" t="n"/>
      <c r="AN165" s="974" t="n"/>
      <c r="AO165" s="974" t="n"/>
      <c r="AP165" s="975" t="n"/>
      <c r="AQ165" s="974" t="n"/>
      <c r="AR165" s="974" t="n"/>
      <c r="AS165" s="974" t="n"/>
      <c r="AT165" s="974" t="n"/>
      <c r="AU165" s="975" t="n"/>
      <c r="AV165" s="974" t="n"/>
      <c r="AW165" s="974" t="n"/>
      <c r="AX165" s="974" t="n"/>
      <c r="AY165" s="974" t="n"/>
      <c r="AZ165" s="975" t="n"/>
      <c r="BA165" s="974" t="n"/>
      <c r="BB165" s="974" t="n"/>
      <c r="BC165" s="974" t="n"/>
      <c r="BD165" s="974" t="n"/>
      <c r="BE165" s="975" t="n"/>
      <c r="BF165" s="974" t="n"/>
      <c r="BG165" s="974" t="n"/>
      <c r="BH165" s="974" t="n"/>
      <c r="BI165" s="974" t="n"/>
      <c r="BJ165" s="975" t="n"/>
      <c r="BK165" s="974" t="n"/>
      <c r="BL165" s="974" t="n"/>
      <c r="BM165" s="974" t="n"/>
      <c r="BN165" s="974" t="n"/>
      <c r="BO165" s="975" t="n"/>
      <c r="BP165" s="974" t="n"/>
      <c r="BQ165" s="974" t="n"/>
      <c r="BR165" s="974" t="n"/>
      <c r="BS165" s="974" t="n"/>
      <c r="BT165" s="975" t="n"/>
      <c r="BU165" s="974" t="n"/>
      <c r="BV165" s="974" t="n"/>
      <c r="BW165" s="974" t="n"/>
      <c r="BX165" s="974" t="n"/>
      <c r="BY165" s="975" t="n"/>
      <c r="BZ165" s="974" t="n"/>
      <c r="CA165" s="974" t="n"/>
      <c r="CB165" s="974" t="n"/>
      <c r="CC165" s="974" t="n"/>
      <c r="CD165" s="975" t="n"/>
      <c r="CE165" s="974" t="n"/>
      <c r="CF165" s="974" t="n"/>
      <c r="CG165" s="974" t="n"/>
      <c r="CH165" s="974" t="n"/>
      <c r="CI165" s="981" t="n"/>
      <c r="CJ165" s="981" t="n"/>
      <c r="CK165" s="981" t="n"/>
      <c r="CL165" s="981" t="n"/>
      <c r="CM165" s="981" t="n"/>
      <c r="CN165" s="974" t="n"/>
      <c r="CO165" s="766" t="n"/>
      <c r="CP165" s="974" t="n"/>
      <c r="CQ165" s="693" t="n"/>
    </row>
    <row r="166" ht="16.5" customHeight="1">
      <c r="B166" s="12" t="inlineStr">
        <is>
          <t xml:space="preserve">  R&amp;D % of sales</t>
        </is>
      </c>
      <c r="C166" s="974" t="n"/>
      <c r="D166" s="974" t="n"/>
      <c r="E166" s="974" t="n"/>
      <c r="F166" s="974" t="n"/>
      <c r="G166" s="975" t="n"/>
      <c r="H166" s="974" t="n"/>
      <c r="I166" s="974" t="n"/>
      <c r="J166" s="974" t="n"/>
      <c r="K166" s="974" t="n"/>
      <c r="L166" s="975" t="n"/>
      <c r="M166" s="974" t="n"/>
      <c r="N166" s="974" t="n"/>
      <c r="O166" s="974" t="n"/>
      <c r="P166" s="974" t="n"/>
      <c r="Q166" s="975" t="n"/>
      <c r="R166" s="974" t="n"/>
      <c r="S166" s="974" t="n"/>
      <c r="T166" s="974" t="n"/>
      <c r="U166" s="974" t="n"/>
      <c r="V166" s="975" t="n"/>
      <c r="W166" s="974" t="n"/>
      <c r="X166" s="974" t="n"/>
      <c r="Y166" s="974" t="n"/>
      <c r="Z166" s="974" t="n"/>
      <c r="AA166" s="975" t="n"/>
      <c r="AB166" s="974" t="n"/>
      <c r="AC166" s="974" t="n"/>
      <c r="AD166" s="974" t="n"/>
      <c r="AE166" s="974" t="n"/>
      <c r="AF166" s="975" t="n"/>
      <c r="AG166" s="974" t="n"/>
      <c r="AH166" s="974" t="n"/>
      <c r="AI166" s="974" t="n"/>
      <c r="AJ166" s="974" t="n"/>
      <c r="AK166" s="975" t="n"/>
      <c r="AL166" s="974" t="n"/>
      <c r="AM166" s="974" t="n"/>
      <c r="AN166" s="974" t="n"/>
      <c r="AO166" s="974" t="n"/>
      <c r="AP166" s="975" t="n"/>
      <c r="AQ166" s="974" t="n"/>
      <c r="AR166" s="974" t="n"/>
      <c r="AS166" s="974" t="n"/>
      <c r="AT166" s="974" t="n"/>
      <c r="AU166" s="975" t="n"/>
      <c r="AV166" s="974" t="n"/>
      <c r="AW166" s="974" t="n"/>
      <c r="AX166" s="974" t="n"/>
      <c r="AY166" s="974" t="n"/>
      <c r="AZ166" s="975" t="n"/>
      <c r="BA166" s="974" t="n"/>
      <c r="BB166" s="974" t="n"/>
      <c r="BC166" s="974" t="n"/>
      <c r="BD166" s="974" t="n"/>
      <c r="BE166" s="975" t="n"/>
      <c r="BF166" s="974" t="n"/>
      <c r="BG166" s="974" t="n"/>
      <c r="BH166" s="974" t="n"/>
      <c r="BI166" s="974" t="n"/>
      <c r="BJ166" s="975" t="n"/>
      <c r="BK166" s="974" t="n"/>
      <c r="BL166" s="974" t="n"/>
      <c r="BM166" s="974" t="n"/>
      <c r="BN166" s="974" t="n"/>
      <c r="BO166" s="975" t="n"/>
      <c r="BP166" s="974" t="n"/>
      <c r="BQ166" s="974" t="n"/>
      <c r="BR166" s="974" t="n"/>
      <c r="BS166" s="974" t="n"/>
      <c r="BT166" s="975" t="n"/>
      <c r="BU166" s="974" t="n"/>
      <c r="BV166" s="974" t="n"/>
      <c r="BW166" s="974" t="n"/>
      <c r="BX166" s="974" t="n"/>
      <c r="BY166" s="975" t="n"/>
      <c r="BZ166" s="974" t="n"/>
      <c r="CA166" s="974" t="n"/>
      <c r="CB166" s="974" t="n"/>
      <c r="CC166" s="974" t="n"/>
      <c r="CD166" s="975" t="n"/>
      <c r="CE166" s="974" t="n"/>
      <c r="CF166" s="974" t="n"/>
      <c r="CG166" s="974" t="n"/>
      <c r="CH166" s="974" t="n"/>
      <c r="CI166" s="981" t="n"/>
      <c r="CJ166" s="981" t="n"/>
      <c r="CK166" s="981" t="n"/>
      <c r="CL166" s="981" t="n"/>
      <c r="CM166" s="981" t="n"/>
      <c r="CN166" s="974" t="n"/>
      <c r="CO166" s="766" t="n"/>
      <c r="CP166" s="974" t="n"/>
      <c r="CQ166" s="693" t="n"/>
    </row>
    <row r="167" ht="16.5" customHeight="1">
      <c r="B167" s="12" t="inlineStr">
        <is>
          <t xml:space="preserve">  SG&amp;A % of sales</t>
        </is>
      </c>
      <c r="C167" s="974" t="n"/>
      <c r="D167" s="974" t="n"/>
      <c r="E167" s="974" t="n"/>
      <c r="F167" s="974" t="n"/>
      <c r="G167" s="975" t="n"/>
      <c r="H167" s="974" t="n"/>
      <c r="I167" s="974" t="n"/>
      <c r="J167" s="974" t="n"/>
      <c r="K167" s="974" t="n"/>
      <c r="L167" s="975" t="n"/>
      <c r="M167" s="974" t="n"/>
      <c r="N167" s="974" t="n"/>
      <c r="O167" s="974" t="n"/>
      <c r="P167" s="974" t="n"/>
      <c r="Q167" s="975" t="n"/>
      <c r="R167" s="974" t="n"/>
      <c r="S167" s="974" t="n"/>
      <c r="T167" s="974" t="n"/>
      <c r="U167" s="974" t="n"/>
      <c r="V167" s="975" t="n"/>
      <c r="W167" s="974" t="n"/>
      <c r="X167" s="974" t="n"/>
      <c r="Y167" s="974" t="n"/>
      <c r="Z167" s="974" t="n"/>
      <c r="AA167" s="975" t="n"/>
      <c r="AB167" s="974" t="n"/>
      <c r="AC167" s="974" t="n"/>
      <c r="AD167" s="974" t="n"/>
      <c r="AE167" s="974" t="n"/>
      <c r="AF167" s="975" t="n"/>
      <c r="AG167" s="974" t="n"/>
      <c r="AH167" s="974" t="n"/>
      <c r="AI167" s="974" t="n"/>
      <c r="AJ167" s="974" t="n"/>
      <c r="AK167" s="975" t="n"/>
      <c r="AL167" s="974" t="n"/>
      <c r="AM167" s="974" t="n"/>
      <c r="AN167" s="974" t="n"/>
      <c r="AO167" s="974" t="n"/>
      <c r="AP167" s="975" t="n"/>
      <c r="AQ167" s="974" t="n"/>
      <c r="AR167" s="974" t="n"/>
      <c r="AS167" s="974" t="n"/>
      <c r="AT167" s="974" t="n"/>
      <c r="AU167" s="975" t="n"/>
      <c r="AV167" s="974" t="n"/>
      <c r="AW167" s="974" t="n"/>
      <c r="AX167" s="974" t="n"/>
      <c r="AY167" s="974" t="n"/>
      <c r="AZ167" s="975" t="n"/>
      <c r="BA167" s="974" t="n"/>
      <c r="BB167" s="974" t="n"/>
      <c r="BC167" s="974" t="n"/>
      <c r="BD167" s="974" t="n"/>
      <c r="BE167" s="975" t="n"/>
      <c r="BF167" s="974" t="n"/>
      <c r="BG167" s="974" t="n"/>
      <c r="BH167" s="974" t="n"/>
      <c r="BI167" s="974" t="n"/>
      <c r="BJ167" s="975" t="n"/>
      <c r="BK167" s="974" t="n"/>
      <c r="BL167" s="974" t="n"/>
      <c r="BM167" s="974" t="n"/>
      <c r="BN167" s="974" t="n"/>
      <c r="BO167" s="975" t="n"/>
      <c r="BP167" s="974" t="n"/>
      <c r="BQ167" s="974" t="n"/>
      <c r="BR167" s="974" t="n"/>
      <c r="BS167" s="974" t="n"/>
      <c r="BT167" s="975" t="n"/>
      <c r="BU167" s="974" t="n"/>
      <c r="BV167" s="974" t="n"/>
      <c r="BW167" s="974" t="n"/>
      <c r="BX167" s="974" t="n"/>
      <c r="BY167" s="975" t="n"/>
      <c r="BZ167" s="974" t="n"/>
      <c r="CA167" s="974" t="n"/>
      <c r="CB167" s="974" t="n"/>
      <c r="CC167" s="974" t="n"/>
      <c r="CD167" s="975" t="n"/>
      <c r="CE167" s="974" t="n"/>
      <c r="CF167" s="974" t="n"/>
      <c r="CG167" s="974" t="n"/>
      <c r="CH167" s="974" t="n"/>
      <c r="CI167" s="981" t="n"/>
      <c r="CJ167" s="976" t="n"/>
      <c r="CK167" s="976" t="n"/>
      <c r="CL167" s="976" t="n"/>
      <c r="CM167" s="976" t="n"/>
      <c r="CN167" s="974" t="n"/>
      <c r="CO167" s="766" t="n"/>
      <c r="CP167" s="974" t="n"/>
      <c r="CQ167" s="693" t="n"/>
    </row>
    <row r="168" ht="16.5" customHeight="1">
      <c r="B168" s="12" t="inlineStr">
        <is>
          <t xml:space="preserve">  Adj. EBIT% </t>
        </is>
      </c>
      <c r="C168" s="974" t="n"/>
      <c r="D168" s="974" t="n"/>
      <c r="E168" s="974" t="n"/>
      <c r="F168" s="974" t="n"/>
      <c r="G168" s="975">
        <f>G126/G114</f>
        <v/>
      </c>
      <c r="H168" s="974" t="n"/>
      <c r="I168" s="974" t="n"/>
      <c r="J168" s="974" t="n"/>
      <c r="K168" s="974" t="n"/>
      <c r="L168" s="975">
        <f>L126/L114</f>
        <v/>
      </c>
      <c r="M168" s="974" t="n"/>
      <c r="N168" s="974" t="n"/>
      <c r="O168" s="974" t="n"/>
      <c r="P168" s="974" t="n"/>
      <c r="Q168" s="975">
        <f>Q126/Q114</f>
        <v/>
      </c>
      <c r="R168" s="974" t="n"/>
      <c r="S168" s="974" t="n"/>
      <c r="T168" s="974" t="n"/>
      <c r="U168" s="974" t="n"/>
      <c r="V168" s="975">
        <f>V126/V114</f>
        <v/>
      </c>
      <c r="W168" s="974" t="n"/>
      <c r="X168" s="974" t="n"/>
      <c r="Y168" s="974" t="n"/>
      <c r="Z168" s="974" t="n"/>
      <c r="AA168" s="975">
        <f>AA126/AA114</f>
        <v/>
      </c>
      <c r="AB168" s="974" t="n"/>
      <c r="AC168" s="974" t="n"/>
      <c r="AD168" s="974" t="n"/>
      <c r="AE168" s="974" t="n"/>
      <c r="AF168" s="975">
        <f>AF148/AF114</f>
        <v/>
      </c>
      <c r="AG168" s="974" t="n"/>
      <c r="AH168" s="974" t="n"/>
      <c r="AI168" s="974" t="n"/>
      <c r="AJ168" s="974" t="n"/>
      <c r="AK168" s="975">
        <f>AK148/AK114</f>
        <v/>
      </c>
      <c r="AL168" s="974" t="n"/>
      <c r="AM168" s="974" t="n"/>
      <c r="AN168" s="974" t="n"/>
      <c r="AO168" s="974" t="n"/>
      <c r="AP168" s="975">
        <f>AP148/AP114</f>
        <v/>
      </c>
      <c r="AQ168" s="974" t="n"/>
      <c r="AR168" s="974" t="n"/>
      <c r="AS168" s="974" t="n"/>
      <c r="AT168" s="974" t="n"/>
      <c r="AU168" s="975">
        <f>AU148/AU114</f>
        <v/>
      </c>
      <c r="AV168" s="974" t="n"/>
      <c r="AW168" s="974" t="n"/>
      <c r="AX168" s="974" t="n"/>
      <c r="AY168" s="974" t="n"/>
      <c r="AZ168" s="975">
        <f>AZ148/AZ114</f>
        <v/>
      </c>
      <c r="BA168" s="974" t="n"/>
      <c r="BB168" s="974" t="n"/>
      <c r="BC168" s="974" t="n"/>
      <c r="BD168" s="974" t="n"/>
      <c r="BE168" s="975">
        <f>BE126/BE114</f>
        <v/>
      </c>
      <c r="BF168" s="974" t="n"/>
      <c r="BG168" s="974" t="n"/>
      <c r="BH168" s="974" t="n"/>
      <c r="BI168" s="974" t="n"/>
      <c r="BJ168" s="975">
        <f>BJ126/BJ114</f>
        <v/>
      </c>
      <c r="BK168" s="974" t="n"/>
      <c r="BL168" s="974" t="n"/>
      <c r="BM168" s="974" t="n"/>
      <c r="BN168" s="974" t="n"/>
      <c r="BO168" s="975">
        <f>BO126/BO114</f>
        <v/>
      </c>
      <c r="BP168" s="974" t="n"/>
      <c r="BQ168" s="974" t="n"/>
      <c r="BR168" s="974" t="n"/>
      <c r="BS168" s="974" t="n"/>
      <c r="BT168" s="975">
        <f>BT126/BT114</f>
        <v/>
      </c>
      <c r="BU168" s="974" t="n"/>
      <c r="BV168" s="974" t="n"/>
      <c r="BW168" s="974" t="n"/>
      <c r="BX168" s="974" t="n"/>
      <c r="BY168" s="975">
        <f>BY126/BY114</f>
        <v/>
      </c>
      <c r="BZ168" s="974" t="n"/>
      <c r="CA168" s="974" t="n"/>
      <c r="CB168" s="974" t="n"/>
      <c r="CC168" s="974" t="n"/>
      <c r="CD168" s="975">
        <f>CD126/CD114</f>
        <v/>
      </c>
      <c r="CE168" s="974">
        <f>CE148/CE114</f>
        <v/>
      </c>
      <c r="CF168" s="974">
        <f>CF148/CF114</f>
        <v/>
      </c>
      <c r="CG168" s="974">
        <f>CG148/CG114</f>
        <v/>
      </c>
      <c r="CH168" s="974">
        <f>CH148/CH114</f>
        <v/>
      </c>
      <c r="CI168" s="976">
        <f>CI148/CI114</f>
        <v/>
      </c>
      <c r="CJ168" s="976">
        <f>CJ148/CJ114</f>
        <v/>
      </c>
      <c r="CK168" s="976">
        <f>CK148/CK114</f>
        <v/>
      </c>
      <c r="CL168" s="976">
        <f>CL148/CL114</f>
        <v/>
      </c>
      <c r="CM168" s="976">
        <f>CM148/CM114</f>
        <v/>
      </c>
      <c r="CN168" s="974" t="n"/>
      <c r="CO168" s="766" t="n"/>
      <c r="CP168" s="974" t="n"/>
      <c r="CQ168" s="693" t="n"/>
    </row>
    <row r="169" ht="16.5" customHeight="1">
      <c r="B169" s="12" t="inlineStr">
        <is>
          <t xml:space="preserve">  Net margin %</t>
        </is>
      </c>
      <c r="C169" s="974" t="n"/>
      <c r="D169" s="974" t="n"/>
      <c r="E169" s="974" t="n"/>
      <c r="F169" s="974" t="n"/>
      <c r="G169" s="975">
        <f>G133/G114</f>
        <v/>
      </c>
      <c r="H169" s="974" t="n"/>
      <c r="I169" s="974" t="n"/>
      <c r="J169" s="974" t="n"/>
      <c r="K169" s="974" t="n"/>
      <c r="L169" s="975">
        <f>L133/L114</f>
        <v/>
      </c>
      <c r="M169" s="974" t="n"/>
      <c r="N169" s="974" t="n"/>
      <c r="O169" s="974" t="n"/>
      <c r="P169" s="974" t="n"/>
      <c r="Q169" s="975">
        <f>Q133/Q114</f>
        <v/>
      </c>
      <c r="R169" s="974" t="n"/>
      <c r="S169" s="974" t="n"/>
      <c r="T169" s="974" t="n"/>
      <c r="U169" s="974" t="n"/>
      <c r="V169" s="975">
        <f>V133/V114</f>
        <v/>
      </c>
      <c r="W169" s="974" t="n"/>
      <c r="X169" s="974" t="n"/>
      <c r="Y169" s="974" t="n"/>
      <c r="Z169" s="974" t="n"/>
      <c r="AA169" s="975">
        <f>AA133/AA114</f>
        <v/>
      </c>
      <c r="AB169" s="974" t="n"/>
      <c r="AC169" s="974" t="n"/>
      <c r="AD169" s="974" t="n"/>
      <c r="AE169" s="974" t="n"/>
      <c r="AF169" s="975">
        <f>AF133/AF114</f>
        <v/>
      </c>
      <c r="AG169" s="974" t="n"/>
      <c r="AH169" s="974" t="n"/>
      <c r="AI169" s="974" t="n"/>
      <c r="AJ169" s="974" t="n"/>
      <c r="AK169" s="975">
        <f>AK133/AK114</f>
        <v/>
      </c>
      <c r="AL169" s="974" t="n"/>
      <c r="AM169" s="974" t="n"/>
      <c r="AN169" s="974" t="n"/>
      <c r="AO169" s="974" t="n"/>
      <c r="AP169" s="975">
        <f>AP133/AP114</f>
        <v/>
      </c>
      <c r="AQ169" s="974" t="n"/>
      <c r="AR169" s="974" t="n"/>
      <c r="AS169" s="974" t="n"/>
      <c r="AT169" s="974" t="n"/>
      <c r="AU169" s="975">
        <f>AU133/AU114</f>
        <v/>
      </c>
      <c r="AV169" s="974" t="n"/>
      <c r="AW169" s="974" t="n"/>
      <c r="AX169" s="974" t="n"/>
      <c r="AY169" s="974" t="n"/>
      <c r="AZ169" s="975">
        <f>AZ133/AZ114</f>
        <v/>
      </c>
      <c r="BA169" s="974" t="n"/>
      <c r="BB169" s="974" t="n"/>
      <c r="BC169" s="974" t="n"/>
      <c r="BD169" s="974" t="n"/>
      <c r="BE169" s="975">
        <f>BE133/BE114</f>
        <v/>
      </c>
      <c r="BF169" s="974" t="n"/>
      <c r="BG169" s="974" t="n"/>
      <c r="BH169" s="974" t="n"/>
      <c r="BI169" s="974" t="n"/>
      <c r="BJ169" s="975">
        <f>BJ133/BJ114</f>
        <v/>
      </c>
      <c r="BK169" s="974" t="n"/>
      <c r="BL169" s="974" t="n"/>
      <c r="BM169" s="974" t="n"/>
      <c r="BN169" s="974" t="n"/>
      <c r="BO169" s="975">
        <f>BO133/BO114</f>
        <v/>
      </c>
      <c r="BP169" s="974" t="n"/>
      <c r="BQ169" s="974" t="n"/>
      <c r="BR169" s="974" t="n"/>
      <c r="BS169" s="974" t="n"/>
      <c r="BT169" s="975">
        <f>BT133/BT114</f>
        <v/>
      </c>
      <c r="BU169" s="974" t="n"/>
      <c r="BV169" s="974" t="n"/>
      <c r="BW169" s="974" t="n"/>
      <c r="BX169" s="974" t="n"/>
      <c r="BY169" s="975">
        <f>BY133/BY114</f>
        <v/>
      </c>
      <c r="BZ169" s="974" t="n"/>
      <c r="CA169" s="974" t="n"/>
      <c r="CB169" s="974" t="n"/>
      <c r="CC169" s="974" t="n"/>
      <c r="CD169" s="975">
        <f>CD133/CD114</f>
        <v/>
      </c>
      <c r="CE169" s="974">
        <f>CE133/CE114</f>
        <v/>
      </c>
      <c r="CF169" s="974">
        <f>CF133/CF114</f>
        <v/>
      </c>
      <c r="CG169" s="974">
        <f>CG133/CG114</f>
        <v/>
      </c>
      <c r="CH169" s="974">
        <f>CH133/CH114</f>
        <v/>
      </c>
      <c r="CI169" s="976">
        <f>CI133/CI114</f>
        <v/>
      </c>
      <c r="CJ169" s="976">
        <f>CJ133/CJ114</f>
        <v/>
      </c>
      <c r="CK169" s="976">
        <f>CK133/CK114</f>
        <v/>
      </c>
      <c r="CL169" s="976">
        <f>CL133/CL114</f>
        <v/>
      </c>
      <c r="CM169" s="976">
        <f>CM133/CM114</f>
        <v/>
      </c>
      <c r="CN169" s="974" t="n"/>
      <c r="CO169" s="766" t="n"/>
      <c r="CP169" s="974" t="n"/>
      <c r="CQ169" s="693" t="n"/>
    </row>
    <row r="170" ht="16.5" customHeight="1">
      <c r="B170" s="12" t="inlineStr">
        <is>
          <t xml:space="preserve">  Incremental op margin (ΔOP / ΔSales)</t>
        </is>
      </c>
      <c r="C170" s="974" t="n"/>
      <c r="D170" s="974" t="n"/>
      <c r="E170" s="974" t="n"/>
      <c r="F170" s="974" t="n"/>
      <c r="G170" s="975" t="n"/>
      <c r="H170" s="974" t="n"/>
      <c r="I170" s="974" t="n"/>
      <c r="J170" s="974" t="n"/>
      <c r="K170" s="974" t="n"/>
      <c r="L170" s="975">
        <f>(L126-G126)/(L114-G114)</f>
        <v/>
      </c>
      <c r="M170" s="974" t="n"/>
      <c r="N170" s="974" t="n"/>
      <c r="O170" s="974" t="n"/>
      <c r="P170" s="974" t="n"/>
      <c r="Q170" s="975">
        <f>(Q126-L126)/(Q114-L114)</f>
        <v/>
      </c>
      <c r="R170" s="974" t="n"/>
      <c r="S170" s="974" t="n"/>
      <c r="T170" s="974" t="n"/>
      <c r="U170" s="974" t="n"/>
      <c r="V170" s="975">
        <f>(V126-Q126)/(V114-Q114)</f>
        <v/>
      </c>
      <c r="W170" s="974" t="n"/>
      <c r="X170" s="974" t="n"/>
      <c r="Y170" s="974" t="n"/>
      <c r="Z170" s="974" t="n"/>
      <c r="AA170" s="975">
        <f>(AA126-V126)/(AA114-V114)</f>
        <v/>
      </c>
      <c r="AB170" s="974" t="n"/>
      <c r="AC170" s="974" t="n"/>
      <c r="AD170" s="974" t="n"/>
      <c r="AE170" s="974" t="n"/>
      <c r="AF170" s="975">
        <f>(AF126-AA126)/(AF114-AA114)</f>
        <v/>
      </c>
      <c r="AG170" s="974" t="n"/>
      <c r="AH170" s="974" t="n"/>
      <c r="AI170" s="974" t="n"/>
      <c r="AJ170" s="974" t="n"/>
      <c r="AK170" s="975">
        <f>(AK148-AF148)/(AK114-AF114)</f>
        <v/>
      </c>
      <c r="AL170" s="974" t="n"/>
      <c r="AM170" s="974" t="n"/>
      <c r="AN170" s="974" t="n"/>
      <c r="AO170" s="974" t="n"/>
      <c r="AP170" s="975">
        <f>(AP148-AK148)/(AP114-AK114)</f>
        <v/>
      </c>
      <c r="AQ170" s="974" t="n"/>
      <c r="AR170" s="974" t="n"/>
      <c r="AS170" s="974" t="n"/>
      <c r="AT170" s="974" t="n"/>
      <c r="AU170" s="975">
        <f>(AU148-AP148)/(AU114-AP114)</f>
        <v/>
      </c>
      <c r="AV170" s="974" t="n"/>
      <c r="AW170" s="974" t="n"/>
      <c r="AX170" s="974" t="n"/>
      <c r="AY170" s="974" t="n"/>
      <c r="AZ170" s="975">
        <f>(AZ148-AU148)/(AZ114-AU114)</f>
        <v/>
      </c>
      <c r="BA170" s="974" t="n"/>
      <c r="BB170" s="974" t="n"/>
      <c r="BC170" s="974" t="n"/>
      <c r="BD170" s="974" t="n"/>
      <c r="BE170" s="975">
        <f>(BE126-AZ126)/(BE114-AZ114)</f>
        <v/>
      </c>
      <c r="BF170" s="974" t="n"/>
      <c r="BG170" s="974" t="n"/>
      <c r="BH170" s="974" t="n"/>
      <c r="BI170" s="974" t="n"/>
      <c r="BJ170" s="975">
        <f>(BJ126-BE126)/(BJ114-BE114)</f>
        <v/>
      </c>
      <c r="BK170" s="974" t="n"/>
      <c r="BL170" s="974" t="n"/>
      <c r="BM170" s="974" t="n"/>
      <c r="BN170" s="974" t="n"/>
      <c r="BO170" s="975">
        <f>(BO126-BJ126)/(BO114-BJ114)</f>
        <v/>
      </c>
      <c r="BP170" s="974" t="n"/>
      <c r="BQ170" s="974" t="n"/>
      <c r="BR170" s="974" t="n"/>
      <c r="BS170" s="974" t="n"/>
      <c r="BT170" s="975">
        <f>(BT126-BO126)/(BT114-BO114)</f>
        <v/>
      </c>
      <c r="BU170" s="974" t="n"/>
      <c r="BV170" s="974" t="n"/>
      <c r="BW170" s="974" t="n"/>
      <c r="BX170" s="974" t="n"/>
      <c r="BY170" s="975">
        <f>(BY126-BT126)/(BY114-BT114)</f>
        <v/>
      </c>
      <c r="BZ170" s="974" t="n"/>
      <c r="CA170" s="974" t="n"/>
      <c r="CB170" s="974" t="n"/>
      <c r="CC170" s="974" t="n"/>
      <c r="CD170" s="975">
        <f>(CD126-BY126)/(CD114-BY114)</f>
        <v/>
      </c>
      <c r="CE170" s="974">
        <f>IFERROR((CE148-BZ148)/(CE114-BZ114),0)</f>
        <v/>
      </c>
      <c r="CF170" s="974">
        <f>IFERROR((CF148-CA148)/(CF114-CA114),0)</f>
        <v/>
      </c>
      <c r="CG170" s="974">
        <f>IFERROR((CG148-CB148)/(CG114-CB114),0)</f>
        <v/>
      </c>
      <c r="CH170" s="974">
        <f>IFERROR((CH148-CC148)/(CH114-CC114),0)</f>
        <v/>
      </c>
      <c r="CI170" s="976">
        <f>(CI148-CD148)/(CI114-CD114)</f>
        <v/>
      </c>
      <c r="CJ170" s="976">
        <f>(CJ148-CI148)/(CJ114-CI114)</f>
        <v/>
      </c>
      <c r="CK170" s="976">
        <f>(CK148-CJ148)/(CK114-CJ114)</f>
        <v/>
      </c>
      <c r="CL170" s="976">
        <f>(CL148-CK148)/(CL114-CK114)</f>
        <v/>
      </c>
      <c r="CM170" s="976">
        <f>(CM148-CL148)/(CM114-CL114)</f>
        <v/>
      </c>
      <c r="CN170" s="974" t="n"/>
      <c r="CO170" s="766" t="n"/>
      <c r="CP170" s="974" t="n"/>
      <c r="CQ170" s="693" t="n"/>
    </row>
    <row r="171" ht="16.5" customHeight="1">
      <c r="C171" s="291" t="n"/>
      <c r="D171" s="291" t="n"/>
      <c r="E171" s="291" t="n"/>
      <c r="F171" s="291" t="n"/>
      <c r="G171" s="864" t="n"/>
      <c r="H171" s="291" t="n"/>
      <c r="I171" s="291" t="n"/>
      <c r="J171" s="291" t="n"/>
      <c r="K171" s="291" t="n"/>
      <c r="L171" s="864" t="n"/>
      <c r="M171" s="291" t="n"/>
      <c r="N171" s="291" t="n"/>
      <c r="O171" s="291" t="n"/>
      <c r="P171" s="291" t="n"/>
      <c r="Q171" s="864" t="n"/>
      <c r="R171" s="291" t="n"/>
      <c r="S171" s="291" t="n"/>
      <c r="T171" s="291" t="n"/>
      <c r="U171" s="291" t="n"/>
      <c r="V171" s="864" t="n"/>
      <c r="W171" s="291" t="n"/>
      <c r="X171" s="291" t="n"/>
      <c r="Y171" s="291" t="n"/>
      <c r="Z171" s="291" t="n"/>
      <c r="AA171" s="864" t="n"/>
      <c r="AB171" s="291" t="n"/>
      <c r="AC171" s="291" t="n"/>
      <c r="AD171" s="291" t="n"/>
      <c r="AE171" s="291" t="n"/>
      <c r="AF171" s="864" t="n"/>
      <c r="AG171" s="291" t="n"/>
      <c r="AH171" s="291" t="n"/>
      <c r="AI171" s="291" t="n"/>
      <c r="AJ171" s="291" t="n"/>
      <c r="AK171" s="864" t="n"/>
      <c r="AL171" s="291" t="n"/>
      <c r="AM171" s="291" t="n"/>
      <c r="AN171" s="291" t="n"/>
      <c r="AO171" s="291" t="n"/>
      <c r="AP171" s="864" t="n"/>
      <c r="AQ171" s="291" t="n"/>
      <c r="AR171" s="291" t="n"/>
      <c r="AS171" s="291" t="n"/>
      <c r="AT171" s="291" t="n"/>
      <c r="AU171" s="864" t="n"/>
      <c r="AV171" s="291" t="n"/>
      <c r="AW171" s="291" t="n"/>
      <c r="AX171" s="291" t="n"/>
      <c r="AY171" s="291" t="n"/>
      <c r="AZ171" s="864" t="n"/>
      <c r="BA171" s="291" t="n"/>
      <c r="BB171" s="291" t="n"/>
      <c r="BC171" s="291" t="n"/>
      <c r="BD171" s="291" t="n"/>
      <c r="BE171" s="864" t="n"/>
      <c r="BF171" s="291" t="n"/>
      <c r="BG171" s="291" t="n"/>
      <c r="BH171" s="291" t="n"/>
      <c r="BI171" s="291" t="n"/>
      <c r="BJ171" s="864" t="n"/>
      <c r="BK171" s="291" t="n"/>
      <c r="BL171" s="291" t="n"/>
      <c r="BM171" s="291" t="n"/>
      <c r="BN171" s="291" t="n"/>
      <c r="BO171" s="864" t="n"/>
      <c r="BP171" s="291" t="n"/>
      <c r="BQ171" s="291" t="n"/>
      <c r="BR171" s="291" t="n"/>
      <c r="BS171" s="291" t="n"/>
      <c r="BT171" s="864" t="n"/>
      <c r="BU171" s="291" t="n"/>
      <c r="BV171" s="291" t="n"/>
      <c r="BW171" s="291" t="n"/>
      <c r="BX171" s="291" t="n"/>
      <c r="BY171" s="864" t="n"/>
      <c r="BZ171" s="291" t="n"/>
      <c r="CA171" s="291" t="n"/>
      <c r="CB171" s="291" t="n"/>
      <c r="CC171" s="291" t="n"/>
      <c r="CD171" s="864" t="n"/>
      <c r="CE171" s="291" t="n"/>
      <c r="CF171" s="291" t="n"/>
      <c r="CG171" s="291" t="n"/>
      <c r="CH171" s="291" t="n"/>
      <c r="CI171" s="749" t="n"/>
      <c r="CJ171" s="749" t="n"/>
      <c r="CK171" s="749" t="n"/>
      <c r="CL171" s="749" t="n"/>
      <c r="CM171" s="749" t="n"/>
      <c r="CN171" s="291" t="n"/>
      <c r="CO171" s="766" t="n"/>
      <c r="CP171" s="291" t="n"/>
      <c r="CQ171" s="693" t="n"/>
    </row>
    <row r="172" ht="16.5" customHeight="1">
      <c r="B172" s="221" t="inlineStr">
        <is>
          <t>CONSOLIDATED CASH FLOW STATEMENT (US GAAP)</t>
        </is>
      </c>
      <c r="C172" s="222" t="n"/>
      <c r="D172" s="222" t="n"/>
      <c r="E172" s="222" t="n"/>
      <c r="F172" s="222" t="n"/>
      <c r="G172" s="865" t="n"/>
      <c r="H172" s="222" t="n"/>
      <c r="I172" s="222" t="n"/>
      <c r="J172" s="222" t="n"/>
      <c r="K172" s="222" t="n"/>
      <c r="L172" s="865" t="n"/>
      <c r="M172" s="222" t="n"/>
      <c r="N172" s="222" t="n"/>
      <c r="O172" s="222" t="n"/>
      <c r="P172" s="222" t="n"/>
      <c r="Q172" s="865" t="n"/>
      <c r="R172" s="222" t="n"/>
      <c r="S172" s="222" t="n"/>
      <c r="T172" s="222" t="n"/>
      <c r="U172" s="222" t="n"/>
      <c r="V172" s="865" t="n"/>
      <c r="W172" s="222" t="n"/>
      <c r="X172" s="222" t="n"/>
      <c r="Y172" s="222" t="n"/>
      <c r="Z172" s="222" t="n"/>
      <c r="AA172" s="865" t="n"/>
      <c r="AB172" s="222" t="n"/>
      <c r="AC172" s="222" t="n"/>
      <c r="AD172" s="222" t="n"/>
      <c r="AE172" s="222" t="n"/>
      <c r="AF172" s="865" t="n"/>
      <c r="AG172" s="222" t="n"/>
      <c r="AH172" s="222" t="n"/>
      <c r="AI172" s="222" t="n"/>
      <c r="AJ172" s="222" t="n"/>
      <c r="AK172" s="865" t="n"/>
      <c r="AL172" s="222" t="n"/>
      <c r="AM172" s="222" t="n"/>
      <c r="AN172" s="222" t="n"/>
      <c r="AO172" s="222" t="n"/>
      <c r="AP172" s="865" t="n"/>
      <c r="AQ172" s="222" t="n"/>
      <c r="AR172" s="222" t="n"/>
      <c r="AS172" s="222" t="n"/>
      <c r="AT172" s="222" t="n"/>
      <c r="AU172" s="865" t="n"/>
      <c r="AV172" s="222" t="n"/>
      <c r="AW172" s="222" t="n"/>
      <c r="AX172" s="222" t="n"/>
      <c r="AY172" s="222" t="n"/>
      <c r="AZ172" s="865" t="n"/>
      <c r="BA172" s="222" t="n"/>
      <c r="BB172" s="222" t="n"/>
      <c r="BC172" s="222" t="n"/>
      <c r="BD172" s="222" t="n"/>
      <c r="BE172" s="865" t="n"/>
      <c r="BF172" s="222" t="n"/>
      <c r="BG172" s="222" t="n"/>
      <c r="BH172" s="222" t="n"/>
      <c r="BI172" s="222" t="n"/>
      <c r="BJ172" s="865" t="n"/>
      <c r="BK172" s="222" t="n"/>
      <c r="BL172" s="222" t="n"/>
      <c r="BM172" s="222" t="n"/>
      <c r="BN172" s="222" t="n"/>
      <c r="BO172" s="865" t="n"/>
      <c r="BP172" s="222" t="n"/>
      <c r="BQ172" s="222" t="n"/>
      <c r="BR172" s="222" t="n"/>
      <c r="BS172" s="222" t="n"/>
      <c r="BT172" s="865" t="n"/>
      <c r="BU172" s="222" t="n"/>
      <c r="BV172" s="222" t="n"/>
      <c r="BW172" s="222" t="n"/>
      <c r="BX172" s="222" t="n"/>
      <c r="BY172" s="865" t="n"/>
      <c r="BZ172" s="222" t="n"/>
      <c r="CA172" s="222" t="n"/>
      <c r="CB172" s="222" t="n"/>
      <c r="CC172" s="222" t="n"/>
      <c r="CD172" s="865" t="n"/>
      <c r="CE172" s="222" t="n"/>
      <c r="CF172" s="222" t="n"/>
      <c r="CG172" s="222" t="n"/>
      <c r="CH172" s="222" t="n"/>
      <c r="CI172" s="222" t="n"/>
      <c r="CJ172" s="222" t="n"/>
      <c r="CK172" s="222" t="n"/>
      <c r="CL172" s="222" t="n"/>
      <c r="CM172" s="222" t="n"/>
      <c r="CN172" s="222" t="n"/>
      <c r="CO172" s="687" t="n"/>
      <c r="CP172" s="222" t="n"/>
      <c r="CQ172" s="692" t="n"/>
    </row>
    <row r="173" ht="16.5" customHeight="1">
      <c r="C173" s="291" t="n"/>
      <c r="D173" s="291" t="n"/>
      <c r="E173" s="291" t="n"/>
      <c r="F173" s="291" t="n"/>
      <c r="G173" s="864" t="n"/>
      <c r="H173" s="291" t="n"/>
      <c r="I173" s="291" t="n"/>
      <c r="J173" s="291" t="n"/>
      <c r="K173" s="291" t="n"/>
      <c r="L173" s="864" t="n"/>
      <c r="M173" s="291" t="n"/>
      <c r="N173" s="291" t="n"/>
      <c r="O173" s="291" t="n"/>
      <c r="P173" s="291" t="n"/>
      <c r="Q173" s="864" t="n"/>
      <c r="R173" s="291" t="n"/>
      <c r="S173" s="291" t="n"/>
      <c r="T173" s="291" t="n"/>
      <c r="U173" s="291" t="n"/>
      <c r="V173" s="864" t="n"/>
      <c r="W173" s="291" t="n"/>
      <c r="X173" s="291" t="n"/>
      <c r="Y173" s="291" t="n"/>
      <c r="Z173" s="291" t="n"/>
      <c r="AA173" s="864" t="n"/>
      <c r="AB173" s="291" t="n"/>
      <c r="AC173" s="291" t="n"/>
      <c r="AD173" s="291" t="n"/>
      <c r="AE173" s="291" t="n"/>
      <c r="AF173" s="864" t="n"/>
      <c r="AG173" s="291" t="n"/>
      <c r="AH173" s="291" t="n"/>
      <c r="AI173" s="291" t="n"/>
      <c r="AJ173" s="291" t="n"/>
      <c r="AK173" s="864" t="n"/>
      <c r="AL173" s="291" t="n"/>
      <c r="AM173" s="291" t="n"/>
      <c r="AN173" s="291" t="n"/>
      <c r="AO173" s="291" t="n"/>
      <c r="AP173" s="864" t="n"/>
      <c r="AQ173" s="291" t="n"/>
      <c r="AR173" s="291" t="n"/>
      <c r="AS173" s="291" t="n"/>
      <c r="AT173" s="291" t="n"/>
      <c r="AU173" s="864" t="n"/>
      <c r="AV173" s="291" t="n"/>
      <c r="AW173" s="291" t="n"/>
      <c r="AX173" s="291" t="n"/>
      <c r="AY173" s="291" t="n"/>
      <c r="AZ173" s="864" t="n"/>
      <c r="BA173" s="291" t="n"/>
      <c r="BB173" s="291" t="n"/>
      <c r="BC173" s="291" t="n"/>
      <c r="BD173" s="291" t="n"/>
      <c r="BE173" s="864" t="n"/>
      <c r="BF173" s="291" t="n"/>
      <c r="BG173" s="291" t="n"/>
      <c r="BH173" s="291" t="n"/>
      <c r="BI173" s="291" t="n"/>
      <c r="BJ173" s="864" t="n"/>
      <c r="BK173" s="291" t="n"/>
      <c r="BL173" s="291" t="n"/>
      <c r="BM173" s="291" t="n"/>
      <c r="BN173" s="291" t="n"/>
      <c r="BO173" s="864" t="n"/>
      <c r="BP173" s="291" t="n"/>
      <c r="BQ173" s="291" t="n"/>
      <c r="BR173" s="291" t="n"/>
      <c r="BS173" s="291" t="n"/>
      <c r="BT173" s="864" t="n"/>
      <c r="BU173" s="291" t="n"/>
      <c r="BV173" s="291" t="n"/>
      <c r="BW173" s="291" t="n"/>
      <c r="BX173" s="291" t="n"/>
      <c r="BY173" s="864" t="n"/>
      <c r="BZ173" s="291" t="n"/>
      <c r="CA173" s="291" t="n"/>
      <c r="CB173" s="291" t="n"/>
      <c r="CC173" s="291" t="n"/>
      <c r="CD173" s="864" t="n"/>
      <c r="CE173" s="291" t="n"/>
      <c r="CF173" s="291" t="n"/>
      <c r="CG173" s="291" t="n"/>
      <c r="CH173" s="291" t="n"/>
      <c r="CI173" s="749" t="n"/>
      <c r="CJ173" s="749" t="n"/>
      <c r="CK173" s="749" t="n"/>
      <c r="CL173" s="749" t="n"/>
      <c r="CM173" s="749" t="n"/>
      <c r="CN173" s="291" t="n"/>
      <c r="CO173" s="766" t="n"/>
      <c r="CP173" s="291" t="n"/>
      <c r="CQ173" s="693" t="n"/>
    </row>
    <row r="174" ht="16.5" customHeight="1">
      <c r="B174" s="223" t="inlineStr">
        <is>
          <t>Operating activities:</t>
        </is>
      </c>
      <c r="C174" s="224" t="n"/>
      <c r="D174" s="224" t="n"/>
      <c r="E174" s="224" t="n"/>
      <c r="F174" s="224" t="n"/>
      <c r="G174" s="867" t="n"/>
      <c r="H174" s="224" t="n"/>
      <c r="I174" s="224" t="n"/>
      <c r="J174" s="224" t="n"/>
      <c r="K174" s="224" t="n"/>
      <c r="L174" s="867" t="n"/>
      <c r="M174" s="224" t="n"/>
      <c r="N174" s="224" t="n"/>
      <c r="O174" s="224" t="n"/>
      <c r="P174" s="224" t="n"/>
      <c r="Q174" s="867" t="n"/>
      <c r="R174" s="224" t="n"/>
      <c r="S174" s="224" t="n"/>
      <c r="T174" s="224" t="n"/>
      <c r="U174" s="224" t="n"/>
      <c r="V174" s="867" t="n"/>
      <c r="W174" s="224" t="n"/>
      <c r="X174" s="224" t="n"/>
      <c r="Y174" s="224" t="n"/>
      <c r="Z174" s="224" t="n"/>
      <c r="AA174" s="867" t="n"/>
      <c r="AB174" s="224" t="n"/>
      <c r="AC174" s="224" t="n"/>
      <c r="AD174" s="224" t="n"/>
      <c r="AE174" s="224" t="n"/>
      <c r="AF174" s="867" t="n"/>
      <c r="AG174" s="224" t="n"/>
      <c r="AH174" s="224" t="n"/>
      <c r="AI174" s="224" t="n"/>
      <c r="AJ174" s="224" t="n"/>
      <c r="AK174" s="867" t="n"/>
      <c r="AL174" s="224" t="n"/>
      <c r="AM174" s="224" t="n"/>
      <c r="AN174" s="224" t="n"/>
      <c r="AO174" s="224" t="n"/>
      <c r="AP174" s="867" t="n"/>
      <c r="AQ174" s="224" t="n"/>
      <c r="AR174" s="224" t="n"/>
      <c r="AS174" s="224" t="n"/>
      <c r="AT174" s="224" t="n"/>
      <c r="AU174" s="867" t="n"/>
      <c r="AV174" s="224" t="n"/>
      <c r="AW174" s="224" t="n"/>
      <c r="AX174" s="224" t="n"/>
      <c r="AY174" s="224" t="n"/>
      <c r="AZ174" s="867" t="n"/>
      <c r="BA174" s="224" t="n"/>
      <c r="BB174" s="224" t="n"/>
      <c r="BC174" s="224" t="n"/>
      <c r="BD174" s="224" t="n"/>
      <c r="BE174" s="867" t="n"/>
      <c r="BF174" s="224" t="n"/>
      <c r="BG174" s="224" t="n"/>
      <c r="BH174" s="224" t="n"/>
      <c r="BI174" s="224" t="n"/>
      <c r="BJ174" s="867" t="n"/>
      <c r="BK174" s="224" t="n"/>
      <c r="BL174" s="224" t="n"/>
      <c r="BM174" s="224" t="n"/>
      <c r="BN174" s="224" t="n"/>
      <c r="BO174" s="867" t="n"/>
      <c r="BP174" s="224" t="n"/>
      <c r="BQ174" s="224" t="n"/>
      <c r="BR174" s="224" t="n"/>
      <c r="BS174" s="224" t="n"/>
      <c r="BT174" s="867" t="n"/>
      <c r="BU174" s="224" t="n"/>
      <c r="BV174" s="224" t="n"/>
      <c r="BW174" s="224" t="n"/>
      <c r="BX174" s="224" t="n"/>
      <c r="BY174" s="867" t="n"/>
      <c r="BZ174" s="224" t="n"/>
      <c r="CA174" s="224" t="n"/>
      <c r="CB174" s="224" t="n"/>
      <c r="CC174" s="224" t="n"/>
      <c r="CD174" s="867" t="n"/>
      <c r="CE174" s="224" t="n"/>
      <c r="CF174" s="224" t="n"/>
      <c r="CG174" s="224" t="n"/>
      <c r="CH174" s="224" t="n"/>
      <c r="CI174" s="224" t="n"/>
      <c r="CJ174" s="224" t="n"/>
      <c r="CK174" s="224" t="n"/>
      <c r="CL174" s="224" t="n"/>
      <c r="CM174" s="224" t="n"/>
      <c r="CN174" s="224" t="n"/>
      <c r="CO174" s="684" t="n"/>
      <c r="CP174" s="224" t="n"/>
      <c r="CQ174" s="693" t="n"/>
    </row>
    <row r="175" ht="16.5" customHeight="1">
      <c r="B175" t="inlineStr">
        <is>
          <t xml:space="preserve">  Net earnings</t>
        </is>
      </c>
      <c r="C175" s="743" t="n"/>
      <c r="D175" s="743" t="n"/>
      <c r="E175" s="743" t="n"/>
      <c r="F175" s="743" t="n"/>
      <c r="G175" s="868" t="n"/>
      <c r="H175" s="743" t="n"/>
      <c r="I175" s="743" t="n"/>
      <c r="J175" s="743" t="n"/>
      <c r="K175" s="743" t="n"/>
      <c r="L175" s="868" t="n"/>
      <c r="M175" s="743" t="n"/>
      <c r="N175" s="743" t="n"/>
      <c r="O175" s="743" t="n"/>
      <c r="P175" s="743" t="n"/>
      <c r="Q175" s="868" t="n"/>
      <c r="R175" s="743" t="n"/>
      <c r="S175" s="743" t="n"/>
      <c r="T175" s="743" t="n"/>
      <c r="U175" s="743" t="n"/>
      <c r="V175" s="868" t="n"/>
      <c r="W175" s="743" t="n"/>
      <c r="X175" s="743" t="n"/>
      <c r="Y175" s="743" t="n"/>
      <c r="Z175" s="743" t="n"/>
      <c r="AA175" s="868" t="n"/>
      <c r="AB175" s="743" t="n"/>
      <c r="AC175" s="743" t="n"/>
      <c r="AD175" s="743" t="n"/>
      <c r="AE175" s="743" t="n"/>
      <c r="AF175" s="868" t="n"/>
      <c r="AG175" s="743" t="n"/>
      <c r="AH175" s="743" t="n"/>
      <c r="AI175" s="743" t="n"/>
      <c r="AJ175" s="743" t="n"/>
      <c r="AK175" s="868" t="n"/>
      <c r="AL175" s="743" t="n"/>
      <c r="AM175" s="291" t="n"/>
      <c r="AN175" s="291" t="n"/>
      <c r="AO175" s="291" t="n"/>
      <c r="AP175" s="868" t="n"/>
      <c r="AQ175" s="291" t="n"/>
      <c r="AR175" s="291" t="n"/>
      <c r="AS175" s="291" t="n"/>
      <c r="AT175" s="291" t="n"/>
      <c r="AU175" s="868" t="n"/>
      <c r="AV175" s="291" t="n"/>
      <c r="AW175" s="291" t="n"/>
      <c r="AX175" s="291" t="n"/>
      <c r="AY175" s="291" t="n"/>
      <c r="AZ175" s="868" t="n">
        <v>233.677</v>
      </c>
      <c r="BA175" s="291" t="n"/>
      <c r="BB175" s="291" t="n"/>
      <c r="BC175" s="291" t="n"/>
      <c r="BD175" s="291" t="n"/>
      <c r="BE175" s="864" t="n">
        <v>275.675</v>
      </c>
      <c r="BF175" s="743" t="n"/>
      <c r="BG175" s="743" t="n"/>
      <c r="BH175" s="743" t="n"/>
      <c r="BI175" s="291" t="n"/>
      <c r="BJ175" s="868" t="n">
        <v>754.405</v>
      </c>
      <c r="BK175" s="743" t="n"/>
      <c r="BL175" s="743" t="n"/>
      <c r="BM175" s="743" t="n"/>
      <c r="BN175" s="291">
        <f>BO175-BK175-BL175-BM175</f>
        <v/>
      </c>
      <c r="BO175" s="868" t="n">
        <v>823.232</v>
      </c>
      <c r="BP175" s="743" t="n"/>
      <c r="BQ175" s="743" t="n"/>
      <c r="BR175" s="743" t="n"/>
      <c r="BS175" s="291">
        <f>BT175-BP175-BQ175-BR175</f>
        <v/>
      </c>
      <c r="BT175" s="868" t="n">
        <v>504.877</v>
      </c>
      <c r="BU175" s="743" t="n"/>
      <c r="BV175" s="743" t="n"/>
      <c r="BW175" s="743" t="n"/>
      <c r="BX175" s="291">
        <f>BY175-BU175-BV175-BW175</f>
        <v/>
      </c>
      <c r="BY175" s="868" t="n">
        <v>422.484</v>
      </c>
      <c r="BZ175" s="743" t="n"/>
      <c r="CA175" s="743" t="n"/>
      <c r="CB175" s="743" t="n"/>
      <c r="CC175" s="291">
        <f>CD175-BZ175-CA175-CB175</f>
        <v/>
      </c>
      <c r="CD175" s="868" t="n">
        <v>310.553</v>
      </c>
      <c r="CE175" s="743" t="n"/>
      <c r="CF175" s="743" t="n"/>
      <c r="CG175" s="291">
        <f>CG133</f>
        <v/>
      </c>
      <c r="CH175" s="291">
        <f>CH133</f>
        <v/>
      </c>
      <c r="CI175" s="749">
        <f>CI133</f>
        <v/>
      </c>
      <c r="CJ175" s="749">
        <f>CJ133</f>
        <v/>
      </c>
      <c r="CK175" s="749">
        <f>CK133</f>
        <v/>
      </c>
      <c r="CL175" s="749">
        <f>CL133</f>
        <v/>
      </c>
      <c r="CM175" s="749">
        <f>CM133</f>
        <v/>
      </c>
      <c r="CN175" s="291" t="n"/>
      <c r="CO175" s="766">
        <f>(CM175/CD175)^(1/5)-1</f>
        <v/>
      </c>
      <c r="CP175" s="291" t="n"/>
      <c r="CQ175" s="694" t="n"/>
    </row>
    <row r="176" ht="16.5" customHeight="1">
      <c r="B176" t="inlineStr">
        <is>
          <t xml:space="preserve">  Depreciation</t>
        </is>
      </c>
      <c r="C176" s="743" t="n"/>
      <c r="D176" s="743" t="n"/>
      <c r="E176" s="743" t="n"/>
      <c r="F176" s="743" t="n"/>
      <c r="G176" s="868" t="n"/>
      <c r="H176" s="743" t="n"/>
      <c r="I176" s="743" t="n"/>
      <c r="J176" s="743" t="n"/>
      <c r="K176" s="743" t="n"/>
      <c r="L176" s="868" t="n"/>
      <c r="M176" s="743" t="n"/>
      <c r="N176" s="743" t="n"/>
      <c r="O176" s="743" t="n"/>
      <c r="P176" s="743" t="n"/>
      <c r="Q176" s="868" t="n"/>
      <c r="R176" s="743" t="n"/>
      <c r="S176" s="743" t="n"/>
      <c r="T176" s="743" t="n"/>
      <c r="U176" s="743" t="n"/>
      <c r="V176" s="868" t="n"/>
      <c r="W176" s="743" t="n"/>
      <c r="X176" s="743" t="n"/>
      <c r="Y176" s="743" t="n"/>
      <c r="Z176" s="743" t="n"/>
      <c r="AA176" s="868" t="n"/>
      <c r="AB176" s="743" t="n"/>
      <c r="AC176" s="743" t="n"/>
      <c r="AD176" s="743" t="n"/>
      <c r="AE176" s="743" t="n"/>
      <c r="AF176" s="868" t="n"/>
      <c r="AG176" s="743" t="n"/>
      <c r="AH176" s="743" t="n"/>
      <c r="AI176" s="743" t="n"/>
      <c r="AJ176" s="743" t="n"/>
      <c r="AK176" s="868" t="n"/>
      <c r="AL176" s="743" t="n"/>
      <c r="AM176" s="291" t="n"/>
      <c r="AN176" s="291" t="n"/>
      <c r="AO176" s="291" t="n"/>
      <c r="AP176" s="868" t="n"/>
      <c r="AQ176" s="291" t="n"/>
      <c r="AR176" s="291" t="n"/>
      <c r="AS176" s="291" t="n"/>
      <c r="AT176" s="291" t="n"/>
      <c r="AU176" s="868" t="n"/>
      <c r="AV176" s="291" t="n"/>
      <c r="AW176" s="291" t="n"/>
      <c r="AX176" s="291" t="n"/>
      <c r="AY176" s="291" t="n"/>
      <c r="AZ176" s="868" t="n">
        <v>168.72</v>
      </c>
      <c r="BA176" s="291" t="n"/>
      <c r="BB176" s="291" t="n"/>
      <c r="BC176" s="291" t="n"/>
      <c r="BD176" s="291" t="n"/>
      <c r="BE176" s="868" t="n">
        <v>170.52</v>
      </c>
      <c r="BF176" s="743" t="n"/>
      <c r="BG176" s="743" t="n"/>
      <c r="BH176" s="743" t="n"/>
      <c r="BI176" s="291" t="n"/>
      <c r="BJ176" s="868" t="n">
        <v>225.007</v>
      </c>
      <c r="BK176" s="743" t="n"/>
      <c r="BL176" s="743" t="n"/>
      <c r="BM176" s="743" t="n"/>
      <c r="BN176" s="291">
        <f>BO176-BK176-BL176-BM176</f>
        <v/>
      </c>
      <c r="BO176" s="868" t="n">
        <v>248.638</v>
      </c>
      <c r="BP176" s="743" t="n"/>
      <c r="BQ176" s="743" t="n"/>
      <c r="BR176" s="743" t="n"/>
      <c r="BS176" s="291">
        <f>BT176-BP176-BQ176-BR176</f>
        <v/>
      </c>
      <c r="BT176" s="868" t="n">
        <v>249.835</v>
      </c>
      <c r="BU176" s="743" t="n"/>
      <c r="BV176" s="743" t="n"/>
      <c r="BW176" s="743" t="n"/>
      <c r="BX176" s="291">
        <f>BY176-BU176-BV176-BW176</f>
        <v/>
      </c>
      <c r="BY176" s="868" t="n">
        <v>332.58</v>
      </c>
      <c r="BZ176" s="743" t="n"/>
      <c r="CA176" s="743" t="n"/>
      <c r="CB176" s="743" t="n"/>
      <c r="CC176" s="291">
        <f>CD176-BZ176-CA176-CB176</f>
        <v/>
      </c>
      <c r="CD176" s="868" t="n">
        <v>350.902</v>
      </c>
      <c r="CE176" s="743" t="n"/>
      <c r="CF176" s="743" t="n"/>
      <c r="CG176" s="291">
        <f>CG114*CG279</f>
        <v/>
      </c>
      <c r="CH176" s="291">
        <f>CH114*CH279</f>
        <v/>
      </c>
      <c r="CI176" s="749">
        <f>CI114*CI279</f>
        <v/>
      </c>
      <c r="CJ176" s="749">
        <f>CJ114*CJ279</f>
        <v/>
      </c>
      <c r="CK176" s="749">
        <f>CK114*CK279</f>
        <v/>
      </c>
      <c r="CL176" s="749">
        <f>CL114*CL279</f>
        <v/>
      </c>
      <c r="CM176" s="749">
        <f>CM114*CM279</f>
        <v/>
      </c>
      <c r="CN176" s="291" t="n"/>
      <c r="CO176" s="766" t="n"/>
      <c r="CP176" s="291" t="n"/>
      <c r="CQ176" s="694" t="n"/>
    </row>
    <row r="177" ht="16.5" customHeight="1">
      <c r="B177" t="inlineStr">
        <is>
          <t xml:space="preserve">  Amortization</t>
        </is>
      </c>
      <c r="C177" s="743" t="n"/>
      <c r="D177" s="743" t="n"/>
      <c r="E177" s="743" t="n"/>
      <c r="F177" s="743" t="n"/>
      <c r="G177" s="868" t="n"/>
      <c r="H177" s="743" t="n"/>
      <c r="I177" s="743" t="n"/>
      <c r="J177" s="743" t="n"/>
      <c r="K177" s="743" t="n"/>
      <c r="L177" s="868" t="n"/>
      <c r="M177" s="743" t="n"/>
      <c r="N177" s="743" t="n"/>
      <c r="O177" s="743" t="n"/>
      <c r="P177" s="743" t="n"/>
      <c r="Q177" s="868" t="n"/>
      <c r="R177" s="743" t="n"/>
      <c r="S177" s="743" t="n"/>
      <c r="T177" s="743" t="n"/>
      <c r="U177" s="743" t="n"/>
      <c r="V177" s="868" t="n"/>
      <c r="W177" s="743" t="n"/>
      <c r="X177" s="743" t="n"/>
      <c r="Y177" s="743" t="n"/>
      <c r="Z177" s="743" t="n"/>
      <c r="AA177" s="868" t="n"/>
      <c r="AB177" s="743" t="n"/>
      <c r="AC177" s="743" t="n"/>
      <c r="AD177" s="743" t="n"/>
      <c r="AE177" s="743" t="n"/>
      <c r="AF177" s="868" t="n"/>
      <c r="AG177" s="743" t="n"/>
      <c r="AH177" s="743" t="n"/>
      <c r="AI177" s="743" t="n"/>
      <c r="AJ177" s="743" t="n"/>
      <c r="AK177" s="868" t="n"/>
      <c r="AL177" s="743" t="n"/>
      <c r="AM177" s="291" t="n"/>
      <c r="AN177" s="291" t="n"/>
      <c r="AO177" s="291" t="n"/>
      <c r="AP177" s="868" t="n"/>
      <c r="AQ177" s="291" t="n"/>
      <c r="AR177" s="291" t="n"/>
      <c r="AS177" s="291" t="n"/>
      <c r="AT177" s="291" t="n"/>
      <c r="AU177" s="868" t="n"/>
      <c r="AV177" s="291" t="n"/>
      <c r="AW177" s="291" t="n"/>
      <c r="AX177" s="291" t="n"/>
      <c r="AY177" s="291" t="n"/>
      <c r="AZ177" s="868" t="n">
        <v>49.701</v>
      </c>
      <c r="BA177" s="291" t="n"/>
      <c r="BB177" s="291" t="n"/>
      <c r="BC177" s="291" t="n"/>
      <c r="BD177" s="291" t="n"/>
      <c r="BE177" s="868" t="n">
        <v>48.213</v>
      </c>
      <c r="BF177" s="743" t="n"/>
      <c r="BG177" s="743" t="n"/>
      <c r="BH177" s="743" t="n"/>
      <c r="BI177" s="291" t="n"/>
      <c r="BJ177" s="868" t="n">
        <v>55.243</v>
      </c>
      <c r="BK177" s="743" t="n"/>
      <c r="BL177" s="743" t="n"/>
      <c r="BM177" s="743" t="n"/>
      <c r="BN177" s="291">
        <f>BO177-BK177-BL177-BM177</f>
        <v/>
      </c>
      <c r="BO177" s="868" t="n">
        <v>55.679</v>
      </c>
      <c r="BP177" s="743" t="n"/>
      <c r="BQ177" s="743" t="n"/>
      <c r="BR177" s="743" t="n"/>
      <c r="BS177" s="291">
        <f>BT177-BP177-BQ177-BR177</f>
        <v/>
      </c>
      <c r="BT177" s="868" t="n">
        <v>60.028</v>
      </c>
      <c r="BU177" s="743" t="n"/>
      <c r="BV177" s="743" t="n"/>
      <c r="BW177" s="743" t="n"/>
      <c r="BX177" s="291">
        <f>BY177-BU177-BV177-BW177</f>
        <v/>
      </c>
      <c r="BY177" s="868" t="n">
        <v>79.98399999999999</v>
      </c>
      <c r="BZ177" s="743" t="n"/>
      <c r="CA177" s="743" t="n"/>
      <c r="CB177" s="743" t="n"/>
      <c r="CC177" s="291">
        <f>CD177-BZ177-CA177-CB177</f>
        <v/>
      </c>
      <c r="CD177" s="868" t="n">
        <v>86.84</v>
      </c>
      <c r="CE177" s="743" t="n"/>
      <c r="CF177" s="743" t="n"/>
      <c r="CG177" s="291">
        <f>CG114*CG281</f>
        <v/>
      </c>
      <c r="CH177" s="291">
        <f>CH114*CH281</f>
        <v/>
      </c>
      <c r="CI177" s="749">
        <f>CI114*CI281</f>
        <v/>
      </c>
      <c r="CJ177" s="749">
        <f>CJ114*CJ281</f>
        <v/>
      </c>
      <c r="CK177" s="749">
        <f>CK114*CK281</f>
        <v/>
      </c>
      <c r="CL177" s="749">
        <f>CL114*CL281</f>
        <v/>
      </c>
      <c r="CM177" s="749">
        <f>CM114*CM281</f>
        <v/>
      </c>
      <c r="CN177" s="291" t="n"/>
      <c r="CO177" s="766" t="n"/>
      <c r="CP177" s="291" t="n"/>
      <c r="CQ177" s="694" t="n"/>
    </row>
    <row r="178" ht="16.5" customHeight="1">
      <c r="B178" t="inlineStr">
        <is>
          <t xml:space="preserve">  Stock-based compensation</t>
        </is>
      </c>
      <c r="C178" s="743" t="n"/>
      <c r="D178" s="743" t="n"/>
      <c r="E178" s="743" t="n"/>
      <c r="F178" s="743" t="n"/>
      <c r="G178" s="868" t="n"/>
      <c r="H178" s="743" t="n"/>
      <c r="I178" s="743" t="n"/>
      <c r="J178" s="743" t="n"/>
      <c r="K178" s="743" t="n"/>
      <c r="L178" s="868" t="n"/>
      <c r="M178" s="743" t="n"/>
      <c r="N178" s="743" t="n"/>
      <c r="O178" s="743" t="n"/>
      <c r="P178" s="743" t="n"/>
      <c r="Q178" s="868" t="n"/>
      <c r="R178" s="743" t="n"/>
      <c r="S178" s="743" t="n"/>
      <c r="T178" s="743" t="n"/>
      <c r="U178" s="743" t="n"/>
      <c r="V178" s="868" t="n"/>
      <c r="W178" s="743" t="n"/>
      <c r="X178" s="743" t="n"/>
      <c r="Y178" s="743" t="n"/>
      <c r="Z178" s="743" t="n"/>
      <c r="AA178" s="868" t="n"/>
      <c r="AB178" s="743" t="n"/>
      <c r="AC178" s="743" t="n"/>
      <c r="AD178" s="743" t="n"/>
      <c r="AE178" s="743" t="n"/>
      <c r="AF178" s="868" t="n"/>
      <c r="AG178" s="743" t="n"/>
      <c r="AH178" s="743" t="n"/>
      <c r="AI178" s="743" t="n"/>
      <c r="AJ178" s="743" t="n"/>
      <c r="AK178" s="868" t="n"/>
      <c r="AL178" s="743" t="n"/>
      <c r="AM178" s="291" t="n"/>
      <c r="AN178" s="291" t="n"/>
      <c r="AO178" s="291" t="n"/>
      <c r="AP178" s="868" t="n"/>
      <c r="AQ178" s="291" t="n"/>
      <c r="AR178" s="291" t="n"/>
      <c r="AS178" s="291" t="n"/>
      <c r="AT178" s="291" t="n"/>
      <c r="AU178" s="868" t="n"/>
      <c r="AV178" s="291" t="n"/>
      <c r="AW178" s="291" t="n"/>
      <c r="AX178" s="291" t="n"/>
      <c r="AY178" s="291" t="n"/>
      <c r="AZ178" s="868" t="n">
        <v>6.227</v>
      </c>
      <c r="BA178" s="291" t="n"/>
      <c r="BB178" s="291" t="n"/>
      <c r="BC178" s="291" t="n"/>
      <c r="BD178" s="291" t="n"/>
      <c r="BE178" s="868" t="n">
        <v>7.046</v>
      </c>
      <c r="BF178" s="743" t="n"/>
      <c r="BG178" s="743" t="n"/>
      <c r="BH178" s="743" t="n"/>
      <c r="BI178" s="291" t="n"/>
      <c r="BJ178" s="868" t="n">
        <v>15.424</v>
      </c>
      <c r="BK178" s="743" t="n"/>
      <c r="BL178" s="743" t="n"/>
      <c r="BM178" s="743" t="n"/>
      <c r="BN178" s="291">
        <f>BO178-BK178-BL178-BM178</f>
        <v/>
      </c>
      <c r="BO178" s="868" t="n">
        <v>14.648</v>
      </c>
      <c r="BP178" s="743" t="n"/>
      <c r="BQ178" s="743" t="n"/>
      <c r="BR178" s="743" t="n"/>
      <c r="BS178" s="291">
        <f>BT178-BP178-BQ178-BR178</f>
        <v/>
      </c>
      <c r="BT178" s="868" t="n">
        <v>13.451</v>
      </c>
      <c r="BU178" s="743" t="n"/>
      <c r="BV178" s="743" t="n"/>
      <c r="BW178" s="743" t="n"/>
      <c r="BX178" s="291">
        <f>BY178-BU178-BV178-BW178</f>
        <v/>
      </c>
      <c r="BY178" s="868" t="n">
        <v>11.074</v>
      </c>
      <c r="BZ178" s="743" t="n"/>
      <c r="CA178" s="743" t="n"/>
      <c r="CB178" s="743" t="n"/>
      <c r="CC178" s="291">
        <f>CD178-BZ178-CA178-CB178</f>
        <v/>
      </c>
      <c r="CD178" s="868" t="n">
        <v>15.148</v>
      </c>
      <c r="CE178" s="743" t="n"/>
      <c r="CF178" s="743" t="n"/>
      <c r="CG178" s="743" t="n"/>
      <c r="CH178" s="743" t="n"/>
      <c r="CI178" s="774" t="n"/>
      <c r="CJ178" s="774" t="n"/>
      <c r="CK178" s="774" t="n"/>
      <c r="CL178" s="774" t="n"/>
      <c r="CM178" s="774" t="n"/>
      <c r="CN178" s="291" t="n"/>
      <c r="CO178" s="766" t="n"/>
      <c r="CP178" s="291" t="n"/>
      <c r="CQ178" s="694" t="n"/>
    </row>
    <row r="179" ht="16.5" customHeight="1">
      <c r="B179" t="inlineStr">
        <is>
          <t xml:space="preserve">  Deferred income taxes</t>
        </is>
      </c>
      <c r="C179" s="743" t="n"/>
      <c r="D179" s="743" t="n"/>
      <c r="E179" s="743" t="n"/>
      <c r="F179" s="743" t="n"/>
      <c r="G179" s="868" t="n"/>
      <c r="H179" s="743" t="n"/>
      <c r="I179" s="743" t="n"/>
      <c r="J179" s="743" t="n"/>
      <c r="K179" s="743" t="n"/>
      <c r="L179" s="868" t="n"/>
      <c r="M179" s="743" t="n"/>
      <c r="N179" s="743" t="n"/>
      <c r="O179" s="743" t="n"/>
      <c r="P179" s="743" t="n"/>
      <c r="Q179" s="868" t="n"/>
      <c r="R179" s="743" t="n"/>
      <c r="S179" s="743" t="n"/>
      <c r="T179" s="743" t="n"/>
      <c r="U179" s="743" t="n"/>
      <c r="V179" s="868" t="n"/>
      <c r="W179" s="743" t="n"/>
      <c r="X179" s="743" t="n"/>
      <c r="Y179" s="743" t="n"/>
      <c r="Z179" s="743" t="n"/>
      <c r="AA179" s="868" t="n"/>
      <c r="AB179" s="743" t="n"/>
      <c r="AC179" s="743" t="n"/>
      <c r="AD179" s="743" t="n"/>
      <c r="AE179" s="743" t="n"/>
      <c r="AF179" s="868" t="n"/>
      <c r="AG179" s="743" t="n"/>
      <c r="AH179" s="743" t="n"/>
      <c r="AI179" s="743" t="n"/>
      <c r="AJ179" s="743" t="n"/>
      <c r="AK179" s="868" t="n"/>
      <c r="AL179" s="743" t="n"/>
      <c r="AM179" s="291" t="n"/>
      <c r="AN179" s="291" t="n"/>
      <c r="AO179" s="291" t="n"/>
      <c r="AP179" s="868" t="n"/>
      <c r="AQ179" s="291" t="n"/>
      <c r="AR179" s="291" t="n"/>
      <c r="AS179" s="291" t="n"/>
      <c r="AT179" s="291" t="n"/>
      <c r="AU179" s="868" t="n"/>
      <c r="AV179" s="291" t="n"/>
      <c r="AW179" s="291" t="n"/>
      <c r="AX179" s="291" t="n"/>
      <c r="AY179" s="291" t="n"/>
      <c r="AZ179" s="868" t="n"/>
      <c r="BA179" s="291" t="n"/>
      <c r="BB179" s="291" t="n"/>
      <c r="BC179" s="291" t="n"/>
      <c r="BD179" s="291" t="n"/>
      <c r="BE179" s="868" t="n"/>
      <c r="BF179" s="743" t="n"/>
      <c r="BG179" s="743" t="n"/>
      <c r="BH179" s="743" t="n"/>
      <c r="BI179" s="291" t="n"/>
      <c r="BJ179" s="868" t="n"/>
      <c r="BK179" s="743" t="n"/>
      <c r="BL179" s="743" t="n"/>
      <c r="BM179" s="743" t="n"/>
      <c r="BN179" s="291">
        <f>BO179-BK179-BL179-BM179</f>
        <v/>
      </c>
      <c r="BO179" s="868" t="n"/>
      <c r="BP179" s="743" t="n"/>
      <c r="BQ179" s="743" t="n"/>
      <c r="BR179" s="743" t="n"/>
      <c r="BS179" s="291">
        <f>BT179-BP179-BQ179-BR179</f>
        <v/>
      </c>
      <c r="BT179" s="868" t="n"/>
      <c r="BU179" s="743" t="n"/>
      <c r="BV179" s="743" t="n"/>
      <c r="BW179" s="743" t="n"/>
      <c r="BX179" s="291">
        <f>BY179-BU179-BV179-BW179</f>
        <v/>
      </c>
      <c r="BY179" s="868" t="n"/>
      <c r="BZ179" s="743" t="n"/>
      <c r="CA179" s="743" t="n"/>
      <c r="CB179" s="743" t="n"/>
      <c r="CC179" s="291">
        <f>CD179-BZ179-CA179-CB179</f>
        <v/>
      </c>
      <c r="CD179" s="868" t="n"/>
      <c r="CE179" s="743" t="n"/>
      <c r="CF179" s="743" t="n"/>
      <c r="CG179" s="743" t="n"/>
      <c r="CH179" s="743" t="n"/>
      <c r="CI179" s="774" t="n"/>
      <c r="CJ179" s="774" t="n"/>
      <c r="CK179" s="774" t="n"/>
      <c r="CL179" s="774" t="n"/>
      <c r="CM179" s="774" t="n"/>
      <c r="CN179" s="291" t="n"/>
      <c r="CO179" s="766" t="n"/>
      <c r="CP179" s="291" t="n"/>
      <c r="CQ179" s="693" t="n"/>
    </row>
    <row r="180" ht="16.5" customHeight="1">
      <c r="B180" t="inlineStr">
        <is>
          <t xml:space="preserve">  Change in accounts receivable</t>
        </is>
      </c>
      <c r="C180" s="743" t="n"/>
      <c r="D180" s="743" t="n"/>
      <c r="E180" s="743" t="n"/>
      <c r="F180" s="743" t="n"/>
      <c r="G180" s="868" t="n"/>
      <c r="H180" s="743" t="n"/>
      <c r="I180" s="743" t="n"/>
      <c r="J180" s="743" t="n"/>
      <c r="K180" s="743" t="n"/>
      <c r="L180" s="868" t="n"/>
      <c r="M180" s="743" t="n"/>
      <c r="N180" s="743" t="n"/>
      <c r="O180" s="743" t="n"/>
      <c r="P180" s="743" t="n"/>
      <c r="Q180" s="868" t="n"/>
      <c r="R180" s="743" t="n"/>
      <c r="S180" s="743" t="n"/>
      <c r="T180" s="743" t="n"/>
      <c r="U180" s="743" t="n"/>
      <c r="V180" s="868" t="n"/>
      <c r="W180" s="743" t="n"/>
      <c r="X180" s="743" t="n"/>
      <c r="Y180" s="743" t="n"/>
      <c r="Z180" s="743" t="n"/>
      <c r="AA180" s="868" t="n"/>
      <c r="AB180" s="743" t="n"/>
      <c r="AC180" s="743" t="n"/>
      <c r="AD180" s="743" t="n"/>
      <c r="AE180" s="743" t="n"/>
      <c r="AF180" s="868" t="n"/>
      <c r="AG180" s="743" t="n"/>
      <c r="AH180" s="743" t="n"/>
      <c r="AI180" s="743" t="n"/>
      <c r="AJ180" s="743" t="n"/>
      <c r="AK180" s="868" t="n"/>
      <c r="AL180" s="743" t="n"/>
      <c r="AM180" s="291" t="n"/>
      <c r="AN180" s="291" t="n"/>
      <c r="AO180" s="291" t="n"/>
      <c r="AP180" s="868" t="n"/>
      <c r="AQ180" s="291" t="n"/>
      <c r="AR180" s="291" t="n"/>
      <c r="AS180" s="291" t="n"/>
      <c r="AT180" s="291" t="n"/>
      <c r="AU180" s="868" t="n"/>
      <c r="AV180" s="291" t="n"/>
      <c r="AW180" s="291" t="n"/>
      <c r="AX180" s="291" t="n"/>
      <c r="AY180" s="291" t="n"/>
      <c r="AZ180" s="868" t="n">
        <v>58.763</v>
      </c>
      <c r="BA180" s="291" t="n"/>
      <c r="BB180" s="291" t="n"/>
      <c r="BC180" s="291" t="n"/>
      <c r="BD180" s="291" t="n"/>
      <c r="BE180" s="868" t="n">
        <v>-16.399</v>
      </c>
      <c r="BF180" s="743" t="n"/>
      <c r="BG180" s="743" t="n"/>
      <c r="BH180" s="743" t="n"/>
      <c r="BI180" s="291" t="n"/>
      <c r="BJ180" s="868" t="n">
        <v>101.664</v>
      </c>
      <c r="BK180" s="743" t="n"/>
      <c r="BL180" s="743" t="n"/>
      <c r="BM180" s="743" t="n"/>
      <c r="BN180" s="291">
        <f>BO180-BK180-BL180-BM180</f>
        <v/>
      </c>
      <c r="BO180" s="868" t="n">
        <v>59.105</v>
      </c>
      <c r="BP180" s="743" t="n"/>
      <c r="BQ180" s="743" t="n"/>
      <c r="BR180" s="743" t="n"/>
      <c r="BS180" s="291">
        <f>BT180-BP180-BQ180-BR180</f>
        <v/>
      </c>
      <c r="BT180" s="868" t="n">
        <v>-224.121</v>
      </c>
      <c r="BU180" s="743" t="n"/>
      <c r="BV180" s="743" t="n"/>
      <c r="BW180" s="743" t="n"/>
      <c r="BX180" s="291">
        <f>BY180-BU180-BV180-BW180</f>
        <v/>
      </c>
      <c r="BY180" s="868" t="n">
        <v>-145.432</v>
      </c>
      <c r="BZ180" s="743" t="n"/>
      <c r="CA180" s="743" t="n"/>
      <c r="CB180" s="743" t="n"/>
      <c r="CC180" s="291">
        <f>CD180-BZ180-CA180-CB180</f>
        <v/>
      </c>
      <c r="CD180" s="868" t="n">
        <v>-129.284</v>
      </c>
      <c r="CE180" s="743" t="n"/>
      <c r="CF180" s="743" t="n"/>
      <c r="CG180" s="291">
        <f>-(CG227-CF227)</f>
        <v/>
      </c>
      <c r="CH180" s="291">
        <f>-(CH227-CG227)</f>
        <v/>
      </c>
      <c r="CI180" s="749">
        <f>-(CI227-CD227)</f>
        <v/>
      </c>
      <c r="CJ180" s="749">
        <f>-(CJ227-CI227)</f>
        <v/>
      </c>
      <c r="CK180" s="749">
        <f>-(CK227-CJ227)</f>
        <v/>
      </c>
      <c r="CL180" s="749">
        <f>-(CL227-CK227)</f>
        <v/>
      </c>
      <c r="CM180" s="749">
        <f>-(CM227-CL227)</f>
        <v/>
      </c>
      <c r="CN180" s="291" t="n"/>
      <c r="CO180" s="766" t="n"/>
      <c r="CP180" s="291" t="n"/>
      <c r="CQ180" s="694" t="n"/>
    </row>
    <row r="181" ht="16.5" customHeight="1">
      <c r="B181" t="inlineStr">
        <is>
          <t xml:space="preserve">  Change in inventories</t>
        </is>
      </c>
      <c r="C181" s="743" t="n"/>
      <c r="D181" s="743" t="n"/>
      <c r="E181" s="743" t="n"/>
      <c r="F181" s="743" t="n"/>
      <c r="G181" s="868" t="n"/>
      <c r="H181" s="743" t="n"/>
      <c r="I181" s="743" t="n"/>
      <c r="J181" s="743" t="n"/>
      <c r="K181" s="743" t="n"/>
      <c r="L181" s="868" t="n"/>
      <c r="M181" s="743" t="n"/>
      <c r="N181" s="743" t="n"/>
      <c r="O181" s="743" t="n"/>
      <c r="P181" s="743" t="n"/>
      <c r="Q181" s="868" t="n"/>
      <c r="R181" s="743" t="n"/>
      <c r="S181" s="743" t="n"/>
      <c r="T181" s="743" t="n"/>
      <c r="U181" s="743" t="n"/>
      <c r="V181" s="868" t="n"/>
      <c r="W181" s="743" t="n"/>
      <c r="X181" s="743" t="n"/>
      <c r="Y181" s="743" t="n"/>
      <c r="Z181" s="743" t="n"/>
      <c r="AA181" s="868" t="n"/>
      <c r="AB181" s="743" t="n"/>
      <c r="AC181" s="743" t="n"/>
      <c r="AD181" s="743" t="n"/>
      <c r="AE181" s="743" t="n"/>
      <c r="AF181" s="868" t="n"/>
      <c r="AG181" s="743" t="n"/>
      <c r="AH181" s="743" t="n"/>
      <c r="AI181" s="743" t="n"/>
      <c r="AJ181" s="743" t="n"/>
      <c r="AK181" s="868" t="n"/>
      <c r="AL181" s="743" t="n"/>
      <c r="AM181" s="291" t="n"/>
      <c r="AN181" s="291" t="n"/>
      <c r="AO181" s="291" t="n"/>
      <c r="AP181" s="868" t="n"/>
      <c r="AQ181" s="291" t="n"/>
      <c r="AR181" s="291" t="n"/>
      <c r="AS181" s="291" t="n"/>
      <c r="AT181" s="291" t="n"/>
      <c r="AU181" s="868" t="n"/>
      <c r="AV181" s="291" t="n"/>
      <c r="AW181" s="291" t="n"/>
      <c r="AX181" s="291" t="n"/>
      <c r="AY181" s="291" t="n"/>
      <c r="AZ181" s="868" t="n">
        <v>2.292</v>
      </c>
      <c r="BA181" s="291" t="n"/>
      <c r="BB181" s="291" t="n"/>
      <c r="BC181" s="291" t="n"/>
      <c r="BD181" s="291" t="n"/>
      <c r="BE181" s="868" t="n">
        <v>2.2</v>
      </c>
      <c r="BF181" s="743" t="n"/>
      <c r="BG181" s="743" t="n"/>
      <c r="BH181" s="743" t="n"/>
      <c r="BI181" s="291" t="n"/>
      <c r="BJ181" s="868" t="n">
        <v>1.233</v>
      </c>
      <c r="BK181" s="743" t="n"/>
      <c r="BL181" s="743" t="n"/>
      <c r="BM181" s="743" t="n"/>
      <c r="BN181" s="291">
        <f>BO181-BK181-BL181-BM181</f>
        <v/>
      </c>
      <c r="BO181" s="868" t="n">
        <v>1.498</v>
      </c>
      <c r="BP181" s="743" t="n"/>
      <c r="BQ181" s="743" t="n"/>
      <c r="BR181" s="743" t="n"/>
      <c r="BS181" s="291">
        <f>BT181-BP181-BQ181-BR181</f>
        <v/>
      </c>
      <c r="BT181" s="868" t="n">
        <v>-6.533</v>
      </c>
      <c r="BU181" s="743" t="n"/>
      <c r="BV181" s="743" t="n"/>
      <c r="BW181" s="743" t="n"/>
      <c r="BX181" s="291">
        <f>BY181-BU181-BV181-BW181</f>
        <v/>
      </c>
      <c r="BY181" s="868" t="n">
        <v>-8.101000000000001</v>
      </c>
      <c r="BZ181" s="743" t="n"/>
      <c r="CA181" s="743" t="n"/>
      <c r="CB181" s="743" t="n"/>
      <c r="CC181" s="291">
        <f>CD181-BZ181-CA181-CB181</f>
        <v/>
      </c>
      <c r="CD181" s="868" t="n">
        <v>0.305</v>
      </c>
      <c r="CE181" s="743" t="n"/>
      <c r="CF181" s="743" t="n"/>
      <c r="CG181" s="291">
        <f>-(CG228-CF228)</f>
        <v/>
      </c>
      <c r="CH181" s="291">
        <f>-(CH228-CG228)</f>
        <v/>
      </c>
      <c r="CI181" s="749">
        <f>-(CI228-CD228)</f>
        <v/>
      </c>
      <c r="CJ181" s="749">
        <f>-(CJ228-CI228)</f>
        <v/>
      </c>
      <c r="CK181" s="749">
        <f>-(CK228-CJ228)</f>
        <v/>
      </c>
      <c r="CL181" s="749">
        <f>-(CL228-CK228)</f>
        <v/>
      </c>
      <c r="CM181" s="749">
        <f>-(CM228-CL228)</f>
        <v/>
      </c>
      <c r="CN181" s="291" t="n"/>
      <c r="CO181" s="766" t="n"/>
      <c r="CP181" s="291" t="n"/>
      <c r="CQ181" s="694" t="n"/>
    </row>
    <row r="182" ht="16.5" customHeight="1">
      <c r="B182" t="inlineStr">
        <is>
          <t xml:space="preserve">  Change in accounts payable</t>
        </is>
      </c>
      <c r="C182" s="743" t="n"/>
      <c r="D182" s="743" t="n"/>
      <c r="E182" s="743" t="n"/>
      <c r="F182" s="743" t="n"/>
      <c r="G182" s="868" t="n"/>
      <c r="H182" s="743" t="n"/>
      <c r="I182" s="743" t="n"/>
      <c r="J182" s="743" t="n"/>
      <c r="K182" s="743" t="n"/>
      <c r="L182" s="868" t="n"/>
      <c r="M182" s="743" t="n"/>
      <c r="N182" s="743" t="n"/>
      <c r="O182" s="743" t="n"/>
      <c r="P182" s="743" t="n"/>
      <c r="Q182" s="868" t="n"/>
      <c r="R182" s="743" t="n"/>
      <c r="S182" s="743" t="n"/>
      <c r="T182" s="743" t="n"/>
      <c r="U182" s="743" t="n"/>
      <c r="V182" s="868" t="n"/>
      <c r="W182" s="743" t="n"/>
      <c r="X182" s="743" t="n"/>
      <c r="Y182" s="743" t="n"/>
      <c r="Z182" s="743" t="n"/>
      <c r="AA182" s="868" t="n"/>
      <c r="AB182" s="743" t="n"/>
      <c r="AC182" s="743" t="n"/>
      <c r="AD182" s="743" t="n"/>
      <c r="AE182" s="743" t="n"/>
      <c r="AF182" s="868" t="n"/>
      <c r="AG182" s="743" t="n"/>
      <c r="AH182" s="743" t="n"/>
      <c r="AI182" s="743" t="n"/>
      <c r="AJ182" s="743" t="n"/>
      <c r="AK182" s="868" t="n"/>
      <c r="AL182" s="743" t="n"/>
      <c r="AM182" s="291" t="n"/>
      <c r="AN182" s="291" t="n"/>
      <c r="AO182" s="291" t="n"/>
      <c r="AP182" s="868" t="n"/>
      <c r="AQ182" s="291" t="n"/>
      <c r="AR182" s="291" t="n"/>
      <c r="AS182" s="291" t="n"/>
      <c r="AT182" s="291" t="n"/>
      <c r="AU182" s="868" t="n"/>
      <c r="AV182" s="291" t="n"/>
      <c r="AW182" s="291" t="n"/>
      <c r="AX182" s="291" t="n"/>
      <c r="AY182" s="291" t="n"/>
      <c r="AZ182" s="868" t="n">
        <v>-48.557</v>
      </c>
      <c r="BA182" s="291" t="n"/>
      <c r="BB182" s="291" t="n"/>
      <c r="BC182" s="291" t="n"/>
      <c r="BD182" s="291" t="n"/>
      <c r="BE182" s="868" t="n">
        <v>47.668</v>
      </c>
      <c r="BF182" s="743" t="n"/>
      <c r="BG182" s="743" t="n"/>
      <c r="BH182" s="743" t="n"/>
      <c r="BI182" s="291" t="n"/>
      <c r="BJ182" s="868" t="n">
        <v>-154.292</v>
      </c>
      <c r="BK182" s="743" t="n"/>
      <c r="BL182" s="743" t="n"/>
      <c r="BM182" s="743" t="n"/>
      <c r="BN182" s="291">
        <f>BO182-BK182-BL182-BM182</f>
        <v/>
      </c>
      <c r="BO182" s="868" t="n">
        <v>96.774</v>
      </c>
      <c r="BP182" s="743" t="n"/>
      <c r="BQ182" s="743" t="n"/>
      <c r="BR182" s="743" t="n"/>
      <c r="BS182" s="291">
        <f>BT182-BP182-BQ182-BR182</f>
        <v/>
      </c>
      <c r="BT182" s="868" t="n">
        <v>112.375</v>
      </c>
      <c r="BU182" s="743" t="n"/>
      <c r="BV182" s="743" t="n"/>
      <c r="BW182" s="743" t="n"/>
      <c r="BX182" s="291">
        <f>BY182-BU182-BV182-BW182</f>
        <v/>
      </c>
      <c r="BY182" s="868" t="n">
        <v>154.092</v>
      </c>
      <c r="BZ182" s="743" t="n"/>
      <c r="CA182" s="743" t="n"/>
      <c r="CB182" s="743" t="n"/>
      <c r="CC182" s="291">
        <f>CD182-BZ182-CA182-CB182</f>
        <v/>
      </c>
      <c r="CD182" s="868" t="n">
        <v>-3.651</v>
      </c>
      <c r="CE182" s="743" t="n"/>
      <c r="CF182" s="743" t="n"/>
      <c r="CG182" s="291">
        <f>CG243-CF243</f>
        <v/>
      </c>
      <c r="CH182" s="291">
        <f>CH243-CG243</f>
        <v/>
      </c>
      <c r="CI182" s="749">
        <f>CI243-CD243</f>
        <v/>
      </c>
      <c r="CJ182" s="749">
        <f>CJ243-CI243</f>
        <v/>
      </c>
      <c r="CK182" s="749">
        <f>CK243-CJ243</f>
        <v/>
      </c>
      <c r="CL182" s="749">
        <f>CL243-CK243</f>
        <v/>
      </c>
      <c r="CM182" s="749">
        <f>CM243-CL243</f>
        <v/>
      </c>
      <c r="CN182" s="291" t="n"/>
      <c r="CO182" s="766" t="n"/>
      <c r="CP182" s="291" t="n"/>
      <c r="CQ182" s="693" t="n"/>
    </row>
    <row r="183" ht="16.5" customHeight="1">
      <c r="B183" t="inlineStr">
        <is>
          <t xml:space="preserve">  Change in accrued liabilities</t>
        </is>
      </c>
      <c r="C183" s="743" t="n"/>
      <c r="D183" s="743" t="n"/>
      <c r="E183" s="743" t="n"/>
      <c r="F183" s="743" t="n"/>
      <c r="G183" s="868" t="n"/>
      <c r="H183" s="743" t="n"/>
      <c r="I183" s="743" t="n"/>
      <c r="J183" s="743" t="n"/>
      <c r="K183" s="743" t="n"/>
      <c r="L183" s="868" t="n"/>
      <c r="M183" s="743" t="n"/>
      <c r="N183" s="743" t="n"/>
      <c r="O183" s="743" t="n"/>
      <c r="P183" s="743" t="n"/>
      <c r="Q183" s="868" t="n"/>
      <c r="R183" s="743" t="n"/>
      <c r="S183" s="743" t="n"/>
      <c r="T183" s="743" t="n"/>
      <c r="U183" s="743" t="n"/>
      <c r="V183" s="868" t="n"/>
      <c r="W183" s="743" t="n"/>
      <c r="X183" s="743" t="n"/>
      <c r="Y183" s="743" t="n"/>
      <c r="Z183" s="743" t="n"/>
      <c r="AA183" s="868" t="n"/>
      <c r="AB183" s="743" t="n"/>
      <c r="AC183" s="743" t="n"/>
      <c r="AD183" s="743" t="n"/>
      <c r="AE183" s="743" t="n"/>
      <c r="AF183" s="868" t="n"/>
      <c r="AG183" s="743" t="n"/>
      <c r="AH183" s="743" t="n"/>
      <c r="AI183" s="743" t="n"/>
      <c r="AJ183" s="743" t="n"/>
      <c r="AK183" s="868" t="n"/>
      <c r="AL183" s="743" t="n"/>
      <c r="AM183" s="291" t="n"/>
      <c r="AN183" s="291" t="n"/>
      <c r="AO183" s="291" t="n"/>
      <c r="AP183" s="868" t="n"/>
      <c r="AQ183" s="291" t="n"/>
      <c r="AR183" s="291" t="n"/>
      <c r="AS183" s="291" t="n"/>
      <c r="AT183" s="291" t="n"/>
      <c r="AU183" s="868" t="n"/>
      <c r="AV183" s="291" t="n"/>
      <c r="AW183" s="291" t="n"/>
      <c r="AX183" s="291" t="n"/>
      <c r="AY183" s="291" t="n"/>
      <c r="AZ183" s="868" t="n"/>
      <c r="BA183" s="291" t="n"/>
      <c r="BB183" s="291" t="n"/>
      <c r="BC183" s="291" t="n"/>
      <c r="BD183" s="291" t="n"/>
      <c r="BE183" s="864">
        <f>65.68-3.516-17.964+33.305</f>
        <v/>
      </c>
      <c r="BF183" s="743" t="n"/>
      <c r="BG183" s="743" t="n"/>
      <c r="BH183" s="743" t="n"/>
      <c r="BI183" s="291" t="n"/>
      <c r="BJ183" s="868" t="n"/>
      <c r="BK183" s="743" t="n"/>
      <c r="BL183" s="743" t="n"/>
      <c r="BM183" s="743" t="n"/>
      <c r="BN183" s="291">
        <f>BO183-BK183-BL183-BM183</f>
        <v/>
      </c>
      <c r="BO183" s="868" t="n"/>
      <c r="BP183" s="743" t="n"/>
      <c r="BQ183" s="743" t="n"/>
      <c r="BR183" s="743" t="n"/>
      <c r="BS183" s="291">
        <f>BT183-BP183-BQ183-BR183</f>
        <v/>
      </c>
      <c r="BT183" s="868" t="n"/>
      <c r="BU183" s="743" t="n"/>
      <c r="BV183" s="743" t="n"/>
      <c r="BW183" s="743" t="n"/>
      <c r="BX183" s="291">
        <f>BY183-BU183-BV183-BW183</f>
        <v/>
      </c>
      <c r="BY183" s="868" t="n"/>
      <c r="BZ183" s="743" t="n"/>
      <c r="CA183" s="743" t="n"/>
      <c r="CB183" s="743" t="n"/>
      <c r="CC183" s="291">
        <f>CD183-BZ183-CA183-CB183</f>
        <v/>
      </c>
      <c r="CD183" s="868" t="n"/>
      <c r="CE183" s="743" t="n"/>
      <c r="CF183" s="743" t="n"/>
      <c r="CG183" s="291">
        <f>(CG244-CF244)+(CG245-CF245)+(CG246-CF246)</f>
        <v/>
      </c>
      <c r="CH183" s="291">
        <f>(CH244-CG244)+(CH245-CG245)+(CH246-CG246)</f>
        <v/>
      </c>
      <c r="CI183" s="749">
        <f>(CI244-CD244)+(CI245-CD245)+(CI246-CD246)</f>
        <v/>
      </c>
      <c r="CJ183" s="749">
        <f>(CJ244-CI244)+(CJ245-CI245)+(CJ246-CI246)</f>
        <v/>
      </c>
      <c r="CK183" s="749">
        <f>(CK244-CJ244)+(CK245-CJ245)+(CK246-CJ246)</f>
        <v/>
      </c>
      <c r="CL183" s="749">
        <f>(CL244-CK244)+(CL245-CK245)+(CL246-CK246)</f>
        <v/>
      </c>
      <c r="CM183" s="749">
        <f>(CM244-CL244)+(CM245-CL245)+(CM246-CL246)</f>
        <v/>
      </c>
      <c r="CN183" s="291" t="n"/>
      <c r="CO183" s="766" t="n"/>
      <c r="CP183" s="291" t="n"/>
      <c r="CQ183" s="694" t="n"/>
    </row>
    <row r="184" ht="16.5" customHeight="1">
      <c r="B184" t="inlineStr">
        <is>
          <t xml:space="preserve">  Change in other assets/liabilities</t>
        </is>
      </c>
      <c r="C184" s="743" t="n"/>
      <c r="D184" s="743" t="n"/>
      <c r="E184" s="743" t="n"/>
      <c r="F184" s="743" t="n"/>
      <c r="G184" s="868" t="n"/>
      <c r="H184" s="743" t="n"/>
      <c r="I184" s="743" t="n"/>
      <c r="J184" s="743" t="n"/>
      <c r="K184" s="743" t="n"/>
      <c r="L184" s="868" t="n"/>
      <c r="M184" s="743" t="n"/>
      <c r="N184" s="743" t="n"/>
      <c r="O184" s="743" t="n"/>
      <c r="P184" s="743" t="n"/>
      <c r="Q184" s="868" t="n"/>
      <c r="R184" s="743" t="n"/>
      <c r="S184" s="743" t="n"/>
      <c r="T184" s="743" t="n"/>
      <c r="U184" s="743" t="n"/>
      <c r="V184" s="868" t="n"/>
      <c r="W184" s="743" t="n"/>
      <c r="X184" s="743" t="n"/>
      <c r="Y184" s="743" t="n"/>
      <c r="Z184" s="743" t="n"/>
      <c r="AA184" s="868" t="n"/>
      <c r="AB184" s="743" t="n"/>
      <c r="AC184" s="743" t="n"/>
      <c r="AD184" s="743" t="n"/>
      <c r="AE184" s="743" t="n"/>
      <c r="AF184" s="868" t="n"/>
      <c r="AG184" s="743" t="n"/>
      <c r="AH184" s="743" t="n"/>
      <c r="AI184" s="743" t="n"/>
      <c r="AJ184" s="743" t="n"/>
      <c r="AK184" s="868" t="n"/>
      <c r="AL184" s="743" t="n"/>
      <c r="AM184" s="291" t="n"/>
      <c r="AN184" s="291" t="n"/>
      <c r="AO184" s="291" t="n"/>
      <c r="AP184" s="868" t="n"/>
      <c r="AQ184" s="291" t="n"/>
      <c r="AR184" s="291" t="n"/>
      <c r="AS184" s="291" t="n"/>
      <c r="AT184" s="291" t="n"/>
      <c r="AU184" s="868" t="n"/>
      <c r="AV184" s="291" t="n"/>
      <c r="AW184" s="291" t="n"/>
      <c r="AX184" s="291" t="n"/>
      <c r="AY184" s="291" t="n"/>
      <c r="AZ184" s="868" t="n"/>
      <c r="BA184" s="291" t="n"/>
      <c r="BB184" s="291" t="n"/>
      <c r="BC184" s="291" t="n"/>
      <c r="BD184" s="291" t="n"/>
      <c r="BE184" s="868" t="n"/>
      <c r="BF184" s="743" t="n"/>
      <c r="BG184" s="743" t="n"/>
      <c r="BH184" s="743" t="n"/>
      <c r="BI184" s="291" t="n"/>
      <c r="BJ184" s="868" t="n"/>
      <c r="BK184" s="743" t="n"/>
      <c r="BL184" s="743" t="n"/>
      <c r="BM184" s="743" t="n"/>
      <c r="BN184" s="291">
        <f>BO184-BK184-BL184-BM184</f>
        <v/>
      </c>
      <c r="BO184" s="868" t="n"/>
      <c r="BP184" s="743" t="n"/>
      <c r="BQ184" s="743" t="n"/>
      <c r="BR184" s="743" t="n"/>
      <c r="BS184" s="291">
        <f>BT184-BP184-BQ184-BR184</f>
        <v/>
      </c>
      <c r="BT184" s="868" t="n"/>
      <c r="BU184" s="743" t="n"/>
      <c r="BV184" s="743" t="n"/>
      <c r="BW184" s="743" t="n"/>
      <c r="BX184" s="291">
        <f>BY184-BU184-BV184-BW184</f>
        <v/>
      </c>
      <c r="BY184" s="868" t="n"/>
      <c r="BZ184" s="743" t="n"/>
      <c r="CA184" s="743" t="n"/>
      <c r="CB184" s="743" t="n"/>
      <c r="CC184" s="291">
        <f>CD184-BZ184-CA184-CB184</f>
        <v/>
      </c>
      <c r="CD184" s="868" t="n"/>
      <c r="CE184" s="743" t="n"/>
      <c r="CF184" s="743" t="n"/>
      <c r="CG184" s="291">
        <f>-(CG229-CF229)</f>
        <v/>
      </c>
      <c r="CH184" s="291">
        <f>-(CH229-CG229)</f>
        <v/>
      </c>
      <c r="CI184" s="749">
        <f>-(CI229-CD229)</f>
        <v/>
      </c>
      <c r="CJ184" s="749">
        <f>-(CJ229-CI229)</f>
        <v/>
      </c>
      <c r="CK184" s="749">
        <f>-(CK229-CJ229)</f>
        <v/>
      </c>
      <c r="CL184" s="749">
        <f>-(CL229-CK229)</f>
        <v/>
      </c>
      <c r="CM184" s="749">
        <f>-(CM229-CL229)</f>
        <v/>
      </c>
      <c r="CN184" s="291" t="n"/>
      <c r="CO184" s="766" t="n"/>
      <c r="CP184" s="291" t="n"/>
      <c r="CQ184" s="693" t="n"/>
    </row>
    <row r="185" ht="16.5" customHeight="1">
      <c r="B185" t="inlineStr">
        <is>
          <t xml:space="preserve">  Other operating items</t>
        </is>
      </c>
      <c r="C185" s="833" t="n"/>
      <c r="D185" s="833" t="n"/>
      <c r="E185" s="833" t="n"/>
      <c r="F185" s="833" t="n"/>
      <c r="G185" s="884" t="n"/>
      <c r="H185" s="833" t="n"/>
      <c r="I185" s="833" t="n"/>
      <c r="J185" s="833" t="n"/>
      <c r="K185" s="833" t="n"/>
      <c r="L185" s="884" t="n"/>
      <c r="M185" s="833" t="n"/>
      <c r="N185" s="833" t="n"/>
      <c r="O185" s="833" t="n"/>
      <c r="P185" s="833" t="n"/>
      <c r="Q185" s="884" t="n"/>
      <c r="R185" s="833" t="n"/>
      <c r="S185" s="833" t="n"/>
      <c r="T185" s="833" t="n"/>
      <c r="U185" s="833" t="n"/>
      <c r="V185" s="884" t="n"/>
      <c r="W185" s="833" t="n"/>
      <c r="X185" s="833" t="n"/>
      <c r="Y185" s="833" t="n"/>
      <c r="Z185" s="833" t="n"/>
      <c r="AA185" s="884" t="n"/>
      <c r="AB185" s="833" t="n"/>
      <c r="AC185" s="833" t="n"/>
      <c r="AD185" s="833" t="n"/>
      <c r="AE185" s="833" t="n"/>
      <c r="AF185" s="884" t="n"/>
      <c r="AG185" s="833" t="n"/>
      <c r="AH185" s="833" t="n"/>
      <c r="AI185" s="833" t="n"/>
      <c r="AJ185" s="833" t="n"/>
      <c r="AK185" s="884" t="n"/>
      <c r="AL185" s="833" t="n"/>
      <c r="AM185" s="834" t="n"/>
      <c r="AN185" s="834" t="n"/>
      <c r="AO185" s="834" t="n"/>
      <c r="AP185" s="884" t="n"/>
      <c r="AQ185" s="834" t="n"/>
      <c r="AR185" s="834" t="n"/>
      <c r="AS185" s="834" t="n"/>
      <c r="AT185" s="834" t="n"/>
      <c r="AU185" s="884" t="n"/>
      <c r="AV185" s="834" t="n"/>
      <c r="AW185" s="834" t="n"/>
      <c r="AX185" s="834" t="n"/>
      <c r="AY185" s="834" t="n"/>
      <c r="AZ185" s="884" t="n"/>
      <c r="BA185" s="834" t="n"/>
      <c r="BB185" s="834" t="n"/>
      <c r="BC185" s="834" t="n"/>
      <c r="BD185" s="834" t="n"/>
      <c r="BE185" s="885">
        <f>0+60.547+121.324+9.636</f>
        <v/>
      </c>
      <c r="BF185" s="833" t="n"/>
      <c r="BG185" s="833" t="n"/>
      <c r="BH185" s="833" t="n"/>
      <c r="BI185" s="834" t="n"/>
      <c r="BJ185" s="884" t="n"/>
      <c r="BK185" s="833" t="n"/>
      <c r="BL185" s="833" t="n"/>
      <c r="BM185" s="833" t="n"/>
      <c r="BN185" s="834">
        <f>BO185-BK185-BL185-BM185</f>
        <v/>
      </c>
      <c r="BO185" s="884" t="n"/>
      <c r="BP185" s="833" t="n"/>
      <c r="BQ185" s="833" t="n"/>
      <c r="BR185" s="833" t="n"/>
      <c r="BS185" s="834">
        <f>BT185-BP185-BQ185-BR185</f>
        <v/>
      </c>
      <c r="BT185" s="884" t="n"/>
      <c r="BU185" s="833" t="n"/>
      <c r="BV185" s="833" t="n"/>
      <c r="BW185" s="833" t="n"/>
      <c r="BX185" s="834">
        <f>BY185-BU185-BV185-BW185</f>
        <v/>
      </c>
      <c r="BY185" s="884" t="n"/>
      <c r="BZ185" s="833" t="n"/>
      <c r="CA185" s="833" t="n"/>
      <c r="CB185" s="833" t="n"/>
      <c r="CC185" s="834">
        <f>CD185-BZ185-CA185-CB185</f>
        <v/>
      </c>
      <c r="CD185" s="884" t="n"/>
      <c r="CE185" s="743" t="n"/>
      <c r="CF185" s="743" t="n"/>
      <c r="CG185" s="743" t="n"/>
      <c r="CH185" s="743" t="n"/>
      <c r="CI185" s="855" t="n"/>
      <c r="CJ185" s="855" t="n"/>
      <c r="CK185" s="855" t="n"/>
      <c r="CL185" s="855" t="n"/>
      <c r="CM185" s="855" t="n"/>
      <c r="CN185" s="291" t="n"/>
      <c r="CO185" s="766" t="n"/>
      <c r="CP185" s="291" t="n"/>
      <c r="CQ185" s="693" t="n"/>
    </row>
    <row r="186" ht="16.5" customHeight="1">
      <c r="B186" s="8" t="inlineStr">
        <is>
          <t>Net cash from operating activities</t>
        </is>
      </c>
      <c r="C186" s="678" t="n"/>
      <c r="D186" s="678" t="n"/>
      <c r="E186" s="678" t="n"/>
      <c r="F186" s="678" t="n"/>
      <c r="G186" s="870">
        <f>SUM(G175:G185)</f>
        <v/>
      </c>
      <c r="H186" s="678" t="n"/>
      <c r="I186" s="678" t="n"/>
      <c r="J186" s="678" t="n"/>
      <c r="K186" s="678" t="n"/>
      <c r="L186" s="870">
        <f>SUM(L175:L185)</f>
        <v/>
      </c>
      <c r="M186" s="678" t="n"/>
      <c r="N186" s="678" t="n"/>
      <c r="O186" s="678" t="n"/>
      <c r="P186" s="678" t="n"/>
      <c r="Q186" s="870">
        <f>SUM(Q175:Q185)</f>
        <v/>
      </c>
      <c r="R186" s="678" t="n"/>
      <c r="S186" s="678" t="n"/>
      <c r="T186" s="678" t="n"/>
      <c r="U186" s="678" t="n"/>
      <c r="V186" s="870">
        <f>SUM(V175:V185)</f>
        <v/>
      </c>
      <c r="W186" s="678" t="n"/>
      <c r="X186" s="678" t="n"/>
      <c r="Y186" s="678" t="n"/>
      <c r="Z186" s="678" t="n"/>
      <c r="AA186" s="870">
        <f>SUM(AA175:AA185)</f>
        <v/>
      </c>
      <c r="AB186" s="678" t="n"/>
      <c r="AC186" s="678" t="n"/>
      <c r="AD186" s="678" t="n"/>
      <c r="AE186" s="678" t="n"/>
      <c r="AF186" s="870">
        <f>SUM(AF175:AF185)</f>
        <v/>
      </c>
      <c r="AG186" s="678" t="n"/>
      <c r="AH186" s="678" t="n"/>
      <c r="AI186" s="678" t="n"/>
      <c r="AJ186" s="678" t="n"/>
      <c r="AK186" s="870">
        <f>SUM(AK175:AK185)</f>
        <v/>
      </c>
      <c r="AL186" s="678" t="n"/>
      <c r="AM186" s="678" t="n"/>
      <c r="AN186" s="678" t="n"/>
      <c r="AO186" s="678" t="n"/>
      <c r="AP186" s="870">
        <f>SUM(AP175:AP185)</f>
        <v/>
      </c>
      <c r="AQ186" s="678" t="n"/>
      <c r="AR186" s="678" t="n"/>
      <c r="AS186" s="678" t="n"/>
      <c r="AT186" s="678" t="n"/>
      <c r="AU186" s="870">
        <f>SUM(AU175:AU185)</f>
        <v/>
      </c>
      <c r="AV186" s="678" t="n"/>
      <c r="AW186" s="678" t="n"/>
      <c r="AX186" s="678" t="n"/>
      <c r="AY186" s="678" t="n"/>
      <c r="AZ186" s="870" t="n">
        <v>488.474</v>
      </c>
      <c r="BA186" s="678" t="n"/>
      <c r="BB186" s="678" t="n"/>
      <c r="BC186" s="678" t="n"/>
      <c r="BD186" s="678" t="n"/>
      <c r="BE186" s="870" t="n">
        <v>610.862</v>
      </c>
      <c r="BF186" s="678">
        <f>SUM(BF175:BF185)</f>
        <v/>
      </c>
      <c r="BG186" s="678">
        <f>SUM(BG175:BG185)</f>
        <v/>
      </c>
      <c r="BH186" s="678">
        <f>SUM(BH175:BH185)</f>
        <v/>
      </c>
      <c r="BI186" s="678" t="n"/>
      <c r="BJ186" s="931" t="n">
        <v>855.351</v>
      </c>
      <c r="BK186" s="678">
        <f>SUM(BK175:BK185)</f>
        <v/>
      </c>
      <c r="BL186" s="678">
        <f>SUM(BL175:BL185)</f>
        <v/>
      </c>
      <c r="BM186" s="678">
        <f>SUM(BM175:BM185)</f>
        <v/>
      </c>
      <c r="BN186" s="678">
        <f>SUM(BN175:BN185)</f>
        <v/>
      </c>
      <c r="BO186" s="870" t="n">
        <v>971.645</v>
      </c>
      <c r="BP186" s="678">
        <f>SUM(BP175:BP185)</f>
        <v/>
      </c>
      <c r="BQ186" s="678">
        <f>SUM(BQ175:BQ185)</f>
        <v/>
      </c>
      <c r="BR186" s="678">
        <f>SUM(BR175:BR185)</f>
        <v/>
      </c>
      <c r="BS186" s="678">
        <f>SUM(BS175:BS185)</f>
        <v/>
      </c>
      <c r="BT186" s="870" t="n">
        <v>1013.839</v>
      </c>
      <c r="BU186" s="678">
        <f>SUM(BU175:BU185)</f>
        <v/>
      </c>
      <c r="BV186" s="678">
        <f>SUM(BV175:BV185)</f>
        <v/>
      </c>
      <c r="BW186" s="678">
        <f>SUM(BW175:BW185)</f>
        <v/>
      </c>
      <c r="BX186" s="678">
        <f>SUM(BX175:BX185)</f>
        <v/>
      </c>
      <c r="BY186" s="870" t="n">
        <v>1062.651</v>
      </c>
      <c r="BZ186" s="678">
        <f>SUM(BZ175:BZ185)</f>
        <v/>
      </c>
      <c r="CA186" s="678">
        <f>SUM(CA175:CA185)</f>
        <v/>
      </c>
      <c r="CB186" s="678">
        <f>SUM(CB175:CB185)</f>
        <v/>
      </c>
      <c r="CC186" s="678">
        <f>SUM(CC175:CC185)</f>
        <v/>
      </c>
      <c r="CD186" s="870" t="n">
        <v>977.788</v>
      </c>
      <c r="CE186" s="678">
        <f>SUM(CE175:CE185)</f>
        <v/>
      </c>
      <c r="CF186" s="678">
        <f>SUM(CF175:CF185)</f>
        <v/>
      </c>
      <c r="CG186" s="678">
        <f>SUM(CG175:CG185)</f>
        <v/>
      </c>
      <c r="CH186" s="678">
        <f>SUM(CH175:CH185)</f>
        <v/>
      </c>
      <c r="CI186" s="752">
        <f>SUM(CI175:CI185)</f>
        <v/>
      </c>
      <c r="CJ186" s="752">
        <f>SUM(CJ175:CJ185)</f>
        <v/>
      </c>
      <c r="CK186" s="752">
        <f>SUM(CK175:CK185)</f>
        <v/>
      </c>
      <c r="CL186" s="752">
        <f>SUM(CL175:CL185)</f>
        <v/>
      </c>
      <c r="CM186" s="752">
        <f>SUM(CM175:CM185)</f>
        <v/>
      </c>
      <c r="CN186" s="678" t="n"/>
      <c r="CO186" s="689">
        <f>(CM186/CD186)^(1/5)-1</f>
        <v/>
      </c>
      <c r="CP186" s="678" t="n"/>
      <c r="CQ186" s="694" t="n"/>
    </row>
    <row r="187" ht="16.5" customHeight="1">
      <c r="C187" s="291" t="n"/>
      <c r="D187" s="291" t="n"/>
      <c r="E187" s="291" t="n"/>
      <c r="F187" s="291" t="n"/>
      <c r="G187" s="864" t="n"/>
      <c r="H187" s="291" t="n"/>
      <c r="I187" s="291" t="n"/>
      <c r="J187" s="291" t="n"/>
      <c r="K187" s="291" t="n"/>
      <c r="L187" s="864" t="n"/>
      <c r="M187" s="291" t="n"/>
      <c r="N187" s="291" t="n"/>
      <c r="O187" s="291" t="n"/>
      <c r="P187" s="291" t="n"/>
      <c r="Q187" s="864" t="n"/>
      <c r="R187" s="291" t="n"/>
      <c r="S187" s="291" t="n"/>
      <c r="T187" s="291" t="n"/>
      <c r="U187" s="291" t="n"/>
      <c r="V187" s="864" t="n"/>
      <c r="W187" s="291" t="n"/>
      <c r="X187" s="291" t="n"/>
      <c r="Y187" s="291" t="n"/>
      <c r="Z187" s="291" t="n"/>
      <c r="AA187" s="864" t="n"/>
      <c r="AB187" s="291" t="n"/>
      <c r="AC187" s="291" t="n"/>
      <c r="AD187" s="291" t="n"/>
      <c r="AE187" s="291" t="n"/>
      <c r="AF187" s="864" t="n"/>
      <c r="AG187" s="291" t="n"/>
      <c r="AH187" s="291" t="n"/>
      <c r="AI187" s="291" t="n"/>
      <c r="AJ187" s="291" t="n"/>
      <c r="AK187" s="864" t="n"/>
      <c r="AL187" s="291" t="n"/>
      <c r="AM187" s="291" t="n"/>
      <c r="AN187" s="291" t="n"/>
      <c r="AO187" s="291" t="n"/>
      <c r="AP187" s="864" t="n"/>
      <c r="AQ187" s="291" t="n"/>
      <c r="AR187" s="291" t="n"/>
      <c r="AS187" s="291" t="n"/>
      <c r="AT187" s="291" t="n"/>
      <c r="AU187" s="864" t="n"/>
      <c r="AV187" s="291" t="n"/>
      <c r="AW187" s="291" t="n"/>
      <c r="AX187" s="291" t="n"/>
      <c r="AY187" s="291" t="n"/>
      <c r="AZ187" s="864" t="n"/>
      <c r="BA187" s="291" t="n"/>
      <c r="BB187" s="291" t="n"/>
      <c r="BC187" s="291" t="n"/>
      <c r="BD187" s="291" t="n"/>
      <c r="BE187" s="864" t="n"/>
      <c r="BF187" s="291" t="n"/>
      <c r="BG187" s="291" t="n"/>
      <c r="BH187" s="291" t="n"/>
      <c r="BI187" s="291" t="n"/>
      <c r="BJ187" s="868" t="n"/>
      <c r="BK187" s="291" t="n"/>
      <c r="BL187" s="291" t="n"/>
      <c r="BM187" s="291" t="n"/>
      <c r="BN187" s="291" t="n"/>
      <c r="BO187" s="868" t="n"/>
      <c r="BP187" s="291" t="n"/>
      <c r="BQ187" s="291" t="n"/>
      <c r="BR187" s="291" t="n"/>
      <c r="BS187" s="291" t="n"/>
      <c r="BT187" s="868" t="n"/>
      <c r="BU187" s="291" t="n"/>
      <c r="BV187" s="291" t="n"/>
      <c r="BW187" s="291" t="n"/>
      <c r="BX187" s="291" t="n"/>
      <c r="BY187" s="868" t="n"/>
      <c r="BZ187" s="291" t="n"/>
      <c r="CA187" s="291" t="n"/>
      <c r="CB187" s="291" t="n"/>
      <c r="CC187" s="291" t="n"/>
      <c r="CD187" s="868" t="n"/>
      <c r="CE187" s="743" t="n"/>
      <c r="CF187" s="743" t="n"/>
      <c r="CG187" s="743" t="n"/>
      <c r="CH187" s="743" t="n"/>
      <c r="CI187" s="749" t="n"/>
      <c r="CJ187" s="749" t="n"/>
      <c r="CK187" s="749" t="n"/>
      <c r="CL187" s="749" t="n"/>
      <c r="CM187" s="749" t="n"/>
      <c r="CN187" s="291" t="n"/>
      <c r="CO187" s="766" t="n"/>
      <c r="CP187" s="291" t="n"/>
      <c r="CQ187" s="693" t="n"/>
    </row>
    <row r="188" ht="16.5" customHeight="1">
      <c r="B188" s="223" t="inlineStr">
        <is>
          <t>Investing activities:</t>
        </is>
      </c>
      <c r="C188" s="224" t="n"/>
      <c r="D188" s="224" t="n"/>
      <c r="E188" s="224" t="n"/>
      <c r="F188" s="224" t="n"/>
      <c r="G188" s="867" t="n"/>
      <c r="H188" s="224" t="n"/>
      <c r="I188" s="224" t="n"/>
      <c r="J188" s="224" t="n"/>
      <c r="K188" s="224" t="n"/>
      <c r="L188" s="867" t="n"/>
      <c r="M188" s="224" t="n"/>
      <c r="N188" s="224" t="n"/>
      <c r="O188" s="224" t="n"/>
      <c r="P188" s="224" t="n"/>
      <c r="Q188" s="867" t="n"/>
      <c r="R188" s="224" t="n"/>
      <c r="S188" s="224" t="n"/>
      <c r="T188" s="224" t="n"/>
      <c r="U188" s="224" t="n"/>
      <c r="V188" s="867" t="n"/>
      <c r="W188" s="224" t="n"/>
      <c r="X188" s="224" t="n"/>
      <c r="Y188" s="224" t="n"/>
      <c r="Z188" s="224" t="n"/>
      <c r="AA188" s="867" t="n"/>
      <c r="AB188" s="224" t="n"/>
      <c r="AC188" s="224" t="n"/>
      <c r="AD188" s="224" t="n"/>
      <c r="AE188" s="224" t="n"/>
      <c r="AF188" s="867" t="n"/>
      <c r="AG188" s="224" t="n"/>
      <c r="AH188" s="224" t="n"/>
      <c r="AI188" s="224" t="n"/>
      <c r="AJ188" s="224" t="n"/>
      <c r="AK188" s="867" t="n"/>
      <c r="AL188" s="224" t="n"/>
      <c r="AM188" s="224" t="n"/>
      <c r="AN188" s="224" t="n"/>
      <c r="AO188" s="224" t="n"/>
      <c r="AP188" s="867" t="n"/>
      <c r="AQ188" s="224" t="n"/>
      <c r="AR188" s="224" t="n"/>
      <c r="AS188" s="224" t="n"/>
      <c r="AT188" s="224" t="n"/>
      <c r="AU188" s="867" t="n"/>
      <c r="AV188" s="224" t="n"/>
      <c r="AW188" s="224" t="n"/>
      <c r="AX188" s="224" t="n"/>
      <c r="AY188" s="224" t="n"/>
      <c r="AZ188" s="867" t="n"/>
      <c r="BA188" s="224" t="n"/>
      <c r="BB188" s="224" t="n"/>
      <c r="BC188" s="224" t="n"/>
      <c r="BD188" s="224" t="n"/>
      <c r="BE188" s="867" t="n"/>
      <c r="BF188" s="224" t="n"/>
      <c r="BG188" s="224" t="n"/>
      <c r="BH188" s="224" t="n"/>
      <c r="BI188" s="224" t="n"/>
      <c r="BJ188" s="923" t="n"/>
      <c r="BK188" s="224" t="n"/>
      <c r="BL188" s="224" t="n"/>
      <c r="BM188" s="224" t="n"/>
      <c r="BN188" s="224" t="n"/>
      <c r="BO188" s="923" t="n"/>
      <c r="BP188" s="224" t="n"/>
      <c r="BQ188" s="224" t="n"/>
      <c r="BR188" s="224" t="n"/>
      <c r="BS188" s="224" t="n"/>
      <c r="BT188" s="923" t="n"/>
      <c r="BU188" s="224" t="n"/>
      <c r="BV188" s="224" t="n"/>
      <c r="BW188" s="224" t="n"/>
      <c r="BX188" s="224" t="n"/>
      <c r="BY188" s="923" t="n"/>
      <c r="BZ188" s="224" t="n"/>
      <c r="CA188" s="224" t="n"/>
      <c r="CB188" s="224" t="n"/>
      <c r="CC188" s="224" t="n"/>
      <c r="CD188" s="923" t="n"/>
      <c r="CE188" s="744" t="n"/>
      <c r="CF188" s="744" t="n"/>
      <c r="CG188" s="744" t="n"/>
      <c r="CH188" s="744" t="n"/>
      <c r="CI188" s="224" t="n"/>
      <c r="CJ188" s="224" t="n"/>
      <c r="CK188" s="224" t="n"/>
      <c r="CL188" s="224" t="n"/>
      <c r="CM188" s="224" t="n"/>
      <c r="CN188" s="224" t="n"/>
      <c r="CO188" s="684" t="n"/>
      <c r="CP188" s="224" t="n"/>
      <c r="CQ188" s="693" t="n"/>
    </row>
    <row r="189" ht="16.5" customHeight="1">
      <c r="B189" t="inlineStr">
        <is>
          <t xml:space="preserve">  Capital expenditures (PP&amp;E)</t>
        </is>
      </c>
      <c r="C189" s="743" t="n"/>
      <c r="D189" s="743" t="n"/>
      <c r="E189" s="743" t="n"/>
      <c r="F189" s="743" t="n"/>
      <c r="G189" s="868" t="n"/>
      <c r="H189" s="743" t="n"/>
      <c r="I189" s="743" t="n"/>
      <c r="J189" s="743" t="n"/>
      <c r="K189" s="743" t="n"/>
      <c r="L189" s="868" t="n"/>
      <c r="M189" s="743" t="n"/>
      <c r="N189" s="743" t="n"/>
      <c r="O189" s="743" t="n"/>
      <c r="P189" s="743" t="n"/>
      <c r="Q189" s="868" t="n"/>
      <c r="R189" s="743" t="n"/>
      <c r="S189" s="743" t="n"/>
      <c r="T189" s="743" t="n"/>
      <c r="U189" s="743" t="n"/>
      <c r="V189" s="868" t="n"/>
      <c r="W189" s="743" t="n"/>
      <c r="X189" s="743" t="n"/>
      <c r="Y189" s="743" t="n"/>
      <c r="Z189" s="743" t="n"/>
      <c r="AA189" s="868" t="n"/>
      <c r="AB189" s="743" t="n"/>
      <c r="AC189" s="743" t="n"/>
      <c r="AD189" s="743" t="n"/>
      <c r="AE189" s="743" t="n"/>
      <c r="AF189" s="868" t="n"/>
      <c r="AG189" s="743" t="n"/>
      <c r="AH189" s="743" t="n"/>
      <c r="AI189" s="743" t="n"/>
      <c r="AJ189" s="743" t="n"/>
      <c r="AK189" s="868" t="n"/>
      <c r="AL189" s="743" t="n"/>
      <c r="AM189" s="291" t="n"/>
      <c r="AN189" s="291" t="n"/>
      <c r="AO189" s="291" t="n"/>
      <c r="AP189" s="868" t="n"/>
      <c r="AQ189" s="291" t="n"/>
      <c r="AR189" s="291" t="n"/>
      <c r="AS189" s="291" t="n"/>
      <c r="AT189" s="291" t="n"/>
      <c r="AU189" s="868" t="n"/>
      <c r="AV189" s="291" t="n"/>
      <c r="AW189" s="291" t="n"/>
      <c r="AX189" s="291" t="n"/>
      <c r="AY189" s="291" t="n"/>
      <c r="AZ189" s="868" t="n">
        <v>-261.295</v>
      </c>
      <c r="BA189" s="291" t="n"/>
      <c r="BB189" s="291" t="n"/>
      <c r="BC189" s="291" t="n"/>
      <c r="BD189" s="291" t="n"/>
      <c r="BE189" s="868" t="n">
        <v>-142.71</v>
      </c>
      <c r="BF189" s="743" t="n"/>
      <c r="BG189" s="743" t="n"/>
      <c r="BH189" s="743" t="n"/>
      <c r="BI189" s="291" t="n"/>
      <c r="BJ189" s="868" t="n">
        <v>-268.656</v>
      </c>
      <c r="BK189" s="743" t="n"/>
      <c r="BL189" s="743" t="n"/>
      <c r="BM189" s="743" t="n"/>
      <c r="BN189" s="291">
        <f>BO189-BK189-BL189-BM189</f>
        <v/>
      </c>
      <c r="BO189" s="868" t="n">
        <v>-350.824</v>
      </c>
      <c r="BP189" s="743" t="n"/>
      <c r="BQ189" s="743" t="n"/>
      <c r="BR189" s="743" t="n"/>
      <c r="BS189" s="291">
        <f>BT189-BP189-BQ189-BR189</f>
        <v/>
      </c>
      <c r="BT189" s="868" t="n">
        <v>-361.563</v>
      </c>
      <c r="BU189" s="743" t="n"/>
      <c r="BV189" s="743" t="n"/>
      <c r="BW189" s="743" t="n"/>
      <c r="BX189" s="291">
        <f>BY189-BU189-BV189-BW189</f>
        <v/>
      </c>
      <c r="BY189" s="868" t="n">
        <v>-392.819</v>
      </c>
      <c r="BZ189" s="743" t="n"/>
      <c r="CA189" s="743" t="n"/>
      <c r="CB189" s="743" t="n"/>
      <c r="CC189" s="291">
        <f>CD189-BZ189-CA189-CB189</f>
        <v/>
      </c>
      <c r="CD189" s="868" t="n">
        <v>-273.22</v>
      </c>
      <c r="CE189" s="743" t="n"/>
      <c r="CF189" s="743" t="n"/>
      <c r="CG189" s="291">
        <f>-CG114*CG278</f>
        <v/>
      </c>
      <c r="CH189" s="291">
        <f>-CH114*CH278</f>
        <v/>
      </c>
      <c r="CI189" s="749">
        <f>-CI114*CI278</f>
        <v/>
      </c>
      <c r="CJ189" s="749">
        <f>-CJ114*CJ278</f>
        <v/>
      </c>
      <c r="CK189" s="749">
        <f>-CK114*CK278</f>
        <v/>
      </c>
      <c r="CL189" s="749">
        <f>-CL114*CL278</f>
        <v/>
      </c>
      <c r="CM189" s="749">
        <f>-CM114*CM278</f>
        <v/>
      </c>
      <c r="CN189" s="291" t="n"/>
      <c r="CO189" s="766" t="n"/>
      <c r="CP189" s="291" t="n"/>
      <c r="CQ189" s="694" t="n"/>
    </row>
    <row r="190" ht="16.5" customHeight="1">
      <c r="B190" t="inlineStr">
        <is>
          <t xml:space="preserve">  Acquisitions, net of cash acquired</t>
        </is>
      </c>
      <c r="C190" s="743" t="n"/>
      <c r="D190" s="743" t="n"/>
      <c r="E190" s="743" t="n"/>
      <c r="F190" s="743" t="n"/>
      <c r="G190" s="868" t="n"/>
      <c r="H190" s="743" t="n"/>
      <c r="I190" s="743" t="n"/>
      <c r="J190" s="743" t="n"/>
      <c r="K190" s="743" t="n"/>
      <c r="L190" s="868" t="n"/>
      <c r="M190" s="743" t="n"/>
      <c r="N190" s="743" t="n"/>
      <c r="O190" s="743" t="n"/>
      <c r="P190" s="743" t="n"/>
      <c r="Q190" s="868" t="n"/>
      <c r="R190" s="743" t="n"/>
      <c r="S190" s="743" t="n"/>
      <c r="T190" s="743" t="n"/>
      <c r="U190" s="743" t="n"/>
      <c r="V190" s="868" t="n"/>
      <c r="W190" s="743" t="n"/>
      <c r="X190" s="743" t="n"/>
      <c r="Y190" s="743" t="n"/>
      <c r="Z190" s="743" t="n"/>
      <c r="AA190" s="868" t="n"/>
      <c r="AB190" s="743" t="n"/>
      <c r="AC190" s="743" t="n"/>
      <c r="AD190" s="743" t="n"/>
      <c r="AE190" s="743" t="n"/>
      <c r="AF190" s="868" t="n"/>
      <c r="AG190" s="743" t="n"/>
      <c r="AH190" s="743" t="n"/>
      <c r="AI190" s="743" t="n"/>
      <c r="AJ190" s="743" t="n"/>
      <c r="AK190" s="868" t="n"/>
      <c r="AL190" s="743" t="n"/>
      <c r="AM190" s="291" t="n"/>
      <c r="AN190" s="291" t="n"/>
      <c r="AO190" s="291" t="n"/>
      <c r="AP190" s="868" t="n"/>
      <c r="AQ190" s="291" t="n"/>
      <c r="AR190" s="291" t="n"/>
      <c r="AS190" s="291" t="n"/>
      <c r="AT190" s="291" t="n"/>
      <c r="AU190" s="868" t="n"/>
      <c r="AV190" s="291" t="n"/>
      <c r="AW190" s="291" t="n"/>
      <c r="AX190" s="291" t="n"/>
      <c r="AY190" s="291" t="n"/>
      <c r="AZ190" s="868" t="n">
        <v>-150.912</v>
      </c>
      <c r="BA190" s="291" t="n"/>
      <c r="BB190" s="291" t="n"/>
      <c r="BC190" s="291" t="n"/>
      <c r="BD190" s="291" t="n"/>
      <c r="BE190" s="868" t="n">
        <v>-327.65</v>
      </c>
      <c r="BF190" s="743" t="n"/>
      <c r="BG190" s="743" t="n"/>
      <c r="BH190" s="743" t="n"/>
      <c r="BI190" s="291" t="n"/>
      <c r="BJ190" s="868" t="n">
        <v>-1008.131</v>
      </c>
      <c r="BK190" s="743" t="n"/>
      <c r="BL190" s="743" t="n"/>
      <c r="BM190" s="743" t="n"/>
      <c r="BN190" s="291">
        <f>BO190-BK190-BL190-BM190</f>
        <v/>
      </c>
      <c r="BO190" s="868" t="n">
        <v>-158.251</v>
      </c>
      <c r="BP190" s="291" t="n"/>
      <c r="BQ190" s="743" t="n"/>
      <c r="BR190" s="743" t="n"/>
      <c r="BS190" s="291">
        <f>BT190-BP190-BQ190-BR190</f>
        <v/>
      </c>
      <c r="BT190" s="868" t="n">
        <v>-628.701</v>
      </c>
      <c r="BU190" s="743" t="n"/>
      <c r="BV190" s="743" t="n"/>
      <c r="BW190" s="743" t="n"/>
      <c r="BX190" s="291">
        <f>BY190-BU190-BV190-BW190</f>
        <v/>
      </c>
      <c r="BY190" s="868" t="n">
        <v>-957.963</v>
      </c>
      <c r="BZ190" s="743" t="n"/>
      <c r="CA190" s="743" t="n"/>
      <c r="CB190" s="743" t="n"/>
      <c r="CC190" s="291">
        <f>CD190-BZ190-CA190-CB190</f>
        <v/>
      </c>
      <c r="CD190" s="868" t="n">
        <v>-201.258</v>
      </c>
      <c r="CE190" s="743" t="n"/>
      <c r="CF190" s="743" t="n"/>
      <c r="CG190" s="743" t="n"/>
      <c r="CH190" s="743" t="n"/>
      <c r="CI190" s="774" t="n"/>
      <c r="CJ190" s="774" t="n"/>
      <c r="CK190" s="774" t="n"/>
      <c r="CL190" s="774" t="n"/>
      <c r="CM190" s="774" t="n"/>
      <c r="CN190" s="291" t="n"/>
      <c r="CO190" s="766" t="n"/>
      <c r="CP190" s="291" t="n"/>
      <c r="CQ190" s="694" t="n"/>
    </row>
    <row r="191" ht="16.5" customHeight="1">
      <c r="B191" t="inlineStr">
        <is>
          <t xml:space="preserve">  Proceeds from sale of assets/businesses</t>
        </is>
      </c>
      <c r="C191" s="743" t="n"/>
      <c r="D191" s="743" t="n"/>
      <c r="E191" s="743" t="n"/>
      <c r="F191" s="743" t="n"/>
      <c r="G191" s="868" t="n"/>
      <c r="H191" s="743" t="n"/>
      <c r="I191" s="743" t="n"/>
      <c r="J191" s="743" t="n"/>
      <c r="K191" s="743" t="n"/>
      <c r="L191" s="868" t="n"/>
      <c r="M191" s="743" t="n"/>
      <c r="N191" s="743" t="n"/>
      <c r="O191" s="743" t="n"/>
      <c r="P191" s="743" t="n"/>
      <c r="Q191" s="868" t="n"/>
      <c r="R191" s="743" t="n"/>
      <c r="S191" s="743" t="n"/>
      <c r="T191" s="743" t="n"/>
      <c r="U191" s="743" t="n"/>
      <c r="V191" s="868" t="n"/>
      <c r="W191" s="743" t="n"/>
      <c r="X191" s="743" t="n"/>
      <c r="Y191" s="743" t="n"/>
      <c r="Z191" s="743" t="n"/>
      <c r="AA191" s="868" t="n"/>
      <c r="AB191" s="743" t="n"/>
      <c r="AC191" s="743" t="n"/>
      <c r="AD191" s="743" t="n"/>
      <c r="AE191" s="743" t="n"/>
      <c r="AF191" s="868" t="n"/>
      <c r="AG191" s="743" t="n"/>
      <c r="AH191" s="743" t="n"/>
      <c r="AI191" s="743" t="n"/>
      <c r="AJ191" s="743" t="n"/>
      <c r="AK191" s="868" t="n"/>
      <c r="AL191" s="743" t="n"/>
      <c r="AM191" s="291" t="n"/>
      <c r="AN191" s="291" t="n"/>
      <c r="AO191" s="291" t="n"/>
      <c r="AP191" s="868" t="n"/>
      <c r="AQ191" s="291" t="n"/>
      <c r="AR191" s="291" t="n"/>
      <c r="AS191" s="291" t="n"/>
      <c r="AT191" s="291" t="n"/>
      <c r="AU191" s="868" t="n"/>
      <c r="AV191" s="291" t="n"/>
      <c r="AW191" s="291" t="n"/>
      <c r="AX191" s="291" t="n"/>
      <c r="AY191" s="291" t="n"/>
      <c r="AZ191" s="868" t="n"/>
      <c r="BA191" s="291" t="n"/>
      <c r="BB191" s="291" t="n"/>
      <c r="BC191" s="291" t="n"/>
      <c r="BD191" s="291" t="n"/>
      <c r="BE191" s="868" t="n"/>
      <c r="BF191" s="291" t="n"/>
      <c r="BG191" s="291" t="n"/>
      <c r="BH191" s="291" t="n"/>
      <c r="BI191" s="291" t="n"/>
      <c r="BJ191" s="868" t="n"/>
      <c r="BK191" s="291" t="n"/>
      <c r="BL191" s="291" t="n"/>
      <c r="BM191" s="291" t="n"/>
      <c r="BN191" s="291">
        <f>BO191-BK191-BL191-BM191</f>
        <v/>
      </c>
      <c r="BO191" s="868" t="n"/>
      <c r="BP191" s="743" t="n"/>
      <c r="BQ191" s="743" t="n"/>
      <c r="BR191" s="743" t="n"/>
      <c r="BS191" s="291">
        <f>BT191-BP191-BQ191-BR191</f>
        <v/>
      </c>
      <c r="BT191" s="868" t="n"/>
      <c r="BU191" s="743" t="n"/>
      <c r="BV191" s="743" t="n"/>
      <c r="BW191" s="743" t="n"/>
      <c r="BX191" s="291">
        <f>BY191-BU191-BV191-BW191</f>
        <v/>
      </c>
      <c r="BY191" s="868" t="n"/>
      <c r="BZ191" s="743" t="n"/>
      <c r="CA191" s="743" t="n"/>
      <c r="CB191" s="743" t="n"/>
      <c r="CC191" s="291">
        <f>CD191-BZ191-CA191-CB191</f>
        <v/>
      </c>
      <c r="CD191" s="868" t="n"/>
      <c r="CE191" s="743" t="n"/>
      <c r="CF191" s="743" t="n"/>
      <c r="CG191" s="743" t="n"/>
      <c r="CH191" s="743" t="n"/>
      <c r="CI191" s="774" t="n"/>
      <c r="CJ191" s="774" t="n"/>
      <c r="CK191" s="774" t="n"/>
      <c r="CL191" s="774" t="n"/>
      <c r="CM191" s="774" t="n"/>
      <c r="CN191" s="291" t="n"/>
      <c r="CO191" s="766" t="n"/>
      <c r="CP191" s="291" t="n"/>
      <c r="CQ191" s="693" t="n"/>
    </row>
    <row r="192" ht="16.5" customHeight="1">
      <c r="B192" t="inlineStr">
        <is>
          <t xml:space="preserve">  Other investing activities</t>
        </is>
      </c>
      <c r="C192" s="833" t="n"/>
      <c r="D192" s="833" t="n"/>
      <c r="E192" s="833" t="n"/>
      <c r="F192" s="833" t="n"/>
      <c r="G192" s="884" t="n"/>
      <c r="H192" s="833" t="n"/>
      <c r="I192" s="833" t="n"/>
      <c r="J192" s="833" t="n"/>
      <c r="K192" s="833" t="n"/>
      <c r="L192" s="884" t="n"/>
      <c r="M192" s="833" t="n"/>
      <c r="N192" s="833" t="n"/>
      <c r="O192" s="833" t="n"/>
      <c r="P192" s="833" t="n"/>
      <c r="Q192" s="884" t="n"/>
      <c r="R192" s="833" t="n"/>
      <c r="S192" s="833" t="n"/>
      <c r="T192" s="833" t="n"/>
      <c r="U192" s="833" t="n"/>
      <c r="V192" s="884" t="n"/>
      <c r="W192" s="833" t="n"/>
      <c r="X192" s="833" t="n"/>
      <c r="Y192" s="833" t="n"/>
      <c r="Z192" s="833" t="n"/>
      <c r="AA192" s="884" t="n"/>
      <c r="AB192" s="833" t="n"/>
      <c r="AC192" s="833" t="n"/>
      <c r="AD192" s="833" t="n"/>
      <c r="AE192" s="833" t="n"/>
      <c r="AF192" s="884" t="n"/>
      <c r="AG192" s="833" t="n"/>
      <c r="AH192" s="833" t="n"/>
      <c r="AI192" s="833" t="n"/>
      <c r="AJ192" s="833" t="n"/>
      <c r="AK192" s="884" t="n"/>
      <c r="AL192" s="833" t="n"/>
      <c r="AM192" s="834" t="n"/>
      <c r="AN192" s="834" t="n"/>
      <c r="AO192" s="834" t="n"/>
      <c r="AP192" s="884" t="n"/>
      <c r="AQ192" s="834" t="n"/>
      <c r="AR192" s="834" t="n"/>
      <c r="AS192" s="834" t="n"/>
      <c r="AT192" s="834" t="n"/>
      <c r="AU192" s="884" t="n"/>
      <c r="AV192" s="834" t="n"/>
      <c r="AW192" s="834" t="n"/>
      <c r="AX192" s="834" t="n"/>
      <c r="AY192" s="834" t="n"/>
      <c r="AZ192" s="884" t="n"/>
      <c r="BA192" s="834" t="n"/>
      <c r="BB192" s="834" t="n"/>
      <c r="BC192" s="834" t="n"/>
      <c r="BD192" s="834" t="n"/>
      <c r="BE192" s="884" t="n"/>
      <c r="BF192" s="833" t="n"/>
      <c r="BG192" s="833" t="n"/>
      <c r="BH192" s="833" t="n"/>
      <c r="BI192" s="834" t="n"/>
      <c r="BJ192" s="884" t="n"/>
      <c r="BK192" s="833" t="n"/>
      <c r="BL192" s="833" t="n"/>
      <c r="BM192" s="833" t="n"/>
      <c r="BN192" s="834">
        <f>BO192-BK192-BL192-BM192</f>
        <v/>
      </c>
      <c r="BO192" s="884" t="n"/>
      <c r="BP192" s="833" t="n"/>
      <c r="BQ192" s="833" t="n"/>
      <c r="BR192" s="833" t="n"/>
      <c r="BS192" s="834">
        <f>BT192-BP192-BQ192-BR192</f>
        <v/>
      </c>
      <c r="BT192" s="884" t="n"/>
      <c r="BU192" s="833" t="n"/>
      <c r="BV192" s="833" t="n"/>
      <c r="BW192" s="833" t="n"/>
      <c r="BX192" s="834">
        <f>BY192-BU192-BV192-BW192</f>
        <v/>
      </c>
      <c r="BY192" s="884" t="n"/>
      <c r="BZ192" s="833" t="n"/>
      <c r="CA192" s="833" t="n"/>
      <c r="CB192" s="833" t="n"/>
      <c r="CC192" s="834">
        <f>CD192-BZ192-CA192-CB192</f>
        <v/>
      </c>
      <c r="CD192" s="884" t="n"/>
      <c r="CE192" s="743" t="n"/>
      <c r="CF192" s="743" t="n"/>
      <c r="CG192" s="743" t="n"/>
      <c r="CH192" s="743" t="n"/>
      <c r="CI192" s="855" t="n"/>
      <c r="CJ192" s="855" t="n"/>
      <c r="CK192" s="855" t="n"/>
      <c r="CL192" s="855" t="n"/>
      <c r="CM192" s="855" t="n"/>
      <c r="CN192" s="291" t="n"/>
      <c r="CO192" s="766" t="n"/>
      <c r="CP192" s="291" t="n"/>
      <c r="CQ192" s="693" t="n"/>
    </row>
    <row r="193" ht="16.5" customHeight="1">
      <c r="B193" s="8" t="inlineStr">
        <is>
          <t>Net cash from investing activities</t>
        </is>
      </c>
      <c r="C193" s="678" t="n"/>
      <c r="D193" s="678" t="n"/>
      <c r="E193" s="678" t="n"/>
      <c r="F193" s="678" t="n"/>
      <c r="G193" s="870">
        <f>SUM(G189:G192)</f>
        <v/>
      </c>
      <c r="H193" s="678" t="n"/>
      <c r="I193" s="678" t="n"/>
      <c r="J193" s="678" t="n"/>
      <c r="K193" s="678" t="n"/>
      <c r="L193" s="870">
        <f>SUM(L189:L192)</f>
        <v/>
      </c>
      <c r="M193" s="678" t="n"/>
      <c r="N193" s="678" t="n"/>
      <c r="O193" s="678" t="n"/>
      <c r="P193" s="678" t="n"/>
      <c r="Q193" s="870">
        <f>SUM(Q189:Q192)</f>
        <v/>
      </c>
      <c r="R193" s="678" t="n"/>
      <c r="S193" s="678" t="n"/>
      <c r="T193" s="678" t="n"/>
      <c r="U193" s="678" t="n"/>
      <c r="V193" s="870">
        <f>SUM(V189:V192)</f>
        <v/>
      </c>
      <c r="W193" s="678" t="n"/>
      <c r="X193" s="678" t="n"/>
      <c r="Y193" s="678" t="n"/>
      <c r="Z193" s="678" t="n"/>
      <c r="AA193" s="870">
        <f>SUM(AA189:AA192)</f>
        <v/>
      </c>
      <c r="AB193" s="678" t="n"/>
      <c r="AC193" s="678" t="n"/>
      <c r="AD193" s="678" t="n"/>
      <c r="AE193" s="678" t="n"/>
      <c r="AF193" s="870">
        <f>SUM(AF189:AF192)</f>
        <v/>
      </c>
      <c r="AG193" s="678" t="n"/>
      <c r="AH193" s="678" t="n"/>
      <c r="AI193" s="678" t="n"/>
      <c r="AJ193" s="678" t="n"/>
      <c r="AK193" s="870">
        <f>SUM(AK189:AK192)</f>
        <v/>
      </c>
      <c r="AL193" s="678" t="n"/>
      <c r="AM193" s="678" t="n"/>
      <c r="AN193" s="678" t="n"/>
      <c r="AO193" s="678" t="n"/>
      <c r="AP193" s="870">
        <f>SUM(AP189:AP192)</f>
        <v/>
      </c>
      <c r="AQ193" s="678" t="n"/>
      <c r="AR193" s="678" t="n"/>
      <c r="AS193" s="678" t="n"/>
      <c r="AT193" s="678" t="n"/>
      <c r="AU193" s="870">
        <f>SUM(AU189:AU192)</f>
        <v/>
      </c>
      <c r="AV193" s="678" t="n"/>
      <c r="AW193" s="678" t="n"/>
      <c r="AX193" s="678" t="n"/>
      <c r="AY193" s="678" t="n"/>
      <c r="AZ193" s="870" t="n">
        <v>-303.857</v>
      </c>
      <c r="BA193" s="678" t="n"/>
      <c r="BB193" s="678" t="n"/>
      <c r="BC193" s="678" t="n"/>
      <c r="BD193" s="678" t="n"/>
      <c r="BE193" s="870" t="n">
        <v>-378.481</v>
      </c>
      <c r="BF193" s="678">
        <f>SUM(BF189:BF192)</f>
        <v/>
      </c>
      <c r="BG193" s="678">
        <f>SUM(BG189:BG192)</f>
        <v/>
      </c>
      <c r="BH193" s="678">
        <f>SUM(BH189:BH192)</f>
        <v/>
      </c>
      <c r="BI193" s="678" t="n"/>
      <c r="BJ193" s="931" t="n">
        <v>-1162.657</v>
      </c>
      <c r="BK193" s="678">
        <f>SUM(BK189:BK192)</f>
        <v/>
      </c>
      <c r="BL193" s="678">
        <f>SUM(BL189:BL192)</f>
        <v/>
      </c>
      <c r="BM193" s="678">
        <f>SUM(BM189:BM192)</f>
        <v/>
      </c>
      <c r="BN193" s="678">
        <f>SUM(BN189:BN192)</f>
        <v/>
      </c>
      <c r="BO193" s="870" t="n">
        <v>223.422</v>
      </c>
      <c r="BP193" s="678">
        <f>SUM(BP189:BP192)</f>
        <v/>
      </c>
      <c r="BQ193" s="678">
        <f>SUM(BQ189:BQ192)</f>
        <v/>
      </c>
      <c r="BR193" s="678">
        <f>SUM(BR189:BR192)</f>
        <v/>
      </c>
      <c r="BS193" s="678">
        <f>SUM(BS189:BS192)</f>
        <v/>
      </c>
      <c r="BT193" s="870" t="n">
        <v>-797.332</v>
      </c>
      <c r="BU193" s="678">
        <f>SUM(BU189:BU192)</f>
        <v/>
      </c>
      <c r="BV193" s="678">
        <f>SUM(BV189:BV192)</f>
        <v/>
      </c>
      <c r="BW193" s="678">
        <f>SUM(BW189:BW192)</f>
        <v/>
      </c>
      <c r="BX193" s="678">
        <f>SUM(BX189:BX192)</f>
        <v/>
      </c>
      <c r="BY193" s="870" t="n">
        <v>-1244.615</v>
      </c>
      <c r="BZ193" s="678">
        <f>SUM(BZ189:BZ192)</f>
        <v/>
      </c>
      <c r="CA193" s="678">
        <f>SUM(CA189:CA192)</f>
        <v/>
      </c>
      <c r="CB193" s="678">
        <f>SUM(CB189:CB192)</f>
        <v/>
      </c>
      <c r="CC193" s="678">
        <f>SUM(CC189:CC192)</f>
        <v/>
      </c>
      <c r="CD193" s="870" t="n">
        <v>-361.877</v>
      </c>
      <c r="CE193" s="678">
        <f>SUM(CE189:CE192)</f>
        <v/>
      </c>
      <c r="CF193" s="678">
        <f>SUM(CF189:CF192)</f>
        <v/>
      </c>
      <c r="CG193" s="678">
        <f>SUM(CG189:CG192)</f>
        <v/>
      </c>
      <c r="CH193" s="678">
        <f>SUM(CH189:CH192)</f>
        <v/>
      </c>
      <c r="CI193" s="752">
        <f>SUM(CI189:CI192)</f>
        <v/>
      </c>
      <c r="CJ193" s="752">
        <f>SUM(CJ189:CJ192)</f>
        <v/>
      </c>
      <c r="CK193" s="752">
        <f>SUM(CK189:CK192)</f>
        <v/>
      </c>
      <c r="CL193" s="752">
        <f>SUM(CL189:CL192)</f>
        <v/>
      </c>
      <c r="CM193" s="752">
        <f>SUM(CM189:CM192)</f>
        <v/>
      </c>
      <c r="CN193" s="678" t="n"/>
      <c r="CO193" s="689" t="n"/>
      <c r="CP193" s="678" t="n"/>
      <c r="CQ193" s="693" t="n"/>
    </row>
    <row r="194" ht="16.5" customHeight="1">
      <c r="C194" s="291" t="n"/>
      <c r="D194" s="291" t="n"/>
      <c r="E194" s="291" t="n"/>
      <c r="F194" s="291" t="n"/>
      <c r="G194" s="864" t="n"/>
      <c r="H194" s="291" t="n"/>
      <c r="I194" s="291" t="n"/>
      <c r="J194" s="291" t="n"/>
      <c r="K194" s="291" t="n"/>
      <c r="L194" s="864" t="n"/>
      <c r="M194" s="291" t="n"/>
      <c r="N194" s="291" t="n"/>
      <c r="O194" s="291" t="n"/>
      <c r="P194" s="291" t="n"/>
      <c r="Q194" s="864" t="n"/>
      <c r="R194" s="291" t="n"/>
      <c r="S194" s="291" t="n"/>
      <c r="T194" s="291" t="n"/>
      <c r="U194" s="291" t="n"/>
      <c r="V194" s="864" t="n"/>
      <c r="W194" s="291" t="n"/>
      <c r="X194" s="291" t="n"/>
      <c r="Y194" s="291" t="n"/>
      <c r="Z194" s="291" t="n"/>
      <c r="AA194" s="864" t="n"/>
      <c r="AB194" s="291" t="n"/>
      <c r="AC194" s="291" t="n"/>
      <c r="AD194" s="291" t="n"/>
      <c r="AE194" s="291" t="n"/>
      <c r="AF194" s="864" t="n"/>
      <c r="AG194" s="291" t="n"/>
      <c r="AH194" s="291" t="n"/>
      <c r="AI194" s="291" t="n"/>
      <c r="AJ194" s="291" t="n"/>
      <c r="AK194" s="864" t="n"/>
      <c r="AL194" s="291" t="n"/>
      <c r="AM194" s="291" t="n"/>
      <c r="AN194" s="291" t="n"/>
      <c r="AO194" s="291" t="n"/>
      <c r="AP194" s="864" t="n"/>
      <c r="AQ194" s="291" t="n"/>
      <c r="AR194" s="291" t="n"/>
      <c r="AS194" s="291" t="n"/>
      <c r="AT194" s="291" t="n"/>
      <c r="AU194" s="864" t="n"/>
      <c r="AV194" s="291" t="n"/>
      <c r="AW194" s="291" t="n"/>
      <c r="AX194" s="291" t="n"/>
      <c r="AY194" s="291" t="n"/>
      <c r="AZ194" s="864" t="n"/>
      <c r="BA194" s="291" t="n"/>
      <c r="BB194" s="291" t="n"/>
      <c r="BC194" s="291" t="n"/>
      <c r="BD194" s="291" t="n"/>
      <c r="BE194" s="864" t="n"/>
      <c r="BF194" s="291" t="n"/>
      <c r="BG194" s="291" t="n"/>
      <c r="BH194" s="291" t="n"/>
      <c r="BI194" s="291" t="n"/>
      <c r="BJ194" s="868" t="n"/>
      <c r="BK194" s="291" t="n"/>
      <c r="BL194" s="291" t="n"/>
      <c r="BM194" s="291" t="n"/>
      <c r="BN194" s="291" t="n"/>
      <c r="BO194" s="868" t="n"/>
      <c r="BP194" s="291" t="n"/>
      <c r="BQ194" s="291" t="n"/>
      <c r="BR194" s="291" t="n"/>
      <c r="BS194" s="291" t="n"/>
      <c r="BT194" s="868" t="n"/>
      <c r="BU194" s="291" t="n"/>
      <c r="BV194" s="291" t="n"/>
      <c r="BW194" s="291" t="n"/>
      <c r="BX194" s="291" t="n"/>
      <c r="BY194" s="868" t="n"/>
      <c r="BZ194" s="291" t="n"/>
      <c r="CA194" s="291" t="n"/>
      <c r="CB194" s="291" t="n"/>
      <c r="CC194" s="291" t="n"/>
      <c r="CD194" s="868" t="n"/>
      <c r="CE194" s="743" t="n"/>
      <c r="CF194" s="743" t="n"/>
      <c r="CG194" s="743" t="n"/>
      <c r="CH194" s="743" t="n"/>
      <c r="CI194" s="749" t="n"/>
      <c r="CJ194" s="749" t="n"/>
      <c r="CK194" s="749" t="n"/>
      <c r="CL194" s="749" t="n"/>
      <c r="CM194" s="749" t="n"/>
      <c r="CN194" s="291" t="n"/>
      <c r="CO194" s="766" t="n"/>
      <c r="CP194" s="291" t="n"/>
      <c r="CQ194" s="693" t="n"/>
    </row>
    <row r="195" ht="16.5" customHeight="1">
      <c r="B195" s="223" t="inlineStr">
        <is>
          <t>Financing activities:</t>
        </is>
      </c>
      <c r="C195" s="224" t="n"/>
      <c r="D195" s="224" t="n"/>
      <c r="E195" s="224" t="n"/>
      <c r="F195" s="224" t="n"/>
      <c r="G195" s="867" t="n"/>
      <c r="H195" s="224" t="n"/>
      <c r="I195" s="224" t="n"/>
      <c r="J195" s="224" t="n"/>
      <c r="K195" s="224" t="n"/>
      <c r="L195" s="867" t="n"/>
      <c r="M195" s="224" t="n"/>
      <c r="N195" s="224" t="n"/>
      <c r="O195" s="224" t="n"/>
      <c r="P195" s="224" t="n"/>
      <c r="Q195" s="867" t="n"/>
      <c r="R195" s="224" t="n"/>
      <c r="S195" s="224" t="n"/>
      <c r="T195" s="224" t="n"/>
      <c r="U195" s="224" t="n"/>
      <c r="V195" s="867" t="n"/>
      <c r="W195" s="224" t="n"/>
      <c r="X195" s="224" t="n"/>
      <c r="Y195" s="224" t="n"/>
      <c r="Z195" s="224" t="n"/>
      <c r="AA195" s="867" t="n"/>
      <c r="AB195" s="224" t="n"/>
      <c r="AC195" s="224" t="n"/>
      <c r="AD195" s="224" t="n"/>
      <c r="AE195" s="224" t="n"/>
      <c r="AF195" s="867" t="n"/>
      <c r="AG195" s="224" t="n"/>
      <c r="AH195" s="224" t="n"/>
      <c r="AI195" s="224" t="n"/>
      <c r="AJ195" s="224" t="n"/>
      <c r="AK195" s="867" t="n"/>
      <c r="AL195" s="224" t="n"/>
      <c r="AM195" s="224" t="n"/>
      <c r="AN195" s="224" t="n"/>
      <c r="AO195" s="224" t="n"/>
      <c r="AP195" s="867" t="n"/>
      <c r="AQ195" s="224" t="n"/>
      <c r="AR195" s="224" t="n"/>
      <c r="AS195" s="224" t="n"/>
      <c r="AT195" s="224" t="n"/>
      <c r="AU195" s="867" t="n"/>
      <c r="AV195" s="224" t="n"/>
      <c r="AW195" s="224" t="n"/>
      <c r="AX195" s="224" t="n"/>
      <c r="AY195" s="224" t="n"/>
      <c r="AZ195" s="867" t="n"/>
      <c r="BA195" s="224" t="n"/>
      <c r="BB195" s="224" t="n"/>
      <c r="BC195" s="224" t="n"/>
      <c r="BD195" s="224" t="n"/>
      <c r="BE195" s="867" t="n"/>
      <c r="BF195" s="224" t="n"/>
      <c r="BG195" s="224" t="n"/>
      <c r="BH195" s="224" t="n"/>
      <c r="BI195" s="224" t="n"/>
      <c r="BJ195" s="923" t="n"/>
      <c r="BK195" s="224" t="n"/>
      <c r="BL195" s="224" t="n"/>
      <c r="BM195" s="224" t="n"/>
      <c r="BN195" s="224" t="n"/>
      <c r="BO195" s="923" t="n"/>
      <c r="BP195" s="224" t="n"/>
      <c r="BQ195" s="224" t="n"/>
      <c r="BR195" s="224" t="n"/>
      <c r="BS195" s="224" t="n"/>
      <c r="BT195" s="923" t="n"/>
      <c r="BU195" s="224" t="n"/>
      <c r="BV195" s="224" t="n"/>
      <c r="BW195" s="224" t="n"/>
      <c r="BX195" s="224" t="n"/>
      <c r="BY195" s="923" t="n"/>
      <c r="BZ195" s="224" t="n"/>
      <c r="CA195" s="224" t="n"/>
      <c r="CB195" s="224" t="n"/>
      <c r="CC195" s="224" t="n"/>
      <c r="CD195" s="923" t="n"/>
      <c r="CE195" s="744" t="n"/>
      <c r="CF195" s="744" t="n"/>
      <c r="CG195" s="744" t="n"/>
      <c r="CH195" s="744" t="n"/>
      <c r="CI195" s="224" t="n"/>
      <c r="CJ195" s="224" t="n"/>
      <c r="CK195" s="224" t="n"/>
      <c r="CL195" s="224" t="n"/>
      <c r="CM195" s="224" t="n"/>
      <c r="CN195" s="224" t="n"/>
      <c r="CO195" s="684" t="n"/>
      <c r="CP195" s="224" t="n"/>
      <c r="CQ195" s="693" t="n"/>
    </row>
    <row r="196" ht="16.5" customHeight="1">
      <c r="B196" t="inlineStr">
        <is>
          <t xml:space="preserve">  Proceeds from / (repayment of) long-term debt, net</t>
        </is>
      </c>
      <c r="C196" s="743" t="n"/>
      <c r="D196" s="743" t="n"/>
      <c r="E196" s="743" t="n"/>
      <c r="F196" s="743" t="n"/>
      <c r="G196" s="868" t="n"/>
      <c r="H196" s="743" t="n"/>
      <c r="I196" s="743" t="n"/>
      <c r="J196" s="743" t="n"/>
      <c r="K196" s="743" t="n"/>
      <c r="L196" s="868" t="n"/>
      <c r="M196" s="743" t="n"/>
      <c r="N196" s="743" t="n"/>
      <c r="O196" s="743" t="n"/>
      <c r="P196" s="743" t="n"/>
      <c r="Q196" s="868" t="n"/>
      <c r="R196" s="743" t="n"/>
      <c r="S196" s="743" t="n"/>
      <c r="T196" s="743" t="n"/>
      <c r="U196" s="743" t="n"/>
      <c r="V196" s="868" t="n"/>
      <c r="W196" s="743" t="n"/>
      <c r="X196" s="743" t="n"/>
      <c r="Y196" s="743" t="n"/>
      <c r="Z196" s="743" t="n"/>
      <c r="AA196" s="868" t="n"/>
      <c r="AB196" s="743" t="n"/>
      <c r="AC196" s="743" t="n"/>
      <c r="AD196" s="743" t="n"/>
      <c r="AE196" s="743" t="n"/>
      <c r="AF196" s="868" t="n"/>
      <c r="AG196" s="743" t="n"/>
      <c r="AH196" s="743" t="n"/>
      <c r="AI196" s="743" t="n"/>
      <c r="AJ196" s="743" t="n"/>
      <c r="AK196" s="868" t="n"/>
      <c r="AL196" s="743" t="n"/>
      <c r="AM196" s="291" t="n"/>
      <c r="AN196" s="291" t="n"/>
      <c r="AO196" s="291" t="n"/>
      <c r="AP196" s="868" t="n"/>
      <c r="AQ196" s="291" t="n"/>
      <c r="AR196" s="291" t="n"/>
      <c r="AS196" s="291" t="n"/>
      <c r="AT196" s="291" t="n"/>
      <c r="AU196" s="868" t="n"/>
      <c r="AV196" s="291" t="n"/>
      <c r="AW196" s="291" t="n"/>
      <c r="AX196" s="291" t="n"/>
      <c r="AY196" s="291" t="n"/>
      <c r="AZ196" s="868" t="n"/>
      <c r="BA196" s="291" t="n"/>
      <c r="BB196" s="291" t="n"/>
      <c r="BC196" s="291" t="n"/>
      <c r="BD196" s="291" t="n"/>
      <c r="BE196" s="864">
        <f>15.128-74.47+491.769-300</f>
        <v/>
      </c>
      <c r="BF196" s="743" t="n"/>
      <c r="BG196" s="743" t="n"/>
      <c r="BH196" s="743" t="n"/>
      <c r="BI196" s="291" t="n"/>
      <c r="BJ196" s="868" t="n"/>
      <c r="BK196" s="743" t="n"/>
      <c r="BL196" s="743" t="n"/>
      <c r="BM196" s="743" t="n"/>
      <c r="BN196" s="291">
        <f>BO196-BK196-BL196-BM196</f>
        <v/>
      </c>
      <c r="BO196" s="868" t="n"/>
      <c r="BP196" s="743" t="n"/>
      <c r="BQ196" s="743" t="n"/>
      <c r="BR196" s="743" t="n"/>
      <c r="BS196" s="291">
        <f>BT196-BP196-BQ196-BR196</f>
        <v/>
      </c>
      <c r="BT196" s="868" t="n"/>
      <c r="BU196" s="743" t="n"/>
      <c r="BV196" s="743" t="n"/>
      <c r="BW196" s="743" t="n"/>
      <c r="BX196" s="291">
        <f>BY196-BU196-BV196-BW196</f>
        <v/>
      </c>
      <c r="BY196" s="868" t="n"/>
      <c r="BZ196" s="291" t="n"/>
      <c r="CA196" s="291" t="n"/>
      <c r="CB196" s="743" t="n"/>
      <c r="CC196" s="291">
        <f>CD196-BZ196-CA196-CB196</f>
        <v/>
      </c>
      <c r="CD196" s="868" t="n"/>
      <c r="CE196" s="743" t="n"/>
      <c r="CF196" s="743" t="n"/>
      <c r="CG196" s="743" t="n"/>
      <c r="CH196" s="743" t="n"/>
      <c r="CI196" s="749">
        <f>-9</f>
        <v/>
      </c>
      <c r="CJ196" s="774" t="n"/>
      <c r="CK196" s="774" t="n"/>
      <c r="CL196" s="774" t="n"/>
      <c r="CM196" s="774" t="n"/>
      <c r="CN196" s="291" t="n"/>
      <c r="CO196" s="766" t="n"/>
      <c r="CP196" s="291" t="n"/>
      <c r="CQ196" s="693" t="n"/>
    </row>
    <row r="197" ht="16.5" customHeight="1">
      <c r="B197" t="inlineStr">
        <is>
          <t xml:space="preserve">  Net change in revolver / short-term borrowings</t>
        </is>
      </c>
      <c r="C197" s="743" t="n"/>
      <c r="D197" s="743" t="n"/>
      <c r="E197" s="743" t="n"/>
      <c r="F197" s="743" t="n"/>
      <c r="G197" s="868" t="n"/>
      <c r="H197" s="743" t="n"/>
      <c r="I197" s="743" t="n"/>
      <c r="J197" s="743" t="n"/>
      <c r="K197" s="743" t="n"/>
      <c r="L197" s="868" t="n"/>
      <c r="M197" s="743" t="n"/>
      <c r="N197" s="743" t="n"/>
      <c r="O197" s="743" t="n"/>
      <c r="P197" s="743" t="n"/>
      <c r="Q197" s="868" t="n"/>
      <c r="R197" s="743" t="n"/>
      <c r="S197" s="743" t="n"/>
      <c r="T197" s="743" t="n"/>
      <c r="U197" s="743" t="n"/>
      <c r="V197" s="868" t="n"/>
      <c r="W197" s="743" t="n"/>
      <c r="X197" s="743" t="n"/>
      <c r="Y197" s="743" t="n"/>
      <c r="Z197" s="743" t="n"/>
      <c r="AA197" s="868" t="n"/>
      <c r="AB197" s="743" t="n"/>
      <c r="AC197" s="743" t="n"/>
      <c r="AD197" s="743" t="n"/>
      <c r="AE197" s="743" t="n"/>
      <c r="AF197" s="868" t="n"/>
      <c r="AG197" s="743" t="n"/>
      <c r="AH197" s="743" t="n"/>
      <c r="AI197" s="743" t="n"/>
      <c r="AJ197" s="743" t="n"/>
      <c r="AK197" s="868" t="n"/>
      <c r="AL197" s="743" t="n"/>
      <c r="AM197" s="291" t="n"/>
      <c r="AN197" s="291" t="n"/>
      <c r="AO197" s="291" t="n"/>
      <c r="AP197" s="868" t="n"/>
      <c r="AQ197" s="291" t="n"/>
      <c r="AR197" s="291" t="n"/>
      <c r="AS197" s="291" t="n"/>
      <c r="AT197" s="291" t="n"/>
      <c r="AU197" s="868" t="n"/>
      <c r="AV197" s="291" t="n"/>
      <c r="AW197" s="291" t="n"/>
      <c r="AX197" s="291" t="n"/>
      <c r="AY197" s="291" t="n"/>
      <c r="AZ197" s="868" t="n"/>
      <c r="BA197" s="291" t="n"/>
      <c r="BB197" s="291" t="n"/>
      <c r="BC197" s="291" t="n"/>
      <c r="BD197" s="291" t="n"/>
      <c r="BE197" s="864">
        <f>1151.55-1187.159-1.167</f>
        <v/>
      </c>
      <c r="BF197" s="743" t="n"/>
      <c r="BG197" s="743" t="n"/>
      <c r="BH197" s="743" t="n"/>
      <c r="BI197" s="291" t="n"/>
      <c r="BJ197" s="868" t="n"/>
      <c r="BK197" s="743" t="n"/>
      <c r="BL197" s="743" t="n"/>
      <c r="BM197" s="743" t="n"/>
      <c r="BN197" s="291">
        <f>BO197-BK197-BL197-BM197</f>
        <v/>
      </c>
      <c r="BO197" s="868" t="n"/>
      <c r="BP197" s="743" t="n"/>
      <c r="BQ197" s="743" t="n"/>
      <c r="BR197" s="743" t="n"/>
      <c r="BS197" s="291">
        <f>BT197-BP197-BQ197-BR197</f>
        <v/>
      </c>
      <c r="BT197" s="868" t="n"/>
      <c r="BU197" s="743" t="n"/>
      <c r="BV197" s="743" t="n"/>
      <c r="BW197" s="743" t="n"/>
      <c r="BX197" s="291">
        <f>BY197-BU197-BV197-BW197</f>
        <v/>
      </c>
      <c r="BY197" s="868" t="n"/>
      <c r="BZ197" s="743" t="n"/>
      <c r="CA197" s="743" t="n"/>
      <c r="CB197" s="743" t="n"/>
      <c r="CC197" s="291">
        <f>CD197-BZ197-CA197-CB197</f>
        <v/>
      </c>
      <c r="CD197" s="868" t="n"/>
      <c r="CE197" s="743" t="n"/>
      <c r="CF197" s="743" t="n"/>
      <c r="CG197" s="743" t="n"/>
      <c r="CH197" s="743" t="n"/>
      <c r="CI197" s="774" t="n"/>
      <c r="CJ197" s="774" t="n"/>
      <c r="CK197" s="774" t="n"/>
      <c r="CL197" s="774" t="n"/>
      <c r="CM197" s="774" t="n"/>
      <c r="CN197" s="291" t="n"/>
      <c r="CO197" s="766" t="n"/>
      <c r="CP197" s="291" t="n"/>
      <c r="CQ197" s="693" t="n"/>
    </row>
    <row r="198" ht="16.5" customHeight="1">
      <c r="B198" t="inlineStr">
        <is>
          <t xml:space="preserve">  Dividends paid</t>
        </is>
      </c>
      <c r="C198" s="743" t="n"/>
      <c r="D198" s="743" t="n"/>
      <c r="E198" s="743" t="n"/>
      <c r="F198" s="743" t="n"/>
      <c r="G198" s="868" t="n"/>
      <c r="H198" s="743" t="n"/>
      <c r="I198" s="743" t="n"/>
      <c r="J198" s="743" t="n"/>
      <c r="K198" s="743" t="n"/>
      <c r="L198" s="868" t="n"/>
      <c r="M198" s="743" t="n"/>
      <c r="N198" s="743" t="n"/>
      <c r="O198" s="743" t="n"/>
      <c r="P198" s="743" t="n"/>
      <c r="Q198" s="868" t="n"/>
      <c r="R198" s="743" t="n"/>
      <c r="S198" s="743" t="n"/>
      <c r="T198" s="743" t="n"/>
      <c r="U198" s="743" t="n"/>
      <c r="V198" s="868" t="n"/>
      <c r="W198" s="743" t="n"/>
      <c r="X198" s="743" t="n"/>
      <c r="Y198" s="743" t="n"/>
      <c r="Z198" s="743" t="n"/>
      <c r="AA198" s="868" t="n"/>
      <c r="AB198" s="743" t="n"/>
      <c r="AC198" s="743" t="n"/>
      <c r="AD198" s="743" t="n"/>
      <c r="AE198" s="743" t="n"/>
      <c r="AF198" s="868" t="n"/>
      <c r="AG198" s="743" t="n"/>
      <c r="AH198" s="743" t="n"/>
      <c r="AI198" s="743" t="n"/>
      <c r="AJ198" s="743" t="n"/>
      <c r="AK198" s="868" t="n"/>
      <c r="AL198" s="743" t="n"/>
      <c r="AM198" s="291" t="n"/>
      <c r="AN198" s="291" t="n"/>
      <c r="AO198" s="291" t="n"/>
      <c r="AP198" s="868" t="n"/>
      <c r="AQ198" s="291" t="n"/>
      <c r="AR198" s="291" t="n"/>
      <c r="AS198" s="291" t="n"/>
      <c r="AT198" s="291" t="n"/>
      <c r="AU198" s="868" t="n"/>
      <c r="AV198" s="291" t="n"/>
      <c r="AW198" s="291" t="n"/>
      <c r="AX198" s="291" t="n"/>
      <c r="AY198" s="291" t="n"/>
      <c r="AZ198" s="868" t="n">
        <v>-60.478</v>
      </c>
      <c r="BA198" s="291" t="n"/>
      <c r="BB198" s="291" t="n"/>
      <c r="BC198" s="291" t="n"/>
      <c r="BD198" s="291" t="n"/>
      <c r="BE198" s="868" t="n">
        <v>-67.604</v>
      </c>
      <c r="BF198" s="743" t="n"/>
      <c r="BG198" s="743" t="n"/>
      <c r="BH198" s="743" t="n"/>
      <c r="BI198" s="291" t="n"/>
      <c r="BJ198" s="868" t="n">
        <v>-85.386</v>
      </c>
      <c r="BK198" s="743" t="n"/>
      <c r="BL198" s="743" t="n"/>
      <c r="BM198" s="743" t="n"/>
      <c r="BN198" s="291">
        <f>BO198-BK198-BL198-BM198</f>
        <v/>
      </c>
      <c r="BO198" s="868" t="n">
        <v>-97.321</v>
      </c>
      <c r="BP198" s="743" t="n"/>
      <c r="BQ198" s="743" t="n"/>
      <c r="BR198" s="743" t="n"/>
      <c r="BS198" s="291">
        <f>BT198-BP198-BQ198-BR198</f>
        <v/>
      </c>
      <c r="BT198" s="868" t="n">
        <v>-121.095</v>
      </c>
      <c r="BU198" s="743" t="n"/>
      <c r="BV198" s="743" t="n"/>
      <c r="BW198" s="743" t="n"/>
      <c r="BX198" s="291">
        <f>BY198-BU198-BV198-BW198</f>
        <v/>
      </c>
      <c r="BY198" s="868" t="n">
        <v>-133.928</v>
      </c>
      <c r="BZ198" s="743" t="n"/>
      <c r="CA198" s="743" t="n"/>
      <c r="CB198" s="743" t="n"/>
      <c r="CC198" s="291">
        <f>CD198-BZ198-CA198-CB198</f>
        <v/>
      </c>
      <c r="CD198" s="868" t="n">
        <v>-151.091</v>
      </c>
      <c r="CE198" s="743" t="n"/>
      <c r="CF198" s="743" t="n"/>
      <c r="CG198" s="743" t="n"/>
      <c r="CH198" s="743" t="n"/>
      <c r="CI198" s="774" t="n"/>
      <c r="CJ198" s="774" t="n"/>
      <c r="CK198" s="774" t="n"/>
      <c r="CL198" s="774" t="n"/>
      <c r="CM198" s="774" t="n"/>
      <c r="CN198" s="291" t="n"/>
      <c r="CO198" s="766" t="n"/>
      <c r="CP198" s="291" t="n"/>
      <c r="CQ198" s="694" t="n"/>
    </row>
    <row r="199" ht="16.5" customHeight="1">
      <c r="B199" t="inlineStr">
        <is>
          <t xml:space="preserve">  Repurchase of common stock</t>
        </is>
      </c>
      <c r="C199" s="743" t="n"/>
      <c r="D199" s="743" t="n"/>
      <c r="E199" s="743" t="n"/>
      <c r="F199" s="743" t="n"/>
      <c r="G199" s="868" t="n"/>
      <c r="H199" s="743" t="n"/>
      <c r="I199" s="743" t="n"/>
      <c r="J199" s="743" t="n"/>
      <c r="K199" s="743" t="n"/>
      <c r="L199" s="868" t="n"/>
      <c r="M199" s="743" t="n"/>
      <c r="N199" s="743" t="n"/>
      <c r="O199" s="743" t="n"/>
      <c r="P199" s="743" t="n"/>
      <c r="Q199" s="868" t="n"/>
      <c r="R199" s="743" t="n"/>
      <c r="S199" s="743" t="n"/>
      <c r="T199" s="743" t="n"/>
      <c r="U199" s="743" t="n"/>
      <c r="V199" s="868" t="n"/>
      <c r="W199" s="743" t="n"/>
      <c r="X199" s="743" t="n"/>
      <c r="Y199" s="743" t="n"/>
      <c r="Z199" s="743" t="n"/>
      <c r="AA199" s="868" t="n"/>
      <c r="AB199" s="743" t="n"/>
      <c r="AC199" s="743" t="n"/>
      <c r="AD199" s="743" t="n"/>
      <c r="AE199" s="743" t="n"/>
      <c r="AF199" s="868" t="n"/>
      <c r="AG199" s="743" t="n"/>
      <c r="AH199" s="743" t="n"/>
      <c r="AI199" s="743" t="n"/>
      <c r="AJ199" s="743" t="n"/>
      <c r="AK199" s="868" t="n"/>
      <c r="AL199" s="743" t="n"/>
      <c r="AM199" s="291" t="n"/>
      <c r="AN199" s="291" t="n"/>
      <c r="AO199" s="291" t="n"/>
      <c r="AP199" s="868" t="n"/>
      <c r="AQ199" s="291" t="n"/>
      <c r="AR199" s="291" t="n"/>
      <c r="AS199" s="291" t="n"/>
      <c r="AT199" s="291" t="n"/>
      <c r="AU199" s="868" t="n"/>
      <c r="AV199" s="291" t="n"/>
      <c r="AW199" s="291" t="n"/>
      <c r="AX199" s="291" t="n"/>
      <c r="AY199" s="291" t="n"/>
      <c r="AZ199" s="868" t="n">
        <v>-192.455</v>
      </c>
      <c r="BA199" s="291" t="n"/>
      <c r="BB199" s="291" t="n"/>
      <c r="BC199" s="291" t="n"/>
      <c r="BD199" s="291" t="n"/>
      <c r="BE199" s="864" t="n">
        <v>-38.021</v>
      </c>
      <c r="BF199" s="743" t="n"/>
      <c r="BG199" s="743" t="n"/>
      <c r="BH199" s="743" t="n"/>
      <c r="BI199" s="291" t="n"/>
      <c r="BJ199" s="868" t="n">
        <v>-198.153</v>
      </c>
      <c r="BK199" s="743" t="n"/>
      <c r="BL199" s="743" t="n"/>
      <c r="BM199" s="743" t="n"/>
      <c r="BN199" s="291">
        <f>BO199-BK199-BL199-BM199</f>
        <v/>
      </c>
      <c r="BO199" s="868" t="n">
        <v>-567.9829999999999</v>
      </c>
      <c r="BP199" s="743" t="n"/>
      <c r="BQ199" s="743" t="n"/>
      <c r="BR199" s="743" t="n"/>
      <c r="BS199" s="291">
        <f>BT199-BP199-BQ199-BR199</f>
        <v/>
      </c>
      <c r="BT199" s="868" t="n">
        <v>-288.024</v>
      </c>
      <c r="BU199" s="743" t="n"/>
      <c r="BV199" s="743" t="n"/>
      <c r="BW199" s="743" t="n"/>
      <c r="BX199" s="291">
        <f>BY199-BU199-BV199-BW199</f>
        <v/>
      </c>
      <c r="BY199" s="868" t="n">
        <v>-76.616</v>
      </c>
      <c r="BZ199" s="743" t="n"/>
      <c r="CA199" s="743" t="n"/>
      <c r="CB199" s="743" t="n"/>
      <c r="CC199" s="291">
        <f>CD199-BZ199-CA199-CB199</f>
        <v/>
      </c>
      <c r="CD199" s="868" t="n">
        <v>-225.815</v>
      </c>
      <c r="CE199" s="743" t="n"/>
      <c r="CF199" s="743" t="n"/>
      <c r="CG199" s="743" t="n"/>
      <c r="CH199" s="743" t="n"/>
      <c r="CI199" s="774" t="n"/>
      <c r="CJ199" s="774" t="n"/>
      <c r="CK199" s="774" t="n"/>
      <c r="CL199" s="774" t="n"/>
      <c r="CM199" s="774" t="n"/>
      <c r="CN199" s="291" t="n"/>
      <c r="CO199" s="766" t="n"/>
      <c r="CP199" s="291" t="n"/>
      <c r="CQ199" s="694" t="n"/>
    </row>
    <row r="200" ht="16.5" customHeight="1">
      <c r="B200" t="inlineStr">
        <is>
          <t xml:space="preserve">  Stock option / employee plan proceeds</t>
        </is>
      </c>
      <c r="C200" s="743" t="n"/>
      <c r="D200" s="743" t="n"/>
      <c r="E200" s="743" t="n"/>
      <c r="F200" s="743" t="n"/>
      <c r="G200" s="868" t="n"/>
      <c r="H200" s="743" t="n"/>
      <c r="I200" s="743" t="n"/>
      <c r="J200" s="743" t="n"/>
      <c r="K200" s="743" t="n"/>
      <c r="L200" s="868" t="n"/>
      <c r="M200" s="743" t="n"/>
      <c r="N200" s="743" t="n"/>
      <c r="O200" s="743" t="n"/>
      <c r="P200" s="743" t="n"/>
      <c r="Q200" s="868" t="n"/>
      <c r="R200" s="743" t="n"/>
      <c r="S200" s="743" t="n"/>
      <c r="T200" s="743" t="n"/>
      <c r="U200" s="743" t="n"/>
      <c r="V200" s="868" t="n"/>
      <c r="W200" s="743" t="n"/>
      <c r="X200" s="743" t="n"/>
      <c r="Y200" s="743" t="n"/>
      <c r="Z200" s="743" t="n"/>
      <c r="AA200" s="868" t="n"/>
      <c r="AB200" s="743" t="n"/>
      <c r="AC200" s="743" t="n"/>
      <c r="AD200" s="743" t="n"/>
      <c r="AE200" s="743" t="n"/>
      <c r="AF200" s="868" t="n"/>
      <c r="AG200" s="743" t="n"/>
      <c r="AH200" s="743" t="n"/>
      <c r="AI200" s="743" t="n"/>
      <c r="AJ200" s="743" t="n"/>
      <c r="AK200" s="868" t="n"/>
      <c r="AL200" s="743" t="n"/>
      <c r="AM200" s="291" t="n"/>
      <c r="AN200" s="291" t="n"/>
      <c r="AO200" s="291" t="n"/>
      <c r="AP200" s="868" t="n"/>
      <c r="AQ200" s="291" t="n"/>
      <c r="AR200" s="291" t="n"/>
      <c r="AS200" s="291" t="n"/>
      <c r="AT200" s="291" t="n"/>
      <c r="AU200" s="868" t="n"/>
      <c r="AV200" s="291" t="n"/>
      <c r="AW200" s="291" t="n"/>
      <c r="AX200" s="291" t="n"/>
      <c r="AY200" s="291" t="n"/>
      <c r="AZ200" s="868" t="n"/>
      <c r="BA200" s="291" t="n"/>
      <c r="BB200" s="291" t="n"/>
      <c r="BC200" s="291" t="n"/>
      <c r="BD200" s="291" t="n"/>
      <c r="BE200" s="864">
        <f>7.014+24.721</f>
        <v/>
      </c>
      <c r="BF200" s="743" t="n"/>
      <c r="BG200" s="743" t="n"/>
      <c r="BH200" s="743" t="n"/>
      <c r="BI200" s="291" t="n"/>
      <c r="BJ200" s="868" t="n"/>
      <c r="BK200" s="743" t="n"/>
      <c r="BL200" s="743" t="n"/>
      <c r="BM200" s="743" t="n"/>
      <c r="BN200" s="291">
        <f>BO200-BK200-BL200-BM200</f>
        <v/>
      </c>
      <c r="BO200" s="868" t="n"/>
      <c r="BP200" s="743" t="n"/>
      <c r="BQ200" s="743" t="n"/>
      <c r="BR200" s="743" t="n"/>
      <c r="BS200" s="291">
        <f>BT200-BP200-BQ200-BR200</f>
        <v/>
      </c>
      <c r="BT200" s="868" t="n"/>
      <c r="BU200" s="743" t="n"/>
      <c r="BV200" s="743" t="n"/>
      <c r="BW200" s="743" t="n"/>
      <c r="BX200" s="291">
        <f>BY200-BU200-BV200-BW200</f>
        <v/>
      </c>
      <c r="BY200" s="868" t="n"/>
      <c r="BZ200" s="743" t="n"/>
      <c r="CA200" s="743" t="n"/>
      <c r="CB200" s="743" t="n"/>
      <c r="CC200" s="291">
        <f>CD200-BZ200-CA200-CB200</f>
        <v/>
      </c>
      <c r="CD200" s="868" t="n"/>
      <c r="CE200" s="743" t="n"/>
      <c r="CF200" s="743" t="n"/>
      <c r="CG200" s="743" t="n"/>
      <c r="CH200" s="743" t="n"/>
      <c r="CI200" s="774" t="n"/>
      <c r="CJ200" s="774" t="n"/>
      <c r="CK200" s="774" t="n"/>
      <c r="CL200" s="774" t="n"/>
      <c r="CM200" s="774" t="n"/>
      <c r="CN200" s="291" t="n"/>
      <c r="CO200" s="766" t="n"/>
      <c r="CP200" s="291" t="n"/>
      <c r="CQ200" s="693" t="n"/>
    </row>
    <row r="201" ht="16.5" customHeight="1">
      <c r="B201" t="inlineStr">
        <is>
          <t xml:space="preserve">  Other financing activities</t>
        </is>
      </c>
      <c r="C201" s="833" t="n"/>
      <c r="D201" s="833" t="n"/>
      <c r="E201" s="833" t="n"/>
      <c r="F201" s="833" t="n"/>
      <c r="G201" s="884" t="n"/>
      <c r="H201" s="833" t="n"/>
      <c r="I201" s="833" t="n"/>
      <c r="J201" s="833" t="n"/>
      <c r="K201" s="833" t="n"/>
      <c r="L201" s="885">
        <f>L226-L206-L186-L193-L204-SUM(L196:L200)</f>
        <v/>
      </c>
      <c r="M201" s="833" t="n"/>
      <c r="N201" s="833" t="n"/>
      <c r="O201" s="833" t="n"/>
      <c r="P201" s="833" t="n"/>
      <c r="Q201" s="885">
        <f>Q226-Q206-Q186-Q193-Q204-SUM(Q196:Q200)</f>
        <v/>
      </c>
      <c r="R201" s="833" t="n"/>
      <c r="S201" s="833" t="n"/>
      <c r="T201" s="833" t="n"/>
      <c r="U201" s="833" t="n"/>
      <c r="V201" s="885">
        <f>V226-V206-V186-V193-V204-SUM(V196:V200)</f>
        <v/>
      </c>
      <c r="W201" s="833" t="n"/>
      <c r="X201" s="833" t="n"/>
      <c r="Y201" s="833" t="n"/>
      <c r="Z201" s="833" t="n"/>
      <c r="AA201" s="885">
        <f>AA226-AA206-AA186-AA193-AA204-SUM(AA196:AA200)</f>
        <v/>
      </c>
      <c r="AB201" s="833" t="n"/>
      <c r="AC201" s="833" t="n"/>
      <c r="AD201" s="833" t="n"/>
      <c r="AE201" s="833" t="n"/>
      <c r="AF201" s="885">
        <f>AF226-AF206-AF186-AF193-AF204-SUM(AF196:AF200)</f>
        <v/>
      </c>
      <c r="AG201" s="833" t="n"/>
      <c r="AH201" s="833" t="n"/>
      <c r="AI201" s="833" t="n"/>
      <c r="AJ201" s="833" t="n"/>
      <c r="AK201" s="885">
        <f>AK226-AK206-AK186-AK193-AK204-SUM(AK196:AK200)</f>
        <v/>
      </c>
      <c r="AL201" s="833" t="n"/>
      <c r="AM201" s="834" t="n"/>
      <c r="AN201" s="834" t="n"/>
      <c r="AO201" s="834" t="n"/>
      <c r="AP201" s="885">
        <f>AP226-AP206-AP186-AP193-AP204-SUM(AP196:AP200)</f>
        <v/>
      </c>
      <c r="AQ201" s="834" t="n"/>
      <c r="AR201" s="834" t="n"/>
      <c r="AS201" s="834" t="n"/>
      <c r="AT201" s="834" t="n"/>
      <c r="AU201" s="885">
        <f>AU226-AU206-AU186-AU193-AU204-SUM(AU196:AU200)</f>
        <v/>
      </c>
      <c r="AV201" s="834" t="n"/>
      <c r="AW201" s="834" t="n"/>
      <c r="AX201" s="834" t="n"/>
      <c r="AY201" s="834" t="n"/>
      <c r="AZ201" s="885">
        <f>AZ226-AZ206-AZ186-AZ193-AZ204-SUM(AZ196:AZ200)</f>
        <v/>
      </c>
      <c r="BA201" s="834" t="n"/>
      <c r="BB201" s="834" t="n"/>
      <c r="BC201" s="834" t="n"/>
      <c r="BD201" s="834" t="n"/>
      <c r="BE201" s="884" t="n"/>
      <c r="BF201" s="833" t="n"/>
      <c r="BG201" s="833" t="n"/>
      <c r="BH201" s="833" t="n"/>
      <c r="BI201" s="834" t="n"/>
      <c r="BJ201" s="884" t="n"/>
      <c r="BK201" s="833" t="n"/>
      <c r="BL201" s="833" t="n"/>
      <c r="BM201" s="833" t="n"/>
      <c r="BN201" s="834">
        <f>BO201-BK201-BL201-BM201</f>
        <v/>
      </c>
      <c r="BO201" s="884" t="n"/>
      <c r="BP201" s="833" t="n"/>
      <c r="BQ201" s="833" t="n"/>
      <c r="BR201" s="833" t="n"/>
      <c r="BS201" s="834">
        <f>BT201-BP201-BQ201-BR201</f>
        <v/>
      </c>
      <c r="BT201" s="884" t="n"/>
      <c r="BU201" s="833" t="n"/>
      <c r="BV201" s="833" t="n"/>
      <c r="BW201" s="833" t="n"/>
      <c r="BX201" s="834">
        <f>BY201-BU201-BV201-BW201</f>
        <v/>
      </c>
      <c r="BY201" s="884" t="n"/>
      <c r="BZ201" s="833" t="n"/>
      <c r="CA201" s="833" t="n"/>
      <c r="CB201" s="833" t="n"/>
      <c r="CC201" s="834">
        <f>CD201-BZ201-CA201-CB201</f>
        <v/>
      </c>
      <c r="CD201" s="884" t="n"/>
      <c r="CE201" s="743" t="n"/>
      <c r="CF201" s="743" t="n"/>
      <c r="CG201" s="743" t="n"/>
      <c r="CH201" s="743" t="n"/>
      <c r="CI201" s="855" t="n"/>
      <c r="CJ201" s="855" t="n"/>
      <c r="CK201" s="855" t="n"/>
      <c r="CL201" s="855" t="n"/>
      <c r="CM201" s="855" t="n"/>
      <c r="CN201" s="291" t="n"/>
      <c r="CO201" s="766" t="n"/>
      <c r="CP201" s="291" t="n"/>
      <c r="CQ201" s="693" t="n"/>
    </row>
    <row r="202" ht="16.5" customHeight="1">
      <c r="B202" s="8" t="inlineStr">
        <is>
          <t>Net cash from financing activities</t>
        </is>
      </c>
      <c r="C202" s="678" t="n"/>
      <c r="D202" s="678" t="n"/>
      <c r="E202" s="678" t="n"/>
      <c r="F202" s="678" t="n"/>
      <c r="G202" s="870">
        <f>SUM(G196:G201)</f>
        <v/>
      </c>
      <c r="H202" s="678" t="n"/>
      <c r="I202" s="678" t="n"/>
      <c r="J202" s="678" t="n"/>
      <c r="K202" s="678" t="n"/>
      <c r="L202" s="870">
        <f>SUM(L196:L201)</f>
        <v/>
      </c>
      <c r="M202" s="678" t="n"/>
      <c r="N202" s="678" t="n"/>
      <c r="O202" s="678" t="n"/>
      <c r="P202" s="678" t="n"/>
      <c r="Q202" s="870">
        <f>SUM(Q196:Q201)</f>
        <v/>
      </c>
      <c r="R202" s="678" t="n"/>
      <c r="S202" s="678" t="n"/>
      <c r="T202" s="678" t="n"/>
      <c r="U202" s="678" t="n"/>
      <c r="V202" s="870">
        <f>SUM(V196:V201)</f>
        <v/>
      </c>
      <c r="W202" s="678" t="n"/>
      <c r="X202" s="678" t="n"/>
      <c r="Y202" s="678" t="n"/>
      <c r="Z202" s="678" t="n"/>
      <c r="AA202" s="870">
        <f>SUM(AA196:AA201)</f>
        <v/>
      </c>
      <c r="AB202" s="678" t="n"/>
      <c r="AC202" s="678" t="n"/>
      <c r="AD202" s="678" t="n"/>
      <c r="AE202" s="678" t="n"/>
      <c r="AF202" s="870">
        <f>SUM(AF196:AF201)</f>
        <v/>
      </c>
      <c r="AG202" s="678" t="n"/>
      <c r="AH202" s="678" t="n"/>
      <c r="AI202" s="678" t="n"/>
      <c r="AJ202" s="678" t="n"/>
      <c r="AK202" s="870">
        <f>SUM(AK196:AK201)</f>
        <v/>
      </c>
      <c r="AL202" s="678" t="n"/>
      <c r="AM202" s="678" t="n"/>
      <c r="AN202" s="678" t="n"/>
      <c r="AO202" s="678" t="n"/>
      <c r="AP202" s="870">
        <f>SUM(AP196:AP201)</f>
        <v/>
      </c>
      <c r="AQ202" s="678" t="n"/>
      <c r="AR202" s="678" t="n"/>
      <c r="AS202" s="678" t="n"/>
      <c r="AT202" s="678" t="n"/>
      <c r="AU202" s="870">
        <f>SUM(AU196:AU201)</f>
        <v/>
      </c>
      <c r="AV202" s="678" t="n"/>
      <c r="AW202" s="678" t="n"/>
      <c r="AX202" s="678" t="n"/>
      <c r="AY202" s="678" t="n"/>
      <c r="AZ202" s="870" t="n">
        <v>-184.617</v>
      </c>
      <c r="BA202" s="678" t="n"/>
      <c r="BB202" s="678" t="n"/>
      <c r="BC202" s="678" t="n"/>
      <c r="BD202" s="678" t="n"/>
      <c r="BE202" s="870" t="n">
        <v>-228.084</v>
      </c>
      <c r="BF202" s="678">
        <f>SUM(BF196:BF201)</f>
        <v/>
      </c>
      <c r="BG202" s="678">
        <f>SUM(BG196:BG201)</f>
        <v/>
      </c>
      <c r="BH202" s="678">
        <f>SUM(BH196:BH201)</f>
        <v/>
      </c>
      <c r="BI202" s="678" t="n"/>
      <c r="BJ202" s="931" t="n">
        <v>322.301</v>
      </c>
      <c r="BK202" s="678">
        <f>SUM(BK196:BK201)</f>
        <v/>
      </c>
      <c r="BL202" s="678">
        <f>SUM(BL196:BL201)</f>
        <v/>
      </c>
      <c r="BM202" s="678">
        <f>SUM(BM196:BM201)</f>
        <v/>
      </c>
      <c r="BN202" s="678">
        <f>SUM(BN196:BN201)</f>
        <v/>
      </c>
      <c r="BO202" s="870" t="n">
        <v>-1067.242</v>
      </c>
      <c r="BP202" s="678">
        <f>SUM(BP196:BP201)</f>
        <v/>
      </c>
      <c r="BQ202" s="678">
        <f>SUM(BQ196:BQ201)</f>
        <v/>
      </c>
      <c r="BR202" s="678">
        <f>SUM(BR196:BR201)</f>
        <v/>
      </c>
      <c r="BS202" s="678">
        <f>SUM(BS196:BS201)</f>
        <v/>
      </c>
      <c r="BT202" s="870" t="n">
        <v>-21.731</v>
      </c>
      <c r="BU202" s="678">
        <f>SUM(BU196:BU201)</f>
        <v/>
      </c>
      <c r="BV202" s="678">
        <f>SUM(BV196:BV201)</f>
        <v/>
      </c>
      <c r="BW202" s="678">
        <f>SUM(BW196:BW201)</f>
        <v/>
      </c>
      <c r="BX202" s="678">
        <f>SUM(BX196:BX201)</f>
        <v/>
      </c>
      <c r="BY202" s="870" t="n">
        <v>-164.439</v>
      </c>
      <c r="BZ202" s="678">
        <f>SUM(BZ196:BZ201)</f>
        <v/>
      </c>
      <c r="CA202" s="678">
        <f>SUM(CA196:CA201)</f>
        <v/>
      </c>
      <c r="CB202" s="678">
        <f>SUM(CB196:CB201)</f>
        <v/>
      </c>
      <c r="CC202" s="678">
        <f>SUM(CC196:CC201)</f>
        <v/>
      </c>
      <c r="CD202" s="870" t="n">
        <v>-402.504</v>
      </c>
      <c r="CE202" s="678">
        <f>SUM(CE196:CE201)</f>
        <v/>
      </c>
      <c r="CF202" s="678">
        <f>SUM(CF196:CF201)</f>
        <v/>
      </c>
      <c r="CG202" s="678">
        <f>SUM(CG196:CG201)</f>
        <v/>
      </c>
      <c r="CH202" s="678">
        <f>SUM(CH196:CH201)</f>
        <v/>
      </c>
      <c r="CI202" s="752">
        <f>SUM(CI196:CI201)</f>
        <v/>
      </c>
      <c r="CJ202" s="752">
        <f>SUM(CJ196:CJ201)</f>
        <v/>
      </c>
      <c r="CK202" s="752">
        <f>SUM(CK196:CK201)</f>
        <v/>
      </c>
      <c r="CL202" s="752">
        <f>SUM(CL196:CL201)</f>
        <v/>
      </c>
      <c r="CM202" s="752">
        <f>SUM(CM196:CM201)</f>
        <v/>
      </c>
      <c r="CN202" s="678" t="n"/>
      <c r="CO202" s="689" t="n"/>
      <c r="CP202" s="678" t="n"/>
      <c r="CQ202" s="693" t="n"/>
    </row>
    <row r="203" ht="16.5" customHeight="1">
      <c r="C203" s="834" t="n"/>
      <c r="D203" s="834" t="n"/>
      <c r="E203" s="834" t="n"/>
      <c r="F203" s="834" t="n"/>
      <c r="G203" s="885" t="n"/>
      <c r="H203" s="834" t="n"/>
      <c r="I203" s="834" t="n"/>
      <c r="J203" s="834" t="n"/>
      <c r="K203" s="834" t="n"/>
      <c r="L203" s="885" t="n"/>
      <c r="M203" s="834" t="n"/>
      <c r="N203" s="834" t="n"/>
      <c r="O203" s="834" t="n"/>
      <c r="P203" s="834" t="n"/>
      <c r="Q203" s="885" t="n"/>
      <c r="R203" s="834" t="n"/>
      <c r="S203" s="834" t="n"/>
      <c r="T203" s="834" t="n"/>
      <c r="U203" s="834" t="n"/>
      <c r="V203" s="885" t="n"/>
      <c r="W203" s="834" t="n"/>
      <c r="X203" s="834" t="n"/>
      <c r="Y203" s="834" t="n"/>
      <c r="Z203" s="834" t="n"/>
      <c r="AA203" s="885" t="n"/>
      <c r="AB203" s="834" t="n"/>
      <c r="AC203" s="834" t="n"/>
      <c r="AD203" s="834" t="n"/>
      <c r="AE203" s="834" t="n"/>
      <c r="AF203" s="885" t="n"/>
      <c r="AG203" s="834" t="n"/>
      <c r="AH203" s="834" t="n"/>
      <c r="AI203" s="834" t="n"/>
      <c r="AJ203" s="834" t="n"/>
      <c r="AK203" s="885" t="n"/>
      <c r="AL203" s="834" t="n"/>
      <c r="AM203" s="834" t="n"/>
      <c r="AN203" s="834" t="n"/>
      <c r="AO203" s="834" t="n"/>
      <c r="AP203" s="885" t="n"/>
      <c r="AQ203" s="834" t="n"/>
      <c r="AR203" s="834" t="n"/>
      <c r="AS203" s="834" t="n"/>
      <c r="AT203" s="834" t="n"/>
      <c r="AU203" s="885" t="n"/>
      <c r="AV203" s="834" t="n"/>
      <c r="AW203" s="834" t="n"/>
      <c r="AX203" s="834" t="n"/>
      <c r="AY203" s="834" t="n"/>
      <c r="AZ203" s="885" t="n"/>
      <c r="BA203" s="834" t="n"/>
      <c r="BB203" s="834" t="n"/>
      <c r="BC203" s="834" t="n"/>
      <c r="BD203" s="834" t="n"/>
      <c r="BE203" s="885" t="n"/>
      <c r="BF203" s="834" t="n"/>
      <c r="BG203" s="834" t="n"/>
      <c r="BH203" s="834" t="n"/>
      <c r="BI203" s="834" t="n"/>
      <c r="BJ203" s="884" t="n"/>
      <c r="BK203" s="834" t="n"/>
      <c r="BL203" s="834" t="n"/>
      <c r="BM203" s="834" t="n"/>
      <c r="BN203" s="834" t="n"/>
      <c r="BO203" s="884" t="n"/>
      <c r="BP203" s="834" t="n"/>
      <c r="BQ203" s="834" t="n"/>
      <c r="BR203" s="834" t="n"/>
      <c r="BS203" s="834" t="n"/>
      <c r="BT203" s="884" t="n"/>
      <c r="BU203" s="834" t="n"/>
      <c r="BV203" s="834" t="n"/>
      <c r="BW203" s="834" t="n"/>
      <c r="BX203" s="834" t="n"/>
      <c r="BY203" s="884" t="n"/>
      <c r="BZ203" s="834" t="n"/>
      <c r="CA203" s="834" t="n"/>
      <c r="CB203" s="834" t="n"/>
      <c r="CC203" s="834" t="n"/>
      <c r="CD203" s="884" t="n"/>
      <c r="CE203" s="743" t="n"/>
      <c r="CF203" s="743" t="n"/>
      <c r="CG203" s="743" t="n"/>
      <c r="CH203" s="743" t="n"/>
      <c r="CI203" s="856" t="n"/>
      <c r="CJ203" s="856" t="n"/>
      <c r="CK203" s="856" t="n"/>
      <c r="CL203" s="856" t="n"/>
      <c r="CM203" s="856" t="n"/>
      <c r="CN203" s="291" t="n"/>
      <c r="CO203" s="766" t="n"/>
      <c r="CP203" s="291" t="n"/>
      <c r="CQ203" s="693" t="n"/>
    </row>
    <row r="204" ht="16.5" customHeight="1">
      <c r="B204" s="688" t="inlineStr">
        <is>
          <t>Effect of exchange rates on cash</t>
        </is>
      </c>
      <c r="C204" s="743" t="n"/>
      <c r="D204" s="743" t="n"/>
      <c r="E204" s="743" t="n"/>
      <c r="F204" s="743" t="n"/>
      <c r="G204" s="868" t="n"/>
      <c r="H204" s="743" t="n"/>
      <c r="I204" s="743" t="n"/>
      <c r="J204" s="743" t="n"/>
      <c r="K204" s="743" t="n"/>
      <c r="L204" s="868" t="n"/>
      <c r="M204" s="743" t="n"/>
      <c r="N204" s="743" t="n"/>
      <c r="O204" s="743" t="n"/>
      <c r="P204" s="743" t="n"/>
      <c r="Q204" s="868" t="n"/>
      <c r="R204" s="743" t="n"/>
      <c r="S204" s="743" t="n"/>
      <c r="T204" s="743" t="n"/>
      <c r="U204" s="743" t="n"/>
      <c r="V204" s="868" t="n"/>
      <c r="W204" s="743" t="n"/>
      <c r="X204" s="743" t="n"/>
      <c r="Y204" s="743" t="n"/>
      <c r="Z204" s="743" t="n"/>
      <c r="AA204" s="868" t="n"/>
      <c r="AB204" s="743" t="n"/>
      <c r="AC204" s="743" t="n"/>
      <c r="AD204" s="743" t="n"/>
      <c r="AE204" s="743" t="n"/>
      <c r="AF204" s="868" t="n"/>
      <c r="AG204" s="743" t="n"/>
      <c r="AH204" s="743" t="n"/>
      <c r="AI204" s="743" t="n"/>
      <c r="AJ204" s="743" t="n"/>
      <c r="AK204" s="868" t="n"/>
      <c r="AL204" s="743" t="n"/>
      <c r="AM204" s="291" t="n"/>
      <c r="AN204" s="291" t="n"/>
      <c r="AO204" s="291" t="n"/>
      <c r="AP204" s="868" t="n"/>
      <c r="AQ204" s="291" t="n"/>
      <c r="AR204" s="291" t="n"/>
      <c r="AS204" s="291" t="n"/>
      <c r="AT204" s="291" t="n"/>
      <c r="AU204" s="868" t="n"/>
      <c r="AV204" s="291" t="n"/>
      <c r="AW204" s="291" t="n"/>
      <c r="AX204" s="291" t="n"/>
      <c r="AY204" s="291" t="n"/>
      <c r="AZ204" s="868" t="n"/>
      <c r="BA204" s="291" t="n"/>
      <c r="BB204" s="291" t="n"/>
      <c r="BC204" s="291" t="n"/>
      <c r="BD204" s="291" t="n"/>
      <c r="BE204" s="868" t="n"/>
      <c r="BF204" s="743" t="n"/>
      <c r="BG204" s="743" t="n"/>
      <c r="BH204" s="743" t="n"/>
      <c r="BI204" s="291" t="n"/>
      <c r="BJ204" s="868" t="n"/>
      <c r="BK204" s="743" t="n"/>
      <c r="BL204" s="743" t="n"/>
      <c r="BM204" s="743" t="n"/>
      <c r="BN204" s="291">
        <f>BO204-BK204-BL204-BM204</f>
        <v/>
      </c>
      <c r="BO204" s="868" t="n"/>
      <c r="BP204" s="743" t="n"/>
      <c r="BQ204" s="743" t="n"/>
      <c r="BR204" s="743" t="n"/>
      <c r="BS204" s="291">
        <f>BT204-BP204-BQ204-BR204</f>
        <v/>
      </c>
      <c r="BT204" s="868" t="n"/>
      <c r="BU204" s="743" t="n"/>
      <c r="BV204" s="743" t="n"/>
      <c r="BW204" s="743" t="n"/>
      <c r="BX204" s="291">
        <f>BY204-BU204-BV204-BW204</f>
        <v/>
      </c>
      <c r="BY204" s="868" t="n"/>
      <c r="BZ204" s="743" t="n"/>
      <c r="CA204" s="743" t="n"/>
      <c r="CB204" s="743" t="n"/>
      <c r="CC204" s="291">
        <f>CD204-BZ204-CA204-CB204</f>
        <v/>
      </c>
      <c r="CD204" s="868" t="n"/>
      <c r="CE204" s="743" t="n"/>
      <c r="CF204" s="743" t="n"/>
      <c r="CG204" s="743" t="n"/>
      <c r="CH204" s="743" t="n"/>
      <c r="CI204" s="774" t="n"/>
      <c r="CJ204" s="774" t="n"/>
      <c r="CK204" s="774" t="n"/>
      <c r="CL204" s="774" t="n"/>
      <c r="CM204" s="774" t="n"/>
      <c r="CN204" s="291" t="n"/>
      <c r="CO204" s="766" t="n"/>
      <c r="CP204" s="291" t="n"/>
      <c r="CQ204" s="693" t="n"/>
    </row>
    <row r="205" ht="16.5" customHeight="1">
      <c r="B205" t="inlineStr">
        <is>
          <t>Net change in cash</t>
        </is>
      </c>
      <c r="C205" s="291" t="n"/>
      <c r="D205" s="291" t="n"/>
      <c r="E205" s="291" t="n"/>
      <c r="F205" s="291" t="n"/>
      <c r="G205" s="864">
        <f>G186+G193+G202+G204</f>
        <v/>
      </c>
      <c r="H205" s="291" t="n"/>
      <c r="I205" s="291" t="n"/>
      <c r="J205" s="291" t="n"/>
      <c r="K205" s="291" t="n"/>
      <c r="L205" s="864">
        <f>L186+L193+L202+L204</f>
        <v/>
      </c>
      <c r="M205" s="291" t="n"/>
      <c r="N205" s="291" t="n"/>
      <c r="O205" s="291" t="n"/>
      <c r="P205" s="291" t="n"/>
      <c r="Q205" s="864">
        <f>Q186+Q193+Q202+Q204</f>
        <v/>
      </c>
      <c r="R205" s="291" t="n"/>
      <c r="S205" s="291" t="n"/>
      <c r="T205" s="291" t="n"/>
      <c r="U205" s="291" t="n"/>
      <c r="V205" s="864">
        <f>V186+V193+V202+V204</f>
        <v/>
      </c>
      <c r="W205" s="291" t="n"/>
      <c r="X205" s="291" t="n"/>
      <c r="Y205" s="291" t="n"/>
      <c r="Z205" s="291" t="n"/>
      <c r="AA205" s="864">
        <f>AA186+AA193+AA202+AA204</f>
        <v/>
      </c>
      <c r="AB205" s="291" t="n"/>
      <c r="AC205" s="291" t="n"/>
      <c r="AD205" s="291" t="n"/>
      <c r="AE205" s="291" t="n"/>
      <c r="AF205" s="864">
        <f>AF186+AF193+AF202+AF204</f>
        <v/>
      </c>
      <c r="AG205" s="291" t="n"/>
      <c r="AH205" s="291" t="n"/>
      <c r="AI205" s="291" t="n"/>
      <c r="AJ205" s="291" t="n"/>
      <c r="AK205" s="864">
        <f>AK186+AK193+AK202+AK204</f>
        <v/>
      </c>
      <c r="AL205" s="291" t="n"/>
      <c r="AM205" s="291" t="n"/>
      <c r="AN205" s="291" t="n"/>
      <c r="AO205" s="291" t="n"/>
      <c r="AP205" s="864">
        <f>AP186+AP193+AP202+AP204</f>
        <v/>
      </c>
      <c r="AQ205" s="291" t="n"/>
      <c r="AR205" s="291" t="n"/>
      <c r="AS205" s="291" t="n"/>
      <c r="AT205" s="291" t="n"/>
      <c r="AU205" s="864">
        <f>AU186+AU193+AU202+AU204</f>
        <v/>
      </c>
      <c r="AV205" s="291" t="n"/>
      <c r="AW205" s="291" t="n"/>
      <c r="AX205" s="291" t="n"/>
      <c r="AY205" s="291" t="n"/>
      <c r="AZ205" s="864">
        <f>AZ186+AZ193+AZ202+AZ204</f>
        <v/>
      </c>
      <c r="BA205" s="291" t="n"/>
      <c r="BB205" s="291" t="n"/>
      <c r="BC205" s="291" t="n"/>
      <c r="BD205" s="291" t="n"/>
      <c r="BE205" s="864" t="n">
        <v>4.297</v>
      </c>
      <c r="BF205" s="291" t="n"/>
      <c r="BG205" s="291" t="n"/>
      <c r="BH205" s="291" t="n"/>
      <c r="BI205" s="291" t="n"/>
      <c r="BJ205" s="868" t="n">
        <v>14.995</v>
      </c>
      <c r="BK205" s="291" t="n"/>
      <c r="BL205" s="291" t="n"/>
      <c r="BM205" s="291" t="n"/>
      <c r="BN205" s="291">
        <f>BO205-BK205-BL205-BM205</f>
        <v/>
      </c>
      <c r="BO205" s="868" t="n">
        <v>127.825</v>
      </c>
      <c r="BP205" s="291" t="n"/>
      <c r="BQ205" s="291" t="n"/>
      <c r="BR205" s="291" t="n"/>
      <c r="BS205" s="291">
        <f>BT205-BP205-BQ205-BR205</f>
        <v/>
      </c>
      <c r="BT205" s="868" t="n">
        <v>194.776</v>
      </c>
      <c r="BU205" s="291" t="n"/>
      <c r="BV205" s="291" t="n"/>
      <c r="BW205" s="291" t="n"/>
      <c r="BX205" s="291">
        <f>BY205-BU205-BV205-BW205</f>
        <v/>
      </c>
      <c r="BY205" s="868" t="n">
        <v>-346.403</v>
      </c>
      <c r="BZ205" s="291" t="n"/>
      <c r="CA205" s="291" t="n"/>
      <c r="CB205" s="291" t="n"/>
      <c r="CC205" s="291">
        <f>CD205-BZ205-CA205-CB205</f>
        <v/>
      </c>
      <c r="CD205" s="868" t="n">
        <v>213.407</v>
      </c>
      <c r="CE205" s="743" t="n"/>
      <c r="CF205" s="743" t="n"/>
      <c r="CG205" s="291">
        <f>CG207-CG206</f>
        <v/>
      </c>
      <c r="CH205" s="291">
        <f>CH207-CH206</f>
        <v/>
      </c>
      <c r="CI205" s="749">
        <f>CI207-CI206</f>
        <v/>
      </c>
      <c r="CJ205" s="749">
        <f>CJ207-CJ206</f>
        <v/>
      </c>
      <c r="CK205" s="749">
        <f>CK207-CK206</f>
        <v/>
      </c>
      <c r="CL205" s="749">
        <f>CL207-CL206</f>
        <v/>
      </c>
      <c r="CM205" s="749">
        <f>CM207-CM206</f>
        <v/>
      </c>
      <c r="CN205" s="678" t="n"/>
      <c r="CO205" s="689" t="n"/>
      <c r="CP205" s="678" t="n"/>
      <c r="CQ205" s="693" t="n"/>
    </row>
    <row r="206" ht="16.5" customHeight="1">
      <c r="B206" t="inlineStr">
        <is>
          <t>Cash, beginning of period</t>
        </is>
      </c>
      <c r="C206" s="743" t="n"/>
      <c r="D206" s="743" t="n"/>
      <c r="E206" s="743" t="n"/>
      <c r="F206" s="743" t="n"/>
      <c r="G206" s="868" t="n"/>
      <c r="H206" s="743" t="n"/>
      <c r="I206" s="743" t="n"/>
      <c r="J206" s="743" t="n"/>
      <c r="K206" s="743" t="n"/>
      <c r="L206" s="868" t="n"/>
      <c r="M206" s="743" t="n"/>
      <c r="N206" s="743" t="n"/>
      <c r="O206" s="743" t="n"/>
      <c r="P206" s="743" t="n"/>
      <c r="Q206" s="868" t="n"/>
      <c r="R206" s="743" t="n"/>
      <c r="S206" s="743" t="n"/>
      <c r="T206" s="743" t="n"/>
      <c r="U206" s="743" t="n"/>
      <c r="V206" s="868" t="n"/>
      <c r="W206" s="743" t="n"/>
      <c r="X206" s="743" t="n"/>
      <c r="Y206" s="743" t="n"/>
      <c r="Z206" s="743" t="n"/>
      <c r="AA206" s="868" t="n"/>
      <c r="AB206" s="743" t="n"/>
      <c r="AC206" s="743" t="n"/>
      <c r="AD206" s="743" t="n"/>
      <c r="AE206" s="743" t="n"/>
      <c r="AF206" s="868" t="n"/>
      <c r="AG206" s="743" t="n"/>
      <c r="AH206" s="743" t="n"/>
      <c r="AI206" s="743" t="n"/>
      <c r="AJ206" s="743" t="n"/>
      <c r="AK206" s="868" t="n"/>
      <c r="AL206" s="743" t="n"/>
      <c r="AM206" s="291" t="n"/>
      <c r="AN206" s="291" t="n"/>
      <c r="AO206" s="291" t="n"/>
      <c r="AP206" s="868" t="n"/>
      <c r="AQ206" s="291" t="n"/>
      <c r="AR206" s="291" t="n"/>
      <c r="AS206" s="291" t="n"/>
      <c r="AT206" s="291" t="n"/>
      <c r="AU206" s="868" t="n"/>
      <c r="AV206" s="291" t="n"/>
      <c r="AW206" s="291" t="n"/>
      <c r="AX206" s="291" t="n"/>
      <c r="AY206" s="291" t="n"/>
      <c r="AZ206" s="868" t="n"/>
      <c r="BA206" s="291" t="n"/>
      <c r="BB206" s="291" t="n"/>
      <c r="BC206" s="291" t="n"/>
      <c r="BD206" s="291" t="n"/>
      <c r="BE206" s="868" t="n"/>
      <c r="BF206" s="291" t="n"/>
      <c r="BG206" s="743" t="n"/>
      <c r="BH206" s="743" t="n"/>
      <c r="BI206" s="291" t="n"/>
      <c r="BJ206" s="868" t="n"/>
      <c r="BK206" s="291">
        <f>BJ207</f>
        <v/>
      </c>
      <c r="BL206" s="291">
        <f>BK207</f>
        <v/>
      </c>
      <c r="BM206" s="291">
        <f>BL207</f>
        <v/>
      </c>
      <c r="BN206" s="291">
        <f>BM207</f>
        <v/>
      </c>
      <c r="BO206" s="868" t="n"/>
      <c r="BP206" s="291">
        <f>BO207</f>
        <v/>
      </c>
      <c r="BQ206" s="291">
        <f>BP207</f>
        <v/>
      </c>
      <c r="BR206" s="291">
        <f>BQ207</f>
        <v/>
      </c>
      <c r="BS206" s="291">
        <f>BR207</f>
        <v/>
      </c>
      <c r="BT206" s="868" t="n"/>
      <c r="BU206" s="291">
        <f>BT207</f>
        <v/>
      </c>
      <c r="BV206" s="291">
        <f>BU207</f>
        <v/>
      </c>
      <c r="BW206" s="291">
        <f>BV207</f>
        <v/>
      </c>
      <c r="BX206" s="291">
        <f>BW207</f>
        <v/>
      </c>
      <c r="BY206" s="868" t="n"/>
      <c r="BZ206" s="291">
        <f>BY207</f>
        <v/>
      </c>
      <c r="CA206" s="291">
        <f>BZ207</f>
        <v/>
      </c>
      <c r="CB206" s="291">
        <f>CA207</f>
        <v/>
      </c>
      <c r="CC206" s="291">
        <f>CB207</f>
        <v/>
      </c>
      <c r="CD206" s="868" t="n"/>
      <c r="CE206" s="743" t="n"/>
      <c r="CF206" s="291">
        <f>CE207</f>
        <v/>
      </c>
      <c r="CG206" s="291">
        <f>CF207</f>
        <v/>
      </c>
      <c r="CH206" s="291">
        <f>CG207</f>
        <v/>
      </c>
      <c r="CI206" s="749">
        <f>CD207</f>
        <v/>
      </c>
      <c r="CJ206" s="749">
        <f>CI207</f>
        <v/>
      </c>
      <c r="CK206" s="749">
        <f>CJ207</f>
        <v/>
      </c>
      <c r="CL206" s="749">
        <f>CK207</f>
        <v/>
      </c>
      <c r="CM206" s="749">
        <f>CL207</f>
        <v/>
      </c>
      <c r="CN206" s="291" t="n"/>
      <c r="CO206" s="766" t="n"/>
      <c r="CP206" s="291" t="n"/>
      <c r="CQ206" s="693" t="n"/>
    </row>
    <row r="207" ht="16.5" customHeight="1">
      <c r="B207" s="724" t="inlineStr">
        <is>
          <t>Cash, end of period</t>
        </is>
      </c>
      <c r="C207" s="834" t="n"/>
      <c r="D207" s="834" t="n"/>
      <c r="E207" s="834" t="n"/>
      <c r="F207" s="834" t="n"/>
      <c r="G207" s="885">
        <f>G205+G206</f>
        <v/>
      </c>
      <c r="H207" s="834" t="n"/>
      <c r="I207" s="834" t="n"/>
      <c r="J207" s="834" t="n"/>
      <c r="K207" s="834" t="n"/>
      <c r="L207" s="885">
        <f>L205+L206</f>
        <v/>
      </c>
      <c r="M207" s="834" t="n"/>
      <c r="N207" s="834" t="n"/>
      <c r="O207" s="834" t="n"/>
      <c r="P207" s="834" t="n"/>
      <c r="Q207" s="885">
        <f>Q205+Q206</f>
        <v/>
      </c>
      <c r="R207" s="834" t="n"/>
      <c r="S207" s="834" t="n"/>
      <c r="T207" s="834" t="n"/>
      <c r="U207" s="834" t="n"/>
      <c r="V207" s="885">
        <f>V205+V206</f>
        <v/>
      </c>
      <c r="W207" s="834" t="n"/>
      <c r="X207" s="834" t="n"/>
      <c r="Y207" s="834" t="n"/>
      <c r="Z207" s="834" t="n"/>
      <c r="AA207" s="885">
        <f>AA205+AA206</f>
        <v/>
      </c>
      <c r="AB207" s="834" t="n"/>
      <c r="AC207" s="834" t="n"/>
      <c r="AD207" s="834" t="n"/>
      <c r="AE207" s="834" t="n"/>
      <c r="AF207" s="885">
        <f>AF205+AF206</f>
        <v/>
      </c>
      <c r="AG207" s="834" t="n"/>
      <c r="AH207" s="834" t="n"/>
      <c r="AI207" s="834" t="n"/>
      <c r="AJ207" s="834" t="n"/>
      <c r="AK207" s="885">
        <f>AK205+AK206</f>
        <v/>
      </c>
      <c r="AL207" s="834" t="n"/>
      <c r="AM207" s="834" t="n"/>
      <c r="AN207" s="834" t="n"/>
      <c r="AO207" s="834" t="n"/>
      <c r="AP207" s="885">
        <f>AP205+AP206</f>
        <v/>
      </c>
      <c r="AQ207" s="834" t="n"/>
      <c r="AR207" s="834" t="n"/>
      <c r="AS207" s="834" t="n"/>
      <c r="AT207" s="834" t="n"/>
      <c r="AU207" s="885">
        <f>AU205+AU206</f>
        <v/>
      </c>
      <c r="AV207" s="834" t="n"/>
      <c r="AW207" s="834" t="n"/>
      <c r="AX207" s="834" t="n"/>
      <c r="AY207" s="834" t="n"/>
      <c r="AZ207" s="885">
        <f>AZ205+AZ206</f>
        <v/>
      </c>
      <c r="BA207" s="834" t="n"/>
      <c r="BB207" s="834" t="n"/>
      <c r="BC207" s="834" t="n"/>
      <c r="BD207" s="834" t="n"/>
      <c r="BE207" s="885">
        <f>BE205+BE206</f>
        <v/>
      </c>
      <c r="BF207" s="834">
        <f>BF186+BF193+BF202+BF204+BF206</f>
        <v/>
      </c>
      <c r="BG207" s="834">
        <f>BG186+BG193+BG202+BG204+BG206</f>
        <v/>
      </c>
      <c r="BH207" s="834">
        <f>BH186+BH193+BH202+BH204+BH206</f>
        <v/>
      </c>
      <c r="BI207" s="834" t="n"/>
      <c r="BJ207" s="884" t="n"/>
      <c r="BK207" s="834">
        <f>BK186+BK193+BK202+BK204+BK206</f>
        <v/>
      </c>
      <c r="BL207" s="834">
        <f>BL186+BL193+BL202+BL204+BL206</f>
        <v/>
      </c>
      <c r="BM207" s="834">
        <f>BM186+BM193+BM202+BM204+BM206</f>
        <v/>
      </c>
      <c r="BN207" s="834">
        <f>BN186+BN193+BN202+BN204+BN206</f>
        <v/>
      </c>
      <c r="BO207" s="885">
        <f>BO186+BO193+BO202+BO204+BO206</f>
        <v/>
      </c>
      <c r="BP207" s="834">
        <f>BP186+BP193+BP202+BP204+BP206</f>
        <v/>
      </c>
      <c r="BQ207" s="834">
        <f>BQ186+BQ193+BQ202+BQ204+BQ206</f>
        <v/>
      </c>
      <c r="BR207" s="834">
        <f>BR186+BR193+BR202+BR204+BR206</f>
        <v/>
      </c>
      <c r="BS207" s="834">
        <f>BS186+BS193+BS202+BS204+BS206</f>
        <v/>
      </c>
      <c r="BT207" s="885">
        <f>BT186+BT193+BT202+BT204+BT206</f>
        <v/>
      </c>
      <c r="BU207" s="834">
        <f>BU186+BU193+BU202+BU204+BU206</f>
        <v/>
      </c>
      <c r="BV207" s="834">
        <f>BV186+BV193+BV202+BV204+BV206</f>
        <v/>
      </c>
      <c r="BW207" s="834">
        <f>BW186+BW193+BW202+BW204+BW206</f>
        <v/>
      </c>
      <c r="BX207" s="834">
        <f>BX186+BX193+BX202+BX204+BX206</f>
        <v/>
      </c>
      <c r="BY207" s="885">
        <f>BY186+BY193+BY202+BY204+BY206</f>
        <v/>
      </c>
      <c r="BZ207" s="834">
        <f>BZ186+BZ193+BZ202+BZ204+BZ206</f>
        <v/>
      </c>
      <c r="CA207" s="834">
        <f>CA186+CA193+CA202+CA204+CA206</f>
        <v/>
      </c>
      <c r="CB207" s="834">
        <f>CB186+CB193+CB202+CB204+CB206</f>
        <v/>
      </c>
      <c r="CC207" s="834">
        <f>CC186+CC193+CC202+CC204+CC206</f>
        <v/>
      </c>
      <c r="CD207" s="885">
        <f>CD186+CD193+CD202+CD204+CD206</f>
        <v/>
      </c>
      <c r="CE207" s="291">
        <f>CE186+CE193+CE202+CE204+CE206</f>
        <v/>
      </c>
      <c r="CF207" s="291">
        <f>CF186+CF193+CF202+CF203+CF204+CF206</f>
        <v/>
      </c>
      <c r="CG207" s="291">
        <f>CG186+CG193+CG202+CG204+CG206</f>
        <v/>
      </c>
      <c r="CH207" s="291">
        <f>CH186+CH193+CH202+CH204+CH206</f>
        <v/>
      </c>
      <c r="CI207" s="856">
        <f>CI186+CI193+CI202+CI204+CI206</f>
        <v/>
      </c>
      <c r="CJ207" s="856">
        <f>CJ186+CJ193+CJ202+CJ204+CJ206</f>
        <v/>
      </c>
      <c r="CK207" s="856">
        <f>CK186+CK193+CK202+CK204+CK206</f>
        <v/>
      </c>
      <c r="CL207" s="856">
        <f>CL186+CL193+CL202+CL204+CL206</f>
        <v/>
      </c>
      <c r="CM207" s="856">
        <f>CM186+CM193+CM202+CM204+CM206</f>
        <v/>
      </c>
      <c r="CN207" s="678" t="n"/>
      <c r="CO207" s="689" t="n"/>
      <c r="CP207" s="678" t="n"/>
      <c r="CQ207" s="693" t="n"/>
    </row>
    <row r="208" ht="16.5" customHeight="1">
      <c r="C208" s="291" t="n"/>
      <c r="D208" s="291" t="n"/>
      <c r="E208" s="291" t="n"/>
      <c r="F208" s="291" t="n"/>
      <c r="G208" s="864" t="n"/>
      <c r="H208" s="291" t="n"/>
      <c r="I208" s="291" t="n"/>
      <c r="J208" s="291" t="n"/>
      <c r="K208" s="291" t="n"/>
      <c r="L208" s="864" t="n"/>
      <c r="M208" s="291" t="n"/>
      <c r="N208" s="291" t="n"/>
      <c r="O208" s="291" t="n"/>
      <c r="P208" s="291" t="n"/>
      <c r="Q208" s="864" t="n"/>
      <c r="R208" s="291" t="n"/>
      <c r="S208" s="291" t="n"/>
      <c r="T208" s="291" t="n"/>
      <c r="U208" s="291" t="n"/>
      <c r="V208" s="864" t="n"/>
      <c r="W208" s="291" t="n"/>
      <c r="X208" s="291" t="n"/>
      <c r="Y208" s="291" t="n"/>
      <c r="Z208" s="291" t="n"/>
      <c r="AA208" s="864" t="n"/>
      <c r="AB208" s="291" t="n"/>
      <c r="AC208" s="291" t="n"/>
      <c r="AD208" s="291" t="n"/>
      <c r="AE208" s="291" t="n"/>
      <c r="AF208" s="864" t="n"/>
      <c r="AG208" s="291" t="n"/>
      <c r="AH208" s="291" t="n"/>
      <c r="AI208" s="291" t="n"/>
      <c r="AJ208" s="291" t="n"/>
      <c r="AK208" s="864" t="n"/>
      <c r="AL208" s="291" t="n"/>
      <c r="AM208" s="291" t="n"/>
      <c r="AN208" s="291" t="n"/>
      <c r="AO208" s="291" t="n"/>
      <c r="AP208" s="864" t="n"/>
      <c r="AQ208" s="291" t="n"/>
      <c r="AR208" s="291" t="n"/>
      <c r="AS208" s="291" t="n"/>
      <c r="AT208" s="291" t="n"/>
      <c r="AU208" s="864" t="n"/>
      <c r="AV208" s="291" t="n"/>
      <c r="AW208" s="291" t="n"/>
      <c r="AX208" s="291" t="n"/>
      <c r="AY208" s="291" t="n"/>
      <c r="AZ208" s="864" t="n"/>
      <c r="BA208" s="291" t="n"/>
      <c r="BB208" s="291" t="n"/>
      <c r="BC208" s="291" t="n"/>
      <c r="BD208" s="291" t="n"/>
      <c r="BE208" s="864" t="n"/>
      <c r="BF208" s="291" t="n"/>
      <c r="BG208" s="291" t="n"/>
      <c r="BH208" s="291" t="n"/>
      <c r="BI208" s="291" t="n"/>
      <c r="BJ208" s="864" t="n"/>
      <c r="BK208" s="291" t="n"/>
      <c r="BL208" s="291" t="n"/>
      <c r="BM208" s="291" t="n"/>
      <c r="BN208" s="291" t="n"/>
      <c r="BO208" s="864" t="n"/>
      <c r="BP208" s="291" t="n"/>
      <c r="BQ208" s="291" t="n"/>
      <c r="BR208" s="291" t="n"/>
      <c r="BS208" s="291" t="n"/>
      <c r="BT208" s="864" t="n"/>
      <c r="BU208" s="291" t="n"/>
      <c r="BV208" s="291" t="n"/>
      <c r="BW208" s="291" t="n"/>
      <c r="BX208" s="291" t="n"/>
      <c r="BY208" s="864" t="n"/>
      <c r="BZ208" s="291" t="n"/>
      <c r="CA208" s="291" t="n"/>
      <c r="CB208" s="291" t="n"/>
      <c r="CC208" s="291" t="n"/>
      <c r="CD208" s="864" t="n"/>
      <c r="CE208" s="291" t="n"/>
      <c r="CF208" s="291" t="n"/>
      <c r="CG208" s="291" t="n"/>
      <c r="CH208" s="291" t="n"/>
      <c r="CI208" s="749" t="n"/>
      <c r="CJ208" s="749" t="n"/>
      <c r="CK208" s="749" t="n"/>
      <c r="CL208" s="749" t="n"/>
      <c r="CM208" s="749" t="n"/>
      <c r="CN208" s="291" t="n"/>
      <c r="CO208" s="766" t="n"/>
      <c r="CP208" s="291" t="n"/>
      <c r="CQ208" s="693" t="n"/>
    </row>
    <row r="209" ht="16.5" customHeight="1">
      <c r="B209" s="223" t="inlineStr">
        <is>
          <t>Free Cash Flow (CFO − Capex)</t>
        </is>
      </c>
      <c r="C209" s="224" t="n"/>
      <c r="D209" s="224" t="n"/>
      <c r="E209" s="224" t="n"/>
      <c r="F209" s="224" t="n"/>
      <c r="G209" s="867" t="n"/>
      <c r="H209" s="224" t="n"/>
      <c r="I209" s="224" t="n"/>
      <c r="J209" s="224" t="n"/>
      <c r="K209" s="224" t="n"/>
      <c r="L209" s="867" t="n"/>
      <c r="M209" s="224" t="n"/>
      <c r="N209" s="224" t="n"/>
      <c r="O209" s="224" t="n"/>
      <c r="P209" s="224" t="n"/>
      <c r="Q209" s="867" t="n"/>
      <c r="R209" s="224" t="n"/>
      <c r="S209" s="224" t="n"/>
      <c r="T209" s="224" t="n"/>
      <c r="U209" s="224" t="n"/>
      <c r="V209" s="867" t="n"/>
      <c r="W209" s="224" t="n"/>
      <c r="X209" s="224" t="n"/>
      <c r="Y209" s="224" t="n"/>
      <c r="Z209" s="224" t="n"/>
      <c r="AA209" s="867" t="n"/>
      <c r="AB209" s="224" t="n"/>
      <c r="AC209" s="224" t="n"/>
      <c r="AD209" s="224" t="n"/>
      <c r="AE209" s="224" t="n"/>
      <c r="AF209" s="867" t="n"/>
      <c r="AG209" s="224" t="n"/>
      <c r="AH209" s="224" t="n"/>
      <c r="AI209" s="224" t="n"/>
      <c r="AJ209" s="224" t="n"/>
      <c r="AK209" s="867" t="n"/>
      <c r="AL209" s="224" t="n"/>
      <c r="AM209" s="224" t="n"/>
      <c r="AN209" s="224" t="n"/>
      <c r="AO209" s="224" t="n"/>
      <c r="AP209" s="867" t="n"/>
      <c r="AQ209" s="224" t="n"/>
      <c r="AR209" s="224" t="n"/>
      <c r="AS209" s="224" t="n"/>
      <c r="AT209" s="224" t="n"/>
      <c r="AU209" s="867" t="n"/>
      <c r="AV209" s="224" t="n"/>
      <c r="AW209" s="224" t="n"/>
      <c r="AX209" s="224" t="n"/>
      <c r="AY209" s="224" t="n"/>
      <c r="AZ209" s="867" t="n"/>
      <c r="BA209" s="224" t="n"/>
      <c r="BB209" s="224" t="n"/>
      <c r="BC209" s="224" t="n"/>
      <c r="BD209" s="224" t="n"/>
      <c r="BE209" s="867" t="n"/>
      <c r="BF209" s="224" t="n"/>
      <c r="BG209" s="224" t="n"/>
      <c r="BH209" s="224" t="n"/>
      <c r="BI209" s="224" t="n"/>
      <c r="BJ209" s="867" t="n"/>
      <c r="BK209" s="224" t="n"/>
      <c r="BL209" s="224" t="n"/>
      <c r="BM209" s="224" t="n"/>
      <c r="BN209" s="224" t="n"/>
      <c r="BO209" s="867" t="n"/>
      <c r="BP209" s="224" t="n"/>
      <c r="BQ209" s="224" t="n"/>
      <c r="BR209" s="224" t="n"/>
      <c r="BS209" s="224" t="n"/>
      <c r="BT209" s="867" t="n"/>
      <c r="BU209" s="224" t="n"/>
      <c r="BV209" s="224" t="n"/>
      <c r="BW209" s="224" t="n"/>
      <c r="BX209" s="224" t="n"/>
      <c r="BY209" s="867" t="n"/>
      <c r="BZ209" s="224" t="n"/>
      <c r="CA209" s="224" t="n"/>
      <c r="CB209" s="224" t="n"/>
      <c r="CC209" s="224" t="n"/>
      <c r="CD209" s="867" t="n"/>
      <c r="CE209" s="224" t="n"/>
      <c r="CF209" s="224" t="n"/>
      <c r="CG209" s="224" t="n"/>
      <c r="CH209" s="224" t="n"/>
      <c r="CI209" s="224" t="n"/>
      <c r="CJ209" s="224" t="n"/>
      <c r="CK209" s="224" t="n"/>
      <c r="CL209" s="224" t="n"/>
      <c r="CM209" s="224" t="n"/>
      <c r="CN209" s="224" t="n"/>
      <c r="CO209" s="684" t="n"/>
      <c r="CP209" s="224" t="n"/>
      <c r="CQ209" s="693" t="n"/>
    </row>
    <row r="210" ht="16.5" customHeight="1">
      <c r="B210" s="704" t="inlineStr">
        <is>
          <t>Free cash flow (CFO − Capex)</t>
        </is>
      </c>
      <c r="C210" s="274" t="n"/>
      <c r="D210" s="274" t="n"/>
      <c r="E210" s="274" t="n"/>
      <c r="F210" s="274" t="n"/>
      <c r="G210" s="871">
        <f>G186+G189</f>
        <v/>
      </c>
      <c r="H210" s="274" t="n"/>
      <c r="I210" s="274" t="n"/>
      <c r="J210" s="274" t="n"/>
      <c r="K210" s="274" t="n"/>
      <c r="L210" s="871">
        <f>L186+L189</f>
        <v/>
      </c>
      <c r="M210" s="274" t="n"/>
      <c r="N210" s="274" t="n"/>
      <c r="O210" s="274" t="n"/>
      <c r="P210" s="274" t="n"/>
      <c r="Q210" s="871">
        <f>Q186+Q189</f>
        <v/>
      </c>
      <c r="R210" s="274" t="n"/>
      <c r="S210" s="274" t="n"/>
      <c r="T210" s="274" t="n"/>
      <c r="U210" s="274" t="n"/>
      <c r="V210" s="871">
        <f>V186+V189</f>
        <v/>
      </c>
      <c r="W210" s="274" t="n"/>
      <c r="X210" s="274" t="n"/>
      <c r="Y210" s="274" t="n"/>
      <c r="Z210" s="274" t="n"/>
      <c r="AA210" s="871">
        <f>AA186+AA189</f>
        <v/>
      </c>
      <c r="AB210" s="274" t="n"/>
      <c r="AC210" s="274" t="n"/>
      <c r="AD210" s="274" t="n"/>
      <c r="AE210" s="274" t="n"/>
      <c r="AF210" s="871">
        <f>AF186+AF189</f>
        <v/>
      </c>
      <c r="AG210" s="274" t="n"/>
      <c r="AH210" s="274" t="n"/>
      <c r="AI210" s="274" t="n"/>
      <c r="AJ210" s="274" t="n"/>
      <c r="AK210" s="871">
        <f>AK186+AK189</f>
        <v/>
      </c>
      <c r="AL210" s="274" t="n"/>
      <c r="AM210" s="274" t="n"/>
      <c r="AN210" s="274" t="n"/>
      <c r="AO210" s="274" t="n"/>
      <c r="AP210" s="871">
        <f>AP186+AP189</f>
        <v/>
      </c>
      <c r="AQ210" s="274" t="n"/>
      <c r="AR210" s="274" t="n"/>
      <c r="AS210" s="274" t="n"/>
      <c r="AT210" s="274" t="n"/>
      <c r="AU210" s="871">
        <f>AU186+AU189</f>
        <v/>
      </c>
      <c r="AV210" s="274" t="n"/>
      <c r="AW210" s="274" t="n"/>
      <c r="AX210" s="274" t="n"/>
      <c r="AY210" s="274" t="n"/>
      <c r="AZ210" s="871">
        <f>AZ186+AZ189</f>
        <v/>
      </c>
      <c r="BA210" s="274" t="n"/>
      <c r="BB210" s="274" t="n"/>
      <c r="BC210" s="274" t="n"/>
      <c r="BD210" s="274" t="n"/>
      <c r="BE210" s="871">
        <f>BE186+BE189</f>
        <v/>
      </c>
      <c r="BF210" s="274" t="n"/>
      <c r="BG210" s="274" t="n"/>
      <c r="BH210" s="274" t="n"/>
      <c r="BI210" s="274" t="n"/>
      <c r="BJ210" s="871">
        <f>BJ186+BJ189</f>
        <v/>
      </c>
      <c r="BK210" s="274" t="n"/>
      <c r="BL210" s="274" t="n"/>
      <c r="BM210" s="274" t="n"/>
      <c r="BN210" s="274">
        <f>BN186+BN189</f>
        <v/>
      </c>
      <c r="BO210" s="871">
        <f>BO186+BO189</f>
        <v/>
      </c>
      <c r="BP210" s="274" t="n"/>
      <c r="BQ210" s="274" t="n"/>
      <c r="BR210" s="274" t="n"/>
      <c r="BS210" s="274">
        <f>BS186+BS189</f>
        <v/>
      </c>
      <c r="BT210" s="871">
        <f>BT186+BT189</f>
        <v/>
      </c>
      <c r="BU210" s="274" t="n"/>
      <c r="BV210" s="274" t="n"/>
      <c r="BW210" s="274" t="n"/>
      <c r="BX210" s="274">
        <f>BX186+BX189</f>
        <v/>
      </c>
      <c r="BY210" s="871">
        <f>BY186+BY189</f>
        <v/>
      </c>
      <c r="BZ210" s="274" t="n"/>
      <c r="CA210" s="274" t="n"/>
      <c r="CB210" s="274" t="n"/>
      <c r="CC210" s="274">
        <f>CC186+CC189</f>
        <v/>
      </c>
      <c r="CD210" s="871">
        <f>CD186+CD189</f>
        <v/>
      </c>
      <c r="CE210" s="274">
        <f>CE186+CE189</f>
        <v/>
      </c>
      <c r="CF210" s="274">
        <f>CF186+CF189</f>
        <v/>
      </c>
      <c r="CG210" s="274">
        <f>CG186+CG189</f>
        <v/>
      </c>
      <c r="CH210" s="274">
        <f>CH186+CH189</f>
        <v/>
      </c>
      <c r="CI210" s="274">
        <f>CI186+CI189</f>
        <v/>
      </c>
      <c r="CJ210" s="274">
        <f>CJ186+CJ189</f>
        <v/>
      </c>
      <c r="CK210" s="274">
        <f>CK186+CK189</f>
        <v/>
      </c>
      <c r="CL210" s="274">
        <f>CL186+CL189</f>
        <v/>
      </c>
      <c r="CM210" s="274">
        <f>CM186+CM189</f>
        <v/>
      </c>
      <c r="CN210" s="274" t="n"/>
      <c r="CO210" s="686">
        <f>(CM210/CD210)^(1/5)-1</f>
        <v/>
      </c>
      <c r="CP210" s="274" t="n"/>
      <c r="CQ210" s="694" t="n"/>
    </row>
    <row r="211" ht="16.5" customHeight="1">
      <c r="B211" s="12" t="inlineStr">
        <is>
          <t xml:space="preserve">  FCF y/y %</t>
        </is>
      </c>
      <c r="C211" s="974" t="n"/>
      <c r="D211" s="974" t="n"/>
      <c r="E211" s="974" t="n"/>
      <c r="F211" s="974" t="n"/>
      <c r="G211" s="975" t="n"/>
      <c r="H211" s="974" t="n"/>
      <c r="I211" s="974" t="n"/>
      <c r="J211" s="974" t="n"/>
      <c r="K211" s="974" t="n"/>
      <c r="L211" s="986">
        <f>L210/G210-1</f>
        <v/>
      </c>
      <c r="M211" s="985" t="n"/>
      <c r="N211" s="985" t="n"/>
      <c r="O211" s="985" t="n"/>
      <c r="P211" s="985" t="n"/>
      <c r="Q211" s="986">
        <f>Q210/L210-1</f>
        <v/>
      </c>
      <c r="R211" s="985" t="n"/>
      <c r="S211" s="985" t="n"/>
      <c r="T211" s="985" t="n"/>
      <c r="U211" s="985" t="n"/>
      <c r="V211" s="986">
        <f>V210/Q210-1</f>
        <v/>
      </c>
      <c r="W211" s="985" t="n"/>
      <c r="X211" s="985" t="n"/>
      <c r="Y211" s="985" t="n"/>
      <c r="Z211" s="985" t="n"/>
      <c r="AA211" s="986">
        <f>AA210/V210-1</f>
        <v/>
      </c>
      <c r="AB211" s="985" t="n"/>
      <c r="AC211" s="985" t="n"/>
      <c r="AD211" s="985" t="n"/>
      <c r="AE211" s="985" t="n"/>
      <c r="AF211" s="986">
        <f>AF210/AA210-1</f>
        <v/>
      </c>
      <c r="AG211" s="985" t="n"/>
      <c r="AH211" s="985" t="n"/>
      <c r="AI211" s="985" t="n"/>
      <c r="AJ211" s="985" t="n"/>
      <c r="AK211" s="986">
        <f>AK210/AF210-1</f>
        <v/>
      </c>
      <c r="AL211" s="985" t="n"/>
      <c r="AM211" s="985" t="n"/>
      <c r="AN211" s="985" t="n"/>
      <c r="AO211" s="985" t="n"/>
      <c r="AP211" s="986">
        <f>AP210/AK210-1</f>
        <v/>
      </c>
      <c r="AQ211" s="985" t="n"/>
      <c r="AR211" s="985" t="n"/>
      <c r="AS211" s="985" t="n"/>
      <c r="AT211" s="985" t="n"/>
      <c r="AU211" s="986">
        <f>AU210/AP210-1</f>
        <v/>
      </c>
      <c r="AV211" s="985" t="n"/>
      <c r="AW211" s="985" t="n"/>
      <c r="AX211" s="985" t="n"/>
      <c r="AY211" s="985" t="n"/>
      <c r="AZ211" s="986">
        <f>AZ210/AU210-1</f>
        <v/>
      </c>
      <c r="BA211" s="985" t="n"/>
      <c r="BB211" s="985" t="n"/>
      <c r="BC211" s="985" t="n"/>
      <c r="BD211" s="985" t="n"/>
      <c r="BE211" s="986">
        <f>BE210/AZ210-1</f>
        <v/>
      </c>
      <c r="BF211" s="985" t="n"/>
      <c r="BG211" s="985" t="n"/>
      <c r="BH211" s="985" t="n"/>
      <c r="BI211" s="985" t="n"/>
      <c r="BJ211" s="986">
        <f>BJ210/BE210-1</f>
        <v/>
      </c>
      <c r="BK211" s="985" t="n"/>
      <c r="BL211" s="985" t="n"/>
      <c r="BM211" s="985" t="n"/>
      <c r="BN211" s="985" t="n"/>
      <c r="BO211" s="986">
        <f>BO210/BJ210-1</f>
        <v/>
      </c>
      <c r="BP211" s="985" t="n"/>
      <c r="BQ211" s="985" t="n"/>
      <c r="BR211" s="985" t="n"/>
      <c r="BS211" s="985" t="n"/>
      <c r="BT211" s="986">
        <f>BT210/BO210-1</f>
        <v/>
      </c>
      <c r="BU211" s="985" t="n"/>
      <c r="BV211" s="985" t="n"/>
      <c r="BW211" s="985" t="n"/>
      <c r="BX211" s="985" t="n"/>
      <c r="BY211" s="986">
        <f>BY210/BT210-1</f>
        <v/>
      </c>
      <c r="BZ211" s="985" t="n"/>
      <c r="CA211" s="985" t="n"/>
      <c r="CB211" s="985" t="n"/>
      <c r="CC211" s="985" t="n"/>
      <c r="CD211" s="986">
        <f>CD210/BY210-1</f>
        <v/>
      </c>
      <c r="CE211" s="985">
        <f>IFERROR(CE210/BZ210-1,"")</f>
        <v/>
      </c>
      <c r="CF211" s="985">
        <f>IFERROR(CF210/CA210-1,"")</f>
        <v/>
      </c>
      <c r="CG211" s="985">
        <f>IFERROR(CG210/CB210-1,"")</f>
        <v/>
      </c>
      <c r="CH211" s="985">
        <f>IFERROR(CH210/CC210-1,"")</f>
        <v/>
      </c>
      <c r="CI211" s="987">
        <f>CI210/CD210-1</f>
        <v/>
      </c>
      <c r="CJ211" s="987">
        <f>CJ210/CI210-1</f>
        <v/>
      </c>
      <c r="CK211" s="987">
        <f>CK210/CJ210-1</f>
        <v/>
      </c>
      <c r="CL211" s="987">
        <f>CL210/CK210-1</f>
        <v/>
      </c>
      <c r="CM211" s="987">
        <f>CM210/CL210-1</f>
        <v/>
      </c>
      <c r="CN211" s="974" t="n"/>
      <c r="CO211" s="766" t="n"/>
      <c r="CP211" s="974" t="n"/>
      <c r="CQ211" s="693" t="n"/>
    </row>
    <row r="212" ht="16.5" customHeight="1">
      <c r="B212" s="12" t="inlineStr">
        <is>
          <t xml:space="preserve">  FCF % of sales</t>
        </is>
      </c>
      <c r="C212" s="974" t="n"/>
      <c r="D212" s="974" t="n"/>
      <c r="E212" s="974" t="n"/>
      <c r="F212" s="974" t="n"/>
      <c r="G212" s="975">
        <f>G210/G114</f>
        <v/>
      </c>
      <c r="H212" s="974" t="n"/>
      <c r="I212" s="974" t="n"/>
      <c r="J212" s="974" t="n"/>
      <c r="K212" s="974" t="n"/>
      <c r="L212" s="975">
        <f>L210/L114</f>
        <v/>
      </c>
      <c r="M212" s="974" t="n"/>
      <c r="N212" s="974" t="n"/>
      <c r="O212" s="974" t="n"/>
      <c r="P212" s="974" t="n"/>
      <c r="Q212" s="975">
        <f>Q210/Q114</f>
        <v/>
      </c>
      <c r="R212" s="974" t="n"/>
      <c r="S212" s="974" t="n"/>
      <c r="T212" s="974" t="n"/>
      <c r="U212" s="974" t="n"/>
      <c r="V212" s="975">
        <f>V210/V114</f>
        <v/>
      </c>
      <c r="W212" s="974" t="n"/>
      <c r="X212" s="974" t="n"/>
      <c r="Y212" s="974" t="n"/>
      <c r="Z212" s="974" t="n"/>
      <c r="AA212" s="975">
        <f>AA210/AA114</f>
        <v/>
      </c>
      <c r="AB212" s="974" t="n"/>
      <c r="AC212" s="974" t="n"/>
      <c r="AD212" s="974" t="n"/>
      <c r="AE212" s="974" t="n"/>
      <c r="AF212" s="975">
        <f>AF210/AF114</f>
        <v/>
      </c>
      <c r="AG212" s="974" t="n"/>
      <c r="AH212" s="974" t="n"/>
      <c r="AI212" s="974" t="n"/>
      <c r="AJ212" s="974" t="n"/>
      <c r="AK212" s="975">
        <f>AK210/AK114</f>
        <v/>
      </c>
      <c r="AL212" s="974" t="n"/>
      <c r="AM212" s="974" t="n"/>
      <c r="AN212" s="974" t="n"/>
      <c r="AO212" s="974" t="n"/>
      <c r="AP212" s="975">
        <f>AP210/AP114</f>
        <v/>
      </c>
      <c r="AQ212" s="974" t="n"/>
      <c r="AR212" s="974" t="n"/>
      <c r="AS212" s="974" t="n"/>
      <c r="AT212" s="974" t="n"/>
      <c r="AU212" s="975">
        <f>AU210/AU114</f>
        <v/>
      </c>
      <c r="AV212" s="974" t="n"/>
      <c r="AW212" s="974" t="n"/>
      <c r="AX212" s="974" t="n"/>
      <c r="AY212" s="974" t="n"/>
      <c r="AZ212" s="975">
        <f>AZ210/AZ114</f>
        <v/>
      </c>
      <c r="BA212" s="974" t="n"/>
      <c r="BB212" s="974" t="n"/>
      <c r="BC212" s="974" t="n"/>
      <c r="BD212" s="974" t="n"/>
      <c r="BE212" s="975">
        <f>BE210/BE114</f>
        <v/>
      </c>
      <c r="BF212" s="974" t="n"/>
      <c r="BG212" s="974" t="n"/>
      <c r="BH212" s="974" t="n"/>
      <c r="BI212" s="974" t="n"/>
      <c r="BJ212" s="975">
        <f>BJ210/BJ114</f>
        <v/>
      </c>
      <c r="BK212" s="974" t="n"/>
      <c r="BL212" s="974" t="n"/>
      <c r="BM212" s="974" t="n"/>
      <c r="BN212" s="974" t="n"/>
      <c r="BO212" s="975">
        <f>BO210/BO114</f>
        <v/>
      </c>
      <c r="BP212" s="974" t="n"/>
      <c r="BQ212" s="974" t="n"/>
      <c r="BR212" s="974" t="n"/>
      <c r="BS212" s="974" t="n"/>
      <c r="BT212" s="975">
        <f>BT210/BT114</f>
        <v/>
      </c>
      <c r="BU212" s="974" t="n"/>
      <c r="BV212" s="974" t="n"/>
      <c r="BW212" s="974" t="n"/>
      <c r="BX212" s="974" t="n"/>
      <c r="BY212" s="975">
        <f>BY210/BY114</f>
        <v/>
      </c>
      <c r="BZ212" s="974" t="n"/>
      <c r="CA212" s="974" t="n"/>
      <c r="CB212" s="974" t="n"/>
      <c r="CC212" s="974" t="n"/>
      <c r="CD212" s="975">
        <f>CD210/CD114</f>
        <v/>
      </c>
      <c r="CE212" s="974">
        <f>CE210/CE114</f>
        <v/>
      </c>
      <c r="CF212" s="974">
        <f>CF210/CF114</f>
        <v/>
      </c>
      <c r="CG212" s="974">
        <f>CG210/CG114</f>
        <v/>
      </c>
      <c r="CH212" s="974">
        <f>CH210/CH114</f>
        <v/>
      </c>
      <c r="CI212" s="976">
        <f>CI210/CI114</f>
        <v/>
      </c>
      <c r="CJ212" s="976">
        <f>CJ210/CJ114</f>
        <v/>
      </c>
      <c r="CK212" s="976">
        <f>CK210/CK114</f>
        <v/>
      </c>
      <c r="CL212" s="976">
        <f>CL210/CL114</f>
        <v/>
      </c>
      <c r="CM212" s="976">
        <f>CM210/CM114</f>
        <v/>
      </c>
      <c r="CN212" s="974" t="n"/>
      <c r="CO212" s="766" t="n"/>
      <c r="CP212" s="974" t="n"/>
      <c r="CQ212" s="693" t="n"/>
    </row>
    <row r="213" ht="16.5" customHeight="1">
      <c r="B213" s="12" t="inlineStr">
        <is>
          <t xml:space="preserve">  FCF conversion (FCF / Net earnings)</t>
        </is>
      </c>
      <c r="C213" s="974" t="n"/>
      <c r="D213" s="974" t="n"/>
      <c r="E213" s="974" t="n"/>
      <c r="F213" s="974" t="n"/>
      <c r="G213" s="986">
        <f>IFERROR(G210/G175,"-")</f>
        <v/>
      </c>
      <c r="H213" s="985" t="n"/>
      <c r="I213" s="985" t="n"/>
      <c r="J213" s="985" t="n"/>
      <c r="K213" s="985" t="n"/>
      <c r="L213" s="986">
        <f>IFERROR(L210/L175,"-")</f>
        <v/>
      </c>
      <c r="M213" s="985" t="n"/>
      <c r="N213" s="985" t="n"/>
      <c r="O213" s="985" t="n"/>
      <c r="P213" s="985" t="n"/>
      <c r="Q213" s="986">
        <f>IFERROR(Q210/Q175,"-")</f>
        <v/>
      </c>
      <c r="R213" s="985" t="n"/>
      <c r="S213" s="985" t="n"/>
      <c r="T213" s="985" t="n"/>
      <c r="U213" s="985" t="n"/>
      <c r="V213" s="986">
        <f>IFERROR(V210/V175,"-")</f>
        <v/>
      </c>
      <c r="W213" s="985" t="n"/>
      <c r="X213" s="985" t="n"/>
      <c r="Y213" s="985" t="n"/>
      <c r="Z213" s="985" t="n"/>
      <c r="AA213" s="986">
        <f>IFERROR(AA210/AA175,"-")</f>
        <v/>
      </c>
      <c r="AB213" s="985" t="n"/>
      <c r="AC213" s="985" t="n"/>
      <c r="AD213" s="985" t="n"/>
      <c r="AE213" s="985" t="n"/>
      <c r="AF213" s="986">
        <f>IFERROR(AF210/AF175,"-")</f>
        <v/>
      </c>
      <c r="AG213" s="985" t="n"/>
      <c r="AH213" s="985" t="n"/>
      <c r="AI213" s="985" t="n"/>
      <c r="AJ213" s="985" t="n"/>
      <c r="AK213" s="986">
        <f>IFERROR(AK210/AK175,"-")</f>
        <v/>
      </c>
      <c r="AL213" s="985" t="n"/>
      <c r="AM213" s="985" t="n"/>
      <c r="AN213" s="985" t="n"/>
      <c r="AO213" s="985" t="n"/>
      <c r="AP213" s="986">
        <f>IFERROR(AP210/AP175,"-")</f>
        <v/>
      </c>
      <c r="AQ213" s="985" t="n"/>
      <c r="AR213" s="985" t="n"/>
      <c r="AS213" s="985" t="n"/>
      <c r="AT213" s="985" t="n"/>
      <c r="AU213" s="986">
        <f>IFERROR(AU210/AU175,"-")</f>
        <v/>
      </c>
      <c r="AV213" s="985" t="n"/>
      <c r="AW213" s="985" t="n"/>
      <c r="AX213" s="985" t="n"/>
      <c r="AY213" s="985" t="n"/>
      <c r="AZ213" s="986">
        <f>IFERROR(AZ210/AZ175,"-")</f>
        <v/>
      </c>
      <c r="BA213" s="985" t="n"/>
      <c r="BB213" s="985" t="n"/>
      <c r="BC213" s="985" t="n"/>
      <c r="BD213" s="985" t="n"/>
      <c r="BE213" s="986">
        <f>IFERROR(BE210/BE175,"-")</f>
        <v/>
      </c>
      <c r="BF213" s="985" t="n"/>
      <c r="BG213" s="985" t="n"/>
      <c r="BH213" s="985" t="n"/>
      <c r="BI213" s="985" t="n"/>
      <c r="BJ213" s="986">
        <f>IFERROR(BJ210/BJ175,"-")</f>
        <v/>
      </c>
      <c r="BK213" s="985" t="n"/>
      <c r="BL213" s="985" t="n"/>
      <c r="BM213" s="985" t="n"/>
      <c r="BN213" s="985" t="n"/>
      <c r="BO213" s="986">
        <f>IFERROR(BO210/BO175,"-")</f>
        <v/>
      </c>
      <c r="BP213" s="985" t="n"/>
      <c r="BQ213" s="985" t="n"/>
      <c r="BR213" s="985" t="n"/>
      <c r="BS213" s="985" t="n"/>
      <c r="BT213" s="986">
        <f>IFERROR(BT210/BT175,"-")</f>
        <v/>
      </c>
      <c r="BU213" s="985" t="n"/>
      <c r="BV213" s="985" t="n"/>
      <c r="BW213" s="985" t="n"/>
      <c r="BX213" s="985" t="n"/>
      <c r="BY213" s="986">
        <f>IFERROR(BY210/BY175,"-")</f>
        <v/>
      </c>
      <c r="BZ213" s="985" t="n"/>
      <c r="CA213" s="985" t="n"/>
      <c r="CB213" s="985" t="n"/>
      <c r="CC213" s="985" t="n"/>
      <c r="CD213" s="986">
        <f>IFERROR(CD210/CD175,"-")</f>
        <v/>
      </c>
      <c r="CE213" s="985">
        <f>IFERROR(CE210/CE175,"-")</f>
        <v/>
      </c>
      <c r="CF213" s="985">
        <f>IFERROR(CF210/CF175,"-")</f>
        <v/>
      </c>
      <c r="CG213" s="985">
        <f>IFERROR(CG210/CG175,"-")</f>
        <v/>
      </c>
      <c r="CH213" s="985">
        <f>IFERROR(CH210/CH175,"-")</f>
        <v/>
      </c>
      <c r="CI213" s="987">
        <f>CI210/CI133</f>
        <v/>
      </c>
      <c r="CJ213" s="987">
        <f>CJ210/CJ133</f>
        <v/>
      </c>
      <c r="CK213" s="987">
        <f>CK210/CK133</f>
        <v/>
      </c>
      <c r="CL213" s="987">
        <f>CL210/CL133</f>
        <v/>
      </c>
      <c r="CM213" s="987">
        <f>CM210/CM133</f>
        <v/>
      </c>
      <c r="CN213" s="974" t="n"/>
      <c r="CO213" s="766" t="n"/>
      <c r="CP213" s="974" t="n"/>
      <c r="CQ213" s="693" t="n"/>
    </row>
    <row r="214" ht="16.5" customHeight="1">
      <c r="B214" s="12" t="inlineStr">
        <is>
          <t xml:space="preserve">  Capex % of sales</t>
        </is>
      </c>
      <c r="C214" s="974" t="n"/>
      <c r="D214" s="974" t="n"/>
      <c r="E214" s="974" t="n"/>
      <c r="F214" s="974" t="n"/>
      <c r="G214" s="975">
        <f>-G189/G114</f>
        <v/>
      </c>
      <c r="H214" s="974" t="n"/>
      <c r="I214" s="974" t="n"/>
      <c r="J214" s="974" t="n"/>
      <c r="K214" s="974" t="n"/>
      <c r="L214" s="975">
        <f>-L189/L114</f>
        <v/>
      </c>
      <c r="M214" s="974" t="n"/>
      <c r="N214" s="974" t="n"/>
      <c r="O214" s="974" t="n"/>
      <c r="P214" s="974" t="n"/>
      <c r="Q214" s="975">
        <f>-Q189/Q114</f>
        <v/>
      </c>
      <c r="R214" s="974" t="n"/>
      <c r="S214" s="974" t="n"/>
      <c r="T214" s="974" t="n"/>
      <c r="U214" s="974" t="n"/>
      <c r="V214" s="975">
        <f>-V189/V114</f>
        <v/>
      </c>
      <c r="W214" s="974" t="n"/>
      <c r="X214" s="974" t="n"/>
      <c r="Y214" s="974" t="n"/>
      <c r="Z214" s="974" t="n"/>
      <c r="AA214" s="975">
        <f>-AA189/AA114</f>
        <v/>
      </c>
      <c r="AB214" s="974" t="n"/>
      <c r="AC214" s="974" t="n"/>
      <c r="AD214" s="974" t="n"/>
      <c r="AE214" s="974" t="n"/>
      <c r="AF214" s="975">
        <f>-AF189/AF114</f>
        <v/>
      </c>
      <c r="AG214" s="974" t="n"/>
      <c r="AH214" s="974" t="n"/>
      <c r="AI214" s="974" t="n"/>
      <c r="AJ214" s="974" t="n"/>
      <c r="AK214" s="975">
        <f>-AK189/AK114</f>
        <v/>
      </c>
      <c r="AL214" s="974" t="n"/>
      <c r="AM214" s="974" t="n"/>
      <c r="AN214" s="974" t="n"/>
      <c r="AO214" s="974" t="n"/>
      <c r="AP214" s="975">
        <f>-AP189/AP114</f>
        <v/>
      </c>
      <c r="AQ214" s="974" t="n"/>
      <c r="AR214" s="974" t="n"/>
      <c r="AS214" s="974" t="n"/>
      <c r="AT214" s="974" t="n"/>
      <c r="AU214" s="975">
        <f>-AU189/AU114</f>
        <v/>
      </c>
      <c r="AV214" s="974" t="n"/>
      <c r="AW214" s="974" t="n"/>
      <c r="AX214" s="974" t="n"/>
      <c r="AY214" s="974" t="n"/>
      <c r="AZ214" s="975">
        <f>-AZ189/AZ114</f>
        <v/>
      </c>
      <c r="BA214" s="974" t="n"/>
      <c r="BB214" s="974" t="n"/>
      <c r="BC214" s="974" t="n"/>
      <c r="BD214" s="974" t="n"/>
      <c r="BE214" s="975">
        <f>-BE189/BE114</f>
        <v/>
      </c>
      <c r="BF214" s="974" t="n"/>
      <c r="BG214" s="974" t="n"/>
      <c r="BH214" s="974" t="n"/>
      <c r="BI214" s="974" t="n"/>
      <c r="BJ214" s="975">
        <f>-BJ189/BJ114</f>
        <v/>
      </c>
      <c r="BK214" s="974" t="n"/>
      <c r="BL214" s="974" t="n"/>
      <c r="BM214" s="974" t="n"/>
      <c r="BN214" s="974" t="n"/>
      <c r="BO214" s="975">
        <f>-BO189/BO114</f>
        <v/>
      </c>
      <c r="BP214" s="974" t="n"/>
      <c r="BQ214" s="974" t="n"/>
      <c r="BR214" s="974" t="n"/>
      <c r="BS214" s="974" t="n"/>
      <c r="BT214" s="975">
        <f>-BT189/BT114</f>
        <v/>
      </c>
      <c r="BU214" s="974" t="n"/>
      <c r="BV214" s="974" t="n"/>
      <c r="BW214" s="974" t="n"/>
      <c r="BX214" s="974" t="n"/>
      <c r="BY214" s="975">
        <f>-BY189/BY114</f>
        <v/>
      </c>
      <c r="BZ214" s="974" t="n"/>
      <c r="CA214" s="974" t="n"/>
      <c r="CB214" s="974" t="n"/>
      <c r="CC214" s="974" t="n"/>
      <c r="CD214" s="975">
        <f>-CD189/CD114</f>
        <v/>
      </c>
      <c r="CE214" s="974">
        <f>-CE189/CE114</f>
        <v/>
      </c>
      <c r="CF214" s="974">
        <f>-CF189/CF114</f>
        <v/>
      </c>
      <c r="CG214" s="974">
        <f>-CG189/CG114</f>
        <v/>
      </c>
      <c r="CH214" s="974">
        <f>-CH189/CH114</f>
        <v/>
      </c>
      <c r="CI214" s="976">
        <f>-CI189/CI114</f>
        <v/>
      </c>
      <c r="CJ214" s="976">
        <f>-CJ189/CJ114</f>
        <v/>
      </c>
      <c r="CK214" s="976">
        <f>-CK189/CK114</f>
        <v/>
      </c>
      <c r="CL214" s="976">
        <f>-CL189/CL114</f>
        <v/>
      </c>
      <c r="CM214" s="976">
        <f>-CM189/CM114</f>
        <v/>
      </c>
      <c r="CN214" s="974" t="n"/>
      <c r="CO214" s="766" t="n"/>
      <c r="CP214" s="974" t="n"/>
      <c r="CQ214" s="693" t="n"/>
    </row>
    <row r="215" ht="16.5" customHeight="1">
      <c r="B215" s="223" t="inlineStr">
        <is>
          <t>SHARE BUYBACK SCHEDULE</t>
        </is>
      </c>
      <c r="C215" s="835" t="n"/>
      <c r="D215" s="835" t="n"/>
      <c r="E215" s="835" t="n"/>
      <c r="F215" s="835" t="n"/>
      <c r="G215" s="887" t="n"/>
      <c r="H215" s="835" t="n"/>
      <c r="I215" s="835" t="n"/>
      <c r="J215" s="835" t="n"/>
      <c r="K215" s="835" t="n"/>
      <c r="L215" s="887" t="n"/>
      <c r="M215" s="835" t="n"/>
      <c r="N215" s="835" t="n"/>
      <c r="O215" s="835" t="n"/>
      <c r="P215" s="835" t="n"/>
      <c r="Q215" s="887" t="n"/>
      <c r="R215" s="835" t="n"/>
      <c r="S215" s="835" t="n"/>
      <c r="T215" s="835" t="n"/>
      <c r="U215" s="835" t="n"/>
      <c r="V215" s="887" t="n"/>
      <c r="W215" s="835" t="n"/>
      <c r="X215" s="835" t="n"/>
      <c r="Y215" s="835" t="n"/>
      <c r="Z215" s="835" t="n"/>
      <c r="AA215" s="887" t="n"/>
      <c r="AB215" s="835" t="n"/>
      <c r="AC215" s="835" t="n"/>
      <c r="AD215" s="835" t="n"/>
      <c r="AE215" s="835" t="n"/>
      <c r="AF215" s="887" t="n"/>
      <c r="AG215" s="835" t="n"/>
      <c r="AH215" s="835" t="n"/>
      <c r="AI215" s="835" t="n"/>
      <c r="AJ215" s="835" t="n"/>
      <c r="AK215" s="887" t="n"/>
      <c r="AL215" s="835" t="n"/>
      <c r="AM215" s="835" t="n"/>
      <c r="AN215" s="835" t="n"/>
      <c r="AO215" s="835" t="n"/>
      <c r="AP215" s="887" t="n"/>
      <c r="AQ215" s="835" t="n"/>
      <c r="AR215" s="835" t="n"/>
      <c r="AS215" s="835" t="n"/>
      <c r="AT215" s="835" t="n"/>
      <c r="AU215" s="887" t="n"/>
      <c r="AV215" s="835" t="n"/>
      <c r="AW215" s="835" t="n"/>
      <c r="AX215" s="835" t="n"/>
      <c r="AY215" s="835" t="n"/>
      <c r="AZ215" s="887" t="n"/>
      <c r="BA215" s="835" t="n"/>
      <c r="BB215" s="835" t="n"/>
      <c r="BC215" s="835" t="n"/>
      <c r="BD215" s="835" t="n"/>
      <c r="BE215" s="887" t="n"/>
      <c r="BF215" s="835" t="n"/>
      <c r="BG215" s="835" t="n"/>
      <c r="BH215" s="835" t="n"/>
      <c r="BI215" s="835" t="n"/>
      <c r="BJ215" s="887" t="n"/>
      <c r="BK215" s="835" t="n"/>
      <c r="BL215" s="835" t="n"/>
      <c r="BM215" s="835" t="n"/>
      <c r="BN215" s="835" t="n"/>
      <c r="BO215" s="887" t="n"/>
      <c r="BP215" s="835" t="n"/>
      <c r="BQ215" s="835" t="n"/>
      <c r="BR215" s="835" t="n"/>
      <c r="BS215" s="835" t="n"/>
      <c r="BT215" s="887" t="n"/>
      <c r="BU215" s="835" t="n"/>
      <c r="BV215" s="835" t="n"/>
      <c r="BW215" s="835" t="n"/>
      <c r="BX215" s="835" t="n"/>
      <c r="BY215" s="887" t="n"/>
      <c r="BZ215" s="835" t="n"/>
      <c r="CA215" s="835" t="n"/>
      <c r="CB215" s="835" t="n"/>
      <c r="CC215" s="835" t="n"/>
      <c r="CD215" s="887" t="n"/>
      <c r="CE215" s="224" t="n"/>
      <c r="CF215" s="224" t="n"/>
      <c r="CG215" s="224" t="n"/>
      <c r="CH215" s="224" t="n"/>
      <c r="CI215" s="835" t="n"/>
      <c r="CJ215" s="835" t="n"/>
      <c r="CK215" s="835" t="n"/>
      <c r="CL215" s="835" t="n"/>
      <c r="CM215" s="835" t="n"/>
      <c r="CN215" s="224" t="n"/>
      <c r="CO215" s="684" t="n"/>
      <c r="CP215" s="224" t="n"/>
      <c r="CQ215" s="693" t="n"/>
    </row>
    <row r="216" ht="16.5" customHeight="1">
      <c r="B216" s="12" t="inlineStr">
        <is>
          <t xml:space="preserve">  Avg buyback price ($)</t>
        </is>
      </c>
      <c r="G216" s="862" t="n"/>
      <c r="L216" s="862" t="n"/>
      <c r="Q216" s="862" t="n"/>
      <c r="V216" s="862" t="n"/>
      <c r="AA216" s="862" t="n"/>
      <c r="AF216" s="862" t="n"/>
      <c r="AK216" s="862" t="n"/>
      <c r="AP216" s="862" t="n"/>
      <c r="AU216" s="862" t="n"/>
      <c r="AZ216" s="862" t="n"/>
      <c r="BE216" s="862" t="n"/>
      <c r="BJ216" s="862" t="n"/>
      <c r="BO216" s="862" t="n"/>
      <c r="BT216" s="862" t="n"/>
      <c r="BY216" s="862" t="n"/>
      <c r="CD216" s="862" t="n"/>
      <c r="CI216" s="774" t="n"/>
      <c r="CJ216" s="749">
        <f>CI216*(1+0.07)</f>
        <v/>
      </c>
      <c r="CK216" s="749">
        <f>CJ216*(1+0.07)</f>
        <v/>
      </c>
      <c r="CL216" s="749">
        <f>CK216*(1+0.07)</f>
        <v/>
      </c>
      <c r="CM216" s="749">
        <f>CL216*(1+0.07)</f>
        <v/>
      </c>
      <c r="CN216" s="291" t="n"/>
      <c r="CO216" s="766" t="n"/>
      <c r="CP216" s="291" t="n"/>
      <c r="CQ216" s="693" t="n"/>
    </row>
    <row r="217" ht="16.5" customHeight="1">
      <c r="B217" s="12" t="inlineStr">
        <is>
          <t xml:space="preserve">  Buyback cash deployed (CF row 197, $M)</t>
        </is>
      </c>
      <c r="G217" s="862" t="n"/>
      <c r="L217" s="862" t="n"/>
      <c r="Q217" s="862" t="n"/>
      <c r="V217" s="862" t="n"/>
      <c r="AA217" s="862" t="n"/>
      <c r="AF217" s="862" t="n"/>
      <c r="AK217" s="862" t="n"/>
      <c r="AP217" s="862" t="n"/>
      <c r="AU217" s="862" t="n"/>
      <c r="AZ217" s="862" t="n"/>
      <c r="BE217" s="862" t="n"/>
      <c r="BJ217" s="862" t="n"/>
      <c r="BO217" s="862" t="n"/>
      <c r="BT217" s="862" t="n"/>
      <c r="BY217" s="862" t="n"/>
      <c r="CD217" s="862" t="n"/>
      <c r="CI217" s="749">
        <f>ABS(CI199)</f>
        <v/>
      </c>
      <c r="CJ217" s="749">
        <f>ABS(CJ199)</f>
        <v/>
      </c>
      <c r="CK217" s="749">
        <f>ABS(CK199)</f>
        <v/>
      </c>
      <c r="CL217" s="749">
        <f>ABS(CL199)</f>
        <v/>
      </c>
      <c r="CM217" s="749">
        <f>ABS(CM199)</f>
        <v/>
      </c>
      <c r="CN217" s="706" t="n"/>
      <c r="CO217" s="707" t="n"/>
      <c r="CP217" s="706" t="n"/>
      <c r="CQ217" s="692" t="n"/>
    </row>
    <row r="218" ht="16.5" customHeight="1">
      <c r="B218" s="12" t="inlineStr">
        <is>
          <t xml:space="preserve">  Implied shares repurchased ('000)</t>
        </is>
      </c>
      <c r="G218" s="862" t="n"/>
      <c r="L218" s="862" t="n"/>
      <c r="Q218" s="862" t="n"/>
      <c r="V218" s="862" t="n"/>
      <c r="AA218" s="862" t="n"/>
      <c r="AF218" s="862" t="n"/>
      <c r="AK218" s="862" t="n"/>
      <c r="AP218" s="862" t="n"/>
      <c r="AU218" s="862" t="n"/>
      <c r="AZ218" s="862" t="n"/>
      <c r="BE218" s="862" t="n"/>
      <c r="BJ218" s="862" t="n"/>
      <c r="BO218" s="862" t="n"/>
      <c r="BT218" s="862" t="n"/>
      <c r="BY218" s="862" t="n"/>
      <c r="CD218" s="862" t="n"/>
      <c r="CI218" s="749">
        <f>CI217/CI216*1000</f>
        <v/>
      </c>
      <c r="CJ218" s="749">
        <f>CJ217/CJ216*1000</f>
        <v/>
      </c>
      <c r="CK218" s="749">
        <f>CK217/CK216*1000</f>
        <v/>
      </c>
      <c r="CL218" s="749">
        <f>CL217/CL216*1000</f>
        <v/>
      </c>
      <c r="CM218" s="749">
        <f>CM217/CM216*1000</f>
        <v/>
      </c>
      <c r="CN218" s="291" t="n"/>
      <c r="CO218" s="766" t="n"/>
      <c r="CP218" s="291" t="n"/>
      <c r="CQ218" s="693" t="n"/>
    </row>
    <row r="219" ht="16.5" customHeight="1">
      <c r="B219" s="12" t="inlineStr">
        <is>
          <t xml:space="preserve">  Beginning shares outstanding ('000)</t>
        </is>
      </c>
      <c r="G219" s="862" t="n"/>
      <c r="L219" s="862" t="n"/>
      <c r="Q219" s="862" t="n"/>
      <c r="V219" s="862" t="n"/>
      <c r="AA219" s="862" t="n"/>
      <c r="AF219" s="862" t="n"/>
      <c r="AK219" s="862" t="n"/>
      <c r="AP219" s="862" t="n"/>
      <c r="AU219" s="862" t="n"/>
      <c r="AZ219" s="862" t="n"/>
      <c r="BE219" s="862" t="n"/>
      <c r="BJ219" s="862" t="n"/>
      <c r="BO219" s="862" t="n"/>
      <c r="BT219" s="862" t="n"/>
      <c r="BY219" s="862" t="n"/>
      <c r="CD219" s="862" t="n"/>
      <c r="CI219" s="749">
        <f>CD139</f>
        <v/>
      </c>
      <c r="CJ219" s="749">
        <f>CI220</f>
        <v/>
      </c>
      <c r="CK219" s="749">
        <f>CJ220</f>
        <v/>
      </c>
      <c r="CL219" s="749">
        <f>CK220</f>
        <v/>
      </c>
      <c r="CM219" s="749">
        <f>CL220</f>
        <v/>
      </c>
      <c r="CN219" s="709" t="n"/>
      <c r="CO219" s="710" t="n"/>
      <c r="CP219" s="709" t="n"/>
      <c r="CQ219" s="693" t="n"/>
    </row>
    <row r="220" ht="16.5" customHeight="1">
      <c r="B220" s="12" t="inlineStr">
        <is>
          <t xml:space="preserve">  Ending shares outstanding ('000)</t>
        </is>
      </c>
      <c r="G220" s="862" t="n"/>
      <c r="L220" s="862" t="n"/>
      <c r="Q220" s="862" t="n"/>
      <c r="V220" s="862" t="n"/>
      <c r="AA220" s="862" t="n"/>
      <c r="AF220" s="862" t="n"/>
      <c r="AK220" s="862" t="n"/>
      <c r="AP220" s="862" t="n"/>
      <c r="AU220" s="862" t="n"/>
      <c r="AZ220" s="862" t="n"/>
      <c r="BE220" s="862" t="n"/>
      <c r="BJ220" s="862" t="n"/>
      <c r="BO220" s="862" t="n"/>
      <c r="BT220" s="862" t="n"/>
      <c r="BY220" s="862" t="n"/>
      <c r="CD220" s="862" t="n"/>
      <c r="CI220" s="749">
        <f>CI219-CI218</f>
        <v/>
      </c>
      <c r="CJ220" s="749">
        <f>CJ219-CJ218</f>
        <v/>
      </c>
      <c r="CK220" s="749">
        <f>CK219-CK218</f>
        <v/>
      </c>
      <c r="CL220" s="749">
        <f>CL219-CL218</f>
        <v/>
      </c>
      <c r="CM220" s="749">
        <f>CM219-CM218</f>
        <v/>
      </c>
      <c r="CN220" s="709" t="n"/>
      <c r="CO220" s="710" t="n"/>
      <c r="CP220" s="709" t="n"/>
      <c r="CQ220" s="693" t="n"/>
    </row>
    <row r="221" ht="16.5" customHeight="1">
      <c r="B221" s="12" t="inlineStr">
        <is>
          <t xml:space="preserve">  % of shares repurchased</t>
        </is>
      </c>
      <c r="G221" s="862" t="n"/>
      <c r="L221" s="862" t="n"/>
      <c r="Q221" s="862" t="n"/>
      <c r="V221" s="862" t="n"/>
      <c r="AA221" s="862" t="n"/>
      <c r="AF221" s="862" t="n"/>
      <c r="AK221" s="862" t="n"/>
      <c r="AP221" s="862" t="n"/>
      <c r="AU221" s="862" t="n"/>
      <c r="AZ221" s="862" t="n"/>
      <c r="BE221" s="862" t="n"/>
      <c r="BJ221" s="862" t="n"/>
      <c r="BO221" s="862" t="n"/>
      <c r="BT221" s="862" t="n"/>
      <c r="BY221" s="862" t="n"/>
      <c r="CD221" s="862" t="n"/>
      <c r="CI221" s="719">
        <f>IFERROR(CI218/CI219,"")</f>
        <v/>
      </c>
      <c r="CJ221" s="719">
        <f>IFERROR(CJ218/CJ219,"")</f>
        <v/>
      </c>
      <c r="CK221" s="719">
        <f>IFERROR(CK218/CK219,"")</f>
        <v/>
      </c>
      <c r="CL221" s="719">
        <f>IFERROR(CL218/CL219,"")</f>
        <v/>
      </c>
      <c r="CM221" s="719">
        <f>IFERROR(CM218/CM219,"")</f>
        <v/>
      </c>
      <c r="CN221" s="291" t="n"/>
      <c r="CO221" s="766" t="n"/>
      <c r="CP221" s="291" t="n"/>
      <c r="CQ221" s="694" t="n"/>
    </row>
    <row r="222" ht="16.5" customHeight="1">
      <c r="B222" s="12" t="inlineStr">
        <is>
          <t xml:space="preserve">  Memo: cumulative shares repurchased since 2026E</t>
        </is>
      </c>
      <c r="G222" s="862" t="n"/>
      <c r="L222" s="862" t="n"/>
      <c r="Q222" s="862" t="n"/>
      <c r="V222" s="862" t="n"/>
      <c r="AA222" s="862" t="n"/>
      <c r="AF222" s="862" t="n"/>
      <c r="AK222" s="862" t="n"/>
      <c r="AP222" s="862" t="n"/>
      <c r="AU222" s="862" t="n"/>
      <c r="AZ222" s="862" t="n"/>
      <c r="BE222" s="862" t="n"/>
      <c r="BJ222" s="862" t="n"/>
      <c r="BO222" s="862" t="n"/>
      <c r="BT222" s="862" t="n"/>
      <c r="BY222" s="862" t="n"/>
      <c r="CD222" s="862" t="n"/>
      <c r="CI222" s="749">
        <f>CI218</f>
        <v/>
      </c>
      <c r="CJ222" s="749">
        <f>CI222+CJ218</f>
        <v/>
      </c>
      <c r="CK222" s="749">
        <f>CJ222+CK218</f>
        <v/>
      </c>
      <c r="CL222" s="749">
        <f>CK222+CL218</f>
        <v/>
      </c>
      <c r="CM222" s="749">
        <f>CL222+CM218</f>
        <v/>
      </c>
      <c r="CN222" s="291" t="n"/>
      <c r="CO222" s="766" t="n"/>
      <c r="CP222" s="291" t="n"/>
      <c r="CQ222" s="694" t="n"/>
    </row>
    <row r="223" ht="16.5" customHeight="1">
      <c r="B223" s="221" t="inlineStr">
        <is>
          <t>CONSOLIDATED BALANCE SHEET (US GAAP)</t>
        </is>
      </c>
      <c r="G223" s="865" t="n"/>
      <c r="H223" s="222" t="n"/>
      <c r="I223" s="222" t="n"/>
      <c r="J223" s="222" t="n"/>
      <c r="K223" s="222" t="n"/>
      <c r="L223" s="865" t="n"/>
      <c r="M223" s="222" t="n"/>
      <c r="N223" s="222" t="n"/>
      <c r="O223" s="222" t="n"/>
      <c r="P223" s="222" t="n"/>
      <c r="Q223" s="865" t="n"/>
      <c r="R223" s="222" t="n"/>
      <c r="S223" s="222" t="n"/>
      <c r="T223" s="222" t="n"/>
      <c r="U223" s="222" t="n"/>
      <c r="V223" s="865" t="n"/>
      <c r="W223" s="222" t="n"/>
      <c r="X223" s="222" t="n"/>
      <c r="Y223" s="222" t="n"/>
      <c r="Z223" s="222" t="n"/>
      <c r="AA223" s="865" t="n"/>
      <c r="AB223" s="222" t="n"/>
      <c r="AC223" s="222" t="n"/>
      <c r="AD223" s="222" t="n"/>
      <c r="AE223" s="222" t="n"/>
      <c r="AF223" s="865" t="n"/>
      <c r="AG223" s="222" t="n"/>
      <c r="AH223" s="222" t="n"/>
      <c r="AI223" s="222" t="n"/>
      <c r="AJ223" s="222" t="n"/>
      <c r="AK223" s="865" t="n"/>
      <c r="AL223" s="222" t="n"/>
      <c r="AM223" s="222" t="n"/>
      <c r="AN223" s="222" t="n"/>
      <c r="AO223" s="222" t="n"/>
      <c r="AP223" s="865" t="n"/>
      <c r="AQ223" s="222" t="n"/>
      <c r="AR223" s="222" t="n"/>
      <c r="AS223" s="222" t="n"/>
      <c r="AT223" s="222" t="n"/>
      <c r="AU223" s="865" t="n"/>
      <c r="AV223" s="222" t="n"/>
      <c r="AW223" s="222" t="n"/>
      <c r="AX223" s="222" t="n"/>
      <c r="AY223" s="222" t="n"/>
      <c r="AZ223" s="865" t="n"/>
      <c r="BA223" s="222" t="n"/>
      <c r="BB223" s="222" t="n"/>
      <c r="BC223" s="222" t="n"/>
      <c r="BD223" s="222" t="n"/>
      <c r="BE223" s="865" t="n"/>
      <c r="BF223" s="222" t="n"/>
      <c r="BG223" s="222" t="n"/>
      <c r="BH223" s="222" t="n"/>
      <c r="BI223" s="222" t="n"/>
      <c r="BJ223" s="865" t="n"/>
      <c r="BK223" s="222" t="n"/>
      <c r="BL223" s="222" t="n"/>
      <c r="BM223" s="222" t="n"/>
      <c r="BN223" s="222" t="n"/>
      <c r="BO223" s="865" t="n"/>
      <c r="BP223" s="222" t="n"/>
      <c r="BQ223" s="222" t="n"/>
      <c r="BR223" s="222" t="n"/>
      <c r="BS223" s="222" t="n"/>
      <c r="BT223" s="865" t="n"/>
      <c r="BU223" s="222" t="n"/>
      <c r="BV223" s="222" t="n"/>
      <c r="BW223" s="222" t="n"/>
      <c r="BX223" s="222" t="n"/>
      <c r="BY223" s="865" t="n"/>
      <c r="BZ223" s="222" t="n"/>
      <c r="CA223" s="222" t="n"/>
      <c r="CB223" s="222" t="n"/>
      <c r="CC223" s="222" t="n"/>
      <c r="CD223" s="865" t="n"/>
      <c r="CE223" s="222" t="n"/>
      <c r="CF223" s="222" t="n"/>
      <c r="CG223" s="222" t="n"/>
      <c r="CH223" s="222" t="n"/>
      <c r="CI223" s="222" t="n"/>
      <c r="CJ223" s="222" t="n"/>
      <c r="CK223" s="222" t="n"/>
      <c r="CL223" s="222" t="n"/>
      <c r="CM223" s="222" t="n"/>
      <c r="CN223" s="222" t="n"/>
      <c r="CO223" s="687" t="n"/>
      <c r="CP223" s="222" t="n"/>
      <c r="CQ223" s="694" t="n"/>
    </row>
    <row r="224" ht="16.5" customHeight="1">
      <c r="B224" s="149" t="inlineStr">
        <is>
          <t>ASSETS</t>
        </is>
      </c>
      <c r="G224" s="867" t="n"/>
      <c r="H224" s="224" t="n"/>
      <c r="I224" s="224" t="n"/>
      <c r="J224" s="224" t="n"/>
      <c r="K224" s="224" t="n"/>
      <c r="L224" s="867" t="n"/>
      <c r="M224" s="224" t="n"/>
      <c r="N224" s="224" t="n"/>
      <c r="O224" s="224" t="n"/>
      <c r="P224" s="224" t="n"/>
      <c r="Q224" s="867" t="n"/>
      <c r="R224" s="224" t="n"/>
      <c r="S224" s="224" t="n"/>
      <c r="T224" s="224" t="n"/>
      <c r="U224" s="224" t="n"/>
      <c r="V224" s="867" t="n"/>
      <c r="W224" s="224" t="n"/>
      <c r="X224" s="224" t="n"/>
      <c r="Y224" s="224" t="n"/>
      <c r="Z224" s="224" t="n"/>
      <c r="AA224" s="867" t="n"/>
      <c r="AB224" s="224" t="n"/>
      <c r="AC224" s="224" t="n"/>
      <c r="AD224" s="224" t="n"/>
      <c r="AE224" s="224" t="n"/>
      <c r="AF224" s="867" t="n"/>
      <c r="AG224" s="224" t="n"/>
      <c r="AH224" s="224" t="n"/>
      <c r="AI224" s="224" t="n"/>
      <c r="AJ224" s="224" t="n"/>
      <c r="AK224" s="867" t="n"/>
      <c r="AL224" s="224" t="n"/>
      <c r="AM224" s="224" t="n"/>
      <c r="AN224" s="224" t="n"/>
      <c r="AO224" s="224" t="n"/>
      <c r="AP224" s="867" t="n"/>
      <c r="AQ224" s="224" t="n"/>
      <c r="AR224" s="224" t="n"/>
      <c r="AS224" s="224" t="n"/>
      <c r="AT224" s="224" t="n"/>
      <c r="AU224" s="867" t="n"/>
      <c r="AV224" s="224" t="n"/>
      <c r="AW224" s="224" t="n"/>
      <c r="AX224" s="224" t="n"/>
      <c r="AY224" s="224" t="n"/>
      <c r="AZ224" s="867" t="n"/>
      <c r="BA224" s="224" t="n"/>
      <c r="BB224" s="224" t="n"/>
      <c r="BC224" s="224" t="n"/>
      <c r="BD224" s="224" t="n"/>
      <c r="BE224" s="867" t="n"/>
      <c r="BF224" s="224" t="n"/>
      <c r="BG224" s="224" t="n"/>
      <c r="BH224" s="224" t="n"/>
      <c r="BI224" s="224" t="n"/>
      <c r="BJ224" s="867" t="n"/>
      <c r="BK224" s="224" t="n"/>
      <c r="BL224" s="224" t="n"/>
      <c r="BM224" s="224" t="n"/>
      <c r="BN224" s="224" t="n"/>
      <c r="BO224" s="867" t="n"/>
      <c r="BP224" s="224" t="n"/>
      <c r="BQ224" s="224" t="n"/>
      <c r="BR224" s="224" t="n"/>
      <c r="BS224" s="224" t="n"/>
      <c r="BT224" s="867" t="n"/>
      <c r="BU224" s="224" t="n"/>
      <c r="BV224" s="224" t="n"/>
      <c r="BW224" s="224" t="n"/>
      <c r="BX224" s="224" t="n"/>
      <c r="BY224" s="867" t="n"/>
      <c r="BZ224" s="224" t="n"/>
      <c r="CA224" s="224" t="n"/>
      <c r="CB224" s="224" t="n"/>
      <c r="CC224" s="224" t="n"/>
      <c r="CD224" s="867" t="n"/>
      <c r="CE224" s="224" t="n"/>
      <c r="CF224" s="224" t="n"/>
      <c r="CG224" s="224" t="n"/>
      <c r="CH224" s="224" t="n"/>
      <c r="CI224" s="224" t="n"/>
      <c r="CJ224" s="224" t="n"/>
      <c r="CK224" s="224" t="n"/>
      <c r="CL224" s="224" t="n"/>
      <c r="CM224" s="224" t="n"/>
      <c r="CN224" s="224" t="n"/>
      <c r="CO224" s="224" t="n"/>
      <c r="CP224" s="224" t="n"/>
      <c r="CQ224" s="224" t="n"/>
      <c r="CR224" s="153" t="n"/>
      <c r="CS224" s="224" t="n"/>
      <c r="CT224" s="224" t="n"/>
      <c r="CU224" s="224" t="n"/>
      <c r="CV224" s="224" t="n"/>
      <c r="CW224" s="153" t="n"/>
      <c r="CX224" s="224" t="n"/>
      <c r="CY224" s="224" t="n"/>
      <c r="CZ224" s="224" t="n"/>
      <c r="DA224" s="224" t="n"/>
      <c r="DB224" s="153" t="n"/>
      <c r="DC224" s="224" t="n"/>
      <c r="DD224" s="224" t="n"/>
      <c r="DE224" s="224" t="n"/>
      <c r="DF224" s="224" t="n"/>
      <c r="DG224" s="153" t="n"/>
      <c r="DH224" s="224" t="n"/>
      <c r="DI224" s="224" t="n"/>
      <c r="DJ224" s="224" t="n"/>
      <c r="DK224" s="224" t="n"/>
      <c r="DL224" s="224" t="n"/>
      <c r="DM224" s="224" t="n"/>
      <c r="DN224" s="684" t="n"/>
      <c r="DO224" s="224" t="n"/>
    </row>
    <row r="225" ht="16.5" customHeight="1">
      <c r="B225" s="149" t="inlineStr">
        <is>
          <t>Current assets:</t>
        </is>
      </c>
      <c r="G225" s="867" t="n"/>
      <c r="H225" s="224" t="n"/>
      <c r="I225" s="224" t="n"/>
      <c r="J225" s="224" t="n"/>
      <c r="K225" s="224" t="n"/>
      <c r="L225" s="867" t="n"/>
      <c r="M225" s="224" t="n"/>
      <c r="N225" s="224" t="n"/>
      <c r="O225" s="224" t="n"/>
      <c r="P225" s="224" t="n"/>
      <c r="Q225" s="867" t="n"/>
      <c r="R225" s="224" t="n"/>
      <c r="S225" s="224" t="n"/>
      <c r="T225" s="224" t="n"/>
      <c r="U225" s="224" t="n"/>
      <c r="V225" s="867" t="n"/>
      <c r="W225" s="224" t="n"/>
      <c r="X225" s="224" t="n"/>
      <c r="Y225" s="224" t="n"/>
      <c r="Z225" s="224" t="n"/>
      <c r="AA225" s="867" t="n"/>
      <c r="AB225" s="224" t="n"/>
      <c r="AC225" s="224" t="n"/>
      <c r="AD225" s="224" t="n"/>
      <c r="AE225" s="224" t="n"/>
      <c r="AF225" s="867" t="n"/>
      <c r="AG225" s="224" t="n"/>
      <c r="AH225" s="224" t="n"/>
      <c r="AI225" s="224" t="n"/>
      <c r="AJ225" s="224" t="n"/>
      <c r="AK225" s="867" t="n"/>
      <c r="AL225" s="224" t="n"/>
      <c r="AM225" s="224" t="n"/>
      <c r="AN225" s="224" t="n"/>
      <c r="AO225" s="224" t="n"/>
      <c r="AP225" s="867" t="n"/>
      <c r="AQ225" s="224" t="n"/>
      <c r="AR225" s="224" t="n"/>
      <c r="AS225" s="224" t="n"/>
      <c r="AT225" s="224" t="n"/>
      <c r="AU225" s="867" t="n"/>
      <c r="AV225" s="224" t="n"/>
      <c r="AW225" s="224" t="n"/>
      <c r="AX225" s="224" t="n"/>
      <c r="AY225" s="224" t="n"/>
      <c r="AZ225" s="867" t="n"/>
      <c r="BA225" s="224" t="n"/>
      <c r="BB225" s="224" t="n"/>
      <c r="BC225" s="224" t="n"/>
      <c r="BD225" s="224" t="n"/>
      <c r="BE225" s="867" t="n"/>
      <c r="BF225" s="224" t="n"/>
      <c r="BG225" s="224" t="n"/>
      <c r="BH225" s="224" t="n"/>
      <c r="BI225" s="224" t="n"/>
      <c r="BJ225" s="867" t="n"/>
      <c r="BK225" s="224" t="n"/>
      <c r="BL225" s="224" t="n"/>
      <c r="BM225" s="224" t="n"/>
      <c r="BN225" s="224" t="n"/>
      <c r="BO225" s="867" t="n"/>
      <c r="BP225" s="224" t="n"/>
      <c r="BQ225" s="224" t="n"/>
      <c r="BR225" s="224" t="n"/>
      <c r="BS225" s="224" t="n"/>
      <c r="BT225" s="867" t="n"/>
      <c r="BU225" s="224" t="n"/>
      <c r="BV225" s="224" t="n"/>
      <c r="BW225" s="224" t="n"/>
      <c r="BX225" s="224" t="n"/>
      <c r="BY225" s="867" t="n"/>
      <c r="BZ225" s="224" t="n"/>
      <c r="CA225" s="224" t="n"/>
      <c r="CB225" s="224" t="n"/>
      <c r="CC225" s="224" t="n"/>
      <c r="CD225" s="867" t="n"/>
      <c r="CE225" s="224" t="n"/>
      <c r="CF225" s="224" t="n"/>
      <c r="CG225" s="224" t="n"/>
      <c r="CH225" s="224" t="n"/>
      <c r="CI225" s="224" t="n"/>
      <c r="CJ225" s="224" t="n"/>
      <c r="CK225" s="224" t="n"/>
      <c r="CL225" s="224" t="n"/>
      <c r="CM225" s="224" t="n"/>
      <c r="CN225" s="224" t="n"/>
      <c r="CO225" s="224" t="n"/>
      <c r="CP225" s="224" t="n"/>
      <c r="CQ225" s="224" t="n"/>
      <c r="CR225" s="153" t="n"/>
      <c r="CS225" s="224" t="n"/>
      <c r="CT225" s="224" t="n"/>
      <c r="CU225" s="224" t="n"/>
      <c r="CV225" s="224" t="n"/>
      <c r="CW225" s="153" t="n"/>
      <c r="CX225" s="224" t="n"/>
      <c r="CY225" s="224" t="n"/>
      <c r="CZ225" s="224" t="n"/>
      <c r="DA225" s="224" t="n"/>
      <c r="DB225" s="153" t="n"/>
      <c r="DC225" s="224" t="n"/>
      <c r="DD225" s="224" t="n"/>
      <c r="DE225" s="224" t="n"/>
      <c r="DF225" s="224" t="n"/>
      <c r="DG225" s="153" t="n"/>
      <c r="DH225" s="224" t="n"/>
      <c r="DI225" s="224" t="n"/>
      <c r="DJ225" s="224" t="n"/>
      <c r="DK225" s="224" t="n"/>
      <c r="DL225" s="224" t="n"/>
      <c r="DM225" s="224" t="n"/>
      <c r="DN225" s="684" t="n"/>
      <c r="DO225" s="224" t="n"/>
    </row>
    <row r="226" ht="16.5" customHeight="1">
      <c r="B226" s="12" t="inlineStr">
        <is>
          <t xml:space="preserve">  Cash and cash equivalents</t>
        </is>
      </c>
      <c r="G226" s="888" t="n"/>
      <c r="H226" s="790" t="n"/>
      <c r="I226" s="790" t="n"/>
      <c r="J226" s="790" t="n"/>
      <c r="K226" s="790" t="n"/>
      <c r="L226" s="888" t="n"/>
      <c r="M226" s="790" t="n"/>
      <c r="N226" s="790" t="n"/>
      <c r="O226" s="790" t="n"/>
      <c r="P226" s="790" t="n"/>
      <c r="Q226" s="888" t="n"/>
      <c r="R226" s="790" t="n"/>
      <c r="S226" s="790" t="n"/>
      <c r="T226" s="790" t="n"/>
      <c r="U226" s="790" t="n"/>
      <c r="V226" s="888" t="n"/>
      <c r="W226" s="790" t="n"/>
      <c r="X226" s="790" t="n"/>
      <c r="Y226" s="790" t="n"/>
      <c r="Z226" s="790" t="n"/>
      <c r="AA226" s="888" t="n"/>
      <c r="AB226" s="790" t="n"/>
      <c r="AC226" s="790" t="n"/>
      <c r="AD226" s="790" t="n"/>
      <c r="AE226" s="790" t="n"/>
      <c r="AF226" s="888" t="n"/>
      <c r="AG226" s="790" t="n"/>
      <c r="AH226" s="790" t="n"/>
      <c r="AI226" s="790" t="n"/>
      <c r="AJ226" s="790" t="n"/>
      <c r="AK226" s="888" t="n"/>
      <c r="AL226" s="790" t="n"/>
      <c r="AM226" s="790" t="n"/>
      <c r="AN226" s="790" t="n"/>
      <c r="AO226" s="790" t="n"/>
      <c r="AP226" s="888" t="n"/>
      <c r="AQ226" s="790" t="n"/>
      <c r="AR226" s="790" t="n"/>
      <c r="AS226" s="790" t="n"/>
      <c r="AT226" s="790" t="n"/>
      <c r="AU226" s="888" t="n"/>
      <c r="AV226" s="790" t="n"/>
      <c r="AW226" s="790" t="n"/>
      <c r="AX226" s="790" t="n"/>
      <c r="AY226" s="790" t="n"/>
      <c r="AZ226" s="888" t="n">
        <v>0</v>
      </c>
      <c r="BA226" s="790" t="n"/>
      <c r="BB226" s="790" t="n"/>
      <c r="BC226" s="790" t="n"/>
      <c r="BD226" s="790" t="n"/>
      <c r="BE226" s="921" t="n">
        <v>4.297</v>
      </c>
      <c r="BF226" s="741">
        <f>BF207</f>
        <v/>
      </c>
      <c r="BG226" s="741">
        <f>BG207</f>
        <v/>
      </c>
      <c r="BH226" s="741">
        <f>BH207</f>
        <v/>
      </c>
      <c r="BI226" s="741">
        <f>BI207</f>
        <v/>
      </c>
      <c r="BJ226" s="921" t="n">
        <v>19.292</v>
      </c>
      <c r="BK226" s="741">
        <f>BK207</f>
        <v/>
      </c>
      <c r="BL226" s="741">
        <f>BL207</f>
        <v/>
      </c>
      <c r="BM226" s="741">
        <f>BM207</f>
        <v/>
      </c>
      <c r="BN226" s="741">
        <f>BN207</f>
        <v/>
      </c>
      <c r="BO226" s="921" t="n">
        <v>147.117</v>
      </c>
      <c r="BP226" s="741">
        <f>BP207</f>
        <v/>
      </c>
      <c r="BQ226" s="741">
        <f>BQ207</f>
        <v/>
      </c>
      <c r="BR226" s="741">
        <f>BR207</f>
        <v/>
      </c>
      <c r="BS226" s="741">
        <f>BS207</f>
        <v/>
      </c>
      <c r="BT226" s="921" t="n">
        <v>335.556</v>
      </c>
      <c r="BU226" s="741">
        <f>BU207</f>
        <v/>
      </c>
      <c r="BV226" s="741">
        <f>BV207</f>
        <v/>
      </c>
      <c r="BW226" s="741">
        <f>BW207</f>
        <v/>
      </c>
      <c r="BX226" s="741">
        <f>BY226</f>
        <v/>
      </c>
      <c r="BY226" s="888" t="n">
        <v>0</v>
      </c>
      <c r="BZ226" s="741">
        <f>BZ207</f>
        <v/>
      </c>
      <c r="CA226" s="741">
        <f>CA207</f>
        <v/>
      </c>
      <c r="CB226" s="741">
        <f>CB207</f>
        <v/>
      </c>
      <c r="CC226" s="741">
        <f>CC207</f>
        <v/>
      </c>
      <c r="CD226" s="921" t="n">
        <v>210.186</v>
      </c>
      <c r="CE226" s="742" t="n"/>
      <c r="CF226" s="742" t="n"/>
      <c r="CG226" s="741">
        <f>CG207</f>
        <v/>
      </c>
      <c r="CH226" s="741">
        <f>CH207</f>
        <v/>
      </c>
      <c r="CI226" s="791">
        <f>CI207</f>
        <v/>
      </c>
      <c r="CJ226" s="791">
        <f>CJ207</f>
        <v/>
      </c>
      <c r="CK226" s="791">
        <f>CK207</f>
        <v/>
      </c>
      <c r="CL226" s="791">
        <f>CL207</f>
        <v/>
      </c>
      <c r="CM226" s="791">
        <f>CM207</f>
        <v/>
      </c>
      <c r="CN226" s="291" t="n"/>
      <c r="CO226" s="766" t="n"/>
      <c r="CP226" s="291" t="n"/>
      <c r="CQ226" s="694" t="n"/>
    </row>
    <row r="227" ht="16.5" customHeight="1">
      <c r="B227" s="12" t="inlineStr">
        <is>
          <t xml:space="preserve">  Receivables, net</t>
        </is>
      </c>
      <c r="G227" s="888" t="n"/>
      <c r="H227" s="790" t="n"/>
      <c r="I227" s="790" t="n"/>
      <c r="J227" s="790" t="n"/>
      <c r="K227" s="790" t="n"/>
      <c r="L227" s="888" t="n"/>
      <c r="M227" s="790" t="n"/>
      <c r="N227" s="790" t="n"/>
      <c r="O227" s="790" t="n"/>
      <c r="P227" s="790" t="n"/>
      <c r="Q227" s="888" t="n"/>
      <c r="R227" s="790" t="n"/>
      <c r="S227" s="790" t="n"/>
      <c r="T227" s="790" t="n"/>
      <c r="U227" s="790" t="n"/>
      <c r="V227" s="888" t="n"/>
      <c r="W227" s="790" t="n"/>
      <c r="X227" s="790" t="n"/>
      <c r="Y227" s="790" t="n"/>
      <c r="Z227" s="790" t="n"/>
      <c r="AA227" s="888" t="n"/>
      <c r="AB227" s="790" t="n"/>
      <c r="AC227" s="790" t="n"/>
      <c r="AD227" s="790" t="n"/>
      <c r="AE227" s="790" t="n"/>
      <c r="AF227" s="888" t="n"/>
      <c r="AG227" s="790" t="n"/>
      <c r="AH227" s="790" t="n"/>
      <c r="AI227" s="790" t="n"/>
      <c r="AJ227" s="790" t="n"/>
      <c r="AK227" s="888" t="n"/>
      <c r="AL227" s="790" t="n"/>
      <c r="AM227" s="790" t="n"/>
      <c r="AN227" s="790" t="n"/>
      <c r="AO227" s="790" t="n"/>
      <c r="AP227" s="888" t="n"/>
      <c r="AQ227" s="790" t="n"/>
      <c r="AR227" s="790" t="n"/>
      <c r="AS227" s="790" t="n"/>
      <c r="AT227" s="790" t="n"/>
      <c r="AU227" s="888" t="n"/>
      <c r="AV227" s="790" t="n"/>
      <c r="AW227" s="790" t="n"/>
      <c r="AX227" s="790" t="n"/>
      <c r="AY227" s="790" t="n"/>
      <c r="AZ227" s="888" t="n">
        <v>452.241</v>
      </c>
      <c r="BA227" s="790" t="n"/>
      <c r="BB227" s="790" t="n"/>
      <c r="BC227" s="790" t="n"/>
      <c r="BD227" s="790" t="n"/>
      <c r="BE227" s="888" t="n">
        <v>597.873</v>
      </c>
      <c r="BF227" s="742" t="n"/>
      <c r="BG227" s="742" t="n"/>
      <c r="BH227" s="742" t="n"/>
      <c r="BI227" s="742" t="n"/>
      <c r="BJ227" s="888" t="n">
        <v>1056.023</v>
      </c>
      <c r="BK227" s="742" t="n"/>
      <c r="BL227" s="742" t="n"/>
      <c r="BM227" s="742" t="n"/>
      <c r="BN227" s="741">
        <f>BO227</f>
        <v/>
      </c>
      <c r="BO227" s="888" t="n">
        <v>1030.726</v>
      </c>
      <c r="BP227" s="742" t="n"/>
      <c r="BQ227" s="742" t="n"/>
      <c r="BR227" s="742" t="n"/>
      <c r="BS227" s="741">
        <f>BT227</f>
        <v/>
      </c>
      <c r="BT227" s="888" t="n">
        <v>894.771</v>
      </c>
      <c r="BU227" s="742" t="n"/>
      <c r="BV227" s="742" t="n"/>
      <c r="BW227" s="742" t="n"/>
      <c r="BX227" s="741">
        <f>BY227</f>
        <v/>
      </c>
      <c r="BY227" s="888" t="n">
        <v>927.654</v>
      </c>
      <c r="BZ227" s="742" t="n"/>
      <c r="CA227" s="742" t="n"/>
      <c r="CB227" s="742" t="n"/>
      <c r="CC227" s="741">
        <f>CD227</f>
        <v/>
      </c>
      <c r="CD227" s="888" t="n">
        <v>881.432</v>
      </c>
      <c r="CE227" s="742" t="n"/>
      <c r="CF227" s="742" t="n"/>
      <c r="CG227" s="741">
        <f>CG114*CF268/90</f>
        <v/>
      </c>
      <c r="CH227" s="741">
        <f>CH114*CG268/90</f>
        <v/>
      </c>
      <c r="CI227" s="791">
        <f>CI114*CI268/365</f>
        <v/>
      </c>
      <c r="CJ227" s="791">
        <f>CJ114*CJ268/365</f>
        <v/>
      </c>
      <c r="CK227" s="791">
        <f>CK114*CK268/365</f>
        <v/>
      </c>
      <c r="CL227" s="791">
        <f>CL114*CL268/365</f>
        <v/>
      </c>
      <c r="CM227" s="791">
        <f>CM114*CM268/365</f>
        <v/>
      </c>
      <c r="CN227" s="291" t="n"/>
      <c r="CO227" s="766" t="n"/>
      <c r="CP227" s="291" t="n"/>
      <c r="CQ227" s="694" t="n"/>
    </row>
    <row r="228" ht="16.5" customHeight="1">
      <c r="B228" t="inlineStr">
        <is>
          <t xml:space="preserve">  Inventories, net</t>
        </is>
      </c>
      <c r="C228" s="743" t="n"/>
      <c r="D228" s="743" t="n"/>
      <c r="E228" s="743" t="n"/>
      <c r="F228" s="743" t="n"/>
      <c r="G228" s="868" t="n"/>
      <c r="H228" s="743" t="n"/>
      <c r="I228" s="743" t="n"/>
      <c r="J228" s="743" t="n"/>
      <c r="K228" s="743" t="n"/>
      <c r="L228" s="868" t="n"/>
      <c r="M228" s="743" t="n"/>
      <c r="N228" s="743" t="n"/>
      <c r="O228" s="743" t="n"/>
      <c r="P228" s="743" t="n"/>
      <c r="Q228" s="868" t="n"/>
      <c r="R228" s="743" t="n"/>
      <c r="S228" s="743" t="n"/>
      <c r="T228" s="743" t="n"/>
      <c r="U228" s="743" t="n"/>
      <c r="V228" s="868" t="n"/>
      <c r="W228" s="743" t="n"/>
      <c r="X228" s="743" t="n"/>
      <c r="Y228" s="743" t="n"/>
      <c r="Z228" s="743" t="n"/>
      <c r="AA228" s="868" t="n"/>
      <c r="AB228" s="743" t="n"/>
      <c r="AC228" s="743" t="n"/>
      <c r="AD228" s="743" t="n"/>
      <c r="AE228" s="743" t="n"/>
      <c r="AF228" s="868" t="n"/>
      <c r="AG228" s="743" t="n"/>
      <c r="AH228" s="743" t="n"/>
      <c r="AI228" s="743" t="n"/>
      <c r="AJ228" s="743" t="n"/>
      <c r="AK228" s="868" t="n"/>
      <c r="AL228" s="743" t="n"/>
      <c r="AM228" s="291" t="n"/>
      <c r="AN228" s="291" t="n"/>
      <c r="AO228" s="291" t="n"/>
      <c r="AP228" s="868" t="n"/>
      <c r="AQ228" s="291" t="n"/>
      <c r="AR228" s="291" t="n"/>
      <c r="AS228" s="291" t="n"/>
      <c r="AT228" s="291" t="n"/>
      <c r="AU228" s="868" t="n"/>
      <c r="AV228" s="291" t="n"/>
      <c r="AW228" s="291" t="n"/>
      <c r="AX228" s="291" t="n"/>
      <c r="AY228" s="291" t="n"/>
      <c r="AZ228" s="868" t="n">
        <v>10.659</v>
      </c>
      <c r="BA228" s="291" t="n"/>
      <c r="BB228" s="291" t="n"/>
      <c r="BC228" s="291" t="n"/>
      <c r="BD228" s="291" t="n"/>
      <c r="BE228" s="868" t="n">
        <v>8.760999999999999</v>
      </c>
      <c r="BF228" s="743" t="n"/>
      <c r="BG228" s="743" t="n"/>
      <c r="BH228" s="743" t="n"/>
      <c r="BI228" s="291" t="n"/>
      <c r="BJ228" s="868" t="n">
        <v>24.402</v>
      </c>
      <c r="BK228" s="743" t="n"/>
      <c r="BL228" s="743" t="n"/>
      <c r="BM228" s="743" t="n"/>
      <c r="BN228" s="291">
        <f>BO228</f>
        <v/>
      </c>
      <c r="BO228" s="868" t="n">
        <v>24.181</v>
      </c>
      <c r="BP228" s="743" t="n"/>
      <c r="BQ228" s="743" t="n"/>
      <c r="BR228" s="743" t="n"/>
      <c r="BS228" s="291">
        <f>BT228</f>
        <v/>
      </c>
      <c r="BT228" s="868" t="n">
        <v>23.964</v>
      </c>
      <c r="BU228" s="743" t="n"/>
      <c r="BV228" s="743" t="n"/>
      <c r="BW228" s="743" t="n"/>
      <c r="BX228" s="291">
        <f>BY228</f>
        <v/>
      </c>
      <c r="BY228" s="868" t="n">
        <v>17.962</v>
      </c>
      <c r="BZ228" s="743" t="n"/>
      <c r="CA228" s="743" t="n"/>
      <c r="CB228" s="743" t="n"/>
      <c r="CC228" s="291">
        <f>CD228</f>
        <v/>
      </c>
      <c r="CD228" s="868" t="n">
        <v>19.529</v>
      </c>
      <c r="CE228" s="743" t="n"/>
      <c r="CF228" s="743" t="n"/>
      <c r="CG228" s="291">
        <f>CG115*CF269/90</f>
        <v/>
      </c>
      <c r="CH228" s="291">
        <f>CH115*CG269/90</f>
        <v/>
      </c>
      <c r="CI228" s="749">
        <f>CI115*CI269/365</f>
        <v/>
      </c>
      <c r="CJ228" s="749">
        <f>CJ115*CJ269/365</f>
        <v/>
      </c>
      <c r="CK228" s="749">
        <f>CK115*CK269/365</f>
        <v/>
      </c>
      <c r="CL228" s="749">
        <f>CL115*CL269/365</f>
        <v/>
      </c>
      <c r="CM228" s="749">
        <f>CM115*CM269/365</f>
        <v/>
      </c>
      <c r="CN228" s="291" t="n"/>
      <c r="CO228" s="766" t="n"/>
      <c r="CP228" s="291" t="n"/>
      <c r="CQ228" s="694" t="n"/>
    </row>
    <row r="229" ht="16.5" customHeight="1">
      <c r="B229" t="inlineStr">
        <is>
          <t xml:space="preserve">  Prepaid expenses and other current assets</t>
        </is>
      </c>
      <c r="C229" s="833" t="n"/>
      <c r="D229" s="833" t="n"/>
      <c r="E229" s="833" t="n"/>
      <c r="F229" s="833" t="n"/>
      <c r="G229" s="884" t="n"/>
      <c r="H229" s="833" t="n"/>
      <c r="I229" s="833" t="n"/>
      <c r="J229" s="833" t="n"/>
      <c r="K229" s="833" t="n"/>
      <c r="L229" s="884" t="n"/>
      <c r="M229" s="833" t="n"/>
      <c r="N229" s="833" t="n"/>
      <c r="O229" s="833" t="n"/>
      <c r="P229" s="833" t="n"/>
      <c r="Q229" s="884" t="n"/>
      <c r="R229" s="833" t="n"/>
      <c r="S229" s="833" t="n"/>
      <c r="T229" s="833" t="n"/>
      <c r="U229" s="833" t="n"/>
      <c r="V229" s="884" t="n"/>
      <c r="W229" s="833" t="n"/>
      <c r="X229" s="833" t="n"/>
      <c r="Y229" s="833" t="n"/>
      <c r="Z229" s="833" t="n"/>
      <c r="AA229" s="884" t="n"/>
      <c r="AB229" s="833" t="n"/>
      <c r="AC229" s="833" t="n"/>
      <c r="AD229" s="833" t="n"/>
      <c r="AE229" s="833" t="n"/>
      <c r="AF229" s="884" t="n"/>
      <c r="AG229" s="833" t="n"/>
      <c r="AH229" s="833" t="n"/>
      <c r="AI229" s="833" t="n"/>
      <c r="AJ229" s="833" t="n"/>
      <c r="AK229" s="884" t="n"/>
      <c r="AL229" s="833" t="n"/>
      <c r="AM229" s="834" t="n"/>
      <c r="AN229" s="834" t="n"/>
      <c r="AO229" s="834" t="n"/>
      <c r="AP229" s="884" t="n"/>
      <c r="AQ229" s="834" t="n"/>
      <c r="AR229" s="834" t="n"/>
      <c r="AS229" s="834" t="n"/>
      <c r="AT229" s="834" t="n"/>
      <c r="AU229" s="884" t="n"/>
      <c r="AV229" s="834" t="n"/>
      <c r="AW229" s="834" t="n"/>
      <c r="AX229" s="834" t="n"/>
      <c r="AY229" s="834" t="n"/>
      <c r="AZ229" s="884" t="n"/>
      <c r="BA229" s="834" t="n"/>
      <c r="BB229" s="834" t="n"/>
      <c r="BC229" s="834" t="n"/>
      <c r="BD229" s="834" t="n"/>
      <c r="BE229" s="884" t="n"/>
      <c r="BF229" s="833" t="n"/>
      <c r="BG229" s="833" t="n"/>
      <c r="BH229" s="833" t="n"/>
      <c r="BI229" s="834" t="n"/>
      <c r="BJ229" s="884" t="n"/>
      <c r="BK229" s="833" t="n"/>
      <c r="BL229" s="833" t="n"/>
      <c r="BM229" s="833" t="n"/>
      <c r="BN229" s="834">
        <f>BO229</f>
        <v/>
      </c>
      <c r="BO229" s="884" t="n"/>
      <c r="BP229" s="833" t="n"/>
      <c r="BQ229" s="833" t="n"/>
      <c r="BR229" s="833" t="n"/>
      <c r="BS229" s="834">
        <f>BT229</f>
        <v/>
      </c>
      <c r="BT229" s="884" t="n"/>
      <c r="BU229" s="833" t="n"/>
      <c r="BV229" s="833" t="n"/>
      <c r="BW229" s="833" t="n"/>
      <c r="BX229" s="834">
        <f>BY229</f>
        <v/>
      </c>
      <c r="BY229" s="884" t="n"/>
      <c r="BZ229" s="833" t="n"/>
      <c r="CA229" s="833" t="n"/>
      <c r="CB229" s="833" t="n"/>
      <c r="CC229" s="834">
        <f>CD229</f>
        <v/>
      </c>
      <c r="CD229" s="884" t="n"/>
      <c r="CE229" s="743" t="n"/>
      <c r="CF229" s="743" t="n"/>
      <c r="CG229" s="291">
        <f>CF229*CG114/CF114</f>
        <v/>
      </c>
      <c r="CH229" s="291">
        <f>CG229*CH114/CG114</f>
        <v/>
      </c>
      <c r="CI229" s="856">
        <f>CI114*CI275</f>
        <v/>
      </c>
      <c r="CJ229" s="856">
        <f>CJ114*CJ275</f>
        <v/>
      </c>
      <c r="CK229" s="856">
        <f>CK114*CK275</f>
        <v/>
      </c>
      <c r="CL229" s="856">
        <f>CL114*CL275</f>
        <v/>
      </c>
      <c r="CM229" s="856">
        <f>CM114*CM275</f>
        <v/>
      </c>
      <c r="CN229" s="291" t="n"/>
      <c r="CO229" s="766" t="n"/>
      <c r="CP229" s="291" t="n"/>
      <c r="CQ229" s="693" t="n"/>
    </row>
    <row r="230" ht="16.5" customHeight="1">
      <c r="B230" s="711" t="inlineStr">
        <is>
          <t>Total current assets</t>
        </is>
      </c>
      <c r="C230" s="678" t="n"/>
      <c r="D230" s="678" t="n"/>
      <c r="E230" s="678" t="n"/>
      <c r="F230" s="678" t="n"/>
      <c r="G230" s="870">
        <f>SUM(G221:G229)</f>
        <v/>
      </c>
      <c r="H230" s="678" t="n"/>
      <c r="I230" s="678" t="n"/>
      <c r="J230" s="678" t="n"/>
      <c r="K230" s="678" t="n"/>
      <c r="L230" s="870">
        <f>SUM(L221:L229)</f>
        <v/>
      </c>
      <c r="M230" s="678" t="n"/>
      <c r="N230" s="678" t="n"/>
      <c r="O230" s="678" t="n"/>
      <c r="P230" s="678" t="n"/>
      <c r="Q230" s="870">
        <f>SUM(Q221:Q229)</f>
        <v/>
      </c>
      <c r="R230" s="678" t="n"/>
      <c r="S230" s="678" t="n"/>
      <c r="T230" s="678" t="n"/>
      <c r="U230" s="678" t="n"/>
      <c r="V230" s="870">
        <f>SUM(V221:V229)</f>
        <v/>
      </c>
      <c r="W230" s="678" t="n"/>
      <c r="X230" s="678" t="n"/>
      <c r="Y230" s="678" t="n"/>
      <c r="Z230" s="678" t="n"/>
      <c r="AA230" s="870">
        <f>SUM(AA221:AA229)</f>
        <v/>
      </c>
      <c r="AB230" s="678" t="n"/>
      <c r="AC230" s="678" t="n"/>
      <c r="AD230" s="678" t="n"/>
      <c r="AE230" s="678" t="n"/>
      <c r="AF230" s="870">
        <f>SUM(AF221:AF229)</f>
        <v/>
      </c>
      <c r="AG230" s="678" t="n"/>
      <c r="AH230" s="678" t="n"/>
      <c r="AI230" s="678" t="n"/>
      <c r="AJ230" s="678" t="n"/>
      <c r="AK230" s="870">
        <f>SUM(AK221:AK229)</f>
        <v/>
      </c>
      <c r="AL230" s="678" t="n"/>
      <c r="AM230" s="678" t="n"/>
      <c r="AN230" s="678" t="n"/>
      <c r="AO230" s="678" t="n"/>
      <c r="AP230" s="870">
        <f>SUM(AP221:AP229)</f>
        <v/>
      </c>
      <c r="AQ230" s="678" t="n"/>
      <c r="AR230" s="678" t="n"/>
      <c r="AS230" s="678" t="n"/>
      <c r="AT230" s="678" t="n"/>
      <c r="AU230" s="870">
        <f>SUM(AU221:AU229)</f>
        <v/>
      </c>
      <c r="AV230" s="678" t="n"/>
      <c r="AW230" s="678" t="n"/>
      <c r="AX230" s="678" t="n"/>
      <c r="AY230" s="678" t="n"/>
      <c r="AZ230" s="870" t="n">
        <v>526.5839999999999</v>
      </c>
      <c r="BA230" s="678" t="n"/>
      <c r="BB230" s="678" t="n"/>
      <c r="BC230" s="678" t="n"/>
      <c r="BD230" s="678" t="n"/>
      <c r="BE230" s="870" t="n">
        <v>652.772</v>
      </c>
      <c r="BF230" s="678">
        <f>SUM(BF226:BF229)</f>
        <v/>
      </c>
      <c r="BG230" s="678">
        <f>SUM(BG226:BG229)</f>
        <v/>
      </c>
      <c r="BH230" s="678">
        <f>SUM(BH226:BH229)</f>
        <v/>
      </c>
      <c r="BI230" s="678">
        <f>SUM(BI226:BI229)</f>
        <v/>
      </c>
      <c r="BJ230" s="870" t="n">
        <v>1162.258</v>
      </c>
      <c r="BK230" s="678">
        <f>SUM(BK226:BK229)</f>
        <v/>
      </c>
      <c r="BL230" s="678">
        <f>SUM(BL226:BL229)</f>
        <v/>
      </c>
      <c r="BM230" s="678">
        <f>SUM(BM226:BM229)</f>
        <v/>
      </c>
      <c r="BN230" s="678">
        <f>SUM(BN226:BN229)</f>
        <v/>
      </c>
      <c r="BO230" s="870" t="n">
        <v>1263.563</v>
      </c>
      <c r="BP230" s="678">
        <f>SUM(BP226:BP229)</f>
        <v/>
      </c>
      <c r="BQ230" s="678">
        <f>SUM(BQ226:BQ229)</f>
        <v/>
      </c>
      <c r="BR230" s="678">
        <f>SUM(BR226:BR229)</f>
        <v/>
      </c>
      <c r="BS230" s="678">
        <f>SUM(BS226:BS229)</f>
        <v/>
      </c>
      <c r="BT230" s="870" t="n">
        <v>1335.999</v>
      </c>
      <c r="BU230" s="678">
        <f>SUM(BU226:BU229)</f>
        <v/>
      </c>
      <c r="BV230" s="678">
        <f>SUM(BV226:BV229)</f>
        <v/>
      </c>
      <c r="BW230" s="678">
        <f>SUM(BW226:BW229)</f>
        <v/>
      </c>
      <c r="BX230" s="678">
        <f>SUM(BX226:BX229)</f>
        <v/>
      </c>
      <c r="BY230" s="870" t="n">
        <v>1037.049</v>
      </c>
      <c r="BZ230" s="678">
        <f>SUM(BZ226:BZ229)</f>
        <v/>
      </c>
      <c r="CA230" s="678">
        <f>SUM(CA226:CA229)</f>
        <v/>
      </c>
      <c r="CB230" s="678">
        <f>SUM(CB226:CB229)</f>
        <v/>
      </c>
      <c r="CC230" s="678">
        <f>SUM(CC226:CC229)</f>
        <v/>
      </c>
      <c r="CD230" s="870" t="n">
        <v>1209.162</v>
      </c>
      <c r="CE230" s="678">
        <f>SUM(CE226:CE229)</f>
        <v/>
      </c>
      <c r="CF230" s="678">
        <f>SUM(CF226:CF229)</f>
        <v/>
      </c>
      <c r="CG230" s="678">
        <f>SUM(CG226:CG229)</f>
        <v/>
      </c>
      <c r="CH230" s="678">
        <f>SUM(CH226:CH229)</f>
        <v/>
      </c>
      <c r="CI230" s="752">
        <f>SUM(CI226:CI229)</f>
        <v/>
      </c>
      <c r="CJ230" s="752">
        <f>SUM(CJ226:CJ229)</f>
        <v/>
      </c>
      <c r="CK230" s="752">
        <f>SUM(CK226:CK229)</f>
        <v/>
      </c>
      <c r="CL230" s="752">
        <f>SUM(CL226:CL229)</f>
        <v/>
      </c>
      <c r="CM230" s="752">
        <f>SUM(CM226:CM229)</f>
        <v/>
      </c>
      <c r="CN230" s="678" t="n"/>
      <c r="CO230" s="689" t="n"/>
      <c r="CP230" s="678" t="n"/>
      <c r="CQ230" s="693" t="n"/>
    </row>
    <row r="231" ht="16.5" customHeight="1">
      <c r="B231" s="690" t="inlineStr">
        <is>
          <t>Property, plant and equipment, net</t>
        </is>
      </c>
      <c r="C231" s="743" t="n"/>
      <c r="D231" s="743" t="n"/>
      <c r="E231" s="743" t="n"/>
      <c r="F231" s="743" t="n"/>
      <c r="G231" s="868" t="n"/>
      <c r="H231" s="743" t="n"/>
      <c r="I231" s="743" t="n"/>
      <c r="J231" s="743" t="n"/>
      <c r="K231" s="743" t="n"/>
      <c r="L231" s="868" t="n"/>
      <c r="M231" s="743" t="n"/>
      <c r="N231" s="743" t="n"/>
      <c r="O231" s="743" t="n"/>
      <c r="P231" s="743" t="n"/>
      <c r="Q231" s="868" t="n"/>
      <c r="R231" s="743" t="n"/>
      <c r="S231" s="743" t="n"/>
      <c r="T231" s="743" t="n"/>
      <c r="U231" s="743" t="n"/>
      <c r="V231" s="868" t="n"/>
      <c r="W231" s="743" t="n"/>
      <c r="X231" s="743" t="n"/>
      <c r="Y231" s="743" t="n"/>
      <c r="Z231" s="743" t="n"/>
      <c r="AA231" s="868" t="n"/>
      <c r="AB231" s="743" t="n"/>
      <c r="AC231" s="743" t="n"/>
      <c r="AD231" s="743" t="n"/>
      <c r="AE231" s="743" t="n"/>
      <c r="AF231" s="868" t="n"/>
      <c r="AG231" s="743" t="n"/>
      <c r="AH231" s="743" t="n"/>
      <c r="AI231" s="743" t="n"/>
      <c r="AJ231" s="743" t="n"/>
      <c r="AK231" s="868" t="n"/>
      <c r="AL231" s="743" t="n"/>
      <c r="AM231" s="291" t="n"/>
      <c r="AN231" s="291" t="n"/>
      <c r="AO231" s="291" t="n"/>
      <c r="AP231" s="868" t="n"/>
      <c r="AQ231" s="291" t="n"/>
      <c r="AR231" s="291" t="n"/>
      <c r="AS231" s="291" t="n"/>
      <c r="AT231" s="291" t="n"/>
      <c r="AU231" s="868" t="n"/>
      <c r="AV231" s="291" t="n"/>
      <c r="AW231" s="291" t="n"/>
      <c r="AX231" s="291" t="n"/>
      <c r="AY231" s="291" t="n"/>
      <c r="AZ231" s="868" t="n">
        <v>1125.429</v>
      </c>
      <c r="BA231" s="291" t="n"/>
      <c r="BB231" s="291" t="n"/>
      <c r="BC231" s="291" t="n"/>
      <c r="BD231" s="291" t="n"/>
      <c r="BE231" s="868" t="n">
        <v>1074.428</v>
      </c>
      <c r="BF231" s="743" t="n"/>
      <c r="BG231" s="743" t="n"/>
      <c r="BH231" s="743" t="n"/>
      <c r="BI231" s="291" t="n"/>
      <c r="BJ231" s="868" t="n">
        <v>2455.141</v>
      </c>
      <c r="BK231" s="743" t="n"/>
      <c r="BL231" s="743" t="n"/>
      <c r="BM231" s="743" t="n"/>
      <c r="BN231" s="291">
        <f>BO231</f>
        <v/>
      </c>
      <c r="BO231" s="868" t="n">
        <v>2131.955</v>
      </c>
      <c r="BP231" s="743" t="n"/>
      <c r="BQ231" s="743" t="n"/>
      <c r="BR231" s="743" t="n"/>
      <c r="BS231" s="291">
        <f>BT231</f>
        <v/>
      </c>
      <c r="BT231" s="868" t="n">
        <v>2415.472</v>
      </c>
      <c r="BU231" s="743" t="n"/>
      <c r="BV231" s="743" t="n"/>
      <c r="BW231" s="743" t="n"/>
      <c r="BX231" s="291">
        <f>BY231</f>
        <v/>
      </c>
      <c r="BY231" s="868" t="n">
        <v>2891.087</v>
      </c>
      <c r="BZ231" s="743" t="n"/>
      <c r="CA231" s="743" t="n"/>
      <c r="CB231" s="743" t="n"/>
      <c r="CC231" s="291">
        <f>CD231</f>
        <v/>
      </c>
      <c r="CD231" s="868" t="n">
        <v>2779.326</v>
      </c>
      <c r="CE231" s="743" t="n"/>
      <c r="CF231" s="743" t="n"/>
      <c r="CG231" s="291">
        <f>CF231+(-CG189)-CG176</f>
        <v/>
      </c>
      <c r="CH231" s="291">
        <f>CG231+(-CH189)-CH176</f>
        <v/>
      </c>
      <c r="CI231" s="749">
        <f>CD231+(-CI189)-CI176</f>
        <v/>
      </c>
      <c r="CJ231" s="749">
        <f>CI231+(-CJ189)-CJ176</f>
        <v/>
      </c>
      <c r="CK231" s="749">
        <f>CJ231+(-CK189)-CK176</f>
        <v/>
      </c>
      <c r="CL231" s="749">
        <f>CK231+(-CL189)-CL176</f>
        <v/>
      </c>
      <c r="CM231" s="749">
        <f>CL231+(-CM189)-CM176</f>
        <v/>
      </c>
      <c r="CN231" s="291" t="n"/>
      <c r="CO231" s="766" t="n"/>
      <c r="CP231" s="291" t="n"/>
      <c r="CQ231" s="694" t="n"/>
    </row>
    <row r="232" ht="16.5" customHeight="1">
      <c r="B232" s="690" t="inlineStr">
        <is>
          <t>Goodwill</t>
        </is>
      </c>
      <c r="C232" s="743" t="n"/>
      <c r="D232" s="743" t="n"/>
      <c r="E232" s="743" t="n"/>
      <c r="F232" s="743" t="n"/>
      <c r="G232" s="868" t="n"/>
      <c r="H232" s="743" t="n"/>
      <c r="I232" s="743" t="n"/>
      <c r="J232" s="743" t="n"/>
      <c r="K232" s="743" t="n"/>
      <c r="L232" s="868" t="n"/>
      <c r="M232" s="743" t="n"/>
      <c r="N232" s="743" t="n"/>
      <c r="O232" s="743" t="n"/>
      <c r="P232" s="743" t="n"/>
      <c r="Q232" s="868" t="n"/>
      <c r="R232" s="743" t="n"/>
      <c r="S232" s="743" t="n"/>
      <c r="T232" s="743" t="n"/>
      <c r="U232" s="743" t="n"/>
      <c r="V232" s="868" t="n"/>
      <c r="W232" s="743" t="n"/>
      <c r="X232" s="743" t="n"/>
      <c r="Y232" s="743" t="n"/>
      <c r="Z232" s="743" t="n"/>
      <c r="AA232" s="868" t="n"/>
      <c r="AB232" s="743" t="n"/>
      <c r="AC232" s="743" t="n"/>
      <c r="AD232" s="743" t="n"/>
      <c r="AE232" s="743" t="n"/>
      <c r="AF232" s="868" t="n"/>
      <c r="AG232" s="743" t="n"/>
      <c r="AH232" s="743" t="n"/>
      <c r="AI232" s="743" t="n"/>
      <c r="AJ232" s="743" t="n"/>
      <c r="AK232" s="868" t="n"/>
      <c r="AL232" s="743" t="n"/>
      <c r="AM232" s="291" t="n"/>
      <c r="AN232" s="291" t="n"/>
      <c r="AO232" s="291" t="n"/>
      <c r="AP232" s="868" t="n"/>
      <c r="AQ232" s="291" t="n"/>
      <c r="AR232" s="291" t="n"/>
      <c r="AS232" s="291" t="n"/>
      <c r="AT232" s="291" t="n"/>
      <c r="AU232" s="868" t="n"/>
      <c r="AV232" s="291" t="n"/>
      <c r="AW232" s="291" t="n"/>
      <c r="AX232" s="291" t="n"/>
      <c r="AY232" s="291" t="n"/>
      <c r="AZ232" s="868" t="n">
        <v>62.116</v>
      </c>
      <c r="BA232" s="291" t="n"/>
      <c r="BB232" s="291" t="n"/>
      <c r="BC232" s="291" t="n"/>
      <c r="BD232" s="291" t="n"/>
      <c r="BE232" s="868" t="n">
        <v>173.323</v>
      </c>
      <c r="BF232" s="743" t="n"/>
      <c r="BG232" s="743" t="n"/>
      <c r="BH232" s="743" t="n"/>
      <c r="BI232" s="291" t="n"/>
      <c r="BJ232" s="868" t="n">
        <v>49.221</v>
      </c>
      <c r="BK232" s="743" t="n"/>
      <c r="BL232" s="743" t="n"/>
      <c r="BM232" s="743" t="n"/>
      <c r="BN232" s="291">
        <f>BO232</f>
        <v/>
      </c>
      <c r="BO232" s="868" t="n">
        <v>59.188</v>
      </c>
      <c r="BP232" s="743" t="n"/>
      <c r="BQ232" s="743" t="n"/>
      <c r="BR232" s="743" t="n"/>
      <c r="BS232" s="291">
        <f>BT232</f>
        <v/>
      </c>
      <c r="BT232" s="868" t="n"/>
      <c r="BU232" s="743" t="n"/>
      <c r="BV232" s="743" t="n"/>
      <c r="BW232" s="743" t="n"/>
      <c r="BX232" s="291">
        <f>BY232</f>
        <v/>
      </c>
      <c r="BY232" s="868" t="n"/>
      <c r="BZ232" s="743" t="n"/>
      <c r="CA232" s="743" t="n"/>
      <c r="CB232" s="743" t="n"/>
      <c r="CC232" s="291">
        <f>CD232</f>
        <v/>
      </c>
      <c r="CD232" s="868" t="n"/>
      <c r="CE232" s="743" t="n"/>
      <c r="CF232" s="743" t="n"/>
      <c r="CG232" s="291">
        <f>CF232</f>
        <v/>
      </c>
      <c r="CH232" s="291">
        <f>CG232</f>
        <v/>
      </c>
      <c r="CI232" s="749">
        <f>CD232</f>
        <v/>
      </c>
      <c r="CJ232" s="749">
        <f>CI232</f>
        <v/>
      </c>
      <c r="CK232" s="749">
        <f>CJ232</f>
        <v/>
      </c>
      <c r="CL232" s="749">
        <f>CK232</f>
        <v/>
      </c>
      <c r="CM232" s="749">
        <f>CL232</f>
        <v/>
      </c>
      <c r="CN232" s="291" t="n"/>
      <c r="CO232" s="766" t="n"/>
      <c r="CP232" s="291" t="n"/>
      <c r="CQ232" s="694" t="n"/>
    </row>
    <row r="233" ht="16.5" customHeight="1">
      <c r="B233" s="690" t="inlineStr">
        <is>
          <t>Intangible assets, net</t>
        </is>
      </c>
      <c r="C233" s="743" t="n"/>
      <c r="D233" s="743" t="n"/>
      <c r="E233" s="743" t="n"/>
      <c r="F233" s="743" t="n"/>
      <c r="G233" s="868" t="n"/>
      <c r="H233" s="743" t="n"/>
      <c r="I233" s="743" t="n"/>
      <c r="J233" s="743" t="n"/>
      <c r="K233" s="743" t="n"/>
      <c r="L233" s="868" t="n"/>
      <c r="M233" s="743" t="n"/>
      <c r="N233" s="743" t="n"/>
      <c r="O233" s="743" t="n"/>
      <c r="P233" s="743" t="n"/>
      <c r="Q233" s="868" t="n"/>
      <c r="R233" s="743" t="n"/>
      <c r="S233" s="743" t="n"/>
      <c r="T233" s="743" t="n"/>
      <c r="U233" s="743" t="n"/>
      <c r="V233" s="868" t="n"/>
      <c r="W233" s="743" t="n"/>
      <c r="X233" s="743" t="n"/>
      <c r="Y233" s="743" t="n"/>
      <c r="Z233" s="743" t="n"/>
      <c r="AA233" s="868" t="n"/>
      <c r="AB233" s="743" t="n"/>
      <c r="AC233" s="743" t="n"/>
      <c r="AD233" s="743" t="n"/>
      <c r="AE233" s="743" t="n"/>
      <c r="AF233" s="868" t="n"/>
      <c r="AG233" s="743" t="n"/>
      <c r="AH233" s="743" t="n"/>
      <c r="AI233" s="743" t="n"/>
      <c r="AJ233" s="743" t="n"/>
      <c r="AK233" s="868" t="n"/>
      <c r="AL233" s="743" t="n"/>
      <c r="AM233" s="291" t="n"/>
      <c r="AN233" s="291" t="n"/>
      <c r="AO233" s="291" t="n"/>
      <c r="AP233" s="868" t="n"/>
      <c r="AQ233" s="291" t="n"/>
      <c r="AR233" s="291" t="n"/>
      <c r="AS233" s="291" t="n"/>
      <c r="AT233" s="291" t="n"/>
      <c r="AU233" s="868" t="n"/>
      <c r="AV233" s="291" t="n"/>
      <c r="AW233" s="291" t="n"/>
      <c r="AX233" s="291" t="n"/>
      <c r="AY233" s="291" t="n"/>
      <c r="AZ233" s="868" t="n">
        <v>1505.16</v>
      </c>
      <c r="BA233" s="291" t="n"/>
      <c r="BB233" s="291" t="n"/>
      <c r="BC233" s="291" t="n"/>
      <c r="BD233" s="291" t="n"/>
      <c r="BE233" s="868" t="n">
        <v>1747.663</v>
      </c>
      <c r="BF233" s="743" t="n"/>
      <c r="BG233" s="743" t="n"/>
      <c r="BH233" s="743" t="n"/>
      <c r="BI233" s="291" t="n"/>
      <c r="BJ233" s="868" t="n">
        <v>1792.921</v>
      </c>
      <c r="BK233" s="743" t="n"/>
      <c r="BL233" s="743" t="n"/>
      <c r="BM233" s="743" t="n"/>
      <c r="BN233" s="291">
        <f>BO233</f>
        <v/>
      </c>
      <c r="BO233" s="868" t="n">
        <v>1592.11</v>
      </c>
      <c r="BP233" s="743" t="n"/>
      <c r="BQ233" s="743" t="n"/>
      <c r="BR233" s="743" t="n"/>
      <c r="BS233" s="291">
        <f>BT233</f>
        <v/>
      </c>
      <c r="BT233" s="868" t="n">
        <v>2019.301</v>
      </c>
      <c r="BU233" s="743" t="n"/>
      <c r="BV233" s="743" t="n"/>
      <c r="BW233" s="743" t="n"/>
      <c r="BX233" s="291">
        <f>BY233</f>
        <v/>
      </c>
      <c r="BY233" s="868" t="n">
        <v>2642.933</v>
      </c>
      <c r="BZ233" s="743" t="n"/>
      <c r="CA233" s="743" t="n"/>
      <c r="CB233" s="743" t="n"/>
      <c r="CC233" s="291">
        <f>CD233</f>
        <v/>
      </c>
      <c r="CD233" s="868" t="n">
        <v>2864.436</v>
      </c>
      <c r="CE233" s="743" t="n"/>
      <c r="CF233" s="743" t="n"/>
      <c r="CG233" s="291">
        <f>CF233-CG177</f>
        <v/>
      </c>
      <c r="CH233" s="291">
        <f>CG233-CH177</f>
        <v/>
      </c>
      <c r="CI233" s="749">
        <f>CD233-CI177</f>
        <v/>
      </c>
      <c r="CJ233" s="749">
        <f>CI233-CJ177</f>
        <v/>
      </c>
      <c r="CK233" s="749">
        <f>CJ233-CK177</f>
        <v/>
      </c>
      <c r="CL233" s="749">
        <f>CK233-CL177</f>
        <v/>
      </c>
      <c r="CM233" s="749">
        <f>CL233-CM177</f>
        <v/>
      </c>
      <c r="CN233" s="291" t="n"/>
      <c r="CO233" s="766" t="n"/>
      <c r="CP233" s="291" t="n"/>
      <c r="CQ233" s="694" t="n"/>
    </row>
    <row r="234" ht="16.5" customHeight="1">
      <c r="B234" s="690" t="inlineStr">
        <is>
          <t>Operating lease right-of-use assets</t>
        </is>
      </c>
      <c r="C234" s="743" t="n"/>
      <c r="D234" s="743" t="n"/>
      <c r="E234" s="743" t="n"/>
      <c r="F234" s="743" t="n"/>
      <c r="G234" s="868" t="n"/>
      <c r="H234" s="743" t="n"/>
      <c r="I234" s="743" t="n"/>
      <c r="J234" s="743" t="n"/>
      <c r="K234" s="743" t="n"/>
      <c r="L234" s="868" t="n"/>
      <c r="M234" s="743" t="n"/>
      <c r="N234" s="743" t="n"/>
      <c r="O234" s="743" t="n"/>
      <c r="P234" s="743" t="n"/>
      <c r="Q234" s="868" t="n"/>
      <c r="R234" s="743" t="n"/>
      <c r="S234" s="743" t="n"/>
      <c r="T234" s="743" t="n"/>
      <c r="U234" s="743" t="n"/>
      <c r="V234" s="868" t="n"/>
      <c r="W234" s="743" t="n"/>
      <c r="X234" s="743" t="n"/>
      <c r="Y234" s="743" t="n"/>
      <c r="Z234" s="743" t="n"/>
      <c r="AA234" s="868" t="n"/>
      <c r="AB234" s="743" t="n"/>
      <c r="AC234" s="743" t="n"/>
      <c r="AD234" s="743" t="n"/>
      <c r="AE234" s="743" t="n"/>
      <c r="AF234" s="868" t="n"/>
      <c r="AG234" s="743" t="n"/>
      <c r="AH234" s="743" t="n"/>
      <c r="AI234" s="743" t="n"/>
      <c r="AJ234" s="743" t="n"/>
      <c r="AK234" s="868" t="n"/>
      <c r="AL234" s="743" t="n"/>
      <c r="AM234" s="291" t="n"/>
      <c r="AN234" s="291" t="n"/>
      <c r="AO234" s="291" t="n"/>
      <c r="AP234" s="868" t="n"/>
      <c r="AQ234" s="291" t="n"/>
      <c r="AR234" s="291" t="n"/>
      <c r="AS234" s="291" t="n"/>
      <c r="AT234" s="291" t="n"/>
      <c r="AU234" s="868" t="n"/>
      <c r="AV234" s="291" t="n"/>
      <c r="AW234" s="291" t="n"/>
      <c r="AX234" s="291" t="n"/>
      <c r="AY234" s="291" t="n"/>
      <c r="AZ234" s="868" t="n">
        <v>334.168</v>
      </c>
      <c r="BA234" s="291" t="n"/>
      <c r="BB234" s="291" t="n"/>
      <c r="BC234" s="291" t="n"/>
      <c r="BD234" s="291" t="n"/>
      <c r="BE234" s="868" t="n">
        <v>337.285</v>
      </c>
      <c r="BF234" s="743" t="n"/>
      <c r="BG234" s="743" t="n"/>
      <c r="BH234" s="743" t="n"/>
      <c r="BI234" s="291" t="n"/>
      <c r="BJ234" s="868" t="n">
        <v>398.533</v>
      </c>
      <c r="BK234" s="743" t="n"/>
      <c r="BL234" s="743" t="n"/>
      <c r="BM234" s="743" t="n"/>
      <c r="BN234" s="291">
        <f>BO234</f>
        <v/>
      </c>
      <c r="BO234" s="868" t="n">
        <v>381.64</v>
      </c>
      <c r="BP234" s="743" t="n"/>
      <c r="BQ234" s="743" t="n"/>
      <c r="BR234" s="743" t="n"/>
      <c r="BS234" s="291">
        <f>BT234</f>
        <v/>
      </c>
      <c r="BT234" s="868" t="n">
        <v>425.63</v>
      </c>
      <c r="BU234" s="743" t="n"/>
      <c r="BV234" s="743" t="n"/>
      <c r="BW234" s="743" t="n"/>
      <c r="BX234" s="291">
        <f>BY234</f>
        <v/>
      </c>
      <c r="BY234" s="868" t="n">
        <v>536.748</v>
      </c>
      <c r="BZ234" s="743" t="n"/>
      <c r="CA234" s="743" t="n"/>
      <c r="CB234" s="743" t="n"/>
      <c r="CC234" s="291">
        <f>CD234</f>
        <v/>
      </c>
      <c r="CD234" s="868" t="n">
        <v>590.216</v>
      </c>
      <c r="CE234" s="743" t="n"/>
      <c r="CF234" s="743" t="n"/>
      <c r="CG234" s="291">
        <f>CF234</f>
        <v/>
      </c>
      <c r="CH234" s="291">
        <f>CG234</f>
        <v/>
      </c>
      <c r="CI234" s="749">
        <f>CD234</f>
        <v/>
      </c>
      <c r="CJ234" s="749">
        <f>CI234</f>
        <v/>
      </c>
      <c r="CK234" s="749">
        <f>CJ234</f>
        <v/>
      </c>
      <c r="CL234" s="749">
        <f>CK234</f>
        <v/>
      </c>
      <c r="CM234" s="749">
        <f>CL234</f>
        <v/>
      </c>
      <c r="CN234" s="291" t="n"/>
      <c r="CO234" s="766" t="n"/>
      <c r="CP234" s="291" t="n"/>
      <c r="CQ234" s="693" t="n"/>
    </row>
    <row r="235" ht="16.5" customHeight="1">
      <c r="B235" s="690" t="inlineStr">
        <is>
          <t>Deferred income taxes</t>
        </is>
      </c>
      <c r="C235" s="743" t="n"/>
      <c r="D235" s="743" t="n"/>
      <c r="E235" s="743" t="n"/>
      <c r="F235" s="743" t="n"/>
      <c r="G235" s="868" t="n"/>
      <c r="H235" s="743" t="n"/>
      <c r="I235" s="743" t="n"/>
      <c r="J235" s="743" t="n"/>
      <c r="K235" s="743" t="n"/>
      <c r="L235" s="868" t="n"/>
      <c r="M235" s="743" t="n"/>
      <c r="N235" s="743" t="n"/>
      <c r="O235" s="743" t="n"/>
      <c r="P235" s="743" t="n"/>
      <c r="Q235" s="868" t="n"/>
      <c r="R235" s="743" t="n"/>
      <c r="S235" s="743" t="n"/>
      <c r="T235" s="743" t="n"/>
      <c r="U235" s="743" t="n"/>
      <c r="V235" s="868" t="n"/>
      <c r="W235" s="743" t="n"/>
      <c r="X235" s="743" t="n"/>
      <c r="Y235" s="743" t="n"/>
      <c r="Z235" s="743" t="n"/>
      <c r="AA235" s="868" t="n"/>
      <c r="AB235" s="743" t="n"/>
      <c r="AC235" s="743" t="n"/>
      <c r="AD235" s="743" t="n"/>
      <c r="AE235" s="743" t="n"/>
      <c r="AF235" s="868" t="n"/>
      <c r="AG235" s="743" t="n"/>
      <c r="AH235" s="743" t="n"/>
      <c r="AI235" s="743" t="n"/>
      <c r="AJ235" s="743" t="n"/>
      <c r="AK235" s="868" t="n"/>
      <c r="AL235" s="743" t="n"/>
      <c r="AM235" s="291" t="n"/>
      <c r="AN235" s="291" t="n"/>
      <c r="AO235" s="291" t="n"/>
      <c r="AP235" s="868" t="n"/>
      <c r="AQ235" s="291" t="n"/>
      <c r="AR235" s="291" t="n"/>
      <c r="AS235" s="291" t="n"/>
      <c r="AT235" s="291" t="n"/>
      <c r="AU235" s="868" t="n"/>
      <c r="AV235" s="291" t="n"/>
      <c r="AW235" s="291" t="n"/>
      <c r="AX235" s="291" t="n"/>
      <c r="AY235" s="291" t="n"/>
      <c r="AZ235" s="868" t="n">
        <v>8.824</v>
      </c>
      <c r="BA235" s="291" t="n"/>
      <c r="BB235" s="291" t="n"/>
      <c r="BC235" s="291" t="n"/>
      <c r="BD235" s="291" t="n"/>
      <c r="BE235" s="868" t="n">
        <v>11.207</v>
      </c>
      <c r="BF235" s="743" t="n"/>
      <c r="BG235" s="743" t="n"/>
      <c r="BH235" s="743" t="n"/>
      <c r="BI235" s="291" t="n"/>
      <c r="BJ235" s="868" t="n">
        <v>29.695</v>
      </c>
      <c r="BK235" s="743" t="n"/>
      <c r="BL235" s="743" t="n"/>
      <c r="BM235" s="743" t="n"/>
      <c r="BN235" s="291">
        <f>BO235</f>
        <v/>
      </c>
      <c r="BO235" s="868" t="n">
        <v>27.047</v>
      </c>
      <c r="BP235" s="743" t="n"/>
      <c r="BQ235" s="743" t="n"/>
      <c r="BR235" s="743" t="n"/>
      <c r="BS235" s="291">
        <f>BT235</f>
        <v/>
      </c>
      <c r="BT235" s="868" t="n">
        <v>20.615</v>
      </c>
      <c r="BU235" s="743" t="n"/>
      <c r="BV235" s="743" t="n"/>
      <c r="BW235" s="743" t="n"/>
      <c r="BX235" s="291">
        <f>BY235</f>
        <v/>
      </c>
      <c r="BY235" s="868" t="n">
        <v>13.724</v>
      </c>
      <c r="BZ235" s="743" t="n"/>
      <c r="CA235" s="743" t="n"/>
      <c r="CB235" s="743" t="n"/>
      <c r="CC235" s="291">
        <f>CD235</f>
        <v/>
      </c>
      <c r="CD235" s="868" t="n">
        <v>10.412</v>
      </c>
      <c r="CE235" s="743" t="n"/>
      <c r="CF235" s="743" t="n"/>
      <c r="CG235" s="291">
        <f>CF235</f>
        <v/>
      </c>
      <c r="CH235" s="291">
        <f>CG235</f>
        <v/>
      </c>
      <c r="CI235" s="749">
        <f>CD235</f>
        <v/>
      </c>
      <c r="CJ235" s="749">
        <f>CI235</f>
        <v/>
      </c>
      <c r="CK235" s="749">
        <f>CJ235</f>
        <v/>
      </c>
      <c r="CL235" s="749">
        <f>CK235</f>
        <v/>
      </c>
      <c r="CM235" s="749">
        <f>CL235</f>
        <v/>
      </c>
      <c r="CN235" s="291" t="n"/>
      <c r="CO235" s="766" t="n"/>
      <c r="CP235" s="291" t="n"/>
      <c r="CQ235" s="693" t="n"/>
    </row>
    <row r="236" ht="16.5" customHeight="1">
      <c r="B236" s="690" t="inlineStr">
        <is>
          <t>Other assets</t>
        </is>
      </c>
      <c r="C236" s="743" t="n"/>
      <c r="D236" s="743" t="n"/>
      <c r="E236" s="743" t="n"/>
      <c r="F236" s="743" t="n"/>
      <c r="G236" s="868" t="n"/>
      <c r="H236" s="743" t="n"/>
      <c r="I236" s="743" t="n"/>
      <c r="J236" s="743" t="n"/>
      <c r="K236" s="743" t="n"/>
      <c r="L236" s="868" t="n"/>
      <c r="M236" s="743" t="n"/>
      <c r="N236" s="743" t="n"/>
      <c r="O236" s="743" t="n"/>
      <c r="P236" s="743" t="n"/>
      <c r="Q236" s="868" t="n"/>
      <c r="R236" s="743" t="n"/>
      <c r="S236" s="743" t="n"/>
      <c r="T236" s="743" t="n"/>
      <c r="U236" s="743" t="n"/>
      <c r="V236" s="868" t="n"/>
      <c r="W236" s="743" t="n"/>
      <c r="X236" s="743" t="n"/>
      <c r="Y236" s="743" t="n"/>
      <c r="Z236" s="743" t="n"/>
      <c r="AA236" s="868" t="n"/>
      <c r="AB236" s="743" t="n"/>
      <c r="AC236" s="743" t="n"/>
      <c r="AD236" s="743" t="n"/>
      <c r="AE236" s="743" t="n"/>
      <c r="AF236" s="868" t="n"/>
      <c r="AG236" s="743" t="n"/>
      <c r="AH236" s="743" t="n"/>
      <c r="AI236" s="743" t="n"/>
      <c r="AJ236" s="743" t="n"/>
      <c r="AK236" s="868" t="n"/>
      <c r="AL236" s="743" t="n"/>
      <c r="AM236" s="291" t="n"/>
      <c r="AN236" s="291" t="n"/>
      <c r="AO236" s="291" t="n"/>
      <c r="AP236" s="868" t="n"/>
      <c r="AQ236" s="291" t="n"/>
      <c r="AR236" s="291" t="n"/>
      <c r="AS236" s="291" t="n"/>
      <c r="AT236" s="291" t="n"/>
      <c r="AU236" s="868" t="n"/>
      <c r="AV236" s="291" t="n"/>
      <c r="AW236" s="291" t="n"/>
      <c r="AX236" s="291" t="n"/>
      <c r="AY236" s="291" t="n"/>
      <c r="AZ236" s="868" t="n">
        <v>8.654999999999999</v>
      </c>
      <c r="BA236" s="291" t="n"/>
      <c r="BB236" s="291" t="n"/>
      <c r="BC236" s="291" t="n"/>
      <c r="BD236" s="291" t="n"/>
      <c r="BE236" s="868" t="n">
        <v>23.899</v>
      </c>
      <c r="BF236" s="743" t="n"/>
      <c r="BG236" s="743" t="n"/>
      <c r="BH236" s="743" t="n"/>
      <c r="BI236" s="291" t="n"/>
      <c r="BJ236" s="868" t="n">
        <v>13.724</v>
      </c>
      <c r="BK236" s="743" t="n"/>
      <c r="BL236" s="743" t="n"/>
      <c r="BM236" s="743" t="n"/>
      <c r="BN236" s="291">
        <f>BO236</f>
        <v/>
      </c>
      <c r="BO236" s="868" t="n">
        <v>19.192</v>
      </c>
      <c r="BP236" s="743" t="n"/>
      <c r="BQ236" s="743" t="n"/>
      <c r="BR236" s="743" t="n"/>
      <c r="BS236" s="291">
        <f>BT236</f>
        <v/>
      </c>
      <c r="BT236" s="868" t="n">
        <v>16.394</v>
      </c>
      <c r="BU236" s="743" t="n"/>
      <c r="BV236" s="743" t="n"/>
      <c r="BW236" s="743" t="n"/>
      <c r="BX236" s="291">
        <f>BY236</f>
        <v/>
      </c>
      <c r="BY236" s="868" t="n">
        <v>22.188</v>
      </c>
      <c r="BZ236" s="743" t="n"/>
      <c r="CA236" s="743" t="n"/>
      <c r="CB236" s="743" t="n"/>
      <c r="CC236" s="291">
        <f>CD236</f>
        <v/>
      </c>
      <c r="CD236" s="868" t="n">
        <v>30.729</v>
      </c>
      <c r="CE236" s="743" t="n"/>
      <c r="CF236" s="743" t="n"/>
      <c r="CG236" s="291">
        <f>CF236</f>
        <v/>
      </c>
      <c r="CH236" s="291">
        <f>CG236</f>
        <v/>
      </c>
      <c r="CI236" s="749">
        <f>CD236</f>
        <v/>
      </c>
      <c r="CJ236" s="749">
        <f>CI236</f>
        <v/>
      </c>
      <c r="CK236" s="749">
        <f>CJ236</f>
        <v/>
      </c>
      <c r="CL236" s="749">
        <f>CK236</f>
        <v/>
      </c>
      <c r="CM236" s="749">
        <f>CL236</f>
        <v/>
      </c>
      <c r="CN236" s="291" t="n"/>
      <c r="CO236" s="766" t="n"/>
      <c r="CP236" s="291" t="n"/>
      <c r="CQ236" s="693" t="n"/>
    </row>
    <row r="237" ht="16.5" customHeight="1" thickBot="1">
      <c r="B237" s="747" t="inlineStr">
        <is>
          <t>TOTAL ASSETS</t>
        </is>
      </c>
      <c r="C237" s="819" t="n"/>
      <c r="D237" s="819" t="n"/>
      <c r="E237" s="819" t="n"/>
      <c r="F237" s="819" t="n"/>
      <c r="G237" s="880">
        <f>G230+SUM(G231:G236)</f>
        <v/>
      </c>
      <c r="H237" s="819" t="n"/>
      <c r="I237" s="819" t="n"/>
      <c r="J237" s="819" t="n"/>
      <c r="K237" s="819" t="n"/>
      <c r="L237" s="880">
        <f>L230+SUM(L231:L236)</f>
        <v/>
      </c>
      <c r="M237" s="819" t="n"/>
      <c r="N237" s="819" t="n"/>
      <c r="O237" s="819" t="n"/>
      <c r="P237" s="819" t="n"/>
      <c r="Q237" s="880">
        <f>Q230+SUM(Q231:Q236)</f>
        <v/>
      </c>
      <c r="R237" s="819" t="n"/>
      <c r="S237" s="819" t="n"/>
      <c r="T237" s="819" t="n"/>
      <c r="U237" s="819" t="n"/>
      <c r="V237" s="880">
        <f>V230+SUM(V231:V236)</f>
        <v/>
      </c>
      <c r="W237" s="819" t="n"/>
      <c r="X237" s="819" t="n"/>
      <c r="Y237" s="819" t="n"/>
      <c r="Z237" s="819" t="n"/>
      <c r="AA237" s="880">
        <f>AA230+SUM(AA231:AA236)</f>
        <v/>
      </c>
      <c r="AB237" s="819" t="n"/>
      <c r="AC237" s="819" t="n"/>
      <c r="AD237" s="819" t="n"/>
      <c r="AE237" s="819" t="n"/>
      <c r="AF237" s="880">
        <f>AF230+SUM(AF231:AF236)</f>
        <v/>
      </c>
      <c r="AG237" s="819" t="n"/>
      <c r="AH237" s="819" t="n"/>
      <c r="AI237" s="819" t="n"/>
      <c r="AJ237" s="819" t="n"/>
      <c r="AK237" s="880">
        <f>AK230+SUM(AK231:AK236)</f>
        <v/>
      </c>
      <c r="AL237" s="819" t="n"/>
      <c r="AM237" s="819" t="n"/>
      <c r="AN237" s="819" t="n"/>
      <c r="AO237" s="819" t="n"/>
      <c r="AP237" s="880">
        <f>AP230+SUM(AP231:AP236)</f>
        <v/>
      </c>
      <c r="AQ237" s="819" t="n"/>
      <c r="AR237" s="819" t="n"/>
      <c r="AS237" s="819" t="n"/>
      <c r="AT237" s="819" t="n"/>
      <c r="AU237" s="880">
        <f>AU230+SUM(AU231:AU236)</f>
        <v/>
      </c>
      <c r="AV237" s="819" t="n"/>
      <c r="AW237" s="819" t="n"/>
      <c r="AX237" s="819" t="n"/>
      <c r="AY237" s="819" t="n"/>
      <c r="AZ237" s="880" t="n">
        <v>3508.82</v>
      </c>
      <c r="BA237" s="819" t="n"/>
      <c r="BB237" s="819" t="n"/>
      <c r="BC237" s="819" t="n"/>
      <c r="BD237" s="819" t="n"/>
      <c r="BE237" s="880" t="n">
        <v>3847.254</v>
      </c>
      <c r="BF237" s="819">
        <f>BF230+SUM(BF231:BF236)</f>
        <v/>
      </c>
      <c r="BG237" s="819">
        <f>BG230+SUM(BG231:BG236)</f>
        <v/>
      </c>
      <c r="BH237" s="819">
        <f>BH230+SUM(BH231:BH236)</f>
        <v/>
      </c>
      <c r="BI237" s="819">
        <f>BI230+SUM(BI231:BI236)</f>
        <v/>
      </c>
      <c r="BJ237" s="880" t="n">
        <v>5883.663</v>
      </c>
      <c r="BK237" s="819">
        <f>BK230+SUM(BK231:BK236)</f>
        <v/>
      </c>
      <c r="BL237" s="819">
        <f>BL230+SUM(BL231:BL236)</f>
        <v/>
      </c>
      <c r="BM237" s="819">
        <f>BM230+SUM(BM231:BM236)</f>
        <v/>
      </c>
      <c r="BN237" s="819">
        <f>BN230+SUM(BN231:BN236)</f>
        <v/>
      </c>
      <c r="BO237" s="880" t="n">
        <v>5505.83</v>
      </c>
      <c r="BP237" s="819">
        <f>BP230+SUM(BP231:BP236)</f>
        <v/>
      </c>
      <c r="BQ237" s="819">
        <f>BQ230+SUM(BQ231:BQ236)</f>
        <v/>
      </c>
      <c r="BR237" s="819">
        <f>BR230+SUM(BR231:BR236)</f>
        <v/>
      </c>
      <c r="BS237" s="819">
        <f>BS230+SUM(BS231:BS236)</f>
        <v/>
      </c>
      <c r="BT237" s="880" t="n">
        <v>6283.62</v>
      </c>
      <c r="BU237" s="819">
        <f>BU230+SUM(BU231:BU236)</f>
        <v/>
      </c>
      <c r="BV237" s="819">
        <f>BV230+SUM(BV231:BV236)</f>
        <v/>
      </c>
      <c r="BW237" s="819">
        <f>BW230+SUM(BW231:BW236)</f>
        <v/>
      </c>
      <c r="BX237" s="819">
        <f>BX230+SUM(BX231:BX236)</f>
        <v/>
      </c>
      <c r="BY237" s="880" t="n">
        <v>7165.826</v>
      </c>
      <c r="BZ237" s="819">
        <f>BZ230+SUM(BZ231:BZ236)</f>
        <v/>
      </c>
      <c r="CA237" s="819">
        <f>CA230+SUM(CA231:CA236)</f>
        <v/>
      </c>
      <c r="CB237" s="819">
        <f>CB230+SUM(CB231:CB236)</f>
        <v/>
      </c>
      <c r="CC237" s="819">
        <f>CC230+SUM(CC231:CC236)</f>
        <v/>
      </c>
      <c r="CD237" s="880" t="n">
        <v>7509.235</v>
      </c>
      <c r="CE237" s="274">
        <f>CE230+SUM(CE231:CE236)</f>
        <v/>
      </c>
      <c r="CF237" s="274">
        <f>CF230+SUM(CF231:CF236)</f>
        <v/>
      </c>
      <c r="CG237" s="274">
        <f>CG230+SUM(CG231:CG236)</f>
        <v/>
      </c>
      <c r="CH237" s="274">
        <f>CH230+SUM(CH231:CH236)</f>
        <v/>
      </c>
      <c r="CI237" s="819">
        <f>CI230+SUM(CI231:CI236)</f>
        <v/>
      </c>
      <c r="CJ237" s="819">
        <f>CJ230+SUM(CJ231:CJ236)</f>
        <v/>
      </c>
      <c r="CK237" s="819">
        <f>CK230+SUM(CK231:CK236)</f>
        <v/>
      </c>
      <c r="CL237" s="819">
        <f>CL230+SUM(CL231:CL236)</f>
        <v/>
      </c>
      <c r="CM237" s="819">
        <f>CM230+SUM(CM231:CM236)</f>
        <v/>
      </c>
      <c r="CN237" s="274" t="n"/>
      <c r="CO237" s="686">
        <f>(CM237/CD237)^(1/5)-1</f>
        <v/>
      </c>
      <c r="CP237" s="274" t="n"/>
      <c r="CQ237" s="693" t="n"/>
    </row>
    <row r="238" ht="16.5" customHeight="1" thickTop="1">
      <c r="C238" s="838" t="n"/>
      <c r="D238" s="838" t="n"/>
      <c r="E238" s="838" t="n"/>
      <c r="F238" s="838" t="n"/>
      <c r="G238" s="889" t="n"/>
      <c r="H238" s="838" t="n"/>
      <c r="I238" s="838" t="n"/>
      <c r="J238" s="838" t="n"/>
      <c r="K238" s="838" t="n"/>
      <c r="L238" s="889" t="n"/>
      <c r="M238" s="838" t="n"/>
      <c r="N238" s="838" t="n"/>
      <c r="O238" s="838" t="n"/>
      <c r="P238" s="838" t="n"/>
      <c r="Q238" s="889" t="n"/>
      <c r="R238" s="838" t="n"/>
      <c r="S238" s="838" t="n"/>
      <c r="T238" s="838" t="n"/>
      <c r="U238" s="838" t="n"/>
      <c r="V238" s="889" t="n"/>
      <c r="W238" s="838" t="n"/>
      <c r="X238" s="838" t="n"/>
      <c r="Y238" s="838" t="n"/>
      <c r="Z238" s="838" t="n"/>
      <c r="AA238" s="889" t="n"/>
      <c r="AB238" s="838" t="n"/>
      <c r="AC238" s="838" t="n"/>
      <c r="AD238" s="838" t="n"/>
      <c r="AE238" s="838" t="n"/>
      <c r="AF238" s="889" t="n"/>
      <c r="AG238" s="838" t="n"/>
      <c r="AH238" s="838" t="n"/>
      <c r="AI238" s="838" t="n"/>
      <c r="AJ238" s="838" t="n"/>
      <c r="AK238" s="889" t="n"/>
      <c r="AL238" s="838" t="n"/>
      <c r="AM238" s="838" t="n"/>
      <c r="AN238" s="838" t="n"/>
      <c r="AO238" s="838" t="n"/>
      <c r="AP238" s="889" t="n"/>
      <c r="AQ238" s="838" t="n"/>
      <c r="AR238" s="838" t="n"/>
      <c r="AS238" s="838" t="n"/>
      <c r="AT238" s="838" t="n"/>
      <c r="AU238" s="889" t="n"/>
      <c r="AV238" s="838" t="n"/>
      <c r="AW238" s="838" t="n"/>
      <c r="AX238" s="838" t="n"/>
      <c r="AY238" s="838" t="n"/>
      <c r="AZ238" s="889" t="n"/>
      <c r="BA238" s="838" t="n"/>
      <c r="BB238" s="838" t="n"/>
      <c r="BC238" s="838" t="n"/>
      <c r="BD238" s="838" t="n"/>
      <c r="BE238" s="922" t="n"/>
      <c r="BF238" s="838" t="n"/>
      <c r="BG238" s="838" t="n"/>
      <c r="BH238" s="838" t="n"/>
      <c r="BI238" s="838" t="n"/>
      <c r="BJ238" s="922" t="n"/>
      <c r="BK238" s="838" t="n"/>
      <c r="BL238" s="838" t="n"/>
      <c r="BM238" s="838" t="n"/>
      <c r="BN238" s="838" t="n"/>
      <c r="BO238" s="922" t="n"/>
      <c r="BP238" s="838" t="n"/>
      <c r="BQ238" s="838" t="n"/>
      <c r="BR238" s="838" t="n"/>
      <c r="BS238" s="838" t="n"/>
      <c r="BT238" s="922" t="n"/>
      <c r="BU238" s="838" t="n"/>
      <c r="BV238" s="838" t="n"/>
      <c r="BW238" s="838" t="n"/>
      <c r="BX238" s="838" t="n"/>
      <c r="BY238" s="922" t="n"/>
      <c r="BZ238" s="838" t="n"/>
      <c r="CA238" s="838" t="n"/>
      <c r="CB238" s="838" t="n"/>
      <c r="CC238" s="838" t="n"/>
      <c r="CD238" s="922" t="n"/>
      <c r="CE238" s="743" t="n"/>
      <c r="CF238" s="743" t="n"/>
      <c r="CG238" s="743" t="n"/>
      <c r="CH238" s="743" t="n"/>
      <c r="CI238" s="858" t="n"/>
      <c r="CJ238" s="858" t="n"/>
      <c r="CK238" s="858" t="n"/>
      <c r="CL238" s="858" t="n"/>
      <c r="CM238" s="858" t="n"/>
      <c r="CN238" s="291" t="n"/>
      <c r="CO238" s="766" t="n"/>
      <c r="CP238" s="291" t="n"/>
      <c r="CQ238" s="693" t="n"/>
    </row>
    <row r="239" ht="16.5" customHeight="1">
      <c r="B239" s="223" t="inlineStr">
        <is>
          <t>LIABILITIES &amp; EQUITY</t>
        </is>
      </c>
      <c r="C239" s="224" t="n"/>
      <c r="D239" s="224" t="n"/>
      <c r="E239" s="224" t="n"/>
      <c r="F239" s="224" t="n"/>
      <c r="G239" s="867" t="n"/>
      <c r="H239" s="224" t="n"/>
      <c r="I239" s="224" t="n"/>
      <c r="J239" s="224" t="n"/>
      <c r="K239" s="224" t="n"/>
      <c r="L239" s="867" t="n"/>
      <c r="M239" s="224" t="n"/>
      <c r="N239" s="224" t="n"/>
      <c r="O239" s="224" t="n"/>
      <c r="P239" s="224" t="n"/>
      <c r="Q239" s="867" t="n"/>
      <c r="R239" s="224" t="n"/>
      <c r="S239" s="224" t="n"/>
      <c r="T239" s="224" t="n"/>
      <c r="U239" s="224" t="n"/>
      <c r="V239" s="867" t="n"/>
      <c r="W239" s="224" t="n"/>
      <c r="X239" s="224" t="n"/>
      <c r="Y239" s="224" t="n"/>
      <c r="Z239" s="224" t="n"/>
      <c r="AA239" s="867" t="n"/>
      <c r="AB239" s="224" t="n"/>
      <c r="AC239" s="224" t="n"/>
      <c r="AD239" s="224" t="n"/>
      <c r="AE239" s="224" t="n"/>
      <c r="AF239" s="867" t="n"/>
      <c r="AG239" s="224" t="n"/>
      <c r="AH239" s="224" t="n"/>
      <c r="AI239" s="224" t="n"/>
      <c r="AJ239" s="224" t="n"/>
      <c r="AK239" s="867" t="n"/>
      <c r="AL239" s="224" t="n"/>
      <c r="AM239" s="224" t="n"/>
      <c r="AN239" s="224" t="n"/>
      <c r="AO239" s="224" t="n"/>
      <c r="AP239" s="867" t="n"/>
      <c r="AQ239" s="224" t="n"/>
      <c r="AR239" s="224" t="n"/>
      <c r="AS239" s="224" t="n"/>
      <c r="AT239" s="224" t="n"/>
      <c r="AU239" s="867" t="n"/>
      <c r="AV239" s="224" t="n"/>
      <c r="AW239" s="224" t="n"/>
      <c r="AX239" s="224" t="n"/>
      <c r="AY239" s="224" t="n"/>
      <c r="AZ239" s="867" t="n"/>
      <c r="BA239" s="224" t="n"/>
      <c r="BB239" s="224" t="n"/>
      <c r="BC239" s="224" t="n"/>
      <c r="BD239" s="224" t="n"/>
      <c r="BE239" s="923" t="n"/>
      <c r="BF239" s="224" t="n"/>
      <c r="BG239" s="224" t="n"/>
      <c r="BH239" s="224" t="n"/>
      <c r="BI239" s="224" t="n"/>
      <c r="BJ239" s="923" t="n"/>
      <c r="BK239" s="224" t="n"/>
      <c r="BL239" s="224" t="n"/>
      <c r="BM239" s="224" t="n"/>
      <c r="BN239" s="224" t="n"/>
      <c r="BO239" s="923" t="n"/>
      <c r="BP239" s="224" t="n"/>
      <c r="BQ239" s="224" t="n"/>
      <c r="BR239" s="224" t="n"/>
      <c r="BS239" s="224" t="n"/>
      <c r="BT239" s="923" t="n"/>
      <c r="BU239" s="224" t="n"/>
      <c r="BV239" s="224" t="n"/>
      <c r="BW239" s="224" t="n"/>
      <c r="BX239" s="224" t="n"/>
      <c r="BY239" s="923" t="n"/>
      <c r="BZ239" s="224" t="n"/>
      <c r="CA239" s="224" t="n"/>
      <c r="CB239" s="224" t="n"/>
      <c r="CC239" s="224" t="n"/>
      <c r="CD239" s="923" t="n"/>
      <c r="CE239" s="744" t="n"/>
      <c r="CF239" s="744" t="n"/>
      <c r="CG239" s="744" t="n"/>
      <c r="CH239" s="744" t="n"/>
      <c r="CI239" s="224" t="n"/>
      <c r="CJ239" s="224" t="n"/>
      <c r="CK239" s="224" t="n"/>
      <c r="CL239" s="224" t="n"/>
      <c r="CM239" s="224" t="n"/>
      <c r="CN239" s="224" t="n"/>
      <c r="CO239" s="684" t="n"/>
      <c r="CP239" s="224" t="n"/>
      <c r="CQ239" s="693" t="n"/>
    </row>
    <row r="240" ht="16.5" customHeight="1">
      <c r="B240" s="223" t="inlineStr">
        <is>
          <t>Current liabilities:</t>
        </is>
      </c>
      <c r="C240" s="224" t="n"/>
      <c r="D240" s="224" t="n"/>
      <c r="E240" s="224" t="n"/>
      <c r="F240" s="224" t="n"/>
      <c r="G240" s="867" t="n"/>
      <c r="H240" s="224" t="n"/>
      <c r="I240" s="224" t="n"/>
      <c r="J240" s="224" t="n"/>
      <c r="K240" s="224" t="n"/>
      <c r="L240" s="867" t="n"/>
      <c r="M240" s="224" t="n"/>
      <c r="N240" s="224" t="n"/>
      <c r="O240" s="224" t="n"/>
      <c r="P240" s="224" t="n"/>
      <c r="Q240" s="867" t="n"/>
      <c r="R240" s="224" t="n"/>
      <c r="S240" s="224" t="n"/>
      <c r="T240" s="224" t="n"/>
      <c r="U240" s="224" t="n"/>
      <c r="V240" s="867" t="n"/>
      <c r="W240" s="224" t="n"/>
      <c r="X240" s="224" t="n"/>
      <c r="Y240" s="224" t="n"/>
      <c r="Z240" s="224" t="n"/>
      <c r="AA240" s="867" t="n"/>
      <c r="AB240" s="224" t="n"/>
      <c r="AC240" s="224" t="n"/>
      <c r="AD240" s="224" t="n"/>
      <c r="AE240" s="224" t="n"/>
      <c r="AF240" s="867" t="n"/>
      <c r="AG240" s="224" t="n"/>
      <c r="AH240" s="224" t="n"/>
      <c r="AI240" s="224" t="n"/>
      <c r="AJ240" s="224" t="n"/>
      <c r="AK240" s="867" t="n"/>
      <c r="AL240" s="224" t="n"/>
      <c r="AM240" s="224" t="n"/>
      <c r="AN240" s="224" t="n"/>
      <c r="AO240" s="224" t="n"/>
      <c r="AP240" s="867" t="n"/>
      <c r="AQ240" s="224" t="n"/>
      <c r="AR240" s="224" t="n"/>
      <c r="AS240" s="224" t="n"/>
      <c r="AT240" s="224" t="n"/>
      <c r="AU240" s="867" t="n"/>
      <c r="AV240" s="224" t="n"/>
      <c r="AW240" s="224" t="n"/>
      <c r="AX240" s="224" t="n"/>
      <c r="AY240" s="224" t="n"/>
      <c r="AZ240" s="867" t="n"/>
      <c r="BA240" s="224" t="n"/>
      <c r="BB240" s="224" t="n"/>
      <c r="BC240" s="224" t="n"/>
      <c r="BD240" s="224" t="n"/>
      <c r="BE240" s="923" t="n"/>
      <c r="BF240" s="224" t="n"/>
      <c r="BG240" s="224" t="n"/>
      <c r="BH240" s="224" t="n"/>
      <c r="BI240" s="224" t="n"/>
      <c r="BJ240" s="923" t="n"/>
      <c r="BK240" s="224" t="n"/>
      <c r="BL240" s="224" t="n"/>
      <c r="BM240" s="224" t="n"/>
      <c r="BN240" s="224" t="n"/>
      <c r="BO240" s="923" t="n"/>
      <c r="BP240" s="224" t="n"/>
      <c r="BQ240" s="224" t="n"/>
      <c r="BR240" s="224" t="n"/>
      <c r="BS240" s="224" t="n"/>
      <c r="BT240" s="923" t="n"/>
      <c r="BU240" s="224" t="n"/>
      <c r="BV240" s="224" t="n"/>
      <c r="BW240" s="224" t="n"/>
      <c r="BX240" s="224" t="n"/>
      <c r="BY240" s="923" t="n"/>
      <c r="BZ240" s="224" t="n"/>
      <c r="CA240" s="224" t="n"/>
      <c r="CB240" s="224" t="n"/>
      <c r="CC240" s="224" t="n"/>
      <c r="CD240" s="923" t="n"/>
      <c r="CE240" s="744" t="n"/>
      <c r="CF240" s="744" t="n"/>
      <c r="CG240" s="744" t="n"/>
      <c r="CH240" s="744" t="n"/>
      <c r="CI240" s="224" t="n"/>
      <c r="CJ240" s="224" t="n"/>
      <c r="CK240" s="224" t="n"/>
      <c r="CL240" s="224" t="n"/>
      <c r="CM240" s="224" t="n"/>
      <c r="CN240" s="224" t="n"/>
      <c r="CO240" s="684" t="n"/>
      <c r="CP240" s="224" t="n"/>
      <c r="CQ240" s="693" t="n"/>
    </row>
    <row r="241" ht="16.5" customHeight="1">
      <c r="B241" t="inlineStr">
        <is>
          <t xml:space="preserve">  Current portion of long-term debt</t>
        </is>
      </c>
      <c r="C241" s="743" t="n"/>
      <c r="D241" s="743" t="n"/>
      <c r="E241" s="743" t="n"/>
      <c r="F241" s="743" t="n"/>
      <c r="G241" s="868" t="n"/>
      <c r="H241" s="743" t="n"/>
      <c r="I241" s="743" t="n"/>
      <c r="J241" s="743" t="n"/>
      <c r="K241" s="743" t="n"/>
      <c r="L241" s="868" t="n"/>
      <c r="M241" s="743" t="n"/>
      <c r="N241" s="743" t="n"/>
      <c r="O241" s="743" t="n"/>
      <c r="P241" s="743" t="n"/>
      <c r="Q241" s="868" t="n"/>
      <c r="R241" s="743" t="n"/>
      <c r="S241" s="743" t="n"/>
      <c r="T241" s="743" t="n"/>
      <c r="U241" s="743" t="n"/>
      <c r="V241" s="868" t="n"/>
      <c r="W241" s="743" t="n"/>
      <c r="X241" s="743" t="n"/>
      <c r="Y241" s="743" t="n"/>
      <c r="Z241" s="743" t="n"/>
      <c r="AA241" s="868" t="n"/>
      <c r="AB241" s="743" t="n"/>
      <c r="AC241" s="743" t="n"/>
      <c r="AD241" s="743" t="n"/>
      <c r="AE241" s="743" t="n"/>
      <c r="AF241" s="868" t="n"/>
      <c r="AG241" s="743" t="n"/>
      <c r="AH241" s="743" t="n"/>
      <c r="AI241" s="743" t="n"/>
      <c r="AJ241" s="743" t="n"/>
      <c r="AK241" s="868" t="n"/>
      <c r="AL241" s="743" t="n"/>
      <c r="AM241" s="291" t="n"/>
      <c r="AN241" s="291" t="n"/>
      <c r="AO241" s="291" t="n"/>
      <c r="AP241" s="868" t="n"/>
      <c r="AQ241" s="291" t="n"/>
      <c r="AR241" s="291" t="n"/>
      <c r="AS241" s="291" t="n"/>
      <c r="AT241" s="291" t="n"/>
      <c r="AU241" s="868" t="n"/>
      <c r="AV241" s="291" t="n"/>
      <c r="AW241" s="291" t="n"/>
      <c r="AX241" s="291" t="n"/>
      <c r="AY241" s="291" t="n"/>
      <c r="AZ241" s="868" t="n">
        <v>41.305</v>
      </c>
      <c r="BA241" s="291" t="n"/>
      <c r="BB241" s="291" t="n"/>
      <c r="BC241" s="291" t="n"/>
      <c r="BD241" s="291" t="n"/>
      <c r="BE241" s="868" t="n">
        <v>42.997</v>
      </c>
      <c r="BF241" s="743" t="n"/>
      <c r="BG241" s="743" t="n"/>
      <c r="BH241" s="743" t="n"/>
      <c r="BI241" s="291" t="n"/>
      <c r="BJ241" s="868" t="n">
        <v>363.586</v>
      </c>
      <c r="BK241" s="743" t="n"/>
      <c r="BL241" s="743" t="n"/>
      <c r="BM241" s="743" t="n"/>
      <c r="BN241" s="291">
        <f>BO241</f>
        <v/>
      </c>
      <c r="BO241" s="868" t="n">
        <v>37.087</v>
      </c>
      <c r="BP241" s="743" t="n"/>
      <c r="BQ241" s="743" t="n"/>
      <c r="BR241" s="743" t="n"/>
      <c r="BS241" s="291">
        <f>BT241</f>
        <v/>
      </c>
      <c r="BT241" s="868" t="n">
        <v>174.351</v>
      </c>
      <c r="BU241" s="291" t="n"/>
      <c r="BV241" s="291" t="n"/>
      <c r="BW241" s="291" t="n"/>
      <c r="BX241" s="291">
        <f>BY241</f>
        <v/>
      </c>
      <c r="BY241" s="868" t="n">
        <v>93.453</v>
      </c>
      <c r="BZ241" s="291" t="n"/>
      <c r="CA241" s="291" t="n"/>
      <c r="CB241" s="291" t="n"/>
      <c r="CC241" s="291">
        <f>CD241</f>
        <v/>
      </c>
      <c r="CD241" s="868" t="n">
        <v>222.498</v>
      </c>
      <c r="CE241" s="743" t="n"/>
      <c r="CF241" s="743" t="n"/>
      <c r="CG241" s="291">
        <f>CF241</f>
        <v/>
      </c>
      <c r="CH241" s="291">
        <f>CG241</f>
        <v/>
      </c>
      <c r="CI241" s="749">
        <f>CD241</f>
        <v/>
      </c>
      <c r="CJ241" s="749">
        <f>CI241</f>
        <v/>
      </c>
      <c r="CK241" s="749">
        <f>CJ241</f>
        <v/>
      </c>
      <c r="CL241" s="749">
        <f>CK241</f>
        <v/>
      </c>
      <c r="CM241" s="749">
        <f>CL241</f>
        <v/>
      </c>
      <c r="CN241" s="291" t="n"/>
      <c r="CO241" s="766" t="n"/>
      <c r="CP241" s="291" t="n"/>
      <c r="CQ241" s="693" t="n"/>
    </row>
    <row r="242" ht="16.5" customHeight="1">
      <c r="B242" t="inlineStr">
        <is>
          <t xml:space="preserve">  Short-term borrowings</t>
        </is>
      </c>
      <c r="C242" s="743" t="n"/>
      <c r="D242" s="743" t="n"/>
      <c r="E242" s="743" t="n"/>
      <c r="F242" s="743" t="n"/>
      <c r="G242" s="868" t="n"/>
      <c r="H242" s="743" t="n"/>
      <c r="I242" s="743" t="n"/>
      <c r="J242" s="743" t="n"/>
      <c r="K242" s="743" t="n"/>
      <c r="L242" s="868" t="n"/>
      <c r="M242" s="743" t="n"/>
      <c r="N242" s="743" t="n"/>
      <c r="O242" s="743" t="n"/>
      <c r="P242" s="743" t="n"/>
      <c r="Q242" s="868" t="n"/>
      <c r="R242" s="743" t="n"/>
      <c r="S242" s="743" t="n"/>
      <c r="T242" s="743" t="n"/>
      <c r="U242" s="743" t="n"/>
      <c r="V242" s="868" t="n"/>
      <c r="W242" s="743" t="n"/>
      <c r="X242" s="743" t="n"/>
      <c r="Y242" s="743" t="n"/>
      <c r="Z242" s="743" t="n"/>
      <c r="AA242" s="868" t="n"/>
      <c r="AB242" s="743" t="n"/>
      <c r="AC242" s="743" t="n"/>
      <c r="AD242" s="743" t="n"/>
      <c r="AE242" s="743" t="n"/>
      <c r="AF242" s="868" t="n"/>
      <c r="AG242" s="743" t="n"/>
      <c r="AH242" s="743" t="n"/>
      <c r="AI242" s="743" t="n"/>
      <c r="AJ242" s="743" t="n"/>
      <c r="AK242" s="868" t="n"/>
      <c r="AL242" s="743" t="n"/>
      <c r="AM242" s="291" t="n"/>
      <c r="AN242" s="291" t="n"/>
      <c r="AO242" s="291" t="n"/>
      <c r="AP242" s="868" t="n"/>
      <c r="AQ242" s="291" t="n"/>
      <c r="AR242" s="291" t="n"/>
      <c r="AS242" s="291" t="n"/>
      <c r="AT242" s="291" t="n"/>
      <c r="AU242" s="868" t="n"/>
      <c r="AV242" s="291" t="n"/>
      <c r="AW242" s="291" t="n"/>
      <c r="AX242" s="291" t="n"/>
      <c r="AY242" s="291" t="n"/>
      <c r="AZ242" s="868" t="n"/>
      <c r="BA242" s="291" t="n"/>
      <c r="BB242" s="291" t="n"/>
      <c r="BC242" s="291" t="n"/>
      <c r="BD242" s="291" t="n"/>
      <c r="BE242" s="868" t="n"/>
      <c r="BF242" s="291" t="n"/>
      <c r="BG242" s="291" t="n"/>
      <c r="BH242" s="291" t="n"/>
      <c r="BI242" s="291" t="n"/>
      <c r="BJ242" s="868" t="n"/>
      <c r="BK242" s="291" t="n"/>
      <c r="BL242" s="291" t="n"/>
      <c r="BM242" s="291" t="n"/>
      <c r="BN242" s="291" t="n"/>
      <c r="BO242" s="868" t="n"/>
      <c r="BP242" s="291" t="n"/>
      <c r="BQ242" s="291" t="n"/>
      <c r="BR242" s="291" t="n"/>
      <c r="BS242" s="291" t="n"/>
      <c r="BT242" s="868" t="n"/>
      <c r="BU242" s="291" t="n"/>
      <c r="BV242" s="291" t="n"/>
      <c r="BW242" s="291" t="n"/>
      <c r="BX242" s="291" t="n"/>
      <c r="BY242" s="868" t="n"/>
      <c r="BZ242" s="291" t="n"/>
      <c r="CA242" s="291" t="n"/>
      <c r="CB242" s="291" t="n"/>
      <c r="CC242" s="291" t="n"/>
      <c r="CD242" s="868" t="n"/>
      <c r="CE242" s="743" t="n"/>
      <c r="CF242" s="743" t="n"/>
      <c r="CG242" s="291">
        <f>CF242</f>
        <v/>
      </c>
      <c r="CH242" s="291">
        <f>CG242</f>
        <v/>
      </c>
      <c r="CI242" s="749">
        <f>CD242</f>
        <v/>
      </c>
      <c r="CJ242" s="749">
        <f>CI242</f>
        <v/>
      </c>
      <c r="CK242" s="749">
        <f>CJ242</f>
        <v/>
      </c>
      <c r="CL242" s="749">
        <f>CK242</f>
        <v/>
      </c>
      <c r="CM242" s="749">
        <f>CL242</f>
        <v/>
      </c>
      <c r="CN242" s="291" t="n"/>
      <c r="CO242" s="766" t="n"/>
      <c r="CP242" s="291" t="n"/>
      <c r="CQ242" s="693" t="n"/>
    </row>
    <row r="243" ht="16.5" customHeight="1">
      <c r="B243" t="inlineStr">
        <is>
          <t xml:space="preserve">  Accounts payable</t>
        </is>
      </c>
      <c r="C243" s="743" t="n"/>
      <c r="D243" s="743" t="n"/>
      <c r="E243" s="743" t="n"/>
      <c r="F243" s="743" t="n"/>
      <c r="G243" s="868" t="n"/>
      <c r="H243" s="743" t="n"/>
      <c r="I243" s="743" t="n"/>
      <c r="J243" s="743" t="n"/>
      <c r="K243" s="743" t="n"/>
      <c r="L243" s="868" t="n"/>
      <c r="M243" s="743" t="n"/>
      <c r="N243" s="743" t="n"/>
      <c r="O243" s="743" t="n"/>
      <c r="P243" s="743" t="n"/>
      <c r="Q243" s="868" t="n"/>
      <c r="R243" s="743" t="n"/>
      <c r="S243" s="743" t="n"/>
      <c r="T243" s="743" t="n"/>
      <c r="U243" s="743" t="n"/>
      <c r="V243" s="868" t="n"/>
      <c r="W243" s="743" t="n"/>
      <c r="X243" s="743" t="n"/>
      <c r="Y243" s="743" t="n"/>
      <c r="Z243" s="743" t="n"/>
      <c r="AA243" s="868" t="n"/>
      <c r="AB243" s="743" t="n"/>
      <c r="AC243" s="743" t="n"/>
      <c r="AD243" s="743" t="n"/>
      <c r="AE243" s="743" t="n"/>
      <c r="AF243" s="868" t="n"/>
      <c r="AG243" s="743" t="n"/>
      <c r="AH243" s="743" t="n"/>
      <c r="AI243" s="743" t="n"/>
      <c r="AJ243" s="743" t="n"/>
      <c r="AK243" s="868" t="n"/>
      <c r="AL243" s="743" t="n"/>
      <c r="AM243" s="291" t="n"/>
      <c r="AN243" s="291" t="n"/>
      <c r="AO243" s="291" t="n"/>
      <c r="AP243" s="868" t="n"/>
      <c r="AQ243" s="291" t="n"/>
      <c r="AR243" s="291" t="n"/>
      <c r="AS243" s="291" t="n"/>
      <c r="AT243" s="291" t="n"/>
      <c r="AU243" s="868" t="n"/>
      <c r="AV243" s="291" t="n"/>
      <c r="AW243" s="291" t="n"/>
      <c r="AX243" s="291" t="n"/>
      <c r="AY243" s="291" t="n"/>
      <c r="AZ243" s="868" t="n">
        <v>341.443</v>
      </c>
      <c r="BA243" s="291" t="n"/>
      <c r="BB243" s="291" t="n"/>
      <c r="BC243" s="291" t="n"/>
      <c r="BD243" s="291" t="n"/>
      <c r="BE243" s="868" t="n">
        <v>468.238</v>
      </c>
      <c r="BF243" s="743" t="n"/>
      <c r="BG243" s="743" t="n"/>
      <c r="BH243" s="743" t="n"/>
      <c r="BI243" s="291" t="n"/>
      <c r="BJ243" s="868" t="n">
        <v>861.908</v>
      </c>
      <c r="BK243" s="743" t="n"/>
      <c r="BL243" s="743" t="n"/>
      <c r="BM243" s="743" t="n"/>
      <c r="BN243" s="291">
        <f>BO243</f>
        <v/>
      </c>
      <c r="BO243" s="868" t="n">
        <v>708.768</v>
      </c>
      <c r="BP243" s="743" t="n"/>
      <c r="BQ243" s="743" t="n"/>
      <c r="BR243" s="743" t="n"/>
      <c r="BS243" s="291">
        <f>BT243</f>
        <v/>
      </c>
      <c r="BT243" s="868" t="n">
        <v>671.936</v>
      </c>
      <c r="BU243" s="743" t="n"/>
      <c r="BV243" s="743" t="n"/>
      <c r="BW243" s="743" t="n"/>
      <c r="BX243" s="291">
        <f>BY243</f>
        <v/>
      </c>
      <c r="BY243" s="868" t="n">
        <v>639.1900000000001</v>
      </c>
      <c r="BZ243" s="743" t="n"/>
      <c r="CA243" s="743" t="n"/>
      <c r="CB243" s="743" t="n"/>
      <c r="CC243" s="291">
        <f>CD243</f>
        <v/>
      </c>
      <c r="CD243" s="868" t="n">
        <v>667.246</v>
      </c>
      <c r="CE243" s="743" t="n"/>
      <c r="CF243" s="743" t="n"/>
      <c r="CG243" s="291">
        <f>CG115*CF270/90</f>
        <v/>
      </c>
      <c r="CH243" s="291">
        <f>CH115*CG270/90</f>
        <v/>
      </c>
      <c r="CI243" s="749">
        <f>CI115*CI270/365</f>
        <v/>
      </c>
      <c r="CJ243" s="749">
        <f>CJ115*CJ270/365</f>
        <v/>
      </c>
      <c r="CK243" s="749">
        <f>CK115*CK270/365</f>
        <v/>
      </c>
      <c r="CL243" s="749">
        <f>CL115*CL270/365</f>
        <v/>
      </c>
      <c r="CM243" s="749">
        <f>CM115*CM270/365</f>
        <v/>
      </c>
      <c r="CN243" s="291" t="n"/>
      <c r="CO243" s="766" t="n"/>
      <c r="CP243" s="291" t="n"/>
      <c r="CQ243" s="693" t="n"/>
    </row>
    <row r="244" ht="16.5" customHeight="1">
      <c r="B244" t="inlineStr">
        <is>
          <t xml:space="preserve">  Accrued compensation</t>
        </is>
      </c>
      <c r="C244" s="743" t="n"/>
      <c r="D244" s="743" t="n"/>
      <c r="E244" s="743" t="n"/>
      <c r="F244" s="743" t="n"/>
      <c r="G244" s="868" t="n"/>
      <c r="H244" s="743" t="n"/>
      <c r="I244" s="743" t="n"/>
      <c r="J244" s="743" t="n"/>
      <c r="K244" s="743" t="n"/>
      <c r="L244" s="868" t="n"/>
      <c r="M244" s="743" t="n"/>
      <c r="N244" s="743" t="n"/>
      <c r="O244" s="743" t="n"/>
      <c r="P244" s="743" t="n"/>
      <c r="Q244" s="868" t="n"/>
      <c r="R244" s="743" t="n"/>
      <c r="S244" s="743" t="n"/>
      <c r="T244" s="743" t="n"/>
      <c r="U244" s="743" t="n"/>
      <c r="V244" s="868" t="n"/>
      <c r="W244" s="743" t="n"/>
      <c r="X244" s="743" t="n"/>
      <c r="Y244" s="743" t="n"/>
      <c r="Z244" s="743" t="n"/>
      <c r="AA244" s="868" t="n"/>
      <c r="AB244" s="743" t="n"/>
      <c r="AC244" s="743" t="n"/>
      <c r="AD244" s="743" t="n"/>
      <c r="AE244" s="743" t="n"/>
      <c r="AF244" s="868" t="n"/>
      <c r="AG244" s="743" t="n"/>
      <c r="AH244" s="743" t="n"/>
      <c r="AI244" s="743" t="n"/>
      <c r="AJ244" s="743" t="n"/>
      <c r="AK244" s="868" t="n"/>
      <c r="AL244" s="743" t="n"/>
      <c r="AM244" s="291" t="n"/>
      <c r="AN244" s="291" t="n"/>
      <c r="AO244" s="291" t="n"/>
      <c r="AP244" s="868" t="n"/>
      <c r="AQ244" s="291" t="n"/>
      <c r="AR244" s="291" t="n"/>
      <c r="AS244" s="291" t="n"/>
      <c r="AT244" s="291" t="n"/>
      <c r="AU244" s="868" t="n"/>
      <c r="AV244" s="291" t="n"/>
      <c r="AW244" s="291" t="n"/>
      <c r="AX244" s="291" t="n"/>
      <c r="AY244" s="291" t="n"/>
      <c r="AZ244" s="868" t="n"/>
      <c r="BA244" s="291" t="n"/>
      <c r="BB244" s="291" t="n"/>
      <c r="BC244" s="291" t="n"/>
      <c r="BD244" s="291" t="n"/>
      <c r="BE244" s="868" t="n"/>
      <c r="BF244" s="743" t="n"/>
      <c r="BG244" s="743" t="n"/>
      <c r="BH244" s="743" t="n"/>
      <c r="BI244" s="291" t="n"/>
      <c r="BJ244" s="868" t="n"/>
      <c r="BK244" s="743" t="n"/>
      <c r="BL244" s="743" t="n"/>
      <c r="BM244" s="743" t="n"/>
      <c r="BN244" s="291">
        <f>BO244</f>
        <v/>
      </c>
      <c r="BO244" s="868" t="n"/>
      <c r="BP244" s="743" t="n"/>
      <c r="BQ244" s="743" t="n"/>
      <c r="BR244" s="743" t="n"/>
      <c r="BS244" s="291">
        <f>BT244</f>
        <v/>
      </c>
      <c r="BT244" s="868" t="n"/>
      <c r="BU244" s="743" t="n"/>
      <c r="BV244" s="743" t="n"/>
      <c r="BW244" s="743" t="n"/>
      <c r="BX244" s="291">
        <f>BY244</f>
        <v/>
      </c>
      <c r="BY244" s="868" t="n"/>
      <c r="BZ244" s="743" t="n"/>
      <c r="CA244" s="743" t="n"/>
      <c r="CB244" s="743" t="n"/>
      <c r="CC244" s="291">
        <f>CD244</f>
        <v/>
      </c>
      <c r="CD244" s="868" t="n"/>
      <c r="CE244" s="743" t="n"/>
      <c r="CF244" s="743" t="n"/>
      <c r="CG244" s="291">
        <f>CF244*CG114/CF114</f>
        <v/>
      </c>
      <c r="CH244" s="291">
        <f>CG244*CH114/CG114</f>
        <v/>
      </c>
      <c r="CI244" s="749">
        <f>CI114*CI272</f>
        <v/>
      </c>
      <c r="CJ244" s="749">
        <f>CJ114*CJ272</f>
        <v/>
      </c>
      <c r="CK244" s="749">
        <f>CK114*CK272</f>
        <v/>
      </c>
      <c r="CL244" s="749">
        <f>CL114*CL272</f>
        <v/>
      </c>
      <c r="CM244" s="749">
        <f>CM114*CM272</f>
        <v/>
      </c>
      <c r="CN244" s="291" t="n"/>
      <c r="CO244" s="766" t="n"/>
      <c r="CP244" s="291" t="n"/>
      <c r="CQ244" s="693" t="n"/>
    </row>
    <row r="245" ht="16.5" customHeight="1">
      <c r="B245" t="inlineStr">
        <is>
          <t xml:space="preserve">  Contract liabilities (advance payments)</t>
        </is>
      </c>
      <c r="C245" s="743" t="n"/>
      <c r="D245" s="743" t="n"/>
      <c r="E245" s="743" t="n"/>
      <c r="F245" s="743" t="n"/>
      <c r="G245" s="868" t="n"/>
      <c r="H245" s="743" t="n"/>
      <c r="I245" s="743" t="n"/>
      <c r="J245" s="743" t="n"/>
      <c r="K245" s="743" t="n"/>
      <c r="L245" s="868" t="n"/>
      <c r="M245" s="743" t="n"/>
      <c r="N245" s="743" t="n"/>
      <c r="O245" s="743" t="n"/>
      <c r="P245" s="743" t="n"/>
      <c r="Q245" s="868" t="n"/>
      <c r="R245" s="743" t="n"/>
      <c r="S245" s="743" t="n"/>
      <c r="T245" s="743" t="n"/>
      <c r="U245" s="743" t="n"/>
      <c r="V245" s="868" t="n"/>
      <c r="W245" s="743" t="n"/>
      <c r="X245" s="743" t="n"/>
      <c r="Y245" s="743" t="n"/>
      <c r="Z245" s="743" t="n"/>
      <c r="AA245" s="868" t="n"/>
      <c r="AB245" s="743" t="n"/>
      <c r="AC245" s="743" t="n"/>
      <c r="AD245" s="743" t="n"/>
      <c r="AE245" s="743" t="n"/>
      <c r="AF245" s="868" t="n"/>
      <c r="AG245" s="743" t="n"/>
      <c r="AH245" s="743" t="n"/>
      <c r="AI245" s="743" t="n"/>
      <c r="AJ245" s="743" t="n"/>
      <c r="AK245" s="868" t="n"/>
      <c r="AL245" s="743" t="n"/>
      <c r="AM245" s="291" t="n"/>
      <c r="AN245" s="291" t="n"/>
      <c r="AO245" s="291" t="n"/>
      <c r="AP245" s="868" t="n"/>
      <c r="AQ245" s="291" t="n"/>
      <c r="AR245" s="291" t="n"/>
      <c r="AS245" s="291" t="n"/>
      <c r="AT245" s="291" t="n"/>
      <c r="AU245" s="868" t="n"/>
      <c r="AV245" s="291" t="n"/>
      <c r="AW245" s="291" t="n"/>
      <c r="AX245" s="291" t="n"/>
      <c r="AY245" s="291" t="n"/>
      <c r="AZ245" s="868" t="n"/>
      <c r="BA245" s="291" t="n"/>
      <c r="BB245" s="291" t="n"/>
      <c r="BC245" s="291" t="n"/>
      <c r="BD245" s="291" t="n"/>
      <c r="BE245" s="868" t="n"/>
      <c r="BF245" s="743" t="n"/>
      <c r="BG245" s="743" t="n"/>
      <c r="BH245" s="743" t="n"/>
      <c r="BI245" s="291" t="n"/>
      <c r="BJ245" s="868" t="n"/>
      <c r="BK245" s="743" t="n"/>
      <c r="BL245" s="743" t="n"/>
      <c r="BM245" s="743" t="n"/>
      <c r="BN245" s="291">
        <f>BO245</f>
        <v/>
      </c>
      <c r="BO245" s="868" t="n"/>
      <c r="BP245" s="743" t="n"/>
      <c r="BQ245" s="743" t="n"/>
      <c r="BR245" s="743" t="n"/>
      <c r="BS245" s="291">
        <f>BT245</f>
        <v/>
      </c>
      <c r="BT245" s="868" t="n"/>
      <c r="BU245" s="743" t="n"/>
      <c r="BV245" s="743" t="n"/>
      <c r="BW245" s="743" t="n"/>
      <c r="BX245" s="291">
        <f>BY245</f>
        <v/>
      </c>
      <c r="BY245" s="868" t="n"/>
      <c r="BZ245" s="743" t="n"/>
      <c r="CA245" s="743" t="n"/>
      <c r="CB245" s="743" t="n"/>
      <c r="CC245" s="291">
        <f>CD245</f>
        <v/>
      </c>
      <c r="CD245" s="868" t="n"/>
      <c r="CE245" s="743" t="n"/>
      <c r="CF245" s="743" t="n"/>
      <c r="CG245" s="291">
        <f>CF245*CG114/CF114</f>
        <v/>
      </c>
      <c r="CH245" s="291">
        <f>CG245*CH114/CG114</f>
        <v/>
      </c>
      <c r="CI245" s="749">
        <f>CI114*CI273</f>
        <v/>
      </c>
      <c r="CJ245" s="749">
        <f>CJ114*CJ273</f>
        <v/>
      </c>
      <c r="CK245" s="749">
        <f>CK114*CK273</f>
        <v/>
      </c>
      <c r="CL245" s="749">
        <f>CL114*CL273</f>
        <v/>
      </c>
      <c r="CM245" s="749">
        <f>CM114*CM273</f>
        <v/>
      </c>
      <c r="CN245" s="291" t="n"/>
      <c r="CO245" s="766" t="n"/>
      <c r="CP245" s="291" t="n"/>
      <c r="CQ245" s="694" t="n"/>
    </row>
    <row r="246" ht="16.5" customHeight="1">
      <c r="B246" t="inlineStr">
        <is>
          <t xml:space="preserve">  Other accrued liabilities</t>
        </is>
      </c>
      <c r="C246" s="833" t="n"/>
      <c r="D246" s="833" t="n"/>
      <c r="E246" s="833" t="n"/>
      <c r="F246" s="833" t="n"/>
      <c r="G246" s="884" t="n"/>
      <c r="H246" s="833" t="n"/>
      <c r="I246" s="833" t="n"/>
      <c r="J246" s="833" t="n"/>
      <c r="K246" s="833" t="n"/>
      <c r="L246" s="884" t="n"/>
      <c r="M246" s="833" t="n"/>
      <c r="N246" s="833" t="n"/>
      <c r="O246" s="833" t="n"/>
      <c r="P246" s="833" t="n"/>
      <c r="Q246" s="884" t="n"/>
      <c r="R246" s="833" t="n"/>
      <c r="S246" s="833" t="n"/>
      <c r="T246" s="833" t="n"/>
      <c r="U246" s="833" t="n"/>
      <c r="V246" s="884" t="n"/>
      <c r="W246" s="833" t="n"/>
      <c r="X246" s="833" t="n"/>
      <c r="Y246" s="833" t="n"/>
      <c r="Z246" s="833" t="n"/>
      <c r="AA246" s="884" t="n"/>
      <c r="AB246" s="833" t="n"/>
      <c r="AC246" s="833" t="n"/>
      <c r="AD246" s="833" t="n"/>
      <c r="AE246" s="833" t="n"/>
      <c r="AF246" s="884" t="n"/>
      <c r="AG246" s="833" t="n"/>
      <c r="AH246" s="833" t="n"/>
      <c r="AI246" s="833" t="n"/>
      <c r="AJ246" s="833" t="n"/>
      <c r="AK246" s="884" t="n"/>
      <c r="AL246" s="833" t="n"/>
      <c r="AM246" s="834" t="n"/>
      <c r="AN246" s="834" t="n"/>
      <c r="AO246" s="834" t="n"/>
      <c r="AP246" s="884" t="n"/>
      <c r="AQ246" s="834" t="n"/>
      <c r="AR246" s="834" t="n"/>
      <c r="AS246" s="834" t="n"/>
      <c r="AT246" s="834" t="n"/>
      <c r="AU246" s="884" t="n"/>
      <c r="AV246" s="834" t="n"/>
      <c r="AW246" s="834" t="n"/>
      <c r="AX246" s="834" t="n"/>
      <c r="AY246" s="834" t="n"/>
      <c r="AZ246" s="884" t="n"/>
      <c r="BA246" s="834" t="n"/>
      <c r="BB246" s="834" t="n"/>
      <c r="BC246" s="834" t="n"/>
      <c r="BD246" s="834" t="n"/>
      <c r="BE246" s="884" t="n"/>
      <c r="BF246" s="833" t="n"/>
      <c r="BG246" s="833" t="n"/>
      <c r="BH246" s="833" t="n"/>
      <c r="BI246" s="834" t="n"/>
      <c r="BJ246" s="884" t="n"/>
      <c r="BK246" s="833" t="n"/>
      <c r="BL246" s="833" t="n"/>
      <c r="BM246" s="833" t="n"/>
      <c r="BN246" s="834">
        <f>BO246</f>
        <v/>
      </c>
      <c r="BO246" s="884" t="n"/>
      <c r="BP246" s="833" t="n"/>
      <c r="BQ246" s="833" t="n"/>
      <c r="BR246" s="833" t="n"/>
      <c r="BS246" s="834">
        <f>BT246</f>
        <v/>
      </c>
      <c r="BT246" s="884" t="n"/>
      <c r="BU246" s="833" t="n"/>
      <c r="BV246" s="833" t="n"/>
      <c r="BW246" s="833" t="n"/>
      <c r="BX246" s="834">
        <f>BY246</f>
        <v/>
      </c>
      <c r="BY246" s="884" t="n"/>
      <c r="BZ246" s="833" t="n"/>
      <c r="CA246" s="833" t="n"/>
      <c r="CB246" s="833" t="n"/>
      <c r="CC246" s="834">
        <f>CD246</f>
        <v/>
      </c>
      <c r="CD246" s="884" t="n"/>
      <c r="CE246" s="743" t="n"/>
      <c r="CF246" s="743" t="n"/>
      <c r="CG246" s="291">
        <f>CF246*CG114/CF114</f>
        <v/>
      </c>
      <c r="CH246" s="291">
        <f>CG246*CH114/CG114</f>
        <v/>
      </c>
      <c r="CI246" s="856">
        <f>CI114*CI274</f>
        <v/>
      </c>
      <c r="CJ246" s="856">
        <f>CJ114*CJ274</f>
        <v/>
      </c>
      <c r="CK246" s="856">
        <f>CK114*CK274</f>
        <v/>
      </c>
      <c r="CL246" s="856">
        <f>CL114*CL274</f>
        <v/>
      </c>
      <c r="CM246" s="856">
        <f>CM114*CM274</f>
        <v/>
      </c>
      <c r="CN246" s="291" t="n"/>
      <c r="CO246" s="766" t="n"/>
      <c r="CP246" s="291" t="n"/>
      <c r="CQ246" s="693" t="n"/>
    </row>
    <row r="247" ht="16.5" customHeight="1">
      <c r="B247" s="711" t="inlineStr">
        <is>
          <t>Total current liabilities</t>
        </is>
      </c>
      <c r="C247" s="678" t="n"/>
      <c r="D247" s="678" t="n"/>
      <c r="E247" s="678" t="n"/>
      <c r="F247" s="678" t="n"/>
      <c r="G247" s="870">
        <f>SUM(G241:G246)</f>
        <v/>
      </c>
      <c r="H247" s="678" t="n"/>
      <c r="I247" s="678" t="n"/>
      <c r="J247" s="678" t="n"/>
      <c r="K247" s="678" t="n"/>
      <c r="L247" s="870">
        <f>SUM(L241:L246)</f>
        <v/>
      </c>
      <c r="M247" s="678" t="n"/>
      <c r="N247" s="678" t="n"/>
      <c r="O247" s="678" t="n"/>
      <c r="P247" s="678" t="n"/>
      <c r="Q247" s="870">
        <f>SUM(Q241:Q246)</f>
        <v/>
      </c>
      <c r="R247" s="678" t="n"/>
      <c r="S247" s="678" t="n"/>
      <c r="T247" s="678" t="n"/>
      <c r="U247" s="678" t="n"/>
      <c r="V247" s="870">
        <f>SUM(V241:V246)</f>
        <v/>
      </c>
      <c r="W247" s="678" t="n"/>
      <c r="X247" s="678" t="n"/>
      <c r="Y247" s="678" t="n"/>
      <c r="Z247" s="678" t="n"/>
      <c r="AA247" s="870">
        <f>SUM(AA241:AA246)</f>
        <v/>
      </c>
      <c r="AB247" s="678" t="n"/>
      <c r="AC247" s="678" t="n"/>
      <c r="AD247" s="678" t="n"/>
      <c r="AE247" s="678" t="n"/>
      <c r="AF247" s="870">
        <f>SUM(AF241:AF246)</f>
        <v/>
      </c>
      <c r="AG247" s="678" t="n"/>
      <c r="AH247" s="678" t="n"/>
      <c r="AI247" s="678" t="n"/>
      <c r="AJ247" s="678" t="n"/>
      <c r="AK247" s="870">
        <f>SUM(AK241:AK246)</f>
        <v/>
      </c>
      <c r="AL247" s="678" t="n"/>
      <c r="AM247" s="678" t="n"/>
      <c r="AN247" s="678" t="n"/>
      <c r="AO247" s="678" t="n"/>
      <c r="AP247" s="870">
        <f>SUM(AP241:AP246)</f>
        <v/>
      </c>
      <c r="AQ247" s="678" t="n"/>
      <c r="AR247" s="678" t="n"/>
      <c r="AS247" s="678" t="n"/>
      <c r="AT247" s="678" t="n"/>
      <c r="AU247" s="870">
        <f>SUM(AU241:AU246)</f>
        <v/>
      </c>
      <c r="AV247" s="678" t="n"/>
      <c r="AW247" s="678" t="n"/>
      <c r="AX247" s="678" t="n"/>
      <c r="AY247" s="678" t="n"/>
      <c r="AZ247" s="870" t="n">
        <v>487.615</v>
      </c>
      <c r="BA247" s="678" t="n"/>
      <c r="BB247" s="678" t="n"/>
      <c r="BC247" s="678" t="n"/>
      <c r="BD247" s="678" t="n"/>
      <c r="BE247" s="870" t="n">
        <v>654.46</v>
      </c>
      <c r="BF247" s="678">
        <f>SUM(BF241:BF246)</f>
        <v/>
      </c>
      <c r="BG247" s="678">
        <f>SUM(BG241:BG246)</f>
        <v/>
      </c>
      <c r="BH247" s="678">
        <f>SUM(BH241:BH246)</f>
        <v/>
      </c>
      <c r="BI247" s="678">
        <f>SUM(BI241:BI246)</f>
        <v/>
      </c>
      <c r="BJ247" s="870" t="n">
        <v>1406.968</v>
      </c>
      <c r="BK247" s="678">
        <f>SUM(BK241:BK246)</f>
        <v/>
      </c>
      <c r="BL247" s="678">
        <f>SUM(BL241:BL246)</f>
        <v/>
      </c>
      <c r="BM247" s="678">
        <f>SUM(BM241:BM246)</f>
        <v/>
      </c>
      <c r="BN247" s="678">
        <f>SUM(BN241:BN246)</f>
        <v/>
      </c>
      <c r="BO247" s="870" t="n">
        <v>966.681</v>
      </c>
      <c r="BP247" s="678">
        <f>SUM(BP241:BP246)</f>
        <v/>
      </c>
      <c r="BQ247" s="678">
        <f>SUM(BQ241:BQ246)</f>
        <v/>
      </c>
      <c r="BR247" s="678">
        <f>SUM(BR241:BR246)</f>
        <v/>
      </c>
      <c r="BS247" s="678">
        <f>SUM(BS241:BS246)</f>
        <v/>
      </c>
      <c r="BT247" s="870" t="n">
        <v>1066.111</v>
      </c>
      <c r="BU247" s="678">
        <f>SUM(BU241:BU246)</f>
        <v/>
      </c>
      <c r="BV247" s="678">
        <f>SUM(BV241:BV246)</f>
        <v/>
      </c>
      <c r="BW247" s="678">
        <f>SUM(BW241:BW246)</f>
        <v/>
      </c>
      <c r="BX247" s="678">
        <f>SUM(BX241:BX246)</f>
        <v/>
      </c>
      <c r="BY247" s="870" t="n">
        <v>1018.624</v>
      </c>
      <c r="BZ247" s="678">
        <f>SUM(BZ241:BZ246)</f>
        <v/>
      </c>
      <c r="CA247" s="678">
        <f>SUM(CA241:CA246)</f>
        <v/>
      </c>
      <c r="CB247" s="678">
        <f>SUM(CB241:CB246)</f>
        <v/>
      </c>
      <c r="CC247" s="678">
        <f>SUM(CC241:CC246)</f>
        <v/>
      </c>
      <c r="CD247" s="870" t="n">
        <v>1170.477</v>
      </c>
      <c r="CE247" s="678">
        <f>SUM(CE241:CE246)</f>
        <v/>
      </c>
      <c r="CF247" s="678">
        <f>SUM(CF241:CF246)</f>
        <v/>
      </c>
      <c r="CG247" s="678">
        <f>SUM(CG241:CG246)</f>
        <v/>
      </c>
      <c r="CH247" s="678">
        <f>SUM(CH241:CH246)</f>
        <v/>
      </c>
      <c r="CI247" s="752">
        <f>SUM(CI241:CI246)</f>
        <v/>
      </c>
      <c r="CJ247" s="752">
        <f>SUM(CJ241:CJ246)</f>
        <v/>
      </c>
      <c r="CK247" s="752">
        <f>SUM(CK241:CK246)</f>
        <v/>
      </c>
      <c r="CL247" s="752">
        <f>SUM(CL241:CL246)</f>
        <v/>
      </c>
      <c r="CM247" s="752">
        <f>SUM(CM241:CM246)</f>
        <v/>
      </c>
      <c r="CN247" s="678" t="n"/>
      <c r="CO247" s="689" t="n"/>
      <c r="CP247" s="678" t="n"/>
      <c r="CQ247" s="693" t="n"/>
    </row>
    <row r="248" ht="16.5" customHeight="1">
      <c r="B248" s="690" t="inlineStr">
        <is>
          <t>Long-term debt</t>
        </is>
      </c>
      <c r="C248" s="743" t="n"/>
      <c r="D248" s="743" t="n"/>
      <c r="E248" s="743" t="n"/>
      <c r="F248" s="743" t="n"/>
      <c r="G248" s="868" t="n"/>
      <c r="H248" s="743" t="n"/>
      <c r="I248" s="743" t="n"/>
      <c r="J248" s="743" t="n"/>
      <c r="K248" s="743" t="n"/>
      <c r="L248" s="868" t="n"/>
      <c r="M248" s="743" t="n"/>
      <c r="N248" s="743" t="n"/>
      <c r="O248" s="743" t="n"/>
      <c r="P248" s="743" t="n"/>
      <c r="Q248" s="868" t="n"/>
      <c r="R248" s="743" t="n"/>
      <c r="S248" s="743" t="n"/>
      <c r="T248" s="743" t="n"/>
      <c r="U248" s="743" t="n"/>
      <c r="V248" s="868" t="n"/>
      <c r="W248" s="743" t="n"/>
      <c r="X248" s="743" t="n"/>
      <c r="Y248" s="743" t="n"/>
      <c r="Z248" s="743" t="n"/>
      <c r="AA248" s="868" t="n"/>
      <c r="AB248" s="743" t="n"/>
      <c r="AC248" s="743" t="n"/>
      <c r="AD248" s="743" t="n"/>
      <c r="AE248" s="743" t="n"/>
      <c r="AF248" s="868" t="n"/>
      <c r="AG248" s="743" t="n"/>
      <c r="AH248" s="743" t="n"/>
      <c r="AI248" s="743" t="n"/>
      <c r="AJ248" s="743" t="n"/>
      <c r="AK248" s="868" t="n"/>
      <c r="AL248" s="743" t="n"/>
      <c r="AM248" s="291" t="n"/>
      <c r="AN248" s="291" t="n"/>
      <c r="AO248" s="291" t="n"/>
      <c r="AP248" s="868" t="n"/>
      <c r="AQ248" s="291" t="n"/>
      <c r="AR248" s="291" t="n"/>
      <c r="AS248" s="291" t="n"/>
      <c r="AT248" s="291" t="n"/>
      <c r="AU248" s="868" t="n"/>
      <c r="AV248" s="291" t="n"/>
      <c r="AW248" s="291" t="n"/>
      <c r="AX248" s="291" t="n"/>
      <c r="AY248" s="291" t="n"/>
      <c r="AZ248" s="868" t="n">
        <v>1302.002</v>
      </c>
      <c r="BA248" s="291" t="n"/>
      <c r="BB248" s="291" t="n"/>
      <c r="BC248" s="291" t="n"/>
      <c r="BD248" s="291" t="n"/>
      <c r="BE248" s="868" t="n">
        <v>829.547</v>
      </c>
      <c r="BF248" s="743" t="n"/>
      <c r="BG248" s="743" t="n"/>
      <c r="BH248" s="743" t="n"/>
      <c r="BI248" s="291" t="n"/>
      <c r="BJ248" s="868" t="n">
        <v>1244.508</v>
      </c>
      <c r="BK248" s="743" t="n"/>
      <c r="BL248" s="743" t="n"/>
      <c r="BM248" s="743" t="n"/>
      <c r="BN248" s="291">
        <f>BO248</f>
        <v/>
      </c>
      <c r="BO248" s="868" t="n">
        <v>1278.67</v>
      </c>
      <c r="BP248" s="743" t="n"/>
      <c r="BQ248" s="743" t="n"/>
      <c r="BR248" s="743" t="n"/>
      <c r="BS248" s="291">
        <f>BT248</f>
        <v/>
      </c>
      <c r="BT248" s="868" t="n">
        <v>1709.831</v>
      </c>
      <c r="BU248" s="743" t="n"/>
      <c r="BV248" s="743" t="n"/>
      <c r="BW248" s="743" t="n"/>
      <c r="BX248" s="291">
        <f>BY248</f>
        <v/>
      </c>
      <c r="BY248" s="868" t="n">
        <v>2309.428</v>
      </c>
      <c r="BZ248" s="743" t="n"/>
      <c r="CA248" s="743" t="n"/>
      <c r="CB248" s="743" t="n"/>
      <c r="CC248" s="291">
        <f>CD248</f>
        <v/>
      </c>
      <c r="CD248" s="868" t="n">
        <v>2355.477</v>
      </c>
      <c r="CE248" s="743" t="n"/>
      <c r="CF248" s="743" t="n"/>
      <c r="CG248" s="291">
        <f>CF248-CG294</f>
        <v/>
      </c>
      <c r="CH248" s="291">
        <f>CG248-CH294</f>
        <v/>
      </c>
      <c r="CI248" s="749">
        <f>CD248-CI294</f>
        <v/>
      </c>
      <c r="CJ248" s="749">
        <f>CI248-CJ294</f>
        <v/>
      </c>
      <c r="CK248" s="749">
        <f>CJ248-CK294</f>
        <v/>
      </c>
      <c r="CL248" s="749">
        <f>CK248-CL294</f>
        <v/>
      </c>
      <c r="CM248" s="749">
        <f>CL248-CM294</f>
        <v/>
      </c>
      <c r="CN248" s="291" t="n"/>
      <c r="CO248" s="766" t="n"/>
      <c r="CP248" s="291" t="n"/>
      <c r="CQ248" s="694" t="n"/>
    </row>
    <row r="249" ht="16.5" customHeight="1">
      <c r="B249" s="690" t="inlineStr">
        <is>
          <t>Operating lease liabilities (non-current)</t>
        </is>
      </c>
      <c r="C249" s="743" t="n"/>
      <c r="D249" s="743" t="n"/>
      <c r="E249" s="743" t="n"/>
      <c r="F249" s="743" t="n"/>
      <c r="G249" s="868" t="n"/>
      <c r="H249" s="743" t="n"/>
      <c r="I249" s="743" t="n"/>
      <c r="J249" s="743" t="n"/>
      <c r="K249" s="743" t="n"/>
      <c r="L249" s="868" t="n"/>
      <c r="M249" s="743" t="n"/>
      <c r="N249" s="743" t="n"/>
      <c r="O249" s="743" t="n"/>
      <c r="P249" s="743" t="n"/>
      <c r="Q249" s="868" t="n"/>
      <c r="R249" s="743" t="n"/>
      <c r="S249" s="743" t="n"/>
      <c r="T249" s="743" t="n"/>
      <c r="U249" s="743" t="n"/>
      <c r="V249" s="868" t="n"/>
      <c r="W249" s="743" t="n"/>
      <c r="X249" s="743" t="n"/>
      <c r="Y249" s="743" t="n"/>
      <c r="Z249" s="743" t="n"/>
      <c r="AA249" s="868" t="n"/>
      <c r="AB249" s="743" t="n"/>
      <c r="AC249" s="743" t="n"/>
      <c r="AD249" s="743" t="n"/>
      <c r="AE249" s="743" t="n"/>
      <c r="AF249" s="868" t="n"/>
      <c r="AG249" s="743" t="n"/>
      <c r="AH249" s="743" t="n"/>
      <c r="AI249" s="743" t="n"/>
      <c r="AJ249" s="743" t="n"/>
      <c r="AK249" s="868" t="n"/>
      <c r="AL249" s="743" t="n"/>
      <c r="AM249" s="291" t="n"/>
      <c r="AN249" s="291" t="n"/>
      <c r="AO249" s="291" t="n"/>
      <c r="AP249" s="868" t="n"/>
      <c r="AQ249" s="291" t="n"/>
      <c r="AR249" s="291" t="n"/>
      <c r="AS249" s="291" t="n"/>
      <c r="AT249" s="291" t="n"/>
      <c r="AU249" s="868" t="n"/>
      <c r="AV249" s="291" t="n"/>
      <c r="AW249" s="291" t="n"/>
      <c r="AX249" s="291" t="n"/>
      <c r="AY249" s="291" t="n"/>
      <c r="AZ249" s="868" t="n">
        <v>279.265</v>
      </c>
      <c r="BA249" s="291" t="n"/>
      <c r="BB249" s="291" t="n"/>
      <c r="BC249" s="291" t="n"/>
      <c r="BD249" s="291" t="n"/>
      <c r="BE249" s="868" t="n">
        <v>267.464</v>
      </c>
      <c r="BF249" s="291" t="n"/>
      <c r="BG249" s="291" t="n"/>
      <c r="BH249" s="291" t="n"/>
      <c r="BI249" s="291" t="n"/>
      <c r="BJ249" s="868" t="n">
        <v>313.862</v>
      </c>
      <c r="BK249" s="291" t="n"/>
      <c r="BL249" s="291" t="n"/>
      <c r="BM249" s="291" t="n"/>
      <c r="BN249" s="291" t="n"/>
      <c r="BO249" s="868" t="n">
        <v>297.105</v>
      </c>
      <c r="BP249" s="291" t="n"/>
      <c r="BQ249" s="291" t="n"/>
      <c r="BR249" s="291" t="n"/>
      <c r="BS249" s="291" t="n"/>
      <c r="BT249" s="868" t="n">
        <v>332.761</v>
      </c>
      <c r="BU249" s="291" t="n"/>
      <c r="BV249" s="291" t="n"/>
      <c r="BW249" s="291" t="n"/>
      <c r="BX249" s="291" t="n"/>
      <c r="BY249" s="868" t="n">
        <v>421.213</v>
      </c>
      <c r="BZ249" s="291" t="n"/>
      <c r="CA249" s="291" t="n"/>
      <c r="CB249" s="291" t="n"/>
      <c r="CC249" s="291" t="n"/>
      <c r="CD249" s="868" t="n">
        <v>472.473</v>
      </c>
      <c r="CE249" s="743" t="n"/>
      <c r="CF249" s="743" t="n"/>
      <c r="CG249" s="291">
        <f>CF249</f>
        <v/>
      </c>
      <c r="CH249" s="291">
        <f>CG249</f>
        <v/>
      </c>
      <c r="CI249" s="749">
        <f>CD249</f>
        <v/>
      </c>
      <c r="CJ249" s="749">
        <f>CI249</f>
        <v/>
      </c>
      <c r="CK249" s="749">
        <f>CJ249</f>
        <v/>
      </c>
      <c r="CL249" s="749">
        <f>CK249</f>
        <v/>
      </c>
      <c r="CM249" s="749">
        <f>CL249</f>
        <v/>
      </c>
      <c r="CN249" s="291" t="n"/>
      <c r="CO249" s="766" t="n"/>
      <c r="CP249" s="291" t="n"/>
      <c r="CQ249" s="693" t="n"/>
    </row>
    <row r="250" ht="16.5" customHeight="1">
      <c r="B250" s="690" t="inlineStr">
        <is>
          <t>Retirement obligations</t>
        </is>
      </c>
      <c r="C250" s="743" t="n"/>
      <c r="D250" s="743" t="n"/>
      <c r="E250" s="743" t="n"/>
      <c r="F250" s="743" t="n"/>
      <c r="G250" s="868" t="n"/>
      <c r="H250" s="743" t="n"/>
      <c r="I250" s="743" t="n"/>
      <c r="J250" s="743" t="n"/>
      <c r="K250" s="743" t="n"/>
      <c r="L250" s="868" t="n"/>
      <c r="M250" s="743" t="n"/>
      <c r="N250" s="743" t="n"/>
      <c r="O250" s="743" t="n"/>
      <c r="P250" s="743" t="n"/>
      <c r="Q250" s="868" t="n"/>
      <c r="R250" s="743" t="n"/>
      <c r="S250" s="743" t="n"/>
      <c r="T250" s="743" t="n"/>
      <c r="U250" s="743" t="n"/>
      <c r="V250" s="868" t="n"/>
      <c r="W250" s="743" t="n"/>
      <c r="X250" s="743" t="n"/>
      <c r="Y250" s="743" t="n"/>
      <c r="Z250" s="743" t="n"/>
      <c r="AA250" s="868" t="n"/>
      <c r="AB250" s="743" t="n"/>
      <c r="AC250" s="743" t="n"/>
      <c r="AD250" s="743" t="n"/>
      <c r="AE250" s="743" t="n"/>
      <c r="AF250" s="868" t="n"/>
      <c r="AG250" s="743" t="n"/>
      <c r="AH250" s="743" t="n"/>
      <c r="AI250" s="743" t="n"/>
      <c r="AJ250" s="743" t="n"/>
      <c r="AK250" s="868" t="n"/>
      <c r="AL250" s="743" t="n"/>
      <c r="AM250" s="291" t="n"/>
      <c r="AN250" s="291" t="n"/>
      <c r="AO250" s="291" t="n"/>
      <c r="AP250" s="868" t="n"/>
      <c r="AQ250" s="291" t="n"/>
      <c r="AR250" s="291" t="n"/>
      <c r="AS250" s="291" t="n"/>
      <c r="AT250" s="291" t="n"/>
      <c r="AU250" s="868" t="n"/>
      <c r="AV250" s="291" t="n"/>
      <c r="AW250" s="291" t="n"/>
      <c r="AX250" s="291" t="n"/>
      <c r="AY250" s="291" t="n"/>
      <c r="AZ250" s="868" t="n"/>
      <c r="BA250" s="291" t="n"/>
      <c r="BB250" s="291" t="n"/>
      <c r="BC250" s="291" t="n"/>
      <c r="BD250" s="291" t="n"/>
      <c r="BE250" s="868" t="n"/>
      <c r="BF250" s="743" t="n"/>
      <c r="BG250" s="743" t="n"/>
      <c r="BH250" s="743" t="n"/>
      <c r="BI250" s="291" t="n"/>
      <c r="BJ250" s="868" t="n"/>
      <c r="BK250" s="743" t="n"/>
      <c r="BL250" s="743" t="n"/>
      <c r="BM250" s="743" t="n"/>
      <c r="BN250" s="291">
        <f>BO250</f>
        <v/>
      </c>
      <c r="BO250" s="868" t="n"/>
      <c r="BP250" s="743" t="n"/>
      <c r="BQ250" s="743" t="n"/>
      <c r="BR250" s="743" t="n"/>
      <c r="BS250" s="291">
        <f>BT250</f>
        <v/>
      </c>
      <c r="BT250" s="868" t="n"/>
      <c r="BU250" s="743" t="n"/>
      <c r="BV250" s="743" t="n"/>
      <c r="BW250" s="743" t="n"/>
      <c r="BX250" s="291">
        <f>BY250</f>
        <v/>
      </c>
      <c r="BY250" s="868" t="n"/>
      <c r="BZ250" s="743" t="n"/>
      <c r="CA250" s="743" t="n"/>
      <c r="CB250" s="743" t="n"/>
      <c r="CC250" s="291">
        <f>CD250</f>
        <v/>
      </c>
      <c r="CD250" s="868" t="n"/>
      <c r="CE250" s="743" t="n"/>
      <c r="CF250" s="743" t="n"/>
      <c r="CG250" s="291">
        <f>CF250</f>
        <v/>
      </c>
      <c r="CH250" s="291">
        <f>CG250</f>
        <v/>
      </c>
      <c r="CI250" s="749">
        <f>CD250</f>
        <v/>
      </c>
      <c r="CJ250" s="749">
        <f>CI250</f>
        <v/>
      </c>
      <c r="CK250" s="749">
        <f>CJ250</f>
        <v/>
      </c>
      <c r="CL250" s="749">
        <f>CK250</f>
        <v/>
      </c>
      <c r="CM250" s="749">
        <f>CL250</f>
        <v/>
      </c>
      <c r="CN250" s="291" t="n"/>
      <c r="CO250" s="766" t="n"/>
      <c r="CP250" s="291" t="n"/>
      <c r="CQ250" s="693" t="n"/>
    </row>
    <row r="251" ht="16.5" customHeight="1">
      <c r="B251" s="690" t="inlineStr">
        <is>
          <t>Deferred income taxes</t>
        </is>
      </c>
      <c r="C251" s="743" t="n"/>
      <c r="D251" s="743" t="n"/>
      <c r="E251" s="743" t="n"/>
      <c r="F251" s="743" t="n"/>
      <c r="G251" s="868" t="n"/>
      <c r="H251" s="743" t="n"/>
      <c r="I251" s="743" t="n"/>
      <c r="J251" s="743" t="n"/>
      <c r="K251" s="743" t="n"/>
      <c r="L251" s="868" t="n"/>
      <c r="M251" s="743" t="n"/>
      <c r="N251" s="743" t="n"/>
      <c r="O251" s="743" t="n"/>
      <c r="P251" s="743" t="n"/>
      <c r="Q251" s="868" t="n"/>
      <c r="R251" s="743" t="n"/>
      <c r="S251" s="743" t="n"/>
      <c r="T251" s="743" t="n"/>
      <c r="U251" s="743" t="n"/>
      <c r="V251" s="868" t="n"/>
      <c r="W251" s="743" t="n"/>
      <c r="X251" s="743" t="n"/>
      <c r="Y251" s="743" t="n"/>
      <c r="Z251" s="743" t="n"/>
      <c r="AA251" s="868" t="n"/>
      <c r="AB251" s="743" t="n"/>
      <c r="AC251" s="743" t="n"/>
      <c r="AD251" s="743" t="n"/>
      <c r="AE251" s="743" t="n"/>
      <c r="AF251" s="868" t="n"/>
      <c r="AG251" s="743" t="n"/>
      <c r="AH251" s="743" t="n"/>
      <c r="AI251" s="743" t="n"/>
      <c r="AJ251" s="743" t="n"/>
      <c r="AK251" s="868" t="n"/>
      <c r="AL251" s="743" t="n"/>
      <c r="AM251" s="291" t="n"/>
      <c r="AN251" s="291" t="n"/>
      <c r="AO251" s="291" t="n"/>
      <c r="AP251" s="868" t="n"/>
      <c r="AQ251" s="291" t="n"/>
      <c r="AR251" s="291" t="n"/>
      <c r="AS251" s="291" t="n"/>
      <c r="AT251" s="291" t="n"/>
      <c r="AU251" s="868" t="n"/>
      <c r="AV251" s="291" t="n"/>
      <c r="AW251" s="291" t="n"/>
      <c r="AX251" s="291" t="n"/>
      <c r="AY251" s="291" t="n"/>
      <c r="AZ251" s="868" t="n">
        <v>240.32</v>
      </c>
      <c r="BA251" s="291" t="n"/>
      <c r="BB251" s="291" t="n"/>
      <c r="BC251" s="291" t="n"/>
      <c r="BD251" s="291" t="n"/>
      <c r="BE251" s="868" t="n">
        <v>232.167</v>
      </c>
      <c r="BF251" s="743" t="n"/>
      <c r="BG251" s="743" t="n"/>
      <c r="BH251" s="743" t="n"/>
      <c r="BI251" s="291" t="n"/>
      <c r="BJ251" s="868" t="n">
        <v>423.755</v>
      </c>
      <c r="BK251" s="743" t="n"/>
      <c r="BL251" s="743" t="n"/>
      <c r="BM251" s="743" t="n"/>
      <c r="BN251" s="291">
        <f>BO251</f>
        <v/>
      </c>
      <c r="BO251" s="868" t="n">
        <v>368.186</v>
      </c>
      <c r="BP251" s="743" t="n"/>
      <c r="BQ251" s="743" t="n"/>
      <c r="BR251" s="743" t="n"/>
      <c r="BS251" s="291">
        <f>BT251</f>
        <v/>
      </c>
      <c r="BT251" s="868" t="n">
        <v>433.242</v>
      </c>
      <c r="BU251" s="743" t="n"/>
      <c r="BV251" s="743" t="n"/>
      <c r="BW251" s="743" t="n"/>
      <c r="BX251" s="291">
        <f>BY251</f>
        <v/>
      </c>
      <c r="BY251" s="868" t="n">
        <v>508.428</v>
      </c>
      <c r="BZ251" s="743" t="n"/>
      <c r="CA251" s="743" t="n"/>
      <c r="CB251" s="743" t="n"/>
      <c r="CC251" s="291">
        <f>CD251</f>
        <v/>
      </c>
      <c r="CD251" s="868" t="n">
        <v>546.751</v>
      </c>
      <c r="CE251" s="743" t="n"/>
      <c r="CF251" s="743" t="n"/>
      <c r="CG251" s="291">
        <f>CF251+CG179</f>
        <v/>
      </c>
      <c r="CH251" s="291">
        <f>CG251+CH179</f>
        <v/>
      </c>
      <c r="CI251" s="749">
        <f>CD251+CI179</f>
        <v/>
      </c>
      <c r="CJ251" s="749">
        <f>CI251+CJ179</f>
        <v/>
      </c>
      <c r="CK251" s="749">
        <f>CJ251+CK179</f>
        <v/>
      </c>
      <c r="CL251" s="749">
        <f>CK251+CL179</f>
        <v/>
      </c>
      <c r="CM251" s="749">
        <f>CL251+CM179</f>
        <v/>
      </c>
      <c r="CN251" s="291" t="n"/>
      <c r="CO251" s="766" t="n"/>
      <c r="CP251" s="291" t="n"/>
      <c r="CQ251" s="693" t="n"/>
    </row>
    <row r="252" ht="16.5" customHeight="1">
      <c r="B252" s="690" t="inlineStr">
        <is>
          <t>Other long-term liabilities</t>
        </is>
      </c>
      <c r="C252" s="743" t="n"/>
      <c r="D252" s="743" t="n"/>
      <c r="E252" s="743" t="n"/>
      <c r="F252" s="743" t="n"/>
      <c r="G252" s="868" t="n"/>
      <c r="H252" s="743" t="n"/>
      <c r="I252" s="743" t="n"/>
      <c r="J252" s="743" t="n"/>
      <c r="K252" s="743" t="n"/>
      <c r="L252" s="868" t="n"/>
      <c r="M252" s="743" t="n"/>
      <c r="N252" s="743" t="n"/>
      <c r="O252" s="743" t="n"/>
      <c r="P252" s="743" t="n"/>
      <c r="Q252" s="868" t="n"/>
      <c r="R252" s="743" t="n"/>
      <c r="S252" s="743" t="n"/>
      <c r="T252" s="743" t="n"/>
      <c r="U252" s="743" t="n"/>
      <c r="V252" s="868" t="n"/>
      <c r="W252" s="743" t="n"/>
      <c r="X252" s="743" t="n"/>
      <c r="Y252" s="743" t="n"/>
      <c r="Z252" s="743" t="n"/>
      <c r="AA252" s="868" t="n"/>
      <c r="AB252" s="743" t="n"/>
      <c r="AC252" s="743" t="n"/>
      <c r="AD252" s="743" t="n"/>
      <c r="AE252" s="743" t="n"/>
      <c r="AF252" s="868" t="n"/>
      <c r="AG252" s="743" t="n"/>
      <c r="AH252" s="743" t="n"/>
      <c r="AI252" s="743" t="n"/>
      <c r="AJ252" s="743" t="n"/>
      <c r="AK252" s="868" t="n"/>
      <c r="AL252" s="743" t="n"/>
      <c r="AM252" s="291" t="n"/>
      <c r="AN252" s="291" t="n"/>
      <c r="AO252" s="291" t="n"/>
      <c r="AP252" s="868" t="n"/>
      <c r="AQ252" s="291" t="n"/>
      <c r="AR252" s="291" t="n"/>
      <c r="AS252" s="291" t="n"/>
      <c r="AT252" s="291" t="n"/>
      <c r="AU252" s="868" t="n"/>
      <c r="AV252" s="291" t="n"/>
      <c r="AW252" s="291" t="n"/>
      <c r="AX252" s="291" t="n"/>
      <c r="AY252" s="291" t="n"/>
      <c r="AZ252" s="868" t="n"/>
      <c r="BA252" s="291" t="n"/>
      <c r="BB252" s="291" t="n"/>
      <c r="BC252" s="291" t="n"/>
      <c r="BD252" s="291" t="n"/>
      <c r="BE252" s="868" t="n"/>
      <c r="BF252" s="743" t="n"/>
      <c r="BG252" s="743" t="n"/>
      <c r="BH252" s="743" t="n"/>
      <c r="BI252" s="291" t="n"/>
      <c r="BJ252" s="868" t="n"/>
      <c r="BK252" s="743" t="n"/>
      <c r="BL252" s="743" t="n"/>
      <c r="BM252" s="743" t="n"/>
      <c r="BN252" s="291">
        <f>BO252</f>
        <v/>
      </c>
      <c r="BO252" s="868" t="n"/>
      <c r="BP252" s="743" t="n"/>
      <c r="BQ252" s="743" t="n"/>
      <c r="BR252" s="743" t="n"/>
      <c r="BS252" s="291">
        <f>BT252</f>
        <v/>
      </c>
      <c r="BT252" s="868" t="n"/>
      <c r="BU252" s="743" t="n"/>
      <c r="BV252" s="743" t="n"/>
      <c r="BW252" s="743" t="n"/>
      <c r="BX252" s="291">
        <f>BY252</f>
        <v/>
      </c>
      <c r="BY252" s="868" t="n"/>
      <c r="BZ252" s="743" t="n"/>
      <c r="CA252" s="743" t="n"/>
      <c r="CB252" s="743" t="n"/>
      <c r="CC252" s="291">
        <f>CD252</f>
        <v/>
      </c>
      <c r="CD252" s="868" t="n"/>
      <c r="CE252" s="743" t="n"/>
      <c r="CF252" s="743" t="n"/>
      <c r="CG252" s="291">
        <f>CF252</f>
        <v/>
      </c>
      <c r="CH252" s="291">
        <f>CG252</f>
        <v/>
      </c>
      <c r="CI252" s="749">
        <f>CD252</f>
        <v/>
      </c>
      <c r="CJ252" s="749">
        <f>CI252</f>
        <v/>
      </c>
      <c r="CK252" s="749">
        <f>CJ252</f>
        <v/>
      </c>
      <c r="CL252" s="749">
        <f>CK252</f>
        <v/>
      </c>
      <c r="CM252" s="749">
        <f>CL252</f>
        <v/>
      </c>
      <c r="CN252" s="291" t="n"/>
      <c r="CO252" s="766" t="n"/>
      <c r="CP252" s="291" t="n"/>
      <c r="CQ252" s="693" t="n"/>
    </row>
    <row r="253" ht="16.5" customHeight="1" thickBot="1">
      <c r="B253" s="747" t="inlineStr">
        <is>
          <t>Total liabilities</t>
        </is>
      </c>
      <c r="C253" s="818" t="n"/>
      <c r="D253" s="818" t="n"/>
      <c r="E253" s="818" t="n"/>
      <c r="F253" s="818" t="n"/>
      <c r="G253" s="880">
        <f>G247+SUM(G248:G252)</f>
        <v/>
      </c>
      <c r="H253" s="819" t="n"/>
      <c r="I253" s="819" t="n"/>
      <c r="J253" s="819" t="n"/>
      <c r="K253" s="819" t="n"/>
      <c r="L253" s="880">
        <f>L247+SUM(L248:L252)</f>
        <v/>
      </c>
      <c r="M253" s="819" t="n"/>
      <c r="N253" s="819" t="n"/>
      <c r="O253" s="819" t="n"/>
      <c r="P253" s="819" t="n"/>
      <c r="Q253" s="880">
        <f>Q247+SUM(Q248:Q252)</f>
        <v/>
      </c>
      <c r="R253" s="819" t="n"/>
      <c r="S253" s="819" t="n"/>
      <c r="T253" s="819" t="n"/>
      <c r="U253" s="819" t="n"/>
      <c r="V253" s="880">
        <f>V247+SUM(V248:V252)</f>
        <v/>
      </c>
      <c r="W253" s="819" t="n"/>
      <c r="X253" s="819" t="n"/>
      <c r="Y253" s="819" t="n"/>
      <c r="Z253" s="819" t="n"/>
      <c r="AA253" s="880">
        <f>AA247+SUM(AA248:AA252)</f>
        <v/>
      </c>
      <c r="AB253" s="819" t="n"/>
      <c r="AC253" s="819" t="n"/>
      <c r="AD253" s="819" t="n"/>
      <c r="AE253" s="819" t="n"/>
      <c r="AF253" s="880">
        <f>AF247+SUM(AF248:AF252)</f>
        <v/>
      </c>
      <c r="AG253" s="819" t="n"/>
      <c r="AH253" s="819" t="n"/>
      <c r="AI253" s="819" t="n"/>
      <c r="AJ253" s="819" t="n"/>
      <c r="AK253" s="880">
        <f>AK247+SUM(AK248:AK252)</f>
        <v/>
      </c>
      <c r="AL253" s="819" t="n"/>
      <c r="AM253" s="819" t="n"/>
      <c r="AN253" s="819" t="n"/>
      <c r="AO253" s="819" t="n"/>
      <c r="AP253" s="880">
        <f>AP247+SUM(AP248:AP252)</f>
        <v/>
      </c>
      <c r="AQ253" s="819" t="n"/>
      <c r="AR253" s="819" t="n"/>
      <c r="AS253" s="819" t="n"/>
      <c r="AT253" s="819" t="n"/>
      <c r="AU253" s="880">
        <f>AU247+SUM(AU248:AU252)</f>
        <v/>
      </c>
      <c r="AV253" s="819" t="n"/>
      <c r="AW253" s="819" t="n"/>
      <c r="AX253" s="819" t="n"/>
      <c r="AY253" s="819" t="n"/>
      <c r="AZ253" s="880" t="n">
        <v>2349.528</v>
      </c>
      <c r="BA253" s="819" t="n"/>
      <c r="BB253" s="819" t="n"/>
      <c r="BC253" s="819" t="n"/>
      <c r="BD253" s="819" t="n"/>
      <c r="BE253" s="880" t="n">
        <v>2058.642</v>
      </c>
      <c r="BF253" s="819">
        <f>BF247+SUM(BF248:BF252)</f>
        <v/>
      </c>
      <c r="BG253" s="819">
        <f>BG247+SUM(BG248:BG252)</f>
        <v/>
      </c>
      <c r="BH253" s="819">
        <f>BH247+SUM(BH248:BH252)</f>
        <v/>
      </c>
      <c r="BI253" s="819">
        <f>BI247+SUM(BI248:BI252)</f>
        <v/>
      </c>
      <c r="BJ253" s="880" t="n">
        <v>3573.308</v>
      </c>
      <c r="BK253" s="819">
        <f>BK247+SUM(BK248:BK252)</f>
        <v/>
      </c>
      <c r="BL253" s="819">
        <f>BL247+SUM(BL248:BL252)</f>
        <v/>
      </c>
      <c r="BM253" s="819">
        <f>BM247+SUM(BM248:BM252)</f>
        <v/>
      </c>
      <c r="BN253" s="819">
        <f>BN247+SUM(BN248:BN252)</f>
        <v/>
      </c>
      <c r="BO253" s="880" t="n">
        <v>3042.76</v>
      </c>
      <c r="BP253" s="819">
        <f>BP247+SUM(BP248:BP252)</f>
        <v/>
      </c>
      <c r="BQ253" s="819">
        <f>BQ247+SUM(BQ248:BQ252)</f>
        <v/>
      </c>
      <c r="BR253" s="819">
        <f>BR247+SUM(BR248:BR252)</f>
        <v/>
      </c>
      <c r="BS253" s="819">
        <f>BS247+SUM(BS248:BS252)</f>
        <v/>
      </c>
      <c r="BT253" s="880" t="n">
        <v>3692.21</v>
      </c>
      <c r="BU253" s="819">
        <f>BU247+SUM(BU248:BU252)</f>
        <v/>
      </c>
      <c r="BV253" s="819">
        <f>BV247+SUM(BV248:BV252)</f>
        <v/>
      </c>
      <c r="BW253" s="819">
        <f>BW247+SUM(BW248:BW252)</f>
        <v/>
      </c>
      <c r="BX253" s="819">
        <f>BX247+SUM(BX248:BX252)</f>
        <v/>
      </c>
      <c r="BY253" s="880" t="n">
        <v>4492.551</v>
      </c>
      <c r="BZ253" s="819">
        <f>BZ247+SUM(BZ248:BZ252)</f>
        <v/>
      </c>
      <c r="CA253" s="819">
        <f>CA247+SUM(CA248:CA252)</f>
        <v/>
      </c>
      <c r="CB253" s="819">
        <f>CB247+SUM(CB248:CB252)</f>
        <v/>
      </c>
      <c r="CC253" s="819">
        <f>CC247+SUM(CC248:CC252)</f>
        <v/>
      </c>
      <c r="CD253" s="880" t="n">
        <v>4831.608</v>
      </c>
      <c r="CE253" s="274">
        <f>CE247+SUM(CE248:CE252)</f>
        <v/>
      </c>
      <c r="CF253" s="274">
        <f>CF247+SUM(CF248:CF252)</f>
        <v/>
      </c>
      <c r="CG253" s="274">
        <f>CG247+SUM(CG248:CG252)</f>
        <v/>
      </c>
      <c r="CH253" s="274">
        <f>CH247+SUM(CH248:CH252)</f>
        <v/>
      </c>
      <c r="CI253" s="819">
        <f>CI247+SUM(CI248:CI252)</f>
        <v/>
      </c>
      <c r="CJ253" s="819">
        <f>CJ247+SUM(CJ248:CJ252)</f>
        <v/>
      </c>
      <c r="CK253" s="819">
        <f>CK247+SUM(CK248:CK252)</f>
        <v/>
      </c>
      <c r="CL253" s="819">
        <f>CL247+SUM(CL248:CL252)</f>
        <v/>
      </c>
      <c r="CM253" s="819">
        <f>CM247+SUM(CM248:CM252)</f>
        <v/>
      </c>
      <c r="CN253" s="678" t="n"/>
      <c r="CO253" s="689" t="n"/>
      <c r="CP253" s="678" t="n"/>
      <c r="CQ253" s="693" t="n"/>
    </row>
    <row r="254" ht="16.5" customHeight="1" thickTop="1">
      <c r="B254" s="223" t="inlineStr">
        <is>
          <t>Shareholders' equity:</t>
        </is>
      </c>
      <c r="C254" s="839" t="n"/>
      <c r="D254" s="839" t="n"/>
      <c r="E254" s="839" t="n"/>
      <c r="F254" s="839" t="n"/>
      <c r="G254" s="890" t="n"/>
      <c r="H254" s="839" t="n"/>
      <c r="I254" s="839" t="n"/>
      <c r="J254" s="839" t="n"/>
      <c r="K254" s="839" t="n"/>
      <c r="L254" s="890" t="n"/>
      <c r="M254" s="839" t="n"/>
      <c r="N254" s="839" t="n"/>
      <c r="O254" s="839" t="n"/>
      <c r="P254" s="839" t="n"/>
      <c r="Q254" s="890" t="n"/>
      <c r="R254" s="839" t="n"/>
      <c r="S254" s="839" t="n"/>
      <c r="T254" s="839" t="n"/>
      <c r="U254" s="839" t="n"/>
      <c r="V254" s="890" t="n"/>
      <c r="W254" s="839" t="n"/>
      <c r="X254" s="839" t="n"/>
      <c r="Y254" s="839" t="n"/>
      <c r="Z254" s="839" t="n"/>
      <c r="AA254" s="890" t="n"/>
      <c r="AB254" s="839" t="n"/>
      <c r="AC254" s="839" t="n"/>
      <c r="AD254" s="839" t="n"/>
      <c r="AE254" s="839" t="n"/>
      <c r="AF254" s="890" t="n"/>
      <c r="AG254" s="839" t="n"/>
      <c r="AH254" s="839" t="n"/>
      <c r="AI254" s="839" t="n"/>
      <c r="AJ254" s="839" t="n"/>
      <c r="AK254" s="890" t="n"/>
      <c r="AL254" s="839" t="n"/>
      <c r="AM254" s="839" t="n"/>
      <c r="AN254" s="839" t="n"/>
      <c r="AO254" s="839" t="n"/>
      <c r="AP254" s="890" t="n"/>
      <c r="AQ254" s="839" t="n"/>
      <c r="AR254" s="839" t="n"/>
      <c r="AS254" s="839" t="n"/>
      <c r="AT254" s="839" t="n"/>
      <c r="AU254" s="890" t="n"/>
      <c r="AV254" s="839" t="n"/>
      <c r="AW254" s="839" t="n"/>
      <c r="AX254" s="839" t="n"/>
      <c r="AY254" s="839" t="n"/>
      <c r="AZ254" s="890" t="n"/>
      <c r="BA254" s="839" t="n"/>
      <c r="BB254" s="839" t="n"/>
      <c r="BC254" s="839" t="n"/>
      <c r="BD254" s="839" t="n"/>
      <c r="BE254" s="924" t="n"/>
      <c r="BF254" s="839" t="n"/>
      <c r="BG254" s="839" t="n"/>
      <c r="BH254" s="839" t="n"/>
      <c r="BI254" s="839" t="n"/>
      <c r="BJ254" s="924" t="n"/>
      <c r="BK254" s="839" t="n"/>
      <c r="BL254" s="839" t="n"/>
      <c r="BM254" s="839" t="n"/>
      <c r="BN254" s="839" t="n"/>
      <c r="BO254" s="924" t="n"/>
      <c r="BP254" s="839" t="n"/>
      <c r="BQ254" s="839" t="n"/>
      <c r="BR254" s="839" t="n"/>
      <c r="BS254" s="839" t="n"/>
      <c r="BT254" s="924" t="n"/>
      <c r="BU254" s="839" t="n"/>
      <c r="BV254" s="839" t="n"/>
      <c r="BW254" s="839" t="n"/>
      <c r="BX254" s="839" t="n"/>
      <c r="BY254" s="924" t="n"/>
      <c r="BZ254" s="839" t="n"/>
      <c r="CA254" s="839" t="n"/>
      <c r="CB254" s="839" t="n"/>
      <c r="CC254" s="839" t="n"/>
      <c r="CD254" s="924" t="n"/>
      <c r="CE254" s="744" t="n"/>
      <c r="CF254" s="744" t="n"/>
      <c r="CG254" s="744" t="n"/>
      <c r="CH254" s="744" t="n"/>
      <c r="CI254" s="839" t="n"/>
      <c r="CJ254" s="839" t="n"/>
      <c r="CK254" s="839" t="n"/>
      <c r="CL254" s="839" t="n"/>
      <c r="CM254" s="839" t="n"/>
      <c r="CN254" s="224" t="n"/>
      <c r="CO254" s="684" t="n"/>
      <c r="CP254" s="224" t="n"/>
      <c r="CQ254" s="693" t="n"/>
    </row>
    <row r="255" ht="16.5" customHeight="1">
      <c r="B255" t="inlineStr">
        <is>
          <t xml:space="preserve">  Common stock</t>
        </is>
      </c>
      <c r="C255" s="291" t="n"/>
      <c r="D255" s="291" t="n"/>
      <c r="E255" s="291" t="n"/>
      <c r="F255" s="291" t="n"/>
      <c r="G255" s="864" t="n"/>
      <c r="H255" s="291" t="n"/>
      <c r="I255" s="291" t="n"/>
      <c r="J255" s="291" t="n"/>
      <c r="K255" s="291" t="n"/>
      <c r="L255" s="864" t="n"/>
      <c r="M255" s="291" t="n"/>
      <c r="N255" s="291" t="n"/>
      <c r="O255" s="291" t="n"/>
      <c r="P255" s="291" t="n"/>
      <c r="Q255" s="864" t="n"/>
      <c r="R255" s="291" t="n"/>
      <c r="S255" s="291" t="n"/>
      <c r="T255" s="291" t="n"/>
      <c r="U255" s="291" t="n"/>
      <c r="V255" s="864" t="n"/>
      <c r="W255" s="291" t="n"/>
      <c r="X255" s="291" t="n"/>
      <c r="Y255" s="291" t="n"/>
      <c r="Z255" s="291" t="n"/>
      <c r="AA255" s="864" t="n"/>
      <c r="AB255" s="291" t="n"/>
      <c r="AC255" s="291" t="n"/>
      <c r="AD255" s="291" t="n"/>
      <c r="AE255" s="291" t="n"/>
      <c r="AF255" s="864" t="n"/>
      <c r="AG255" s="291" t="n"/>
      <c r="AH255" s="291" t="n"/>
      <c r="AI255" s="291" t="n"/>
      <c r="AJ255" s="291" t="n"/>
      <c r="AK255" s="864" t="n"/>
      <c r="AL255" s="291" t="n"/>
      <c r="AM255" s="291" t="n"/>
      <c r="AN255" s="291" t="n"/>
      <c r="AO255" s="291" t="n"/>
      <c r="AP255" s="864" t="n"/>
      <c r="AQ255" s="291" t="n"/>
      <c r="AR255" s="291" t="n"/>
      <c r="AS255" s="291" t="n"/>
      <c r="AT255" s="291" t="n"/>
      <c r="AU255" s="864" t="n"/>
      <c r="AV255" s="291" t="n"/>
      <c r="AW255" s="291" t="n"/>
      <c r="AX255" s="291" t="n"/>
      <c r="AY255" s="291" t="n"/>
      <c r="AZ255" s="864" t="n"/>
      <c r="BA255" s="291" t="n"/>
      <c r="BB255" s="291" t="n"/>
      <c r="BC255" s="291" t="n"/>
      <c r="BD255" s="291" t="n"/>
      <c r="BE255" s="868" t="n"/>
      <c r="BF255" s="743" t="n"/>
      <c r="BG255" s="743" t="n"/>
      <c r="BH255" s="743" t="n"/>
      <c r="BI255" s="291" t="n"/>
      <c r="BJ255" s="868" t="n"/>
      <c r="BK255" s="743" t="n"/>
      <c r="BL255" s="743" t="n"/>
      <c r="BM255" s="743" t="n"/>
      <c r="BN255" s="291">
        <f>BO255</f>
        <v/>
      </c>
      <c r="BO255" s="868" t="n"/>
      <c r="BP255" s="743" t="n"/>
      <c r="BQ255" s="743" t="n"/>
      <c r="BR255" s="743" t="n"/>
      <c r="BS255" s="291">
        <f>BT255</f>
        <v/>
      </c>
      <c r="BT255" s="868" t="n"/>
      <c r="BU255" s="743" t="n"/>
      <c r="BV255" s="743" t="n"/>
      <c r="BW255" s="743" t="n"/>
      <c r="BX255" s="291">
        <f>BY255</f>
        <v/>
      </c>
      <c r="BY255" s="868" t="n"/>
      <c r="BZ255" s="743" t="n"/>
      <c r="CA255" s="743" t="n"/>
      <c r="CB255" s="743" t="n"/>
      <c r="CC255" s="291">
        <f>CD255</f>
        <v/>
      </c>
      <c r="CD255" s="868" t="n"/>
      <c r="CE255" s="743" t="n"/>
      <c r="CF255" s="743" t="n"/>
      <c r="CG255" s="291">
        <f>CF255</f>
        <v/>
      </c>
      <c r="CH255" s="291">
        <f>CG255</f>
        <v/>
      </c>
      <c r="CI255" s="749">
        <f>CD255</f>
        <v/>
      </c>
      <c r="CJ255" s="749">
        <f>CI255</f>
        <v/>
      </c>
      <c r="CK255" s="749">
        <f>CJ255</f>
        <v/>
      </c>
      <c r="CL255" s="749">
        <f>CK255</f>
        <v/>
      </c>
      <c r="CM255" s="749">
        <f>CL255</f>
        <v/>
      </c>
      <c r="CN255" s="291" t="n"/>
      <c r="CO255" s="766" t="n"/>
      <c r="CP255" s="291" t="n"/>
      <c r="CQ255" s="693" t="n"/>
    </row>
    <row r="256" ht="16.5" customHeight="1">
      <c r="B256" t="inlineStr">
        <is>
          <t xml:space="preserve">  Additional paid-in capital</t>
        </is>
      </c>
      <c r="C256" s="291" t="n"/>
      <c r="D256" s="291" t="n"/>
      <c r="E256" s="291" t="n"/>
      <c r="F256" s="291" t="n"/>
      <c r="G256" s="864" t="n"/>
      <c r="H256" s="291" t="n"/>
      <c r="I256" s="291" t="n"/>
      <c r="J256" s="291" t="n"/>
      <c r="K256" s="291" t="n"/>
      <c r="L256" s="864" t="n"/>
      <c r="M256" s="291" t="n"/>
      <c r="N256" s="291" t="n"/>
      <c r="O256" s="291" t="n"/>
      <c r="P256" s="291" t="n"/>
      <c r="Q256" s="864" t="n"/>
      <c r="R256" s="291" t="n"/>
      <c r="S256" s="291" t="n"/>
      <c r="T256" s="291" t="n"/>
      <c r="U256" s="291" t="n"/>
      <c r="V256" s="864" t="n"/>
      <c r="W256" s="291" t="n"/>
      <c r="X256" s="291" t="n"/>
      <c r="Y256" s="291" t="n"/>
      <c r="Z256" s="291" t="n"/>
      <c r="AA256" s="864" t="n"/>
      <c r="AB256" s="291" t="n"/>
      <c r="AC256" s="291" t="n"/>
      <c r="AD256" s="291" t="n"/>
      <c r="AE256" s="291" t="n"/>
      <c r="AF256" s="864" t="n"/>
      <c r="AG256" s="291" t="n"/>
      <c r="AH256" s="291" t="n"/>
      <c r="AI256" s="291" t="n"/>
      <c r="AJ256" s="291" t="n"/>
      <c r="AK256" s="864" t="n"/>
      <c r="AL256" s="291" t="n"/>
      <c r="AM256" s="291" t="n"/>
      <c r="AN256" s="291" t="n"/>
      <c r="AO256" s="291" t="n"/>
      <c r="AP256" s="864" t="n"/>
      <c r="AQ256" s="291" t="n"/>
      <c r="AR256" s="291" t="n"/>
      <c r="AS256" s="291" t="n"/>
      <c r="AT256" s="291" t="n"/>
      <c r="AU256" s="864" t="n"/>
      <c r="AV256" s="291" t="n"/>
      <c r="AW256" s="291" t="n"/>
      <c r="AX256" s="291" t="n"/>
      <c r="AY256" s="291" t="n"/>
      <c r="AZ256" s="864" t="n"/>
      <c r="BA256" s="291" t="n"/>
      <c r="BB256" s="291" t="n"/>
      <c r="BC256" s="291" t="n"/>
      <c r="BD256" s="291" t="n"/>
      <c r="BE256" s="868" t="n"/>
      <c r="BF256" s="743" t="n"/>
      <c r="BG256" s="743" t="n"/>
      <c r="BH256" s="743" t="n"/>
      <c r="BI256" s="291" t="n"/>
      <c r="BJ256" s="868" t="n"/>
      <c r="BK256" s="743" t="n"/>
      <c r="BL256" s="743" t="n"/>
      <c r="BM256" s="743" t="n"/>
      <c r="BN256" s="291">
        <f>BO256</f>
        <v/>
      </c>
      <c r="BO256" s="868" t="n"/>
      <c r="BP256" s="743" t="n"/>
      <c r="BQ256" s="743" t="n"/>
      <c r="BR256" s="743" t="n"/>
      <c r="BS256" s="291">
        <f>BT256</f>
        <v/>
      </c>
      <c r="BT256" s="868" t="n"/>
      <c r="BU256" s="743" t="n"/>
      <c r="BV256" s="743" t="n"/>
      <c r="BW256" s="743" t="n"/>
      <c r="BX256" s="291">
        <f>BY256</f>
        <v/>
      </c>
      <c r="BY256" s="868" t="n"/>
      <c r="BZ256" s="743" t="n"/>
      <c r="CA256" s="743" t="n"/>
      <c r="CB256" s="743" t="n"/>
      <c r="CC256" s="291">
        <f>CD256</f>
        <v/>
      </c>
      <c r="CD256" s="868" t="n"/>
      <c r="CE256" s="743" t="n"/>
      <c r="CF256" s="743" t="n"/>
      <c r="CG256" s="291">
        <f>CF256+CG178+CG200</f>
        <v/>
      </c>
      <c r="CH256" s="291">
        <f>CG256+CH178+CH200</f>
        <v/>
      </c>
      <c r="CI256" s="749">
        <f>CD256+CI178+CI200</f>
        <v/>
      </c>
      <c r="CJ256" s="749">
        <f>CI256+CJ178+CJ200</f>
        <v/>
      </c>
      <c r="CK256" s="749">
        <f>CJ256+CK178+CK200</f>
        <v/>
      </c>
      <c r="CL256" s="749">
        <f>CK256+CL178+CL200</f>
        <v/>
      </c>
      <c r="CM256" s="749">
        <f>CL256+CM178+CM200</f>
        <v/>
      </c>
      <c r="CN256" s="291" t="n"/>
      <c r="CO256" s="766" t="n"/>
      <c r="CP256" s="291" t="n"/>
      <c r="CQ256" s="693" t="n"/>
    </row>
    <row r="257" ht="16.5" customHeight="1">
      <c r="B257" t="inlineStr">
        <is>
          <t xml:space="preserve">  Retained earnings</t>
        </is>
      </c>
      <c r="C257" s="291" t="n"/>
      <c r="D257" s="291" t="n"/>
      <c r="E257" s="291" t="n"/>
      <c r="F257" s="291" t="n"/>
      <c r="G257" s="864" t="n"/>
      <c r="H257" s="291" t="n"/>
      <c r="I257" s="291" t="n"/>
      <c r="J257" s="291" t="n"/>
      <c r="K257" s="291" t="n"/>
      <c r="L257" s="864" t="n"/>
      <c r="M257" s="291" t="n"/>
      <c r="N257" s="291" t="n"/>
      <c r="O257" s="291" t="n"/>
      <c r="P257" s="291" t="n"/>
      <c r="Q257" s="864" t="n"/>
      <c r="R257" s="291" t="n"/>
      <c r="S257" s="291" t="n"/>
      <c r="T257" s="291" t="n"/>
      <c r="U257" s="291" t="n"/>
      <c r="V257" s="864" t="n"/>
      <c r="W257" s="291" t="n"/>
      <c r="X257" s="291" t="n"/>
      <c r="Y257" s="291" t="n"/>
      <c r="Z257" s="291" t="n"/>
      <c r="AA257" s="864" t="n"/>
      <c r="AB257" s="291" t="n"/>
      <c r="AC257" s="291" t="n"/>
      <c r="AD257" s="291" t="n"/>
      <c r="AE257" s="291" t="n"/>
      <c r="AF257" s="864" t="n"/>
      <c r="AG257" s="291" t="n"/>
      <c r="AH257" s="291" t="n"/>
      <c r="AI257" s="291" t="n"/>
      <c r="AJ257" s="291" t="n"/>
      <c r="AK257" s="864" t="n"/>
      <c r="AL257" s="291" t="n"/>
      <c r="AM257" s="291" t="n"/>
      <c r="AN257" s="291" t="n"/>
      <c r="AO257" s="291" t="n"/>
      <c r="AP257" s="864" t="n"/>
      <c r="AQ257" s="291" t="n"/>
      <c r="AR257" s="291" t="n"/>
      <c r="AS257" s="291" t="n"/>
      <c r="AT257" s="291" t="n"/>
      <c r="AU257" s="864" t="n"/>
      <c r="AV257" s="291" t="n"/>
      <c r="AW257" s="291" t="n"/>
      <c r="AX257" s="291" t="n"/>
      <c r="AY257" s="291" t="n"/>
      <c r="AZ257" s="864" t="n"/>
      <c r="BA257" s="291" t="n"/>
      <c r="BB257" s="291" t="n"/>
      <c r="BC257" s="291" t="n"/>
      <c r="BD257" s="291" t="n"/>
      <c r="BE257" s="868" t="n"/>
      <c r="BF257" s="743" t="n"/>
      <c r="BG257" s="743" t="n"/>
      <c r="BH257" s="743" t="n"/>
      <c r="BI257" s="291" t="n"/>
      <c r="BJ257" s="868" t="n"/>
      <c r="BK257" s="743" t="n"/>
      <c r="BL257" s="743" t="n"/>
      <c r="BM257" s="743" t="n"/>
      <c r="BN257" s="291">
        <f>BO257</f>
        <v/>
      </c>
      <c r="BO257" s="868" t="n"/>
      <c r="BP257" s="743" t="n"/>
      <c r="BQ257" s="743" t="n"/>
      <c r="BR257" s="743" t="n"/>
      <c r="BS257" s="291">
        <f>BT257</f>
        <v/>
      </c>
      <c r="BT257" s="868" t="n"/>
      <c r="BU257" s="743" t="n"/>
      <c r="BV257" s="743" t="n"/>
      <c r="BW257" s="743" t="n"/>
      <c r="BX257" s="291">
        <f>BY257</f>
        <v/>
      </c>
      <c r="BY257" s="868" t="n"/>
      <c r="BZ257" s="743" t="n"/>
      <c r="CA257" s="743" t="n"/>
      <c r="CB257" s="743" t="n"/>
      <c r="CC257" s="291">
        <f>CD257</f>
        <v/>
      </c>
      <c r="CD257" s="868" t="n"/>
      <c r="CE257" s="743" t="n"/>
      <c r="CF257" s="743" t="n"/>
      <c r="CG257" s="291">
        <f>CF257+CG133+CG198</f>
        <v/>
      </c>
      <c r="CH257" s="291">
        <f>CG257+CH133+CH198</f>
        <v/>
      </c>
      <c r="CI257" s="749">
        <f>CD257+CI133+CI198</f>
        <v/>
      </c>
      <c r="CJ257" s="749">
        <f>CI257+CJ133+CJ198</f>
        <v/>
      </c>
      <c r="CK257" s="749">
        <f>CJ257+CK133+CK198</f>
        <v/>
      </c>
      <c r="CL257" s="749">
        <f>CK257+CL133+CL198</f>
        <v/>
      </c>
      <c r="CM257" s="749">
        <f>CL257+CM133+CM198</f>
        <v/>
      </c>
      <c r="CN257" s="291" t="n"/>
      <c r="CO257" s="766" t="n"/>
      <c r="CP257" s="291" t="n"/>
      <c r="CQ257" s="694" t="n"/>
    </row>
    <row r="258" ht="16.5" customHeight="1">
      <c r="B258" t="inlineStr">
        <is>
          <t xml:space="preserve">  Treasury stock</t>
        </is>
      </c>
      <c r="C258" s="291" t="n"/>
      <c r="D258" s="291" t="n"/>
      <c r="E258" s="291" t="n"/>
      <c r="F258" s="291" t="n"/>
      <c r="G258" s="864" t="n"/>
      <c r="H258" s="291" t="n"/>
      <c r="I258" s="291" t="n"/>
      <c r="J258" s="291" t="n"/>
      <c r="K258" s="291" t="n"/>
      <c r="L258" s="864" t="n"/>
      <c r="M258" s="291" t="n"/>
      <c r="N258" s="291" t="n"/>
      <c r="O258" s="291" t="n"/>
      <c r="P258" s="291" t="n"/>
      <c r="Q258" s="864" t="n"/>
      <c r="R258" s="291" t="n"/>
      <c r="S258" s="291" t="n"/>
      <c r="T258" s="291" t="n"/>
      <c r="U258" s="291" t="n"/>
      <c r="V258" s="864" t="n"/>
      <c r="W258" s="291" t="n"/>
      <c r="X258" s="291" t="n"/>
      <c r="Y258" s="291" t="n"/>
      <c r="Z258" s="291" t="n"/>
      <c r="AA258" s="864" t="n"/>
      <c r="AB258" s="291" t="n"/>
      <c r="AC258" s="291" t="n"/>
      <c r="AD258" s="291" t="n"/>
      <c r="AE258" s="291" t="n"/>
      <c r="AF258" s="864" t="n"/>
      <c r="AG258" s="291" t="n"/>
      <c r="AH258" s="291" t="n"/>
      <c r="AI258" s="291" t="n"/>
      <c r="AJ258" s="291" t="n"/>
      <c r="AK258" s="864" t="n"/>
      <c r="AL258" s="291" t="n"/>
      <c r="AM258" s="291" t="n"/>
      <c r="AN258" s="291" t="n"/>
      <c r="AO258" s="291" t="n"/>
      <c r="AP258" s="864" t="n"/>
      <c r="AQ258" s="291" t="n"/>
      <c r="AR258" s="291" t="n"/>
      <c r="AS258" s="291" t="n"/>
      <c r="AT258" s="291" t="n"/>
      <c r="AU258" s="864" t="n"/>
      <c r="AV258" s="291" t="n"/>
      <c r="AW258" s="291" t="n"/>
      <c r="AX258" s="291" t="n"/>
      <c r="AY258" s="291" t="n"/>
      <c r="AZ258" s="864" t="n"/>
      <c r="BA258" s="291" t="n"/>
      <c r="BB258" s="291" t="n"/>
      <c r="BC258" s="291" t="n"/>
      <c r="BD258" s="291" t="n"/>
      <c r="BE258" s="868" t="n"/>
      <c r="BF258" s="743" t="n"/>
      <c r="BG258" s="743" t="n"/>
      <c r="BH258" s="743" t="n"/>
      <c r="BI258" s="291" t="n"/>
      <c r="BJ258" s="868" t="n"/>
      <c r="BK258" s="743" t="n"/>
      <c r="BL258" s="743" t="n"/>
      <c r="BM258" s="743" t="n"/>
      <c r="BN258" s="291">
        <f>BO258</f>
        <v/>
      </c>
      <c r="BO258" s="868" t="n"/>
      <c r="BP258" s="743" t="n"/>
      <c r="BQ258" s="743" t="n"/>
      <c r="BR258" s="743" t="n"/>
      <c r="BS258" s="291">
        <f>BT258</f>
        <v/>
      </c>
      <c r="BT258" s="868" t="n"/>
      <c r="BU258" s="743" t="n"/>
      <c r="BV258" s="743" t="n"/>
      <c r="BW258" s="743" t="n"/>
      <c r="BX258" s="291">
        <f>BY258</f>
        <v/>
      </c>
      <c r="BY258" s="868" t="n"/>
      <c r="BZ258" s="743" t="n"/>
      <c r="CA258" s="743" t="n"/>
      <c r="CB258" s="743" t="n"/>
      <c r="CC258" s="291">
        <f>CD258</f>
        <v/>
      </c>
      <c r="CD258" s="868" t="n"/>
      <c r="CE258" s="743" t="n"/>
      <c r="CF258" s="743" t="n"/>
      <c r="CG258" s="291">
        <f>CF258+CG199</f>
        <v/>
      </c>
      <c r="CH258" s="291">
        <f>CG258+CH199</f>
        <v/>
      </c>
      <c r="CI258" s="749">
        <f>CD258+CI199</f>
        <v/>
      </c>
      <c r="CJ258" s="749">
        <f>CI258+CJ199</f>
        <v/>
      </c>
      <c r="CK258" s="749">
        <f>CJ258+CK199</f>
        <v/>
      </c>
      <c r="CL258" s="749">
        <f>CK258+CL199</f>
        <v/>
      </c>
      <c r="CM258" s="749">
        <f>CL258+CM199</f>
        <v/>
      </c>
      <c r="CN258" s="291" t="n"/>
      <c r="CO258" s="766" t="n"/>
      <c r="CP258" s="291" t="n"/>
      <c r="CQ258" s="694" t="n"/>
    </row>
    <row r="259" ht="16.5" customHeight="1">
      <c r="B259" t="inlineStr">
        <is>
          <t xml:space="preserve">  Accumulated other comprehensive loss</t>
        </is>
      </c>
      <c r="C259" s="291" t="n"/>
      <c r="D259" s="291" t="n"/>
      <c r="E259" s="291" t="n"/>
      <c r="F259" s="291" t="n"/>
      <c r="G259" s="864" t="n"/>
      <c r="H259" s="291" t="n"/>
      <c r="I259" s="291" t="n"/>
      <c r="J259" s="291" t="n"/>
      <c r="K259" s="291" t="n"/>
      <c r="L259" s="864" t="n"/>
      <c r="M259" s="291" t="n"/>
      <c r="N259" s="291" t="n"/>
      <c r="O259" s="291" t="n"/>
      <c r="P259" s="291" t="n"/>
      <c r="Q259" s="864" t="n"/>
      <c r="R259" s="291" t="n"/>
      <c r="S259" s="291" t="n"/>
      <c r="T259" s="291" t="n"/>
      <c r="U259" s="291" t="n"/>
      <c r="V259" s="864" t="n"/>
      <c r="W259" s="291" t="n"/>
      <c r="X259" s="291" t="n"/>
      <c r="Y259" s="291" t="n"/>
      <c r="Z259" s="291" t="n"/>
      <c r="AA259" s="864" t="n"/>
      <c r="AB259" s="291" t="n"/>
      <c r="AC259" s="291" t="n"/>
      <c r="AD259" s="291" t="n"/>
      <c r="AE259" s="291" t="n"/>
      <c r="AF259" s="864" t="n"/>
      <c r="AG259" s="291" t="n"/>
      <c r="AH259" s="291" t="n"/>
      <c r="AI259" s="291" t="n"/>
      <c r="AJ259" s="291" t="n"/>
      <c r="AK259" s="864" t="n"/>
      <c r="AL259" s="291" t="n"/>
      <c r="AM259" s="291" t="n"/>
      <c r="AN259" s="291" t="n"/>
      <c r="AO259" s="291" t="n"/>
      <c r="AP259" s="864" t="n"/>
      <c r="AQ259" s="291" t="n"/>
      <c r="AR259" s="291" t="n"/>
      <c r="AS259" s="291" t="n"/>
      <c r="AT259" s="291" t="n"/>
      <c r="AU259" s="864" t="n"/>
      <c r="AV259" s="291" t="n"/>
      <c r="AW259" s="291" t="n"/>
      <c r="AX259" s="291" t="n"/>
      <c r="AY259" s="291" t="n"/>
      <c r="AZ259" s="864" t="n"/>
      <c r="BA259" s="291" t="n"/>
      <c r="BB259" s="291" t="n"/>
      <c r="BC259" s="291" t="n"/>
      <c r="BD259" s="291" t="n"/>
      <c r="BE259" s="868" t="n"/>
      <c r="BF259" s="743" t="n"/>
      <c r="BG259" s="743" t="n"/>
      <c r="BH259" s="743" t="n"/>
      <c r="BI259" s="291" t="n"/>
      <c r="BJ259" s="868" t="n"/>
      <c r="BK259" s="743" t="n"/>
      <c r="BL259" s="743" t="n"/>
      <c r="BM259" s="743" t="n"/>
      <c r="BN259" s="291">
        <f>BO259</f>
        <v/>
      </c>
      <c r="BO259" s="868" t="n"/>
      <c r="BP259" s="743" t="n"/>
      <c r="BQ259" s="743" t="n"/>
      <c r="BR259" s="743" t="n"/>
      <c r="BS259" s="291">
        <f>BT259</f>
        <v/>
      </c>
      <c r="BT259" s="868" t="n"/>
      <c r="BU259" s="743" t="n"/>
      <c r="BV259" s="743" t="n"/>
      <c r="BW259" s="743" t="n"/>
      <c r="BX259" s="291">
        <f>BY259</f>
        <v/>
      </c>
      <c r="BY259" s="868" t="n"/>
      <c r="BZ259" s="743" t="n"/>
      <c r="CA259" s="743" t="n"/>
      <c r="CB259" s="743" t="n"/>
      <c r="CC259" s="291">
        <f>CD259</f>
        <v/>
      </c>
      <c r="CD259" s="868" t="n"/>
      <c r="CE259" s="743" t="n"/>
      <c r="CF259" s="743" t="n"/>
      <c r="CG259" s="291">
        <f>CF259</f>
        <v/>
      </c>
      <c r="CH259" s="291">
        <f>CG259</f>
        <v/>
      </c>
      <c r="CI259" s="749">
        <f>CD259</f>
        <v/>
      </c>
      <c r="CJ259" s="749">
        <f>CI259</f>
        <v/>
      </c>
      <c r="CK259" s="749">
        <f>CJ259</f>
        <v/>
      </c>
      <c r="CL259" s="749">
        <f>CK259</f>
        <v/>
      </c>
      <c r="CM259" s="749">
        <f>CL259</f>
        <v/>
      </c>
      <c r="CN259" s="291" t="n"/>
      <c r="CO259" s="766" t="n"/>
      <c r="CP259" s="291" t="n"/>
      <c r="CQ259" s="693" t="n"/>
    </row>
    <row r="260" ht="16.5" customHeight="1">
      <c r="B260" s="711" t="inlineStr">
        <is>
          <t>Total shareholders' equity</t>
        </is>
      </c>
      <c r="C260" s="824" t="n"/>
      <c r="D260" s="824" t="n"/>
      <c r="E260" s="824" t="n"/>
      <c r="F260" s="824" t="n"/>
      <c r="G260" s="891" t="n"/>
      <c r="H260" s="824" t="n"/>
      <c r="I260" s="824" t="n"/>
      <c r="J260" s="824" t="n"/>
      <c r="K260" s="824" t="n"/>
      <c r="L260" s="891" t="n"/>
      <c r="M260" s="824" t="n"/>
      <c r="N260" s="824" t="n"/>
      <c r="O260" s="824" t="n"/>
      <c r="P260" s="824" t="n"/>
      <c r="Q260" s="891" t="n"/>
      <c r="R260" s="824" t="n"/>
      <c r="S260" s="824" t="n"/>
      <c r="T260" s="824" t="n"/>
      <c r="U260" s="824" t="n"/>
      <c r="V260" s="891" t="n"/>
      <c r="W260" s="824" t="n"/>
      <c r="X260" s="824" t="n"/>
      <c r="Y260" s="824" t="n"/>
      <c r="Z260" s="824" t="n"/>
      <c r="AA260" s="891" t="n"/>
      <c r="AB260" s="824" t="n"/>
      <c r="AC260" s="824" t="n"/>
      <c r="AD260" s="824" t="n"/>
      <c r="AE260" s="824" t="n"/>
      <c r="AF260" s="891" t="n"/>
      <c r="AG260" s="824" t="n"/>
      <c r="AH260" s="824" t="n"/>
      <c r="AI260" s="824" t="n"/>
      <c r="AJ260" s="824" t="n"/>
      <c r="AK260" s="891" t="n"/>
      <c r="AL260" s="824" t="n"/>
      <c r="AM260" s="818" t="n"/>
      <c r="AN260" s="818" t="n"/>
      <c r="AO260" s="818" t="n"/>
      <c r="AP260" s="891" t="n"/>
      <c r="AQ260" s="818" t="n"/>
      <c r="AR260" s="818" t="n"/>
      <c r="AS260" s="818" t="n"/>
      <c r="AT260" s="818" t="n"/>
      <c r="AU260" s="891" t="n"/>
      <c r="AV260" s="818" t="n"/>
      <c r="AW260" s="818" t="n"/>
      <c r="AX260" s="818" t="n"/>
      <c r="AY260" s="818" t="n"/>
      <c r="AZ260" s="891" t="n">
        <v>1157.727</v>
      </c>
      <c r="BA260" s="818" t="n"/>
      <c r="BB260" s="818" t="n"/>
      <c r="BC260" s="818" t="n"/>
      <c r="BD260" s="818" t="n"/>
      <c r="BE260" s="925" t="n">
        <v>1788.612</v>
      </c>
      <c r="BF260" s="818">
        <f>SUM(BF255:BF259)</f>
        <v/>
      </c>
      <c r="BG260" s="818">
        <f>SUM(BG255:BG259)</f>
        <v/>
      </c>
      <c r="BH260" s="818">
        <f>SUM(BH255:BH259)</f>
        <v/>
      </c>
      <c r="BI260" s="818">
        <f>SUM(BI255:BI259)</f>
        <v/>
      </c>
      <c r="BJ260" s="925" t="n">
        <v>2310.355</v>
      </c>
      <c r="BK260" s="818">
        <f>SUM(BK255:BK259)</f>
        <v/>
      </c>
      <c r="BL260" s="818">
        <f>SUM(BL255:BL259)</f>
        <v/>
      </c>
      <c r="BM260" s="818">
        <f>SUM(BM255:BM259)</f>
        <v/>
      </c>
      <c r="BN260" s="818">
        <f>SUM(BN255:BN259)</f>
        <v/>
      </c>
      <c r="BO260" s="925" t="n">
        <v>2463.07</v>
      </c>
      <c r="BP260" s="818">
        <f>SUM(BP255:BP259)</f>
        <v/>
      </c>
      <c r="BQ260" s="818">
        <f>SUM(BQ255:BQ259)</f>
        <v/>
      </c>
      <c r="BR260" s="818">
        <f>SUM(BR255:BR259)</f>
        <v/>
      </c>
      <c r="BS260" s="818">
        <f>SUM(BS255:BS259)</f>
        <v/>
      </c>
      <c r="BT260" s="925" t="n">
        <v>2591.41</v>
      </c>
      <c r="BU260" s="818">
        <f>SUM(BU255:BU259)</f>
        <v/>
      </c>
      <c r="BV260" s="818">
        <f>SUM(BV255:BV259)</f>
        <v/>
      </c>
      <c r="BW260" s="818">
        <f>SUM(BW255:BW259)</f>
        <v/>
      </c>
      <c r="BX260" s="818">
        <f>SUM(BX255:BX259)</f>
        <v/>
      </c>
      <c r="BY260" s="925" t="n">
        <v>2673.275</v>
      </c>
      <c r="BZ260" s="818">
        <f>SUM(BZ255:BZ259)</f>
        <v/>
      </c>
      <c r="CA260" s="818">
        <f>SUM(CA255:CA259)</f>
        <v/>
      </c>
      <c r="CB260" s="818">
        <f>SUM(CB255:CB259)</f>
        <v/>
      </c>
      <c r="CC260" s="818">
        <f>SUM(CC255:CC259)</f>
        <v/>
      </c>
      <c r="CD260" s="925" t="n">
        <v>2677.627</v>
      </c>
      <c r="CE260" s="678">
        <f>SUM(CE255:CE259)+(-214.872)+(-201.585)</f>
        <v/>
      </c>
      <c r="CF260" s="678">
        <f>SUM(CF255:CF259)+(-279.828)+(-253.378)</f>
        <v/>
      </c>
      <c r="CG260" s="678">
        <f>CG237-CG253</f>
        <v/>
      </c>
      <c r="CH260" s="678">
        <f>CH237-CH253</f>
        <v/>
      </c>
      <c r="CI260" s="849">
        <f>SUM(CI255:CI259)</f>
        <v/>
      </c>
      <c r="CJ260" s="849">
        <f>SUM(CJ255:CJ259)</f>
        <v/>
      </c>
      <c r="CK260" s="849">
        <f>SUM(CK255:CK259)</f>
        <v/>
      </c>
      <c r="CL260" s="849">
        <f>SUM(CL255:CL259)</f>
        <v/>
      </c>
      <c r="CM260" s="849">
        <f>SUM(CM255:CM259)</f>
        <v/>
      </c>
      <c r="CN260" s="678" t="n"/>
      <c r="CO260" s="689">
        <f>(CM260/CD260)^(1/5)-1</f>
        <v/>
      </c>
      <c r="CP260" s="678" t="n"/>
      <c r="CQ260" s="694" t="n"/>
    </row>
    <row r="261" ht="16.5" customHeight="1" thickBot="1">
      <c r="B261" s="747" t="inlineStr">
        <is>
          <t>TOTAL LIABILITIES AND EQUITY</t>
        </is>
      </c>
      <c r="C261" s="819" t="n"/>
      <c r="D261" s="819" t="n"/>
      <c r="E261" s="819" t="n"/>
      <c r="F261" s="819" t="n"/>
      <c r="G261" s="880">
        <f>G253+G260</f>
        <v/>
      </c>
      <c r="H261" s="819" t="n"/>
      <c r="I261" s="819" t="n"/>
      <c r="J261" s="819" t="n"/>
      <c r="K261" s="819" t="n"/>
      <c r="L261" s="880">
        <f>L253+L260</f>
        <v/>
      </c>
      <c r="M261" s="819" t="n"/>
      <c r="N261" s="819" t="n"/>
      <c r="O261" s="819" t="n"/>
      <c r="P261" s="819" t="n"/>
      <c r="Q261" s="880">
        <f>Q253+Q260</f>
        <v/>
      </c>
      <c r="R261" s="819" t="n"/>
      <c r="S261" s="819" t="n"/>
      <c r="T261" s="819" t="n"/>
      <c r="U261" s="819" t="n"/>
      <c r="V261" s="880">
        <f>V253+V260</f>
        <v/>
      </c>
      <c r="W261" s="819" t="n"/>
      <c r="X261" s="819" t="n"/>
      <c r="Y261" s="819" t="n"/>
      <c r="Z261" s="819" t="n"/>
      <c r="AA261" s="880">
        <f>AA253+AA260</f>
        <v/>
      </c>
      <c r="AB261" s="819" t="n"/>
      <c r="AC261" s="819" t="n"/>
      <c r="AD261" s="819" t="n"/>
      <c r="AE261" s="819" t="n"/>
      <c r="AF261" s="880">
        <f>AF253+AF260</f>
        <v/>
      </c>
      <c r="AG261" s="819" t="n"/>
      <c r="AH261" s="819" t="n"/>
      <c r="AI261" s="819" t="n"/>
      <c r="AJ261" s="819" t="n"/>
      <c r="AK261" s="880">
        <f>AK253+AK260</f>
        <v/>
      </c>
      <c r="AL261" s="819" t="n"/>
      <c r="AM261" s="819" t="n"/>
      <c r="AN261" s="819" t="n"/>
      <c r="AO261" s="819" t="n"/>
      <c r="AP261" s="880">
        <f>AP253+AP260</f>
        <v/>
      </c>
      <c r="AQ261" s="819" t="n"/>
      <c r="AR261" s="819" t="n"/>
      <c r="AS261" s="819" t="n"/>
      <c r="AT261" s="819" t="n"/>
      <c r="AU261" s="880">
        <f>AU253+AU260</f>
        <v/>
      </c>
      <c r="AV261" s="819" t="n"/>
      <c r="AW261" s="819" t="n"/>
      <c r="AX261" s="819" t="n"/>
      <c r="AY261" s="819" t="n"/>
      <c r="AZ261" s="880" t="n">
        <v>3508.82</v>
      </c>
      <c r="BA261" s="819" t="n"/>
      <c r="BB261" s="819" t="n"/>
      <c r="BC261" s="819" t="n"/>
      <c r="BD261" s="819" t="n"/>
      <c r="BE261" s="880" t="n">
        <v>3847.254</v>
      </c>
      <c r="BF261" s="819">
        <f>BF253+BF260</f>
        <v/>
      </c>
      <c r="BG261" s="819">
        <f>BG253+BG260</f>
        <v/>
      </c>
      <c r="BH261" s="819">
        <f>BH253+BH260</f>
        <v/>
      </c>
      <c r="BI261" s="819">
        <f>BI253+BI260</f>
        <v/>
      </c>
      <c r="BJ261" s="880" t="n">
        <v>5883.663</v>
      </c>
      <c r="BK261" s="819">
        <f>BK253+BK260</f>
        <v/>
      </c>
      <c r="BL261" s="819">
        <f>BL253+BL260</f>
        <v/>
      </c>
      <c r="BM261" s="819">
        <f>BM253+BM260</f>
        <v/>
      </c>
      <c r="BN261" s="819">
        <f>BN253+BN260</f>
        <v/>
      </c>
      <c r="BO261" s="880" t="n">
        <v>5505.83</v>
      </c>
      <c r="BP261" s="819">
        <f>BP253+BP260</f>
        <v/>
      </c>
      <c r="BQ261" s="819">
        <f>BQ253+BQ260</f>
        <v/>
      </c>
      <c r="BR261" s="819">
        <f>BR253+BR260</f>
        <v/>
      </c>
      <c r="BS261" s="819">
        <f>BS253+BS260</f>
        <v/>
      </c>
      <c r="BT261" s="880" t="n">
        <v>6283.62</v>
      </c>
      <c r="BU261" s="819">
        <f>BU253+BU260</f>
        <v/>
      </c>
      <c r="BV261" s="819">
        <f>BV253+BV260</f>
        <v/>
      </c>
      <c r="BW261" s="819">
        <f>BW253+BW260</f>
        <v/>
      </c>
      <c r="BX261" s="819">
        <f>BX253+BX260</f>
        <v/>
      </c>
      <c r="BY261" s="880" t="n">
        <v>7165.826</v>
      </c>
      <c r="BZ261" s="819">
        <f>BZ253+BZ260</f>
        <v/>
      </c>
      <c r="CA261" s="819">
        <f>CA253+CA260</f>
        <v/>
      </c>
      <c r="CB261" s="819">
        <f>CB253+CB260</f>
        <v/>
      </c>
      <c r="CC261" s="819">
        <f>CC253+CC260</f>
        <v/>
      </c>
      <c r="CD261" s="880" t="n">
        <v>7509.235</v>
      </c>
      <c r="CE261" s="274">
        <f>CE253+CE260</f>
        <v/>
      </c>
      <c r="CF261" s="274">
        <f>CF253+CF260</f>
        <v/>
      </c>
      <c r="CG261" s="274">
        <f>CG253+CG260</f>
        <v/>
      </c>
      <c r="CH261" s="274">
        <f>CH253+CH260</f>
        <v/>
      </c>
      <c r="CI261" s="819">
        <f>CI253+CI260</f>
        <v/>
      </c>
      <c r="CJ261" s="819">
        <f>CJ253+CJ260</f>
        <v/>
      </c>
      <c r="CK261" s="819">
        <f>CK253+CK260</f>
        <v/>
      </c>
      <c r="CL261" s="819">
        <f>CL253+CL260</f>
        <v/>
      </c>
      <c r="CM261" s="819">
        <f>CM253+CM260</f>
        <v/>
      </c>
      <c r="CN261" s="274" t="n"/>
      <c r="CO261" s="274" t="n"/>
      <c r="CP261" s="274" t="n"/>
      <c r="CQ261" s="693" t="n"/>
    </row>
    <row r="262" ht="16.5" customHeight="1" thickTop="1">
      <c r="C262" s="848" t="n"/>
      <c r="D262" s="848" t="n"/>
      <c r="E262" s="848" t="n"/>
      <c r="F262" s="848" t="n"/>
      <c r="G262" s="892" t="n"/>
      <c r="H262" s="848" t="n"/>
      <c r="I262" s="848" t="n"/>
      <c r="J262" s="848" t="n"/>
      <c r="K262" s="848" t="n"/>
      <c r="L262" s="892" t="n"/>
      <c r="M262" s="848" t="n"/>
      <c r="N262" s="848" t="n"/>
      <c r="O262" s="848" t="n"/>
      <c r="P262" s="848" t="n"/>
      <c r="Q262" s="892" t="n"/>
      <c r="R262" s="848" t="n"/>
      <c r="S262" s="848" t="n"/>
      <c r="T262" s="848" t="n"/>
      <c r="U262" s="848" t="n"/>
      <c r="V262" s="892" t="n"/>
      <c r="W262" s="848" t="n"/>
      <c r="X262" s="848" t="n"/>
      <c r="Y262" s="848" t="n"/>
      <c r="Z262" s="848" t="n"/>
      <c r="AA262" s="892" t="n"/>
      <c r="AB262" s="848" t="n"/>
      <c r="AC262" s="848" t="n"/>
      <c r="AD262" s="848" t="n"/>
      <c r="AE262" s="848" t="n"/>
      <c r="AF262" s="892" t="n"/>
      <c r="AG262" s="848" t="n"/>
      <c r="AH262" s="848" t="n"/>
      <c r="AI262" s="848" t="n"/>
      <c r="AJ262" s="848" t="n"/>
      <c r="AK262" s="892" t="n"/>
      <c r="AL262" s="848" t="n"/>
      <c r="AM262" s="848" t="n"/>
      <c r="AN262" s="848" t="n"/>
      <c r="AO262" s="848" t="n"/>
      <c r="AP262" s="892" t="n"/>
      <c r="AQ262" s="848" t="n"/>
      <c r="AR262" s="848" t="n"/>
      <c r="AS262" s="848" t="n"/>
      <c r="AT262" s="848" t="n"/>
      <c r="AU262" s="892" t="n"/>
      <c r="AV262" s="848" t="n"/>
      <c r="AW262" s="848" t="n"/>
      <c r="AX262" s="848" t="n"/>
      <c r="AY262" s="848" t="n"/>
      <c r="AZ262" s="892" t="n"/>
      <c r="BA262" s="848" t="n"/>
      <c r="BB262" s="848" t="n"/>
      <c r="BC262" s="848" t="n"/>
      <c r="BD262" s="848" t="n"/>
      <c r="BE262" s="892" t="n"/>
      <c r="BF262" s="848" t="n"/>
      <c r="BG262" s="848" t="n"/>
      <c r="BH262" s="848" t="n"/>
      <c r="BI262" s="848" t="n"/>
      <c r="BJ262" s="892" t="n"/>
      <c r="BK262" s="848" t="n"/>
      <c r="BL262" s="848" t="n"/>
      <c r="BM262" s="848" t="n"/>
      <c r="BN262" s="848" t="n"/>
      <c r="BO262" s="892" t="n"/>
      <c r="BP262" s="848" t="n"/>
      <c r="BQ262" s="848" t="n"/>
      <c r="BR262" s="848" t="n"/>
      <c r="BS262" s="848" t="n"/>
      <c r="BT262" s="892" t="n"/>
      <c r="BU262" s="848" t="n"/>
      <c r="BV262" s="848" t="n"/>
      <c r="BW262" s="848" t="n"/>
      <c r="BX262" s="848" t="n"/>
      <c r="BY262" s="892" t="n"/>
      <c r="BZ262" s="848" t="n"/>
      <c r="CA262" s="848" t="n"/>
      <c r="CB262" s="848" t="n"/>
      <c r="CC262" s="848" t="n"/>
      <c r="CD262" s="892" t="n"/>
      <c r="CE262" s="291" t="n"/>
      <c r="CF262" s="291" t="n"/>
      <c r="CG262" s="291" t="n"/>
      <c r="CH262" s="291" t="n"/>
      <c r="CI262" s="860" t="n"/>
      <c r="CJ262" s="860" t="n"/>
      <c r="CK262" s="860" t="n"/>
      <c r="CL262" s="860" t="n"/>
      <c r="CM262" s="860" t="n"/>
      <c r="CN262" s="291" t="n"/>
      <c r="CO262" s="291" t="n"/>
      <c r="CP262" s="291" t="n"/>
      <c r="CQ262" s="693" t="n"/>
    </row>
    <row r="263" ht="16.5" customHeight="1">
      <c r="B263" s="3" t="inlineStr">
        <is>
          <t>BS Tie-out check (Total assets − Total liab &amp; equity)</t>
        </is>
      </c>
      <c r="C263" s="678" t="n"/>
      <c r="D263" s="678" t="n"/>
      <c r="E263" s="678" t="n"/>
      <c r="F263" s="678" t="n"/>
      <c r="G263" s="870">
        <f>G237-G261</f>
        <v/>
      </c>
      <c r="H263" s="678" t="n"/>
      <c r="I263" s="678" t="n"/>
      <c r="J263" s="678" t="n"/>
      <c r="K263" s="678" t="n"/>
      <c r="L263" s="870">
        <f>L237-L261</f>
        <v/>
      </c>
      <c r="M263" s="678" t="n"/>
      <c r="N263" s="678" t="n"/>
      <c r="O263" s="678" t="n"/>
      <c r="P263" s="678" t="n"/>
      <c r="Q263" s="870">
        <f>Q237-Q261</f>
        <v/>
      </c>
      <c r="R263" s="678" t="n"/>
      <c r="S263" s="678" t="n"/>
      <c r="T263" s="678" t="n"/>
      <c r="U263" s="678" t="n"/>
      <c r="V263" s="870">
        <f>V237-V261</f>
        <v/>
      </c>
      <c r="W263" s="678" t="n"/>
      <c r="X263" s="678" t="n"/>
      <c r="Y263" s="678" t="n"/>
      <c r="Z263" s="678" t="n"/>
      <c r="AA263" s="870">
        <f>AA237-AA261</f>
        <v/>
      </c>
      <c r="AB263" s="678" t="n"/>
      <c r="AC263" s="678" t="n"/>
      <c r="AD263" s="678" t="n"/>
      <c r="AE263" s="678" t="n"/>
      <c r="AF263" s="870">
        <f>AF237-AF261</f>
        <v/>
      </c>
      <c r="AG263" s="678" t="n"/>
      <c r="AH263" s="678" t="n"/>
      <c r="AI263" s="678" t="n"/>
      <c r="AJ263" s="678" t="n"/>
      <c r="AK263" s="870">
        <f>AK237-AK261</f>
        <v/>
      </c>
      <c r="AL263" s="678" t="n"/>
      <c r="AM263" s="678" t="n"/>
      <c r="AN263" s="678" t="n"/>
      <c r="AO263" s="678" t="n"/>
      <c r="AP263" s="870">
        <f>AP237-AP261</f>
        <v/>
      </c>
      <c r="AQ263" s="678" t="n"/>
      <c r="AR263" s="678" t="n"/>
      <c r="AS263" s="678" t="n"/>
      <c r="AT263" s="678" t="n"/>
      <c r="AU263" s="870">
        <f>AU237-AU261</f>
        <v/>
      </c>
      <c r="AV263" s="678" t="n"/>
      <c r="AW263" s="678" t="n"/>
      <c r="AX263" s="678" t="n"/>
      <c r="AY263" s="678" t="n"/>
      <c r="AZ263" s="870">
        <f>AZ237-AZ261</f>
        <v/>
      </c>
      <c r="BA263" s="678" t="n"/>
      <c r="BB263" s="678" t="n"/>
      <c r="BC263" s="678" t="n"/>
      <c r="BD263" s="678" t="n"/>
      <c r="BE263" s="870">
        <f>BE237-BE261</f>
        <v/>
      </c>
      <c r="BF263" s="678">
        <f>BF237-BF261</f>
        <v/>
      </c>
      <c r="BG263" s="678">
        <f>BG237-BG261</f>
        <v/>
      </c>
      <c r="BH263" s="678">
        <f>BH237-BH261</f>
        <v/>
      </c>
      <c r="BI263" s="678">
        <f>BI237-BI261</f>
        <v/>
      </c>
      <c r="BJ263" s="870">
        <f>BJ237-BJ261</f>
        <v/>
      </c>
      <c r="BK263" s="678">
        <f>BK237-BK261</f>
        <v/>
      </c>
      <c r="BL263" s="678">
        <f>BL237-BL261</f>
        <v/>
      </c>
      <c r="BM263" s="678">
        <f>BM237-BM261</f>
        <v/>
      </c>
      <c r="BN263" s="678">
        <f>BN237-BN261</f>
        <v/>
      </c>
      <c r="BO263" s="870">
        <f>BO237-BO261</f>
        <v/>
      </c>
      <c r="BP263" s="678">
        <f>BP237-BP261</f>
        <v/>
      </c>
      <c r="BQ263" s="678">
        <f>BQ237-BQ261</f>
        <v/>
      </c>
      <c r="BR263" s="678">
        <f>BR237-BR261</f>
        <v/>
      </c>
      <c r="BS263" s="678">
        <f>BS237-BS261</f>
        <v/>
      </c>
      <c r="BT263" s="870">
        <f>BT237-BT261</f>
        <v/>
      </c>
      <c r="BU263" s="678">
        <f>BU237-BU261</f>
        <v/>
      </c>
      <c r="BV263" s="678">
        <f>BV237-BV261</f>
        <v/>
      </c>
      <c r="BW263" s="678">
        <f>BW237-BW261</f>
        <v/>
      </c>
      <c r="BX263" s="678">
        <f>BX237-BX261</f>
        <v/>
      </c>
      <c r="BY263" s="870">
        <f>BY237-BY261</f>
        <v/>
      </c>
      <c r="BZ263" s="678">
        <f>BZ237-BZ261</f>
        <v/>
      </c>
      <c r="CA263" s="678">
        <f>CA237-CA261</f>
        <v/>
      </c>
      <c r="CB263" s="678">
        <f>CB237-CB261</f>
        <v/>
      </c>
      <c r="CC263" s="678">
        <f>CC237-CC261</f>
        <v/>
      </c>
      <c r="CD263" s="870">
        <f>CD237-CD261</f>
        <v/>
      </c>
      <c r="CE263" s="678">
        <f>CE237-CE261</f>
        <v/>
      </c>
      <c r="CF263" s="678">
        <f>CF237-CF261</f>
        <v/>
      </c>
      <c r="CG263" s="678">
        <f>CG237-CG261</f>
        <v/>
      </c>
      <c r="CH263" s="678">
        <f>CH237-CH261</f>
        <v/>
      </c>
      <c r="CI263" s="752">
        <f>CI237-CI261</f>
        <v/>
      </c>
      <c r="CJ263" s="752">
        <f>CJ237-CJ261</f>
        <v/>
      </c>
      <c r="CK263" s="752">
        <f>CK237-CK261</f>
        <v/>
      </c>
      <c r="CL263" s="752">
        <f>CL237-CL261</f>
        <v/>
      </c>
      <c r="CM263" s="752">
        <f>CM237-CM261</f>
        <v/>
      </c>
      <c r="CN263" s="678" t="n"/>
      <c r="CO263" s="678" t="n"/>
      <c r="CP263" s="678" t="n"/>
      <c r="CQ263" s="694" t="n"/>
    </row>
    <row r="264" ht="16.5" customHeight="1">
      <c r="C264" s="291" t="n"/>
      <c r="D264" s="291" t="n"/>
      <c r="E264" s="291" t="n"/>
      <c r="F264" s="291" t="n"/>
      <c r="G264" s="864" t="n"/>
      <c r="H264" s="291" t="n"/>
      <c r="I264" s="291" t="n"/>
      <c r="J264" s="291" t="n"/>
      <c r="K264" s="291" t="n"/>
      <c r="L264" s="864" t="n"/>
      <c r="M264" s="291" t="n"/>
      <c r="N264" s="291" t="n"/>
      <c r="O264" s="291" t="n"/>
      <c r="P264" s="291" t="n"/>
      <c r="Q264" s="864" t="n"/>
      <c r="R264" s="291" t="n"/>
      <c r="S264" s="291" t="n"/>
      <c r="T264" s="291" t="n"/>
      <c r="U264" s="291" t="n"/>
      <c r="V264" s="864" t="n"/>
      <c r="W264" s="291" t="n"/>
      <c r="X264" s="291" t="n"/>
      <c r="Y264" s="291" t="n"/>
      <c r="Z264" s="291" t="n"/>
      <c r="AA264" s="864" t="n"/>
      <c r="AB264" s="291" t="n"/>
      <c r="AC264" s="291" t="n"/>
      <c r="AD264" s="291" t="n"/>
      <c r="AE264" s="291" t="n"/>
      <c r="AF264" s="864" t="n"/>
      <c r="AG264" s="291" t="n"/>
      <c r="AH264" s="291" t="n"/>
      <c r="AI264" s="291" t="n"/>
      <c r="AJ264" s="291" t="n"/>
      <c r="AK264" s="864" t="n"/>
      <c r="AL264" s="291" t="n"/>
      <c r="AM264" s="291" t="n"/>
      <c r="AN264" s="291" t="n"/>
      <c r="AO264" s="291" t="n"/>
      <c r="AP264" s="864" t="n"/>
      <c r="AQ264" s="291" t="n"/>
      <c r="AR264" s="291" t="n"/>
      <c r="AS264" s="291" t="n"/>
      <c r="AT264" s="291" t="n"/>
      <c r="AU264" s="864" t="n"/>
      <c r="AV264" s="291" t="n"/>
      <c r="AW264" s="291" t="n"/>
      <c r="AX264" s="291" t="n"/>
      <c r="AY264" s="291" t="n"/>
      <c r="AZ264" s="864" t="n"/>
      <c r="BA264" s="291" t="n"/>
      <c r="BB264" s="291" t="n"/>
      <c r="BC264" s="291" t="n"/>
      <c r="BD264" s="291" t="n"/>
      <c r="BE264" s="864" t="n"/>
      <c r="BF264" s="291" t="n"/>
      <c r="BG264" s="291" t="n"/>
      <c r="BH264" s="291" t="n"/>
      <c r="BI264" s="291" t="n"/>
      <c r="BJ264" s="864" t="n"/>
      <c r="BK264" s="291" t="n"/>
      <c r="BL264" s="291" t="n"/>
      <c r="BM264" s="291" t="n"/>
      <c r="BN264" s="291" t="n"/>
      <c r="BO264" s="864" t="n"/>
      <c r="BP264" s="291" t="n"/>
      <c r="BQ264" s="291" t="n"/>
      <c r="BR264" s="291" t="n"/>
      <c r="BS264" s="291" t="n"/>
      <c r="BT264" s="864" t="n"/>
      <c r="BU264" s="291" t="n"/>
      <c r="BV264" s="291" t="n"/>
      <c r="BW264" s="291" t="n"/>
      <c r="BX264" s="291" t="n"/>
      <c r="BY264" s="864" t="n"/>
      <c r="BZ264" s="291" t="n"/>
      <c r="CA264" s="291" t="n"/>
      <c r="CB264" s="291" t="n"/>
      <c r="CC264" s="291" t="n"/>
      <c r="CD264" s="864" t="n"/>
      <c r="CE264" s="291" t="n"/>
      <c r="CF264" s="291" t="n"/>
      <c r="CG264" s="291" t="n"/>
      <c r="CH264" s="291" t="n"/>
      <c r="CI264" s="749" t="n"/>
      <c r="CJ264" s="749" t="n"/>
      <c r="CK264" s="749" t="n"/>
      <c r="CL264" s="749" t="n"/>
      <c r="CM264" s="749" t="n"/>
      <c r="CN264" s="291" t="n"/>
      <c r="CO264" s="291" t="n"/>
      <c r="CP264" s="291" t="n"/>
      <c r="CQ264" s="693" t="n"/>
    </row>
    <row r="265" ht="16.5" customHeight="1">
      <c r="B265" s="966" t="inlineStr">
        <is>
          <t>BALANCE SHEET FORECAST SCHEDULES</t>
        </is>
      </c>
      <c r="G265" s="865" t="n"/>
      <c r="H265" s="222" t="n"/>
      <c r="I265" s="222" t="n"/>
      <c r="J265" s="222" t="n"/>
      <c r="K265" s="222" t="n"/>
      <c r="L265" s="865" t="n"/>
      <c r="M265" s="222" t="n"/>
      <c r="N265" s="222" t="n"/>
      <c r="O265" s="222" t="n"/>
      <c r="P265" s="222" t="n"/>
      <c r="Q265" s="865" t="n"/>
      <c r="R265" s="222" t="n"/>
      <c r="S265" s="222" t="n"/>
      <c r="T265" s="222" t="n"/>
      <c r="U265" s="222" t="n"/>
      <c r="V265" s="865" t="n"/>
      <c r="W265" s="222" t="n"/>
      <c r="X265" s="222" t="n"/>
      <c r="Y265" s="222" t="n"/>
      <c r="Z265" s="222" t="n"/>
      <c r="AA265" s="865" t="n"/>
      <c r="AB265" s="222" t="n"/>
      <c r="AC265" s="222" t="n"/>
      <c r="AD265" s="222" t="n"/>
      <c r="AE265" s="222" t="n"/>
      <c r="AF265" s="865" t="n"/>
      <c r="AG265" s="222" t="n"/>
      <c r="AH265" s="222" t="n"/>
      <c r="AI265" s="222" t="n"/>
      <c r="AJ265" s="222" t="n"/>
      <c r="AK265" s="865" t="n"/>
      <c r="AL265" s="222" t="n"/>
      <c r="AM265" s="222" t="n"/>
      <c r="AN265" s="222" t="n"/>
      <c r="AO265" s="222" t="n"/>
      <c r="AP265" s="865" t="n"/>
      <c r="AQ265" s="222" t="n"/>
      <c r="AR265" s="222" t="n"/>
      <c r="AS265" s="222" t="n"/>
      <c r="AT265" s="222" t="n"/>
      <c r="AU265" s="865" t="n"/>
      <c r="AV265" s="222" t="n"/>
      <c r="AW265" s="222" t="n"/>
      <c r="AX265" s="222" t="n"/>
      <c r="AY265" s="222" t="n"/>
      <c r="AZ265" s="865" t="n"/>
      <c r="BA265" s="222" t="n"/>
      <c r="BB265" s="222" t="n"/>
      <c r="BC265" s="222" t="n"/>
      <c r="BD265" s="222" t="n"/>
      <c r="BE265" s="865" t="n"/>
      <c r="BF265" s="222" t="n"/>
      <c r="BG265" s="222" t="n"/>
      <c r="BH265" s="222" t="n"/>
      <c r="BI265" s="222" t="n"/>
      <c r="BJ265" s="865" t="n"/>
      <c r="BK265" s="222" t="n"/>
      <c r="BL265" s="222" t="n"/>
      <c r="BM265" s="222" t="n"/>
      <c r="BN265" s="222" t="n"/>
      <c r="BO265" s="865" t="n"/>
      <c r="BP265" s="222" t="n"/>
      <c r="BQ265" s="222" t="n"/>
      <c r="BR265" s="222" t="n"/>
      <c r="BS265" s="222" t="n"/>
      <c r="BT265" s="865" t="n"/>
      <c r="BU265" s="222" t="n"/>
      <c r="BV265" s="222" t="n"/>
      <c r="BW265" s="222" t="n"/>
      <c r="BX265" s="222" t="n"/>
      <c r="BY265" s="865" t="n"/>
      <c r="BZ265" s="222" t="n"/>
      <c r="CA265" s="222" t="n"/>
      <c r="CB265" s="222" t="n"/>
      <c r="CC265" s="222" t="n"/>
      <c r="CD265" s="865" t="n"/>
      <c r="CE265" s="222" t="n"/>
      <c r="CF265" s="222" t="n"/>
      <c r="CG265" s="222" t="n"/>
      <c r="CH265" s="222" t="n"/>
      <c r="CI265" s="222" t="n"/>
      <c r="CJ265" s="222" t="n"/>
      <c r="CK265" s="222" t="n"/>
      <c r="CL265" s="222" t="n"/>
      <c r="CM265" s="222" t="n"/>
      <c r="CN265" s="222" t="n"/>
      <c r="CO265" s="222" t="n"/>
      <c r="CP265" s="222" t="n"/>
      <c r="CQ265" s="693" t="n"/>
    </row>
    <row r="266" ht="16.5" customHeight="1">
      <c r="G266" s="862" t="n"/>
      <c r="L266" s="862" t="n"/>
      <c r="Q266" s="862" t="n"/>
      <c r="V266" s="862" t="n"/>
      <c r="AA266" s="862" t="n"/>
      <c r="AF266" s="862" t="n"/>
      <c r="AK266" s="862" t="n"/>
      <c r="AP266" s="862" t="n"/>
      <c r="AU266" s="862" t="n"/>
      <c r="AZ266" s="862" t="n"/>
      <c r="BE266" s="862" t="n"/>
      <c r="BJ266" s="862" t="n"/>
      <c r="BO266" s="862" t="n"/>
      <c r="BT266" s="862" t="n"/>
      <c r="BY266" s="862" t="n"/>
      <c r="CD266" s="862" t="n"/>
      <c r="CI266" s="717" t="n"/>
      <c r="CJ266" s="717" t="n"/>
      <c r="CK266" s="717" t="n"/>
      <c r="CL266" s="717" t="n"/>
      <c r="CM266" s="717" t="n"/>
      <c r="CQ266" s="693" t="n"/>
    </row>
    <row r="267" ht="16.5" customHeight="1">
      <c r="B267" s="149" t="inlineStr">
        <is>
          <t>Working capital drivers</t>
        </is>
      </c>
      <c r="G267" s="867" t="n"/>
      <c r="H267" s="224" t="n"/>
      <c r="I267" s="224" t="n"/>
      <c r="J267" s="224" t="n"/>
      <c r="K267" s="224" t="n"/>
      <c r="L267" s="867" t="n"/>
      <c r="M267" s="224" t="n"/>
      <c r="N267" s="224" t="n"/>
      <c r="O267" s="224" t="n"/>
      <c r="P267" s="224" t="n"/>
      <c r="Q267" s="867" t="n"/>
      <c r="R267" s="224" t="n"/>
      <c r="S267" s="224" t="n"/>
      <c r="T267" s="224" t="n"/>
      <c r="U267" s="224" t="n"/>
      <c r="V267" s="867" t="n"/>
      <c r="W267" s="224" t="n"/>
      <c r="X267" s="224" t="n"/>
      <c r="Y267" s="224" t="n"/>
      <c r="Z267" s="224" t="n"/>
      <c r="AA267" s="867" t="n"/>
      <c r="AB267" s="224" t="n"/>
      <c r="AC267" s="224" t="n"/>
      <c r="AD267" s="224" t="n"/>
      <c r="AE267" s="224" t="n"/>
      <c r="AF267" s="867" t="n"/>
      <c r="AG267" s="224" t="n"/>
      <c r="AH267" s="224" t="n"/>
      <c r="AI267" s="224" t="n"/>
      <c r="AJ267" s="224" t="n"/>
      <c r="AK267" s="867" t="n"/>
      <c r="AL267" s="224" t="n"/>
      <c r="AM267" s="224" t="n"/>
      <c r="AN267" s="224" t="n"/>
      <c r="AO267" s="224" t="n"/>
      <c r="AP267" s="867" t="n"/>
      <c r="AQ267" s="224" t="n"/>
      <c r="AR267" s="224" t="n"/>
      <c r="AS267" s="224" t="n"/>
      <c r="AT267" s="224" t="n"/>
      <c r="AU267" s="867" t="n"/>
      <c r="AV267" s="224" t="n"/>
      <c r="AW267" s="224" t="n"/>
      <c r="AX267" s="224" t="n"/>
      <c r="AY267" s="224" t="n"/>
      <c r="AZ267" s="867" t="n"/>
      <c r="BA267" s="224" t="n"/>
      <c r="BB267" s="224" t="n"/>
      <c r="BC267" s="224" t="n"/>
      <c r="BD267" s="224" t="n"/>
      <c r="BE267" s="867" t="n"/>
      <c r="BF267" s="224" t="n"/>
      <c r="BG267" s="224" t="n"/>
      <c r="BH267" s="224" t="n"/>
      <c r="BI267" s="224" t="n"/>
      <c r="BJ267" s="867" t="n"/>
      <c r="BK267" s="224" t="n"/>
      <c r="BL267" s="224" t="n"/>
      <c r="BM267" s="224" t="n"/>
      <c r="BN267" s="224" t="n"/>
      <c r="BO267" s="867" t="n"/>
      <c r="BP267" s="224" t="n"/>
      <c r="BQ267" s="224" t="n"/>
      <c r="BR267" s="224" t="n"/>
      <c r="BS267" s="224" t="n"/>
      <c r="BT267" s="867" t="n"/>
      <c r="BU267" s="224" t="n"/>
      <c r="BV267" s="224" t="n"/>
      <c r="BW267" s="224" t="n"/>
      <c r="BX267" s="224" t="n"/>
      <c r="BY267" s="867" t="n"/>
      <c r="BZ267" s="224" t="n"/>
      <c r="CA267" s="224" t="n"/>
      <c r="CB267" s="224" t="n"/>
      <c r="CC267" s="224" t="n"/>
      <c r="CD267" s="867" t="n"/>
      <c r="CE267" s="224" t="n"/>
      <c r="CF267" s="224" t="n"/>
      <c r="CG267" s="224" t="n"/>
      <c r="CH267" s="224" t="n"/>
      <c r="CI267" s="224" t="n"/>
      <c r="CJ267" s="224" t="n"/>
      <c r="CK267" s="224" t="n"/>
      <c r="CL267" s="224" t="n"/>
      <c r="CM267" s="224" t="n"/>
      <c r="CN267" s="224" t="n"/>
      <c r="CO267" s="224" t="n"/>
      <c r="CP267" s="224" t="n"/>
      <c r="CQ267" s="693" t="n"/>
    </row>
    <row r="268" ht="16.5" customHeight="1">
      <c r="B268" t="inlineStr">
        <is>
          <t xml:space="preserve">  DSO (Receivables / Revenue × 365)</t>
        </is>
      </c>
      <c r="G268" s="1057">
        <f>IFERROR(G227/G114*365,"n/a")</f>
        <v/>
      </c>
      <c r="H268" s="1058" t="n"/>
      <c r="I268" s="1058" t="n"/>
      <c r="J268" s="1058" t="n"/>
      <c r="K268" s="1058" t="n"/>
      <c r="L268" s="1057">
        <f>IFERROR(L227/L114*365,"n/a")</f>
        <v/>
      </c>
      <c r="M268" s="1058" t="n"/>
      <c r="N268" s="1058" t="n"/>
      <c r="O268" s="1058" t="n"/>
      <c r="P268" s="1058" t="n"/>
      <c r="Q268" s="1057">
        <f>IFERROR(Q227/Q114*365,"n/a")</f>
        <v/>
      </c>
      <c r="R268" s="1058" t="n"/>
      <c r="S268" s="1058" t="n"/>
      <c r="T268" s="1058" t="n"/>
      <c r="U268" s="1058" t="n"/>
      <c r="V268" s="1057">
        <f>IFERROR(V227/V114*365,"n/a")</f>
        <v/>
      </c>
      <c r="W268" s="1058" t="n"/>
      <c r="X268" s="1058" t="n"/>
      <c r="Y268" s="1058" t="n"/>
      <c r="Z268" s="1058" t="n"/>
      <c r="AA268" s="1057">
        <f>IFERROR(AA227/AA114*365,"n/a")</f>
        <v/>
      </c>
      <c r="AB268" s="1058" t="n"/>
      <c r="AC268" s="1058" t="n"/>
      <c r="AD268" s="1058" t="n"/>
      <c r="AE268" s="1058" t="n"/>
      <c r="AF268" s="1057">
        <f>IFERROR(AF227/AF114*365,"n/a")</f>
        <v/>
      </c>
      <c r="AG268" s="1058" t="n"/>
      <c r="AH268" s="1058" t="n"/>
      <c r="AI268" s="1058" t="n"/>
      <c r="AJ268" s="1058" t="n"/>
      <c r="AK268" s="1057">
        <f>IFERROR(AK227/AK114*365,"n/a")</f>
        <v/>
      </c>
      <c r="AL268" s="1058" t="n"/>
      <c r="AM268" s="1058" t="n"/>
      <c r="AN268" s="1058" t="n"/>
      <c r="AO268" s="1058" t="n"/>
      <c r="AP268" s="1057">
        <f>IFERROR(AP227/AP114*365,"n/a")</f>
        <v/>
      </c>
      <c r="AQ268" s="1058" t="n"/>
      <c r="AR268" s="1058" t="n"/>
      <c r="AS268" s="1058" t="n"/>
      <c r="AT268" s="1058" t="n"/>
      <c r="AU268" s="1057">
        <f>IFERROR(AU227/AU114*365,"n/a")</f>
        <v/>
      </c>
      <c r="AV268" s="1058" t="n"/>
      <c r="AW268" s="1058" t="n"/>
      <c r="AX268" s="1058" t="n"/>
      <c r="AY268" s="1058" t="n"/>
      <c r="AZ268" s="1057">
        <f>IFERROR(AZ227/AZ114*365,"n/a")</f>
        <v/>
      </c>
      <c r="BE268" s="1057">
        <f>IFERROR(BE227/BE114*365,"n/a")</f>
        <v/>
      </c>
      <c r="BF268" s="1058" t="n"/>
      <c r="BG268" s="1058" t="n"/>
      <c r="BH268" s="1058" t="n"/>
      <c r="BI268" s="1058" t="n"/>
      <c r="BJ268" s="1057">
        <f>IFERROR(BJ227/BJ114*365,"n/a")</f>
        <v/>
      </c>
      <c r="BK268" s="1058" t="n"/>
      <c r="BL268" s="1058" t="n"/>
      <c r="BM268" s="1058" t="n"/>
      <c r="BN268" s="1058" t="n"/>
      <c r="BO268" s="1057">
        <f>IFERROR(BO227/BO114*365,"n/a")</f>
        <v/>
      </c>
      <c r="BP268" s="1058" t="n"/>
      <c r="BQ268" s="1058" t="n"/>
      <c r="BR268" s="1058" t="n"/>
      <c r="BS268" s="1058" t="n"/>
      <c r="BT268" s="1057">
        <f>IFERROR(BT227/BT114*365,"n/a")</f>
        <v/>
      </c>
      <c r="BU268" s="1058" t="n"/>
      <c r="BV268" s="1058" t="n"/>
      <c r="BW268" s="1058" t="n"/>
      <c r="BX268" s="1058" t="n"/>
      <c r="BY268" s="1057">
        <f>IFERROR(BY227/BY114*365,"n/a")</f>
        <v/>
      </c>
      <c r="BZ268" s="1058" t="n"/>
      <c r="CA268" s="1058" t="n"/>
      <c r="CB268" s="1058" t="n"/>
      <c r="CC268" s="1058" t="n"/>
      <c r="CD268" s="1057">
        <f>IFERROR(CD227/CD114*365,"n/a")</f>
        <v/>
      </c>
      <c r="CE268" s="1059">
        <f>IFERROR(CE227/CE114*90,"n/a")</f>
        <v/>
      </c>
      <c r="CF268" s="1059">
        <f>IFERROR(CF227/CF114*90,"n/a")</f>
        <v/>
      </c>
      <c r="CG268" s="1059">
        <f>CI268</f>
        <v/>
      </c>
      <c r="CH268" s="1059">
        <f>CG268</f>
        <v/>
      </c>
      <c r="CI268" s="1060" t="n"/>
      <c r="CJ268" s="1060" t="n"/>
      <c r="CK268" s="1060" t="n"/>
      <c r="CL268" s="1060">
        <f>CK268</f>
        <v/>
      </c>
      <c r="CM268" s="1060">
        <f>CL268</f>
        <v/>
      </c>
      <c r="CQ268" s="693" t="n"/>
    </row>
    <row r="269" ht="16.5" customHeight="1">
      <c r="B269" t="inlineStr">
        <is>
          <t xml:space="preserve">  DIO (Inventories / COGS × 365)</t>
        </is>
      </c>
      <c r="G269" s="1057" t="n"/>
      <c r="H269" s="1058" t="n"/>
      <c r="I269" s="1058" t="n"/>
      <c r="J269" s="1058" t="n"/>
      <c r="K269" s="1058" t="n"/>
      <c r="L269" s="1057" t="n"/>
      <c r="M269" s="1058" t="n"/>
      <c r="N269" s="1058" t="n"/>
      <c r="O269" s="1058" t="n"/>
      <c r="P269" s="1058" t="n"/>
      <c r="Q269" s="1057" t="n"/>
      <c r="R269" s="1058" t="n"/>
      <c r="S269" s="1058" t="n"/>
      <c r="T269" s="1058" t="n"/>
      <c r="U269" s="1058" t="n"/>
      <c r="V269" s="1057" t="n"/>
      <c r="W269" s="1058" t="n"/>
      <c r="X269" s="1058" t="n"/>
      <c r="Y269" s="1058" t="n"/>
      <c r="Z269" s="1058" t="n"/>
      <c r="AA269" s="1057" t="n"/>
      <c r="AB269" s="1058" t="n"/>
      <c r="AC269" s="1058" t="n"/>
      <c r="AD269" s="1058" t="n"/>
      <c r="AE269" s="1058" t="n"/>
      <c r="AF269" s="1057" t="n"/>
      <c r="AG269" s="1058" t="n"/>
      <c r="AH269" s="1058" t="n"/>
      <c r="AI269" s="1058" t="n"/>
      <c r="AJ269" s="1058" t="n"/>
      <c r="AK269" s="1057" t="n"/>
      <c r="AL269" s="1058" t="n"/>
      <c r="AM269" s="1058" t="n"/>
      <c r="AN269" s="1058" t="n"/>
      <c r="AO269" s="1058" t="n"/>
      <c r="AP269" s="1057" t="n"/>
      <c r="AQ269" s="1058" t="n"/>
      <c r="AR269" s="1058" t="n"/>
      <c r="AS269" s="1058" t="n"/>
      <c r="AT269" s="1058" t="n"/>
      <c r="AU269" s="1057" t="n"/>
      <c r="AV269" s="1058" t="n"/>
      <c r="AW269" s="1058" t="n"/>
      <c r="AX269" s="1058" t="n"/>
      <c r="AY269" s="1058" t="n"/>
      <c r="AZ269" s="1057" t="n"/>
      <c r="BE269" s="1057" t="n"/>
      <c r="BF269" s="1058" t="n"/>
      <c r="BG269" s="1058" t="n"/>
      <c r="BH269" s="1058" t="n"/>
      <c r="BI269" s="1058" t="n"/>
      <c r="BJ269" s="1057" t="n"/>
      <c r="BK269" s="1058" t="n"/>
      <c r="BL269" s="1058" t="n"/>
      <c r="BM269" s="1058" t="n"/>
      <c r="BN269" s="1058" t="n"/>
      <c r="BO269" s="1057" t="n"/>
      <c r="BP269" s="1058" t="n"/>
      <c r="BQ269" s="1058" t="n"/>
      <c r="BR269" s="1058" t="n"/>
      <c r="BS269" s="1058" t="n"/>
      <c r="BT269" s="1057" t="n"/>
      <c r="BU269" s="1058" t="n"/>
      <c r="BV269" s="1058" t="n"/>
      <c r="BW269" s="1058" t="n"/>
      <c r="BX269" s="1058" t="n"/>
      <c r="BY269" s="1057" t="n"/>
      <c r="BZ269" s="1058" t="n"/>
      <c r="CA269" s="1058" t="n"/>
      <c r="CB269" s="1058" t="n"/>
      <c r="CC269" s="1058" t="n"/>
      <c r="CD269" s="1057" t="n"/>
      <c r="CE269" s="1059" t="n"/>
      <c r="CF269" s="1059" t="n"/>
      <c r="CG269" s="1059" t="n"/>
      <c r="CH269" s="1059" t="n"/>
      <c r="CI269" s="1060" t="n"/>
      <c r="CJ269" s="1060" t="n"/>
      <c r="CK269" s="1060" t="n"/>
      <c r="CL269" s="1060" t="n"/>
      <c r="CM269" s="1060" t="n"/>
      <c r="CQ269" s="693" t="n"/>
    </row>
    <row r="270" ht="16.5" customHeight="1">
      <c r="B270" t="inlineStr">
        <is>
          <t xml:space="preserve">  DPO (Accounts payable / COGS × 365)</t>
        </is>
      </c>
      <c r="G270" s="1057" t="n"/>
      <c r="H270" s="1058" t="n"/>
      <c r="I270" s="1058" t="n"/>
      <c r="J270" s="1058" t="n"/>
      <c r="K270" s="1058" t="n"/>
      <c r="L270" s="1057" t="n"/>
      <c r="M270" s="1058" t="n"/>
      <c r="N270" s="1058" t="n"/>
      <c r="O270" s="1058" t="n"/>
      <c r="P270" s="1058" t="n"/>
      <c r="Q270" s="1057" t="n"/>
      <c r="R270" s="1058" t="n"/>
      <c r="S270" s="1058" t="n"/>
      <c r="T270" s="1058" t="n"/>
      <c r="U270" s="1058" t="n"/>
      <c r="V270" s="1057" t="n"/>
      <c r="W270" s="1058" t="n"/>
      <c r="X270" s="1058" t="n"/>
      <c r="Y270" s="1058" t="n"/>
      <c r="Z270" s="1058" t="n"/>
      <c r="AA270" s="1057" t="n"/>
      <c r="AB270" s="1058" t="n"/>
      <c r="AC270" s="1058" t="n"/>
      <c r="AD270" s="1058" t="n"/>
      <c r="AE270" s="1058" t="n"/>
      <c r="AF270" s="1057" t="n"/>
      <c r="AG270" s="1058" t="n"/>
      <c r="AH270" s="1058" t="n"/>
      <c r="AI270" s="1058" t="n"/>
      <c r="AJ270" s="1058" t="n"/>
      <c r="AK270" s="1057" t="n"/>
      <c r="AL270" s="1058" t="n"/>
      <c r="AM270" s="1058" t="n"/>
      <c r="AN270" s="1058" t="n"/>
      <c r="AO270" s="1058" t="n"/>
      <c r="AP270" s="1057" t="n"/>
      <c r="AQ270" s="1058" t="n"/>
      <c r="AR270" s="1058" t="n"/>
      <c r="AS270" s="1058" t="n"/>
      <c r="AT270" s="1058" t="n"/>
      <c r="AU270" s="1057" t="n"/>
      <c r="AV270" s="1058" t="n"/>
      <c r="AW270" s="1058" t="n"/>
      <c r="AX270" s="1058" t="n"/>
      <c r="AY270" s="1058" t="n"/>
      <c r="AZ270" s="1057" t="n"/>
      <c r="BE270" s="1057" t="n"/>
      <c r="BF270" s="1058" t="n"/>
      <c r="BG270" s="1058" t="n"/>
      <c r="BH270" s="1058" t="n"/>
      <c r="BI270" s="1058" t="n"/>
      <c r="BJ270" s="1057" t="n"/>
      <c r="BK270" s="1058" t="n"/>
      <c r="BL270" s="1058" t="n"/>
      <c r="BM270" s="1058" t="n"/>
      <c r="BN270" s="1058" t="n"/>
      <c r="BO270" s="1057" t="n"/>
      <c r="BP270" s="1058" t="n"/>
      <c r="BQ270" s="1058" t="n"/>
      <c r="BR270" s="1058" t="n"/>
      <c r="BS270" s="1058" t="n"/>
      <c r="BT270" s="1057" t="n"/>
      <c r="BU270" s="1058" t="n"/>
      <c r="BV270" s="1058" t="n"/>
      <c r="BW270" s="1058" t="n"/>
      <c r="BX270" s="1058" t="n"/>
      <c r="BY270" s="1057" t="n"/>
      <c r="BZ270" s="1058" t="n"/>
      <c r="CA270" s="1058" t="n"/>
      <c r="CB270" s="1058" t="n"/>
      <c r="CC270" s="1058" t="n"/>
      <c r="CD270" s="1057" t="n"/>
      <c r="CE270" s="1059" t="n"/>
      <c r="CF270" s="1059" t="n"/>
      <c r="CG270" s="1059" t="n"/>
      <c r="CH270" s="1059" t="n"/>
      <c r="CI270" s="1060" t="n"/>
      <c r="CJ270" s="1060" t="n"/>
      <c r="CK270" s="1060" t="n"/>
      <c r="CL270" s="1060" t="n"/>
      <c r="CM270" s="1060" t="n"/>
      <c r="CQ270" s="693" t="n"/>
    </row>
    <row r="271" ht="16.5" customHeight="1">
      <c r="B271" s="720" t="inlineStr">
        <is>
          <t xml:space="preserve">  Cash Conversion Cycle (DSO + DIO − DPO)</t>
        </is>
      </c>
      <c r="C271" s="836" t="n"/>
      <c r="D271" s="836" t="n"/>
      <c r="E271" s="836" t="n"/>
      <c r="F271" s="836" t="n"/>
      <c r="G271" s="1061">
        <f>IFERROR(G268+G269-G270,"n/a")</f>
        <v/>
      </c>
      <c r="H271" s="1062" t="n"/>
      <c r="I271" s="1062" t="n"/>
      <c r="J271" s="1062" t="n"/>
      <c r="K271" s="1062" t="n"/>
      <c r="L271" s="1061">
        <f>IFERROR(L268+L269-L270,"n/a")</f>
        <v/>
      </c>
      <c r="M271" s="1062" t="n"/>
      <c r="N271" s="1062" t="n"/>
      <c r="O271" s="1062" t="n"/>
      <c r="P271" s="1062" t="n"/>
      <c r="Q271" s="1061">
        <f>IFERROR(Q268+Q269-Q270,"n/a")</f>
        <v/>
      </c>
      <c r="R271" s="1062" t="n"/>
      <c r="S271" s="1062" t="n"/>
      <c r="T271" s="1062" t="n"/>
      <c r="U271" s="1062" t="n"/>
      <c r="V271" s="1061">
        <f>IFERROR(V268+V269-V270,"n/a")</f>
        <v/>
      </c>
      <c r="W271" s="1062" t="n"/>
      <c r="X271" s="1062" t="n"/>
      <c r="Y271" s="1062" t="n"/>
      <c r="Z271" s="1062" t="n"/>
      <c r="AA271" s="1061">
        <f>IFERROR(AA268+AA269-AA270,"n/a")</f>
        <v/>
      </c>
      <c r="AB271" s="1062" t="n"/>
      <c r="AC271" s="1062" t="n"/>
      <c r="AD271" s="1062" t="n"/>
      <c r="AE271" s="1062" t="n"/>
      <c r="AF271" s="1061">
        <f>IFERROR(AF268+AF269-AF270,"n/a")</f>
        <v/>
      </c>
      <c r="AG271" s="1062" t="n"/>
      <c r="AH271" s="1062" t="n"/>
      <c r="AI271" s="1062" t="n"/>
      <c r="AJ271" s="1062" t="n"/>
      <c r="AK271" s="1061">
        <f>IFERROR(AK268+AK269-AK270,"n/a")</f>
        <v/>
      </c>
      <c r="AL271" s="1062" t="n"/>
      <c r="AM271" s="1062" t="n"/>
      <c r="AN271" s="1062" t="n"/>
      <c r="AO271" s="1062" t="n"/>
      <c r="AP271" s="1061">
        <f>IFERROR(AP268+AP269-AP270,"n/a")</f>
        <v/>
      </c>
      <c r="AQ271" s="1062" t="n"/>
      <c r="AR271" s="1062" t="n"/>
      <c r="AS271" s="1062" t="n"/>
      <c r="AT271" s="1062" t="n"/>
      <c r="AU271" s="1061">
        <f>IFERROR(AU268+AU269-AU270,"n/a")</f>
        <v/>
      </c>
      <c r="AV271" s="1062" t="n"/>
      <c r="AW271" s="1062" t="n"/>
      <c r="AX271" s="1062" t="n"/>
      <c r="AY271" s="1062" t="n"/>
      <c r="AZ271" s="1061">
        <f>IFERROR(AZ268+AZ269-AZ270,"n/a")</f>
        <v/>
      </c>
      <c r="BA271" s="836" t="n"/>
      <c r="BB271" s="836" t="n"/>
      <c r="BC271" s="836" t="n"/>
      <c r="BD271" s="836" t="n"/>
      <c r="BE271" s="1061">
        <f>IFERROR(BE268+BE269-BE270,"n/a")</f>
        <v/>
      </c>
      <c r="BF271" s="1062" t="n"/>
      <c r="BG271" s="1062" t="n"/>
      <c r="BH271" s="1062" t="n"/>
      <c r="BI271" s="1062" t="n"/>
      <c r="BJ271" s="1061">
        <f>IFERROR(BJ268+BJ269-BJ270,"n/a")</f>
        <v/>
      </c>
      <c r="BK271" s="1062" t="n"/>
      <c r="BL271" s="1062" t="n"/>
      <c r="BM271" s="1062" t="n"/>
      <c r="BN271" s="1062" t="n"/>
      <c r="BO271" s="1061">
        <f>IFERROR(BO268+BO269-BO270,"n/a")</f>
        <v/>
      </c>
      <c r="BP271" s="1062" t="n"/>
      <c r="BQ271" s="1062" t="n"/>
      <c r="BR271" s="1062" t="n"/>
      <c r="BS271" s="1062" t="n"/>
      <c r="BT271" s="1061">
        <f>IFERROR(BT268+BT269-BT270,"n/a")</f>
        <v/>
      </c>
      <c r="BU271" s="1062" t="n"/>
      <c r="BV271" s="1062" t="n"/>
      <c r="BW271" s="1062" t="n"/>
      <c r="BX271" s="1062" t="n"/>
      <c r="BY271" s="1061">
        <f>IFERROR(BY268+BY269-BY270,"n/a")</f>
        <v/>
      </c>
      <c r="BZ271" s="1062" t="n"/>
      <c r="CA271" s="1062" t="n"/>
      <c r="CB271" s="1062" t="n"/>
      <c r="CC271" s="1062" t="n"/>
      <c r="CD271" s="1061">
        <f>IFERROR(CD268+CD269-CD270,"n/a")</f>
        <v/>
      </c>
      <c r="CE271" s="1063">
        <f>IFERROR(CE268+CE269-CE270,"n/a")</f>
        <v/>
      </c>
      <c r="CF271" s="1063">
        <f>IFERROR(CF268+CF269-CF270,"n/a")</f>
        <v/>
      </c>
      <c r="CG271" s="1063">
        <f>IFERROR(CG268+CG269-CG270,"n/a")</f>
        <v/>
      </c>
      <c r="CH271" s="1063">
        <f>IFERROR(CH268+CH269-CH270,"n/a")</f>
        <v/>
      </c>
      <c r="CI271" s="1064">
        <f>IFERROR(CI268+CI269-CI270,"n/a")</f>
        <v/>
      </c>
      <c r="CJ271" s="1064">
        <f>IFERROR(CJ268+CJ269-CJ270,"n/a")</f>
        <v/>
      </c>
      <c r="CK271" s="1064">
        <f>IFERROR(CK268+CK269-CK270,"n/a")</f>
        <v/>
      </c>
      <c r="CL271" s="1064">
        <f>IFERROR(CL268+CL269-CL270,"n/a")</f>
        <v/>
      </c>
      <c r="CM271" s="1064">
        <f>IFERROR(CM268+CM269-CM270,"n/a")</f>
        <v/>
      </c>
      <c r="CQ271" s="693" t="n"/>
    </row>
    <row r="272" ht="16.5" customHeight="1">
      <c r="B272" t="inlineStr">
        <is>
          <t xml:space="preserve">  Accrued compensation % of revenue</t>
        </is>
      </c>
      <c r="G272" s="1065">
        <f>IFERROR(G244/G114,"n/a")</f>
        <v/>
      </c>
      <c r="L272" s="1065">
        <f>IFERROR(L244/L114,"n/a")</f>
        <v/>
      </c>
      <c r="Q272" s="1065">
        <f>IFERROR(Q244/Q114,"n/a")</f>
        <v/>
      </c>
      <c r="V272" s="1065">
        <f>IFERROR(V244/V114,"n/a")</f>
        <v/>
      </c>
      <c r="AA272" s="1065">
        <f>IFERROR(AA244/AA114,"n/a")</f>
        <v/>
      </c>
      <c r="AF272" s="1065">
        <f>IFERROR(AF244/AF114,"n/a")</f>
        <v/>
      </c>
      <c r="AK272" s="1065">
        <f>IFERROR(AK244/AK114,"n/a")</f>
        <v/>
      </c>
      <c r="AP272" s="1065">
        <f>IFERROR(AP244/AP114,"n/a")</f>
        <v/>
      </c>
      <c r="AU272" s="1065">
        <f>IFERROR(AU244/AU114,"n/a")</f>
        <v/>
      </c>
      <c r="AZ272" s="1065">
        <f>IFERROR(AZ244/AZ114,"n/a")</f>
        <v/>
      </c>
      <c r="BE272" s="1065">
        <f>IFERROR(BE244/BE114,"n/a")</f>
        <v/>
      </c>
      <c r="BJ272" s="1065">
        <f>IFERROR(BJ244/BJ114,"n/a")</f>
        <v/>
      </c>
      <c r="BO272" s="1065">
        <f>IFERROR(BO244/BO114,"n/a")</f>
        <v/>
      </c>
      <c r="BT272" s="1065">
        <f>IFERROR(BT244/BT114,"n/a")</f>
        <v/>
      </c>
      <c r="BY272" s="1065">
        <f>IFERROR(BY244/BY114,"n/a")</f>
        <v/>
      </c>
      <c r="CD272" s="1065">
        <f>IFERROR(CD244/CD114,"n/a")</f>
        <v/>
      </c>
      <c r="CE272" s="1066">
        <f>IFERROR(CE244/CE114,"n/a")</f>
        <v/>
      </c>
      <c r="CF272" s="1066">
        <f>IFERROR(CF244/CF114,"n/a")</f>
        <v/>
      </c>
      <c r="CG272" s="1066">
        <f>CI272</f>
        <v/>
      </c>
      <c r="CH272" s="1066">
        <f>CG272</f>
        <v/>
      </c>
      <c r="CI272" s="1067" t="n"/>
      <c r="CJ272" s="1067" t="n"/>
      <c r="CK272" s="1067" t="n"/>
      <c r="CL272" s="1067" t="n"/>
      <c r="CM272" s="1067" t="n"/>
      <c r="CQ272" s="693" t="n"/>
    </row>
    <row r="273" ht="16.5" customHeight="1">
      <c r="B273" t="inlineStr">
        <is>
          <t xml:space="preserve">  Contract liabilities % of revenue</t>
        </is>
      </c>
      <c r="G273" s="1065">
        <f>IFERROR(G245/G114,"n/a")</f>
        <v/>
      </c>
      <c r="L273" s="1065">
        <f>IFERROR(L245/L114,"n/a")</f>
        <v/>
      </c>
      <c r="Q273" s="1065">
        <f>IFERROR(Q245/Q114,"n/a")</f>
        <v/>
      </c>
      <c r="V273" s="1065">
        <f>IFERROR(V245/V114,"n/a")</f>
        <v/>
      </c>
      <c r="AA273" s="1065">
        <f>IFERROR(AA245/AA114,"n/a")</f>
        <v/>
      </c>
      <c r="AF273" s="1065">
        <f>IFERROR(AF245/AF114,"n/a")</f>
        <v/>
      </c>
      <c r="AK273" s="1065">
        <f>IFERROR(AK245/AK114,"n/a")</f>
        <v/>
      </c>
      <c r="AP273" s="1065">
        <f>IFERROR(AP245/AP114,"n/a")</f>
        <v/>
      </c>
      <c r="AU273" s="1065">
        <f>IFERROR(AU245/AU114,"n/a")</f>
        <v/>
      </c>
      <c r="AZ273" s="1065">
        <f>IFERROR(AZ245/AZ114,"n/a")</f>
        <v/>
      </c>
      <c r="BE273" s="1065">
        <f>IFERROR(BE245/BE114,"n/a")</f>
        <v/>
      </c>
      <c r="BJ273" s="1065">
        <f>IFERROR(BJ245/BJ114,"n/a")</f>
        <v/>
      </c>
      <c r="BO273" s="1065">
        <f>IFERROR(BO245/BO114,"n/a")</f>
        <v/>
      </c>
      <c r="BT273" s="1065">
        <f>IFERROR(BT245/BT114,"n/a")</f>
        <v/>
      </c>
      <c r="BY273" s="1065">
        <f>IFERROR(BY245/BY114,"n/a")</f>
        <v/>
      </c>
      <c r="CD273" s="1065">
        <f>IFERROR(CD245/CD114,"n/a")</f>
        <v/>
      </c>
      <c r="CE273" s="1066">
        <f>IFERROR(CE245/CE114,"n/a")</f>
        <v/>
      </c>
      <c r="CF273" s="1066">
        <f>IFERROR(CF245/CF114,"n/a")</f>
        <v/>
      </c>
      <c r="CG273" s="1066">
        <f>CI273</f>
        <v/>
      </c>
      <c r="CH273" s="1066">
        <f>CG273</f>
        <v/>
      </c>
      <c r="CI273" s="1067" t="n"/>
      <c r="CJ273" s="1067" t="n"/>
      <c r="CK273" s="1067" t="n"/>
      <c r="CL273" s="1067" t="n"/>
      <c r="CM273" s="1067" t="n"/>
      <c r="CQ273" s="693" t="n"/>
    </row>
    <row r="274" ht="16.5" customHeight="1">
      <c r="B274" t="inlineStr">
        <is>
          <t xml:space="preserve">  Other accrued liabilities % of revenue</t>
        </is>
      </c>
      <c r="G274" s="1065">
        <f>IFERROR(G246/G114,"n/a")</f>
        <v/>
      </c>
      <c r="L274" s="1065">
        <f>IFERROR(L246/L114,"n/a")</f>
        <v/>
      </c>
      <c r="Q274" s="1065">
        <f>IFERROR(Q246/Q114,"n/a")</f>
        <v/>
      </c>
      <c r="V274" s="1065">
        <f>IFERROR(V246/V114,"n/a")</f>
        <v/>
      </c>
      <c r="AA274" s="1065">
        <f>IFERROR(AA246/AA114,"n/a")</f>
        <v/>
      </c>
      <c r="AF274" s="1065">
        <f>IFERROR(AF246/AF114,"n/a")</f>
        <v/>
      </c>
      <c r="AK274" s="1065">
        <f>IFERROR(AK246/AK114,"n/a")</f>
        <v/>
      </c>
      <c r="AP274" s="1065">
        <f>IFERROR(AP246/AP114,"n/a")</f>
        <v/>
      </c>
      <c r="AU274" s="1065">
        <f>IFERROR(AU246/AU114,"n/a")</f>
        <v/>
      </c>
      <c r="AZ274" s="1065">
        <f>IFERROR(AZ246/AZ114,"n/a")</f>
        <v/>
      </c>
      <c r="BE274" s="1065">
        <f>IFERROR(BE246/BE114,"n/a")</f>
        <v/>
      </c>
      <c r="BJ274" s="1065">
        <f>IFERROR(BJ246/BJ114,"n/a")</f>
        <v/>
      </c>
      <c r="BO274" s="1065">
        <f>IFERROR(BO246/BO114,"n/a")</f>
        <v/>
      </c>
      <c r="BT274" s="1065">
        <f>IFERROR(BT246/BT114,"n/a")</f>
        <v/>
      </c>
      <c r="BY274" s="1065">
        <f>IFERROR(BY246/BY114,"n/a")</f>
        <v/>
      </c>
      <c r="CD274" s="1065">
        <f>IFERROR(CD246/CD114,"n/a")</f>
        <v/>
      </c>
      <c r="CE274" s="1066">
        <f>IFERROR(CE246/CE114,"n/a")</f>
        <v/>
      </c>
      <c r="CF274" s="1066">
        <f>IFERROR(CF246/CF114,"n/a")</f>
        <v/>
      </c>
      <c r="CG274" s="1066">
        <f>CI274</f>
        <v/>
      </c>
      <c r="CH274" s="1066">
        <f>CG274</f>
        <v/>
      </c>
      <c r="CI274" s="1067" t="n"/>
      <c r="CJ274" s="1067" t="n"/>
      <c r="CK274" s="1067" t="n"/>
      <c r="CL274" s="1067" t="n"/>
      <c r="CM274" s="1067" t="n"/>
      <c r="CQ274" s="693" t="n"/>
    </row>
    <row r="275" ht="16.5" customHeight="1">
      <c r="B275" t="inlineStr">
        <is>
          <t xml:space="preserve">  Prepaid &amp; other current assets % of revenue</t>
        </is>
      </c>
      <c r="G275" s="1065">
        <f>IFERROR(G229/G114,"n/a")</f>
        <v/>
      </c>
      <c r="L275" s="1065">
        <f>IFERROR(L229/L114,"n/a")</f>
        <v/>
      </c>
      <c r="Q275" s="1065">
        <f>IFERROR(Q229/Q114,"n/a")</f>
        <v/>
      </c>
      <c r="V275" s="1065">
        <f>IFERROR(V229/V114,"n/a")</f>
        <v/>
      </c>
      <c r="AA275" s="1065">
        <f>IFERROR(AA229/AA114,"n/a")</f>
        <v/>
      </c>
      <c r="AF275" s="1065">
        <f>IFERROR(AF229/AF114,"n/a")</f>
        <v/>
      </c>
      <c r="AK275" s="1065">
        <f>IFERROR(AK229/AK114,"n/a")</f>
        <v/>
      </c>
      <c r="AP275" s="1065">
        <f>IFERROR(AP229/AP114,"n/a")</f>
        <v/>
      </c>
      <c r="AU275" s="1065">
        <f>IFERROR(AU229/AU114,"n/a")</f>
        <v/>
      </c>
      <c r="AZ275" s="1065">
        <f>IFERROR(AZ229/AZ114,"n/a")</f>
        <v/>
      </c>
      <c r="BE275" s="1065">
        <f>IFERROR(BE229/BE114,"n/a")</f>
        <v/>
      </c>
      <c r="BJ275" s="1065">
        <f>IFERROR(BJ229/BJ114,"n/a")</f>
        <v/>
      </c>
      <c r="BO275" s="1065">
        <f>IFERROR(BO229/BO114,"n/a")</f>
        <v/>
      </c>
      <c r="BT275" s="1065">
        <f>IFERROR(BT229/BT114,"n/a")</f>
        <v/>
      </c>
      <c r="BY275" s="1065">
        <f>IFERROR(BY229/BY114,"n/a")</f>
        <v/>
      </c>
      <c r="CD275" s="1065">
        <f>IFERROR(CD229/CD114,"n/a")</f>
        <v/>
      </c>
      <c r="CE275" s="1066">
        <f>IFERROR(CE229/CE114,"n/a")</f>
        <v/>
      </c>
      <c r="CF275" s="1066">
        <f>IFERROR(CF229/CF114,"n/a")</f>
        <v/>
      </c>
      <c r="CG275" s="1066">
        <f>CI275</f>
        <v/>
      </c>
      <c r="CH275" s="1066">
        <f>CG275</f>
        <v/>
      </c>
      <c r="CI275" s="1067" t="n"/>
      <c r="CJ275" s="1067" t="n"/>
      <c r="CK275" s="1067" t="n"/>
      <c r="CL275" s="1067" t="n"/>
      <c r="CM275" s="1067" t="n"/>
      <c r="CQ275" s="693" t="n"/>
    </row>
    <row r="276" ht="16.5" customHeight="1">
      <c r="G276" s="862" t="n"/>
      <c r="L276" s="862" t="n"/>
      <c r="Q276" s="862" t="n"/>
      <c r="V276" s="862" t="n"/>
      <c r="AA276" s="862" t="n"/>
      <c r="AF276" s="862" t="n"/>
      <c r="AK276" s="862" t="n"/>
      <c r="AP276" s="862" t="n"/>
      <c r="AU276" s="862" t="n"/>
      <c r="AZ276" s="862" t="n"/>
      <c r="BE276" s="862" t="n"/>
      <c r="BJ276" s="862" t="n"/>
      <c r="BO276" s="862" t="n"/>
      <c r="BT276" s="862" t="n"/>
      <c r="BY276" s="862" t="n"/>
      <c r="CD276" s="862" t="n"/>
      <c r="CI276" s="717" t="n"/>
      <c r="CJ276" s="717" t="n"/>
      <c r="CK276" s="717" t="n"/>
      <c r="CL276" s="717" t="n"/>
      <c r="CM276" s="717" t="n"/>
      <c r="CQ276" s="693" t="n"/>
    </row>
    <row r="277" ht="16.5" customHeight="1">
      <c r="B277" s="149" t="inlineStr">
        <is>
          <t>Asset rollforwards</t>
        </is>
      </c>
      <c r="G277" s="867" t="n"/>
      <c r="H277" s="224" t="n"/>
      <c r="I277" s="224" t="n"/>
      <c r="J277" s="224" t="n"/>
      <c r="K277" s="224" t="n"/>
      <c r="L277" s="867" t="n"/>
      <c r="M277" s="224" t="n"/>
      <c r="N277" s="224" t="n"/>
      <c r="O277" s="224" t="n"/>
      <c r="P277" s="224" t="n"/>
      <c r="Q277" s="867" t="n"/>
      <c r="R277" s="224" t="n"/>
      <c r="S277" s="224" t="n"/>
      <c r="T277" s="224" t="n"/>
      <c r="U277" s="224" t="n"/>
      <c r="V277" s="867" t="n"/>
      <c r="W277" s="224" t="n"/>
      <c r="X277" s="224" t="n"/>
      <c r="Y277" s="224" t="n"/>
      <c r="Z277" s="224" t="n"/>
      <c r="AA277" s="867" t="n"/>
      <c r="AB277" s="224" t="n"/>
      <c r="AC277" s="224" t="n"/>
      <c r="AD277" s="224" t="n"/>
      <c r="AE277" s="224" t="n"/>
      <c r="AF277" s="867" t="n"/>
      <c r="AG277" s="224" t="n"/>
      <c r="AH277" s="224" t="n"/>
      <c r="AI277" s="224" t="n"/>
      <c r="AJ277" s="224" t="n"/>
      <c r="AK277" s="867" t="n"/>
      <c r="AL277" s="224" t="n"/>
      <c r="AM277" s="224" t="n"/>
      <c r="AN277" s="224" t="n"/>
      <c r="AO277" s="224" t="n"/>
      <c r="AP277" s="867" t="n"/>
      <c r="AQ277" s="224" t="n"/>
      <c r="AR277" s="224" t="n"/>
      <c r="AS277" s="224" t="n"/>
      <c r="AT277" s="224" t="n"/>
      <c r="AU277" s="867" t="n"/>
      <c r="AV277" s="224" t="n"/>
      <c r="AW277" s="224" t="n"/>
      <c r="AX277" s="224" t="n"/>
      <c r="AY277" s="224" t="n"/>
      <c r="AZ277" s="867" t="n"/>
      <c r="BA277" s="224" t="n"/>
      <c r="BB277" s="224" t="n"/>
      <c r="BC277" s="224" t="n"/>
      <c r="BD277" s="224" t="n"/>
      <c r="BE277" s="867" t="n"/>
      <c r="BF277" s="224" t="n"/>
      <c r="BG277" s="224" t="n"/>
      <c r="BH277" s="224" t="n"/>
      <c r="BI277" s="224" t="n"/>
      <c r="BJ277" s="867" t="n"/>
      <c r="BK277" s="224" t="n"/>
      <c r="BL277" s="224" t="n"/>
      <c r="BM277" s="224" t="n"/>
      <c r="BN277" s="224" t="n"/>
      <c r="BO277" s="867" t="n"/>
      <c r="BP277" s="224" t="n"/>
      <c r="BQ277" s="224" t="n"/>
      <c r="BR277" s="224" t="n"/>
      <c r="BS277" s="224" t="n"/>
      <c r="BT277" s="867" t="n"/>
      <c r="BU277" s="224" t="n"/>
      <c r="BV277" s="224" t="n"/>
      <c r="BW277" s="224" t="n"/>
      <c r="BX277" s="224" t="n"/>
      <c r="BY277" s="867" t="n"/>
      <c r="BZ277" s="224" t="n"/>
      <c r="CA277" s="224" t="n"/>
      <c r="CB277" s="224" t="n"/>
      <c r="CC277" s="224" t="n"/>
      <c r="CD277" s="867" t="n"/>
      <c r="CE277" s="224" t="n"/>
      <c r="CF277" s="224" t="n"/>
      <c r="CG277" s="224" t="n"/>
      <c r="CH277" s="224" t="n"/>
      <c r="CI277" s="224" t="n"/>
      <c r="CJ277" s="224" t="n"/>
      <c r="CK277" s="224" t="n"/>
      <c r="CL277" s="224" t="n"/>
      <c r="CM277" s="224" t="n"/>
      <c r="CN277" s="224" t="n"/>
      <c r="CO277" s="224" t="n"/>
      <c r="CP277" s="224" t="n"/>
      <c r="CQ277" s="693" t="n"/>
    </row>
    <row r="278" ht="16.5" customHeight="1">
      <c r="B278" t="inlineStr">
        <is>
          <t xml:space="preserve">  PP&amp;E capex % of revenue (= |Capex| / Revenue)</t>
        </is>
      </c>
      <c r="G278" s="1065">
        <f>IFERROR(ABS(G189)/G114,"n/a")</f>
        <v/>
      </c>
      <c r="L278" s="1065">
        <f>IFERROR(ABS(L189)/L114,"n/a")</f>
        <v/>
      </c>
      <c r="Q278" s="1065">
        <f>IFERROR(ABS(Q189)/Q114,"n/a")</f>
        <v/>
      </c>
      <c r="V278" s="1065">
        <f>IFERROR(ABS(V189)/V114,"n/a")</f>
        <v/>
      </c>
      <c r="AA278" s="1065">
        <f>IFERROR(ABS(AA189)/AA114,"n/a")</f>
        <v/>
      </c>
      <c r="AF278" s="1065">
        <f>IFERROR(ABS(AF189)/AF114,"n/a")</f>
        <v/>
      </c>
      <c r="AK278" s="1065">
        <f>IFERROR(ABS(AK189)/AK114,"n/a")</f>
        <v/>
      </c>
      <c r="AP278" s="1065">
        <f>IFERROR(ABS(AP189)/AP114,"n/a")</f>
        <v/>
      </c>
      <c r="AU278" s="1065">
        <f>IFERROR(ABS(AU189)/AU114,"n/a")</f>
        <v/>
      </c>
      <c r="AZ278" s="1065">
        <f>IFERROR(ABS(AZ189)/AZ114,"n/a")</f>
        <v/>
      </c>
      <c r="BE278" s="1065">
        <f>IFERROR(ABS(BE189)/BE114,"n/a")</f>
        <v/>
      </c>
      <c r="BJ278" s="1065">
        <f>IFERROR(ABS(BJ189)/BJ114,"n/a")</f>
        <v/>
      </c>
      <c r="BO278" s="1065">
        <f>IFERROR(ABS(BO189)/BO114,"n/a")</f>
        <v/>
      </c>
      <c r="BT278" s="1065">
        <f>IFERROR(ABS(BT189)/BT114,"n/a")</f>
        <v/>
      </c>
      <c r="BY278" s="1065">
        <f>IFERROR(ABS(BY189)/BY114,"n/a")</f>
        <v/>
      </c>
      <c r="CD278" s="1065">
        <f>IFERROR(ABS(CD189)/CD114,"n/a")</f>
        <v/>
      </c>
      <c r="CE278" s="1066">
        <f>IFERROR(ABS(CE189)/CE114,"n/a")</f>
        <v/>
      </c>
      <c r="CF278" s="1066">
        <f>IFERROR(ABS(CF189)/CF114,"n/a")</f>
        <v/>
      </c>
      <c r="CG278" s="1066">
        <f>CI278</f>
        <v/>
      </c>
      <c r="CH278" s="1066">
        <f>CG278</f>
        <v/>
      </c>
      <c r="CI278" s="1067" t="n"/>
      <c r="CJ278" s="1067" t="n"/>
      <c r="CK278" s="1067" t="n"/>
      <c r="CL278" s="1067" t="n"/>
      <c r="CM278" s="1067" t="n"/>
      <c r="CQ278" s="693" t="n"/>
    </row>
    <row r="279" ht="16.5" customHeight="1">
      <c r="B279" t="inlineStr">
        <is>
          <t xml:space="preserve">  PP&amp;E depreciation % of revenue</t>
        </is>
      </c>
      <c r="G279" s="1065">
        <f>IFERROR(G176/G114,"n/a")</f>
        <v/>
      </c>
      <c r="L279" s="1065">
        <f>IFERROR(L176/L114,"n/a")</f>
        <v/>
      </c>
      <c r="Q279" s="1065">
        <f>IFERROR(Q176/Q114,"n/a")</f>
        <v/>
      </c>
      <c r="V279" s="1065">
        <f>IFERROR(V176/V114,"n/a")</f>
        <v/>
      </c>
      <c r="AA279" s="1065">
        <f>IFERROR(AA176/AA114,"n/a")</f>
        <v/>
      </c>
      <c r="AF279" s="1065">
        <f>IFERROR(AF176/AF114,"n/a")</f>
        <v/>
      </c>
      <c r="AK279" s="1065">
        <f>IFERROR(AK176/AK114,"n/a")</f>
        <v/>
      </c>
      <c r="AP279" s="1065">
        <f>IFERROR(AP176/AP114,"n/a")</f>
        <v/>
      </c>
      <c r="AU279" s="1065">
        <f>IFERROR(AU176/AU114,"n/a")</f>
        <v/>
      </c>
      <c r="AZ279" s="1065">
        <f>IFERROR(AZ176/AZ114,"n/a")</f>
        <v/>
      </c>
      <c r="BE279" s="1065">
        <f>IFERROR(BE176/BE114,"n/a")</f>
        <v/>
      </c>
      <c r="BJ279" s="1065">
        <f>IFERROR(BJ176/BJ114,"n/a")</f>
        <v/>
      </c>
      <c r="BO279" s="1065">
        <f>IFERROR(BO176/BO114,"n/a")</f>
        <v/>
      </c>
      <c r="BT279" s="1065">
        <f>IFERROR(BT176/BT114,"n/a")</f>
        <v/>
      </c>
      <c r="BY279" s="1065">
        <f>IFERROR(BY176/BY114,"n/a")</f>
        <v/>
      </c>
      <c r="CD279" s="1065">
        <f>IFERROR(CD176/CD114,"n/a")</f>
        <v/>
      </c>
      <c r="CE279" s="1066">
        <f>IFERROR(CE176/CE114,"n/a")</f>
        <v/>
      </c>
      <c r="CF279" s="1066">
        <f>IFERROR(CF176/CF114,"n/a")</f>
        <v/>
      </c>
      <c r="CG279" s="1066">
        <f>CI279</f>
        <v/>
      </c>
      <c r="CH279" s="1066">
        <f>CG279</f>
        <v/>
      </c>
      <c r="CI279" s="1067" t="n"/>
      <c r="CJ279" s="1067" t="n"/>
      <c r="CK279" s="1067" t="n"/>
      <c r="CL279" s="1067" t="n"/>
      <c r="CM279" s="1067" t="n"/>
      <c r="CQ279" s="693" t="n"/>
    </row>
    <row r="280" ht="16.5" customHeight="1">
      <c r="B280" t="inlineStr">
        <is>
          <t xml:space="preserve">  PP&amp;E rollforward: Beg + Capex − Depreciation</t>
        </is>
      </c>
      <c r="G280" s="862" t="n"/>
      <c r="L280" s="862" t="n"/>
      <c r="Q280" s="862" t="n"/>
      <c r="V280" s="862" t="n"/>
      <c r="AA280" s="862" t="n"/>
      <c r="AF280" s="862" t="n"/>
      <c r="AK280" s="862" t="n"/>
      <c r="AP280" s="862" t="n"/>
      <c r="AU280" s="862" t="n"/>
      <c r="AZ280" s="862" t="n"/>
      <c r="BE280" s="862" t="n"/>
      <c r="BJ280" s="862" t="n"/>
      <c r="BO280" s="862" t="n"/>
      <c r="BT280" s="862" t="n"/>
      <c r="BY280" s="862" t="n"/>
      <c r="CD280" s="862" t="n"/>
      <c r="CI280" s="717" t="n"/>
      <c r="CJ280" s="717" t="n"/>
      <c r="CK280" s="717" t="n"/>
      <c r="CL280" s="717" t="n"/>
      <c r="CM280" s="717" t="n"/>
      <c r="CQ280" s="693" t="n"/>
    </row>
    <row r="281" ht="16.5" customHeight="1">
      <c r="B281" t="inlineStr">
        <is>
          <t xml:space="preserve">  Intangibles amortization % of revenue</t>
        </is>
      </c>
      <c r="G281" s="1065">
        <f>IFERROR(G177/G114,"n/a")</f>
        <v/>
      </c>
      <c r="L281" s="1065">
        <f>IFERROR(L177/L114,"n/a")</f>
        <v/>
      </c>
      <c r="Q281" s="1065">
        <f>IFERROR(Q177/Q114,"n/a")</f>
        <v/>
      </c>
      <c r="V281" s="1065">
        <f>IFERROR(V177/V114,"n/a")</f>
        <v/>
      </c>
      <c r="AA281" s="1065">
        <f>IFERROR(AA177/AA114,"n/a")</f>
        <v/>
      </c>
      <c r="AF281" s="1065">
        <f>IFERROR(AF177/AF114,"n/a")</f>
        <v/>
      </c>
      <c r="AK281" s="1065">
        <f>IFERROR(AK177/AK114,"n/a")</f>
        <v/>
      </c>
      <c r="AP281" s="1065">
        <f>IFERROR(AP177/AP114,"n/a")</f>
        <v/>
      </c>
      <c r="AU281" s="1065">
        <f>IFERROR(AU177/AU114,"n/a")</f>
        <v/>
      </c>
      <c r="AZ281" s="1065">
        <f>IFERROR(AZ177/AZ114,"n/a")</f>
        <v/>
      </c>
      <c r="BE281" s="1065">
        <f>IFERROR(BE177/BE114,"n/a")</f>
        <v/>
      </c>
      <c r="BJ281" s="1065">
        <f>IFERROR(BJ177/BJ114,"n/a")</f>
        <v/>
      </c>
      <c r="BO281" s="1065">
        <f>IFERROR(BO177/BO114,"n/a")</f>
        <v/>
      </c>
      <c r="BT281" s="1065">
        <f>IFERROR(BT177/BT114,"n/a")</f>
        <v/>
      </c>
      <c r="BY281" s="1065">
        <f>IFERROR(BY177/BY114,"n/a")</f>
        <v/>
      </c>
      <c r="CD281" s="1065">
        <f>IFERROR(CD177/CD114,"n/a")</f>
        <v/>
      </c>
      <c r="CE281" s="1066">
        <f>IFERROR(CE177/CE114,"n/a")</f>
        <v/>
      </c>
      <c r="CF281" s="1066">
        <f>IFERROR(CF177/CF114,"n/a")</f>
        <v/>
      </c>
      <c r="CG281" s="1066">
        <f>CI281</f>
        <v/>
      </c>
      <c r="CH281" s="1066">
        <f>CG281</f>
        <v/>
      </c>
      <c r="CI281" s="1067" t="n"/>
      <c r="CJ281" s="1067" t="n"/>
      <c r="CK281" s="1067" t="n"/>
      <c r="CL281" s="1067" t="n"/>
      <c r="CM281" s="1067" t="n"/>
      <c r="CQ281" s="693" t="n"/>
    </row>
    <row r="282" ht="16.5" customHeight="1">
      <c r="B282" t="inlineStr">
        <is>
          <t xml:space="preserve">  Intangibles rollforward: Beg − Amortization</t>
        </is>
      </c>
      <c r="G282" s="862" t="n"/>
      <c r="L282" s="862" t="n"/>
      <c r="Q282" s="862" t="n"/>
      <c r="V282" s="862" t="n"/>
      <c r="AA282" s="862" t="n"/>
      <c r="AF282" s="862" t="n"/>
      <c r="AK282" s="862" t="n"/>
      <c r="AP282" s="862" t="n"/>
      <c r="AU282" s="862" t="n"/>
      <c r="AZ282" s="862" t="n"/>
      <c r="BE282" s="862" t="n"/>
      <c r="BJ282" s="862" t="n"/>
      <c r="BO282" s="862" t="n"/>
      <c r="BT282" s="862" t="n"/>
      <c r="BY282" s="862" t="n"/>
      <c r="CD282" s="862" t="n"/>
      <c r="CI282" s="717" t="n"/>
      <c r="CJ282" s="717" t="n"/>
      <c r="CK282" s="717" t="n"/>
      <c r="CL282" s="717" t="n"/>
      <c r="CM282" s="717" t="n"/>
      <c r="CQ282" s="693" t="n"/>
    </row>
    <row r="283" ht="16.5" customHeight="1">
      <c r="B283" t="inlineStr">
        <is>
          <t xml:space="preserve">  Goodwill (held constant — no M&amp;A assumed)</t>
        </is>
      </c>
      <c r="G283" s="862" t="n"/>
      <c r="L283" s="862" t="n"/>
      <c r="Q283" s="862" t="n"/>
      <c r="V283" s="862" t="n"/>
      <c r="AA283" s="862" t="n"/>
      <c r="AF283" s="862" t="n"/>
      <c r="AK283" s="862" t="n"/>
      <c r="AP283" s="862" t="n"/>
      <c r="AU283" s="862" t="n"/>
      <c r="AZ283" s="862" t="n"/>
      <c r="BE283" s="862" t="n"/>
      <c r="BJ283" s="862" t="n"/>
      <c r="BO283" s="862" t="n"/>
      <c r="BT283" s="862" t="n"/>
      <c r="BY283" s="862" t="n"/>
      <c r="CD283" s="862" t="n"/>
      <c r="CI283" s="717" t="n"/>
      <c r="CJ283" s="717" t="n"/>
      <c r="CK283" s="717" t="n"/>
      <c r="CL283" s="717" t="n"/>
      <c r="CM283" s="717" t="n"/>
      <c r="CQ283" s="693" t="n"/>
    </row>
    <row r="284" ht="16.5" customHeight="1">
      <c r="B284" t="inlineStr">
        <is>
          <t xml:space="preserve">  Operating lease RoU asset (held flat — pre-IFRS 16 noise)</t>
        </is>
      </c>
      <c r="G284" s="862" t="n"/>
      <c r="L284" s="862" t="n"/>
      <c r="Q284" s="862" t="n"/>
      <c r="V284" s="862" t="n"/>
      <c r="AA284" s="862" t="n"/>
      <c r="AF284" s="862" t="n"/>
      <c r="AK284" s="862" t="n"/>
      <c r="AP284" s="862" t="n"/>
      <c r="AU284" s="862" t="n"/>
      <c r="AZ284" s="862" t="n"/>
      <c r="BE284" s="862" t="n"/>
      <c r="BJ284" s="862" t="n"/>
      <c r="BO284" s="862" t="n"/>
      <c r="BT284" s="862" t="n"/>
      <c r="BY284" s="862" t="n"/>
      <c r="CD284" s="862" t="n"/>
      <c r="CI284" s="717" t="n"/>
      <c r="CJ284" s="717" t="n"/>
      <c r="CK284" s="717" t="n"/>
      <c r="CL284" s="717" t="n"/>
      <c r="CM284" s="717" t="n"/>
      <c r="CQ284" s="693" t="n"/>
    </row>
    <row r="285" ht="16.5" customHeight="1">
      <c r="G285" s="862" t="n"/>
      <c r="L285" s="862" t="n"/>
      <c r="Q285" s="862" t="n"/>
      <c r="V285" s="862" t="n"/>
      <c r="AA285" s="862" t="n"/>
      <c r="AF285" s="862" t="n"/>
      <c r="AK285" s="862" t="n"/>
      <c r="AP285" s="862" t="n"/>
      <c r="AU285" s="862" t="n"/>
      <c r="AZ285" s="862" t="n"/>
      <c r="BE285" s="862" t="n"/>
      <c r="BJ285" s="862" t="n"/>
      <c r="BO285" s="862" t="n"/>
      <c r="BT285" s="862" t="n"/>
      <c r="BY285" s="862" t="n"/>
      <c r="CD285" s="862" t="n"/>
      <c r="CI285" s="717" t="n"/>
      <c r="CJ285" s="717" t="n"/>
      <c r="CK285" s="717" t="n"/>
      <c r="CL285" s="717" t="n"/>
      <c r="CM285" s="717" t="n"/>
      <c r="CQ285" s="693" t="n"/>
    </row>
    <row r="286" ht="16.5" customHeight="1">
      <c r="B286" s="149" t="inlineStr">
        <is>
          <t>Other asset / liability % of revenue</t>
        </is>
      </c>
      <c r="G286" s="867" t="n"/>
      <c r="H286" s="224" t="n"/>
      <c r="I286" s="224" t="n"/>
      <c r="J286" s="224" t="n"/>
      <c r="K286" s="224" t="n"/>
      <c r="L286" s="867" t="n"/>
      <c r="M286" s="224" t="n"/>
      <c r="N286" s="224" t="n"/>
      <c r="O286" s="224" t="n"/>
      <c r="P286" s="224" t="n"/>
      <c r="Q286" s="867" t="n"/>
      <c r="R286" s="224" t="n"/>
      <c r="S286" s="224" t="n"/>
      <c r="T286" s="224" t="n"/>
      <c r="U286" s="224" t="n"/>
      <c r="V286" s="867" t="n"/>
      <c r="W286" s="224" t="n"/>
      <c r="X286" s="224" t="n"/>
      <c r="Y286" s="224" t="n"/>
      <c r="Z286" s="224" t="n"/>
      <c r="AA286" s="867" t="n"/>
      <c r="AB286" s="224" t="n"/>
      <c r="AC286" s="224" t="n"/>
      <c r="AD286" s="224" t="n"/>
      <c r="AE286" s="224" t="n"/>
      <c r="AF286" s="867" t="n"/>
      <c r="AG286" s="224" t="n"/>
      <c r="AH286" s="224" t="n"/>
      <c r="AI286" s="224" t="n"/>
      <c r="AJ286" s="224" t="n"/>
      <c r="AK286" s="867" t="n"/>
      <c r="AL286" s="224" t="n"/>
      <c r="AM286" s="224" t="n"/>
      <c r="AN286" s="224" t="n"/>
      <c r="AO286" s="224" t="n"/>
      <c r="AP286" s="867" t="n"/>
      <c r="AQ286" s="224" t="n"/>
      <c r="AR286" s="224" t="n"/>
      <c r="AS286" s="224" t="n"/>
      <c r="AT286" s="224" t="n"/>
      <c r="AU286" s="867" t="n"/>
      <c r="AV286" s="224" t="n"/>
      <c r="AW286" s="224" t="n"/>
      <c r="AX286" s="224" t="n"/>
      <c r="AY286" s="224" t="n"/>
      <c r="AZ286" s="867" t="n"/>
      <c r="BA286" s="224" t="n"/>
      <c r="BB286" s="224" t="n"/>
      <c r="BC286" s="224" t="n"/>
      <c r="BD286" s="224" t="n"/>
      <c r="BE286" s="867" t="n"/>
      <c r="BF286" s="224" t="n"/>
      <c r="BG286" s="224" t="n"/>
      <c r="BH286" s="224" t="n"/>
      <c r="BI286" s="224" t="n"/>
      <c r="BJ286" s="867" t="n"/>
      <c r="BK286" s="224" t="n"/>
      <c r="BL286" s="224" t="n"/>
      <c r="BM286" s="224" t="n"/>
      <c r="BN286" s="224" t="n"/>
      <c r="BO286" s="867" t="n"/>
      <c r="BP286" s="224" t="n"/>
      <c r="BQ286" s="224" t="n"/>
      <c r="BR286" s="224" t="n"/>
      <c r="BS286" s="224" t="n"/>
      <c r="BT286" s="867" t="n"/>
      <c r="BU286" s="224" t="n"/>
      <c r="BV286" s="224" t="n"/>
      <c r="BW286" s="224" t="n"/>
      <c r="BX286" s="224" t="n"/>
      <c r="BY286" s="867" t="n"/>
      <c r="BZ286" s="224" t="n"/>
      <c r="CA286" s="224" t="n"/>
      <c r="CB286" s="224" t="n"/>
      <c r="CC286" s="224" t="n"/>
      <c r="CD286" s="867" t="n"/>
      <c r="CE286" s="224" t="n"/>
      <c r="CF286" s="224" t="n"/>
      <c r="CG286" s="224" t="n"/>
      <c r="CH286" s="224" t="n"/>
      <c r="CI286" s="224" t="n"/>
      <c r="CJ286" s="224" t="n"/>
      <c r="CK286" s="224" t="n"/>
      <c r="CL286" s="224" t="n"/>
      <c r="CM286" s="224" t="n"/>
      <c r="CN286" s="224" t="n"/>
      <c r="CO286" s="224" t="n"/>
      <c r="CP286" s="224" t="n"/>
      <c r="CQ286" s="693" t="n"/>
    </row>
    <row r="287" ht="16.5" customHeight="1">
      <c r="B287" t="inlineStr">
        <is>
          <t xml:space="preserve">  Deferred income taxes (current asset, in 'Prepaid') % rev</t>
        </is>
      </c>
      <c r="G287" s="1065">
        <f>IFERROR(G235/G114,"n/a")</f>
        <v/>
      </c>
      <c r="L287" s="1065">
        <f>IFERROR(L235/L114,"n/a")</f>
        <v/>
      </c>
      <c r="Q287" s="1065">
        <f>IFERROR(Q235/Q114,"n/a")</f>
        <v/>
      </c>
      <c r="V287" s="1065">
        <f>IFERROR(V235/V114,"n/a")</f>
        <v/>
      </c>
      <c r="AA287" s="1065">
        <f>IFERROR(AA235/AA114,"n/a")</f>
        <v/>
      </c>
      <c r="AF287" s="1065">
        <f>IFERROR(AF235/AF114,"n/a")</f>
        <v/>
      </c>
      <c r="AK287" s="1065">
        <f>IFERROR(AK235/AK114,"n/a")</f>
        <v/>
      </c>
      <c r="AP287" s="1065">
        <f>IFERROR(AP235/AP114,"n/a")</f>
        <v/>
      </c>
      <c r="AU287" s="1065">
        <f>IFERROR(AU235/AU114,"n/a")</f>
        <v/>
      </c>
      <c r="AZ287" s="1065">
        <f>IFERROR(AZ235/AZ114,"n/a")</f>
        <v/>
      </c>
      <c r="BE287" s="1065">
        <f>IFERROR(BE235/BE114,"n/a")</f>
        <v/>
      </c>
      <c r="BJ287" s="1065">
        <f>IFERROR(BJ235/BJ114,"n/a")</f>
        <v/>
      </c>
      <c r="BO287" s="1065">
        <f>IFERROR(BO235/BO114,"n/a")</f>
        <v/>
      </c>
      <c r="BT287" s="1065">
        <f>IFERROR(BT235/BT114,"n/a")</f>
        <v/>
      </c>
      <c r="BY287" s="1065">
        <f>IFERROR(BY235/BY114,"n/a")</f>
        <v/>
      </c>
      <c r="CD287" s="1065">
        <f>IFERROR(CD235/CD114,"n/a")</f>
        <v/>
      </c>
      <c r="CE287" s="1066">
        <f>IFERROR(CE235/CE114,"n/a")</f>
        <v/>
      </c>
      <c r="CF287" s="1066">
        <f>IFERROR(CF235/CF114,"n/a")</f>
        <v/>
      </c>
      <c r="CG287" s="1066">
        <f>CI287</f>
        <v/>
      </c>
      <c r="CH287" s="1066">
        <f>CG287</f>
        <v/>
      </c>
      <c r="CI287" s="1067" t="n"/>
      <c r="CJ287" s="1067" t="n"/>
      <c r="CK287" s="1067" t="n"/>
      <c r="CL287" s="1067" t="n"/>
      <c r="CM287" s="1067" t="n"/>
      <c r="CQ287" s="693" t="n"/>
    </row>
    <row r="288" ht="16.5" customHeight="1">
      <c r="B288" t="inlineStr">
        <is>
          <t xml:space="preserve">  Other assets (non-current) % rev</t>
        </is>
      </c>
      <c r="G288" s="1065">
        <f>IFERROR(G236/G114,"n/a")</f>
        <v/>
      </c>
      <c r="L288" s="1065">
        <f>IFERROR(L236/L114,"n/a")</f>
        <v/>
      </c>
      <c r="Q288" s="1065">
        <f>IFERROR(Q236/Q114,"n/a")</f>
        <v/>
      </c>
      <c r="V288" s="1065">
        <f>IFERROR(V236/V114,"n/a")</f>
        <v/>
      </c>
      <c r="AA288" s="1065">
        <f>IFERROR(AA236/AA114,"n/a")</f>
        <v/>
      </c>
      <c r="AF288" s="1065">
        <f>IFERROR(AF236/AF114,"n/a")</f>
        <v/>
      </c>
      <c r="AK288" s="1065">
        <f>IFERROR(AK236/AK114,"n/a")</f>
        <v/>
      </c>
      <c r="AP288" s="1065">
        <f>IFERROR(AP236/AP114,"n/a")</f>
        <v/>
      </c>
      <c r="AU288" s="1065">
        <f>IFERROR(AU236/AU114,"n/a")</f>
        <v/>
      </c>
      <c r="AZ288" s="1065">
        <f>IFERROR(AZ236/AZ114,"n/a")</f>
        <v/>
      </c>
      <c r="BE288" s="1065">
        <f>IFERROR(BE236/BE114,"n/a")</f>
        <v/>
      </c>
      <c r="BJ288" s="1065">
        <f>IFERROR(BJ236/BJ114,"n/a")</f>
        <v/>
      </c>
      <c r="BO288" s="1065">
        <f>IFERROR(BO236/BO114,"n/a")</f>
        <v/>
      </c>
      <c r="BT288" s="1065">
        <f>IFERROR(BT236/BT114,"n/a")</f>
        <v/>
      </c>
      <c r="BY288" s="1065">
        <f>IFERROR(BY236/BY114,"n/a")</f>
        <v/>
      </c>
      <c r="CD288" s="1065">
        <f>IFERROR(CD236/CD114,"n/a")</f>
        <v/>
      </c>
      <c r="CE288" s="1066">
        <f>IFERROR(CE236/CE114,"n/a")</f>
        <v/>
      </c>
      <c r="CF288" s="1066">
        <f>IFERROR(CF236/CF114,"n/a")</f>
        <v/>
      </c>
      <c r="CG288" s="1066">
        <f>CI288</f>
        <v/>
      </c>
      <c r="CH288" s="1066">
        <f>CG288</f>
        <v/>
      </c>
      <c r="CI288" s="1067" t="n"/>
      <c r="CJ288" s="1067" t="n"/>
      <c r="CK288" s="1067" t="n"/>
      <c r="CL288" s="1067" t="n"/>
      <c r="CM288" s="1067" t="n"/>
      <c r="CQ288" s="693" t="n"/>
    </row>
    <row r="289" ht="16.5" customHeight="1">
      <c r="B289" t="inlineStr">
        <is>
          <t xml:space="preserve">  Retirement obligations % rev</t>
        </is>
      </c>
      <c r="G289" s="1065">
        <f>IFERROR(G250/G114,"n/a")</f>
        <v/>
      </c>
      <c r="L289" s="1065">
        <f>IFERROR(L250/L114,"n/a")</f>
        <v/>
      </c>
      <c r="Q289" s="1065">
        <f>IFERROR(Q250/Q114,"n/a")</f>
        <v/>
      </c>
      <c r="V289" s="1065">
        <f>IFERROR(V250/V114,"n/a")</f>
        <v/>
      </c>
      <c r="AA289" s="1065">
        <f>IFERROR(AA250/AA114,"n/a")</f>
        <v/>
      </c>
      <c r="AF289" s="1065">
        <f>IFERROR(AF250/AF114,"n/a")</f>
        <v/>
      </c>
      <c r="AK289" s="1065">
        <f>IFERROR(AK250/AK114,"n/a")</f>
        <v/>
      </c>
      <c r="AP289" s="1065">
        <f>IFERROR(AP250/AP114,"n/a")</f>
        <v/>
      </c>
      <c r="AU289" s="1065">
        <f>IFERROR(AU250/AU114,"n/a")</f>
        <v/>
      </c>
      <c r="AZ289" s="1065">
        <f>IFERROR(AZ250/AZ114,"n/a")</f>
        <v/>
      </c>
      <c r="BE289" s="1065">
        <f>IFERROR(BE250/BE114,"n/a")</f>
        <v/>
      </c>
      <c r="BJ289" s="1065">
        <f>IFERROR(BJ250/BJ114,"n/a")</f>
        <v/>
      </c>
      <c r="BO289" s="1065">
        <f>IFERROR(BO250/BO114,"n/a")</f>
        <v/>
      </c>
      <c r="BT289" s="1065">
        <f>IFERROR(BT250/BT114,"n/a")</f>
        <v/>
      </c>
      <c r="BY289" s="1065">
        <f>IFERROR(BY250/BY114,"n/a")</f>
        <v/>
      </c>
      <c r="CD289" s="1065">
        <f>IFERROR(CD250/CD114,"n/a")</f>
        <v/>
      </c>
      <c r="CE289" s="1066">
        <f>IFERROR(CE250/CE114,"n/a")</f>
        <v/>
      </c>
      <c r="CF289" s="1066">
        <f>IFERROR(CF250/CF114,"n/a")</f>
        <v/>
      </c>
      <c r="CG289" s="1066">
        <f>CI289</f>
        <v/>
      </c>
      <c r="CH289" s="1066">
        <f>CG289</f>
        <v/>
      </c>
      <c r="CI289" s="1067" t="n"/>
      <c r="CJ289" s="1067" t="n"/>
      <c r="CK289" s="1067" t="n"/>
      <c r="CL289" s="1067" t="n"/>
      <c r="CM289" s="1067" t="n"/>
      <c r="CQ289" s="693" t="n"/>
    </row>
    <row r="290" ht="16.5" customHeight="1">
      <c r="B290" t="inlineStr">
        <is>
          <t xml:space="preserve">  Deferred income taxes (LT liab) % rev</t>
        </is>
      </c>
      <c r="G290" s="1065">
        <f>IFERROR(G251/G114,"n/a")</f>
        <v/>
      </c>
      <c r="L290" s="1065">
        <f>IFERROR(L251/L114,"n/a")</f>
        <v/>
      </c>
      <c r="Q290" s="1065">
        <f>IFERROR(Q251/Q114,"n/a")</f>
        <v/>
      </c>
      <c r="V290" s="1065">
        <f>IFERROR(V251/V114,"n/a")</f>
        <v/>
      </c>
      <c r="AA290" s="1065">
        <f>IFERROR(AA251/AA114,"n/a")</f>
        <v/>
      </c>
      <c r="AF290" s="1065">
        <f>IFERROR(AF251/AF114,"n/a")</f>
        <v/>
      </c>
      <c r="AK290" s="1065">
        <f>IFERROR(AK251/AK114,"n/a")</f>
        <v/>
      </c>
      <c r="AP290" s="1065">
        <f>IFERROR(AP251/AP114,"n/a")</f>
        <v/>
      </c>
      <c r="AU290" s="1065">
        <f>IFERROR(AU251/AU114,"n/a")</f>
        <v/>
      </c>
      <c r="AZ290" s="1065">
        <f>IFERROR(AZ251/AZ114,"n/a")</f>
        <v/>
      </c>
      <c r="BE290" s="1065">
        <f>IFERROR(BE251/BE114,"n/a")</f>
        <v/>
      </c>
      <c r="BJ290" s="1065">
        <f>IFERROR(BJ251/BJ114,"n/a")</f>
        <v/>
      </c>
      <c r="BO290" s="1065">
        <f>IFERROR(BO251/BO114,"n/a")</f>
        <v/>
      </c>
      <c r="BT290" s="1065">
        <f>IFERROR(BT251/BT114,"n/a")</f>
        <v/>
      </c>
      <c r="BY290" s="1065">
        <f>IFERROR(BY251/BY114,"n/a")</f>
        <v/>
      </c>
      <c r="CD290" s="1065">
        <f>IFERROR(CD251/CD114,"n/a")</f>
        <v/>
      </c>
      <c r="CE290" s="1066">
        <f>IFERROR(CE251/CE114,"n/a")</f>
        <v/>
      </c>
      <c r="CF290" s="1066">
        <f>IFERROR(CF251/CF114,"n/a")</f>
        <v/>
      </c>
      <c r="CG290" s="1066">
        <f>CI290</f>
        <v/>
      </c>
      <c r="CH290" s="1066">
        <f>CG290</f>
        <v/>
      </c>
      <c r="CI290" s="1067" t="n"/>
      <c r="CJ290" s="1067" t="n"/>
      <c r="CK290" s="1067" t="n"/>
      <c r="CL290" s="1067" t="n"/>
      <c r="CM290" s="1067" t="n"/>
      <c r="CQ290" s="693" t="n"/>
    </row>
    <row r="291" ht="16.5" customHeight="1">
      <c r="B291" t="inlineStr">
        <is>
          <t xml:space="preserve">  Other long-term liabilities % rev</t>
        </is>
      </c>
      <c r="G291" s="1065">
        <f>IFERROR(G252/G114,"n/a")</f>
        <v/>
      </c>
      <c r="L291" s="1065">
        <f>IFERROR(L252/L114,"n/a")</f>
        <v/>
      </c>
      <c r="Q291" s="1065">
        <f>IFERROR(Q252/Q114,"n/a")</f>
        <v/>
      </c>
      <c r="V291" s="1065">
        <f>IFERROR(V252/V114,"n/a")</f>
        <v/>
      </c>
      <c r="AA291" s="1065">
        <f>IFERROR(AA252/AA114,"n/a")</f>
        <v/>
      </c>
      <c r="AF291" s="1065">
        <f>IFERROR(AF252/AF114,"n/a")</f>
        <v/>
      </c>
      <c r="AK291" s="1065">
        <f>IFERROR(AK252/AK114,"n/a")</f>
        <v/>
      </c>
      <c r="AP291" s="1065">
        <f>IFERROR(AP252/AP114,"n/a")</f>
        <v/>
      </c>
      <c r="AU291" s="1065">
        <f>IFERROR(AU252/AU114,"n/a")</f>
        <v/>
      </c>
      <c r="AZ291" s="1065">
        <f>IFERROR(AZ252/AZ114,"n/a")</f>
        <v/>
      </c>
      <c r="BE291" s="1065">
        <f>IFERROR(BE252/BE114,"n/a")</f>
        <v/>
      </c>
      <c r="BJ291" s="1065">
        <f>IFERROR(BJ252/BJ114,"n/a")</f>
        <v/>
      </c>
      <c r="BO291" s="1065">
        <f>IFERROR(BO252/BO114,"n/a")</f>
        <v/>
      </c>
      <c r="BT291" s="1065">
        <f>IFERROR(BT252/BT114,"n/a")</f>
        <v/>
      </c>
      <c r="BY291" s="1065">
        <f>IFERROR(BY252/BY114,"n/a")</f>
        <v/>
      </c>
      <c r="CD291" s="1065">
        <f>IFERROR(CD252/CD114,"n/a")</f>
        <v/>
      </c>
      <c r="CE291" s="1066">
        <f>IFERROR(CE252/CE114,"n/a")</f>
        <v/>
      </c>
      <c r="CF291" s="1066">
        <f>IFERROR(CF252/CF114,"n/a")</f>
        <v/>
      </c>
      <c r="CG291" s="1066">
        <f>CI291</f>
        <v/>
      </c>
      <c r="CH291" s="1066">
        <f>CG291</f>
        <v/>
      </c>
      <c r="CI291" s="1067" t="n"/>
      <c r="CJ291" s="1067" t="n"/>
      <c r="CK291" s="1067" t="n"/>
      <c r="CL291" s="1067" t="n"/>
      <c r="CM291" s="1067" t="n"/>
      <c r="CQ291" s="693" t="n"/>
    </row>
    <row r="292" ht="16.5" customHeight="1">
      <c r="G292" s="862" t="n"/>
      <c r="L292" s="862" t="n"/>
      <c r="Q292" s="862" t="n"/>
      <c r="V292" s="862" t="n"/>
      <c r="AA292" s="862" t="n"/>
      <c r="AF292" s="862" t="n"/>
      <c r="AK292" s="862" t="n"/>
      <c r="AP292" s="862" t="n"/>
      <c r="AU292" s="862" t="n"/>
      <c r="AZ292" s="862" t="n"/>
      <c r="BE292" s="862" t="n"/>
      <c r="BJ292" s="862" t="n"/>
      <c r="BO292" s="862" t="n"/>
      <c r="BT292" s="862" t="n"/>
      <c r="BY292" s="862" t="n"/>
      <c r="CD292" s="862" t="n"/>
      <c r="CI292" s="717" t="n"/>
      <c r="CJ292" s="717" t="n"/>
      <c r="CK292" s="717" t="n"/>
      <c r="CL292" s="717" t="n"/>
      <c r="CM292" s="717" t="n"/>
      <c r="CQ292" s="693" t="n"/>
    </row>
    <row r="293" ht="16.5" customHeight="1">
      <c r="B293" s="149" t="inlineStr">
        <is>
          <t>Debt &amp; financing schedule (interest-bearing)</t>
        </is>
      </c>
      <c r="G293" s="867" t="n"/>
      <c r="H293" s="224" t="n"/>
      <c r="I293" s="224" t="n"/>
      <c r="J293" s="224" t="n"/>
      <c r="K293" s="224" t="n"/>
      <c r="L293" s="867" t="n"/>
      <c r="M293" s="224" t="n"/>
      <c r="N293" s="224" t="n"/>
      <c r="O293" s="224" t="n"/>
      <c r="P293" s="224" t="n"/>
      <c r="Q293" s="867" t="n"/>
      <c r="R293" s="224" t="n"/>
      <c r="S293" s="224" t="n"/>
      <c r="T293" s="224" t="n"/>
      <c r="U293" s="224" t="n"/>
      <c r="V293" s="867" t="n"/>
      <c r="W293" s="224" t="n"/>
      <c r="X293" s="224" t="n"/>
      <c r="Y293" s="224" t="n"/>
      <c r="Z293" s="224" t="n"/>
      <c r="AA293" s="867" t="n"/>
      <c r="AB293" s="224" t="n"/>
      <c r="AC293" s="224" t="n"/>
      <c r="AD293" s="224" t="n"/>
      <c r="AE293" s="224" t="n"/>
      <c r="AF293" s="867" t="n"/>
      <c r="AG293" s="224" t="n"/>
      <c r="AH293" s="224" t="n"/>
      <c r="AI293" s="224" t="n"/>
      <c r="AJ293" s="224" t="n"/>
      <c r="AK293" s="867" t="n"/>
      <c r="AL293" s="224" t="n"/>
      <c r="AM293" s="224" t="n"/>
      <c r="AN293" s="224" t="n"/>
      <c r="AO293" s="224" t="n"/>
      <c r="AP293" s="867" t="n"/>
      <c r="AQ293" s="224" t="n"/>
      <c r="AR293" s="224" t="n"/>
      <c r="AS293" s="224" t="n"/>
      <c r="AT293" s="224" t="n"/>
      <c r="AU293" s="867" t="n"/>
      <c r="AV293" s="224" t="n"/>
      <c r="AW293" s="224" t="n"/>
      <c r="AX293" s="224" t="n"/>
      <c r="AY293" s="224" t="n"/>
      <c r="AZ293" s="867" t="n"/>
      <c r="BA293" s="224" t="n"/>
      <c r="BB293" s="224" t="n"/>
      <c r="BC293" s="224" t="n"/>
      <c r="BD293" s="224" t="n"/>
      <c r="BE293" s="867" t="n"/>
      <c r="BF293" s="224" t="n"/>
      <c r="BG293" s="224" t="n"/>
      <c r="BH293" s="224" t="n"/>
      <c r="BI293" s="224" t="n"/>
      <c r="BJ293" s="867" t="n"/>
      <c r="BK293" s="224" t="n"/>
      <c r="BL293" s="224" t="n"/>
      <c r="BM293" s="224" t="n"/>
      <c r="BN293" s="224" t="n"/>
      <c r="BO293" s="867" t="n"/>
      <c r="BP293" s="224" t="n"/>
      <c r="BQ293" s="224" t="n"/>
      <c r="BR293" s="224" t="n"/>
      <c r="BS293" s="224" t="n"/>
      <c r="BT293" s="867" t="n"/>
      <c r="BU293" s="224" t="n"/>
      <c r="BV293" s="224" t="n"/>
      <c r="BW293" s="224" t="n"/>
      <c r="BX293" s="224" t="n"/>
      <c r="BY293" s="867" t="n"/>
      <c r="BZ293" s="224" t="n"/>
      <c r="CA293" s="224" t="n"/>
      <c r="CB293" s="224" t="n"/>
      <c r="CC293" s="224" t="n"/>
      <c r="CD293" s="867" t="n"/>
      <c r="CE293" s="224" t="n"/>
      <c r="CF293" s="224" t="n"/>
      <c r="CG293" s="224" t="n"/>
      <c r="CH293" s="224" t="n"/>
      <c r="CI293" s="224" t="n"/>
      <c r="CJ293" s="224" t="n"/>
      <c r="CK293" s="224" t="n"/>
      <c r="CL293" s="224" t="n"/>
      <c r="CM293" s="224" t="n"/>
      <c r="CN293" s="224" t="n"/>
      <c r="CO293" s="224" t="n"/>
      <c r="CP293" s="224" t="n"/>
      <c r="CQ293" s="693" t="n"/>
    </row>
    <row r="294" ht="16.5" customHeight="1">
      <c r="B294" t="inlineStr">
        <is>
          <t xml:space="preserve">  Long-term debt scheduled repayment ($M)</t>
        </is>
      </c>
      <c r="G294" s="896">
        <f>0</f>
        <v/>
      </c>
      <c r="L294" s="896">
        <f>G248-L248</f>
        <v/>
      </c>
      <c r="Q294" s="896">
        <f>L248-Q248</f>
        <v/>
      </c>
      <c r="V294" s="896">
        <f>Q248-V248</f>
        <v/>
      </c>
      <c r="AA294" s="896">
        <f>V248-AA248</f>
        <v/>
      </c>
      <c r="AF294" s="896">
        <f>AA248-AF248</f>
        <v/>
      </c>
      <c r="AK294" s="896">
        <f>AF248-AK248</f>
        <v/>
      </c>
      <c r="AP294" s="896">
        <f>AK248-AP248</f>
        <v/>
      </c>
      <c r="AU294" s="896">
        <f>AP248-AU248</f>
        <v/>
      </c>
      <c r="AZ294" s="896">
        <f>AU248-AZ248</f>
        <v/>
      </c>
      <c r="BE294" s="896">
        <f>0</f>
        <v/>
      </c>
      <c r="BJ294" s="896">
        <f>BE248-BJ248</f>
        <v/>
      </c>
      <c r="BO294" s="896">
        <f>BJ248-BO248</f>
        <v/>
      </c>
      <c r="BT294" s="896">
        <f>BO248-BT248</f>
        <v/>
      </c>
      <c r="BY294" s="896">
        <f>BT248-BY248</f>
        <v/>
      </c>
      <c r="CD294" s="896">
        <f>BY248-CD248</f>
        <v/>
      </c>
      <c r="CE294" s="6">
        <f>CD248-CE248</f>
        <v/>
      </c>
      <c r="CF294" s="6">
        <f>CE248-CF248</f>
        <v/>
      </c>
      <c r="CG294" s="2" t="n"/>
      <c r="CH294" s="2" t="n"/>
      <c r="CI294" s="796" t="n"/>
      <c r="CJ294" s="796" t="n"/>
      <c r="CK294" s="796" t="n"/>
      <c r="CL294" s="796" t="n"/>
      <c r="CM294" s="796" t="n"/>
      <c r="CQ294" s="693" t="n"/>
    </row>
    <row r="295" ht="16.5" customHeight="1">
      <c r="B295" t="inlineStr">
        <is>
          <t xml:space="preserve">  Long-term debt: Begin − Repayment = End</t>
        </is>
      </c>
      <c r="G295" s="896">
        <f>G248</f>
        <v/>
      </c>
      <c r="L295" s="896">
        <f>L248</f>
        <v/>
      </c>
      <c r="Q295" s="896">
        <f>Q248</f>
        <v/>
      </c>
      <c r="V295" s="896">
        <f>V248</f>
        <v/>
      </c>
      <c r="AA295" s="896">
        <f>AA248</f>
        <v/>
      </c>
      <c r="AF295" s="896">
        <f>AF248</f>
        <v/>
      </c>
      <c r="AK295" s="896">
        <f>AK248</f>
        <v/>
      </c>
      <c r="AP295" s="896">
        <f>AP248</f>
        <v/>
      </c>
      <c r="AU295" s="896">
        <f>AU248</f>
        <v/>
      </c>
      <c r="AZ295" s="896">
        <f>AZ248</f>
        <v/>
      </c>
      <c r="BE295" s="896">
        <f>BE248</f>
        <v/>
      </c>
      <c r="BJ295" s="896">
        <f>BJ248</f>
        <v/>
      </c>
      <c r="BO295" s="896">
        <f>BO248</f>
        <v/>
      </c>
      <c r="BT295" s="896">
        <f>BT248</f>
        <v/>
      </c>
      <c r="BY295" s="896">
        <f>BY248</f>
        <v/>
      </c>
      <c r="CD295" s="896">
        <f>CD248</f>
        <v/>
      </c>
      <c r="CE295" s="6">
        <f>CE248</f>
        <v/>
      </c>
      <c r="CF295" s="6">
        <f>CF248</f>
        <v/>
      </c>
      <c r="CG295" s="6">
        <f>CG248</f>
        <v/>
      </c>
      <c r="CH295" s="6">
        <f>CH248</f>
        <v/>
      </c>
      <c r="CI295" s="797">
        <f>CI248</f>
        <v/>
      </c>
      <c r="CJ295" s="797">
        <f>CJ248</f>
        <v/>
      </c>
      <c r="CK295" s="797">
        <f>CK248</f>
        <v/>
      </c>
      <c r="CL295" s="797">
        <f>CL248</f>
        <v/>
      </c>
      <c r="CM295" s="797">
        <f>CM248</f>
        <v/>
      </c>
      <c r="CQ295" s="693" t="n"/>
    </row>
    <row r="296" ht="16.5" customHeight="1">
      <c r="B296" t="inlineStr">
        <is>
          <t xml:space="preserve">  Current portion of LT debt (held flat)</t>
        </is>
      </c>
      <c r="G296" s="896">
        <f>G241</f>
        <v/>
      </c>
      <c r="L296" s="896">
        <f>L241</f>
        <v/>
      </c>
      <c r="Q296" s="896">
        <f>Q241</f>
        <v/>
      </c>
      <c r="V296" s="896">
        <f>V241</f>
        <v/>
      </c>
      <c r="AA296" s="896">
        <f>AA241</f>
        <v/>
      </c>
      <c r="AF296" s="896">
        <f>AF241</f>
        <v/>
      </c>
      <c r="AK296" s="896">
        <f>AK241</f>
        <v/>
      </c>
      <c r="AP296" s="896">
        <f>AP241</f>
        <v/>
      </c>
      <c r="AU296" s="896">
        <f>AU241</f>
        <v/>
      </c>
      <c r="AZ296" s="896">
        <f>AZ241</f>
        <v/>
      </c>
      <c r="BE296" s="896">
        <f>BE241</f>
        <v/>
      </c>
      <c r="BJ296" s="896">
        <f>BJ241</f>
        <v/>
      </c>
      <c r="BO296" s="896">
        <f>BO241</f>
        <v/>
      </c>
      <c r="BT296" s="896">
        <f>BT241</f>
        <v/>
      </c>
      <c r="BY296" s="896">
        <f>BY241</f>
        <v/>
      </c>
      <c r="CD296" s="896">
        <f>CD241</f>
        <v/>
      </c>
      <c r="CE296" s="6">
        <f>CE241</f>
        <v/>
      </c>
      <c r="CF296" s="6">
        <f>CF241</f>
        <v/>
      </c>
      <c r="CG296" s="6">
        <f>CG241</f>
        <v/>
      </c>
      <c r="CH296" s="6">
        <f>CH241</f>
        <v/>
      </c>
      <c r="CI296" s="797">
        <f>CI241</f>
        <v/>
      </c>
      <c r="CJ296" s="797">
        <f>CJ241</f>
        <v/>
      </c>
      <c r="CK296" s="797">
        <f>CK241</f>
        <v/>
      </c>
      <c r="CL296" s="797">
        <f>CL241</f>
        <v/>
      </c>
      <c r="CM296" s="797">
        <f>CM241</f>
        <v/>
      </c>
      <c r="CQ296" s="693" t="n"/>
    </row>
    <row r="297" ht="16.5" customHeight="1">
      <c r="B297" t="inlineStr">
        <is>
          <t xml:space="preserve">  Short-term borrowings (held flat)</t>
        </is>
      </c>
      <c r="G297" s="896">
        <f>G242</f>
        <v/>
      </c>
      <c r="L297" s="896">
        <f>L242</f>
        <v/>
      </c>
      <c r="Q297" s="896">
        <f>Q242</f>
        <v/>
      </c>
      <c r="V297" s="896">
        <f>V242</f>
        <v/>
      </c>
      <c r="AA297" s="896">
        <f>AA242</f>
        <v/>
      </c>
      <c r="AF297" s="896">
        <f>AF242</f>
        <v/>
      </c>
      <c r="AK297" s="896">
        <f>AK242</f>
        <v/>
      </c>
      <c r="AP297" s="896">
        <f>AP242</f>
        <v/>
      </c>
      <c r="AU297" s="896">
        <f>AU242</f>
        <v/>
      </c>
      <c r="AZ297" s="896">
        <f>AZ242</f>
        <v/>
      </c>
      <c r="BE297" s="896">
        <f>BE242</f>
        <v/>
      </c>
      <c r="BJ297" s="896">
        <f>BJ242</f>
        <v/>
      </c>
      <c r="BO297" s="896">
        <f>BO242</f>
        <v/>
      </c>
      <c r="BT297" s="896">
        <f>BT242</f>
        <v/>
      </c>
      <c r="BY297" s="896">
        <f>BY242</f>
        <v/>
      </c>
      <c r="CD297" s="896">
        <f>CD242</f>
        <v/>
      </c>
      <c r="CE297" s="6">
        <f>CE242</f>
        <v/>
      </c>
      <c r="CF297" s="6">
        <f>CF242</f>
        <v/>
      </c>
      <c r="CG297" s="6">
        <f>CG242</f>
        <v/>
      </c>
      <c r="CH297" s="6">
        <f>CH242</f>
        <v/>
      </c>
      <c r="CI297" s="797">
        <f>CI242</f>
        <v/>
      </c>
      <c r="CJ297" s="797">
        <f>CJ242</f>
        <v/>
      </c>
      <c r="CK297" s="797">
        <f>CK242</f>
        <v/>
      </c>
      <c r="CL297" s="797">
        <f>CL242</f>
        <v/>
      </c>
      <c r="CM297" s="797">
        <f>CM242</f>
        <v/>
      </c>
      <c r="CQ297" s="693" t="n"/>
    </row>
    <row r="298" ht="16.5" customHeight="1">
      <c r="B298" t="inlineStr">
        <is>
          <t>Interest expense build</t>
        </is>
      </c>
      <c r="G298" s="862" t="n"/>
      <c r="L298" s="862" t="n"/>
      <c r="Q298" s="862" t="n"/>
      <c r="V298" s="862" t="n"/>
      <c r="AA298" s="862" t="n"/>
      <c r="AF298" s="862" t="n"/>
      <c r="AK298" s="862" t="n"/>
      <c r="AP298" s="862" t="n"/>
      <c r="AU298" s="862" t="n"/>
      <c r="AZ298" s="862" t="n"/>
      <c r="BE298" s="862" t="n"/>
      <c r="BJ298" s="862" t="n"/>
      <c r="BO298" s="862" t="n"/>
      <c r="BT298" s="862" t="n"/>
      <c r="BY298" s="862" t="n"/>
      <c r="CD298" s="862" t="n"/>
      <c r="CI298" s="717" t="n"/>
      <c r="CJ298" s="717" t="n"/>
      <c r="CK298" s="717" t="n"/>
      <c r="CL298" s="717" t="n"/>
      <c r="CM298" s="717" t="n"/>
      <c r="CQ298" s="693" t="n"/>
    </row>
    <row r="299" ht="16.5" customHeight="1">
      <c r="B299" t="inlineStr">
        <is>
          <t xml:space="preserve">  Avg cost of debt (% on average balance)</t>
        </is>
      </c>
      <c r="G299" s="862" t="n"/>
      <c r="L299" s="862" t="n"/>
      <c r="Q299" s="862" t="n"/>
      <c r="V299" s="862" t="n"/>
      <c r="AA299" s="862" t="n"/>
      <c r="AF299" s="862" t="n"/>
      <c r="AK299" s="862" t="n"/>
      <c r="AP299" s="862" t="n"/>
      <c r="AU299" s="862" t="n"/>
      <c r="AZ299" s="862" t="n"/>
      <c r="BE299" s="862" t="n"/>
      <c r="BJ299" s="862" t="n"/>
      <c r="BO299" s="862" t="n"/>
      <c r="BT299" s="862" t="n"/>
      <c r="BY299" s="862" t="n"/>
      <c r="CD299" s="962">
        <f>IFERROR(CD127/((BY248+BY241+BY242+CD248+CD241+CD242)/2),0)</f>
        <v/>
      </c>
      <c r="CI299" s="959" t="n"/>
      <c r="CJ299" s="959" t="n"/>
      <c r="CK299" s="959" t="n"/>
      <c r="CL299" s="959" t="n"/>
      <c r="CM299" s="959" t="n"/>
      <c r="CQ299" s="693" t="n"/>
    </row>
    <row r="300" ht="16.5" customHeight="1">
      <c r="B300" t="inlineStr">
        <is>
          <t xml:space="preserve">  Beginning total interest-bearing debt ($M)</t>
        </is>
      </c>
      <c r="G300" s="862" t="n"/>
      <c r="L300" s="862" t="n"/>
      <c r="Q300" s="862" t="n"/>
      <c r="V300" s="862" t="n"/>
      <c r="AA300" s="862" t="n"/>
      <c r="AF300" s="862" t="n"/>
      <c r="AK300" s="862" t="n"/>
      <c r="AP300" s="862" t="n"/>
      <c r="AU300" s="862" t="n"/>
      <c r="AZ300" s="862" t="n"/>
      <c r="BE300" s="862" t="n"/>
      <c r="BJ300" s="862" t="n"/>
      <c r="BO300" s="862" t="n"/>
      <c r="BT300" s="862" t="n"/>
      <c r="BY300" s="862" t="n"/>
      <c r="CD300" s="896">
        <f>BY248+BY241+BY242</f>
        <v/>
      </c>
      <c r="CI300" s="960">
        <f>CD303</f>
        <v/>
      </c>
      <c r="CJ300" s="960">
        <f>CI303</f>
        <v/>
      </c>
      <c r="CK300" s="960">
        <f>CJ303</f>
        <v/>
      </c>
      <c r="CL300" s="960">
        <f>CK303</f>
        <v/>
      </c>
      <c r="CM300" s="960">
        <f>CL303</f>
        <v/>
      </c>
      <c r="CQ300" s="693" t="n"/>
    </row>
    <row r="301" ht="16.5" customHeight="1">
      <c r="B301" t="inlineStr">
        <is>
          <t xml:space="preserve">  + Net new borrowings / (repayments) from CF (revolver + LT)</t>
        </is>
      </c>
      <c r="G301" s="862" t="n"/>
      <c r="L301" s="862" t="n"/>
      <c r="Q301" s="862" t="n"/>
      <c r="V301" s="862" t="n"/>
      <c r="AA301" s="862" t="n"/>
      <c r="AF301" s="862" t="n"/>
      <c r="AK301" s="862" t="n"/>
      <c r="AP301" s="862" t="n"/>
      <c r="AU301" s="862" t="n"/>
      <c r="AZ301" s="862" t="n"/>
      <c r="BE301" s="862" t="n"/>
      <c r="BJ301" s="862" t="n"/>
      <c r="BO301" s="862" t="n"/>
      <c r="BT301" s="862" t="n"/>
      <c r="BY301" s="862" t="n"/>
      <c r="CD301" s="896">
        <f>CD196+CD197</f>
        <v/>
      </c>
      <c r="CI301" s="960">
        <f>CI196+CI197</f>
        <v/>
      </c>
      <c r="CJ301" s="960">
        <f>CJ196+CJ197</f>
        <v/>
      </c>
      <c r="CK301" s="960">
        <f>CK196+CK197</f>
        <v/>
      </c>
      <c r="CL301" s="960">
        <f>CL196+CL197</f>
        <v/>
      </c>
      <c r="CM301" s="960">
        <f>CM196+CM197</f>
        <v/>
      </c>
      <c r="CQ301" s="693" t="n"/>
    </row>
    <row r="302" ht="16.5" customHeight="1">
      <c r="B302" t="inlineStr">
        <is>
          <t xml:space="preserve">  + Scheduled LT debt repayment (from row 294)</t>
        </is>
      </c>
      <c r="G302" s="862" t="n"/>
      <c r="L302" s="862" t="n"/>
      <c r="Q302" s="862" t="n"/>
      <c r="V302" s="862" t="n"/>
      <c r="AA302" s="862" t="n"/>
      <c r="AF302" s="862" t="n"/>
      <c r="AK302" s="862" t="n"/>
      <c r="AP302" s="862" t="n"/>
      <c r="AU302" s="862" t="n"/>
      <c r="AZ302" s="862" t="n"/>
      <c r="BE302" s="862" t="n"/>
      <c r="BJ302" s="862" t="n"/>
      <c r="BO302" s="862" t="n"/>
      <c r="BT302" s="862" t="n"/>
      <c r="BY302" s="862" t="n"/>
      <c r="CD302" s="896" t="n"/>
      <c r="CI302" s="960" t="n"/>
      <c r="CJ302" s="960" t="n"/>
      <c r="CK302" s="960" t="n"/>
      <c r="CL302" s="960" t="n"/>
      <c r="CM302" s="960" t="n"/>
      <c r="CQ302" s="693" t="n"/>
    </row>
    <row r="303" ht="16.5" customHeight="1">
      <c r="B303" t="inlineStr">
        <is>
          <t xml:space="preserve">  = Ending total interest-bearing debt ($M)</t>
        </is>
      </c>
      <c r="G303" s="862" t="n"/>
      <c r="L303" s="862" t="n"/>
      <c r="Q303" s="862" t="n"/>
      <c r="V303" s="862" t="n"/>
      <c r="AA303" s="862" t="n"/>
      <c r="AF303" s="862" t="n"/>
      <c r="AK303" s="862" t="n"/>
      <c r="AP303" s="862" t="n"/>
      <c r="AU303" s="862" t="n"/>
      <c r="AZ303" s="862" t="n"/>
      <c r="BE303" s="862" t="n"/>
      <c r="BJ303" s="862" t="n"/>
      <c r="BO303" s="862" t="n"/>
      <c r="BT303" s="862" t="n"/>
      <c r="BY303" s="862" t="n"/>
      <c r="CD303" s="896">
        <f>CD248+CD241+CD242</f>
        <v/>
      </c>
      <c r="CI303" s="960">
        <f>CI300+CI301+CI302</f>
        <v/>
      </c>
      <c r="CJ303" s="960">
        <f>CJ300+CJ301+CJ302</f>
        <v/>
      </c>
      <c r="CK303" s="960">
        <f>CK300+CK301+CK302</f>
        <v/>
      </c>
      <c r="CL303" s="960">
        <f>CL300+CL301+CL302</f>
        <v/>
      </c>
      <c r="CM303" s="960">
        <f>CM300+CM301+CM302</f>
        <v/>
      </c>
      <c r="CQ303" s="693" t="n"/>
    </row>
    <row r="304" ht="16.5" customHeight="1">
      <c r="B304" t="inlineStr">
        <is>
          <t xml:space="preserve">  Average debt balance ($M)</t>
        </is>
      </c>
      <c r="G304" s="862" t="n"/>
      <c r="L304" s="862" t="n"/>
      <c r="Q304" s="862" t="n"/>
      <c r="V304" s="862" t="n"/>
      <c r="AA304" s="862" t="n"/>
      <c r="AF304" s="862" t="n"/>
      <c r="AK304" s="862" t="n"/>
      <c r="AP304" s="862" t="n"/>
      <c r="AU304" s="862" t="n"/>
      <c r="AZ304" s="862" t="n"/>
      <c r="BE304" s="862" t="n"/>
      <c r="BJ304" s="862" t="n"/>
      <c r="BO304" s="862" t="n"/>
      <c r="BT304" s="862" t="n"/>
      <c r="BY304" s="862" t="n"/>
      <c r="CD304" s="896">
        <f>(CD300+CD303)/2</f>
        <v/>
      </c>
      <c r="CI304" s="960">
        <f>(CI300+CI303)/2</f>
        <v/>
      </c>
      <c r="CJ304" s="960">
        <f>(CJ300+CJ303)/2</f>
        <v/>
      </c>
      <c r="CK304" s="960">
        <f>(CK300+CK303)/2</f>
        <v/>
      </c>
      <c r="CL304" s="960">
        <f>(CL300+CL303)/2</f>
        <v/>
      </c>
      <c r="CM304" s="960">
        <f>(CM300+CM303)/2</f>
        <v/>
      </c>
      <c r="CQ304" s="693" t="n"/>
    </row>
    <row r="305" ht="16.5" customHeight="1">
      <c r="B305" t="inlineStr">
        <is>
          <t xml:space="preserve">  Interest expense ($M) = Avg balance × cost of debt</t>
        </is>
      </c>
      <c r="G305" s="862" t="n"/>
      <c r="L305" s="862" t="n"/>
      <c r="Q305" s="862" t="n"/>
      <c r="V305" s="862" t="n"/>
      <c r="AA305" s="862" t="n"/>
      <c r="AF305" s="862" t="n"/>
      <c r="AK305" s="862" t="n"/>
      <c r="AP305" s="862" t="n"/>
      <c r="AU305" s="862" t="n"/>
      <c r="AZ305" s="862" t="n"/>
      <c r="BE305" s="862" t="n"/>
      <c r="BJ305" s="862" t="n"/>
      <c r="BO305" s="862" t="n"/>
      <c r="BT305" s="862" t="n"/>
      <c r="BY305" s="862" t="n"/>
      <c r="CD305" s="965">
        <f>CD304*CD299</f>
        <v/>
      </c>
      <c r="CI305" s="964">
        <f>CI304*CI299</f>
        <v/>
      </c>
      <c r="CJ305" s="964">
        <f>CJ304*CJ299</f>
        <v/>
      </c>
      <c r="CK305" s="964">
        <f>CK304*CK299</f>
        <v/>
      </c>
      <c r="CL305" s="964">
        <f>CL304*CL299</f>
        <v/>
      </c>
      <c r="CM305" s="964">
        <f>CM304*CM299</f>
        <v/>
      </c>
      <c r="CQ305" s="693" t="n"/>
    </row>
    <row r="306" ht="16.5" customHeight="1">
      <c r="B306" t="inlineStr">
        <is>
          <t xml:space="preserve">  Memo: → links to P&amp;L Interest expense (row 127)</t>
        </is>
      </c>
      <c r="G306" s="862" t="n"/>
      <c r="L306" s="862" t="n"/>
      <c r="Q306" s="862" t="n"/>
      <c r="V306" s="862" t="n"/>
      <c r="AA306" s="862" t="n"/>
      <c r="AF306" s="862" t="n"/>
      <c r="AK306" s="862" t="n"/>
      <c r="AP306" s="862" t="n"/>
      <c r="AU306" s="862" t="n"/>
      <c r="AZ306" s="862" t="n"/>
      <c r="BE306" s="862" t="n"/>
      <c r="BJ306" s="862" t="n"/>
      <c r="BO306" s="862" t="n"/>
      <c r="BT306" s="862" t="n"/>
      <c r="BY306" s="862" t="n"/>
      <c r="CD306" s="896">
        <f>CD127</f>
        <v/>
      </c>
      <c r="CI306" s="960">
        <f>CI127</f>
        <v/>
      </c>
      <c r="CJ306" s="960">
        <f>CJ127</f>
        <v/>
      </c>
      <c r="CK306" s="960">
        <f>CK127</f>
        <v/>
      </c>
      <c r="CL306" s="960">
        <f>CL127</f>
        <v/>
      </c>
      <c r="CM306" s="960">
        <f>CM127</f>
        <v/>
      </c>
      <c r="CQ306" s="693" t="n"/>
    </row>
    <row r="307" ht="16.5" customHeight="1">
      <c r="B307" s="3" t="n"/>
      <c r="G307" s="862" t="n"/>
      <c r="L307" s="862" t="n"/>
      <c r="Q307" s="862" t="n"/>
      <c r="V307" s="862" t="n"/>
      <c r="AA307" s="862" t="n"/>
      <c r="AF307" s="862" t="n"/>
      <c r="AK307" s="862" t="n"/>
      <c r="AP307" s="862" t="n"/>
      <c r="AU307" s="862" t="n"/>
      <c r="AZ307" s="862" t="n"/>
      <c r="BE307" s="862" t="n"/>
      <c r="BJ307" s="862" t="n"/>
      <c r="BO307" s="862" t="n"/>
      <c r="BT307" s="862" t="n"/>
      <c r="BY307" s="862" t="n"/>
      <c r="CD307" s="896" t="n"/>
      <c r="CI307" s="717" t="n"/>
      <c r="CJ307" s="717" t="n"/>
      <c r="CK307" s="717" t="n"/>
      <c r="CL307" s="717" t="n"/>
      <c r="CM307" s="717" t="n"/>
      <c r="CQ307" s="693" t="n"/>
    </row>
    <row r="308" ht="16.5" customHeight="1">
      <c r="B308" s="3" t="inlineStr">
        <is>
          <t xml:space="preserve">  Net debt ($M) = Total debt − Cash</t>
        </is>
      </c>
      <c r="G308" s="862" t="n"/>
      <c r="L308" s="862" t="n"/>
      <c r="Q308" s="862" t="n"/>
      <c r="V308" s="862" t="n"/>
      <c r="AA308" s="862" t="n"/>
      <c r="AF308" s="862" t="n"/>
      <c r="AK308" s="862" t="n"/>
      <c r="AP308" s="862" t="n"/>
      <c r="AU308" s="862" t="n"/>
      <c r="AZ308" s="862" t="n"/>
      <c r="BE308" s="862" t="n"/>
      <c r="BJ308" s="862" t="n"/>
      <c r="BO308" s="862" t="n"/>
      <c r="BT308" s="862" t="n"/>
      <c r="BY308" s="862" t="n"/>
      <c r="CD308" s="896">
        <f>CD303-CD226</f>
        <v/>
      </c>
      <c r="CI308" s="960">
        <f>CI303-CI226</f>
        <v/>
      </c>
      <c r="CJ308" s="960">
        <f>CJ303-CJ226</f>
        <v/>
      </c>
      <c r="CK308" s="960">
        <f>CK303-CK226</f>
        <v/>
      </c>
      <c r="CL308" s="960">
        <f>CL303-CL226</f>
        <v/>
      </c>
      <c r="CM308" s="960">
        <f>CM303-CM226</f>
        <v/>
      </c>
      <c r="CQ308" s="693" t="n"/>
    </row>
    <row r="309" ht="16.5" customHeight="1">
      <c r="B309" s="3" t="inlineStr">
        <is>
          <t xml:space="preserve">  Total debt / EBITDA (×)</t>
        </is>
      </c>
      <c r="G309" s="862" t="n"/>
      <c r="L309" s="862" t="n"/>
      <c r="Q309" s="862" t="n"/>
      <c r="V309" s="862" t="n"/>
      <c r="AA309" s="862" t="n"/>
      <c r="AF309" s="862" t="n"/>
      <c r="AK309" s="862" t="n"/>
      <c r="AP309" s="862" t="n"/>
      <c r="AU309" s="862" t="n"/>
      <c r="AZ309" s="862" t="n"/>
      <c r="BE309" s="862" t="n"/>
      <c r="BJ309" s="862" t="n"/>
      <c r="BO309" s="862" t="n"/>
      <c r="BT309" s="862" t="n"/>
      <c r="BY309" s="862" t="n"/>
      <c r="CD309" s="963">
        <f>IFERROR(CD303/(CD126+CD176+CD177),0)</f>
        <v/>
      </c>
      <c r="CI309" s="961">
        <f>IFERROR(CI303/(CI126+CI176+CI177),0)</f>
        <v/>
      </c>
      <c r="CJ309" s="961">
        <f>IFERROR(CJ303/(CJ126+CJ176+CJ177),0)</f>
        <v/>
      </c>
      <c r="CK309" s="961">
        <f>IFERROR(CK303/(CK126+CK176+CK177),0)</f>
        <v/>
      </c>
      <c r="CL309" s="961">
        <f>IFERROR(CL303/(CL126+CL176+CL177),0)</f>
        <v/>
      </c>
      <c r="CM309" s="961">
        <f>IFERROR(CM303/(CM126+CM176+CM177),0)</f>
        <v/>
      </c>
      <c r="CQ309" s="693" t="n"/>
    </row>
    <row r="310" ht="16.5" customHeight="1">
      <c r="B310" s="3" t="n"/>
      <c r="G310" s="862" t="n"/>
      <c r="L310" s="862" t="n"/>
      <c r="Q310" s="862" t="n"/>
      <c r="V310" s="862" t="n"/>
      <c r="AA310" s="862" t="n"/>
      <c r="AF310" s="862" t="n"/>
      <c r="AK310" s="862" t="n"/>
      <c r="AP310" s="862" t="n"/>
      <c r="AU310" s="862" t="n"/>
      <c r="AZ310" s="862" t="n"/>
      <c r="BE310" s="862" t="n"/>
      <c r="BJ310" s="862" t="n"/>
      <c r="BO310" s="862" t="n"/>
      <c r="BT310" s="862" t="n"/>
      <c r="BY310" s="862" t="n"/>
      <c r="CD310" s="862" t="n"/>
      <c r="CI310" s="717" t="n"/>
      <c r="CJ310" s="717" t="n"/>
      <c r="CK310" s="717" t="n"/>
      <c r="CL310" s="717" t="n"/>
      <c r="CM310" s="717" t="n"/>
      <c r="CQ310" s="693" t="n"/>
    </row>
    <row r="311" ht="16.5" customHeight="1">
      <c r="B311" s="149" t="inlineStr">
        <is>
          <t>Equity rollforward</t>
        </is>
      </c>
      <c r="G311" s="867" t="n"/>
      <c r="H311" s="224" t="n"/>
      <c r="I311" s="224" t="n"/>
      <c r="J311" s="224" t="n"/>
      <c r="K311" s="224" t="n"/>
      <c r="L311" s="867" t="n"/>
      <c r="M311" s="224" t="n"/>
      <c r="N311" s="224" t="n"/>
      <c r="O311" s="224" t="n"/>
      <c r="P311" s="224" t="n"/>
      <c r="Q311" s="867" t="n"/>
      <c r="R311" s="224" t="n"/>
      <c r="S311" s="224" t="n"/>
      <c r="T311" s="224" t="n"/>
      <c r="U311" s="224" t="n"/>
      <c r="V311" s="867" t="n"/>
      <c r="W311" s="224" t="n"/>
      <c r="X311" s="224" t="n"/>
      <c r="Y311" s="224" t="n"/>
      <c r="Z311" s="224" t="n"/>
      <c r="AA311" s="867" t="n"/>
      <c r="AB311" s="224" t="n"/>
      <c r="AC311" s="224" t="n"/>
      <c r="AD311" s="224" t="n"/>
      <c r="AE311" s="224" t="n"/>
      <c r="AF311" s="867" t="n"/>
      <c r="AG311" s="224" t="n"/>
      <c r="AH311" s="224" t="n"/>
      <c r="AI311" s="224" t="n"/>
      <c r="AJ311" s="224" t="n"/>
      <c r="AK311" s="867" t="n"/>
      <c r="AL311" s="224" t="n"/>
      <c r="AM311" s="224" t="n"/>
      <c r="AN311" s="224" t="n"/>
      <c r="AO311" s="224" t="n"/>
      <c r="AP311" s="867" t="n"/>
      <c r="AQ311" s="224" t="n"/>
      <c r="AR311" s="224" t="n"/>
      <c r="AS311" s="224" t="n"/>
      <c r="AT311" s="224" t="n"/>
      <c r="AU311" s="867" t="n"/>
      <c r="AV311" s="224" t="n"/>
      <c r="AW311" s="224" t="n"/>
      <c r="AX311" s="224" t="n"/>
      <c r="AY311" s="224" t="n"/>
      <c r="AZ311" s="867" t="n"/>
      <c r="BA311" s="224" t="n"/>
      <c r="BB311" s="224" t="n"/>
      <c r="BC311" s="224" t="n"/>
      <c r="BD311" s="224" t="n"/>
      <c r="BE311" s="867" t="n"/>
      <c r="BF311" s="224" t="n"/>
      <c r="BG311" s="224" t="n"/>
      <c r="BH311" s="224" t="n"/>
      <c r="BI311" s="224" t="n"/>
      <c r="BJ311" s="867" t="n"/>
      <c r="BK311" s="224" t="n"/>
      <c r="BL311" s="224" t="n"/>
      <c r="BM311" s="224" t="n"/>
      <c r="BN311" s="224" t="n"/>
      <c r="BO311" s="867" t="n"/>
      <c r="BP311" s="224" t="n"/>
      <c r="BQ311" s="224" t="n"/>
      <c r="BR311" s="224" t="n"/>
      <c r="BS311" s="224" t="n"/>
      <c r="BT311" s="867" t="n"/>
      <c r="BU311" s="224" t="n"/>
      <c r="BV311" s="224" t="n"/>
      <c r="BW311" s="224" t="n"/>
      <c r="BX311" s="224" t="n"/>
      <c r="BY311" s="867" t="n"/>
      <c r="BZ311" s="224" t="n"/>
      <c r="CA311" s="224" t="n"/>
      <c r="CB311" s="224" t="n"/>
      <c r="CC311" s="224" t="n"/>
      <c r="CD311" s="867" t="n"/>
      <c r="CE311" s="224" t="n"/>
      <c r="CF311" s="224" t="n"/>
      <c r="CG311" s="224" t="n"/>
      <c r="CH311" s="224" t="n"/>
      <c r="CI311" s="224" t="n"/>
      <c r="CJ311" s="224" t="n"/>
      <c r="CK311" s="224" t="n"/>
      <c r="CL311" s="224" t="n"/>
      <c r="CM311" s="224" t="n"/>
      <c r="CN311" s="224" t="n"/>
      <c r="CO311" s="224" t="n"/>
      <c r="CP311" s="224" t="n"/>
      <c r="CQ311" s="693" t="n"/>
    </row>
    <row r="312" ht="16.5" customHeight="1">
      <c r="B312" t="inlineStr">
        <is>
          <t xml:space="preserve">  Common stock (held flat)</t>
        </is>
      </c>
      <c r="G312" s="896">
        <f>G255</f>
        <v/>
      </c>
      <c r="L312" s="896">
        <f>L255</f>
        <v/>
      </c>
      <c r="Q312" s="896">
        <f>Q255</f>
        <v/>
      </c>
      <c r="V312" s="896">
        <f>V255</f>
        <v/>
      </c>
      <c r="AA312" s="896">
        <f>AA255</f>
        <v/>
      </c>
      <c r="AF312" s="896">
        <f>AF255</f>
        <v/>
      </c>
      <c r="AK312" s="896">
        <f>AK255</f>
        <v/>
      </c>
      <c r="AP312" s="896">
        <f>AP255</f>
        <v/>
      </c>
      <c r="AU312" s="896">
        <f>AU255</f>
        <v/>
      </c>
      <c r="AZ312" s="896">
        <f>AZ255</f>
        <v/>
      </c>
      <c r="BE312" s="896">
        <f>BE255</f>
        <v/>
      </c>
      <c r="BJ312" s="896">
        <f>BJ255</f>
        <v/>
      </c>
      <c r="BO312" s="896">
        <f>BO255</f>
        <v/>
      </c>
      <c r="BT312" s="896">
        <f>BT255</f>
        <v/>
      </c>
      <c r="BY312" s="896">
        <f>BY255</f>
        <v/>
      </c>
      <c r="CD312" s="896">
        <f>CD255</f>
        <v/>
      </c>
      <c r="CE312" s="6">
        <f>CE255</f>
        <v/>
      </c>
      <c r="CF312" s="6">
        <f>CF255</f>
        <v/>
      </c>
      <c r="CG312" s="6">
        <f>CG255</f>
        <v/>
      </c>
      <c r="CH312" s="6">
        <f>CH255</f>
        <v/>
      </c>
      <c r="CI312" s="797">
        <f>CI255</f>
        <v/>
      </c>
      <c r="CJ312" s="797">
        <f>CJ255</f>
        <v/>
      </c>
      <c r="CK312" s="797">
        <f>CK255</f>
        <v/>
      </c>
      <c r="CL312" s="797">
        <f>CL255</f>
        <v/>
      </c>
      <c r="CM312" s="797">
        <f>CM255</f>
        <v/>
      </c>
      <c r="CQ312" s="693" t="n"/>
    </row>
    <row r="313" ht="16.5" customHeight="1">
      <c r="B313" t="inlineStr">
        <is>
          <t xml:space="preserve">  APIC (held flat — equity issuance assumed nil)</t>
        </is>
      </c>
      <c r="G313" s="896">
        <f>G256</f>
        <v/>
      </c>
      <c r="L313" s="896">
        <f>L256</f>
        <v/>
      </c>
      <c r="Q313" s="896">
        <f>Q256</f>
        <v/>
      </c>
      <c r="V313" s="896">
        <f>V256</f>
        <v/>
      </c>
      <c r="AA313" s="896">
        <f>AA256</f>
        <v/>
      </c>
      <c r="AF313" s="896">
        <f>AF256</f>
        <v/>
      </c>
      <c r="AK313" s="896">
        <f>AK256</f>
        <v/>
      </c>
      <c r="AP313" s="896">
        <f>AP256</f>
        <v/>
      </c>
      <c r="AU313" s="896">
        <f>AU256</f>
        <v/>
      </c>
      <c r="AZ313" s="896">
        <f>AZ256</f>
        <v/>
      </c>
      <c r="BE313" s="896">
        <f>BE256</f>
        <v/>
      </c>
      <c r="BJ313" s="896">
        <f>BJ256</f>
        <v/>
      </c>
      <c r="BO313" s="896">
        <f>BO256</f>
        <v/>
      </c>
      <c r="BT313" s="896">
        <f>BT256</f>
        <v/>
      </c>
      <c r="BY313" s="896">
        <f>BY256</f>
        <v/>
      </c>
      <c r="CD313" s="896">
        <f>CD256</f>
        <v/>
      </c>
      <c r="CE313" s="6">
        <f>CE256</f>
        <v/>
      </c>
      <c r="CF313" s="6">
        <f>CF256</f>
        <v/>
      </c>
      <c r="CG313" s="6">
        <f>CG256</f>
        <v/>
      </c>
      <c r="CH313" s="6">
        <f>CH256</f>
        <v/>
      </c>
      <c r="CI313" s="797">
        <f>CI256</f>
        <v/>
      </c>
      <c r="CJ313" s="797">
        <f>CJ256</f>
        <v/>
      </c>
      <c r="CK313" s="797">
        <f>CK256</f>
        <v/>
      </c>
      <c r="CL313" s="797">
        <f>CL256</f>
        <v/>
      </c>
      <c r="CM313" s="797">
        <f>CM256</f>
        <v/>
      </c>
      <c r="CQ313" s="693" t="n"/>
    </row>
    <row r="314" ht="16.5" customHeight="1">
      <c r="B314" t="inlineStr">
        <is>
          <t xml:space="preserve">  Retained earnings: Beg + Net earnings − Dividends</t>
        </is>
      </c>
      <c r="G314" s="896">
        <f>G257</f>
        <v/>
      </c>
      <c r="L314" s="896">
        <f>L257</f>
        <v/>
      </c>
      <c r="Q314" s="896">
        <f>Q257</f>
        <v/>
      </c>
      <c r="V314" s="896">
        <f>V257</f>
        <v/>
      </c>
      <c r="AA314" s="896">
        <f>AA257</f>
        <v/>
      </c>
      <c r="AF314" s="896">
        <f>AF257</f>
        <v/>
      </c>
      <c r="AK314" s="896">
        <f>AK257</f>
        <v/>
      </c>
      <c r="AP314" s="896">
        <f>AP257</f>
        <v/>
      </c>
      <c r="AU314" s="896">
        <f>AU257</f>
        <v/>
      </c>
      <c r="AZ314" s="896">
        <f>AZ257</f>
        <v/>
      </c>
      <c r="BE314" s="896">
        <f>BE257</f>
        <v/>
      </c>
      <c r="BJ314" s="896">
        <f>BJ257</f>
        <v/>
      </c>
      <c r="BO314" s="896">
        <f>BO257</f>
        <v/>
      </c>
      <c r="BT314" s="896">
        <f>BT257</f>
        <v/>
      </c>
      <c r="BY314" s="896">
        <f>BY257</f>
        <v/>
      </c>
      <c r="CD314" s="896">
        <f>CD257</f>
        <v/>
      </c>
      <c r="CE314" s="6">
        <f>CE257</f>
        <v/>
      </c>
      <c r="CF314" s="6">
        <f>CF257</f>
        <v/>
      </c>
      <c r="CG314" s="6">
        <f>CG257</f>
        <v/>
      </c>
      <c r="CH314" s="6">
        <f>CH257</f>
        <v/>
      </c>
      <c r="CI314" s="797">
        <f>CI257</f>
        <v/>
      </c>
      <c r="CJ314" s="797">
        <f>CJ257</f>
        <v/>
      </c>
      <c r="CK314" s="797">
        <f>CK257</f>
        <v/>
      </c>
      <c r="CL314" s="797">
        <f>CL257</f>
        <v/>
      </c>
      <c r="CM314" s="797">
        <f>CM257</f>
        <v/>
      </c>
      <c r="CQ314" s="693" t="n"/>
    </row>
    <row r="315" ht="16.5" customHeight="1">
      <c r="B315" t="inlineStr">
        <is>
          <t xml:space="preserve">  Dividends declared ($M, from CF row 196)</t>
        </is>
      </c>
      <c r="G315" s="896">
        <f>G198</f>
        <v/>
      </c>
      <c r="L315" s="896">
        <f>L198</f>
        <v/>
      </c>
      <c r="Q315" s="896">
        <f>Q198</f>
        <v/>
      </c>
      <c r="V315" s="896">
        <f>V198</f>
        <v/>
      </c>
      <c r="AA315" s="896">
        <f>AA198</f>
        <v/>
      </c>
      <c r="AF315" s="896">
        <f>AF198</f>
        <v/>
      </c>
      <c r="AK315" s="896">
        <f>AK198</f>
        <v/>
      </c>
      <c r="AP315" s="896">
        <f>AP198</f>
        <v/>
      </c>
      <c r="AU315" s="896">
        <f>AU198</f>
        <v/>
      </c>
      <c r="AZ315" s="896">
        <f>AZ198</f>
        <v/>
      </c>
      <c r="BE315" s="896">
        <f>BE198</f>
        <v/>
      </c>
      <c r="BJ315" s="896">
        <f>BJ198</f>
        <v/>
      </c>
      <c r="BO315" s="896">
        <f>BO198</f>
        <v/>
      </c>
      <c r="BT315" s="896">
        <f>BT198</f>
        <v/>
      </c>
      <c r="BY315" s="896">
        <f>BY198</f>
        <v/>
      </c>
      <c r="CD315" s="896">
        <f>CD198</f>
        <v/>
      </c>
      <c r="CE315" s="6">
        <f>CE198</f>
        <v/>
      </c>
      <c r="CF315" s="6">
        <f>CF198</f>
        <v/>
      </c>
      <c r="CG315" s="6">
        <f>CG198</f>
        <v/>
      </c>
      <c r="CH315" s="6">
        <f>CH198</f>
        <v/>
      </c>
      <c r="CI315" s="797">
        <f>CI198</f>
        <v/>
      </c>
      <c r="CJ315" s="797">
        <f>CJ198</f>
        <v/>
      </c>
      <c r="CK315" s="797">
        <f>CK198</f>
        <v/>
      </c>
      <c r="CL315" s="797">
        <f>CL198</f>
        <v/>
      </c>
      <c r="CM315" s="797">
        <f>CM198</f>
        <v/>
      </c>
      <c r="CQ315" s="693" t="n"/>
    </row>
    <row r="316" ht="16.5" customHeight="1">
      <c r="B316" t="inlineStr">
        <is>
          <t xml:space="preserve">  Treasury stock: Beg − Buybacks (from CF row 197)</t>
        </is>
      </c>
      <c r="G316" s="896">
        <f>G258</f>
        <v/>
      </c>
      <c r="L316" s="896">
        <f>L258</f>
        <v/>
      </c>
      <c r="Q316" s="896">
        <f>Q258</f>
        <v/>
      </c>
      <c r="V316" s="896">
        <f>V258</f>
        <v/>
      </c>
      <c r="AA316" s="896">
        <f>AA258</f>
        <v/>
      </c>
      <c r="AF316" s="896">
        <f>AF258</f>
        <v/>
      </c>
      <c r="AK316" s="896">
        <f>AK258</f>
        <v/>
      </c>
      <c r="AP316" s="896">
        <f>AP258</f>
        <v/>
      </c>
      <c r="AU316" s="896">
        <f>AU258</f>
        <v/>
      </c>
      <c r="AZ316" s="896">
        <f>AZ258</f>
        <v/>
      </c>
      <c r="BE316" s="896">
        <f>BE258</f>
        <v/>
      </c>
      <c r="BJ316" s="896">
        <f>BJ258</f>
        <v/>
      </c>
      <c r="BO316" s="896">
        <f>BO258</f>
        <v/>
      </c>
      <c r="BT316" s="896">
        <f>BT258</f>
        <v/>
      </c>
      <c r="BY316" s="896">
        <f>BY258</f>
        <v/>
      </c>
      <c r="CD316" s="896">
        <f>CD258</f>
        <v/>
      </c>
      <c r="CE316" s="6">
        <f>CE258</f>
        <v/>
      </c>
      <c r="CF316" s="6">
        <f>CF258</f>
        <v/>
      </c>
      <c r="CG316" s="6">
        <f>CG258</f>
        <v/>
      </c>
      <c r="CH316" s="6">
        <f>CH258</f>
        <v/>
      </c>
      <c r="CI316" s="797">
        <f>CI258</f>
        <v/>
      </c>
      <c r="CJ316" s="797">
        <f>CJ258</f>
        <v/>
      </c>
      <c r="CK316" s="797">
        <f>CK258</f>
        <v/>
      </c>
      <c r="CL316" s="797">
        <f>CL258</f>
        <v/>
      </c>
      <c r="CM316" s="797">
        <f>CM258</f>
        <v/>
      </c>
      <c r="CQ316" s="693" t="n"/>
    </row>
    <row r="317" ht="16.5" customHeight="1">
      <c r="B317" t="inlineStr">
        <is>
          <t xml:space="preserve">  AOCL (held flat — no FX / pension translation modeled)</t>
        </is>
      </c>
      <c r="G317" s="896">
        <f>G259</f>
        <v/>
      </c>
      <c r="L317" s="896">
        <f>L259</f>
        <v/>
      </c>
      <c r="Q317" s="896">
        <f>Q259</f>
        <v/>
      </c>
      <c r="V317" s="896">
        <f>V259</f>
        <v/>
      </c>
      <c r="AA317" s="896">
        <f>AA259</f>
        <v/>
      </c>
      <c r="AF317" s="896">
        <f>AF259</f>
        <v/>
      </c>
      <c r="AK317" s="896">
        <f>AK259</f>
        <v/>
      </c>
      <c r="AP317" s="896">
        <f>AP259</f>
        <v/>
      </c>
      <c r="AU317" s="896">
        <f>AU259</f>
        <v/>
      </c>
      <c r="AZ317" s="896">
        <f>AZ259</f>
        <v/>
      </c>
      <c r="BE317" s="896">
        <f>BE259</f>
        <v/>
      </c>
      <c r="BJ317" s="896">
        <f>BJ259</f>
        <v/>
      </c>
      <c r="BO317" s="896">
        <f>BO259</f>
        <v/>
      </c>
      <c r="BT317" s="896">
        <f>BT259</f>
        <v/>
      </c>
      <c r="BY317" s="896">
        <f>BY259</f>
        <v/>
      </c>
      <c r="CD317" s="896">
        <f>CD259</f>
        <v/>
      </c>
      <c r="CE317" s="6">
        <f>CE259</f>
        <v/>
      </c>
      <c r="CF317" s="6">
        <f>CF259</f>
        <v/>
      </c>
      <c r="CG317" s="6">
        <f>CG259</f>
        <v/>
      </c>
      <c r="CH317" s="6">
        <f>CH259</f>
        <v/>
      </c>
      <c r="CI317" s="797">
        <f>CI259</f>
        <v/>
      </c>
      <c r="CJ317" s="797">
        <f>CJ259</f>
        <v/>
      </c>
      <c r="CK317" s="797">
        <f>CK259</f>
        <v/>
      </c>
      <c r="CL317" s="797">
        <f>CL259</f>
        <v/>
      </c>
      <c r="CM317" s="797">
        <f>CM259</f>
        <v/>
      </c>
      <c r="CQ317" s="693" t="n"/>
    </row>
    <row r="318" ht="16.5" customHeight="1">
      <c r="G318" s="862" t="n"/>
      <c r="L318" s="862" t="n"/>
      <c r="Q318" s="862" t="n"/>
      <c r="V318" s="862" t="n"/>
      <c r="AA318" s="862" t="n"/>
      <c r="AF318" s="862" t="n"/>
      <c r="AK318" s="862" t="n"/>
      <c r="AP318" s="862" t="n"/>
      <c r="AU318" s="862" t="n"/>
      <c r="AZ318" s="862" t="n"/>
      <c r="BE318" s="862" t="n"/>
      <c r="BJ318" s="862" t="n"/>
      <c r="BO318" s="862" t="n"/>
      <c r="BT318" s="862" t="n"/>
      <c r="BY318" s="862" t="n"/>
      <c r="CD318" s="862" t="n"/>
      <c r="CI318" s="717" t="n"/>
      <c r="CJ318" s="717" t="n"/>
      <c r="CK318" s="717" t="n"/>
      <c r="CL318" s="717" t="n"/>
      <c r="CM318" s="717" t="n"/>
      <c r="CQ318" s="693" t="n"/>
    </row>
    <row r="319" ht="16.5" customHeight="1">
      <c r="B319" s="149" t="inlineStr">
        <is>
          <t>Cash plug &amp; implied financing</t>
        </is>
      </c>
      <c r="G319" s="867" t="n"/>
      <c r="H319" s="224" t="n"/>
      <c r="I319" s="224" t="n"/>
      <c r="J319" s="224" t="n"/>
      <c r="K319" s="224" t="n"/>
      <c r="L319" s="867" t="n"/>
      <c r="M319" s="224" t="n"/>
      <c r="N319" s="224" t="n"/>
      <c r="O319" s="224" t="n"/>
      <c r="P319" s="224" t="n"/>
      <c r="Q319" s="867" t="n"/>
      <c r="R319" s="224" t="n"/>
      <c r="S319" s="224" t="n"/>
      <c r="T319" s="224" t="n"/>
      <c r="U319" s="224" t="n"/>
      <c r="V319" s="867" t="n"/>
      <c r="W319" s="224" t="n"/>
      <c r="X319" s="224" t="n"/>
      <c r="Y319" s="224" t="n"/>
      <c r="Z319" s="224" t="n"/>
      <c r="AA319" s="867" t="n"/>
      <c r="AB319" s="224" t="n"/>
      <c r="AC319" s="224" t="n"/>
      <c r="AD319" s="224" t="n"/>
      <c r="AE319" s="224" t="n"/>
      <c r="AF319" s="867" t="n"/>
      <c r="AG319" s="224" t="n"/>
      <c r="AH319" s="224" t="n"/>
      <c r="AI319" s="224" t="n"/>
      <c r="AJ319" s="224" t="n"/>
      <c r="AK319" s="867" t="n"/>
      <c r="AL319" s="224" t="n"/>
      <c r="AM319" s="224" t="n"/>
      <c r="AN319" s="224" t="n"/>
      <c r="AO319" s="224" t="n"/>
      <c r="AP319" s="867" t="n"/>
      <c r="AQ319" s="224" t="n"/>
      <c r="AR319" s="224" t="n"/>
      <c r="AS319" s="224" t="n"/>
      <c r="AT319" s="224" t="n"/>
      <c r="AU319" s="867" t="n"/>
      <c r="AV319" s="224" t="n"/>
      <c r="AW319" s="224" t="n"/>
      <c r="AX319" s="224" t="n"/>
      <c r="AY319" s="224" t="n"/>
      <c r="AZ319" s="867" t="n"/>
      <c r="BA319" s="224" t="n"/>
      <c r="BB319" s="224" t="n"/>
      <c r="BC319" s="224" t="n"/>
      <c r="BD319" s="224" t="n"/>
      <c r="BE319" s="867" t="n"/>
      <c r="BF319" s="224" t="n"/>
      <c r="BG319" s="224" t="n"/>
      <c r="BH319" s="224" t="n"/>
      <c r="BI319" s="224" t="n"/>
      <c r="BJ319" s="867" t="n"/>
      <c r="BK319" s="224" t="n"/>
      <c r="BL319" s="224" t="n"/>
      <c r="BM319" s="224" t="n"/>
      <c r="BN319" s="224" t="n"/>
      <c r="BO319" s="867" t="n"/>
      <c r="BP319" s="224" t="n"/>
      <c r="BQ319" s="224" t="n"/>
      <c r="BR319" s="224" t="n"/>
      <c r="BS319" s="224" t="n"/>
      <c r="BT319" s="867" t="n"/>
      <c r="BU319" s="224" t="n"/>
      <c r="BV319" s="224" t="n"/>
      <c r="BW319" s="224" t="n"/>
      <c r="BX319" s="224" t="n"/>
      <c r="BY319" s="867" t="n"/>
      <c r="BZ319" s="224" t="n"/>
      <c r="CA319" s="224" t="n"/>
      <c r="CB319" s="224" t="n"/>
      <c r="CC319" s="224" t="n"/>
      <c r="CD319" s="867" t="n"/>
      <c r="CE319" s="224" t="n"/>
      <c r="CF319" s="224" t="n"/>
      <c r="CG319" s="224" t="n"/>
      <c r="CH319" s="224" t="n"/>
      <c r="CI319" s="224" t="n"/>
      <c r="CJ319" s="224" t="n"/>
      <c r="CK319" s="224" t="n"/>
      <c r="CL319" s="224" t="n"/>
      <c r="CM319" s="224" t="n"/>
      <c r="CN319" s="224" t="n"/>
      <c r="CO319" s="224" t="n"/>
      <c r="CP319" s="224" t="n"/>
      <c r="CQ319" s="693" t="n"/>
    </row>
    <row r="320" ht="16.5" customHeight="1">
      <c r="B320" t="inlineStr">
        <is>
          <t xml:space="preserve">  Cash from CF rollforward (row 205)</t>
        </is>
      </c>
      <c r="G320" s="896">
        <f>G207</f>
        <v/>
      </c>
      <c r="L320" s="896">
        <f>L207</f>
        <v/>
      </c>
      <c r="Q320" s="896">
        <f>Q207</f>
        <v/>
      </c>
      <c r="V320" s="896">
        <f>V207</f>
        <v/>
      </c>
      <c r="AA320" s="896">
        <f>AA207</f>
        <v/>
      </c>
      <c r="AF320" s="896">
        <f>AF207</f>
        <v/>
      </c>
      <c r="AK320" s="896">
        <f>AK207</f>
        <v/>
      </c>
      <c r="AP320" s="896">
        <f>AP207</f>
        <v/>
      </c>
      <c r="AU320" s="896">
        <f>AU207</f>
        <v/>
      </c>
      <c r="AZ320" s="896">
        <f>AZ207</f>
        <v/>
      </c>
      <c r="BE320" s="896">
        <f>BE207</f>
        <v/>
      </c>
      <c r="BJ320" s="896">
        <f>BJ207</f>
        <v/>
      </c>
      <c r="BO320" s="896">
        <f>BO207</f>
        <v/>
      </c>
      <c r="BT320" s="896">
        <f>BT207</f>
        <v/>
      </c>
      <c r="BY320" s="896">
        <f>BY207</f>
        <v/>
      </c>
      <c r="CD320" s="896">
        <f>CD207</f>
        <v/>
      </c>
      <c r="CE320" s="6">
        <f>CE207</f>
        <v/>
      </c>
      <c r="CF320" s="6">
        <f>CF207</f>
        <v/>
      </c>
      <c r="CG320" s="6">
        <f>CG207</f>
        <v/>
      </c>
      <c r="CH320" s="6">
        <f>CH207</f>
        <v/>
      </c>
      <c r="CI320" s="797">
        <f>CI207</f>
        <v/>
      </c>
      <c r="CJ320" s="797">
        <f>CJ207</f>
        <v/>
      </c>
      <c r="CK320" s="797">
        <f>CK207</f>
        <v/>
      </c>
      <c r="CL320" s="797">
        <f>CL207</f>
        <v/>
      </c>
      <c r="CM320" s="797">
        <f>CM207</f>
        <v/>
      </c>
      <c r="CQ320" s="693" t="n"/>
    </row>
    <row r="321" ht="16.5" customHeight="1">
      <c r="B321" t="inlineStr">
        <is>
          <t xml:space="preserve">  BS Cash (= CF rollforward)</t>
        </is>
      </c>
      <c r="G321" s="896">
        <f>G226</f>
        <v/>
      </c>
      <c r="L321" s="896">
        <f>L226</f>
        <v/>
      </c>
      <c r="Q321" s="896">
        <f>Q226</f>
        <v/>
      </c>
      <c r="V321" s="896">
        <f>V226</f>
        <v/>
      </c>
      <c r="AA321" s="896">
        <f>AA226</f>
        <v/>
      </c>
      <c r="AF321" s="896">
        <f>AF226</f>
        <v/>
      </c>
      <c r="AK321" s="896">
        <f>AK226</f>
        <v/>
      </c>
      <c r="AP321" s="896">
        <f>AP226</f>
        <v/>
      </c>
      <c r="AU321" s="896">
        <f>AU226</f>
        <v/>
      </c>
      <c r="AZ321" s="896">
        <f>AZ226</f>
        <v/>
      </c>
      <c r="BE321" s="896">
        <f>BE226</f>
        <v/>
      </c>
      <c r="BJ321" s="896">
        <f>BJ226</f>
        <v/>
      </c>
      <c r="BO321" s="896">
        <f>BO226</f>
        <v/>
      </c>
      <c r="BT321" s="896">
        <f>BT226</f>
        <v/>
      </c>
      <c r="BY321" s="896">
        <f>BY226</f>
        <v/>
      </c>
      <c r="CD321" s="896">
        <f>CD226</f>
        <v/>
      </c>
      <c r="CE321" s="6">
        <f>CE226</f>
        <v/>
      </c>
      <c r="CF321" s="6">
        <f>CF226</f>
        <v/>
      </c>
      <c r="CG321" s="6">
        <f>CG226</f>
        <v/>
      </c>
      <c r="CH321" s="6">
        <f>CH226</f>
        <v/>
      </c>
      <c r="CI321" s="797">
        <f>CI226</f>
        <v/>
      </c>
      <c r="CJ321" s="797">
        <f>CJ226</f>
        <v/>
      </c>
      <c r="CK321" s="797">
        <f>CK226</f>
        <v/>
      </c>
      <c r="CL321" s="797">
        <f>CL226</f>
        <v/>
      </c>
      <c r="CM321" s="797">
        <f>CM226</f>
        <v/>
      </c>
      <c r="CQ321" s="693" t="n"/>
    </row>
    <row r="322" ht="16.5" customHeight="1">
      <c r="C322" s="291" t="n"/>
      <c r="D322" s="291" t="n"/>
      <c r="E322" s="291" t="n"/>
      <c r="F322" s="291" t="n"/>
      <c r="G322" s="864" t="n"/>
      <c r="H322" s="291" t="n"/>
      <c r="I322" s="291" t="n"/>
      <c r="J322" s="291" t="n"/>
      <c r="K322" s="291" t="n"/>
      <c r="L322" s="864" t="n"/>
      <c r="M322" s="291" t="n"/>
      <c r="N322" s="291" t="n"/>
      <c r="O322" s="291" t="n"/>
      <c r="P322" s="291" t="n"/>
      <c r="Q322" s="864" t="n"/>
      <c r="R322" s="291" t="n"/>
      <c r="S322" s="291" t="n"/>
      <c r="T322" s="291" t="n"/>
      <c r="U322" s="291" t="n"/>
      <c r="V322" s="864" t="n"/>
      <c r="W322" s="291" t="n"/>
      <c r="X322" s="291" t="n"/>
      <c r="Y322" s="291" t="n"/>
      <c r="Z322" s="291" t="n"/>
      <c r="AA322" s="864" t="n"/>
      <c r="AB322" s="291" t="n"/>
      <c r="AC322" s="291" t="n"/>
      <c r="AD322" s="291" t="n"/>
      <c r="AE322" s="291" t="n"/>
      <c r="AF322" s="864" t="n"/>
      <c r="AG322" s="291" t="n"/>
      <c r="AH322" s="291" t="n"/>
      <c r="AI322" s="291" t="n"/>
      <c r="AJ322" s="291" t="n"/>
      <c r="AK322" s="864" t="n"/>
      <c r="AL322" s="291" t="n"/>
      <c r="AM322" s="291" t="n"/>
      <c r="AN322" s="291" t="n"/>
      <c r="AO322" s="291" t="n"/>
      <c r="AP322" s="864" t="n"/>
      <c r="AQ322" s="291" t="n"/>
      <c r="AR322" s="291" t="n"/>
      <c r="AS322" s="291" t="n"/>
      <c r="AT322" s="291" t="n"/>
      <c r="AU322" s="864" t="n"/>
      <c r="AV322" s="291" t="n"/>
      <c r="AW322" s="291" t="n"/>
      <c r="AX322" s="291" t="n"/>
      <c r="AY322" s="291" t="n"/>
      <c r="AZ322" s="864" t="n"/>
      <c r="BA322" s="291" t="n"/>
      <c r="BB322" s="291" t="n"/>
      <c r="BC322" s="291" t="n"/>
      <c r="BD322" s="291" t="n"/>
      <c r="BE322" s="864" t="n"/>
      <c r="BF322" s="291" t="n"/>
      <c r="BG322" s="291" t="n"/>
      <c r="BH322" s="291" t="n"/>
      <c r="BI322" s="291" t="n"/>
      <c r="BJ322" s="864" t="n"/>
      <c r="BK322" s="291" t="n"/>
      <c r="BL322" s="291" t="n"/>
      <c r="BM322" s="291" t="n"/>
      <c r="BN322" s="291" t="n"/>
      <c r="BO322" s="864" t="n"/>
      <c r="BP322" s="291" t="n"/>
      <c r="BQ322" s="291" t="n"/>
      <c r="BR322" s="291" t="n"/>
      <c r="BS322" s="291" t="n"/>
      <c r="BT322" s="864" t="n"/>
      <c r="BU322" s="291" t="n"/>
      <c r="BV322" s="291" t="n"/>
      <c r="BW322" s="291" t="n"/>
      <c r="BX322" s="291" t="n"/>
      <c r="BY322" s="864" t="n"/>
      <c r="BZ322" s="291" t="n"/>
      <c r="CA322" s="291" t="n"/>
      <c r="CB322" s="291" t="n"/>
      <c r="CC322" s="291" t="n"/>
      <c r="CD322" s="864" t="n"/>
      <c r="CE322" s="291" t="n"/>
      <c r="CF322" s="291" t="n"/>
      <c r="CG322" s="291" t="n"/>
      <c r="CH322" s="291" t="n"/>
      <c r="CI322" s="749" t="n"/>
      <c r="CJ322" s="749" t="n"/>
      <c r="CK322" s="749" t="n"/>
      <c r="CL322" s="749" t="n"/>
      <c r="CM322" s="749" t="n"/>
      <c r="CN322" s="291" t="n"/>
      <c r="CO322" s="291" t="n"/>
      <c r="CP322" s="291" t="n"/>
      <c r="CQ322" s="693" t="n"/>
    </row>
    <row r="323" ht="16.5" customHeight="1">
      <c r="B323" s="221" t="inlineStr">
        <is>
          <t>RATIO ANALYSIS</t>
        </is>
      </c>
      <c r="C323" s="222" t="n"/>
      <c r="D323" s="222" t="n"/>
      <c r="E323" s="222" t="n"/>
      <c r="F323" s="222" t="n"/>
      <c r="G323" s="865" t="n"/>
      <c r="H323" s="222" t="n"/>
      <c r="I323" s="222" t="n"/>
      <c r="J323" s="222" t="n"/>
      <c r="K323" s="222" t="n"/>
      <c r="L323" s="865" t="n"/>
      <c r="M323" s="222" t="n"/>
      <c r="N323" s="222" t="n"/>
      <c r="O323" s="222" t="n"/>
      <c r="P323" s="222" t="n"/>
      <c r="Q323" s="865" t="n"/>
      <c r="R323" s="222" t="n"/>
      <c r="S323" s="222" t="n"/>
      <c r="T323" s="222" t="n"/>
      <c r="U323" s="222" t="n"/>
      <c r="V323" s="865" t="n"/>
      <c r="W323" s="222" t="n"/>
      <c r="X323" s="222" t="n"/>
      <c r="Y323" s="222" t="n"/>
      <c r="Z323" s="222" t="n"/>
      <c r="AA323" s="865" t="n"/>
      <c r="AB323" s="222" t="n"/>
      <c r="AC323" s="222" t="n"/>
      <c r="AD323" s="222" t="n"/>
      <c r="AE323" s="222" t="n"/>
      <c r="AF323" s="865" t="n"/>
      <c r="AG323" s="222" t="n"/>
      <c r="AH323" s="222" t="n"/>
      <c r="AI323" s="222" t="n"/>
      <c r="AJ323" s="222" t="n"/>
      <c r="AK323" s="865" t="n"/>
      <c r="AL323" s="222" t="n"/>
      <c r="AM323" s="222" t="n"/>
      <c r="AN323" s="222" t="n"/>
      <c r="AO323" s="222" t="n"/>
      <c r="AP323" s="865" t="n"/>
      <c r="AQ323" s="222" t="n"/>
      <c r="AR323" s="222" t="n"/>
      <c r="AS323" s="222" t="n"/>
      <c r="AT323" s="222" t="n"/>
      <c r="AU323" s="865" t="n"/>
      <c r="AV323" s="222" t="n"/>
      <c r="AW323" s="222" t="n"/>
      <c r="AX323" s="222" t="n"/>
      <c r="AY323" s="222" t="n"/>
      <c r="AZ323" s="865" t="n"/>
      <c r="BA323" s="222" t="n"/>
      <c r="BB323" s="222" t="n"/>
      <c r="BC323" s="222" t="n"/>
      <c r="BD323" s="222" t="n"/>
      <c r="BE323" s="865" t="n"/>
      <c r="BF323" s="222" t="n"/>
      <c r="BG323" s="222" t="n"/>
      <c r="BH323" s="222" t="n"/>
      <c r="BI323" s="222" t="n"/>
      <c r="BJ323" s="865" t="n"/>
      <c r="BK323" s="222" t="n"/>
      <c r="BL323" s="222" t="n"/>
      <c r="BM323" s="222" t="n"/>
      <c r="BN323" s="222" t="n"/>
      <c r="BO323" s="865" t="n"/>
      <c r="BP323" s="222" t="n"/>
      <c r="BQ323" s="222" t="n"/>
      <c r="BR323" s="222" t="n"/>
      <c r="BS323" s="222" t="n"/>
      <c r="BT323" s="865" t="n"/>
      <c r="BU323" s="222" t="n"/>
      <c r="BV323" s="222" t="n"/>
      <c r="BW323" s="222" t="n"/>
      <c r="BX323" s="222" t="n"/>
      <c r="BY323" s="865" t="n"/>
      <c r="BZ323" s="222" t="n"/>
      <c r="CA323" s="222" t="n"/>
      <c r="CB323" s="222" t="n"/>
      <c r="CC323" s="222" t="n"/>
      <c r="CD323" s="865" t="n"/>
      <c r="CE323" s="222" t="n"/>
      <c r="CF323" s="222" t="n"/>
      <c r="CG323" s="222" t="n"/>
      <c r="CH323" s="222" t="n"/>
      <c r="CI323" s="222" t="n"/>
      <c r="CJ323" s="222" t="n"/>
      <c r="CK323" s="222" t="n"/>
      <c r="CL323" s="222" t="n"/>
      <c r="CM323" s="222" t="n"/>
      <c r="CN323" s="222" t="n"/>
      <c r="CO323" s="222" t="n"/>
      <c r="CP323" s="222" t="n"/>
      <c r="CQ323" s="692" t="n"/>
    </row>
    <row r="324" ht="16.5" customHeight="1">
      <c r="C324" s="291" t="n"/>
      <c r="D324" s="291" t="n"/>
      <c r="E324" s="291" t="n"/>
      <c r="F324" s="291" t="n"/>
      <c r="G324" s="864" t="n"/>
      <c r="H324" s="291" t="n"/>
      <c r="I324" s="291" t="n"/>
      <c r="J324" s="291" t="n"/>
      <c r="K324" s="291" t="n"/>
      <c r="L324" s="864" t="n"/>
      <c r="M324" s="291" t="n"/>
      <c r="N324" s="291" t="n"/>
      <c r="O324" s="291" t="n"/>
      <c r="P324" s="291" t="n"/>
      <c r="Q324" s="864" t="n"/>
      <c r="R324" s="291" t="n"/>
      <c r="S324" s="291" t="n"/>
      <c r="T324" s="291" t="n"/>
      <c r="U324" s="291" t="n"/>
      <c r="V324" s="864" t="n"/>
      <c r="W324" s="291" t="n"/>
      <c r="X324" s="291" t="n"/>
      <c r="Y324" s="291" t="n"/>
      <c r="Z324" s="291" t="n"/>
      <c r="AA324" s="864" t="n"/>
      <c r="AB324" s="291" t="n"/>
      <c r="AC324" s="291" t="n"/>
      <c r="AD324" s="291" t="n"/>
      <c r="AE324" s="291" t="n"/>
      <c r="AF324" s="864" t="n"/>
      <c r="AG324" s="291" t="n"/>
      <c r="AH324" s="291" t="n"/>
      <c r="AI324" s="291" t="n"/>
      <c r="AJ324" s="291" t="n"/>
      <c r="AK324" s="864" t="n"/>
      <c r="AL324" s="291" t="n"/>
      <c r="AM324" s="291" t="n"/>
      <c r="AN324" s="291" t="n"/>
      <c r="AO324" s="291" t="n"/>
      <c r="AP324" s="864" t="n"/>
      <c r="AQ324" s="291" t="n"/>
      <c r="AR324" s="291" t="n"/>
      <c r="AS324" s="291" t="n"/>
      <c r="AT324" s="291" t="n"/>
      <c r="AU324" s="864" t="n"/>
      <c r="AV324" s="291" t="n"/>
      <c r="AW324" s="291" t="n"/>
      <c r="AX324" s="291" t="n"/>
      <c r="AY324" s="291" t="n"/>
      <c r="AZ324" s="864" t="n"/>
      <c r="BA324" s="291" t="n"/>
      <c r="BB324" s="291" t="n"/>
      <c r="BC324" s="291" t="n"/>
      <c r="BD324" s="291" t="n"/>
      <c r="BE324" s="864" t="n"/>
      <c r="BF324" s="291" t="n"/>
      <c r="BG324" s="291" t="n"/>
      <c r="BH324" s="291" t="n"/>
      <c r="BI324" s="291" t="n"/>
      <c r="BJ324" s="864" t="n"/>
      <c r="BK324" s="291" t="n"/>
      <c r="BL324" s="291" t="n"/>
      <c r="BM324" s="291" t="n"/>
      <c r="BN324" s="291" t="n"/>
      <c r="BO324" s="864" t="n"/>
      <c r="BP324" s="291" t="n"/>
      <c r="BQ324" s="291" t="n"/>
      <c r="BR324" s="291" t="n"/>
      <c r="BS324" s="291" t="n"/>
      <c r="BT324" s="864" t="n"/>
      <c r="BU324" s="291" t="n"/>
      <c r="BV324" s="291" t="n"/>
      <c r="BW324" s="291" t="n"/>
      <c r="BX324" s="291" t="n"/>
      <c r="BY324" s="864" t="n"/>
      <c r="BZ324" s="291" t="n"/>
      <c r="CA324" s="291" t="n"/>
      <c r="CB324" s="291" t="n"/>
      <c r="CC324" s="291" t="n"/>
      <c r="CD324" s="864" t="n"/>
      <c r="CE324" s="291" t="n"/>
      <c r="CF324" s="291" t="n"/>
      <c r="CG324" s="291" t="n"/>
      <c r="CH324" s="291" t="n"/>
      <c r="CI324" s="749" t="n"/>
      <c r="CJ324" s="749" t="n"/>
      <c r="CK324" s="749" t="n"/>
      <c r="CL324" s="749" t="n"/>
      <c r="CM324" s="749" t="n"/>
      <c r="CN324" s="291" t="n"/>
      <c r="CO324" s="291" t="n"/>
      <c r="CP324" s="291" t="n"/>
      <c r="CQ324" s="693" t="n"/>
    </row>
    <row r="325" ht="16.5" customHeight="1">
      <c r="B325" s="223" t="inlineStr">
        <is>
          <t>Returns</t>
        </is>
      </c>
      <c r="C325" s="224" t="n"/>
      <c r="D325" s="224" t="n"/>
      <c r="E325" s="224" t="n"/>
      <c r="F325" s="224" t="n"/>
      <c r="G325" s="867" t="n"/>
      <c r="H325" s="224" t="n"/>
      <c r="I325" s="224" t="n"/>
      <c r="J325" s="224" t="n"/>
      <c r="K325" s="224" t="n"/>
      <c r="L325" s="867" t="n"/>
      <c r="M325" s="224" t="n"/>
      <c r="N325" s="224" t="n"/>
      <c r="O325" s="224" t="n"/>
      <c r="P325" s="224" t="n"/>
      <c r="Q325" s="867" t="n"/>
      <c r="R325" s="224" t="n"/>
      <c r="S325" s="224" t="n"/>
      <c r="T325" s="224" t="n"/>
      <c r="U325" s="224" t="n"/>
      <c r="V325" s="867" t="n"/>
      <c r="W325" s="224" t="n"/>
      <c r="X325" s="224" t="n"/>
      <c r="Y325" s="224" t="n"/>
      <c r="Z325" s="224" t="n"/>
      <c r="AA325" s="867" t="n"/>
      <c r="AB325" s="224" t="n"/>
      <c r="AC325" s="224" t="n"/>
      <c r="AD325" s="224" t="n"/>
      <c r="AE325" s="224" t="n"/>
      <c r="AF325" s="867" t="n"/>
      <c r="AG325" s="224" t="n"/>
      <c r="AH325" s="224" t="n"/>
      <c r="AI325" s="224" t="n"/>
      <c r="AJ325" s="224" t="n"/>
      <c r="AK325" s="867" t="n"/>
      <c r="AL325" s="224" t="n"/>
      <c r="AM325" s="224" t="n"/>
      <c r="AN325" s="224" t="n"/>
      <c r="AO325" s="224" t="n"/>
      <c r="AP325" s="867" t="n"/>
      <c r="AQ325" s="224" t="n"/>
      <c r="AR325" s="224" t="n"/>
      <c r="AS325" s="224" t="n"/>
      <c r="AT325" s="224" t="n"/>
      <c r="AU325" s="867" t="n"/>
      <c r="AV325" s="224" t="n"/>
      <c r="AW325" s="224" t="n"/>
      <c r="AX325" s="224" t="n"/>
      <c r="AY325" s="224" t="n"/>
      <c r="AZ325" s="867" t="n"/>
      <c r="BA325" s="224" t="n"/>
      <c r="BB325" s="224" t="n"/>
      <c r="BC325" s="224" t="n"/>
      <c r="BD325" s="224" t="n"/>
      <c r="BE325" s="867" t="n"/>
      <c r="BF325" s="224" t="n"/>
      <c r="BG325" s="224" t="n"/>
      <c r="BH325" s="224" t="n"/>
      <c r="BI325" s="224" t="n"/>
      <c r="BJ325" s="867" t="n"/>
      <c r="BK325" s="224" t="n"/>
      <c r="BL325" s="224" t="n"/>
      <c r="BM325" s="224" t="n"/>
      <c r="BN325" s="224" t="n"/>
      <c r="BO325" s="867" t="n"/>
      <c r="BP325" s="224" t="n"/>
      <c r="BQ325" s="224" t="n"/>
      <c r="BR325" s="224" t="n"/>
      <c r="BS325" s="224" t="n"/>
      <c r="BT325" s="867" t="n"/>
      <c r="BU325" s="224" t="n"/>
      <c r="BV325" s="224" t="n"/>
      <c r="BW325" s="224" t="n"/>
      <c r="BX325" s="224" t="n"/>
      <c r="BY325" s="867" t="n"/>
      <c r="BZ325" s="224" t="n"/>
      <c r="CA325" s="224" t="n"/>
      <c r="CB325" s="224" t="n"/>
      <c r="CC325" s="224" t="n"/>
      <c r="CD325" s="867" t="n"/>
      <c r="CE325" s="224" t="n"/>
      <c r="CF325" s="224" t="n"/>
      <c r="CG325" s="224" t="n"/>
      <c r="CH325" s="224" t="n"/>
      <c r="CI325" s="224" t="n"/>
      <c r="CJ325" s="224" t="n"/>
      <c r="CK325" s="224" t="n"/>
      <c r="CL325" s="224" t="n"/>
      <c r="CM325" s="224" t="n"/>
      <c r="CN325" s="224" t="n"/>
      <c r="CO325" s="224" t="n"/>
      <c r="CP325" s="224" t="n"/>
      <c r="CQ325" s="693" t="n"/>
    </row>
    <row r="326" ht="16.5" customHeight="1">
      <c r="B326" t="inlineStr">
        <is>
          <t>Operating earnings</t>
        </is>
      </c>
      <c r="C326" s="291">
        <f>IF(ISNUMBER(C150),IF(C150&gt;0,C150,C126),C126)</f>
        <v/>
      </c>
      <c r="D326" s="291">
        <f>IF(ISNUMBER(D150),IF(D150&gt;0,D150,D126),D126)</f>
        <v/>
      </c>
      <c r="E326" s="291">
        <f>IF(ISNUMBER(E150),IF(E150&gt;0,E150,E126),E126)</f>
        <v/>
      </c>
      <c r="F326" s="291">
        <f>IF(ISNUMBER(F150),IF(F150&gt;0,F150,F126),F126)</f>
        <v/>
      </c>
      <c r="G326" s="864">
        <f>IF(ISNUMBER(G150),IF(G150&gt;0,G150,G126),G126)</f>
        <v/>
      </c>
      <c r="H326" s="291">
        <f>IF(ISNUMBER(H150),IF(H150&gt;0,H150,H126),H126)</f>
        <v/>
      </c>
      <c r="I326" s="291">
        <f>IF(ISNUMBER(I150),IF(I150&gt;0,I150,I126),I126)</f>
        <v/>
      </c>
      <c r="J326" s="291">
        <f>IF(ISNUMBER(J150),IF(J150&gt;0,J150,J126),J126)</f>
        <v/>
      </c>
      <c r="K326" s="291">
        <f>IF(ISNUMBER(K150),IF(K150&gt;0,K150,K126),K126)</f>
        <v/>
      </c>
      <c r="L326" s="864">
        <f>IF(ISNUMBER(L150),IF(L150&gt;0,L150,L126),L126)</f>
        <v/>
      </c>
      <c r="M326" s="291">
        <f>IF(ISNUMBER(M150),IF(M150&gt;0,M150,M126),M126)</f>
        <v/>
      </c>
      <c r="N326" s="291">
        <f>IF(ISNUMBER(N150),IF(N150&gt;0,N150,N126),N126)</f>
        <v/>
      </c>
      <c r="O326" s="291">
        <f>IF(ISNUMBER(O150),IF(O150&gt;0,O150,O126),O126)</f>
        <v/>
      </c>
      <c r="P326" s="291">
        <f>IF(ISNUMBER(P150),IF(P150&gt;0,P150,P126),P126)</f>
        <v/>
      </c>
      <c r="Q326" s="864">
        <f>IF(ISNUMBER(Q150),IF(Q150&gt;0,Q150,Q126),Q126)</f>
        <v/>
      </c>
      <c r="R326" s="291">
        <f>IF(ISNUMBER(R150),IF(R150&gt;0,R150,R126),R126)</f>
        <v/>
      </c>
      <c r="S326" s="291">
        <f>IF(ISNUMBER(S150),IF(S150&gt;0,S150,S126),S126)</f>
        <v/>
      </c>
      <c r="T326" s="291">
        <f>IF(ISNUMBER(T150),IF(T150&gt;0,T150,T126),T126)</f>
        <v/>
      </c>
      <c r="U326" s="291">
        <f>IF(ISNUMBER(U150),IF(U150&gt;0,U150,U126),U126)</f>
        <v/>
      </c>
      <c r="V326" s="864">
        <f>IF(ISNUMBER(V150),IF(V150&gt;0,V150,V126),V126)</f>
        <v/>
      </c>
      <c r="W326" s="291">
        <f>IF(ISNUMBER(W150),IF(W150&gt;0,W150,W126),W126)</f>
        <v/>
      </c>
      <c r="X326" s="291">
        <f>IF(ISNUMBER(X150),IF(X150&gt;0,X150,X126),X126)</f>
        <v/>
      </c>
      <c r="Y326" s="291">
        <f>IF(ISNUMBER(Y150),IF(Y150&gt;0,Y150,Y126),Y126)</f>
        <v/>
      </c>
      <c r="Z326" s="291">
        <f>IF(ISNUMBER(Z150),IF(Z150&gt;0,Z150,Z126),Z126)</f>
        <v/>
      </c>
      <c r="AA326" s="864">
        <f>IF(ISNUMBER(AA150),IF(AA150&gt;0,AA150,AA126),AA126)</f>
        <v/>
      </c>
      <c r="AB326" s="291">
        <f>IF(ISNUMBER(AB150),IF(AB150&gt;0,AB150,AB126),AB126)</f>
        <v/>
      </c>
      <c r="AC326" s="291">
        <f>IF(ISNUMBER(AC150),IF(AC150&gt;0,AC150,AC126),AC126)</f>
        <v/>
      </c>
      <c r="AD326" s="291">
        <f>IF(ISNUMBER(AD150),IF(AD150&gt;0,AD150,AD126),AD126)</f>
        <v/>
      </c>
      <c r="AE326" s="291">
        <f>IF(ISNUMBER(AE150),IF(AE150&gt;0,AE150,AE126),AE126)</f>
        <v/>
      </c>
      <c r="AF326" s="864">
        <f>IF(ISNUMBER(AF150),IF(AF150&gt;0,AF150,AF126),AF126)</f>
        <v/>
      </c>
      <c r="AG326" s="291">
        <f>IF(ISNUMBER(AG150),IF(AG150&gt;0,AG150,AG126),AG126)</f>
        <v/>
      </c>
      <c r="AH326" s="291">
        <f>IF(ISNUMBER(AH150),IF(AH150&gt;0,AH150,AH126),AH126)</f>
        <v/>
      </c>
      <c r="AI326" s="291">
        <f>IF(ISNUMBER(AI150),IF(AI150&gt;0,AI150,AI126),AI126)</f>
        <v/>
      </c>
      <c r="AJ326" s="291">
        <f>IF(ISNUMBER(AJ150),IF(AJ150&gt;0,AJ150,AJ126),AJ126)</f>
        <v/>
      </c>
      <c r="AK326" s="864">
        <f>IF(ISNUMBER(AK150),IF(AK150&gt;0,AK150,AK126),AK126)</f>
        <v/>
      </c>
      <c r="AL326" s="291">
        <f>IF(ISNUMBER(AL150),IF(AL150&gt;0,AL150,AL126),AL126)</f>
        <v/>
      </c>
      <c r="AM326" s="291">
        <f>IF(ISNUMBER(AM150),IF(AM150&gt;0,AM150,AM126),AM126)</f>
        <v/>
      </c>
      <c r="AN326" s="291">
        <f>IF(ISNUMBER(AN150),IF(AN150&gt;0,AN150,AN126),AN126)</f>
        <v/>
      </c>
      <c r="AO326" s="291">
        <f>IF(ISNUMBER(AO150),IF(AO150&gt;0,AO150,AO126),AO126)</f>
        <v/>
      </c>
      <c r="AP326" s="864">
        <f>IF(ISNUMBER(AP150),IF(AP150&gt;0,AP150,AP126),AP126)</f>
        <v/>
      </c>
      <c r="AQ326" s="291">
        <f>IF(ISNUMBER(AQ150),IF(AQ150&gt;0,AQ150,AQ126),AQ126)</f>
        <v/>
      </c>
      <c r="AR326" s="291">
        <f>IF(ISNUMBER(AR150),IF(AR150&gt;0,AR150,AR126),AR126)</f>
        <v/>
      </c>
      <c r="AS326" s="291">
        <f>IF(ISNUMBER(AS150),IF(AS150&gt;0,AS150,AS126),AS126)</f>
        <v/>
      </c>
      <c r="AT326" s="291">
        <f>IF(ISNUMBER(AT150),IF(AT150&gt;0,AT150,AT126),AT126)</f>
        <v/>
      </c>
      <c r="AU326" s="864">
        <f>IF(ISNUMBER(AU150),IF(AU150&gt;0,AU150,AU126),AU126)</f>
        <v/>
      </c>
      <c r="AV326" s="291">
        <f>IF(ISNUMBER(AV150),IF(AV150&gt;0,AV150,AV126),AV126)</f>
        <v/>
      </c>
      <c r="AW326" s="291">
        <f>IF(ISNUMBER(AW150),IF(AW150&gt;0,AW150,AW126),AW126)</f>
        <v/>
      </c>
      <c r="AX326" s="291">
        <f>IF(ISNUMBER(AX150),IF(AX150&gt;0,AX150,AX126),AX126)</f>
        <v/>
      </c>
      <c r="AY326" s="291">
        <f>IF(ISNUMBER(AY150),IF(AY150&gt;0,AY150,AY126),AY126)</f>
        <v/>
      </c>
      <c r="AZ326" s="864">
        <f>IF(ISNUMBER(AZ150),IF(AZ150&gt;0,AZ150,AZ126),AZ126)</f>
        <v/>
      </c>
      <c r="BA326" s="291">
        <f>IF(ISNUMBER(BA150),IF(BA150&gt;0,BA150,BA126),BA126)</f>
        <v/>
      </c>
      <c r="BB326" s="291">
        <f>IF(ISNUMBER(BB150),IF(BB150&gt;0,BB150,BB126),BB126)</f>
        <v/>
      </c>
      <c r="BC326" s="291">
        <f>IF(ISNUMBER(BC150),IF(BC150&gt;0,BC150,BC126),BC126)</f>
        <v/>
      </c>
      <c r="BD326" s="291">
        <f>IF(ISNUMBER(BD150),IF(BD150&gt;0,BD150,BD126),BD126)</f>
        <v/>
      </c>
      <c r="BE326" s="864">
        <f>IF(ISNUMBER(BE150),IF(BE150&gt;0,BE150,BE126),BE126)</f>
        <v/>
      </c>
      <c r="BF326" s="291">
        <f>IF(ISNUMBER(BF150),IF(BF150&gt;0,BF150,BF126),BF126)</f>
        <v/>
      </c>
      <c r="BG326" s="291">
        <f>IF(ISNUMBER(BG150),IF(BG150&gt;0,BG150,BG126),BG126)</f>
        <v/>
      </c>
      <c r="BH326" s="291">
        <f>IF(ISNUMBER(BH150),IF(BH150&gt;0,BH150,BH126),BH126)</f>
        <v/>
      </c>
      <c r="BI326" s="291">
        <f>IF(ISNUMBER(BI150),IF(BI150&gt;0,BI150,BI126),BI126)</f>
        <v/>
      </c>
      <c r="BJ326" s="864">
        <f>IF(ISNUMBER(BJ150),IF(BJ150&gt;0,BJ150,BJ126),BJ126)</f>
        <v/>
      </c>
      <c r="BK326" s="291">
        <f>IF(ISNUMBER(BK150),IF(BK150&gt;0,BK150,BK126),BK126)</f>
        <v/>
      </c>
      <c r="BL326" s="291">
        <f>IF(ISNUMBER(BL150),IF(BL150&gt;0,BL150,BL126),BL126)</f>
        <v/>
      </c>
      <c r="BM326" s="291">
        <f>IF(ISNUMBER(BM150),IF(BM150&gt;0,BM150,BM126),BM126)</f>
        <v/>
      </c>
      <c r="BN326" s="291">
        <f>IF(ISNUMBER(BN150),IF(BN150&gt;0,BN150,BN126),BN126)</f>
        <v/>
      </c>
      <c r="BO326" s="864">
        <f>IF(ISNUMBER(BO150),IF(BO150&gt;0,BO150,BO126),BO126)</f>
        <v/>
      </c>
      <c r="BP326" s="291">
        <f>IF(ISNUMBER(BP150),IF(BP150&gt;0,BP150,BP126),BP126)</f>
        <v/>
      </c>
      <c r="BQ326" s="291">
        <f>IF(ISNUMBER(BQ150),IF(BQ150&gt;0,BQ150,BQ126),BQ126)</f>
        <v/>
      </c>
      <c r="BR326" s="291">
        <f>IF(ISNUMBER(BR150),IF(BR150&gt;0,BR150,BR126),BR126)</f>
        <v/>
      </c>
      <c r="BS326" s="291">
        <f>IF(ISNUMBER(BS150),IF(BS150&gt;0,BS150,BS126),BS126)</f>
        <v/>
      </c>
      <c r="BT326" s="864">
        <f>IF(ISNUMBER(BT150),IF(BT150&gt;0,BT150,BT126),BT126)</f>
        <v/>
      </c>
      <c r="BU326" s="291">
        <f>IF(ISNUMBER(BU150),IF(BU150&gt;0,BU150,BU126),BU126)</f>
        <v/>
      </c>
      <c r="BV326" s="291">
        <f>IF(ISNUMBER(BV150),IF(BV150&gt;0,BV150,BV126),BV126)</f>
        <v/>
      </c>
      <c r="BW326" s="291">
        <f>IF(ISNUMBER(BW150),IF(BW150&gt;0,BW150,BW126),BW126)</f>
        <v/>
      </c>
      <c r="BX326" s="291">
        <f>IF(ISNUMBER(BX150),IF(BX150&gt;0,BX150,BX126),BX126)</f>
        <v/>
      </c>
      <c r="BY326" s="864">
        <f>IF(ISNUMBER(BY150),IF(BY150&gt;0,BY150,BY126),BY126)</f>
        <v/>
      </c>
      <c r="BZ326" s="291">
        <f>IF(ISNUMBER(BZ150),IF(BZ150&gt;0,BZ150,BZ126),BZ126)</f>
        <v/>
      </c>
      <c r="CA326" s="291">
        <f>IF(ISNUMBER(CA150),IF(CA150&gt;0,CA150,CA126),CA126)</f>
        <v/>
      </c>
      <c r="CB326" s="291">
        <f>IF(ISNUMBER(CB150),IF(CB150&gt;0,CB150,CB126),CB126)</f>
        <v/>
      </c>
      <c r="CC326" s="291">
        <f>IF(ISNUMBER(CC150),IF(CC150&gt;0,CC150,CC126),CC126)</f>
        <v/>
      </c>
      <c r="CD326" s="864">
        <f>IF(ISNUMBER(CD150),IF(CD150&gt;0,CD150,CD126),CD126)</f>
        <v/>
      </c>
      <c r="CE326" s="291">
        <f>IF(ISNUMBER(CE150),IF(CE150&gt;0,CE150,CE126),CE126)</f>
        <v/>
      </c>
      <c r="CF326" s="291">
        <f>IF(ISNUMBER(CF150),IF(CF150&gt;0,CF150,CF126),CF126)</f>
        <v/>
      </c>
      <c r="CG326" s="291">
        <f>IF(ISNUMBER(CG150),IF(CG150&gt;0,CG150,CG126),CG126)</f>
        <v/>
      </c>
      <c r="CH326" s="291">
        <f>IF(ISNUMBER(CH150),IF(CH150&gt;0,CH150,CH126),CH126)</f>
        <v/>
      </c>
      <c r="CI326" s="749">
        <f>IF(ISNUMBER(CI150),IF(CI150&gt;0,CI150,CI126),CI126)</f>
        <v/>
      </c>
      <c r="CJ326" s="749">
        <f>IF(ISNUMBER(CJ150),IF(CJ150&gt;0,CJ150,CJ126),CJ126)</f>
        <v/>
      </c>
      <c r="CK326" s="749">
        <f>IF(ISNUMBER(CK150),IF(CK150&gt;0,CK150,CK126),CK126)</f>
        <v/>
      </c>
      <c r="CL326" s="749">
        <f>IF(ISNUMBER(CL150),IF(CL150&gt;0,CL150,CL126),CL126)</f>
        <v/>
      </c>
      <c r="CM326" s="749">
        <f>IF(ISNUMBER(CM150),IF(CM150&gt;0,CM150,CM126),CM126)</f>
        <v/>
      </c>
      <c r="CN326" s="291" t="n"/>
      <c r="CO326" s="291" t="n"/>
      <c r="CP326" s="291" t="n"/>
      <c r="CQ326" s="693" t="n"/>
    </row>
    <row r="327" ht="16.5" customHeight="1">
      <c r="B327" s="681" t="inlineStr">
        <is>
          <t>Normalised tax rate</t>
        </is>
      </c>
      <c r="C327" s="974" t="n"/>
      <c r="D327" s="974" t="n"/>
      <c r="E327" s="974" t="n"/>
      <c r="F327" s="974" t="n"/>
      <c r="G327" s="986">
        <f>G132</f>
        <v/>
      </c>
      <c r="H327" s="985" t="n"/>
      <c r="I327" s="985" t="n"/>
      <c r="J327" s="985" t="n"/>
      <c r="K327" s="985" t="n"/>
      <c r="L327" s="986">
        <f>L132</f>
        <v/>
      </c>
      <c r="M327" s="985" t="n"/>
      <c r="N327" s="985" t="n"/>
      <c r="O327" s="985" t="n"/>
      <c r="P327" s="985" t="n"/>
      <c r="Q327" s="986">
        <f>Q132</f>
        <v/>
      </c>
      <c r="R327" s="985" t="n"/>
      <c r="S327" s="985" t="n"/>
      <c r="T327" s="985" t="n"/>
      <c r="U327" s="985" t="n"/>
      <c r="V327" s="986">
        <f>V132</f>
        <v/>
      </c>
      <c r="W327" s="985" t="n"/>
      <c r="X327" s="985" t="n"/>
      <c r="Y327" s="985" t="n"/>
      <c r="Z327" s="985" t="n"/>
      <c r="AA327" s="986">
        <f>AA132</f>
        <v/>
      </c>
      <c r="AB327" s="985" t="n"/>
      <c r="AC327" s="985" t="n"/>
      <c r="AD327" s="985" t="n"/>
      <c r="AE327" s="985" t="n"/>
      <c r="AF327" s="986">
        <f>AF132</f>
        <v/>
      </c>
      <c r="AG327" s="985" t="n"/>
      <c r="AH327" s="985" t="n"/>
      <c r="AI327" s="985" t="n"/>
      <c r="AJ327" s="985" t="n"/>
      <c r="AK327" s="986">
        <f>AK132</f>
        <v/>
      </c>
      <c r="AL327" s="985" t="n"/>
      <c r="AM327" s="985" t="n"/>
      <c r="AN327" s="985" t="n"/>
      <c r="AO327" s="985" t="n"/>
      <c r="AP327" s="986">
        <f>AP132</f>
        <v/>
      </c>
      <c r="AQ327" s="985" t="n"/>
      <c r="AR327" s="985" t="n"/>
      <c r="AS327" s="985" t="n"/>
      <c r="AT327" s="985" t="n"/>
      <c r="AU327" s="986">
        <f>AU132</f>
        <v/>
      </c>
      <c r="AV327" s="985" t="n"/>
      <c r="AW327" s="985" t="n"/>
      <c r="AX327" s="985" t="n"/>
      <c r="AY327" s="985" t="n"/>
      <c r="AZ327" s="986">
        <f>AZ132</f>
        <v/>
      </c>
      <c r="BA327" s="985" t="n"/>
      <c r="BB327" s="985" t="n"/>
      <c r="BC327" s="985" t="n"/>
      <c r="BD327" s="985" t="n"/>
      <c r="BE327" s="986" t="n"/>
      <c r="BF327" s="985" t="n"/>
      <c r="BG327" s="985" t="n"/>
      <c r="BH327" s="985" t="n"/>
      <c r="BI327" s="985" t="n"/>
      <c r="BJ327" s="986">
        <f>BJ132</f>
        <v/>
      </c>
      <c r="BK327" s="985" t="n"/>
      <c r="BL327" s="985" t="n"/>
      <c r="BM327" s="985" t="n"/>
      <c r="BN327" s="985" t="n"/>
      <c r="BO327" s="986">
        <f>BO132</f>
        <v/>
      </c>
      <c r="BP327" s="985" t="n"/>
      <c r="BQ327" s="985" t="n"/>
      <c r="BR327" s="985" t="n"/>
      <c r="BS327" s="985" t="n"/>
      <c r="BT327" s="986">
        <f>BT132</f>
        <v/>
      </c>
      <c r="BU327" s="985" t="n"/>
      <c r="BV327" s="985" t="n"/>
      <c r="BW327" s="985" t="n"/>
      <c r="BX327" s="985" t="n"/>
      <c r="BY327" s="986">
        <f>BY132</f>
        <v/>
      </c>
      <c r="BZ327" s="985" t="n"/>
      <c r="CA327" s="985" t="n"/>
      <c r="CB327" s="985" t="n"/>
      <c r="CC327" s="985" t="n"/>
      <c r="CD327" s="986">
        <f>CD132</f>
        <v/>
      </c>
      <c r="CE327" s="985">
        <f>CE132</f>
        <v/>
      </c>
      <c r="CF327" s="985">
        <f>CF132</f>
        <v/>
      </c>
      <c r="CG327" s="985">
        <f>CG132</f>
        <v/>
      </c>
      <c r="CH327" s="985">
        <f>CH132</f>
        <v/>
      </c>
      <c r="CI327" s="987">
        <f>CI132</f>
        <v/>
      </c>
      <c r="CJ327" s="987">
        <f>CJ132</f>
        <v/>
      </c>
      <c r="CK327" s="987">
        <f>CK132</f>
        <v/>
      </c>
      <c r="CL327" s="987">
        <f>CL132</f>
        <v/>
      </c>
      <c r="CM327" s="987">
        <f>CM132</f>
        <v/>
      </c>
      <c r="CN327" s="974" t="n"/>
      <c r="CO327" s="974" t="n"/>
      <c r="CP327" s="974" t="n"/>
      <c r="CQ327" s="693" t="n"/>
    </row>
    <row r="328" ht="16.5" customHeight="1">
      <c r="B328" t="inlineStr">
        <is>
          <t>NOPAT = EBIT × (1 − tax rate)</t>
        </is>
      </c>
      <c r="C328" s="678" t="n"/>
      <c r="D328" s="678" t="n"/>
      <c r="E328" s="678" t="n"/>
      <c r="F328" s="678" t="n"/>
      <c r="G328" s="864">
        <f>G326*(1-G327)</f>
        <v/>
      </c>
      <c r="H328" s="291" t="n"/>
      <c r="I328" s="291" t="n"/>
      <c r="J328" s="291" t="n"/>
      <c r="K328" s="291" t="n"/>
      <c r="L328" s="864">
        <f>L326*(1-L327)</f>
        <v/>
      </c>
      <c r="M328" s="291" t="n"/>
      <c r="N328" s="291" t="n"/>
      <c r="O328" s="291" t="n"/>
      <c r="P328" s="291" t="n"/>
      <c r="Q328" s="864">
        <f>Q326*(1-Q327)</f>
        <v/>
      </c>
      <c r="R328" s="291" t="n"/>
      <c r="S328" s="291" t="n"/>
      <c r="T328" s="291" t="n"/>
      <c r="U328" s="291" t="n"/>
      <c r="V328" s="864">
        <f>V326*(1-V327)</f>
        <v/>
      </c>
      <c r="W328" s="291" t="n"/>
      <c r="X328" s="291" t="n"/>
      <c r="Y328" s="291" t="n"/>
      <c r="Z328" s="291" t="n"/>
      <c r="AA328" s="864">
        <f>AA326*(1-AA327)</f>
        <v/>
      </c>
      <c r="AB328" s="291" t="n"/>
      <c r="AC328" s="291" t="n"/>
      <c r="AD328" s="291" t="n"/>
      <c r="AE328" s="291" t="n"/>
      <c r="AF328" s="864">
        <f>AF326*(1-AF327)</f>
        <v/>
      </c>
      <c r="AG328" s="291" t="n"/>
      <c r="AH328" s="291" t="n"/>
      <c r="AI328" s="291" t="n"/>
      <c r="AJ328" s="291" t="n"/>
      <c r="AK328" s="864">
        <f>AK326*(1-AK327)</f>
        <v/>
      </c>
      <c r="AL328" s="291" t="n"/>
      <c r="AM328" s="291" t="n"/>
      <c r="AN328" s="291" t="n"/>
      <c r="AO328" s="291" t="n"/>
      <c r="AP328" s="864">
        <f>AP326*(1-AP327)</f>
        <v/>
      </c>
      <c r="AQ328" s="291" t="n"/>
      <c r="AR328" s="291" t="n"/>
      <c r="AS328" s="291" t="n"/>
      <c r="AT328" s="291" t="n"/>
      <c r="AU328" s="864">
        <f>AU326*(1-AU327)</f>
        <v/>
      </c>
      <c r="AV328" s="291" t="n"/>
      <c r="AW328" s="291" t="n"/>
      <c r="AX328" s="291" t="n"/>
      <c r="AY328" s="291" t="n"/>
      <c r="AZ328" s="864">
        <f>AZ326*(1-AZ327)</f>
        <v/>
      </c>
      <c r="BA328" s="291" t="n"/>
      <c r="BB328" s="291" t="n"/>
      <c r="BC328" s="291" t="n"/>
      <c r="BD328" s="291" t="n"/>
      <c r="BE328" s="864">
        <f>BE326*(1-BE327)</f>
        <v/>
      </c>
      <c r="BF328" s="291" t="n"/>
      <c r="BG328" s="291" t="n"/>
      <c r="BH328" s="291" t="n"/>
      <c r="BI328" s="291" t="n"/>
      <c r="BJ328" s="864">
        <f>BJ326*(1-BJ327)</f>
        <v/>
      </c>
      <c r="BK328" s="291" t="n"/>
      <c r="BL328" s="291" t="n"/>
      <c r="BM328" s="291" t="n"/>
      <c r="BN328" s="291" t="n"/>
      <c r="BO328" s="864">
        <f>BO326*(1-BO327)</f>
        <v/>
      </c>
      <c r="BP328" s="291" t="n"/>
      <c r="BQ328" s="291" t="n"/>
      <c r="BR328" s="291" t="n"/>
      <c r="BS328" s="291" t="n"/>
      <c r="BT328" s="864">
        <f>BT326*(1-BT327)</f>
        <v/>
      </c>
      <c r="BU328" s="291" t="n"/>
      <c r="BV328" s="291" t="n"/>
      <c r="BW328" s="291" t="n"/>
      <c r="BX328" s="291" t="n"/>
      <c r="BY328" s="864">
        <f>BY326*(1-BY327)</f>
        <v/>
      </c>
      <c r="BZ328" s="291" t="n"/>
      <c r="CA328" s="291" t="n"/>
      <c r="CB328" s="291" t="n"/>
      <c r="CC328" s="291" t="n"/>
      <c r="CD328" s="864">
        <f>CD326*(1-CD327)</f>
        <v/>
      </c>
      <c r="CE328" s="291">
        <f>CE326*(1-CE327)</f>
        <v/>
      </c>
      <c r="CF328" s="291">
        <f>CF326*(1-CF327)</f>
        <v/>
      </c>
      <c r="CG328" s="291">
        <f>CG326*(1-CG327)</f>
        <v/>
      </c>
      <c r="CH328" s="291">
        <f>CH326*(1-CH327)</f>
        <v/>
      </c>
      <c r="CI328" s="749">
        <f>CI326*(1-CI327)</f>
        <v/>
      </c>
      <c r="CJ328" s="749">
        <f>CJ326*(1-CJ327)</f>
        <v/>
      </c>
      <c r="CK328" s="749">
        <f>CK326*(1-CK327)</f>
        <v/>
      </c>
      <c r="CL328" s="749">
        <f>CL326*(1-CL327)</f>
        <v/>
      </c>
      <c r="CM328" s="749">
        <f>CM326*(1-CM327)</f>
        <v/>
      </c>
      <c r="CN328" s="678" t="n"/>
      <c r="CO328" s="678" t="n"/>
      <c r="CP328" s="678" t="n"/>
      <c r="CQ328" s="693" t="n"/>
    </row>
    <row r="329" ht="16.5" customHeight="1">
      <c r="B329" t="inlineStr">
        <is>
          <t>Invested capital (Equity + Net debt)</t>
        </is>
      </c>
      <c r="C329" s="678" t="n"/>
      <c r="D329" s="678" t="n"/>
      <c r="E329" s="678" t="n"/>
      <c r="F329" s="678" t="n"/>
      <c r="G329" s="864">
        <f>G330+G331</f>
        <v/>
      </c>
      <c r="H329" s="291" t="n"/>
      <c r="I329" s="291" t="n"/>
      <c r="J329" s="291" t="n"/>
      <c r="K329" s="291" t="n"/>
      <c r="L329" s="864">
        <f>L330+L331</f>
        <v/>
      </c>
      <c r="M329" s="291" t="n"/>
      <c r="N329" s="291" t="n"/>
      <c r="O329" s="291" t="n"/>
      <c r="P329" s="291" t="n"/>
      <c r="Q329" s="864">
        <f>Q330+Q331</f>
        <v/>
      </c>
      <c r="R329" s="291" t="n"/>
      <c r="S329" s="291" t="n"/>
      <c r="T329" s="291" t="n"/>
      <c r="U329" s="291" t="n"/>
      <c r="V329" s="864">
        <f>V330+V331</f>
        <v/>
      </c>
      <c r="W329" s="291" t="n"/>
      <c r="X329" s="291" t="n"/>
      <c r="Y329" s="291" t="n"/>
      <c r="Z329" s="291" t="n"/>
      <c r="AA329" s="864">
        <f>AA330+AA331</f>
        <v/>
      </c>
      <c r="AB329" s="291" t="n"/>
      <c r="AC329" s="291" t="n"/>
      <c r="AD329" s="291" t="n"/>
      <c r="AE329" s="291" t="n"/>
      <c r="AF329" s="864">
        <f>AF330+AF331</f>
        <v/>
      </c>
      <c r="AG329" s="291" t="n"/>
      <c r="AH329" s="291" t="n"/>
      <c r="AI329" s="291" t="n"/>
      <c r="AJ329" s="291" t="n"/>
      <c r="AK329" s="864">
        <f>AK330+AK331</f>
        <v/>
      </c>
      <c r="AL329" s="291" t="n"/>
      <c r="AM329" s="291" t="n"/>
      <c r="AN329" s="291" t="n"/>
      <c r="AO329" s="291" t="n"/>
      <c r="AP329" s="864">
        <f>AP330+AP331</f>
        <v/>
      </c>
      <c r="AQ329" s="291" t="n"/>
      <c r="AR329" s="291" t="n"/>
      <c r="AS329" s="291" t="n"/>
      <c r="AT329" s="291" t="n"/>
      <c r="AU329" s="864">
        <f>AU330+AU331</f>
        <v/>
      </c>
      <c r="AV329" s="291" t="n"/>
      <c r="AW329" s="291" t="n"/>
      <c r="AX329" s="291" t="n"/>
      <c r="AY329" s="291" t="n"/>
      <c r="AZ329" s="864">
        <f>AZ330+AZ331</f>
        <v/>
      </c>
      <c r="BA329" s="291" t="n"/>
      <c r="BB329" s="291" t="n"/>
      <c r="BC329" s="291" t="n"/>
      <c r="BD329" s="291" t="n"/>
      <c r="BE329" s="864">
        <f>BE330+BE331</f>
        <v/>
      </c>
      <c r="BF329" s="291" t="n"/>
      <c r="BG329" s="291" t="n"/>
      <c r="BH329" s="291" t="n"/>
      <c r="BI329" s="291" t="n"/>
      <c r="BJ329" s="864">
        <f>BJ330+BJ331</f>
        <v/>
      </c>
      <c r="BK329" s="291" t="n"/>
      <c r="BL329" s="291" t="n"/>
      <c r="BM329" s="291" t="n"/>
      <c r="BN329" s="291" t="n"/>
      <c r="BO329" s="864">
        <f>BO330+BO331</f>
        <v/>
      </c>
      <c r="BP329" s="291" t="n"/>
      <c r="BQ329" s="291" t="n"/>
      <c r="BR329" s="291" t="n"/>
      <c r="BS329" s="291" t="n"/>
      <c r="BT329" s="864">
        <f>BT330+BT331</f>
        <v/>
      </c>
      <c r="BU329" s="291" t="n"/>
      <c r="BV329" s="291" t="n"/>
      <c r="BW329" s="291" t="n"/>
      <c r="BX329" s="291" t="n"/>
      <c r="BY329" s="864">
        <f>BY330+BY331</f>
        <v/>
      </c>
      <c r="BZ329" s="291" t="n"/>
      <c r="CA329" s="291" t="n"/>
      <c r="CB329" s="291" t="n"/>
      <c r="CC329" s="291" t="n"/>
      <c r="CD329" s="864">
        <f>CD330+CD331</f>
        <v/>
      </c>
      <c r="CE329" s="291">
        <f>CE330+CE331</f>
        <v/>
      </c>
      <c r="CF329" s="291">
        <f>CF330+CF331</f>
        <v/>
      </c>
      <c r="CG329" s="291">
        <f>CG330+CG331</f>
        <v/>
      </c>
      <c r="CH329" s="291">
        <f>CH330+CH331</f>
        <v/>
      </c>
      <c r="CI329" s="749">
        <f>CI330+CI331</f>
        <v/>
      </c>
      <c r="CJ329" s="749">
        <f>CJ330+CJ331</f>
        <v/>
      </c>
      <c r="CK329" s="749">
        <f>CK330+CK331</f>
        <v/>
      </c>
      <c r="CL329" s="749">
        <f>CL330+CL331</f>
        <v/>
      </c>
      <c r="CM329" s="749">
        <f>CM330+CM331</f>
        <v/>
      </c>
      <c r="CN329" s="678" t="n"/>
      <c r="CO329" s="678" t="n"/>
      <c r="CP329" s="678" t="n"/>
      <c r="CQ329" s="693" t="n"/>
    </row>
    <row r="330" ht="16.5" customHeight="1">
      <c r="B330" t="inlineStr">
        <is>
          <t xml:space="preserve">  Total equity</t>
        </is>
      </c>
      <c r="C330" s="291" t="n"/>
      <c r="D330" s="291" t="n"/>
      <c r="E330" s="291" t="n"/>
      <c r="F330" s="291" t="n"/>
      <c r="G330" s="864">
        <f>G260</f>
        <v/>
      </c>
      <c r="H330" s="291" t="n"/>
      <c r="I330" s="291" t="n"/>
      <c r="J330" s="291" t="n"/>
      <c r="K330" s="291" t="n"/>
      <c r="L330" s="864">
        <f>L260</f>
        <v/>
      </c>
      <c r="M330" s="291" t="n"/>
      <c r="N330" s="291" t="n"/>
      <c r="O330" s="291" t="n"/>
      <c r="P330" s="291" t="n"/>
      <c r="Q330" s="864">
        <f>Q260</f>
        <v/>
      </c>
      <c r="R330" s="291" t="n"/>
      <c r="S330" s="291" t="n"/>
      <c r="T330" s="291" t="n"/>
      <c r="U330" s="291" t="n"/>
      <c r="V330" s="864">
        <f>V260</f>
        <v/>
      </c>
      <c r="W330" s="291" t="n"/>
      <c r="X330" s="291" t="n"/>
      <c r="Y330" s="291" t="n"/>
      <c r="Z330" s="291" t="n"/>
      <c r="AA330" s="864">
        <f>AA260</f>
        <v/>
      </c>
      <c r="AB330" s="291" t="n"/>
      <c r="AC330" s="291" t="n"/>
      <c r="AD330" s="291" t="n"/>
      <c r="AE330" s="291" t="n"/>
      <c r="AF330" s="864">
        <f>AF260</f>
        <v/>
      </c>
      <c r="AG330" s="291" t="n"/>
      <c r="AH330" s="291" t="n"/>
      <c r="AI330" s="291" t="n"/>
      <c r="AJ330" s="291" t="n"/>
      <c r="AK330" s="864">
        <f>AK260</f>
        <v/>
      </c>
      <c r="AL330" s="291" t="n"/>
      <c r="AM330" s="291" t="n"/>
      <c r="AN330" s="291" t="n"/>
      <c r="AO330" s="291" t="n"/>
      <c r="AP330" s="864">
        <f>AP260</f>
        <v/>
      </c>
      <c r="AQ330" s="291" t="n"/>
      <c r="AR330" s="291" t="n"/>
      <c r="AS330" s="291" t="n"/>
      <c r="AT330" s="291" t="n"/>
      <c r="AU330" s="864">
        <f>AU260</f>
        <v/>
      </c>
      <c r="AV330" s="291" t="n"/>
      <c r="AW330" s="291" t="n"/>
      <c r="AX330" s="291" t="n"/>
      <c r="AY330" s="291" t="n"/>
      <c r="AZ330" s="864">
        <f>AZ260</f>
        <v/>
      </c>
      <c r="BA330" s="291" t="n"/>
      <c r="BB330" s="291" t="n"/>
      <c r="BC330" s="291" t="n"/>
      <c r="BD330" s="291" t="n"/>
      <c r="BE330" s="864">
        <f>BE260</f>
        <v/>
      </c>
      <c r="BF330" s="291" t="n"/>
      <c r="BG330" s="291" t="n"/>
      <c r="BH330" s="291" t="n"/>
      <c r="BI330" s="291" t="n"/>
      <c r="BJ330" s="864">
        <f>BJ260</f>
        <v/>
      </c>
      <c r="BK330" s="291" t="n"/>
      <c r="BL330" s="291" t="n"/>
      <c r="BM330" s="291" t="n"/>
      <c r="BN330" s="291" t="n"/>
      <c r="BO330" s="864">
        <f>BO260</f>
        <v/>
      </c>
      <c r="BP330" s="291" t="n"/>
      <c r="BQ330" s="291" t="n"/>
      <c r="BR330" s="291" t="n"/>
      <c r="BS330" s="291" t="n"/>
      <c r="BT330" s="864">
        <f>BT260</f>
        <v/>
      </c>
      <c r="BU330" s="291" t="n"/>
      <c r="BV330" s="291" t="n"/>
      <c r="BW330" s="291" t="n"/>
      <c r="BX330" s="291" t="n"/>
      <c r="BY330" s="864">
        <f>BY260</f>
        <v/>
      </c>
      <c r="BZ330" s="291" t="n"/>
      <c r="CA330" s="291" t="n"/>
      <c r="CB330" s="291" t="n"/>
      <c r="CC330" s="291" t="n"/>
      <c r="CD330" s="864">
        <f>CD260</f>
        <v/>
      </c>
      <c r="CE330" s="291">
        <f>CE260</f>
        <v/>
      </c>
      <c r="CF330" s="291">
        <f>CF260</f>
        <v/>
      </c>
      <c r="CG330" s="291">
        <f>CG260</f>
        <v/>
      </c>
      <c r="CH330" s="291">
        <f>CH260</f>
        <v/>
      </c>
      <c r="CI330" s="749">
        <f>CI260</f>
        <v/>
      </c>
      <c r="CJ330" s="749">
        <f>CJ260</f>
        <v/>
      </c>
      <c r="CK330" s="749">
        <f>CK260</f>
        <v/>
      </c>
      <c r="CL330" s="749">
        <f>CL260</f>
        <v/>
      </c>
      <c r="CM330" s="749">
        <f>CM260</f>
        <v/>
      </c>
      <c r="CN330" s="291" t="n"/>
      <c r="CO330" s="291" t="n"/>
      <c r="CP330" s="291" t="n"/>
      <c r="CQ330" s="693" t="n"/>
    </row>
    <row r="331" ht="16.5" customHeight="1">
      <c r="B331" t="inlineStr">
        <is>
          <t xml:space="preserve">  Net debt (LT debt + ST debt − Cash)</t>
        </is>
      </c>
      <c r="C331" s="291" t="n"/>
      <c r="D331" s="291" t="n"/>
      <c r="E331" s="291" t="n"/>
      <c r="F331" s="291" t="n"/>
      <c r="G331" s="864">
        <f>G241+G242+G248-G226</f>
        <v/>
      </c>
      <c r="H331" s="291" t="n"/>
      <c r="I331" s="291" t="n"/>
      <c r="J331" s="291" t="n"/>
      <c r="K331" s="291" t="n"/>
      <c r="L331" s="864">
        <f>L241+L242+L248-L226</f>
        <v/>
      </c>
      <c r="M331" s="291" t="n"/>
      <c r="N331" s="291" t="n"/>
      <c r="O331" s="291" t="n"/>
      <c r="P331" s="291" t="n"/>
      <c r="Q331" s="864">
        <f>Q241+Q242+Q248-Q226</f>
        <v/>
      </c>
      <c r="R331" s="291" t="n"/>
      <c r="S331" s="291" t="n"/>
      <c r="T331" s="291" t="n"/>
      <c r="U331" s="291" t="n"/>
      <c r="V331" s="864">
        <f>V241+V242+V248-V226</f>
        <v/>
      </c>
      <c r="W331" s="291" t="n"/>
      <c r="X331" s="291" t="n"/>
      <c r="Y331" s="291" t="n"/>
      <c r="Z331" s="291" t="n"/>
      <c r="AA331" s="864">
        <f>AA241+AA242+AA248-AA226</f>
        <v/>
      </c>
      <c r="AB331" s="291" t="n"/>
      <c r="AC331" s="291" t="n"/>
      <c r="AD331" s="291" t="n"/>
      <c r="AE331" s="291" t="n"/>
      <c r="AF331" s="864">
        <f>AF241+AF242+AF248-AF226</f>
        <v/>
      </c>
      <c r="AG331" s="291" t="n"/>
      <c r="AH331" s="291" t="n"/>
      <c r="AI331" s="291" t="n"/>
      <c r="AJ331" s="291" t="n"/>
      <c r="AK331" s="864">
        <f>AK241+AK242+AK248-AK226</f>
        <v/>
      </c>
      <c r="AL331" s="291" t="n"/>
      <c r="AM331" s="291" t="n"/>
      <c r="AN331" s="291" t="n"/>
      <c r="AO331" s="291" t="n"/>
      <c r="AP331" s="864">
        <f>AP241+AP242+AP248-AP226</f>
        <v/>
      </c>
      <c r="AQ331" s="291" t="n"/>
      <c r="AR331" s="291" t="n"/>
      <c r="AS331" s="291" t="n"/>
      <c r="AT331" s="291" t="n"/>
      <c r="AU331" s="864">
        <f>AU241+AU242+AU248-AU226</f>
        <v/>
      </c>
      <c r="AV331" s="291" t="n"/>
      <c r="AW331" s="291" t="n"/>
      <c r="AX331" s="291" t="n"/>
      <c r="AY331" s="291" t="n"/>
      <c r="AZ331" s="864">
        <f>AZ241+AZ242+AZ248-AZ226</f>
        <v/>
      </c>
      <c r="BA331" s="291" t="n"/>
      <c r="BB331" s="291" t="n"/>
      <c r="BC331" s="291" t="n"/>
      <c r="BD331" s="291" t="n"/>
      <c r="BE331" s="864">
        <f>BE241+BE242+BE248-BE226</f>
        <v/>
      </c>
      <c r="BF331" s="291" t="n"/>
      <c r="BG331" s="291" t="n"/>
      <c r="BH331" s="291" t="n"/>
      <c r="BI331" s="291" t="n"/>
      <c r="BJ331" s="864">
        <f>BJ241+BJ242+BJ248-BJ226</f>
        <v/>
      </c>
      <c r="BK331" s="291" t="n"/>
      <c r="BL331" s="291" t="n"/>
      <c r="BM331" s="291" t="n"/>
      <c r="BN331" s="291" t="n"/>
      <c r="BO331" s="864">
        <f>BO241+BO242+BO248-BO226</f>
        <v/>
      </c>
      <c r="BP331" s="291" t="n"/>
      <c r="BQ331" s="291" t="n"/>
      <c r="BR331" s="291" t="n"/>
      <c r="BS331" s="291" t="n"/>
      <c r="BT331" s="864">
        <f>BT241+BT242+BT248-BT226</f>
        <v/>
      </c>
      <c r="BU331" s="291" t="n"/>
      <c r="BV331" s="291" t="n"/>
      <c r="BW331" s="291" t="n"/>
      <c r="BX331" s="291" t="n"/>
      <c r="BY331" s="864">
        <f>BY241+BY242+BY248-BY226</f>
        <v/>
      </c>
      <c r="BZ331" s="291" t="n"/>
      <c r="CA331" s="291" t="n"/>
      <c r="CB331" s="291" t="n"/>
      <c r="CC331" s="291" t="n"/>
      <c r="CD331" s="864">
        <f>CD241+CD242+CD248-CD226</f>
        <v/>
      </c>
      <c r="CE331" s="291">
        <f>CE241+CE242+CE248-CE226</f>
        <v/>
      </c>
      <c r="CF331" s="291">
        <f>CF241+CF242+CF248-CF226</f>
        <v/>
      </c>
      <c r="CG331" s="291">
        <f>CG241+CG242+CG248-CG226</f>
        <v/>
      </c>
      <c r="CH331" s="291">
        <f>CH241+CH242+CH248-CH226</f>
        <v/>
      </c>
      <c r="CI331" s="749">
        <f>CI241+CI242+CI248-CI226</f>
        <v/>
      </c>
      <c r="CJ331" s="749">
        <f>CJ241+CJ242+CJ248-CJ226</f>
        <v/>
      </c>
      <c r="CK331" s="749">
        <f>CK241+CK242+CK248-CK226</f>
        <v/>
      </c>
      <c r="CL331" s="749">
        <f>CL241+CL242+CL248-CL226</f>
        <v/>
      </c>
      <c r="CM331" s="749">
        <f>CM241+CM242+CM248-CM226</f>
        <v/>
      </c>
      <c r="CN331" s="291" t="n"/>
      <c r="CO331" s="291" t="n"/>
      <c r="CP331" s="291" t="n"/>
      <c r="CQ331" s="693" t="n"/>
    </row>
    <row r="332" ht="16.5" customHeight="1">
      <c r="B332" s="1068" t="inlineStr">
        <is>
          <t>ROIC = NOPAT / Invested capital</t>
        </is>
      </c>
      <c r="C332" s="1068" t="n"/>
      <c r="D332" s="1068" t="n"/>
      <c r="E332" s="1068" t="n"/>
      <c r="F332" s="1068" t="n"/>
      <c r="G332" s="1069">
        <f>G328/G329</f>
        <v/>
      </c>
      <c r="H332" s="1070" t="n"/>
      <c r="I332" s="1070" t="n"/>
      <c r="J332" s="1070" t="n"/>
      <c r="K332" s="1070" t="n"/>
      <c r="L332" s="1069">
        <f>L328/L329</f>
        <v/>
      </c>
      <c r="M332" s="1070" t="n"/>
      <c r="N332" s="1070" t="n"/>
      <c r="O332" s="1070" t="n"/>
      <c r="P332" s="1070" t="n"/>
      <c r="Q332" s="1069">
        <f>Q328/Q329</f>
        <v/>
      </c>
      <c r="R332" s="1070" t="n"/>
      <c r="S332" s="1070" t="n"/>
      <c r="T332" s="1070" t="n"/>
      <c r="U332" s="1070" t="n"/>
      <c r="V332" s="1069">
        <f>V328/V329</f>
        <v/>
      </c>
      <c r="W332" s="1070" t="n"/>
      <c r="X332" s="1070" t="n"/>
      <c r="Y332" s="1070" t="n"/>
      <c r="Z332" s="1070" t="n"/>
      <c r="AA332" s="1069">
        <f>AA328/AA329</f>
        <v/>
      </c>
      <c r="AB332" s="1070" t="n"/>
      <c r="AC332" s="1070" t="n"/>
      <c r="AD332" s="1070" t="n"/>
      <c r="AE332" s="1070" t="n"/>
      <c r="AF332" s="1069">
        <f>AF328/AF329</f>
        <v/>
      </c>
      <c r="AG332" s="1070" t="n"/>
      <c r="AH332" s="1070" t="n"/>
      <c r="AI332" s="1070" t="n"/>
      <c r="AJ332" s="1070" t="n"/>
      <c r="AK332" s="1069">
        <f>AK328/AK329</f>
        <v/>
      </c>
      <c r="AL332" s="1070" t="n"/>
      <c r="AM332" s="1070" t="n"/>
      <c r="AN332" s="1070" t="n"/>
      <c r="AO332" s="1070" t="n"/>
      <c r="AP332" s="1069">
        <f>AP328/AP329</f>
        <v/>
      </c>
      <c r="AQ332" s="1070" t="n"/>
      <c r="AR332" s="1070" t="n"/>
      <c r="AS332" s="1070" t="n"/>
      <c r="AT332" s="1070" t="n"/>
      <c r="AU332" s="1069">
        <f>AU328/AU329</f>
        <v/>
      </c>
      <c r="AV332" s="1070" t="n"/>
      <c r="AW332" s="1070" t="n"/>
      <c r="AX332" s="1070" t="n"/>
      <c r="AY332" s="1070" t="n"/>
      <c r="AZ332" s="1069">
        <f>AZ328/AZ329</f>
        <v/>
      </c>
      <c r="BA332" s="1070" t="n"/>
      <c r="BB332" s="1070" t="n"/>
      <c r="BC332" s="1070" t="n"/>
      <c r="BD332" s="1070" t="n"/>
      <c r="BE332" s="1069">
        <f>BE328/BE329</f>
        <v/>
      </c>
      <c r="BF332" s="1070" t="n"/>
      <c r="BG332" s="1070" t="n"/>
      <c r="BH332" s="1070" t="n"/>
      <c r="BI332" s="1070" t="n"/>
      <c r="BJ332" s="1069">
        <f>BJ328/BJ329</f>
        <v/>
      </c>
      <c r="BK332" s="1070" t="n"/>
      <c r="BL332" s="1070" t="n"/>
      <c r="BM332" s="1070" t="n"/>
      <c r="BN332" s="1070" t="n"/>
      <c r="BO332" s="1069">
        <f>BO328/BO329</f>
        <v/>
      </c>
      <c r="BP332" s="1070" t="n"/>
      <c r="BQ332" s="1070" t="n"/>
      <c r="BR332" s="1070" t="n"/>
      <c r="BS332" s="1070" t="n"/>
      <c r="BT332" s="1069">
        <f>BT328/BT329</f>
        <v/>
      </c>
      <c r="BU332" s="1070" t="n"/>
      <c r="BV332" s="1070" t="n"/>
      <c r="BW332" s="1070" t="n"/>
      <c r="BX332" s="1070" t="n"/>
      <c r="BY332" s="1069">
        <f>BY328/BY329</f>
        <v/>
      </c>
      <c r="BZ332" s="1070" t="n"/>
      <c r="CA332" s="1070" t="n"/>
      <c r="CB332" s="1070" t="n"/>
      <c r="CC332" s="1070" t="n"/>
      <c r="CD332" s="1069">
        <f>CD328/CD329</f>
        <v/>
      </c>
      <c r="CE332" s="1070">
        <f>CE328/CE329</f>
        <v/>
      </c>
      <c r="CF332" s="1070">
        <f>CF328/CF329</f>
        <v/>
      </c>
      <c r="CG332" s="1070">
        <f>CG328/CG329</f>
        <v/>
      </c>
      <c r="CH332" s="1070">
        <f>CH328/CH329</f>
        <v/>
      </c>
      <c r="CI332" s="1070">
        <f>CI328/CI329</f>
        <v/>
      </c>
      <c r="CJ332" s="1070">
        <f>CJ328/CJ329</f>
        <v/>
      </c>
      <c r="CK332" s="1070">
        <f>CK328/CK329</f>
        <v/>
      </c>
      <c r="CL332" s="1070">
        <f>CL328/CL329</f>
        <v/>
      </c>
      <c r="CM332" s="1070">
        <f>CM328/CM329</f>
        <v/>
      </c>
      <c r="CN332" s="1068" t="n"/>
      <c r="CO332" s="1068" t="n"/>
      <c r="CP332" s="1068" t="n"/>
      <c r="CQ332" s="694" t="n"/>
    </row>
    <row r="333" ht="16.5" customHeight="1">
      <c r="B333" s="12" t="inlineStr">
        <is>
          <t xml:space="preserve">  Operating margin</t>
        </is>
      </c>
      <c r="C333" s="974" t="n"/>
      <c r="D333" s="974" t="n"/>
      <c r="E333" s="974" t="n"/>
      <c r="F333" s="974" t="n"/>
      <c r="G333" s="975">
        <f>G126/G114</f>
        <v/>
      </c>
      <c r="H333" s="974" t="n"/>
      <c r="I333" s="974" t="n"/>
      <c r="J333" s="974" t="n"/>
      <c r="K333" s="974" t="n"/>
      <c r="L333" s="975">
        <f>L126/L114</f>
        <v/>
      </c>
      <c r="M333" s="974" t="n"/>
      <c r="N333" s="974" t="n"/>
      <c r="O333" s="974" t="n"/>
      <c r="P333" s="974" t="n"/>
      <c r="Q333" s="975">
        <f>Q126/Q114</f>
        <v/>
      </c>
      <c r="R333" s="974" t="n"/>
      <c r="S333" s="974" t="n"/>
      <c r="T333" s="974" t="n"/>
      <c r="U333" s="974" t="n"/>
      <c r="V333" s="975">
        <f>V126/V114</f>
        <v/>
      </c>
      <c r="W333" s="974" t="n"/>
      <c r="X333" s="974" t="n"/>
      <c r="Y333" s="974" t="n"/>
      <c r="Z333" s="974" t="n"/>
      <c r="AA333" s="975">
        <f>AA126/AA114</f>
        <v/>
      </c>
      <c r="AB333" s="974" t="n"/>
      <c r="AC333" s="974" t="n"/>
      <c r="AD333" s="974" t="n"/>
      <c r="AE333" s="974" t="n"/>
      <c r="AF333" s="975">
        <f>AF126/AF114</f>
        <v/>
      </c>
      <c r="AG333" s="974" t="n"/>
      <c r="AH333" s="974" t="n"/>
      <c r="AI333" s="974" t="n"/>
      <c r="AJ333" s="974" t="n"/>
      <c r="AK333" s="975">
        <f>AK126/AK114</f>
        <v/>
      </c>
      <c r="AL333" s="974" t="n"/>
      <c r="AM333" s="974" t="n"/>
      <c r="AN333" s="974" t="n"/>
      <c r="AO333" s="974" t="n"/>
      <c r="AP333" s="975">
        <f>AP126/AP114</f>
        <v/>
      </c>
      <c r="AQ333" s="974" t="n"/>
      <c r="AR333" s="974" t="n"/>
      <c r="AS333" s="974" t="n"/>
      <c r="AT333" s="974" t="n"/>
      <c r="AU333" s="975">
        <f>AU126/AU114</f>
        <v/>
      </c>
      <c r="AV333" s="974" t="n"/>
      <c r="AW333" s="974" t="n"/>
      <c r="AX333" s="974" t="n"/>
      <c r="AY333" s="974" t="n"/>
      <c r="AZ333" s="975">
        <f>AZ126/AZ114</f>
        <v/>
      </c>
      <c r="BA333" s="974" t="n"/>
      <c r="BB333" s="974" t="n"/>
      <c r="BC333" s="974" t="n"/>
      <c r="BD333" s="974" t="n"/>
      <c r="BE333" s="975">
        <f>BE126/BE114</f>
        <v/>
      </c>
      <c r="BF333" s="974" t="n"/>
      <c r="BG333" s="974" t="n"/>
      <c r="BH333" s="974" t="n"/>
      <c r="BI333" s="974" t="n"/>
      <c r="BJ333" s="975">
        <f>BJ126/BJ114</f>
        <v/>
      </c>
      <c r="BK333" s="974" t="n"/>
      <c r="BL333" s="974" t="n"/>
      <c r="BM333" s="974" t="n"/>
      <c r="BN333" s="974" t="n"/>
      <c r="BO333" s="975">
        <f>BO126/BO114</f>
        <v/>
      </c>
      <c r="BP333" s="974" t="n"/>
      <c r="BQ333" s="974" t="n"/>
      <c r="BR333" s="974" t="n"/>
      <c r="BS333" s="974" t="n"/>
      <c r="BT333" s="975">
        <f>BT126/BT114</f>
        <v/>
      </c>
      <c r="BU333" s="974" t="n"/>
      <c r="BV333" s="974" t="n"/>
      <c r="BW333" s="974" t="n"/>
      <c r="BX333" s="974" t="n"/>
      <c r="BY333" s="975">
        <f>BY151</f>
        <v/>
      </c>
      <c r="BZ333" s="974" t="n"/>
      <c r="CA333" s="974" t="n"/>
      <c r="CB333" s="974" t="n"/>
      <c r="CC333" s="974" t="n"/>
      <c r="CD333" s="975">
        <f>CD151</f>
        <v/>
      </c>
      <c r="CE333" s="974">
        <f>CE151</f>
        <v/>
      </c>
      <c r="CF333" s="974">
        <f>CF151</f>
        <v/>
      </c>
      <c r="CG333" s="974">
        <f>CG151</f>
        <v/>
      </c>
      <c r="CH333" s="974">
        <f>CH151</f>
        <v/>
      </c>
      <c r="CI333" s="976">
        <f>CI151</f>
        <v/>
      </c>
      <c r="CJ333" s="976">
        <f>CJ151</f>
        <v/>
      </c>
      <c r="CK333" s="976">
        <f>CK151</f>
        <v/>
      </c>
      <c r="CL333" s="976">
        <f>CL151</f>
        <v/>
      </c>
      <c r="CM333" s="976">
        <f>CM151</f>
        <v/>
      </c>
      <c r="CN333" s="974" t="n"/>
      <c r="CO333" s="974" t="n"/>
      <c r="CP333" s="974" t="n"/>
      <c r="CQ333" s="693" t="n"/>
    </row>
    <row r="334" ht="16.5" customHeight="1">
      <c r="B334" s="12" t="inlineStr">
        <is>
          <t xml:space="preserve">  Capital turnover (Sales / IC)</t>
        </is>
      </c>
      <c r="C334" s="1071" t="n"/>
      <c r="D334" s="1071" t="n"/>
      <c r="E334" s="1071" t="n"/>
      <c r="F334" s="1071" t="n"/>
      <c r="G334" s="1072">
        <f>G114/G329</f>
        <v/>
      </c>
      <c r="H334" s="1071" t="n"/>
      <c r="I334" s="1071" t="n"/>
      <c r="J334" s="1071" t="n"/>
      <c r="K334" s="1071" t="n"/>
      <c r="L334" s="1072">
        <f>L114/L329</f>
        <v/>
      </c>
      <c r="M334" s="1071" t="n"/>
      <c r="N334" s="1071" t="n"/>
      <c r="O334" s="1071" t="n"/>
      <c r="P334" s="1071" t="n"/>
      <c r="Q334" s="1072">
        <f>Q114/Q329</f>
        <v/>
      </c>
      <c r="R334" s="1071" t="n"/>
      <c r="S334" s="1071" t="n"/>
      <c r="T334" s="1071" t="n"/>
      <c r="U334" s="1071" t="n"/>
      <c r="V334" s="1072">
        <f>V114/V329</f>
        <v/>
      </c>
      <c r="W334" s="1071" t="n"/>
      <c r="X334" s="1071" t="n"/>
      <c r="Y334" s="1071" t="n"/>
      <c r="Z334" s="1071" t="n"/>
      <c r="AA334" s="1072">
        <f>AA114/AA329</f>
        <v/>
      </c>
      <c r="AB334" s="1071" t="n"/>
      <c r="AC334" s="1071" t="n"/>
      <c r="AD334" s="1071" t="n"/>
      <c r="AE334" s="1071" t="n"/>
      <c r="AF334" s="1072">
        <f>AF114/AF329</f>
        <v/>
      </c>
      <c r="AG334" s="1071" t="n"/>
      <c r="AH334" s="1071" t="n"/>
      <c r="AI334" s="1071" t="n"/>
      <c r="AJ334" s="1071" t="n"/>
      <c r="AK334" s="1072">
        <f>AK114/AK329</f>
        <v/>
      </c>
      <c r="AL334" s="1071" t="n"/>
      <c r="AM334" s="1071" t="n"/>
      <c r="AN334" s="1071" t="n"/>
      <c r="AO334" s="1071" t="n"/>
      <c r="AP334" s="1072">
        <f>AP114/AP329</f>
        <v/>
      </c>
      <c r="AQ334" s="1071" t="n"/>
      <c r="AR334" s="1071" t="n"/>
      <c r="AS334" s="1071" t="n"/>
      <c r="AT334" s="1071" t="n"/>
      <c r="AU334" s="1072">
        <f>AU114/AU329</f>
        <v/>
      </c>
      <c r="AV334" s="1071" t="n"/>
      <c r="AW334" s="1071" t="n"/>
      <c r="AX334" s="1071" t="n"/>
      <c r="AY334" s="1071" t="n"/>
      <c r="AZ334" s="1072">
        <f>AZ114/AZ329</f>
        <v/>
      </c>
      <c r="BA334" s="1071" t="n"/>
      <c r="BB334" s="1071" t="n"/>
      <c r="BC334" s="1071" t="n"/>
      <c r="BD334" s="1071" t="n"/>
      <c r="BE334" s="1072">
        <f>BE114/BE329</f>
        <v/>
      </c>
      <c r="BF334" s="1071" t="n"/>
      <c r="BG334" s="1071" t="n"/>
      <c r="BH334" s="1071" t="n"/>
      <c r="BI334" s="1071" t="n"/>
      <c r="BJ334" s="1072">
        <f>BJ114/BJ329</f>
        <v/>
      </c>
      <c r="BK334" s="1071" t="n"/>
      <c r="BL334" s="1071" t="n"/>
      <c r="BM334" s="1071" t="n"/>
      <c r="BN334" s="1071" t="n"/>
      <c r="BO334" s="1072">
        <f>BO114/BO329</f>
        <v/>
      </c>
      <c r="BP334" s="1071" t="n"/>
      <c r="BQ334" s="1071" t="n"/>
      <c r="BR334" s="1071" t="n"/>
      <c r="BS334" s="1071" t="n"/>
      <c r="BT334" s="1072">
        <f>BT114/BT329</f>
        <v/>
      </c>
      <c r="BU334" s="1071" t="n"/>
      <c r="BV334" s="1071" t="n"/>
      <c r="BW334" s="1071" t="n"/>
      <c r="BX334" s="1071" t="n"/>
      <c r="BY334" s="1072">
        <f>BY114/BY329</f>
        <v/>
      </c>
      <c r="BZ334" s="1071" t="n"/>
      <c r="CA334" s="1071" t="n"/>
      <c r="CB334" s="1071" t="n"/>
      <c r="CC334" s="1071" t="n"/>
      <c r="CD334" s="1072">
        <f>CD114/CD329</f>
        <v/>
      </c>
      <c r="CE334" s="1071">
        <f>CE114/CE329</f>
        <v/>
      </c>
      <c r="CF334" s="1071">
        <f>CF114/CF329</f>
        <v/>
      </c>
      <c r="CG334" s="1071">
        <f>CG114/CG329</f>
        <v/>
      </c>
      <c r="CH334" s="1071">
        <f>CH114/CH329</f>
        <v/>
      </c>
      <c r="CI334" s="1073">
        <f>CI114/CI329</f>
        <v/>
      </c>
      <c r="CJ334" s="1073">
        <f>CJ114/CJ329</f>
        <v/>
      </c>
      <c r="CK334" s="1073">
        <f>CK114/CK329</f>
        <v/>
      </c>
      <c r="CL334" s="1073">
        <f>CL114/CL329</f>
        <v/>
      </c>
      <c r="CM334" s="1073">
        <f>CM114/CM329</f>
        <v/>
      </c>
      <c r="CN334" s="1071" t="n"/>
      <c r="CO334" s="1071" t="n"/>
      <c r="CP334" s="1071" t="n"/>
      <c r="CQ334" s="693" t="n"/>
    </row>
    <row r="335" ht="16.5" customHeight="1">
      <c r="B335" s="12" t="inlineStr">
        <is>
          <t xml:space="preserve">  Tax burden (1 − tax rate)</t>
        </is>
      </c>
      <c r="C335" s="974" t="n"/>
      <c r="D335" s="974" t="n"/>
      <c r="E335" s="974" t="n"/>
      <c r="F335" s="974" t="n"/>
      <c r="G335" s="975">
        <f>1-G327</f>
        <v/>
      </c>
      <c r="H335" s="974" t="n"/>
      <c r="I335" s="974" t="n"/>
      <c r="J335" s="974" t="n"/>
      <c r="K335" s="974" t="n"/>
      <c r="L335" s="975">
        <f>1-L327</f>
        <v/>
      </c>
      <c r="M335" s="974" t="n"/>
      <c r="N335" s="974" t="n"/>
      <c r="O335" s="974" t="n"/>
      <c r="P335" s="974" t="n"/>
      <c r="Q335" s="975">
        <f>1-Q327</f>
        <v/>
      </c>
      <c r="R335" s="974" t="n"/>
      <c r="S335" s="974" t="n"/>
      <c r="T335" s="974" t="n"/>
      <c r="U335" s="974" t="n"/>
      <c r="V335" s="975">
        <f>1-V327</f>
        <v/>
      </c>
      <c r="W335" s="974" t="n"/>
      <c r="X335" s="974" t="n"/>
      <c r="Y335" s="974" t="n"/>
      <c r="Z335" s="974" t="n"/>
      <c r="AA335" s="975">
        <f>1-AA327</f>
        <v/>
      </c>
      <c r="AB335" s="974" t="n"/>
      <c r="AC335" s="974" t="n"/>
      <c r="AD335" s="974" t="n"/>
      <c r="AE335" s="974" t="n"/>
      <c r="AF335" s="975">
        <f>1-AF327</f>
        <v/>
      </c>
      <c r="AG335" s="974" t="n"/>
      <c r="AH335" s="974" t="n"/>
      <c r="AI335" s="974" t="n"/>
      <c r="AJ335" s="974" t="n"/>
      <c r="AK335" s="975">
        <f>1-AK327</f>
        <v/>
      </c>
      <c r="AL335" s="974" t="n"/>
      <c r="AM335" s="974" t="n"/>
      <c r="AN335" s="974" t="n"/>
      <c r="AO335" s="974" t="n"/>
      <c r="AP335" s="975">
        <f>1-AP327</f>
        <v/>
      </c>
      <c r="AQ335" s="974" t="n"/>
      <c r="AR335" s="974" t="n"/>
      <c r="AS335" s="974" t="n"/>
      <c r="AT335" s="974" t="n"/>
      <c r="AU335" s="975">
        <f>1-AU327</f>
        <v/>
      </c>
      <c r="AV335" s="974" t="n"/>
      <c r="AW335" s="974" t="n"/>
      <c r="AX335" s="974" t="n"/>
      <c r="AY335" s="974" t="n"/>
      <c r="AZ335" s="975">
        <f>1-AZ327</f>
        <v/>
      </c>
      <c r="BA335" s="974" t="n"/>
      <c r="BB335" s="974" t="n"/>
      <c r="BC335" s="974" t="n"/>
      <c r="BD335" s="974" t="n"/>
      <c r="BE335" s="975">
        <f>1-BE327</f>
        <v/>
      </c>
      <c r="BF335" s="974" t="n"/>
      <c r="BG335" s="974" t="n"/>
      <c r="BH335" s="974" t="n"/>
      <c r="BI335" s="974" t="n"/>
      <c r="BJ335" s="975">
        <f>1-BJ327</f>
        <v/>
      </c>
      <c r="BK335" s="974" t="n"/>
      <c r="BL335" s="974" t="n"/>
      <c r="BM335" s="974" t="n"/>
      <c r="BN335" s="974" t="n"/>
      <c r="BO335" s="975">
        <f>1-BO327</f>
        <v/>
      </c>
      <c r="BP335" s="974" t="n"/>
      <c r="BQ335" s="974" t="n"/>
      <c r="BR335" s="974" t="n"/>
      <c r="BS335" s="974" t="n"/>
      <c r="BT335" s="975">
        <f>1-BT327</f>
        <v/>
      </c>
      <c r="BU335" s="974" t="n"/>
      <c r="BV335" s="974" t="n"/>
      <c r="BW335" s="974" t="n"/>
      <c r="BX335" s="974" t="n"/>
      <c r="BY335" s="975">
        <f>1-BY327</f>
        <v/>
      </c>
      <c r="BZ335" s="974" t="n"/>
      <c r="CA335" s="974" t="n"/>
      <c r="CB335" s="974" t="n"/>
      <c r="CC335" s="974" t="n"/>
      <c r="CD335" s="975">
        <f>1-CD327</f>
        <v/>
      </c>
      <c r="CE335" s="974">
        <f>1-CE327</f>
        <v/>
      </c>
      <c r="CF335" s="974">
        <f>1-CF327</f>
        <v/>
      </c>
      <c r="CG335" s="974">
        <f>1-CG327</f>
        <v/>
      </c>
      <c r="CH335" s="974">
        <f>1-CH327</f>
        <v/>
      </c>
      <c r="CI335" s="976">
        <f>1-CI327</f>
        <v/>
      </c>
      <c r="CJ335" s="976">
        <f>1-CJ327</f>
        <v/>
      </c>
      <c r="CK335" s="976">
        <f>1-CK327</f>
        <v/>
      </c>
      <c r="CL335" s="976">
        <f>1-CL327</f>
        <v/>
      </c>
      <c r="CM335" s="976">
        <f>1-CM327</f>
        <v/>
      </c>
      <c r="CN335" s="974" t="n"/>
      <c r="CO335" s="974" t="n"/>
      <c r="CP335" s="974" t="n"/>
      <c r="CQ335" s="693" t="n"/>
    </row>
    <row r="336" ht="16.5" customHeight="1">
      <c r="B336" s="12" t="inlineStr">
        <is>
          <t xml:space="preserve">  Check: Margin × Turnover × Tax burden</t>
        </is>
      </c>
      <c r="C336" s="974" t="n"/>
      <c r="D336" s="974" t="n"/>
      <c r="E336" s="974" t="n"/>
      <c r="F336" s="974" t="n"/>
      <c r="G336" s="975">
        <f>G333*G334*G335</f>
        <v/>
      </c>
      <c r="H336" s="974" t="n"/>
      <c r="I336" s="974" t="n"/>
      <c r="J336" s="974" t="n"/>
      <c r="K336" s="974" t="n"/>
      <c r="L336" s="975">
        <f>L333*L334*L335</f>
        <v/>
      </c>
      <c r="M336" s="974" t="n"/>
      <c r="N336" s="974" t="n"/>
      <c r="O336" s="974" t="n"/>
      <c r="P336" s="974" t="n"/>
      <c r="Q336" s="975">
        <f>Q333*Q334*Q335</f>
        <v/>
      </c>
      <c r="R336" s="974" t="n"/>
      <c r="S336" s="974" t="n"/>
      <c r="T336" s="974" t="n"/>
      <c r="U336" s="974" t="n"/>
      <c r="V336" s="975">
        <f>V333*V334*V335</f>
        <v/>
      </c>
      <c r="W336" s="974" t="n"/>
      <c r="X336" s="974" t="n"/>
      <c r="Y336" s="974" t="n"/>
      <c r="Z336" s="974" t="n"/>
      <c r="AA336" s="975">
        <f>AA333*AA334*AA335</f>
        <v/>
      </c>
      <c r="AB336" s="974" t="n"/>
      <c r="AC336" s="974" t="n"/>
      <c r="AD336" s="974" t="n"/>
      <c r="AE336" s="974" t="n"/>
      <c r="AF336" s="975">
        <f>AF333*AF334*AF335</f>
        <v/>
      </c>
      <c r="AG336" s="974" t="n"/>
      <c r="AH336" s="974" t="n"/>
      <c r="AI336" s="974" t="n"/>
      <c r="AJ336" s="974" t="n"/>
      <c r="AK336" s="975">
        <f>AK333*AK334*AK335</f>
        <v/>
      </c>
      <c r="AL336" s="974" t="n"/>
      <c r="AM336" s="974" t="n"/>
      <c r="AN336" s="974" t="n"/>
      <c r="AO336" s="974" t="n"/>
      <c r="AP336" s="975">
        <f>AP333*AP334*AP335</f>
        <v/>
      </c>
      <c r="AQ336" s="974" t="n"/>
      <c r="AR336" s="974" t="n"/>
      <c r="AS336" s="974" t="n"/>
      <c r="AT336" s="974" t="n"/>
      <c r="AU336" s="975">
        <f>AU333*AU334*AU335</f>
        <v/>
      </c>
      <c r="AV336" s="974" t="n"/>
      <c r="AW336" s="974" t="n"/>
      <c r="AX336" s="974" t="n"/>
      <c r="AY336" s="974" t="n"/>
      <c r="AZ336" s="975">
        <f>AZ333*AZ334*AZ335</f>
        <v/>
      </c>
      <c r="BA336" s="974" t="n"/>
      <c r="BB336" s="974" t="n"/>
      <c r="BC336" s="974" t="n"/>
      <c r="BD336" s="974" t="n"/>
      <c r="BE336" s="975">
        <f>BE333*BE334*BE335</f>
        <v/>
      </c>
      <c r="BF336" s="974" t="n"/>
      <c r="BG336" s="974" t="n"/>
      <c r="BH336" s="974" t="n"/>
      <c r="BI336" s="974" t="n"/>
      <c r="BJ336" s="975">
        <f>BJ333*BJ334*BJ335</f>
        <v/>
      </c>
      <c r="BK336" s="974" t="n"/>
      <c r="BL336" s="974" t="n"/>
      <c r="BM336" s="974" t="n"/>
      <c r="BN336" s="974" t="n"/>
      <c r="BO336" s="975">
        <f>BO333*BO334*BO335</f>
        <v/>
      </c>
      <c r="BP336" s="974" t="n"/>
      <c r="BQ336" s="974" t="n"/>
      <c r="BR336" s="974" t="n"/>
      <c r="BS336" s="974" t="n"/>
      <c r="BT336" s="975">
        <f>BT333*BT334*BT335</f>
        <v/>
      </c>
      <c r="BU336" s="974" t="n"/>
      <c r="BV336" s="974" t="n"/>
      <c r="BW336" s="974" t="n"/>
      <c r="BX336" s="974" t="n"/>
      <c r="BY336" s="975">
        <f>BY333*BY334*BY335</f>
        <v/>
      </c>
      <c r="BZ336" s="974" t="n"/>
      <c r="CA336" s="974" t="n"/>
      <c r="CB336" s="974" t="n"/>
      <c r="CC336" s="974" t="n"/>
      <c r="CD336" s="975">
        <f>CD333*CD334*CD335</f>
        <v/>
      </c>
      <c r="CE336" s="974">
        <f>CE333*CE334*CE335</f>
        <v/>
      </c>
      <c r="CF336" s="974">
        <f>CF333*CF334*CF335</f>
        <v/>
      </c>
      <c r="CG336" s="974">
        <f>CG333*CG334*CG335</f>
        <v/>
      </c>
      <c r="CH336" s="974">
        <f>CH333*CH334*CH335</f>
        <v/>
      </c>
      <c r="CI336" s="976">
        <f>CI333*CI334*CI335</f>
        <v/>
      </c>
      <c r="CJ336" s="976">
        <f>CJ333*CJ334*CJ335</f>
        <v/>
      </c>
      <c r="CK336" s="976">
        <f>CK333*CK334*CK335</f>
        <v/>
      </c>
      <c r="CL336" s="976">
        <f>CL333*CL334*CL335</f>
        <v/>
      </c>
      <c r="CM336" s="976">
        <f>CM333*CM334*CM335</f>
        <v/>
      </c>
      <c r="CN336" s="974" t="n"/>
      <c r="CO336" s="974" t="n"/>
      <c r="CP336" s="974" t="n"/>
      <c r="CQ336" s="693" t="n"/>
    </row>
    <row r="337" ht="16.5" customHeight="1">
      <c r="C337" s="291" t="n"/>
      <c r="D337" s="291" t="n"/>
      <c r="E337" s="291" t="n"/>
      <c r="F337" s="291" t="n"/>
      <c r="G337" s="864" t="n"/>
      <c r="H337" s="291" t="n"/>
      <c r="I337" s="291" t="n"/>
      <c r="J337" s="291" t="n"/>
      <c r="K337" s="291" t="n"/>
      <c r="L337" s="864" t="n"/>
      <c r="M337" s="291" t="n"/>
      <c r="N337" s="291" t="n"/>
      <c r="O337" s="291" t="n"/>
      <c r="P337" s="291" t="n"/>
      <c r="Q337" s="864" t="n"/>
      <c r="R337" s="291" t="n"/>
      <c r="S337" s="291" t="n"/>
      <c r="T337" s="291" t="n"/>
      <c r="U337" s="291" t="n"/>
      <c r="V337" s="864" t="n"/>
      <c r="W337" s="291" t="n"/>
      <c r="X337" s="291" t="n"/>
      <c r="Y337" s="291" t="n"/>
      <c r="Z337" s="291" t="n"/>
      <c r="AA337" s="864" t="n"/>
      <c r="AB337" s="291" t="n"/>
      <c r="AC337" s="291" t="n"/>
      <c r="AD337" s="291" t="n"/>
      <c r="AE337" s="291" t="n"/>
      <c r="AF337" s="864" t="n"/>
      <c r="AG337" s="291" t="n"/>
      <c r="AH337" s="291" t="n"/>
      <c r="AI337" s="291" t="n"/>
      <c r="AJ337" s="291" t="n"/>
      <c r="AK337" s="864" t="n"/>
      <c r="AL337" s="291" t="n"/>
      <c r="AM337" s="291" t="n"/>
      <c r="AN337" s="291" t="n"/>
      <c r="AO337" s="291" t="n"/>
      <c r="AP337" s="864" t="n"/>
      <c r="AQ337" s="291" t="n"/>
      <c r="AR337" s="291" t="n"/>
      <c r="AS337" s="291" t="n"/>
      <c r="AT337" s="291" t="n"/>
      <c r="AU337" s="864" t="n"/>
      <c r="AV337" s="291" t="n"/>
      <c r="AW337" s="291" t="n"/>
      <c r="AX337" s="291" t="n"/>
      <c r="AY337" s="291" t="n"/>
      <c r="AZ337" s="864" t="n"/>
      <c r="BA337" s="291" t="n"/>
      <c r="BB337" s="291" t="n"/>
      <c r="BC337" s="291" t="n"/>
      <c r="BD337" s="291" t="n"/>
      <c r="BE337" s="864" t="n"/>
      <c r="BF337" s="291" t="n"/>
      <c r="BG337" s="291" t="n"/>
      <c r="BH337" s="291" t="n"/>
      <c r="BI337" s="291" t="n"/>
      <c r="BJ337" s="864" t="n"/>
      <c r="BK337" s="291" t="n"/>
      <c r="BL337" s="291" t="n"/>
      <c r="BM337" s="291" t="n"/>
      <c r="BN337" s="291" t="n"/>
      <c r="BO337" s="864" t="n"/>
      <c r="BP337" s="291" t="n"/>
      <c r="BQ337" s="291" t="n"/>
      <c r="BR337" s="291" t="n"/>
      <c r="BS337" s="291" t="n"/>
      <c r="BT337" s="864" t="n"/>
      <c r="BU337" s="291" t="n"/>
      <c r="BV337" s="291" t="n"/>
      <c r="BW337" s="291" t="n"/>
      <c r="BX337" s="291" t="n"/>
      <c r="BY337" s="864" t="n"/>
      <c r="BZ337" s="291" t="n"/>
      <c r="CA337" s="291" t="n"/>
      <c r="CB337" s="291" t="n"/>
      <c r="CC337" s="291" t="n"/>
      <c r="CD337" s="864" t="n"/>
      <c r="CE337" s="291" t="n"/>
      <c r="CF337" s="291" t="n"/>
      <c r="CG337" s="291" t="n"/>
      <c r="CH337" s="291" t="n"/>
      <c r="CI337" s="749" t="n"/>
      <c r="CJ337" s="749" t="n"/>
      <c r="CK337" s="749" t="n"/>
      <c r="CL337" s="749" t="n"/>
      <c r="CM337" s="749" t="n"/>
      <c r="CN337" s="291" t="n"/>
      <c r="CO337" s="291" t="n"/>
      <c r="CP337" s="291" t="n"/>
      <c r="CQ337" s="693" t="n"/>
    </row>
    <row r="338" ht="16.5" customHeight="1">
      <c r="B338" s="149" t="inlineStr">
        <is>
          <t>RONTA decomposition</t>
        </is>
      </c>
      <c r="C338" s="1074" t="n"/>
      <c r="D338" s="1074" t="n"/>
      <c r="E338" s="1074" t="n"/>
      <c r="F338" s="1074" t="n"/>
      <c r="G338" s="1075" t="n"/>
      <c r="H338" s="1074" t="n"/>
      <c r="I338" s="1074" t="n"/>
      <c r="J338" s="1074" t="n"/>
      <c r="K338" s="1074" t="n"/>
      <c r="L338" s="1075" t="n"/>
      <c r="M338" s="1074" t="n"/>
      <c r="N338" s="1074" t="n"/>
      <c r="O338" s="1074" t="n"/>
      <c r="P338" s="1074" t="n"/>
      <c r="Q338" s="1075" t="n"/>
      <c r="R338" s="1074" t="n"/>
      <c r="S338" s="1074" t="n"/>
      <c r="T338" s="1074" t="n"/>
      <c r="U338" s="1074" t="n"/>
      <c r="V338" s="1075" t="n"/>
      <c r="W338" s="1074" t="n"/>
      <c r="X338" s="1074" t="n"/>
      <c r="Y338" s="1074" t="n"/>
      <c r="Z338" s="1074" t="n"/>
      <c r="AA338" s="1075" t="n"/>
      <c r="AB338" s="1074" t="n"/>
      <c r="AC338" s="1074" t="n"/>
      <c r="AD338" s="1074" t="n"/>
      <c r="AE338" s="1074" t="n"/>
      <c r="AF338" s="1075" t="n"/>
      <c r="AG338" s="1074" t="n"/>
      <c r="AH338" s="1074" t="n"/>
      <c r="AI338" s="1074" t="n"/>
      <c r="AJ338" s="1074" t="n"/>
      <c r="AK338" s="1075" t="n"/>
      <c r="AL338" s="1074" t="n"/>
      <c r="AM338" s="1074" t="n"/>
      <c r="AN338" s="1074" t="n"/>
      <c r="AO338" s="1074" t="n"/>
      <c r="AP338" s="1075" t="n"/>
      <c r="AQ338" s="1074" t="n"/>
      <c r="AR338" s="1074" t="n"/>
      <c r="AS338" s="1074" t="n"/>
      <c r="AT338" s="1074" t="n"/>
      <c r="AU338" s="1075" t="n"/>
      <c r="AV338" s="1074" t="n"/>
      <c r="AW338" s="1074" t="n"/>
      <c r="AX338" s="1074" t="n"/>
      <c r="AY338" s="1074" t="n"/>
      <c r="AZ338" s="1075" t="n"/>
      <c r="BA338" s="1074" t="n"/>
      <c r="BB338" s="1074" t="n"/>
      <c r="BC338" s="1074" t="n"/>
      <c r="BD338" s="1074" t="n"/>
      <c r="BE338" s="1075" t="n"/>
      <c r="BF338" s="1074" t="n"/>
      <c r="BG338" s="1074" t="n"/>
      <c r="BH338" s="1074" t="n"/>
      <c r="BI338" s="1074" t="n"/>
      <c r="BJ338" s="1075" t="n"/>
      <c r="BK338" s="1074" t="n"/>
      <c r="BL338" s="1074" t="n"/>
      <c r="BM338" s="1074" t="n"/>
      <c r="BN338" s="1074" t="n"/>
      <c r="BO338" s="1075" t="n"/>
      <c r="BP338" s="1074" t="n"/>
      <c r="BQ338" s="1074" t="n"/>
      <c r="BR338" s="1074" t="n"/>
      <c r="BS338" s="1074" t="n"/>
      <c r="BT338" s="1075" t="n"/>
      <c r="BU338" s="1074" t="n"/>
      <c r="BV338" s="1074" t="n"/>
      <c r="BW338" s="1074" t="n"/>
      <c r="BX338" s="1074" t="n"/>
      <c r="BY338" s="1075" t="n"/>
      <c r="BZ338" s="1074" t="n"/>
      <c r="CA338" s="1074" t="n"/>
      <c r="CB338" s="1074" t="n"/>
      <c r="CC338" s="1074" t="n"/>
      <c r="CD338" s="1075" t="n"/>
      <c r="CE338" s="1074" t="n"/>
      <c r="CF338" s="1074" t="n"/>
      <c r="CG338" s="1074" t="n"/>
      <c r="CH338" s="1074" t="n"/>
      <c r="CI338" s="1074" t="n"/>
      <c r="CJ338" s="1074" t="n"/>
      <c r="CK338" s="1074" t="n"/>
      <c r="CL338" s="1074" t="n"/>
      <c r="CM338" s="1074" t="n"/>
      <c r="CN338" s="974" t="n"/>
      <c r="CO338" s="974" t="n"/>
      <c r="CP338" s="974" t="n"/>
      <c r="CQ338" s="693" t="n"/>
    </row>
    <row r="339" ht="16.5" customHeight="1">
      <c r="B339" s="19" t="inlineStr">
        <is>
          <t>EBIT before special items</t>
        </is>
      </c>
      <c r="C339" s="974">
        <f>IFERROR(IF(ISNUMBER(C150),IF(C150&gt;0,C150,C126),C126),"n/a")</f>
        <v/>
      </c>
      <c r="D339" s="974">
        <f>IFERROR(IF(ISNUMBER(D150),IF(D150&gt;0,D150,D126),D126),"n/a")</f>
        <v/>
      </c>
      <c r="E339" s="974">
        <f>IFERROR(IF(ISNUMBER(E150),IF(E150&gt;0,E150,E126),E126),"n/a")</f>
        <v/>
      </c>
      <c r="F339" s="974">
        <f>IFERROR(IF(ISNUMBER(F150),IF(F150&gt;0,F150,F126),F126),"n/a")</f>
        <v/>
      </c>
      <c r="G339" s="1076">
        <f>IFERROR(IF(ISNUMBER(G150),IF(G150&gt;0,G150,G126),G126),"n/a")</f>
        <v/>
      </c>
      <c r="H339" s="974">
        <f>IFERROR(IF(ISNUMBER(H150),IF(H150&gt;0,H150,H126),H126),"n/a")</f>
        <v/>
      </c>
      <c r="I339" s="974">
        <f>IFERROR(IF(ISNUMBER(I150),IF(I150&gt;0,I150,I126),I126),"n/a")</f>
        <v/>
      </c>
      <c r="J339" s="974">
        <f>IFERROR(IF(ISNUMBER(J150),IF(J150&gt;0,J150,J126),J126),"n/a")</f>
        <v/>
      </c>
      <c r="K339" s="974">
        <f>IFERROR(IF(ISNUMBER(K150),IF(K150&gt;0,K150,K126),K126),"n/a")</f>
        <v/>
      </c>
      <c r="L339" s="1076">
        <f>IFERROR(IF(ISNUMBER(L150),IF(L150&gt;0,L150,L126),L126),"n/a")</f>
        <v/>
      </c>
      <c r="M339" s="974">
        <f>IFERROR(IF(ISNUMBER(M150),IF(M150&gt;0,M150,M126),M126),"n/a")</f>
        <v/>
      </c>
      <c r="N339" s="974">
        <f>IFERROR(IF(ISNUMBER(N150),IF(N150&gt;0,N150,N126),N126),"n/a")</f>
        <v/>
      </c>
      <c r="O339" s="974">
        <f>IFERROR(IF(ISNUMBER(O150),IF(O150&gt;0,O150,O126),O126),"n/a")</f>
        <v/>
      </c>
      <c r="P339" s="974">
        <f>IFERROR(IF(ISNUMBER(P150),IF(P150&gt;0,P150,P126),P126),"n/a")</f>
        <v/>
      </c>
      <c r="Q339" s="1076">
        <f>IFERROR(IF(ISNUMBER(Q150),IF(Q150&gt;0,Q150,Q126),Q126),"n/a")</f>
        <v/>
      </c>
      <c r="R339" s="974">
        <f>IFERROR(IF(ISNUMBER(R150),IF(R150&gt;0,R150,R126),R126),"n/a")</f>
        <v/>
      </c>
      <c r="S339" s="974">
        <f>IFERROR(IF(ISNUMBER(S150),IF(S150&gt;0,S150,S126),S126),"n/a")</f>
        <v/>
      </c>
      <c r="T339" s="974">
        <f>IFERROR(IF(ISNUMBER(T150),IF(T150&gt;0,T150,T126),T126),"n/a")</f>
        <v/>
      </c>
      <c r="U339" s="974">
        <f>IFERROR(IF(ISNUMBER(U150),IF(U150&gt;0,U150,U126),U126),"n/a")</f>
        <v/>
      </c>
      <c r="V339" s="1076">
        <f>IFERROR(IF(ISNUMBER(V150),IF(V150&gt;0,V150,V126),V126),"n/a")</f>
        <v/>
      </c>
      <c r="W339" s="974">
        <f>IFERROR(IF(ISNUMBER(W150),IF(W150&gt;0,W150,W126),W126),"n/a")</f>
        <v/>
      </c>
      <c r="X339" s="974">
        <f>IFERROR(IF(ISNUMBER(X150),IF(X150&gt;0,X150,X126),X126),"n/a")</f>
        <v/>
      </c>
      <c r="Y339" s="974">
        <f>IFERROR(IF(ISNUMBER(Y150),IF(Y150&gt;0,Y150,Y126),Y126),"n/a")</f>
        <v/>
      </c>
      <c r="Z339" s="974">
        <f>IFERROR(IF(ISNUMBER(Z150),IF(Z150&gt;0,Z150,Z126),Z126),"n/a")</f>
        <v/>
      </c>
      <c r="AA339" s="1076">
        <f>IFERROR(IF(ISNUMBER(AA150),IF(AA150&gt;0,AA150,AA126),AA126),"n/a")</f>
        <v/>
      </c>
      <c r="AB339" s="974">
        <f>IFERROR(IF(ISNUMBER(AB150),IF(AB150&gt;0,AB150,AB126),AB126),"n/a")</f>
        <v/>
      </c>
      <c r="AC339" s="974">
        <f>IFERROR(IF(ISNUMBER(AC150),IF(AC150&gt;0,AC150,AC126),AC126),"n/a")</f>
        <v/>
      </c>
      <c r="AD339" s="974">
        <f>IFERROR(IF(ISNUMBER(AD150),IF(AD150&gt;0,AD150,AD126),AD126),"n/a")</f>
        <v/>
      </c>
      <c r="AE339" s="974">
        <f>IFERROR(IF(ISNUMBER(AE150),IF(AE150&gt;0,AE150,AE126),AE126),"n/a")</f>
        <v/>
      </c>
      <c r="AF339" s="1076">
        <f>IFERROR(IF(ISNUMBER(AF150),IF(AF150&gt;0,AF150,AF126),AF126),"n/a")</f>
        <v/>
      </c>
      <c r="AG339" s="974">
        <f>IFERROR(IF(ISNUMBER(AG150),IF(AG150&gt;0,AG150,AG126),AG126),"n/a")</f>
        <v/>
      </c>
      <c r="AH339" s="974">
        <f>IFERROR(IF(ISNUMBER(AH150),IF(AH150&gt;0,AH150,AH126),AH126),"n/a")</f>
        <v/>
      </c>
      <c r="AI339" s="974">
        <f>IFERROR(IF(ISNUMBER(AI150),IF(AI150&gt;0,AI150,AI126),AI126),"n/a")</f>
        <v/>
      </c>
      <c r="AJ339" s="974">
        <f>IFERROR(IF(ISNUMBER(AJ150),IF(AJ150&gt;0,AJ150,AJ126),AJ126),"n/a")</f>
        <v/>
      </c>
      <c r="AK339" s="1076">
        <f>IFERROR(IF(ISNUMBER(AK150),IF(AK150&gt;0,AK150,AK126),AK126),"n/a")</f>
        <v/>
      </c>
      <c r="AL339" s="974">
        <f>IFERROR(IF(ISNUMBER(AL150),IF(AL150&gt;0,AL150,AL126),AL126),"n/a")</f>
        <v/>
      </c>
      <c r="AM339" s="974">
        <f>IFERROR(IF(ISNUMBER(AM150),IF(AM150&gt;0,AM150,AM126),AM126),"n/a")</f>
        <v/>
      </c>
      <c r="AN339" s="974">
        <f>IFERROR(IF(ISNUMBER(AN150),IF(AN150&gt;0,AN150,AN126),AN126),"n/a")</f>
        <v/>
      </c>
      <c r="AO339" s="974">
        <f>IFERROR(IF(ISNUMBER(AO150),IF(AO150&gt;0,AO150,AO126),AO126),"n/a")</f>
        <v/>
      </c>
      <c r="AP339" s="1076">
        <f>IFERROR(IF(ISNUMBER(AP150),IF(AP150&gt;0,AP150,AP126),AP126),"n/a")</f>
        <v/>
      </c>
      <c r="AQ339" s="974">
        <f>IFERROR(IF(ISNUMBER(AQ150),IF(AQ150&gt;0,AQ150,AQ126),AQ126),"n/a")</f>
        <v/>
      </c>
      <c r="AR339" s="974">
        <f>IFERROR(IF(ISNUMBER(AR150),IF(AR150&gt;0,AR150,AR126),AR126),"n/a")</f>
        <v/>
      </c>
      <c r="AS339" s="974">
        <f>IFERROR(IF(ISNUMBER(AS150),IF(AS150&gt;0,AS150,AS126),AS126),"n/a")</f>
        <v/>
      </c>
      <c r="AT339" s="974">
        <f>IFERROR(IF(ISNUMBER(AT150),IF(AT150&gt;0,AT150,AT126),AT126),"n/a")</f>
        <v/>
      </c>
      <c r="AU339" s="1076">
        <f>IFERROR(IF(ISNUMBER(AU150),IF(AU150&gt;0,AU150,AU126),AU126),"n/a")</f>
        <v/>
      </c>
      <c r="AV339" s="974">
        <f>IFERROR(IF(ISNUMBER(AV150),IF(AV150&gt;0,AV150,AV126),AV126),"n/a")</f>
        <v/>
      </c>
      <c r="AW339" s="974">
        <f>IFERROR(IF(ISNUMBER(AW150),IF(AW150&gt;0,AW150,AW126),AW126),"n/a")</f>
        <v/>
      </c>
      <c r="AX339" s="974">
        <f>IFERROR(IF(ISNUMBER(AX150),IF(AX150&gt;0,AX150,AX126),AX126),"n/a")</f>
        <v/>
      </c>
      <c r="AY339" s="974">
        <f>IFERROR(IF(ISNUMBER(AY150),IF(AY150&gt;0,AY150,AY126),AY126),"n/a")</f>
        <v/>
      </c>
      <c r="AZ339" s="1076">
        <f>IFERROR(IF(ISNUMBER(AZ150),IF(AZ150&gt;0,AZ150,AZ126),AZ126),"n/a")</f>
        <v/>
      </c>
      <c r="BA339" s="974">
        <f>IFERROR(IF(ISNUMBER(BA150),IF(BA150&gt;0,BA150,BA126),BA126),"n/a")</f>
        <v/>
      </c>
      <c r="BB339" s="974">
        <f>IFERROR(IF(ISNUMBER(BB150),IF(BB150&gt;0,BB150,BB126),BB126),"n/a")</f>
        <v/>
      </c>
      <c r="BC339" s="974">
        <f>IFERROR(IF(ISNUMBER(BC150),IF(BC150&gt;0,BC150,BC126),BC126),"n/a")</f>
        <v/>
      </c>
      <c r="BD339" s="974">
        <f>IFERROR(IF(ISNUMBER(BD150),IF(BD150&gt;0,BD150,BD126),BD126),"n/a")</f>
        <v/>
      </c>
      <c r="BE339" s="1076">
        <f>IFERROR(IF(ISNUMBER(BE150),IF(BE150&gt;0,BE150,BE126),BE126),"n/a")</f>
        <v/>
      </c>
      <c r="BF339" s="974">
        <f>IFERROR(IF(ISNUMBER(BF150),IF(BF150&gt;0,BF150,BF126),BF126),"n/a")</f>
        <v/>
      </c>
      <c r="BG339" s="974">
        <f>IFERROR(IF(ISNUMBER(BG150),IF(BG150&gt;0,BG150,BG126),BG126),"n/a")</f>
        <v/>
      </c>
      <c r="BH339" s="974">
        <f>IFERROR(IF(ISNUMBER(BH150),IF(BH150&gt;0,BH150,BH126),BH126),"n/a")</f>
        <v/>
      </c>
      <c r="BI339" s="974">
        <f>IFERROR(IF(ISNUMBER(BI150),IF(BI150&gt;0,BI150,BI126),BI126),"n/a")</f>
        <v/>
      </c>
      <c r="BJ339" s="1076">
        <f>IFERROR(IF(ISNUMBER(BJ150),IF(BJ150&gt;0,BJ150,BJ126),BJ126),"n/a")</f>
        <v/>
      </c>
      <c r="BK339" s="974">
        <f>IFERROR(IF(ISNUMBER(BK150),IF(BK150&gt;0,BK150,BK126),BK126),"n/a")</f>
        <v/>
      </c>
      <c r="BL339" s="974">
        <f>IFERROR(IF(ISNUMBER(BL150),IF(BL150&gt;0,BL150,BL126),BL126),"n/a")</f>
        <v/>
      </c>
      <c r="BM339" s="974">
        <f>IFERROR(IF(ISNUMBER(BM150),IF(BM150&gt;0,BM150,BM126),BM126),"n/a")</f>
        <v/>
      </c>
      <c r="BN339" s="974">
        <f>IFERROR(IF(ISNUMBER(BN150),IF(BN150&gt;0,BN150,BN126),BN126),"n/a")</f>
        <v/>
      </c>
      <c r="BO339" s="1076">
        <f>IFERROR(IF(ISNUMBER(BO150),IF(BO150&gt;0,BO150,BO126),BO126),"n/a")</f>
        <v/>
      </c>
      <c r="BP339" s="974">
        <f>IFERROR(IF(ISNUMBER(BP150),IF(BP150&gt;0,BP150,BP126),BP126),"n/a")</f>
        <v/>
      </c>
      <c r="BQ339" s="974">
        <f>IFERROR(IF(ISNUMBER(BQ150),IF(BQ150&gt;0,BQ150,BQ126),BQ126),"n/a")</f>
        <v/>
      </c>
      <c r="BR339" s="974">
        <f>IFERROR(IF(ISNUMBER(BR150),IF(BR150&gt;0,BR150,BR126),BR126),"n/a")</f>
        <v/>
      </c>
      <c r="BS339" s="974">
        <f>IFERROR(IF(ISNUMBER(BS150),IF(BS150&gt;0,BS150,BS126),BS126),"n/a")</f>
        <v/>
      </c>
      <c r="BT339" s="1076">
        <f>IFERROR(IF(ISNUMBER(BT150),IF(BT150&gt;0,BT150,BT126),BT126),"n/a")</f>
        <v/>
      </c>
      <c r="BU339" s="974">
        <f>IFERROR(IF(ISNUMBER(BU150),IF(BU150&gt;0,BU150,BU126),BU126),"n/a")</f>
        <v/>
      </c>
      <c r="BV339" s="974">
        <f>IFERROR(IF(ISNUMBER(BV150),IF(BV150&gt;0,BV150,BV126),BV126),"n/a")</f>
        <v/>
      </c>
      <c r="BW339" s="974">
        <f>IFERROR(IF(ISNUMBER(BW150),IF(BW150&gt;0,BW150,BW126),BW126),"n/a")</f>
        <v/>
      </c>
      <c r="BX339" s="974">
        <f>IFERROR(IF(ISNUMBER(BX150),IF(BX150&gt;0,BX150,BX126),BX126),"n/a")</f>
        <v/>
      </c>
      <c r="BY339" s="1076">
        <f>IFERROR(IF(ISNUMBER(BY150),IF(BY150&gt;0,BY150,BY126),BY126),"n/a")</f>
        <v/>
      </c>
      <c r="BZ339" s="974">
        <f>IFERROR(IF(ISNUMBER(BZ150),IF(BZ150&gt;0,BZ150,BZ126),BZ126),"n/a")</f>
        <v/>
      </c>
      <c r="CA339" s="974">
        <f>IFERROR(IF(ISNUMBER(CA150),IF(CA150&gt;0,CA150,CA126),CA126),"n/a")</f>
        <v/>
      </c>
      <c r="CB339" s="974">
        <f>IFERROR(IF(ISNUMBER(CB150),IF(CB150&gt;0,CB150,CB126),CB126),"n/a")</f>
        <v/>
      </c>
      <c r="CC339" s="974">
        <f>IFERROR(IF(ISNUMBER(CC150),IF(CC150&gt;0,CC150,CC126),CC126),"n/a")</f>
        <v/>
      </c>
      <c r="CD339" s="1076">
        <f>IFERROR(IF(ISNUMBER(CD150),IF(CD150&gt;0,CD150,CD126),CD126),"n/a")</f>
        <v/>
      </c>
      <c r="CE339" s="1077">
        <f>IFERROR(IF(ISNUMBER(CE150),IF(CE150&gt;0,CE150,CE126),CE126),"n/a")</f>
        <v/>
      </c>
      <c r="CF339" s="1077">
        <f>IFERROR(IF(ISNUMBER(CF150),IF(CF150&gt;0,CF150,CF126),CF126),"n/a")</f>
        <v/>
      </c>
      <c r="CG339" s="1077">
        <f>IFERROR(IF(ISNUMBER(CG150),IF(CG150&gt;0,CG150,CG126),CG126),"n/a")</f>
        <v/>
      </c>
      <c r="CH339" s="1077">
        <f>IFERROR(IF(ISNUMBER(CH150),IF(CH150&gt;0,CH150,CH126),CH126),"n/a")</f>
        <v/>
      </c>
      <c r="CI339" s="1078">
        <f>IFERROR(IF(ISNUMBER(CI150),IF(CI150&gt;0,CI150,CI126),CI126),"n/a")</f>
        <v/>
      </c>
      <c r="CJ339" s="1078">
        <f>IFERROR(IF(ISNUMBER(CJ150),IF(CJ150&gt;0,CJ150,CJ126),CJ126),"n/a")</f>
        <v/>
      </c>
      <c r="CK339" s="1078">
        <f>IFERROR(IF(ISNUMBER(CK150),IF(CK150&gt;0,CK150,CK126),CK126),"n/a")</f>
        <v/>
      </c>
      <c r="CL339" s="1078">
        <f>IFERROR(IF(ISNUMBER(CL150),IF(CL150&gt;0,CL150,CL126),CL126),"n/a")</f>
        <v/>
      </c>
      <c r="CM339" s="1078">
        <f>IFERROR(IF(ISNUMBER(CM150),IF(CM150&gt;0,CM150,CM126),CM126),"n/a")</f>
        <v/>
      </c>
      <c r="CN339" s="974" t="n"/>
      <c r="CO339" s="974" t="n"/>
      <c r="CP339" s="974" t="n"/>
      <c r="CQ339" s="693" t="n"/>
    </row>
    <row r="340" ht="16.5" customHeight="1">
      <c r="B340" s="19" t="inlineStr">
        <is>
          <t>NOPAT  =  EBIT × (1 − tax rate)</t>
        </is>
      </c>
      <c r="C340" s="974" t="n"/>
      <c r="D340" s="974" t="n"/>
      <c r="E340" s="974" t="n"/>
      <c r="F340" s="974" t="n"/>
      <c r="G340" s="1076">
        <f>IFERROR(G339*(1-G132),"n/a")</f>
        <v/>
      </c>
      <c r="H340" s="974" t="n"/>
      <c r="I340" s="974" t="n"/>
      <c r="J340" s="974" t="n"/>
      <c r="K340" s="974" t="n"/>
      <c r="L340" s="1076">
        <f>IFERROR(L339*(1-L132),"n/a")</f>
        <v/>
      </c>
      <c r="M340" s="974" t="n"/>
      <c r="N340" s="974" t="n"/>
      <c r="O340" s="974" t="n"/>
      <c r="P340" s="974" t="n"/>
      <c r="Q340" s="1076">
        <f>IFERROR(Q339*(1-Q132),"n/a")</f>
        <v/>
      </c>
      <c r="R340" s="974" t="n"/>
      <c r="S340" s="974" t="n"/>
      <c r="T340" s="974" t="n"/>
      <c r="U340" s="974" t="n"/>
      <c r="V340" s="1076">
        <f>IFERROR(V339*(1-V132),"n/a")</f>
        <v/>
      </c>
      <c r="W340" s="974" t="n"/>
      <c r="X340" s="974" t="n"/>
      <c r="Y340" s="974" t="n"/>
      <c r="Z340" s="974" t="n"/>
      <c r="AA340" s="1076">
        <f>IFERROR(AA339*(1-AA132),"n/a")</f>
        <v/>
      </c>
      <c r="AB340" s="974" t="n"/>
      <c r="AC340" s="974" t="n"/>
      <c r="AD340" s="974" t="n"/>
      <c r="AE340" s="974" t="n"/>
      <c r="AF340" s="1076">
        <f>IFERROR(AF339*(1-AF132),"n/a")</f>
        <v/>
      </c>
      <c r="AG340" s="974" t="n"/>
      <c r="AH340" s="974" t="n"/>
      <c r="AI340" s="974" t="n"/>
      <c r="AJ340" s="974" t="n"/>
      <c r="AK340" s="1076">
        <f>IFERROR(AK339*(1-AK132),"n/a")</f>
        <v/>
      </c>
      <c r="AL340" s="974" t="n"/>
      <c r="AM340" s="974" t="n"/>
      <c r="AN340" s="974" t="n"/>
      <c r="AO340" s="974" t="n"/>
      <c r="AP340" s="1076">
        <f>IFERROR(AP339*(1-AP132),"n/a")</f>
        <v/>
      </c>
      <c r="AQ340" s="974" t="n"/>
      <c r="AR340" s="974" t="n"/>
      <c r="AS340" s="974" t="n"/>
      <c r="AT340" s="974" t="n"/>
      <c r="AU340" s="1076">
        <f>IFERROR(AU339*(1-AU132),"n/a")</f>
        <v/>
      </c>
      <c r="AV340" s="974" t="n"/>
      <c r="AW340" s="974" t="n"/>
      <c r="AX340" s="974" t="n"/>
      <c r="AY340" s="974" t="n"/>
      <c r="AZ340" s="1076">
        <f>IFERROR(AZ339*(1-AZ132),"n/a")</f>
        <v/>
      </c>
      <c r="BA340" s="974" t="n"/>
      <c r="BB340" s="974" t="n"/>
      <c r="BC340" s="974" t="n"/>
      <c r="BD340" s="974" t="n"/>
      <c r="BE340" s="1076">
        <f>IFERROR(BE339*(1-BE327),"n/a")</f>
        <v/>
      </c>
      <c r="BF340" s="974" t="n"/>
      <c r="BG340" s="974" t="n"/>
      <c r="BH340" s="974" t="n"/>
      <c r="BI340" s="974" t="n"/>
      <c r="BJ340" s="1076">
        <f>IFERROR(BJ339*(1-BJ132),"n/a")</f>
        <v/>
      </c>
      <c r="BK340" s="974" t="n"/>
      <c r="BL340" s="974" t="n"/>
      <c r="BM340" s="974" t="n"/>
      <c r="BN340" s="974" t="n"/>
      <c r="BO340" s="1076">
        <f>IFERROR(BO339*(1-BO132),"n/a")</f>
        <v/>
      </c>
      <c r="BP340" s="974" t="n"/>
      <c r="BQ340" s="974" t="n"/>
      <c r="BR340" s="974" t="n"/>
      <c r="BS340" s="974" t="n"/>
      <c r="BT340" s="1076">
        <f>IFERROR(BT339*(1-BT132),"n/a")</f>
        <v/>
      </c>
      <c r="BU340" s="974" t="n"/>
      <c r="BV340" s="974" t="n"/>
      <c r="BW340" s="974" t="n"/>
      <c r="BX340" s="974" t="n"/>
      <c r="BY340" s="1076">
        <f>IFERROR(BY339*(1-BY132),"n/a")</f>
        <v/>
      </c>
      <c r="BZ340" s="974" t="n"/>
      <c r="CA340" s="974" t="n"/>
      <c r="CB340" s="974" t="n"/>
      <c r="CC340" s="974" t="n"/>
      <c r="CD340" s="1076">
        <f>IFERROR(CD339*(1-CD132),"n/a")</f>
        <v/>
      </c>
      <c r="CE340" s="1077">
        <f>IFERROR(CE339*(1-CE132),"n/a")</f>
        <v/>
      </c>
      <c r="CF340" s="1077">
        <f>IFERROR(CF339*(1-CF132),"n/a")</f>
        <v/>
      </c>
      <c r="CG340" s="1077">
        <f>IFERROR(CG339*(1-CG132),"n/a")</f>
        <v/>
      </c>
      <c r="CH340" s="1077">
        <f>IFERROR(CH339*(1-CH132),"n/a")</f>
        <v/>
      </c>
      <c r="CI340" s="1078">
        <f>IFERROR(CI339*(1-CI132),"n/a")</f>
        <v/>
      </c>
      <c r="CJ340" s="1078">
        <f>IFERROR(CJ339*(1-CJ132),"n/a")</f>
        <v/>
      </c>
      <c r="CK340" s="1078">
        <f>IFERROR(CK339*(1-CK132),"n/a")</f>
        <v/>
      </c>
      <c r="CL340" s="1078">
        <f>IFERROR(CL339*(1-CL132),"n/a")</f>
        <v/>
      </c>
      <c r="CM340" s="1078">
        <f>IFERROR(CM339*(1-CM132),"n/a")</f>
        <v/>
      </c>
      <c r="CN340" s="974" t="n"/>
      <c r="CO340" s="974" t="n"/>
      <c r="CP340" s="974" t="n"/>
      <c r="CQ340" s="693" t="n"/>
    </row>
    <row r="341" ht="16.5" customHeight="1">
      <c r="B341" s="305" t="inlineStr">
        <is>
          <t>Net tangible assets (NTA):</t>
        </is>
      </c>
      <c r="C341" s="974" t="n"/>
      <c r="D341" s="974" t="n"/>
      <c r="E341" s="974" t="n"/>
      <c r="F341" s="974" t="n"/>
      <c r="G341" s="975" t="n"/>
      <c r="H341" s="974" t="n"/>
      <c r="I341" s="974" t="n"/>
      <c r="J341" s="974" t="n"/>
      <c r="K341" s="974" t="n"/>
      <c r="L341" s="975" t="n"/>
      <c r="M341" s="974" t="n"/>
      <c r="N341" s="974" t="n"/>
      <c r="O341" s="974" t="n"/>
      <c r="P341" s="974" t="n"/>
      <c r="Q341" s="975" t="n"/>
      <c r="R341" s="974" t="n"/>
      <c r="S341" s="974" t="n"/>
      <c r="T341" s="974" t="n"/>
      <c r="U341" s="974" t="n"/>
      <c r="V341" s="975" t="n"/>
      <c r="W341" s="974" t="n"/>
      <c r="X341" s="974" t="n"/>
      <c r="Y341" s="974" t="n"/>
      <c r="Z341" s="974" t="n"/>
      <c r="AA341" s="975" t="n"/>
      <c r="AB341" s="974" t="n"/>
      <c r="AC341" s="974" t="n"/>
      <c r="AD341" s="974" t="n"/>
      <c r="AE341" s="974" t="n"/>
      <c r="AF341" s="975" t="n"/>
      <c r="AG341" s="974" t="n"/>
      <c r="AH341" s="974" t="n"/>
      <c r="AI341" s="974" t="n"/>
      <c r="AJ341" s="974" t="n"/>
      <c r="AK341" s="975" t="n"/>
      <c r="AL341" s="974" t="n"/>
      <c r="AM341" s="974" t="n"/>
      <c r="AN341" s="974" t="n"/>
      <c r="AO341" s="974" t="n"/>
      <c r="AP341" s="975" t="n"/>
      <c r="AQ341" s="974" t="n"/>
      <c r="AR341" s="974" t="n"/>
      <c r="AS341" s="974" t="n"/>
      <c r="AT341" s="974" t="n"/>
      <c r="AU341" s="975" t="n"/>
      <c r="AV341" s="974" t="n"/>
      <c r="AW341" s="974" t="n"/>
      <c r="AX341" s="974" t="n"/>
      <c r="AY341" s="974" t="n"/>
      <c r="AZ341" s="975" t="n"/>
      <c r="BA341" s="974" t="n"/>
      <c r="BB341" s="974" t="n"/>
      <c r="BC341" s="974" t="n"/>
      <c r="BD341" s="974" t="n"/>
      <c r="BE341" s="975" t="n"/>
      <c r="BF341" s="974" t="n"/>
      <c r="BG341" s="974" t="n"/>
      <c r="BH341" s="974" t="n"/>
      <c r="BI341" s="974" t="n"/>
      <c r="BJ341" s="975" t="n"/>
      <c r="BK341" s="974" t="n"/>
      <c r="BL341" s="974" t="n"/>
      <c r="BM341" s="974" t="n"/>
      <c r="BN341" s="974" t="n"/>
      <c r="BO341" s="975" t="n"/>
      <c r="BP341" s="974" t="n"/>
      <c r="BQ341" s="974" t="n"/>
      <c r="BR341" s="974" t="n"/>
      <c r="BS341" s="974" t="n"/>
      <c r="BT341" s="975" t="n"/>
      <c r="BU341" s="974" t="n"/>
      <c r="BV341" s="974" t="n"/>
      <c r="BW341" s="974" t="n"/>
      <c r="BX341" s="974" t="n"/>
      <c r="BY341" s="975" t="n"/>
      <c r="BZ341" s="974" t="n"/>
      <c r="CA341" s="974" t="n"/>
      <c r="CB341" s="974" t="n"/>
      <c r="CC341" s="974" t="n"/>
      <c r="CD341" s="975" t="n"/>
      <c r="CE341" s="974" t="n"/>
      <c r="CF341" s="974" t="n"/>
      <c r="CG341" s="974" t="n"/>
      <c r="CH341" s="974" t="n"/>
      <c r="CI341" s="976" t="n"/>
      <c r="CJ341" s="976" t="n"/>
      <c r="CK341" s="976" t="n"/>
      <c r="CL341" s="976" t="n"/>
      <c r="CM341" s="976" t="n"/>
      <c r="CN341" s="974" t="n"/>
      <c r="CO341" s="974" t="n"/>
      <c r="CP341" s="974" t="n"/>
      <c r="CQ341" s="693" t="n"/>
    </row>
    <row r="342" ht="16.5" customHeight="1">
      <c r="B342" s="19" t="inlineStr">
        <is>
          <t xml:space="preserve">  Total assets</t>
        </is>
      </c>
      <c r="C342" s="974" t="n"/>
      <c r="D342" s="974" t="n"/>
      <c r="E342" s="974" t="n"/>
      <c r="F342" s="974" t="n"/>
      <c r="G342" s="1076">
        <f>IFERROR(G237,"n/a")</f>
        <v/>
      </c>
      <c r="H342" s="974" t="n"/>
      <c r="I342" s="974" t="n"/>
      <c r="J342" s="974" t="n"/>
      <c r="K342" s="974" t="n"/>
      <c r="L342" s="1076">
        <f>IFERROR(L237,"n/a")</f>
        <v/>
      </c>
      <c r="M342" s="974" t="n"/>
      <c r="N342" s="974" t="n"/>
      <c r="O342" s="974" t="n"/>
      <c r="P342" s="974" t="n"/>
      <c r="Q342" s="1076">
        <f>IFERROR(Q237,"n/a")</f>
        <v/>
      </c>
      <c r="R342" s="974" t="n"/>
      <c r="S342" s="974" t="n"/>
      <c r="T342" s="974" t="n"/>
      <c r="U342" s="974" t="n"/>
      <c r="V342" s="1076">
        <f>IFERROR(V237,"n/a")</f>
        <v/>
      </c>
      <c r="W342" s="974" t="n"/>
      <c r="X342" s="974" t="n"/>
      <c r="Y342" s="974" t="n"/>
      <c r="Z342" s="974" t="n"/>
      <c r="AA342" s="1076">
        <f>IFERROR(AA237,"n/a")</f>
        <v/>
      </c>
      <c r="AB342" s="974" t="n"/>
      <c r="AC342" s="974" t="n"/>
      <c r="AD342" s="974" t="n"/>
      <c r="AE342" s="974" t="n"/>
      <c r="AF342" s="1076">
        <f>IFERROR(AF237,"n/a")</f>
        <v/>
      </c>
      <c r="AG342" s="974" t="n"/>
      <c r="AH342" s="974" t="n"/>
      <c r="AI342" s="974" t="n"/>
      <c r="AJ342" s="974" t="n"/>
      <c r="AK342" s="1076">
        <f>IFERROR(AK237,"n/a")</f>
        <v/>
      </c>
      <c r="AL342" s="974" t="n"/>
      <c r="AM342" s="974" t="n"/>
      <c r="AN342" s="974" t="n"/>
      <c r="AO342" s="974" t="n"/>
      <c r="AP342" s="1076">
        <f>IFERROR(AP237,"n/a")</f>
        <v/>
      </c>
      <c r="AQ342" s="974" t="n"/>
      <c r="AR342" s="974" t="n"/>
      <c r="AS342" s="974" t="n"/>
      <c r="AT342" s="974" t="n"/>
      <c r="AU342" s="1076">
        <f>IFERROR(AU237,"n/a")</f>
        <v/>
      </c>
      <c r="AV342" s="974" t="n"/>
      <c r="AW342" s="974" t="n"/>
      <c r="AX342" s="974" t="n"/>
      <c r="AY342" s="974" t="n"/>
      <c r="AZ342" s="1076">
        <f>IFERROR(AZ237,"n/a")</f>
        <v/>
      </c>
      <c r="BA342" s="974" t="n"/>
      <c r="BB342" s="974" t="n"/>
      <c r="BC342" s="974" t="n"/>
      <c r="BD342" s="974" t="n"/>
      <c r="BE342" s="1076">
        <f>IFERROR(BE237,"n/a")</f>
        <v/>
      </c>
      <c r="BF342" s="974" t="n"/>
      <c r="BG342" s="974" t="n"/>
      <c r="BH342" s="974" t="n"/>
      <c r="BI342" s="974" t="n"/>
      <c r="BJ342" s="1076">
        <f>IFERROR(BJ237,"n/a")</f>
        <v/>
      </c>
      <c r="BK342" s="974" t="n"/>
      <c r="BL342" s="974" t="n"/>
      <c r="BM342" s="974" t="n"/>
      <c r="BN342" s="974" t="n"/>
      <c r="BO342" s="1076">
        <f>IFERROR(BO237,"n/a")</f>
        <v/>
      </c>
      <c r="BP342" s="974" t="n"/>
      <c r="BQ342" s="974" t="n"/>
      <c r="BR342" s="974" t="n"/>
      <c r="BS342" s="974" t="n"/>
      <c r="BT342" s="1076">
        <f>IFERROR(BT237,"n/a")</f>
        <v/>
      </c>
      <c r="BU342" s="974" t="n"/>
      <c r="BV342" s="974" t="n"/>
      <c r="BW342" s="974" t="n"/>
      <c r="BX342" s="974" t="n"/>
      <c r="BY342" s="1076">
        <f>IFERROR(BY237,"n/a")</f>
        <v/>
      </c>
      <c r="BZ342" s="974" t="n"/>
      <c r="CA342" s="974" t="n"/>
      <c r="CB342" s="974" t="n"/>
      <c r="CC342" s="974" t="n"/>
      <c r="CD342" s="1076">
        <f>IFERROR(CD237,"n/a")</f>
        <v/>
      </c>
      <c r="CE342" s="1077">
        <f>IFERROR(CE237,"n/a")</f>
        <v/>
      </c>
      <c r="CF342" s="1077">
        <f>IFERROR(CF237,"n/a")</f>
        <v/>
      </c>
      <c r="CG342" s="1077">
        <f>IFERROR(CG237,"n/a")</f>
        <v/>
      </c>
      <c r="CH342" s="1077">
        <f>IFERROR(CH237,"n/a")</f>
        <v/>
      </c>
      <c r="CI342" s="1078">
        <f>IFERROR(CI237,"n/a")</f>
        <v/>
      </c>
      <c r="CJ342" s="1078">
        <f>IFERROR(CJ237,"n/a")</f>
        <v/>
      </c>
      <c r="CK342" s="1078">
        <f>IFERROR(CK237,"n/a")</f>
        <v/>
      </c>
      <c r="CL342" s="1078">
        <f>IFERROR(CL237,"n/a")</f>
        <v/>
      </c>
      <c r="CM342" s="1078">
        <f>IFERROR(CM237,"n/a")</f>
        <v/>
      </c>
      <c r="CN342" s="974" t="n"/>
      <c r="CO342" s="974" t="n"/>
      <c r="CP342" s="974" t="n"/>
      <c r="CQ342" s="693" t="n"/>
    </row>
    <row r="343" ht="16.5" customHeight="1">
      <c r="B343" s="19" t="inlineStr">
        <is>
          <t xml:space="preserve">  − Intangible assets (goodwill, etc.)</t>
        </is>
      </c>
      <c r="C343" s="974" t="n"/>
      <c r="D343" s="974" t="n"/>
      <c r="E343" s="974" t="n"/>
      <c r="F343" s="974" t="n"/>
      <c r="G343" s="1076">
        <f>IFERROR(-G232-G233,"n/a")</f>
        <v/>
      </c>
      <c r="H343" s="974" t="n"/>
      <c r="I343" s="974" t="n"/>
      <c r="J343" s="974" t="n"/>
      <c r="K343" s="974" t="n"/>
      <c r="L343" s="1076">
        <f>IFERROR(-L232-L233,"n/a")</f>
        <v/>
      </c>
      <c r="M343" s="974" t="n"/>
      <c r="N343" s="974" t="n"/>
      <c r="O343" s="974" t="n"/>
      <c r="P343" s="974" t="n"/>
      <c r="Q343" s="1076">
        <f>IFERROR(-Q232-Q233,"n/a")</f>
        <v/>
      </c>
      <c r="R343" s="974" t="n"/>
      <c r="S343" s="974" t="n"/>
      <c r="T343" s="974" t="n"/>
      <c r="U343" s="974" t="n"/>
      <c r="V343" s="1076">
        <f>IFERROR(-V232-V233,"n/a")</f>
        <v/>
      </c>
      <c r="W343" s="974" t="n"/>
      <c r="X343" s="974" t="n"/>
      <c r="Y343" s="974" t="n"/>
      <c r="Z343" s="974" t="n"/>
      <c r="AA343" s="1076">
        <f>IFERROR(-AA232-AA233,"n/a")</f>
        <v/>
      </c>
      <c r="AB343" s="974" t="n"/>
      <c r="AC343" s="974" t="n"/>
      <c r="AD343" s="974" t="n"/>
      <c r="AE343" s="974" t="n"/>
      <c r="AF343" s="1076">
        <f>IFERROR(-AF232-AF233,"n/a")</f>
        <v/>
      </c>
      <c r="AG343" s="974" t="n"/>
      <c r="AH343" s="974" t="n"/>
      <c r="AI343" s="974" t="n"/>
      <c r="AJ343" s="974" t="n"/>
      <c r="AK343" s="1076">
        <f>IFERROR(-AK232-AK233,"n/a")</f>
        <v/>
      </c>
      <c r="AL343" s="974" t="n"/>
      <c r="AM343" s="974" t="n"/>
      <c r="AN343" s="974" t="n"/>
      <c r="AO343" s="974" t="n"/>
      <c r="AP343" s="1076">
        <f>IFERROR(-AP232-AP233,"n/a")</f>
        <v/>
      </c>
      <c r="AQ343" s="974" t="n"/>
      <c r="AR343" s="974" t="n"/>
      <c r="AS343" s="974" t="n"/>
      <c r="AT343" s="974" t="n"/>
      <c r="AU343" s="1076">
        <f>IFERROR(-AU232-AU233,"n/a")</f>
        <v/>
      </c>
      <c r="AV343" s="974" t="n"/>
      <c r="AW343" s="974" t="n"/>
      <c r="AX343" s="974" t="n"/>
      <c r="AY343" s="974" t="n"/>
      <c r="AZ343" s="1076">
        <f>IFERROR(-AZ232-AZ233,"n/a")</f>
        <v/>
      </c>
      <c r="BA343" s="974" t="n"/>
      <c r="BB343" s="974" t="n"/>
      <c r="BC343" s="974" t="n"/>
      <c r="BD343" s="974" t="n"/>
      <c r="BE343" s="1076">
        <f>IFERROR(-BE232-BE233,"n/a")</f>
        <v/>
      </c>
      <c r="BF343" s="974" t="n"/>
      <c r="BG343" s="974" t="n"/>
      <c r="BH343" s="974" t="n"/>
      <c r="BI343" s="974" t="n"/>
      <c r="BJ343" s="1076">
        <f>IFERROR(-BJ232-BJ233,"n/a")</f>
        <v/>
      </c>
      <c r="BK343" s="974" t="n"/>
      <c r="BL343" s="974" t="n"/>
      <c r="BM343" s="974" t="n"/>
      <c r="BN343" s="974" t="n"/>
      <c r="BO343" s="1076">
        <f>IFERROR(-BO232-BO233,"n/a")</f>
        <v/>
      </c>
      <c r="BP343" s="974" t="n"/>
      <c r="BQ343" s="974" t="n"/>
      <c r="BR343" s="974" t="n"/>
      <c r="BS343" s="974" t="n"/>
      <c r="BT343" s="1076">
        <f>IFERROR(-BT232-BT233,"n/a")</f>
        <v/>
      </c>
      <c r="BU343" s="974" t="n"/>
      <c r="BV343" s="974" t="n"/>
      <c r="BW343" s="974" t="n"/>
      <c r="BX343" s="974" t="n"/>
      <c r="BY343" s="1076">
        <f>IFERROR(-BY232-BY233,"n/a")</f>
        <v/>
      </c>
      <c r="BZ343" s="974" t="n"/>
      <c r="CA343" s="974" t="n"/>
      <c r="CB343" s="974" t="n"/>
      <c r="CC343" s="974" t="n"/>
      <c r="CD343" s="1076">
        <f>IFERROR(-CD232-CD233,"n/a")</f>
        <v/>
      </c>
      <c r="CE343" s="1077">
        <f>IFERROR(-CE232-CE233,"n/a")</f>
        <v/>
      </c>
      <c r="CF343" s="1077">
        <f>IFERROR(-CF232-CF233,"n/a")</f>
        <v/>
      </c>
      <c r="CG343" s="1077">
        <f>IFERROR(-CG232-CG233,"n/a")</f>
        <v/>
      </c>
      <c r="CH343" s="1077">
        <f>IFERROR(-CH232-CH233,"n/a")</f>
        <v/>
      </c>
      <c r="CI343" s="1078">
        <f>IFERROR(-CI232-CI233,"n/a")</f>
        <v/>
      </c>
      <c r="CJ343" s="1078">
        <f>IFERROR(-CJ232-CJ233,"n/a")</f>
        <v/>
      </c>
      <c r="CK343" s="1078">
        <f>IFERROR(-CK232-CK233,"n/a")</f>
        <v/>
      </c>
      <c r="CL343" s="1078">
        <f>IFERROR(-CL232-CL233,"n/a")</f>
        <v/>
      </c>
      <c r="CM343" s="1078">
        <f>IFERROR(-CM232-CM233,"n/a")</f>
        <v/>
      </c>
      <c r="CN343" s="974" t="n"/>
      <c r="CO343" s="974" t="n"/>
      <c r="CP343" s="974" t="n"/>
      <c r="CQ343" s="693" t="n"/>
    </row>
    <row r="344" ht="16.5" customHeight="1">
      <c r="B344" s="19" t="inlineStr">
        <is>
          <t xml:space="preserve">  − Non-interest-bearing current liabilities (trade pay., accrued cost, etc.)</t>
        </is>
      </c>
      <c r="C344" s="974" t="n"/>
      <c r="D344" s="974" t="n"/>
      <c r="E344" s="974" t="n"/>
      <c r="F344" s="974" t="n"/>
      <c r="G344" s="1076">
        <f>IFERROR(-SUM(G243:G246),"n/a")</f>
        <v/>
      </c>
      <c r="H344" s="974" t="n"/>
      <c r="I344" s="974" t="n"/>
      <c r="J344" s="974" t="n"/>
      <c r="K344" s="974" t="n"/>
      <c r="L344" s="1076">
        <f>IFERROR(-SUM(L243:L246),"n/a")</f>
        <v/>
      </c>
      <c r="M344" s="974" t="n"/>
      <c r="N344" s="974" t="n"/>
      <c r="O344" s="974" t="n"/>
      <c r="P344" s="974" t="n"/>
      <c r="Q344" s="1076">
        <f>IFERROR(-SUM(Q243:Q246),"n/a")</f>
        <v/>
      </c>
      <c r="R344" s="974" t="n"/>
      <c r="S344" s="974" t="n"/>
      <c r="T344" s="974" t="n"/>
      <c r="U344" s="974" t="n"/>
      <c r="V344" s="1076">
        <f>IFERROR(-SUM(V243:V246),"n/a")</f>
        <v/>
      </c>
      <c r="W344" s="974" t="n"/>
      <c r="X344" s="974" t="n"/>
      <c r="Y344" s="974" t="n"/>
      <c r="Z344" s="974" t="n"/>
      <c r="AA344" s="1076">
        <f>IFERROR(-SUM(AA243:AA246),"n/a")</f>
        <v/>
      </c>
      <c r="AB344" s="974" t="n"/>
      <c r="AC344" s="974" t="n"/>
      <c r="AD344" s="974" t="n"/>
      <c r="AE344" s="974" t="n"/>
      <c r="AF344" s="1076">
        <f>IFERROR(-SUM(AF243:AF246),"n/a")</f>
        <v/>
      </c>
      <c r="AG344" s="974" t="n"/>
      <c r="AH344" s="974" t="n"/>
      <c r="AI344" s="974" t="n"/>
      <c r="AJ344" s="974" t="n"/>
      <c r="AK344" s="1076">
        <f>IFERROR(-SUM(AK243:AK246),"n/a")</f>
        <v/>
      </c>
      <c r="AL344" s="974" t="n"/>
      <c r="AM344" s="974" t="n"/>
      <c r="AN344" s="974" t="n"/>
      <c r="AO344" s="974" t="n"/>
      <c r="AP344" s="1076">
        <f>IFERROR(-SUM(AP243:AP246),"n/a")</f>
        <v/>
      </c>
      <c r="AQ344" s="974" t="n"/>
      <c r="AR344" s="974" t="n"/>
      <c r="AS344" s="974" t="n"/>
      <c r="AT344" s="974" t="n"/>
      <c r="AU344" s="1076">
        <f>IFERROR(-SUM(AU243:AU246),"n/a")</f>
        <v/>
      </c>
      <c r="AV344" s="974" t="n"/>
      <c r="AW344" s="974" t="n"/>
      <c r="AX344" s="974" t="n"/>
      <c r="AY344" s="974" t="n"/>
      <c r="AZ344" s="1076">
        <f>IFERROR(-SUM(AZ243:AZ246),"n/a")</f>
        <v/>
      </c>
      <c r="BA344" s="974" t="n"/>
      <c r="BB344" s="974" t="n"/>
      <c r="BC344" s="974" t="n"/>
      <c r="BD344" s="974" t="n"/>
      <c r="BE344" s="1076">
        <f>IFERROR(-SUM(BE243:BE246),"n/a")</f>
        <v/>
      </c>
      <c r="BF344" s="974" t="n"/>
      <c r="BG344" s="974" t="n"/>
      <c r="BH344" s="974" t="n"/>
      <c r="BI344" s="974" t="n"/>
      <c r="BJ344" s="1076">
        <f>IFERROR(-SUM(BJ243:BJ246),"n/a")</f>
        <v/>
      </c>
      <c r="BK344" s="974" t="n"/>
      <c r="BL344" s="974" t="n"/>
      <c r="BM344" s="974" t="n"/>
      <c r="BN344" s="974" t="n"/>
      <c r="BO344" s="1076">
        <f>IFERROR(-SUM(BO243:BO246),"n/a")</f>
        <v/>
      </c>
      <c r="BP344" s="974" t="n"/>
      <c r="BQ344" s="974" t="n"/>
      <c r="BR344" s="974" t="n"/>
      <c r="BS344" s="974" t="n"/>
      <c r="BT344" s="1076">
        <f>IFERROR(-SUM(BT243:BT246),"n/a")</f>
        <v/>
      </c>
      <c r="BU344" s="974" t="n"/>
      <c r="BV344" s="974" t="n"/>
      <c r="BW344" s="974" t="n"/>
      <c r="BX344" s="974" t="n"/>
      <c r="BY344" s="1076">
        <f>IFERROR(-SUM(BY243:BY246),"n/a")</f>
        <v/>
      </c>
      <c r="BZ344" s="974" t="n"/>
      <c r="CA344" s="974" t="n"/>
      <c r="CB344" s="974" t="n"/>
      <c r="CC344" s="974" t="n"/>
      <c r="CD344" s="1076">
        <f>IFERROR(-SUM(CD243:CD246),"n/a")</f>
        <v/>
      </c>
      <c r="CE344" s="1077">
        <f>IFERROR(-SUM(CE243:CE246),"n/a")</f>
        <v/>
      </c>
      <c r="CF344" s="1077">
        <f>IFERROR(-SUM(CF243:CF246),"n/a")</f>
        <v/>
      </c>
      <c r="CG344" s="1077">
        <f>IFERROR(-SUM(CG243:CG246),"n/a")</f>
        <v/>
      </c>
      <c r="CH344" s="1077">
        <f>IFERROR(-SUM(CH243:CH246),"n/a")</f>
        <v/>
      </c>
      <c r="CI344" s="1078">
        <f>IFERROR(-SUM(CI243:CI246),"n/a")</f>
        <v/>
      </c>
      <c r="CJ344" s="1078">
        <f>IFERROR(-SUM(CJ243:CJ246),"n/a")</f>
        <v/>
      </c>
      <c r="CK344" s="1078">
        <f>IFERROR(-SUM(CK243:CK246),"n/a")</f>
        <v/>
      </c>
      <c r="CL344" s="1078">
        <f>IFERROR(-SUM(CL243:CL246),"n/a")</f>
        <v/>
      </c>
      <c r="CM344" s="1078">
        <f>IFERROR(-SUM(CM243:CM246),"n/a")</f>
        <v/>
      </c>
      <c r="CN344" s="974" t="n"/>
      <c r="CO344" s="974" t="n"/>
      <c r="CP344" s="974" t="n"/>
      <c r="CQ344" s="693" t="n"/>
    </row>
    <row r="345" ht="16.5" customHeight="1">
      <c r="B345" s="240" t="inlineStr">
        <is>
          <t xml:space="preserve">  = Net tangible assets (TA − Intangibles − NIBCL − Cash)</t>
        </is>
      </c>
      <c r="C345" s="1079" t="n"/>
      <c r="D345" s="1079" t="n"/>
      <c r="E345" s="1079" t="n"/>
      <c r="F345" s="1079" t="n"/>
      <c r="G345" s="1080">
        <f>IFERROR(G342+G343+G344-G226,"n/a")</f>
        <v/>
      </c>
      <c r="H345" s="1079" t="n"/>
      <c r="I345" s="1079" t="n"/>
      <c r="J345" s="1079" t="n"/>
      <c r="K345" s="1079" t="n"/>
      <c r="L345" s="1080">
        <f>IFERROR(L342+L343+L344-L226,"n/a")</f>
        <v/>
      </c>
      <c r="M345" s="1079" t="n"/>
      <c r="N345" s="1079" t="n"/>
      <c r="O345" s="1079" t="n"/>
      <c r="P345" s="1079" t="n"/>
      <c r="Q345" s="1080">
        <f>IFERROR(Q342+Q343+Q344-Q226,"n/a")</f>
        <v/>
      </c>
      <c r="R345" s="1079" t="n"/>
      <c r="S345" s="1079" t="n"/>
      <c r="T345" s="1079" t="n"/>
      <c r="U345" s="1079" t="n"/>
      <c r="V345" s="1080">
        <f>IFERROR(V342+V343+V344-V226,"n/a")</f>
        <v/>
      </c>
      <c r="W345" s="1079" t="n"/>
      <c r="X345" s="1079" t="n"/>
      <c r="Y345" s="1079" t="n"/>
      <c r="Z345" s="1079" t="n"/>
      <c r="AA345" s="1080">
        <f>IFERROR(AA342+AA343+AA344-AA226,"n/a")</f>
        <v/>
      </c>
      <c r="AB345" s="1079" t="n"/>
      <c r="AC345" s="1079" t="n"/>
      <c r="AD345" s="1079" t="n"/>
      <c r="AE345" s="1079" t="n"/>
      <c r="AF345" s="1080">
        <f>IFERROR(AF342+AF343+AF344-AF226,"n/a")</f>
        <v/>
      </c>
      <c r="AG345" s="1079" t="n"/>
      <c r="AH345" s="1079" t="n"/>
      <c r="AI345" s="1079" t="n"/>
      <c r="AJ345" s="1079" t="n"/>
      <c r="AK345" s="1080">
        <f>IFERROR(AK342+AK343+AK344-AK226,"n/a")</f>
        <v/>
      </c>
      <c r="AL345" s="1079" t="n"/>
      <c r="AM345" s="1079" t="n"/>
      <c r="AN345" s="1079" t="n"/>
      <c r="AO345" s="1079" t="n"/>
      <c r="AP345" s="1080">
        <f>IFERROR(AP342+AP343+AP344-AP226,"n/a")</f>
        <v/>
      </c>
      <c r="AQ345" s="1079" t="n"/>
      <c r="AR345" s="1079" t="n"/>
      <c r="AS345" s="1079" t="n"/>
      <c r="AT345" s="1079" t="n"/>
      <c r="AU345" s="1080">
        <f>IFERROR(AU342+AU343+AU344-AU226,"n/a")</f>
        <v/>
      </c>
      <c r="AV345" s="1079" t="n"/>
      <c r="AW345" s="1079" t="n"/>
      <c r="AX345" s="1079" t="n"/>
      <c r="AY345" s="1079" t="n"/>
      <c r="AZ345" s="1080">
        <f>IFERROR(AZ342+AZ343+AZ344-AZ226,"n/a")</f>
        <v/>
      </c>
      <c r="BA345" s="1079" t="n"/>
      <c r="BB345" s="1079" t="n"/>
      <c r="BC345" s="1079" t="n"/>
      <c r="BD345" s="1079" t="n"/>
      <c r="BE345" s="1080">
        <f>IFERROR(BE342+BE343+BE344-BE226,"n/a")</f>
        <v/>
      </c>
      <c r="BF345" s="1079" t="n"/>
      <c r="BG345" s="1079" t="n"/>
      <c r="BH345" s="1079" t="n"/>
      <c r="BI345" s="1079" t="n"/>
      <c r="BJ345" s="1080">
        <f>IFERROR(BJ342+BJ343+BJ344-BJ226,"n/a")</f>
        <v/>
      </c>
      <c r="BK345" s="1079" t="n"/>
      <c r="BL345" s="1079" t="n"/>
      <c r="BM345" s="1079" t="n"/>
      <c r="BN345" s="1079" t="n"/>
      <c r="BO345" s="1080">
        <f>IFERROR(BO342+BO343+BO344-BO226,"n/a")</f>
        <v/>
      </c>
      <c r="BP345" s="1079" t="n"/>
      <c r="BQ345" s="1079" t="n"/>
      <c r="BR345" s="1079" t="n"/>
      <c r="BS345" s="1079" t="n"/>
      <c r="BT345" s="1080">
        <f>IFERROR(BT342+BT343+BT344-BT226,"n/a")</f>
        <v/>
      </c>
      <c r="BU345" s="1079" t="n"/>
      <c r="BV345" s="1079" t="n"/>
      <c r="BW345" s="1079" t="n"/>
      <c r="BX345" s="1079" t="n"/>
      <c r="BY345" s="1080">
        <f>IFERROR(BY342+BY343+BY344-BY226,"n/a")</f>
        <v/>
      </c>
      <c r="BZ345" s="1079" t="n"/>
      <c r="CA345" s="1079" t="n"/>
      <c r="CB345" s="1079" t="n"/>
      <c r="CC345" s="1079" t="n"/>
      <c r="CD345" s="1080">
        <f>IFERROR(CD342+CD343+CD344-CD226,"n/a")</f>
        <v/>
      </c>
      <c r="CE345" s="1081">
        <f>IFERROR(CE342+CE343+CE344-CE226,"n/a")</f>
        <v/>
      </c>
      <c r="CF345" s="1081">
        <f>IFERROR(CF342+CF343+CF344-CF226,"n/a")</f>
        <v/>
      </c>
      <c r="CG345" s="1081">
        <f>IFERROR(CG342+CG343+CG344-CG226,"n/a")</f>
        <v/>
      </c>
      <c r="CH345" s="1081">
        <f>IFERROR(CH342+CH343+CH344-CH226,"n/a")</f>
        <v/>
      </c>
      <c r="CI345" s="1082">
        <f>IFERROR(CI342+CI343+CI344-CI226,"n/a")</f>
        <v/>
      </c>
      <c r="CJ345" s="1082">
        <f>IFERROR(CJ342+CJ343+CJ344-CJ226,"n/a")</f>
        <v/>
      </c>
      <c r="CK345" s="1082">
        <f>IFERROR(CK342+CK343+CK344-CK226,"n/a")</f>
        <v/>
      </c>
      <c r="CL345" s="1082">
        <f>IFERROR(CL342+CL343+CL344-CL226,"n/a")</f>
        <v/>
      </c>
      <c r="CM345" s="1082">
        <f>IFERROR(CM342+CM343+CM344-CM226,"n/a")</f>
        <v/>
      </c>
      <c r="CN345" s="974" t="n"/>
      <c r="CO345" s="974" t="n"/>
      <c r="CP345" s="974" t="n"/>
      <c r="CQ345" s="693" t="n"/>
    </row>
    <row r="346" ht="16.5" customHeight="1">
      <c r="B346" s="1083" t="inlineStr">
        <is>
          <t>RONTA  =  NOPAT / NTA</t>
        </is>
      </c>
      <c r="C346" s="974" t="n"/>
      <c r="D346" s="974" t="n"/>
      <c r="E346" s="974" t="n"/>
      <c r="F346" s="974" t="n"/>
      <c r="G346" s="902">
        <f>IFERROR(G340/G345,"n/a")</f>
        <v/>
      </c>
      <c r="H346" s="804" t="n"/>
      <c r="I346" s="804" t="n"/>
      <c r="J346" s="804" t="n"/>
      <c r="K346" s="804" t="n"/>
      <c r="L346" s="902">
        <f>IFERROR(L340/L345,"n/a")</f>
        <v/>
      </c>
      <c r="M346" s="804" t="n"/>
      <c r="N346" s="804" t="n"/>
      <c r="O346" s="804" t="n"/>
      <c r="P346" s="804" t="n"/>
      <c r="Q346" s="902">
        <f>IFERROR(Q340/Q345,"n/a")</f>
        <v/>
      </c>
      <c r="R346" s="804" t="n"/>
      <c r="S346" s="804" t="n"/>
      <c r="T346" s="804" t="n"/>
      <c r="U346" s="804" t="n"/>
      <c r="V346" s="902">
        <f>IFERROR(V340/V345,"n/a")</f>
        <v/>
      </c>
      <c r="W346" s="804" t="n"/>
      <c r="X346" s="804" t="n"/>
      <c r="Y346" s="804" t="n"/>
      <c r="Z346" s="804" t="n"/>
      <c r="AA346" s="902">
        <f>IFERROR(AA340/AA345,"n/a")</f>
        <v/>
      </c>
      <c r="AB346" s="804" t="n"/>
      <c r="AC346" s="804" t="n"/>
      <c r="AD346" s="804" t="n"/>
      <c r="AE346" s="804" t="n"/>
      <c r="AF346" s="902">
        <f>IFERROR(AF340/AF345,"n/a")</f>
        <v/>
      </c>
      <c r="AG346" s="804" t="n"/>
      <c r="AH346" s="804" t="n"/>
      <c r="AI346" s="804" t="n"/>
      <c r="AJ346" s="804" t="n"/>
      <c r="AK346" s="902">
        <f>IFERROR(AK340/AK345,"n/a")</f>
        <v/>
      </c>
      <c r="AL346" s="804" t="n"/>
      <c r="AM346" s="804" t="n"/>
      <c r="AN346" s="804" t="n"/>
      <c r="AO346" s="804" t="n"/>
      <c r="AP346" s="902">
        <f>IFERROR(AP340/AP345,"n/a")</f>
        <v/>
      </c>
      <c r="AQ346" s="804" t="n"/>
      <c r="AR346" s="804" t="n"/>
      <c r="AS346" s="804" t="n"/>
      <c r="AT346" s="804" t="n"/>
      <c r="AU346" s="902">
        <f>IFERROR(AU340/AU345,"n/a")</f>
        <v/>
      </c>
      <c r="AV346" s="804" t="n"/>
      <c r="AW346" s="804" t="n"/>
      <c r="AX346" s="804" t="n"/>
      <c r="AY346" s="804" t="n"/>
      <c r="AZ346" s="902">
        <f>IFERROR(AZ340/AZ345,"n/a")</f>
        <v/>
      </c>
      <c r="BA346" s="804" t="n"/>
      <c r="BB346" s="804" t="n"/>
      <c r="BC346" s="804" t="n"/>
      <c r="BD346" s="804" t="n"/>
      <c r="BE346" s="902">
        <f>IFERROR(BE340/BE345,"n/a")</f>
        <v/>
      </c>
      <c r="BF346" s="804" t="n"/>
      <c r="BG346" s="804" t="n"/>
      <c r="BH346" s="804" t="n"/>
      <c r="BI346" s="804" t="n"/>
      <c r="BJ346" s="902">
        <f>IFERROR(BJ340/BJ345,"n/a")</f>
        <v/>
      </c>
      <c r="BK346" s="804" t="n"/>
      <c r="BL346" s="804" t="n"/>
      <c r="BM346" s="804" t="n"/>
      <c r="BN346" s="804" t="n"/>
      <c r="BO346" s="902">
        <f>IFERROR(BO340/BO345,"n/a")</f>
        <v/>
      </c>
      <c r="BP346" s="804" t="n"/>
      <c r="BQ346" s="804" t="n"/>
      <c r="BR346" s="804" t="n"/>
      <c r="BS346" s="804" t="n"/>
      <c r="BT346" s="902">
        <f>IFERROR(BT340/BT345,"n/a")</f>
        <v/>
      </c>
      <c r="BU346" s="804" t="n"/>
      <c r="BV346" s="804" t="n"/>
      <c r="BW346" s="804" t="n"/>
      <c r="BX346" s="804" t="n"/>
      <c r="BY346" s="902">
        <f>IFERROR(BY340/BY345,"n/a")</f>
        <v/>
      </c>
      <c r="BZ346" s="804" t="n"/>
      <c r="CA346" s="804" t="n"/>
      <c r="CB346" s="804" t="n"/>
      <c r="CC346" s="804" t="n"/>
      <c r="CD346" s="902">
        <f>IFERROR(CD340/CD345,"n/a")</f>
        <v/>
      </c>
      <c r="CE346" s="805">
        <f>IFERROR(CE340/CE345,"n/a")</f>
        <v/>
      </c>
      <c r="CF346" s="805">
        <f>IFERROR(CF340/CF345,"n/a")</f>
        <v/>
      </c>
      <c r="CG346" s="805">
        <f>IFERROR(CG340/CG345,"n/a")</f>
        <v/>
      </c>
      <c r="CH346" s="805">
        <f>IFERROR(CH340/CH345,"n/a")</f>
        <v/>
      </c>
      <c r="CI346" s="805">
        <f>IFERROR(CI340/CI345,"n/a")</f>
        <v/>
      </c>
      <c r="CJ346" s="805">
        <f>IFERROR(CJ340/CJ345,"n/a")</f>
        <v/>
      </c>
      <c r="CK346" s="805">
        <f>IFERROR(CK340/CK345,"n/a")</f>
        <v/>
      </c>
      <c r="CL346" s="805">
        <f>IFERROR(CL340/CL345,"n/a")</f>
        <v/>
      </c>
      <c r="CM346" s="805">
        <f>IFERROR(CM340/CM345,"n/a")</f>
        <v/>
      </c>
      <c r="CN346" s="974" t="n"/>
      <c r="CO346" s="974" t="n"/>
      <c r="CP346" s="974" t="n"/>
      <c r="CQ346" s="693" t="n"/>
    </row>
    <row r="347" ht="16.5" customHeight="1">
      <c r="B347" s="305" t="n"/>
      <c r="C347" s="974" t="n"/>
      <c r="D347" s="974" t="n"/>
      <c r="E347" s="974" t="n"/>
      <c r="F347" s="974" t="n"/>
      <c r="G347" s="975" t="n"/>
      <c r="H347" s="974" t="n"/>
      <c r="I347" s="974" t="n"/>
      <c r="J347" s="974" t="n"/>
      <c r="K347" s="974" t="n"/>
      <c r="L347" s="975" t="n"/>
      <c r="M347" s="974" t="n"/>
      <c r="N347" s="974" t="n"/>
      <c r="O347" s="974" t="n"/>
      <c r="P347" s="974" t="n"/>
      <c r="Q347" s="975" t="n"/>
      <c r="R347" s="974" t="n"/>
      <c r="S347" s="974" t="n"/>
      <c r="T347" s="974" t="n"/>
      <c r="U347" s="974" t="n"/>
      <c r="V347" s="975" t="n"/>
      <c r="W347" s="974" t="n"/>
      <c r="X347" s="974" t="n"/>
      <c r="Y347" s="974" t="n"/>
      <c r="Z347" s="974" t="n"/>
      <c r="AA347" s="975" t="n"/>
      <c r="AB347" s="974" t="n"/>
      <c r="AC347" s="974" t="n"/>
      <c r="AD347" s="974" t="n"/>
      <c r="AE347" s="974" t="n"/>
      <c r="AF347" s="975" t="n"/>
      <c r="AG347" s="974" t="n"/>
      <c r="AH347" s="974" t="n"/>
      <c r="AI347" s="974" t="n"/>
      <c r="AJ347" s="974" t="n"/>
      <c r="AK347" s="975" t="n"/>
      <c r="AL347" s="974" t="n"/>
      <c r="AM347" s="974" t="n"/>
      <c r="AN347" s="974" t="n"/>
      <c r="AO347" s="974" t="n"/>
      <c r="AP347" s="975" t="n"/>
      <c r="AQ347" s="974" t="n"/>
      <c r="AR347" s="974" t="n"/>
      <c r="AS347" s="974" t="n"/>
      <c r="AT347" s="974" t="n"/>
      <c r="AU347" s="975" t="n"/>
      <c r="AV347" s="974" t="n"/>
      <c r="AW347" s="974" t="n"/>
      <c r="AX347" s="974" t="n"/>
      <c r="AY347" s="974" t="n"/>
      <c r="AZ347" s="975" t="n"/>
      <c r="BA347" s="974" t="n"/>
      <c r="BB347" s="974" t="n"/>
      <c r="BC347" s="974" t="n"/>
      <c r="BD347" s="974" t="n"/>
      <c r="BE347" s="975" t="n"/>
      <c r="BF347" s="974" t="n"/>
      <c r="BG347" s="974" t="n"/>
      <c r="BH347" s="974" t="n"/>
      <c r="BI347" s="974" t="n"/>
      <c r="BJ347" s="975" t="n"/>
      <c r="BK347" s="974" t="n"/>
      <c r="BL347" s="974" t="n"/>
      <c r="BM347" s="974" t="n"/>
      <c r="BN347" s="974" t="n"/>
      <c r="BO347" s="975" t="n"/>
      <c r="BP347" s="974" t="n"/>
      <c r="BQ347" s="974" t="n"/>
      <c r="BR347" s="974" t="n"/>
      <c r="BS347" s="974" t="n"/>
      <c r="BT347" s="975" t="n"/>
      <c r="BU347" s="974" t="n"/>
      <c r="BV347" s="974" t="n"/>
      <c r="BW347" s="974" t="n"/>
      <c r="BX347" s="974" t="n"/>
      <c r="BY347" s="975" t="n"/>
      <c r="BZ347" s="974" t="n"/>
      <c r="CA347" s="974" t="n"/>
      <c r="CB347" s="974" t="n"/>
      <c r="CC347" s="974" t="n"/>
      <c r="CD347" s="975" t="n"/>
      <c r="CE347" s="974" t="n"/>
      <c r="CF347" s="974" t="n"/>
      <c r="CG347" s="974" t="n"/>
      <c r="CH347" s="974" t="n"/>
      <c r="CI347" s="976" t="n"/>
      <c r="CJ347" s="976" t="n"/>
      <c r="CK347" s="976" t="n"/>
      <c r="CL347" s="976" t="n"/>
      <c r="CM347" s="976" t="n"/>
      <c r="CN347" s="974" t="n"/>
      <c r="CO347" s="974" t="n"/>
      <c r="CP347" s="974" t="n"/>
      <c r="CQ347" s="693" t="n"/>
    </row>
    <row r="348" ht="16.5" customHeight="1">
      <c r="B348" s="149" t="inlineStr">
        <is>
          <t>Return on Equity (ROE)</t>
        </is>
      </c>
      <c r="C348" s="1074" t="n"/>
      <c r="D348" s="1074" t="n"/>
      <c r="E348" s="1074" t="n"/>
      <c r="F348" s="1074" t="n"/>
      <c r="G348" s="1075" t="n"/>
      <c r="H348" s="1074" t="n"/>
      <c r="I348" s="1074" t="n"/>
      <c r="J348" s="1074" t="n"/>
      <c r="K348" s="1074" t="n"/>
      <c r="L348" s="1075" t="n"/>
      <c r="M348" s="1074" t="n"/>
      <c r="N348" s="1074" t="n"/>
      <c r="O348" s="1074" t="n"/>
      <c r="P348" s="1074" t="n"/>
      <c r="Q348" s="1075" t="n"/>
      <c r="R348" s="1074" t="n"/>
      <c r="S348" s="1074" t="n"/>
      <c r="T348" s="1074" t="n"/>
      <c r="U348" s="1074" t="n"/>
      <c r="V348" s="1075" t="n"/>
      <c r="W348" s="1074" t="n"/>
      <c r="X348" s="1074" t="n"/>
      <c r="Y348" s="1074" t="n"/>
      <c r="Z348" s="1074" t="n"/>
      <c r="AA348" s="1075" t="n"/>
      <c r="AB348" s="1074" t="n"/>
      <c r="AC348" s="1074" t="n"/>
      <c r="AD348" s="1074" t="n"/>
      <c r="AE348" s="1074" t="n"/>
      <c r="AF348" s="1075" t="n"/>
      <c r="AG348" s="1074" t="n"/>
      <c r="AH348" s="1074" t="n"/>
      <c r="AI348" s="1074" t="n"/>
      <c r="AJ348" s="1074" t="n"/>
      <c r="AK348" s="1075" t="n"/>
      <c r="AL348" s="1074" t="n"/>
      <c r="AM348" s="1074" t="n"/>
      <c r="AN348" s="1074" t="n"/>
      <c r="AO348" s="1074" t="n"/>
      <c r="AP348" s="1075" t="n"/>
      <c r="AQ348" s="1074" t="n"/>
      <c r="AR348" s="1074" t="n"/>
      <c r="AS348" s="1074" t="n"/>
      <c r="AT348" s="1074" t="n"/>
      <c r="AU348" s="1075" t="n"/>
      <c r="AV348" s="1074" t="n"/>
      <c r="AW348" s="1074" t="n"/>
      <c r="AX348" s="1074" t="n"/>
      <c r="AY348" s="1074" t="n"/>
      <c r="AZ348" s="1075" t="n"/>
      <c r="BA348" s="1074" t="n"/>
      <c r="BB348" s="1074" t="n"/>
      <c r="BC348" s="1074" t="n"/>
      <c r="BD348" s="1074" t="n"/>
      <c r="BE348" s="1075" t="n"/>
      <c r="BF348" s="1074" t="n"/>
      <c r="BG348" s="1074" t="n"/>
      <c r="BH348" s="1074" t="n"/>
      <c r="BI348" s="1074" t="n"/>
      <c r="BJ348" s="1075" t="n"/>
      <c r="BK348" s="1074" t="n"/>
      <c r="BL348" s="1074" t="n"/>
      <c r="BM348" s="1074" t="n"/>
      <c r="BN348" s="1074" t="n"/>
      <c r="BO348" s="1075" t="n"/>
      <c r="BP348" s="1074" t="n"/>
      <c r="BQ348" s="1074" t="n"/>
      <c r="BR348" s="1074" t="n"/>
      <c r="BS348" s="1074" t="n"/>
      <c r="BT348" s="1075" t="n"/>
      <c r="BU348" s="1074" t="n"/>
      <c r="BV348" s="1074" t="n"/>
      <c r="BW348" s="1074" t="n"/>
      <c r="BX348" s="1074" t="n"/>
      <c r="BY348" s="1075" t="n"/>
      <c r="BZ348" s="1074" t="n"/>
      <c r="CA348" s="1074" t="n"/>
      <c r="CB348" s="1074" t="n"/>
      <c r="CC348" s="1074" t="n"/>
      <c r="CD348" s="1075" t="n"/>
      <c r="CE348" s="1074" t="n"/>
      <c r="CF348" s="1074" t="n"/>
      <c r="CG348" s="1074" t="n"/>
      <c r="CH348" s="1074" t="n"/>
      <c r="CI348" s="1074" t="n"/>
      <c r="CJ348" s="1074" t="n"/>
      <c r="CK348" s="1074" t="n"/>
      <c r="CL348" s="1074" t="n"/>
      <c r="CM348" s="1074" t="n"/>
      <c r="CN348" s="974" t="n"/>
      <c r="CO348" s="974" t="n"/>
      <c r="CP348" s="974" t="n"/>
      <c r="CQ348" s="693" t="n"/>
    </row>
    <row r="349" ht="16.5" customHeight="1">
      <c r="B349" s="19" t="inlineStr">
        <is>
          <t>Net income (profit for the year)</t>
        </is>
      </c>
      <c r="C349" s="974" t="n"/>
      <c r="D349" s="974" t="n"/>
      <c r="E349" s="974" t="n"/>
      <c r="F349" s="974" t="n"/>
      <c r="G349" s="1076">
        <f>IFERROR(G133,"n/a")</f>
        <v/>
      </c>
      <c r="H349" s="974" t="n"/>
      <c r="I349" s="974" t="n"/>
      <c r="J349" s="974" t="n"/>
      <c r="K349" s="974" t="n"/>
      <c r="L349" s="1076">
        <f>IFERROR(L133,"n/a")</f>
        <v/>
      </c>
      <c r="M349" s="974" t="n"/>
      <c r="N349" s="974" t="n"/>
      <c r="O349" s="974" t="n"/>
      <c r="P349" s="974" t="n"/>
      <c r="Q349" s="1076">
        <f>IFERROR(Q133,"n/a")</f>
        <v/>
      </c>
      <c r="R349" s="974" t="n"/>
      <c r="S349" s="974" t="n"/>
      <c r="T349" s="974" t="n"/>
      <c r="U349" s="974" t="n"/>
      <c r="V349" s="1076">
        <f>IFERROR(V133,"n/a")</f>
        <v/>
      </c>
      <c r="W349" s="974" t="n"/>
      <c r="X349" s="974" t="n"/>
      <c r="Y349" s="974" t="n"/>
      <c r="Z349" s="974" t="n"/>
      <c r="AA349" s="1076">
        <f>IFERROR(AA133,"n/a")</f>
        <v/>
      </c>
      <c r="AB349" s="974" t="n"/>
      <c r="AC349" s="974" t="n"/>
      <c r="AD349" s="974" t="n"/>
      <c r="AE349" s="974" t="n"/>
      <c r="AF349" s="1076">
        <f>IFERROR(AF155,"n/a")</f>
        <v/>
      </c>
      <c r="AG349" s="974" t="n"/>
      <c r="AH349" s="974" t="n"/>
      <c r="AI349" s="974" t="n"/>
      <c r="AJ349" s="974" t="n"/>
      <c r="AK349" s="1076">
        <f>IFERROR(AK155,"n/a")</f>
        <v/>
      </c>
      <c r="AL349" s="974" t="n"/>
      <c r="AM349" s="974" t="n"/>
      <c r="AN349" s="974" t="n"/>
      <c r="AO349" s="974" t="n"/>
      <c r="AP349" s="1076">
        <f>IFERROR(AP155,"n/a")</f>
        <v/>
      </c>
      <c r="AQ349" s="974" t="n"/>
      <c r="AR349" s="974" t="n"/>
      <c r="AS349" s="974" t="n"/>
      <c r="AT349" s="974" t="n"/>
      <c r="AU349" s="1076">
        <f>IFERROR(AU155,"n/a")</f>
        <v/>
      </c>
      <c r="AV349" s="974" t="n"/>
      <c r="AW349" s="974" t="n"/>
      <c r="AX349" s="974" t="n"/>
      <c r="AY349" s="974" t="n"/>
      <c r="AZ349" s="1076">
        <f>IFERROR(AZ155,"n/a")</f>
        <v/>
      </c>
      <c r="BA349" s="974" t="n"/>
      <c r="BB349" s="974" t="n"/>
      <c r="BC349" s="974" t="n"/>
      <c r="BD349" s="974" t="n"/>
      <c r="BE349" s="1076">
        <f>IFERROR(BE155,"n/a")</f>
        <v/>
      </c>
      <c r="BF349" s="974" t="n"/>
      <c r="BG349" s="974" t="n"/>
      <c r="BH349" s="974" t="n"/>
      <c r="BI349" s="974" t="n"/>
      <c r="BJ349" s="1076">
        <f>IFERROR(BJ155,"n/a")</f>
        <v/>
      </c>
      <c r="BK349" s="974" t="n"/>
      <c r="BL349" s="974" t="n"/>
      <c r="BM349" s="974" t="n"/>
      <c r="BN349" s="974" t="n"/>
      <c r="BO349" s="1076">
        <f>IFERROR(BO155,"n/a")</f>
        <v/>
      </c>
      <c r="BP349" s="974" t="n"/>
      <c r="BQ349" s="974" t="n"/>
      <c r="BR349" s="974" t="n"/>
      <c r="BS349" s="974" t="n"/>
      <c r="BT349" s="1076">
        <f>IFERROR(BT155,"n/a")</f>
        <v/>
      </c>
      <c r="BU349" s="974" t="n"/>
      <c r="BV349" s="974" t="n"/>
      <c r="BW349" s="974" t="n"/>
      <c r="BX349" s="974" t="n"/>
      <c r="BY349" s="1076">
        <f>IFERROR(BY155,"n/a")</f>
        <v/>
      </c>
      <c r="BZ349" s="974" t="n"/>
      <c r="CA349" s="974" t="n"/>
      <c r="CB349" s="974" t="n"/>
      <c r="CC349" s="974" t="n"/>
      <c r="CD349" s="1076">
        <f>IFERROR(CD155,"n/a")</f>
        <v/>
      </c>
      <c r="CE349" s="1077">
        <f>IFERROR(CE155,"n/a")</f>
        <v/>
      </c>
      <c r="CF349" s="1077">
        <f>IFERROR(CF155,"n/a")</f>
        <v/>
      </c>
      <c r="CG349" s="1077">
        <f>IFERROR(CG155,"n/a")</f>
        <v/>
      </c>
      <c r="CH349" s="1077">
        <f>IFERROR(CH155,"n/a")</f>
        <v/>
      </c>
      <c r="CI349" s="1078">
        <f>IFERROR(CI155,"n/a")</f>
        <v/>
      </c>
      <c r="CJ349" s="1078">
        <f>IFERROR(CJ155,"n/a")</f>
        <v/>
      </c>
      <c r="CK349" s="1078">
        <f>IFERROR(CK155,"n/a")</f>
        <v/>
      </c>
      <c r="CL349" s="1078">
        <f>IFERROR(CL155,"n/a")</f>
        <v/>
      </c>
      <c r="CM349" s="1078">
        <f>IFERROR(CM155,"n/a")</f>
        <v/>
      </c>
      <c r="CN349" s="974" t="n"/>
      <c r="CO349" s="974" t="n"/>
      <c r="CP349" s="974" t="n"/>
      <c r="CQ349" s="693" t="n"/>
    </row>
    <row r="350" ht="16.5" customHeight="1">
      <c r="B350" s="19" t="inlineStr">
        <is>
          <t>Total equity</t>
        </is>
      </c>
      <c r="C350" s="974" t="n"/>
      <c r="D350" s="974" t="n"/>
      <c r="E350" s="974" t="n"/>
      <c r="F350" s="974" t="n"/>
      <c r="G350" s="1076">
        <f>IFERROR(G260,"n/a")</f>
        <v/>
      </c>
      <c r="H350" s="974" t="n"/>
      <c r="I350" s="974" t="n"/>
      <c r="J350" s="974" t="n"/>
      <c r="K350" s="974" t="n"/>
      <c r="L350" s="1076">
        <f>IFERROR(L260,"n/a")</f>
        <v/>
      </c>
      <c r="M350" s="974" t="n"/>
      <c r="N350" s="974" t="n"/>
      <c r="O350" s="974" t="n"/>
      <c r="P350" s="974" t="n"/>
      <c r="Q350" s="1076">
        <f>IFERROR(Q260,"n/a")</f>
        <v/>
      </c>
      <c r="R350" s="974" t="n"/>
      <c r="S350" s="974" t="n"/>
      <c r="T350" s="974" t="n"/>
      <c r="U350" s="974" t="n"/>
      <c r="V350" s="1076">
        <f>IFERROR(V260,"n/a")</f>
        <v/>
      </c>
      <c r="W350" s="974" t="n"/>
      <c r="X350" s="974" t="n"/>
      <c r="Y350" s="974" t="n"/>
      <c r="Z350" s="974" t="n"/>
      <c r="AA350" s="1076">
        <f>IFERROR(AA260,"n/a")</f>
        <v/>
      </c>
      <c r="AB350" s="974" t="n"/>
      <c r="AC350" s="974" t="n"/>
      <c r="AD350" s="974" t="n"/>
      <c r="AE350" s="974" t="n"/>
      <c r="AF350" s="1076">
        <f>IFERROR(AF260,"n/a")</f>
        <v/>
      </c>
      <c r="AG350" s="974" t="n"/>
      <c r="AH350" s="974" t="n"/>
      <c r="AI350" s="974" t="n"/>
      <c r="AJ350" s="974" t="n"/>
      <c r="AK350" s="1076">
        <f>IFERROR(AK260,"n/a")</f>
        <v/>
      </c>
      <c r="AL350" s="974" t="n"/>
      <c r="AM350" s="974" t="n"/>
      <c r="AN350" s="974" t="n"/>
      <c r="AO350" s="974" t="n"/>
      <c r="AP350" s="1076">
        <f>IFERROR(AP260,"n/a")</f>
        <v/>
      </c>
      <c r="AQ350" s="974" t="n"/>
      <c r="AR350" s="974" t="n"/>
      <c r="AS350" s="974" t="n"/>
      <c r="AT350" s="974" t="n"/>
      <c r="AU350" s="1076">
        <f>IFERROR(AU260,"n/a")</f>
        <v/>
      </c>
      <c r="AV350" s="974" t="n"/>
      <c r="AW350" s="974" t="n"/>
      <c r="AX350" s="974" t="n"/>
      <c r="AY350" s="974" t="n"/>
      <c r="AZ350" s="1076">
        <f>IFERROR(AZ260,"n/a")</f>
        <v/>
      </c>
      <c r="BA350" s="974" t="n"/>
      <c r="BB350" s="974" t="n"/>
      <c r="BC350" s="974" t="n"/>
      <c r="BD350" s="974" t="n"/>
      <c r="BE350" s="1076">
        <f>IFERROR(BE260,"n/a")</f>
        <v/>
      </c>
      <c r="BF350" s="974" t="n"/>
      <c r="BG350" s="974" t="n"/>
      <c r="BH350" s="974" t="n"/>
      <c r="BI350" s="974" t="n"/>
      <c r="BJ350" s="1076">
        <f>IFERROR(BJ260,"n/a")</f>
        <v/>
      </c>
      <c r="BK350" s="974" t="n"/>
      <c r="BL350" s="974" t="n"/>
      <c r="BM350" s="974" t="n"/>
      <c r="BN350" s="974" t="n"/>
      <c r="BO350" s="1076">
        <f>IFERROR(BO260,"n/a")</f>
        <v/>
      </c>
      <c r="BP350" s="974" t="n"/>
      <c r="BQ350" s="974" t="n"/>
      <c r="BR350" s="974" t="n"/>
      <c r="BS350" s="974" t="n"/>
      <c r="BT350" s="1076">
        <f>IFERROR(BT260,"n/a")</f>
        <v/>
      </c>
      <c r="BU350" s="974" t="n"/>
      <c r="BV350" s="974" t="n"/>
      <c r="BW350" s="974" t="n"/>
      <c r="BX350" s="974" t="n"/>
      <c r="BY350" s="1076">
        <f>IFERROR(BY260,"n/a")</f>
        <v/>
      </c>
      <c r="BZ350" s="974" t="n"/>
      <c r="CA350" s="974" t="n"/>
      <c r="CB350" s="974" t="n"/>
      <c r="CC350" s="974" t="n"/>
      <c r="CD350" s="1076">
        <f>IFERROR(CD260,"n/a")</f>
        <v/>
      </c>
      <c r="CE350" s="1077">
        <f>IFERROR(CE260,"n/a")</f>
        <v/>
      </c>
      <c r="CF350" s="1077">
        <f>IFERROR(CF260,"n/a")</f>
        <v/>
      </c>
      <c r="CG350" s="1077">
        <f>IFERROR(CG260,"n/a")</f>
        <v/>
      </c>
      <c r="CH350" s="1077">
        <f>IFERROR(CH260,"n/a")</f>
        <v/>
      </c>
      <c r="CI350" s="1078">
        <f>IFERROR(CI260,"n/a")</f>
        <v/>
      </c>
      <c r="CJ350" s="1078">
        <f>IFERROR(CJ260,"n/a")</f>
        <v/>
      </c>
      <c r="CK350" s="1078">
        <f>IFERROR(CK260,"n/a")</f>
        <v/>
      </c>
      <c r="CL350" s="1078">
        <f>IFERROR(CL260,"n/a")</f>
        <v/>
      </c>
      <c r="CM350" s="1078">
        <f>IFERROR(CM260,"n/a")</f>
        <v/>
      </c>
      <c r="CN350" s="974" t="n"/>
      <c r="CO350" s="974" t="n"/>
      <c r="CP350" s="974" t="n"/>
      <c r="CQ350" s="693" t="n"/>
    </row>
    <row r="351" ht="16.5" customHeight="1">
      <c r="B351" s="1083" t="inlineStr">
        <is>
          <t>ROE  =  Net income / Equity</t>
        </is>
      </c>
      <c r="C351" s="974" t="n"/>
      <c r="D351" s="974" t="n"/>
      <c r="E351" s="974" t="n"/>
      <c r="F351" s="974" t="n"/>
      <c r="G351" s="902">
        <f>IFERROR(G349/G350,"n/a")</f>
        <v/>
      </c>
      <c r="H351" s="804" t="n"/>
      <c r="I351" s="804" t="n"/>
      <c r="J351" s="804" t="n"/>
      <c r="K351" s="804" t="n"/>
      <c r="L351" s="902">
        <f>IFERROR(L349/L350,"n/a")</f>
        <v/>
      </c>
      <c r="M351" s="804" t="n"/>
      <c r="N351" s="804" t="n"/>
      <c r="O351" s="804" t="n"/>
      <c r="P351" s="804" t="n"/>
      <c r="Q351" s="902">
        <f>IFERROR(Q349/Q350,"n/a")</f>
        <v/>
      </c>
      <c r="R351" s="804" t="n"/>
      <c r="S351" s="804" t="n"/>
      <c r="T351" s="804" t="n"/>
      <c r="U351" s="804" t="n"/>
      <c r="V351" s="902">
        <f>IFERROR(V349/V350,"n/a")</f>
        <v/>
      </c>
      <c r="W351" s="804" t="n"/>
      <c r="X351" s="804" t="n"/>
      <c r="Y351" s="804" t="n"/>
      <c r="Z351" s="804" t="n"/>
      <c r="AA351" s="902">
        <f>IFERROR(AA349/AA350,"n/a")</f>
        <v/>
      </c>
      <c r="AB351" s="804" t="n"/>
      <c r="AC351" s="804" t="n"/>
      <c r="AD351" s="804" t="n"/>
      <c r="AE351" s="804" t="n"/>
      <c r="AF351" s="902">
        <f>IFERROR(AF349/AF350,"n/a")</f>
        <v/>
      </c>
      <c r="AG351" s="804" t="n"/>
      <c r="AH351" s="804" t="n"/>
      <c r="AI351" s="804" t="n"/>
      <c r="AJ351" s="804" t="n"/>
      <c r="AK351" s="902">
        <f>IFERROR(AK349/AK350,"n/a")</f>
        <v/>
      </c>
      <c r="AL351" s="804" t="n"/>
      <c r="AM351" s="804" t="n"/>
      <c r="AN351" s="804" t="n"/>
      <c r="AO351" s="804" t="n"/>
      <c r="AP351" s="902">
        <f>IFERROR(AP349/AP350,"n/a")</f>
        <v/>
      </c>
      <c r="AQ351" s="804" t="n"/>
      <c r="AR351" s="804" t="n"/>
      <c r="AS351" s="804" t="n"/>
      <c r="AT351" s="804" t="n"/>
      <c r="AU351" s="902">
        <f>IFERROR(AU349/AU350,"n/a")</f>
        <v/>
      </c>
      <c r="AV351" s="804" t="n"/>
      <c r="AW351" s="804" t="n"/>
      <c r="AX351" s="804" t="n"/>
      <c r="AY351" s="804" t="n"/>
      <c r="AZ351" s="902">
        <f>IFERROR(AZ349/AZ350,"n/a")</f>
        <v/>
      </c>
      <c r="BA351" s="804" t="n"/>
      <c r="BB351" s="804" t="n"/>
      <c r="BC351" s="804" t="n"/>
      <c r="BD351" s="804" t="n"/>
      <c r="BE351" s="902">
        <f>IFERROR(BE349/BE350,"n/a")</f>
        <v/>
      </c>
      <c r="BF351" s="804" t="n"/>
      <c r="BG351" s="804" t="n"/>
      <c r="BH351" s="804" t="n"/>
      <c r="BI351" s="804" t="n"/>
      <c r="BJ351" s="902">
        <f>IFERROR(BJ349/BJ350,"n/a")</f>
        <v/>
      </c>
      <c r="BK351" s="804" t="n"/>
      <c r="BL351" s="804" t="n"/>
      <c r="BM351" s="804" t="n"/>
      <c r="BN351" s="804" t="n"/>
      <c r="BO351" s="902">
        <f>IFERROR(BO349/BO350,"n/a")</f>
        <v/>
      </c>
      <c r="BP351" s="804" t="n"/>
      <c r="BQ351" s="804" t="n"/>
      <c r="BR351" s="804" t="n"/>
      <c r="BS351" s="804" t="n"/>
      <c r="BT351" s="902">
        <f>IFERROR(BT349/BT350,"n/a")</f>
        <v/>
      </c>
      <c r="BU351" s="804" t="n"/>
      <c r="BV351" s="804" t="n"/>
      <c r="BW351" s="804" t="n"/>
      <c r="BX351" s="804" t="n"/>
      <c r="BY351" s="902">
        <f>IFERROR(BY349/BY350,"n/a")</f>
        <v/>
      </c>
      <c r="BZ351" s="804" t="n"/>
      <c r="CA351" s="804" t="n"/>
      <c r="CB351" s="804" t="n"/>
      <c r="CC351" s="804" t="n"/>
      <c r="CD351" s="902">
        <f>IFERROR(CD349/CD350,"n/a")</f>
        <v/>
      </c>
      <c r="CE351" s="805">
        <f>IFERROR(CE349/CE350,"n/a")</f>
        <v/>
      </c>
      <c r="CF351" s="805">
        <f>IFERROR(CF349/CF350,"n/a")</f>
        <v/>
      </c>
      <c r="CG351" s="805">
        <f>IFERROR(CG349/CG350,"n/a")</f>
        <v/>
      </c>
      <c r="CH351" s="805">
        <f>IFERROR(CH349/CH350,"n/a")</f>
        <v/>
      </c>
      <c r="CI351" s="805">
        <f>IFERROR(CI349/CI350,"n/a")</f>
        <v/>
      </c>
      <c r="CJ351" s="805">
        <f>IFERROR(CJ349/CJ350,"n/a")</f>
        <v/>
      </c>
      <c r="CK351" s="805">
        <f>IFERROR(CK349/CK350,"n/a")</f>
        <v/>
      </c>
      <c r="CL351" s="805">
        <f>IFERROR(CL349/CL350,"n/a")</f>
        <v/>
      </c>
      <c r="CM351" s="805">
        <f>IFERROR(CM349/CM350,"n/a")</f>
        <v/>
      </c>
      <c r="CN351" s="974" t="n"/>
      <c r="CO351" s="974" t="n"/>
      <c r="CP351" s="974" t="n"/>
      <c r="CQ351" s="693" t="n"/>
    </row>
    <row r="352" ht="16.5" customHeight="1">
      <c r="C352" s="291" t="n"/>
      <c r="D352" s="291" t="n"/>
      <c r="E352" s="291" t="n"/>
      <c r="F352" s="291" t="n"/>
      <c r="G352" s="864" t="n"/>
      <c r="H352" s="291" t="n"/>
      <c r="I352" s="291" t="n"/>
      <c r="J352" s="291" t="n"/>
      <c r="K352" s="291" t="n"/>
      <c r="L352" s="864" t="n"/>
      <c r="M352" s="291" t="n"/>
      <c r="N352" s="291" t="n"/>
      <c r="O352" s="291" t="n"/>
      <c r="P352" s="291" t="n"/>
      <c r="Q352" s="864" t="n"/>
      <c r="R352" s="291" t="n"/>
      <c r="S352" s="291" t="n"/>
      <c r="T352" s="291" t="n"/>
      <c r="U352" s="291" t="n"/>
      <c r="V352" s="864" t="n"/>
      <c r="W352" s="291" t="n"/>
      <c r="X352" s="291" t="n"/>
      <c r="Y352" s="291" t="n"/>
      <c r="Z352" s="291" t="n"/>
      <c r="AA352" s="864" t="n"/>
      <c r="AB352" s="291" t="n"/>
      <c r="AC352" s="291" t="n"/>
      <c r="AD352" s="291" t="n"/>
      <c r="AE352" s="291" t="n"/>
      <c r="AF352" s="864" t="n"/>
      <c r="AG352" s="291" t="n"/>
      <c r="AH352" s="291" t="n"/>
      <c r="AI352" s="291" t="n"/>
      <c r="AJ352" s="291" t="n"/>
      <c r="AK352" s="864" t="n"/>
      <c r="AL352" s="291" t="n"/>
      <c r="AM352" s="291" t="n"/>
      <c r="AN352" s="291" t="n"/>
      <c r="AO352" s="291" t="n"/>
      <c r="AP352" s="864" t="n"/>
      <c r="AQ352" s="291" t="n"/>
      <c r="AR352" s="291" t="n"/>
      <c r="AS352" s="291" t="n"/>
      <c r="AT352" s="291" t="n"/>
      <c r="AU352" s="864" t="n"/>
      <c r="AV352" s="291" t="n"/>
      <c r="AW352" s="291" t="n"/>
      <c r="AX352" s="291" t="n"/>
      <c r="AY352" s="291" t="n"/>
      <c r="AZ352" s="864" t="n"/>
      <c r="BA352" s="291" t="n"/>
      <c r="BB352" s="291" t="n"/>
      <c r="BC352" s="291" t="n"/>
      <c r="BD352" s="291" t="n"/>
      <c r="BE352" s="864" t="n"/>
      <c r="BF352" s="291" t="n"/>
      <c r="BG352" s="291" t="n"/>
      <c r="BH352" s="291" t="n"/>
      <c r="BI352" s="291" t="n"/>
      <c r="BJ352" s="864" t="n"/>
      <c r="BK352" s="291" t="n"/>
      <c r="BL352" s="291" t="n"/>
      <c r="BM352" s="291" t="n"/>
      <c r="BN352" s="291" t="n"/>
      <c r="BO352" s="864" t="n"/>
      <c r="BP352" s="291" t="n"/>
      <c r="BQ352" s="291" t="n"/>
      <c r="BR352" s="291" t="n"/>
      <c r="BS352" s="291" t="n"/>
      <c r="BT352" s="864" t="n"/>
      <c r="BU352" s="291" t="n"/>
      <c r="BV352" s="291" t="n"/>
      <c r="BW352" s="291" t="n"/>
      <c r="BX352" s="291" t="n"/>
      <c r="BY352" s="864" t="n"/>
      <c r="BZ352" s="291" t="n"/>
      <c r="CA352" s="291" t="n"/>
      <c r="CB352" s="291" t="n"/>
      <c r="CC352" s="291" t="n"/>
      <c r="CD352" s="864" t="n"/>
      <c r="CE352" s="291" t="n"/>
      <c r="CF352" s="291" t="n"/>
      <c r="CG352" s="291" t="n"/>
      <c r="CH352" s="291" t="n"/>
      <c r="CI352" s="749" t="n"/>
      <c r="CJ352" s="749" t="n"/>
      <c r="CK352" s="749" t="n"/>
      <c r="CL352" s="749" t="n"/>
      <c r="CM352" s="749" t="n"/>
      <c r="CN352" s="291" t="n"/>
      <c r="CO352" s="291" t="n"/>
      <c r="CP352" s="291" t="n"/>
      <c r="CQ352" s="693" t="n"/>
    </row>
    <row r="353" ht="16.5" customHeight="1">
      <c r="B353" s="223" t="inlineStr">
        <is>
          <t>Leverage</t>
        </is>
      </c>
      <c r="C353" s="224" t="n"/>
      <c r="D353" s="224" t="n"/>
      <c r="E353" s="224" t="n"/>
      <c r="F353" s="224" t="n"/>
      <c r="G353" s="867" t="n"/>
      <c r="H353" s="224" t="n"/>
      <c r="I353" s="224" t="n"/>
      <c r="J353" s="224" t="n"/>
      <c r="K353" s="224" t="n"/>
      <c r="L353" s="867" t="n"/>
      <c r="M353" s="224" t="n"/>
      <c r="N353" s="224" t="n"/>
      <c r="O353" s="224" t="n"/>
      <c r="P353" s="224" t="n"/>
      <c r="Q353" s="867" t="n"/>
      <c r="R353" s="224" t="n"/>
      <c r="S353" s="224" t="n"/>
      <c r="T353" s="224" t="n"/>
      <c r="U353" s="224" t="n"/>
      <c r="V353" s="867" t="n"/>
      <c r="W353" s="224" t="n"/>
      <c r="X353" s="224" t="n"/>
      <c r="Y353" s="224" t="n"/>
      <c r="Z353" s="224" t="n"/>
      <c r="AA353" s="867" t="n"/>
      <c r="AB353" s="224" t="n"/>
      <c r="AC353" s="224" t="n"/>
      <c r="AD353" s="224" t="n"/>
      <c r="AE353" s="224" t="n"/>
      <c r="AF353" s="867" t="n"/>
      <c r="AG353" s="224" t="n"/>
      <c r="AH353" s="224" t="n"/>
      <c r="AI353" s="224" t="n"/>
      <c r="AJ353" s="224" t="n"/>
      <c r="AK353" s="867" t="n"/>
      <c r="AL353" s="224" t="n"/>
      <c r="AM353" s="224" t="n"/>
      <c r="AN353" s="224" t="n"/>
      <c r="AO353" s="224" t="n"/>
      <c r="AP353" s="867" t="n"/>
      <c r="AQ353" s="224" t="n"/>
      <c r="AR353" s="224" t="n"/>
      <c r="AS353" s="224" t="n"/>
      <c r="AT353" s="224" t="n"/>
      <c r="AU353" s="867" t="n"/>
      <c r="AV353" s="224" t="n"/>
      <c r="AW353" s="224" t="n"/>
      <c r="AX353" s="224" t="n"/>
      <c r="AY353" s="224" t="n"/>
      <c r="AZ353" s="867" t="n"/>
      <c r="BA353" s="224" t="n"/>
      <c r="BB353" s="224" t="n"/>
      <c r="BC353" s="224" t="n"/>
      <c r="BD353" s="224" t="n"/>
      <c r="BE353" s="867" t="n"/>
      <c r="BF353" s="224" t="n"/>
      <c r="BG353" s="224" t="n"/>
      <c r="BH353" s="224" t="n"/>
      <c r="BI353" s="224" t="n"/>
      <c r="BJ353" s="867" t="n"/>
      <c r="BK353" s="224" t="n"/>
      <c r="BL353" s="224" t="n"/>
      <c r="BM353" s="224" t="n"/>
      <c r="BN353" s="224" t="n"/>
      <c r="BO353" s="867" t="n"/>
      <c r="BP353" s="224" t="n"/>
      <c r="BQ353" s="224" t="n"/>
      <c r="BR353" s="224" t="n"/>
      <c r="BS353" s="224" t="n"/>
      <c r="BT353" s="867" t="n"/>
      <c r="BU353" s="224" t="n"/>
      <c r="BV353" s="224" t="n"/>
      <c r="BW353" s="224" t="n"/>
      <c r="BX353" s="224" t="n"/>
      <c r="BY353" s="867" t="n"/>
      <c r="BZ353" s="224" t="n"/>
      <c r="CA353" s="224" t="n"/>
      <c r="CB353" s="224" t="n"/>
      <c r="CC353" s="224" t="n"/>
      <c r="CD353" s="867" t="n"/>
      <c r="CE353" s="224" t="n"/>
      <c r="CF353" s="224" t="n"/>
      <c r="CG353" s="224" t="n"/>
      <c r="CH353" s="224" t="n"/>
      <c r="CI353" s="224" t="n"/>
      <c r="CJ353" s="224" t="n"/>
      <c r="CK353" s="224" t="n"/>
      <c r="CL353" s="224" t="n"/>
      <c r="CM353" s="224" t="n"/>
      <c r="CN353" s="224" t="n"/>
      <c r="CO353" s="224" t="n"/>
      <c r="CP353" s="224" t="n"/>
      <c r="CQ353" s="693" t="n"/>
    </row>
    <row r="354" ht="16.5" customHeight="1">
      <c r="B354" s="12" t="inlineStr">
        <is>
          <t>Net debt</t>
        </is>
      </c>
      <c r="C354" s="678" t="n"/>
      <c r="D354" s="678" t="n"/>
      <c r="E354" s="678" t="n"/>
      <c r="F354" s="678" t="n"/>
      <c r="G354" s="864">
        <f>G331</f>
        <v/>
      </c>
      <c r="H354" s="291" t="n"/>
      <c r="I354" s="291" t="n"/>
      <c r="J354" s="291" t="n"/>
      <c r="K354" s="291" t="n"/>
      <c r="L354" s="864">
        <f>L331</f>
        <v/>
      </c>
      <c r="M354" s="291" t="n"/>
      <c r="N354" s="291" t="n"/>
      <c r="O354" s="291" t="n"/>
      <c r="P354" s="291" t="n"/>
      <c r="Q354" s="864">
        <f>Q331</f>
        <v/>
      </c>
      <c r="R354" s="291" t="n"/>
      <c r="S354" s="291" t="n"/>
      <c r="T354" s="291" t="n"/>
      <c r="U354" s="291" t="n"/>
      <c r="V354" s="864">
        <f>V331</f>
        <v/>
      </c>
      <c r="W354" s="291" t="n"/>
      <c r="X354" s="291" t="n"/>
      <c r="Y354" s="291" t="n"/>
      <c r="Z354" s="291" t="n"/>
      <c r="AA354" s="864">
        <f>AA331</f>
        <v/>
      </c>
      <c r="AB354" s="291" t="n"/>
      <c r="AC354" s="291" t="n"/>
      <c r="AD354" s="291" t="n"/>
      <c r="AE354" s="291" t="n"/>
      <c r="AF354" s="864">
        <f>AF331</f>
        <v/>
      </c>
      <c r="AG354" s="291" t="n"/>
      <c r="AH354" s="291" t="n"/>
      <c r="AI354" s="291" t="n"/>
      <c r="AJ354" s="291" t="n"/>
      <c r="AK354" s="864">
        <f>AK331</f>
        <v/>
      </c>
      <c r="AL354" s="291" t="n"/>
      <c r="AM354" s="291" t="n"/>
      <c r="AN354" s="291" t="n"/>
      <c r="AO354" s="291" t="n"/>
      <c r="AP354" s="864">
        <f>AP331</f>
        <v/>
      </c>
      <c r="AQ354" s="291" t="n"/>
      <c r="AR354" s="291" t="n"/>
      <c r="AS354" s="291" t="n"/>
      <c r="AT354" s="291" t="n"/>
      <c r="AU354" s="864">
        <f>AU331</f>
        <v/>
      </c>
      <c r="AV354" s="291" t="n"/>
      <c r="AW354" s="291" t="n"/>
      <c r="AX354" s="291" t="n"/>
      <c r="AY354" s="291" t="n"/>
      <c r="AZ354" s="864">
        <f>AZ331</f>
        <v/>
      </c>
      <c r="BA354" s="291" t="n"/>
      <c r="BB354" s="291" t="n"/>
      <c r="BC354" s="291" t="n"/>
      <c r="BD354" s="291" t="n"/>
      <c r="BE354" s="864">
        <f>BE331</f>
        <v/>
      </c>
      <c r="BF354" s="291" t="n"/>
      <c r="BG354" s="291" t="n"/>
      <c r="BH354" s="291" t="n"/>
      <c r="BI354" s="291" t="n"/>
      <c r="BJ354" s="864">
        <f>BJ331</f>
        <v/>
      </c>
      <c r="BK354" s="291" t="n"/>
      <c r="BL354" s="291" t="n"/>
      <c r="BM354" s="291" t="n"/>
      <c r="BN354" s="291" t="n"/>
      <c r="BO354" s="864">
        <f>BO331</f>
        <v/>
      </c>
      <c r="BP354" s="291" t="n"/>
      <c r="BQ354" s="291" t="n"/>
      <c r="BR354" s="291" t="n"/>
      <c r="BS354" s="291" t="n"/>
      <c r="BT354" s="864">
        <f>BT331</f>
        <v/>
      </c>
      <c r="BU354" s="291" t="n"/>
      <c r="BV354" s="291" t="n"/>
      <c r="BW354" s="291" t="n"/>
      <c r="BX354" s="291" t="n"/>
      <c r="BY354" s="864">
        <f>BY331</f>
        <v/>
      </c>
      <c r="BZ354" s="291" t="n"/>
      <c r="CA354" s="291" t="n"/>
      <c r="CB354" s="291" t="n"/>
      <c r="CC354" s="291" t="n"/>
      <c r="CD354" s="864">
        <f>CD331</f>
        <v/>
      </c>
      <c r="CE354" s="291">
        <f>CE331</f>
        <v/>
      </c>
      <c r="CF354" s="291">
        <f>CF331</f>
        <v/>
      </c>
      <c r="CG354" s="291">
        <f>CG331</f>
        <v/>
      </c>
      <c r="CH354" s="291">
        <f>CH331</f>
        <v/>
      </c>
      <c r="CI354" s="749">
        <f>CI331</f>
        <v/>
      </c>
      <c r="CJ354" s="749">
        <f>CJ331</f>
        <v/>
      </c>
      <c r="CK354" s="749">
        <f>CK331</f>
        <v/>
      </c>
      <c r="CL354" s="749">
        <f>CL331</f>
        <v/>
      </c>
      <c r="CM354" s="749">
        <f>CM331</f>
        <v/>
      </c>
      <c r="CN354" s="678" t="n"/>
      <c r="CO354" s="678" t="n"/>
      <c r="CP354" s="678" t="n"/>
      <c r="CQ354" s="693" t="n"/>
    </row>
    <row r="355" ht="16.5" customHeight="1">
      <c r="B355" s="12" t="inlineStr">
        <is>
          <t>EBITDA (Operating earnings + D&amp;A)</t>
        </is>
      </c>
      <c r="C355" s="678" t="n"/>
      <c r="D355" s="678" t="n"/>
      <c r="E355" s="678" t="n"/>
      <c r="F355" s="678" t="n"/>
      <c r="G355" s="864">
        <f>G126+G176+G177</f>
        <v/>
      </c>
      <c r="H355" s="291" t="n"/>
      <c r="I355" s="291" t="n"/>
      <c r="J355" s="291" t="n"/>
      <c r="K355" s="291" t="n"/>
      <c r="L355" s="864">
        <f>L126+L176+L177</f>
        <v/>
      </c>
      <c r="M355" s="291" t="n"/>
      <c r="N355" s="291" t="n"/>
      <c r="O355" s="291" t="n"/>
      <c r="P355" s="291" t="n"/>
      <c r="Q355" s="864">
        <f>Q126+Q176+Q177</f>
        <v/>
      </c>
      <c r="R355" s="291" t="n"/>
      <c r="S355" s="291" t="n"/>
      <c r="T355" s="291" t="n"/>
      <c r="U355" s="291" t="n"/>
      <c r="V355" s="864">
        <f>V126+V176+V177</f>
        <v/>
      </c>
      <c r="W355" s="291" t="n"/>
      <c r="X355" s="291" t="n"/>
      <c r="Y355" s="291" t="n"/>
      <c r="Z355" s="291" t="n"/>
      <c r="AA355" s="864">
        <f>AA126+AA176+AA177</f>
        <v/>
      </c>
      <c r="AB355" s="291" t="n"/>
      <c r="AC355" s="291" t="n"/>
      <c r="AD355" s="291" t="n"/>
      <c r="AE355" s="291" t="n"/>
      <c r="AF355" s="864">
        <f>AF126+AF176+AF177</f>
        <v/>
      </c>
      <c r="AG355" s="291" t="n"/>
      <c r="AH355" s="291" t="n"/>
      <c r="AI355" s="291" t="n"/>
      <c r="AJ355" s="291" t="n"/>
      <c r="AK355" s="864">
        <f>AK126+AK176+AK177</f>
        <v/>
      </c>
      <c r="AL355" s="291" t="n"/>
      <c r="AM355" s="291" t="n"/>
      <c r="AN355" s="291" t="n"/>
      <c r="AO355" s="291" t="n"/>
      <c r="AP355" s="864">
        <f>AP126+AP176+AP177</f>
        <v/>
      </c>
      <c r="AQ355" s="291" t="n"/>
      <c r="AR355" s="291" t="n"/>
      <c r="AS355" s="291" t="n"/>
      <c r="AT355" s="291" t="n"/>
      <c r="AU355" s="864">
        <f>AU126+AU176+AU177</f>
        <v/>
      </c>
      <c r="AV355" s="291" t="n"/>
      <c r="AW355" s="291" t="n"/>
      <c r="AX355" s="291" t="n"/>
      <c r="AY355" s="291" t="n"/>
      <c r="AZ355" s="864">
        <f>AZ126+AZ176+AZ177</f>
        <v/>
      </c>
      <c r="BA355" s="291" t="n"/>
      <c r="BB355" s="291" t="n"/>
      <c r="BC355" s="291" t="n"/>
      <c r="BD355" s="291" t="n"/>
      <c r="BE355" s="864">
        <f>BE126+BE176+BE177</f>
        <v/>
      </c>
      <c r="BF355" s="291" t="n"/>
      <c r="BG355" s="291" t="n"/>
      <c r="BH355" s="291" t="n"/>
      <c r="BI355" s="291" t="n"/>
      <c r="BJ355" s="864">
        <f>BJ126+BJ176+BJ177</f>
        <v/>
      </c>
      <c r="BK355" s="291" t="n"/>
      <c r="BL355" s="291" t="n"/>
      <c r="BM355" s="291" t="n"/>
      <c r="BN355" s="291" t="n"/>
      <c r="BO355" s="864">
        <f>BO126+BO176+BO177</f>
        <v/>
      </c>
      <c r="BP355" s="291" t="n"/>
      <c r="BQ355" s="291" t="n"/>
      <c r="BR355" s="291" t="n"/>
      <c r="BS355" s="291" t="n"/>
      <c r="BT355" s="864">
        <f>BT126+BT176+BT177</f>
        <v/>
      </c>
      <c r="BU355" s="291" t="n"/>
      <c r="BV355" s="291" t="n"/>
      <c r="BW355" s="291" t="n"/>
      <c r="BX355" s="291" t="n"/>
      <c r="BY355" s="864">
        <f>BY126+BY176+BY177</f>
        <v/>
      </c>
      <c r="BZ355" s="291" t="n"/>
      <c r="CA355" s="291" t="n"/>
      <c r="CB355" s="291" t="n"/>
      <c r="CC355" s="291" t="n"/>
      <c r="CD355" s="864">
        <f>CD126+CD176+CD177</f>
        <v/>
      </c>
      <c r="CE355" s="291">
        <f>CE126+CE176+CE177</f>
        <v/>
      </c>
      <c r="CF355" s="291">
        <f>CF126+CF176+CF177</f>
        <v/>
      </c>
      <c r="CG355" s="291">
        <f>CG126+CG176+CG177</f>
        <v/>
      </c>
      <c r="CH355" s="291">
        <f>CH126+CH176+CH177</f>
        <v/>
      </c>
      <c r="CI355" s="749">
        <f>CI126+CI176+CI177</f>
        <v/>
      </c>
      <c r="CJ355" s="749">
        <f>CJ126+CJ176+CJ177</f>
        <v/>
      </c>
      <c r="CK355" s="749">
        <f>CK126+CK176+CK177</f>
        <v/>
      </c>
      <c r="CL355" s="749">
        <f>CL126+CL176+CL177</f>
        <v/>
      </c>
      <c r="CM355" s="749">
        <f>CM126+CM176+CM177</f>
        <v/>
      </c>
      <c r="CN355" s="678" t="n"/>
      <c r="CO355" s="678" t="n"/>
      <c r="CP355" s="678" t="n"/>
      <c r="CQ355" s="693" t="n"/>
    </row>
    <row r="356" ht="16.5" customHeight="1">
      <c r="B356" s="679" t="inlineStr">
        <is>
          <t>Net debt / EBITDA  (x)</t>
        </is>
      </c>
      <c r="C356" s="1084" t="n"/>
      <c r="D356" s="1084" t="n"/>
      <c r="E356" s="1084" t="n"/>
      <c r="F356" s="1084" t="n"/>
      <c r="G356" s="1085">
        <f>G354/G355</f>
        <v/>
      </c>
      <c r="H356" s="1084" t="n"/>
      <c r="I356" s="1084" t="n"/>
      <c r="J356" s="1084" t="n"/>
      <c r="K356" s="1084" t="n"/>
      <c r="L356" s="1085">
        <f>L354/L355</f>
        <v/>
      </c>
      <c r="M356" s="1084" t="n"/>
      <c r="N356" s="1084" t="n"/>
      <c r="O356" s="1084" t="n"/>
      <c r="P356" s="1084" t="n"/>
      <c r="Q356" s="1085">
        <f>Q354/Q355</f>
        <v/>
      </c>
      <c r="R356" s="1084" t="n"/>
      <c r="S356" s="1084" t="n"/>
      <c r="T356" s="1084" t="n"/>
      <c r="U356" s="1084" t="n"/>
      <c r="V356" s="1085">
        <f>V354/V355</f>
        <v/>
      </c>
      <c r="W356" s="1084" t="n"/>
      <c r="X356" s="1084" t="n"/>
      <c r="Y356" s="1084" t="n"/>
      <c r="Z356" s="1084" t="n"/>
      <c r="AA356" s="1085">
        <f>AA354/AA355</f>
        <v/>
      </c>
      <c r="AB356" s="1084" t="n"/>
      <c r="AC356" s="1084" t="n"/>
      <c r="AD356" s="1084" t="n"/>
      <c r="AE356" s="1084" t="n"/>
      <c r="AF356" s="1085">
        <f>AF354/AF355</f>
        <v/>
      </c>
      <c r="AG356" s="1084" t="n"/>
      <c r="AH356" s="1084" t="n"/>
      <c r="AI356" s="1084" t="n"/>
      <c r="AJ356" s="1084" t="n"/>
      <c r="AK356" s="1085">
        <f>AK354/AK355</f>
        <v/>
      </c>
      <c r="AL356" s="1084" t="n"/>
      <c r="AM356" s="1084" t="n"/>
      <c r="AN356" s="1084" t="n"/>
      <c r="AO356" s="1084" t="n"/>
      <c r="AP356" s="1085">
        <f>AP354/AP355</f>
        <v/>
      </c>
      <c r="AQ356" s="1084" t="n"/>
      <c r="AR356" s="1084" t="n"/>
      <c r="AS356" s="1084" t="n"/>
      <c r="AT356" s="1084" t="n"/>
      <c r="AU356" s="1085">
        <f>AU354/AU355</f>
        <v/>
      </c>
      <c r="AV356" s="1084" t="n"/>
      <c r="AW356" s="1084" t="n"/>
      <c r="AX356" s="1084" t="n"/>
      <c r="AY356" s="1084" t="n"/>
      <c r="AZ356" s="1085">
        <f>AZ354/AZ355</f>
        <v/>
      </c>
      <c r="BA356" s="1084" t="n"/>
      <c r="BB356" s="1084" t="n"/>
      <c r="BC356" s="1084" t="n"/>
      <c r="BD356" s="1084" t="n"/>
      <c r="BE356" s="1085">
        <f>BE354/BE355</f>
        <v/>
      </c>
      <c r="BF356" s="1084" t="n"/>
      <c r="BG356" s="1084" t="n"/>
      <c r="BH356" s="1084" t="n"/>
      <c r="BI356" s="1084" t="n"/>
      <c r="BJ356" s="1085">
        <f>BJ354/BJ355</f>
        <v/>
      </c>
      <c r="BK356" s="1084" t="n"/>
      <c r="BL356" s="1084" t="n"/>
      <c r="BM356" s="1084" t="n"/>
      <c r="BN356" s="1084" t="n"/>
      <c r="BO356" s="1085">
        <f>BO354/BO355</f>
        <v/>
      </c>
      <c r="BP356" s="1084" t="n"/>
      <c r="BQ356" s="1084" t="n"/>
      <c r="BR356" s="1084" t="n"/>
      <c r="BS356" s="1084" t="n"/>
      <c r="BT356" s="1085">
        <f>BT354/BT355</f>
        <v/>
      </c>
      <c r="BU356" s="1084" t="n"/>
      <c r="BV356" s="1084" t="n"/>
      <c r="BW356" s="1084" t="n"/>
      <c r="BX356" s="1084" t="n"/>
      <c r="BY356" s="1085">
        <f>BY354/BY355</f>
        <v/>
      </c>
      <c r="BZ356" s="1084" t="n"/>
      <c r="CA356" s="1084" t="n"/>
      <c r="CB356" s="1084" t="n"/>
      <c r="CC356" s="1084" t="n"/>
      <c r="CD356" s="1085">
        <f>CD354/CD355</f>
        <v/>
      </c>
      <c r="CE356" s="1084">
        <f>CE354/CE355</f>
        <v/>
      </c>
      <c r="CF356" s="1084">
        <f>CF354/CF355</f>
        <v/>
      </c>
      <c r="CG356" s="1084">
        <f>CG354/CG355</f>
        <v/>
      </c>
      <c r="CH356" s="1084">
        <f>CH354/CH355</f>
        <v/>
      </c>
      <c r="CI356" s="1086">
        <f>CI354/CI355</f>
        <v/>
      </c>
      <c r="CJ356" s="1086">
        <f>CJ354/CJ355</f>
        <v/>
      </c>
      <c r="CK356" s="1086">
        <f>CK354/CK355</f>
        <v/>
      </c>
      <c r="CL356" s="1086">
        <f>CL354/CL355</f>
        <v/>
      </c>
      <c r="CM356" s="1086">
        <f>CM354/CM355</f>
        <v/>
      </c>
      <c r="CN356" s="1071" t="n"/>
      <c r="CO356" s="1071" t="n"/>
      <c r="CP356" s="1071" t="n"/>
      <c r="CQ356" s="694" t="n"/>
    </row>
    <row r="357" ht="16.5" customHeight="1">
      <c r="B357" s="12" t="inlineStr">
        <is>
          <t>Interest coverage (EBIT / Interest expense)</t>
        </is>
      </c>
      <c r="C357" s="1071" t="n"/>
      <c r="D357" s="1071" t="n"/>
      <c r="E357" s="1071" t="n"/>
      <c r="F357" s="1071" t="n"/>
      <c r="G357" s="1072">
        <f>G126/G127</f>
        <v/>
      </c>
      <c r="H357" s="1071" t="n"/>
      <c r="I357" s="1071" t="n"/>
      <c r="J357" s="1071" t="n"/>
      <c r="K357" s="1071" t="n"/>
      <c r="L357" s="1072">
        <f>L126/L127</f>
        <v/>
      </c>
      <c r="M357" s="1071" t="n"/>
      <c r="N357" s="1071" t="n"/>
      <c r="O357" s="1071" t="n"/>
      <c r="P357" s="1071" t="n"/>
      <c r="Q357" s="1072">
        <f>Q126/Q127</f>
        <v/>
      </c>
      <c r="R357" s="1071" t="n"/>
      <c r="S357" s="1071" t="n"/>
      <c r="T357" s="1071" t="n"/>
      <c r="U357" s="1071" t="n"/>
      <c r="V357" s="1072">
        <f>V126/V127</f>
        <v/>
      </c>
      <c r="W357" s="1071" t="n"/>
      <c r="X357" s="1071" t="n"/>
      <c r="Y357" s="1071" t="n"/>
      <c r="Z357" s="1071" t="n"/>
      <c r="AA357" s="1072">
        <f>AA126/AA127</f>
        <v/>
      </c>
      <c r="AB357" s="1071" t="n"/>
      <c r="AC357" s="1071" t="n"/>
      <c r="AD357" s="1071" t="n"/>
      <c r="AE357" s="1071" t="n"/>
      <c r="AF357" s="1072">
        <f>AF126/AF127</f>
        <v/>
      </c>
      <c r="AG357" s="1071" t="n"/>
      <c r="AH357" s="1071" t="n"/>
      <c r="AI357" s="1071" t="n"/>
      <c r="AJ357" s="1071" t="n"/>
      <c r="AK357" s="1072">
        <f>AK126/AK127</f>
        <v/>
      </c>
      <c r="AL357" s="1071" t="n"/>
      <c r="AM357" s="1071" t="n"/>
      <c r="AN357" s="1071" t="n"/>
      <c r="AO357" s="1071" t="n"/>
      <c r="AP357" s="1072">
        <f>AP126/AP127</f>
        <v/>
      </c>
      <c r="AQ357" s="1071" t="n"/>
      <c r="AR357" s="1071" t="n"/>
      <c r="AS357" s="1071" t="n"/>
      <c r="AT357" s="1071" t="n"/>
      <c r="AU357" s="1072">
        <f>AU126/AU127</f>
        <v/>
      </c>
      <c r="AV357" s="1071" t="n"/>
      <c r="AW357" s="1071" t="n"/>
      <c r="AX357" s="1071" t="n"/>
      <c r="AY357" s="1071" t="n"/>
      <c r="AZ357" s="1072">
        <f>AZ126/AZ127</f>
        <v/>
      </c>
      <c r="BA357" s="1071" t="n"/>
      <c r="BB357" s="1071" t="n"/>
      <c r="BC357" s="1071" t="n"/>
      <c r="BD357" s="1071" t="n"/>
      <c r="BE357" s="1072">
        <f>BE126/BE127</f>
        <v/>
      </c>
      <c r="BF357" s="1071" t="n"/>
      <c r="BG357" s="1071" t="n"/>
      <c r="BH357" s="1071" t="n"/>
      <c r="BI357" s="1071" t="n"/>
      <c r="BJ357" s="1072">
        <f>BJ126/BJ127</f>
        <v/>
      </c>
      <c r="BK357" s="1071" t="n"/>
      <c r="BL357" s="1071" t="n"/>
      <c r="BM357" s="1071" t="n"/>
      <c r="BN357" s="1071" t="n"/>
      <c r="BO357" s="1072">
        <f>BO126/BO127</f>
        <v/>
      </c>
      <c r="BP357" s="1071" t="n"/>
      <c r="BQ357" s="1071" t="n"/>
      <c r="BR357" s="1071" t="n"/>
      <c r="BS357" s="1071" t="n"/>
      <c r="BT357" s="1072">
        <f>BT126/BT127</f>
        <v/>
      </c>
      <c r="BU357" s="1071" t="n"/>
      <c r="BV357" s="1071" t="n"/>
      <c r="BW357" s="1071" t="n"/>
      <c r="BX357" s="1071" t="n"/>
      <c r="BY357" s="1072">
        <f>BY126/BY127</f>
        <v/>
      </c>
      <c r="BZ357" s="1071" t="n"/>
      <c r="CA357" s="1071" t="n"/>
      <c r="CB357" s="1071" t="n"/>
      <c r="CC357" s="1071" t="n"/>
      <c r="CD357" s="1072">
        <f>CD126/CD127</f>
        <v/>
      </c>
      <c r="CE357" s="1071">
        <f>CE126/CE127</f>
        <v/>
      </c>
      <c r="CF357" s="1071">
        <f>CF126/CF127</f>
        <v/>
      </c>
      <c r="CG357" s="1071">
        <f>CG126/CG127</f>
        <v/>
      </c>
      <c r="CH357" s="1071">
        <f>CH126/CH127</f>
        <v/>
      </c>
      <c r="CI357" s="1073">
        <f>CI126/CI127</f>
        <v/>
      </c>
      <c r="CJ357" s="1073">
        <f>CJ126/CJ127</f>
        <v/>
      </c>
      <c r="CK357" s="1073">
        <f>CK126/CK127</f>
        <v/>
      </c>
      <c r="CL357" s="1073">
        <f>CL126/CL127</f>
        <v/>
      </c>
      <c r="CM357" s="1073">
        <f>CM126/CM127</f>
        <v/>
      </c>
      <c r="CN357" s="1071" t="n"/>
      <c r="CO357" s="1071" t="n"/>
      <c r="CP357" s="1071" t="n"/>
      <c r="CQ357" s="693" t="n"/>
    </row>
    <row r="358" ht="16.5" customHeight="1">
      <c r="C358" s="291" t="n"/>
      <c r="D358" s="291" t="n"/>
      <c r="E358" s="291" t="n"/>
      <c r="F358" s="291" t="n"/>
      <c r="G358" s="864" t="n"/>
      <c r="H358" s="291" t="n"/>
      <c r="I358" s="291" t="n"/>
      <c r="J358" s="291" t="n"/>
      <c r="K358" s="291" t="n"/>
      <c r="L358" s="864" t="n"/>
      <c r="M358" s="291" t="n"/>
      <c r="N358" s="291" t="n"/>
      <c r="O358" s="291" t="n"/>
      <c r="P358" s="291" t="n"/>
      <c r="Q358" s="864" t="n"/>
      <c r="R358" s="291" t="n"/>
      <c r="S358" s="291" t="n"/>
      <c r="T358" s="291" t="n"/>
      <c r="U358" s="291" t="n"/>
      <c r="V358" s="864" t="n"/>
      <c r="W358" s="291" t="n"/>
      <c r="X358" s="291" t="n"/>
      <c r="Y358" s="291" t="n"/>
      <c r="Z358" s="291" t="n"/>
      <c r="AA358" s="864" t="n"/>
      <c r="AB358" s="291" t="n"/>
      <c r="AC358" s="291" t="n"/>
      <c r="AD358" s="291" t="n"/>
      <c r="AE358" s="291" t="n"/>
      <c r="AF358" s="864" t="n"/>
      <c r="AG358" s="291" t="n"/>
      <c r="AH358" s="291" t="n"/>
      <c r="AI358" s="291" t="n"/>
      <c r="AJ358" s="291" t="n"/>
      <c r="AK358" s="864" t="n"/>
      <c r="AL358" s="291" t="n"/>
      <c r="AM358" s="291" t="n"/>
      <c r="AN358" s="291" t="n"/>
      <c r="AO358" s="291" t="n"/>
      <c r="AP358" s="864" t="n"/>
      <c r="AQ358" s="291" t="n"/>
      <c r="AR358" s="291" t="n"/>
      <c r="AS358" s="291" t="n"/>
      <c r="AT358" s="291" t="n"/>
      <c r="AU358" s="864" t="n"/>
      <c r="AV358" s="291" t="n"/>
      <c r="AW358" s="291" t="n"/>
      <c r="AX358" s="291" t="n"/>
      <c r="AY358" s="291" t="n"/>
      <c r="AZ358" s="864" t="n"/>
      <c r="BA358" s="291" t="n"/>
      <c r="BB358" s="291" t="n"/>
      <c r="BC358" s="291" t="n"/>
      <c r="BD358" s="291" t="n"/>
      <c r="BE358" s="864" t="n"/>
      <c r="BF358" s="291" t="n"/>
      <c r="BG358" s="291" t="n"/>
      <c r="BH358" s="291" t="n"/>
      <c r="BI358" s="291" t="n"/>
      <c r="BJ358" s="864" t="n"/>
      <c r="BK358" s="291" t="n"/>
      <c r="BL358" s="291" t="n"/>
      <c r="BM358" s="291" t="n"/>
      <c r="BN358" s="291" t="n"/>
      <c r="BO358" s="864" t="n"/>
      <c r="BP358" s="291" t="n"/>
      <c r="BQ358" s="291" t="n"/>
      <c r="BR358" s="291" t="n"/>
      <c r="BS358" s="291" t="n"/>
      <c r="BT358" s="864" t="n"/>
      <c r="BU358" s="291" t="n"/>
      <c r="BV358" s="291" t="n"/>
      <c r="BW358" s="291" t="n"/>
      <c r="BX358" s="291" t="n"/>
      <c r="BY358" s="864" t="n"/>
      <c r="BZ358" s="291" t="n"/>
      <c r="CA358" s="291" t="n"/>
      <c r="CB358" s="291" t="n"/>
      <c r="CC358" s="291" t="n"/>
      <c r="CD358" s="864" t="n"/>
      <c r="CE358" s="291" t="n"/>
      <c r="CF358" s="291" t="n"/>
      <c r="CG358" s="291" t="n"/>
      <c r="CH358" s="291" t="n"/>
      <c r="CI358" s="749" t="n"/>
      <c r="CJ358" s="749" t="n"/>
      <c r="CK358" s="749" t="n"/>
      <c r="CL358" s="749" t="n"/>
      <c r="CM358" s="749" t="n"/>
      <c r="CN358" s="291" t="n"/>
      <c r="CO358" s="291" t="n"/>
      <c r="CP358" s="291" t="n"/>
      <c r="CQ358" s="693" t="n"/>
    </row>
    <row r="359" ht="16.5" customHeight="1">
      <c r="B359" s="221" t="inlineStr">
        <is>
          <t>VALUATION</t>
        </is>
      </c>
      <c r="C359" s="222" t="n"/>
      <c r="D359" s="222" t="n"/>
      <c r="E359" s="222" t="n"/>
      <c r="F359" s="222" t="n"/>
      <c r="G359" s="865" t="n"/>
      <c r="H359" s="222" t="n"/>
      <c r="I359" s="222" t="n"/>
      <c r="J359" s="222" t="n"/>
      <c r="K359" s="222" t="n"/>
      <c r="L359" s="865" t="n"/>
      <c r="M359" s="222" t="n"/>
      <c r="N359" s="222" t="n"/>
      <c r="O359" s="222" t="n"/>
      <c r="P359" s="222" t="n"/>
      <c r="Q359" s="865" t="n"/>
      <c r="R359" s="222" t="n"/>
      <c r="S359" s="222" t="n"/>
      <c r="T359" s="222" t="n"/>
      <c r="U359" s="222" t="n"/>
      <c r="V359" s="865" t="n"/>
      <c r="W359" s="222" t="n"/>
      <c r="X359" s="222" t="n"/>
      <c r="Y359" s="222" t="n"/>
      <c r="Z359" s="222" t="n"/>
      <c r="AA359" s="865" t="n"/>
      <c r="AB359" s="222" t="n"/>
      <c r="AC359" s="222" t="n"/>
      <c r="AD359" s="222" t="n"/>
      <c r="AE359" s="222" t="n"/>
      <c r="AF359" s="865" t="n"/>
      <c r="AG359" s="222" t="n"/>
      <c r="AH359" s="222" t="n"/>
      <c r="AI359" s="222" t="n"/>
      <c r="AJ359" s="222" t="n"/>
      <c r="AK359" s="865" t="n"/>
      <c r="AL359" s="222" t="n"/>
      <c r="AM359" s="222" t="n"/>
      <c r="AN359" s="222" t="n"/>
      <c r="AO359" s="222" t="n"/>
      <c r="AP359" s="865" t="n"/>
      <c r="AQ359" s="222" t="n"/>
      <c r="AR359" s="222" t="n"/>
      <c r="AS359" s="222" t="n"/>
      <c r="AT359" s="222" t="n"/>
      <c r="AU359" s="865" t="n"/>
      <c r="AV359" s="222" t="n"/>
      <c r="AW359" s="222" t="n"/>
      <c r="AX359" s="222" t="n"/>
      <c r="AY359" s="222" t="n"/>
      <c r="AZ359" s="865" t="n"/>
      <c r="BA359" s="222" t="n"/>
      <c r="BB359" s="222" t="n"/>
      <c r="BC359" s="222" t="n"/>
      <c r="BD359" s="222" t="n"/>
      <c r="BE359" s="865" t="n"/>
      <c r="BF359" s="222" t="n"/>
      <c r="BG359" s="222" t="n"/>
      <c r="BH359" s="222" t="n"/>
      <c r="BI359" s="222" t="n"/>
      <c r="BJ359" s="865" t="n"/>
      <c r="BK359" s="222" t="n"/>
      <c r="BL359" s="222" t="n"/>
      <c r="BM359" s="222" t="n"/>
      <c r="BN359" s="222" t="n"/>
      <c r="BO359" s="865" t="n"/>
      <c r="BP359" s="222" t="n"/>
      <c r="BQ359" s="222" t="n"/>
      <c r="BR359" s="222" t="n"/>
      <c r="BS359" s="222" t="n"/>
      <c r="BT359" s="865" t="n"/>
      <c r="BU359" s="222" t="n"/>
      <c r="BV359" s="222" t="n"/>
      <c r="BW359" s="222" t="n"/>
      <c r="BX359" s="222" t="n"/>
      <c r="BY359" s="865" t="n"/>
      <c r="BZ359" s="222" t="n"/>
      <c r="CA359" s="222" t="n"/>
      <c r="CB359" s="222" t="n"/>
      <c r="CC359" s="222" t="n"/>
      <c r="CD359" s="865" t="n"/>
      <c r="CE359" s="222" t="n"/>
      <c r="CF359" s="222" t="n"/>
      <c r="CG359" s="222" t="n"/>
      <c r="CH359" s="222" t="n"/>
      <c r="CI359" s="222" t="n"/>
      <c r="CJ359" s="222" t="n"/>
      <c r="CK359" s="222" t="n"/>
      <c r="CL359" s="222" t="n"/>
      <c r="CM359" s="222" t="n"/>
      <c r="CN359" s="222" t="n"/>
      <c r="CO359" s="222" t="n"/>
      <c r="CP359" s="222" t="n"/>
      <c r="CQ359" s="692" t="n"/>
    </row>
    <row r="360" ht="16.5" customHeight="1">
      <c r="B360" s="305" t="inlineStr">
        <is>
          <t>Avg share price ($)</t>
        </is>
      </c>
      <c r="C360" s="1016" t="n"/>
      <c r="D360" s="1016" t="n"/>
      <c r="E360" s="1016" t="n"/>
      <c r="F360" s="1016" t="n"/>
      <c r="G360" s="1087" t="n"/>
      <c r="H360" s="1016" t="n"/>
      <c r="I360" s="1016" t="n"/>
      <c r="J360" s="1016" t="n"/>
      <c r="K360" s="1016" t="n"/>
      <c r="L360" s="1087" t="n"/>
      <c r="M360" s="1016" t="n"/>
      <c r="N360" s="1016" t="n"/>
      <c r="O360" s="1016" t="n"/>
      <c r="P360" s="1016" t="n"/>
      <c r="Q360" s="1087" t="n"/>
      <c r="R360" s="1016" t="n"/>
      <c r="S360" s="1016" t="n"/>
      <c r="T360" s="1016" t="n"/>
      <c r="U360" s="1016" t="n"/>
      <c r="V360" s="1087" t="n"/>
      <c r="W360" s="1016" t="n"/>
      <c r="X360" s="1016" t="n"/>
      <c r="Y360" s="1016" t="n"/>
      <c r="Z360" s="1016" t="n"/>
      <c r="AA360" s="1087" t="n"/>
      <c r="AB360" s="1016" t="n"/>
      <c r="AC360" s="1016" t="n"/>
      <c r="AD360" s="1016" t="n"/>
      <c r="AE360" s="1016" t="n"/>
      <c r="AF360" s="1087" t="n"/>
      <c r="AG360" s="1016" t="n"/>
      <c r="AH360" s="1016" t="n"/>
      <c r="AI360" s="1016" t="n"/>
      <c r="AJ360" s="1016" t="n"/>
      <c r="AK360" s="1087" t="n"/>
      <c r="AL360" s="1016" t="n"/>
      <c r="AM360" s="1007" t="n"/>
      <c r="AN360" s="1007" t="n"/>
      <c r="AO360" s="1007" t="n"/>
      <c r="AP360" s="1087" t="n"/>
      <c r="AQ360" s="1007" t="n"/>
      <c r="AR360" s="1007" t="n"/>
      <c r="AS360" s="1007" t="n"/>
      <c r="AT360" s="1007" t="n"/>
      <c r="AU360" s="1087" t="n"/>
      <c r="AV360" s="1007" t="n"/>
      <c r="AW360" s="1007" t="n"/>
      <c r="AX360" s="1007" t="n"/>
      <c r="AY360" s="1007" t="n"/>
      <c r="AZ360" s="1087" t="n"/>
      <c r="BA360" s="1007" t="n"/>
      <c r="BB360" s="1007" t="n"/>
      <c r="BC360" s="1007" t="n"/>
      <c r="BD360" s="1007" t="n"/>
      <c r="BE360" s="1087" t="n"/>
      <c r="BF360" s="1007" t="n"/>
      <c r="BG360" s="1007" t="n"/>
      <c r="BH360" s="1007" t="n"/>
      <c r="BI360" s="1007" t="n"/>
      <c r="BJ360" s="1087" t="n"/>
      <c r="BK360" s="1007" t="n"/>
      <c r="BL360" s="1007" t="n"/>
      <c r="BM360" s="1007" t="n"/>
      <c r="BN360" s="1007" t="n"/>
      <c r="BO360" s="1087" t="n"/>
      <c r="BP360" s="1007" t="n"/>
      <c r="BQ360" s="1007" t="n"/>
      <c r="BR360" s="1007" t="n"/>
      <c r="BS360" s="1007" t="n"/>
      <c r="BT360" s="1087" t="n"/>
      <c r="BU360" s="1007" t="n"/>
      <c r="BV360" s="1007" t="n"/>
      <c r="BW360" s="1007" t="n"/>
      <c r="BX360" s="1007" t="n"/>
      <c r="BY360" s="1087" t="n"/>
      <c r="BZ360" s="1007" t="n"/>
      <c r="CA360" s="1007" t="n"/>
      <c r="CB360" s="1007" t="n"/>
      <c r="CC360" s="1007" t="n"/>
      <c r="CD360" s="1087" t="n"/>
      <c r="CE360" s="1088" t="n"/>
      <c r="CF360" s="1088" t="n"/>
      <c r="CG360" s="1088" t="n"/>
      <c r="CH360" s="1088" t="n"/>
      <c r="CI360" s="1089" t="n"/>
      <c r="CJ360" s="1090">
        <f>CI360</f>
        <v/>
      </c>
      <c r="CK360" s="1090">
        <f>CJ360</f>
        <v/>
      </c>
      <c r="CL360" s="1090">
        <f>CK360</f>
        <v/>
      </c>
      <c r="CM360" s="1090">
        <f>CL360</f>
        <v/>
      </c>
      <c r="CN360" s="1007" t="n"/>
      <c r="CO360" s="1007" t="n"/>
      <c r="CP360" s="1007" t="n"/>
      <c r="CQ360" s="693" t="n"/>
    </row>
    <row r="361" ht="16.5" customHeight="1">
      <c r="B361" s="305" t="inlineStr">
        <is>
          <t>Diluted shares outstanding ('000)</t>
        </is>
      </c>
      <c r="C361" s="291" t="n"/>
      <c r="D361" s="291" t="n"/>
      <c r="E361" s="291" t="n"/>
      <c r="F361" s="291" t="n"/>
      <c r="G361" s="864">
        <f>G139</f>
        <v/>
      </c>
      <c r="H361" s="291" t="n"/>
      <c r="I361" s="291" t="n"/>
      <c r="J361" s="291" t="n"/>
      <c r="K361" s="291" t="n"/>
      <c r="L361" s="864">
        <f>L139</f>
        <v/>
      </c>
      <c r="M361" s="291" t="n"/>
      <c r="N361" s="291" t="n"/>
      <c r="O361" s="291" t="n"/>
      <c r="P361" s="291" t="n"/>
      <c r="Q361" s="864">
        <f>Q139</f>
        <v/>
      </c>
      <c r="R361" s="291" t="n"/>
      <c r="S361" s="291" t="n"/>
      <c r="T361" s="291" t="n"/>
      <c r="U361" s="291" t="n"/>
      <c r="V361" s="864">
        <f>V139</f>
        <v/>
      </c>
      <c r="W361" s="291" t="n"/>
      <c r="X361" s="291" t="n"/>
      <c r="Y361" s="291" t="n"/>
      <c r="Z361" s="291" t="n"/>
      <c r="AA361" s="864">
        <f>AA139</f>
        <v/>
      </c>
      <c r="AB361" s="291" t="n"/>
      <c r="AC361" s="291" t="n"/>
      <c r="AD361" s="291" t="n"/>
      <c r="AE361" s="291" t="n"/>
      <c r="AF361" s="864">
        <f>AF139</f>
        <v/>
      </c>
      <c r="AG361" s="291" t="n"/>
      <c r="AH361" s="291" t="n"/>
      <c r="AI361" s="291" t="n"/>
      <c r="AJ361" s="291" t="n"/>
      <c r="AK361" s="864">
        <f>AK139</f>
        <v/>
      </c>
      <c r="AL361" s="291" t="n"/>
      <c r="AM361" s="291" t="n"/>
      <c r="AN361" s="291" t="n"/>
      <c r="AO361" s="291" t="n"/>
      <c r="AP361" s="864">
        <f>AP139</f>
        <v/>
      </c>
      <c r="AQ361" s="291" t="n"/>
      <c r="AR361" s="291" t="n"/>
      <c r="AS361" s="291" t="n"/>
      <c r="AT361" s="291" t="n"/>
      <c r="AU361" s="864">
        <f>AU139</f>
        <v/>
      </c>
      <c r="AV361" s="291" t="n"/>
      <c r="AW361" s="291" t="n"/>
      <c r="AX361" s="291" t="n"/>
      <c r="AY361" s="291" t="n"/>
      <c r="AZ361" s="864">
        <f>AZ139</f>
        <v/>
      </c>
      <c r="BA361" s="291" t="n"/>
      <c r="BB361" s="291" t="n"/>
      <c r="BC361" s="291" t="n"/>
      <c r="BD361" s="291" t="n"/>
      <c r="BE361" s="864">
        <f>BE139</f>
        <v/>
      </c>
      <c r="BF361" s="291" t="n"/>
      <c r="BG361" s="291" t="n"/>
      <c r="BH361" s="291" t="n"/>
      <c r="BI361" s="291" t="n"/>
      <c r="BJ361" s="864">
        <f>BJ139</f>
        <v/>
      </c>
      <c r="BK361" s="291" t="n"/>
      <c r="BL361" s="291" t="n"/>
      <c r="BM361" s="291" t="n"/>
      <c r="BN361" s="291" t="n"/>
      <c r="BO361" s="864">
        <f>BO139</f>
        <v/>
      </c>
      <c r="BP361" s="291" t="n"/>
      <c r="BQ361" s="291" t="n"/>
      <c r="BR361" s="291" t="n"/>
      <c r="BS361" s="291" t="n"/>
      <c r="BT361" s="864">
        <f>BT139</f>
        <v/>
      </c>
      <c r="BU361" s="291" t="n"/>
      <c r="BV361" s="291" t="n"/>
      <c r="BW361" s="291" t="n"/>
      <c r="BX361" s="291" t="n"/>
      <c r="BY361" s="864">
        <f>BY139</f>
        <v/>
      </c>
      <c r="BZ361" s="291" t="n"/>
      <c r="CA361" s="291" t="n"/>
      <c r="CB361" s="291" t="n"/>
      <c r="CC361" s="291" t="n"/>
      <c r="CD361" s="864">
        <f>CD139</f>
        <v/>
      </c>
      <c r="CE361" s="291">
        <f>CE139</f>
        <v/>
      </c>
      <c r="CF361" s="291">
        <f>CF139</f>
        <v/>
      </c>
      <c r="CG361" s="291">
        <f>CG139</f>
        <v/>
      </c>
      <c r="CH361" s="291">
        <f>CH139</f>
        <v/>
      </c>
      <c r="CI361" s="749">
        <f>CI139</f>
        <v/>
      </c>
      <c r="CJ361" s="749">
        <f>CJ139</f>
        <v/>
      </c>
      <c r="CK361" s="749">
        <f>CK139</f>
        <v/>
      </c>
      <c r="CL361" s="749">
        <f>CL139</f>
        <v/>
      </c>
      <c r="CM361" s="749">
        <f>CM139</f>
        <v/>
      </c>
      <c r="CN361" s="291" t="n"/>
      <c r="CO361" s="291" t="n"/>
      <c r="CP361" s="291" t="n"/>
      <c r="CQ361" s="693" t="n"/>
    </row>
    <row r="362" ht="16.5" customHeight="1">
      <c r="B362" s="262" t="inlineStr">
        <is>
          <t>Market capitalization ($M)</t>
        </is>
      </c>
      <c r="C362" s="678" t="n"/>
      <c r="D362" s="678" t="n"/>
      <c r="E362" s="678" t="n"/>
      <c r="F362" s="678" t="n"/>
      <c r="G362" s="871">
        <f>G360*G361/1000</f>
        <v/>
      </c>
      <c r="H362" s="291" t="n"/>
      <c r="I362" s="291" t="n"/>
      <c r="J362" s="291" t="n"/>
      <c r="K362" s="291" t="n"/>
      <c r="L362" s="871">
        <f>L360*L361/1000</f>
        <v/>
      </c>
      <c r="M362" s="291" t="n"/>
      <c r="N362" s="291" t="n"/>
      <c r="O362" s="291" t="n"/>
      <c r="P362" s="291" t="n"/>
      <c r="Q362" s="871">
        <f>Q360*Q361/1000</f>
        <v/>
      </c>
      <c r="R362" s="291" t="n"/>
      <c r="S362" s="291" t="n"/>
      <c r="T362" s="291" t="n"/>
      <c r="U362" s="291" t="n"/>
      <c r="V362" s="871">
        <f>V360*V361/1000</f>
        <v/>
      </c>
      <c r="W362" s="291" t="n"/>
      <c r="X362" s="291" t="n"/>
      <c r="Y362" s="291" t="n"/>
      <c r="Z362" s="291" t="n"/>
      <c r="AA362" s="871">
        <f>AA360*AA361/1000</f>
        <v/>
      </c>
      <c r="AB362" s="291" t="n"/>
      <c r="AC362" s="291" t="n"/>
      <c r="AD362" s="291" t="n"/>
      <c r="AE362" s="291" t="n"/>
      <c r="AF362" s="871">
        <f>AF360*AF361/1000</f>
        <v/>
      </c>
      <c r="AG362" s="291" t="n"/>
      <c r="AH362" s="291" t="n"/>
      <c r="AI362" s="291" t="n"/>
      <c r="AJ362" s="291" t="n"/>
      <c r="AK362" s="871">
        <f>AK360*AK361/1000</f>
        <v/>
      </c>
      <c r="AL362" s="291" t="n"/>
      <c r="AM362" s="291" t="n"/>
      <c r="AN362" s="291" t="n"/>
      <c r="AO362" s="291" t="n"/>
      <c r="AP362" s="871">
        <f>AP360*AP361/1000</f>
        <v/>
      </c>
      <c r="AQ362" s="291" t="n"/>
      <c r="AR362" s="291" t="n"/>
      <c r="AS362" s="291" t="n"/>
      <c r="AT362" s="291" t="n"/>
      <c r="AU362" s="871">
        <f>AU360*AU361/1000</f>
        <v/>
      </c>
      <c r="AV362" s="291" t="n"/>
      <c r="AW362" s="291" t="n"/>
      <c r="AX362" s="291" t="n"/>
      <c r="AY362" s="291" t="n"/>
      <c r="AZ362" s="871">
        <f>AZ360*AZ361/1000</f>
        <v/>
      </c>
      <c r="BA362" s="291" t="n"/>
      <c r="BB362" s="291" t="n"/>
      <c r="BC362" s="291" t="n"/>
      <c r="BD362" s="291" t="n"/>
      <c r="BE362" s="871">
        <f>BE360*BE361/1000</f>
        <v/>
      </c>
      <c r="BF362" s="291" t="n"/>
      <c r="BG362" s="291" t="n"/>
      <c r="BH362" s="291" t="n"/>
      <c r="BI362" s="291" t="n"/>
      <c r="BJ362" s="871">
        <f>BJ360*BJ361/1000</f>
        <v/>
      </c>
      <c r="BK362" s="291" t="n"/>
      <c r="BL362" s="291" t="n"/>
      <c r="BM362" s="291" t="n"/>
      <c r="BN362" s="291" t="n"/>
      <c r="BO362" s="871">
        <f>BO360*BO361/1000</f>
        <v/>
      </c>
      <c r="BP362" s="291" t="n"/>
      <c r="BQ362" s="291" t="n"/>
      <c r="BR362" s="291" t="n"/>
      <c r="BS362" s="291" t="n"/>
      <c r="BT362" s="871">
        <f>BT360*BT361/1000</f>
        <v/>
      </c>
      <c r="BU362" s="291" t="n"/>
      <c r="BV362" s="291" t="n"/>
      <c r="BW362" s="291" t="n"/>
      <c r="BX362" s="291" t="n"/>
      <c r="BY362" s="871">
        <f>BY360*BY361/1000</f>
        <v/>
      </c>
      <c r="BZ362" s="291" t="n"/>
      <c r="CA362" s="291" t="n"/>
      <c r="CB362" s="291" t="n"/>
      <c r="CC362" s="291" t="n"/>
      <c r="CD362" s="871">
        <f>CD360*CD361/1000</f>
        <v/>
      </c>
      <c r="CE362" s="274">
        <f>CE360*CE361/1000</f>
        <v/>
      </c>
      <c r="CF362" s="274">
        <f>CF360*CF361/1000</f>
        <v/>
      </c>
      <c r="CG362" s="274">
        <f>CG360*CG361/1000</f>
        <v/>
      </c>
      <c r="CH362" s="274">
        <f>CH360*CH361/1000</f>
        <v/>
      </c>
      <c r="CI362" s="274">
        <f>CI360*CI361/1000</f>
        <v/>
      </c>
      <c r="CJ362" s="274">
        <f>CJ360*CJ361/1000</f>
        <v/>
      </c>
      <c r="CK362" s="274">
        <f>CK360*CK361/1000</f>
        <v/>
      </c>
      <c r="CL362" s="274">
        <f>CL360*CL361/1000</f>
        <v/>
      </c>
      <c r="CM362" s="274">
        <f>CM360*CM361/1000</f>
        <v/>
      </c>
      <c r="CN362" s="678" t="n"/>
      <c r="CO362" s="678" t="n"/>
      <c r="CP362" s="678" t="n"/>
      <c r="CQ362" s="693" t="n"/>
    </row>
    <row r="363" ht="16.5" customHeight="1">
      <c r="B363" s="305" t="inlineStr">
        <is>
          <t>Net debt ($M)</t>
        </is>
      </c>
      <c r="C363" s="678" t="n"/>
      <c r="D363" s="678" t="n"/>
      <c r="E363" s="678" t="n"/>
      <c r="F363" s="678" t="n"/>
      <c r="G363" s="864">
        <f>G331</f>
        <v/>
      </c>
      <c r="H363" s="291" t="n"/>
      <c r="I363" s="291" t="n"/>
      <c r="J363" s="291" t="n"/>
      <c r="K363" s="291" t="n"/>
      <c r="L363" s="864">
        <f>L331</f>
        <v/>
      </c>
      <c r="M363" s="291" t="n"/>
      <c r="N363" s="291" t="n"/>
      <c r="O363" s="291" t="n"/>
      <c r="P363" s="291" t="n"/>
      <c r="Q363" s="864">
        <f>Q331</f>
        <v/>
      </c>
      <c r="R363" s="291" t="n"/>
      <c r="S363" s="291" t="n"/>
      <c r="T363" s="291" t="n"/>
      <c r="U363" s="291" t="n"/>
      <c r="V363" s="864">
        <f>V331</f>
        <v/>
      </c>
      <c r="W363" s="291" t="n"/>
      <c r="X363" s="291" t="n"/>
      <c r="Y363" s="291" t="n"/>
      <c r="Z363" s="291" t="n"/>
      <c r="AA363" s="864">
        <f>AA331</f>
        <v/>
      </c>
      <c r="AB363" s="291" t="n"/>
      <c r="AC363" s="291" t="n"/>
      <c r="AD363" s="291" t="n"/>
      <c r="AE363" s="291" t="n"/>
      <c r="AF363" s="864">
        <f>AF331</f>
        <v/>
      </c>
      <c r="AG363" s="291" t="n"/>
      <c r="AH363" s="291" t="n"/>
      <c r="AI363" s="291" t="n"/>
      <c r="AJ363" s="291" t="n"/>
      <c r="AK363" s="864">
        <f>AK331</f>
        <v/>
      </c>
      <c r="AL363" s="291" t="n"/>
      <c r="AM363" s="291" t="n"/>
      <c r="AN363" s="291" t="n"/>
      <c r="AO363" s="291" t="n"/>
      <c r="AP363" s="864">
        <f>AP331</f>
        <v/>
      </c>
      <c r="AQ363" s="291" t="n"/>
      <c r="AR363" s="291" t="n"/>
      <c r="AS363" s="291" t="n"/>
      <c r="AT363" s="291" t="n"/>
      <c r="AU363" s="864">
        <f>AU331</f>
        <v/>
      </c>
      <c r="AV363" s="291" t="n"/>
      <c r="AW363" s="291" t="n"/>
      <c r="AX363" s="291" t="n"/>
      <c r="AY363" s="291" t="n"/>
      <c r="AZ363" s="864">
        <f>AZ331</f>
        <v/>
      </c>
      <c r="BA363" s="291" t="n"/>
      <c r="BB363" s="291" t="n"/>
      <c r="BC363" s="291" t="n"/>
      <c r="BD363" s="291" t="n"/>
      <c r="BE363" s="864">
        <f>BE331</f>
        <v/>
      </c>
      <c r="BF363" s="291" t="n"/>
      <c r="BG363" s="291" t="n"/>
      <c r="BH363" s="291" t="n"/>
      <c r="BI363" s="291" t="n"/>
      <c r="BJ363" s="864">
        <f>BJ331</f>
        <v/>
      </c>
      <c r="BK363" s="291" t="n"/>
      <c r="BL363" s="291" t="n"/>
      <c r="BM363" s="291" t="n"/>
      <c r="BN363" s="291" t="n"/>
      <c r="BO363" s="864">
        <f>BO331</f>
        <v/>
      </c>
      <c r="BP363" s="291" t="n"/>
      <c r="BQ363" s="291" t="n"/>
      <c r="BR363" s="291" t="n"/>
      <c r="BS363" s="291" t="n"/>
      <c r="BT363" s="864">
        <f>BT331</f>
        <v/>
      </c>
      <c r="BU363" s="291" t="n"/>
      <c r="BV363" s="291" t="n"/>
      <c r="BW363" s="291" t="n"/>
      <c r="BX363" s="291" t="n"/>
      <c r="BY363" s="864">
        <f>BY331</f>
        <v/>
      </c>
      <c r="BZ363" s="291" t="n"/>
      <c r="CA363" s="291" t="n"/>
      <c r="CB363" s="291" t="n"/>
      <c r="CC363" s="291" t="n"/>
      <c r="CD363" s="864">
        <f>CD331</f>
        <v/>
      </c>
      <c r="CE363" s="291">
        <f>CE331</f>
        <v/>
      </c>
      <c r="CF363" s="291">
        <f>CF331</f>
        <v/>
      </c>
      <c r="CG363" s="291">
        <f>CG331</f>
        <v/>
      </c>
      <c r="CH363" s="291">
        <f>CH331</f>
        <v/>
      </c>
      <c r="CI363" s="749">
        <f>CI331</f>
        <v/>
      </c>
      <c r="CJ363" s="749">
        <f>CJ331</f>
        <v/>
      </c>
      <c r="CK363" s="749">
        <f>CK331</f>
        <v/>
      </c>
      <c r="CL363" s="749">
        <f>CL331</f>
        <v/>
      </c>
      <c r="CM363" s="749">
        <f>CM331</f>
        <v/>
      </c>
      <c r="CN363" s="678" t="n"/>
      <c r="CO363" s="678" t="n"/>
      <c r="CP363" s="678" t="n"/>
      <c r="CQ363" s="693" t="n"/>
    </row>
    <row r="364" ht="16.5" customHeight="1">
      <c r="B364" s="262" t="inlineStr">
        <is>
          <t>Enterprise value ($M)</t>
        </is>
      </c>
      <c r="C364" s="274" t="n"/>
      <c r="D364" s="274" t="n"/>
      <c r="E364" s="274" t="n"/>
      <c r="F364" s="274" t="n"/>
      <c r="G364" s="871">
        <f>G362+G363</f>
        <v/>
      </c>
      <c r="H364" s="810" t="n"/>
      <c r="I364" s="810" t="n"/>
      <c r="J364" s="810" t="n"/>
      <c r="K364" s="810" t="n"/>
      <c r="L364" s="871">
        <f>L362+L363</f>
        <v/>
      </c>
      <c r="M364" s="810" t="n"/>
      <c r="N364" s="810" t="n"/>
      <c r="O364" s="810" t="n"/>
      <c r="P364" s="810" t="n"/>
      <c r="Q364" s="871">
        <f>Q362+Q363</f>
        <v/>
      </c>
      <c r="R364" s="810" t="n"/>
      <c r="S364" s="810" t="n"/>
      <c r="T364" s="810" t="n"/>
      <c r="U364" s="810" t="n"/>
      <c r="V364" s="871">
        <f>V362+V363</f>
        <v/>
      </c>
      <c r="W364" s="810" t="n"/>
      <c r="X364" s="810" t="n"/>
      <c r="Y364" s="810" t="n"/>
      <c r="Z364" s="810" t="n"/>
      <c r="AA364" s="871">
        <f>AA362+AA363</f>
        <v/>
      </c>
      <c r="AB364" s="810" t="n"/>
      <c r="AC364" s="810" t="n"/>
      <c r="AD364" s="810" t="n"/>
      <c r="AE364" s="810" t="n"/>
      <c r="AF364" s="871">
        <f>AF362+AF363</f>
        <v/>
      </c>
      <c r="AG364" s="810" t="n"/>
      <c r="AH364" s="810" t="n"/>
      <c r="AI364" s="810" t="n"/>
      <c r="AJ364" s="810" t="n"/>
      <c r="AK364" s="871">
        <f>AK362+AK363</f>
        <v/>
      </c>
      <c r="AL364" s="810" t="n"/>
      <c r="AM364" s="810" t="n"/>
      <c r="AN364" s="810" t="n"/>
      <c r="AO364" s="810" t="n"/>
      <c r="AP364" s="871">
        <f>AP362+AP363</f>
        <v/>
      </c>
      <c r="AQ364" s="810" t="n"/>
      <c r="AR364" s="810" t="n"/>
      <c r="AS364" s="810" t="n"/>
      <c r="AT364" s="810" t="n"/>
      <c r="AU364" s="871">
        <f>AU362+AU363</f>
        <v/>
      </c>
      <c r="AV364" s="810" t="n"/>
      <c r="AW364" s="810" t="n"/>
      <c r="AX364" s="810" t="n"/>
      <c r="AY364" s="810" t="n"/>
      <c r="AZ364" s="871">
        <f>AZ362+AZ363</f>
        <v/>
      </c>
      <c r="BA364" s="810" t="n"/>
      <c r="BB364" s="810" t="n"/>
      <c r="BC364" s="810" t="n"/>
      <c r="BD364" s="810" t="n"/>
      <c r="BE364" s="871">
        <f>BE362+BE363</f>
        <v/>
      </c>
      <c r="BF364" s="810" t="n"/>
      <c r="BG364" s="810" t="n"/>
      <c r="BH364" s="810" t="n"/>
      <c r="BI364" s="810" t="n"/>
      <c r="BJ364" s="871">
        <f>BJ362+BJ363</f>
        <v/>
      </c>
      <c r="BK364" s="810" t="n"/>
      <c r="BL364" s="810" t="n"/>
      <c r="BM364" s="810" t="n"/>
      <c r="BN364" s="810" t="n"/>
      <c r="BO364" s="871">
        <f>BO362+BO363</f>
        <v/>
      </c>
      <c r="BP364" s="810" t="n"/>
      <c r="BQ364" s="810" t="n"/>
      <c r="BR364" s="810" t="n"/>
      <c r="BS364" s="810" t="n"/>
      <c r="BT364" s="871">
        <f>BT362+BT363</f>
        <v/>
      </c>
      <c r="BU364" s="810" t="n"/>
      <c r="BV364" s="810" t="n"/>
      <c r="BW364" s="810" t="n"/>
      <c r="BX364" s="810" t="n"/>
      <c r="BY364" s="871">
        <f>BY362+BY363</f>
        <v/>
      </c>
      <c r="BZ364" s="810" t="n"/>
      <c r="CA364" s="810" t="n"/>
      <c r="CB364" s="810" t="n"/>
      <c r="CC364" s="810" t="n"/>
      <c r="CD364" s="871">
        <f>CD362+CD363</f>
        <v/>
      </c>
      <c r="CE364" s="274">
        <f>CE362+CE363</f>
        <v/>
      </c>
      <c r="CF364" s="274">
        <f>CF362+CF363</f>
        <v/>
      </c>
      <c r="CG364" s="274">
        <f>CG362+CG363</f>
        <v/>
      </c>
      <c r="CH364" s="274">
        <f>CH362+CH363</f>
        <v/>
      </c>
      <c r="CI364" s="274">
        <f>CI362+CI363</f>
        <v/>
      </c>
      <c r="CJ364" s="274">
        <f>CJ362+CJ363</f>
        <v/>
      </c>
      <c r="CK364" s="274">
        <f>CK362+CK363</f>
        <v/>
      </c>
      <c r="CL364" s="274">
        <f>CL362+CL363</f>
        <v/>
      </c>
      <c r="CM364" s="274">
        <f>CM362+CM363</f>
        <v/>
      </c>
      <c r="CN364" s="274" t="n"/>
      <c r="CO364" s="274" t="n"/>
      <c r="CP364" s="274" t="n"/>
      <c r="CQ364" s="693" t="n"/>
    </row>
    <row r="365" ht="16.5" customHeight="1">
      <c r="C365" s="291" t="n"/>
      <c r="D365" s="291" t="n"/>
      <c r="E365" s="291" t="n"/>
      <c r="F365" s="291" t="n"/>
      <c r="G365" s="864" t="n"/>
      <c r="H365" s="291" t="n"/>
      <c r="I365" s="291" t="n"/>
      <c r="J365" s="291" t="n"/>
      <c r="K365" s="291" t="n"/>
      <c r="L365" s="864" t="n"/>
      <c r="M365" s="291" t="n"/>
      <c r="N365" s="291" t="n"/>
      <c r="O365" s="291" t="n"/>
      <c r="P365" s="291" t="n"/>
      <c r="Q365" s="864" t="n"/>
      <c r="R365" s="291" t="n"/>
      <c r="S365" s="291" t="n"/>
      <c r="T365" s="291" t="n"/>
      <c r="U365" s="291" t="n"/>
      <c r="V365" s="864" t="n"/>
      <c r="W365" s="291" t="n"/>
      <c r="X365" s="291" t="n"/>
      <c r="Y365" s="291" t="n"/>
      <c r="Z365" s="291" t="n"/>
      <c r="AA365" s="864" t="n"/>
      <c r="AB365" s="291" t="n"/>
      <c r="AC365" s="291" t="n"/>
      <c r="AD365" s="291" t="n"/>
      <c r="AE365" s="291" t="n"/>
      <c r="AF365" s="864" t="n"/>
      <c r="AG365" s="291" t="n"/>
      <c r="AH365" s="291" t="n"/>
      <c r="AI365" s="291" t="n"/>
      <c r="AJ365" s="291" t="n"/>
      <c r="AK365" s="864" t="n"/>
      <c r="AL365" s="291" t="n"/>
      <c r="AM365" s="291" t="n"/>
      <c r="AN365" s="291" t="n"/>
      <c r="AO365" s="291" t="n"/>
      <c r="AP365" s="864" t="n"/>
      <c r="AQ365" s="291" t="n"/>
      <c r="AR365" s="291" t="n"/>
      <c r="AS365" s="291" t="n"/>
      <c r="AT365" s="291" t="n"/>
      <c r="AU365" s="864" t="n"/>
      <c r="AV365" s="291" t="n"/>
      <c r="AW365" s="291" t="n"/>
      <c r="AX365" s="291" t="n"/>
      <c r="AY365" s="291" t="n"/>
      <c r="AZ365" s="864" t="n"/>
      <c r="BA365" s="291" t="n"/>
      <c r="BB365" s="291" t="n"/>
      <c r="BC365" s="291" t="n"/>
      <c r="BD365" s="291" t="n"/>
      <c r="BE365" s="864" t="n"/>
      <c r="BF365" s="291" t="n"/>
      <c r="BG365" s="291" t="n"/>
      <c r="BH365" s="291" t="n"/>
      <c r="BI365" s="291" t="n"/>
      <c r="BJ365" s="864" t="n"/>
      <c r="BK365" s="291" t="n"/>
      <c r="BL365" s="291" t="n"/>
      <c r="BM365" s="291" t="n"/>
      <c r="BN365" s="291" t="n"/>
      <c r="BO365" s="864" t="n"/>
      <c r="BP365" s="291" t="n"/>
      <c r="BQ365" s="291" t="n"/>
      <c r="BR365" s="291" t="n"/>
      <c r="BS365" s="291" t="n"/>
      <c r="BT365" s="864" t="n"/>
      <c r="BU365" s="291" t="n"/>
      <c r="BV365" s="291" t="n"/>
      <c r="BW365" s="291" t="n"/>
      <c r="BX365" s="291" t="n"/>
      <c r="BY365" s="864" t="n"/>
      <c r="BZ365" s="291" t="n"/>
      <c r="CA365" s="291" t="n"/>
      <c r="CB365" s="291" t="n"/>
      <c r="CC365" s="291" t="n"/>
      <c r="CD365" s="864" t="n"/>
      <c r="CE365" s="291" t="n"/>
      <c r="CF365" s="291" t="n"/>
      <c r="CG365" s="291" t="n"/>
      <c r="CH365" s="291" t="n"/>
      <c r="CI365" s="749" t="n"/>
      <c r="CJ365" s="749" t="n"/>
      <c r="CK365" s="749" t="n"/>
      <c r="CL365" s="749" t="n"/>
      <c r="CM365" s="749" t="n"/>
      <c r="CN365" s="291" t="n"/>
      <c r="CO365" s="291" t="n"/>
      <c r="CP365" s="291" t="n"/>
      <c r="CQ365" s="693" t="n"/>
    </row>
    <row r="366" ht="16.5" customHeight="1">
      <c r="B366" s="223" t="inlineStr">
        <is>
          <t>Multiples</t>
        </is>
      </c>
      <c r="C366" s="224" t="n"/>
      <c r="D366" s="224" t="n"/>
      <c r="E366" s="224" t="n"/>
      <c r="F366" s="224" t="n"/>
      <c r="G366" s="867" t="n"/>
      <c r="H366" s="224" t="n"/>
      <c r="I366" s="224" t="n"/>
      <c r="J366" s="224" t="n"/>
      <c r="K366" s="224" t="n"/>
      <c r="L366" s="867" t="n"/>
      <c r="M366" s="224" t="n"/>
      <c r="N366" s="224" t="n"/>
      <c r="O366" s="224" t="n"/>
      <c r="P366" s="224" t="n"/>
      <c r="Q366" s="867" t="n"/>
      <c r="R366" s="224" t="n"/>
      <c r="S366" s="224" t="n"/>
      <c r="T366" s="224" t="n"/>
      <c r="U366" s="224" t="n"/>
      <c r="V366" s="867" t="n"/>
      <c r="W366" s="224" t="n"/>
      <c r="X366" s="224" t="n"/>
      <c r="Y366" s="224" t="n"/>
      <c r="Z366" s="224" t="n"/>
      <c r="AA366" s="867" t="n"/>
      <c r="AB366" s="224" t="n"/>
      <c r="AC366" s="224" t="n"/>
      <c r="AD366" s="224" t="n"/>
      <c r="AE366" s="224" t="n"/>
      <c r="AF366" s="867" t="n"/>
      <c r="AG366" s="224" t="n"/>
      <c r="AH366" s="224" t="n"/>
      <c r="AI366" s="224" t="n"/>
      <c r="AJ366" s="224" t="n"/>
      <c r="AK366" s="867" t="n"/>
      <c r="AL366" s="224" t="n"/>
      <c r="AM366" s="224" t="n"/>
      <c r="AN366" s="224" t="n"/>
      <c r="AO366" s="224" t="n"/>
      <c r="AP366" s="867" t="n"/>
      <c r="AQ366" s="224" t="n"/>
      <c r="AR366" s="224" t="n"/>
      <c r="AS366" s="224" t="n"/>
      <c r="AT366" s="224" t="n"/>
      <c r="AU366" s="867" t="n"/>
      <c r="AV366" s="224" t="n"/>
      <c r="AW366" s="224" t="n"/>
      <c r="AX366" s="224" t="n"/>
      <c r="AY366" s="224" t="n"/>
      <c r="AZ366" s="867" t="n"/>
      <c r="BA366" s="224" t="n"/>
      <c r="BB366" s="224" t="n"/>
      <c r="BC366" s="224" t="n"/>
      <c r="BD366" s="224" t="n"/>
      <c r="BE366" s="867" t="n"/>
      <c r="BF366" s="224" t="n"/>
      <c r="BG366" s="224" t="n"/>
      <c r="BH366" s="224" t="n"/>
      <c r="BI366" s="224" t="n"/>
      <c r="BJ366" s="867" t="n"/>
      <c r="BK366" s="224" t="n"/>
      <c r="BL366" s="224" t="n"/>
      <c r="BM366" s="224" t="n"/>
      <c r="BN366" s="224" t="n"/>
      <c r="BO366" s="867" t="n"/>
      <c r="BP366" s="224" t="n"/>
      <c r="BQ366" s="224" t="n"/>
      <c r="BR366" s="224" t="n"/>
      <c r="BS366" s="224" t="n"/>
      <c r="BT366" s="867" t="n"/>
      <c r="BU366" s="224" t="n"/>
      <c r="BV366" s="224" t="n"/>
      <c r="BW366" s="224" t="n"/>
      <c r="BX366" s="224" t="n"/>
      <c r="BY366" s="867" t="n"/>
      <c r="BZ366" s="224" t="n"/>
      <c r="CA366" s="224" t="n"/>
      <c r="CB366" s="224" t="n"/>
      <c r="CC366" s="224" t="n"/>
      <c r="CD366" s="867" t="n"/>
      <c r="CE366" s="224" t="n"/>
      <c r="CF366" s="224" t="n"/>
      <c r="CG366" s="224" t="n"/>
      <c r="CH366" s="224" t="n"/>
      <c r="CI366" s="224" t="n"/>
      <c r="CJ366" s="224" t="n"/>
      <c r="CK366" s="224" t="n"/>
      <c r="CL366" s="224" t="n"/>
      <c r="CM366" s="224" t="n"/>
      <c r="CN366" s="224" t="n"/>
      <c r="CO366" s="224" t="n"/>
      <c r="CP366" s="224" t="n"/>
      <c r="CQ366" s="693" t="n"/>
    </row>
    <row r="367" ht="16.5" customHeight="1">
      <c r="B367" s="305" t="inlineStr">
        <is>
          <t xml:space="preserve">  EV / Sales</t>
        </is>
      </c>
      <c r="C367" s="1071" t="n"/>
      <c r="D367" s="1071" t="n"/>
      <c r="E367" s="1071" t="n"/>
      <c r="F367" s="1071" t="n"/>
      <c r="G367" s="1072">
        <f>G364/G114</f>
        <v/>
      </c>
      <c r="H367" s="1071" t="n"/>
      <c r="I367" s="1071" t="n"/>
      <c r="J367" s="1071" t="n"/>
      <c r="K367" s="1071" t="n"/>
      <c r="L367" s="1072">
        <f>L364/L114</f>
        <v/>
      </c>
      <c r="M367" s="1071" t="n"/>
      <c r="N367" s="1071" t="n"/>
      <c r="O367" s="1071" t="n"/>
      <c r="P367" s="1071" t="n"/>
      <c r="Q367" s="1072">
        <f>Q364/Q114</f>
        <v/>
      </c>
      <c r="R367" s="1071" t="n"/>
      <c r="S367" s="1071" t="n"/>
      <c r="T367" s="1071" t="n"/>
      <c r="U367" s="1071" t="n"/>
      <c r="V367" s="1072">
        <f>V364/V114</f>
        <v/>
      </c>
      <c r="W367" s="1071" t="n"/>
      <c r="X367" s="1071" t="n"/>
      <c r="Y367" s="1071" t="n"/>
      <c r="Z367" s="1071" t="n"/>
      <c r="AA367" s="1072">
        <f>AA364/AA114</f>
        <v/>
      </c>
      <c r="AB367" s="1071" t="n"/>
      <c r="AC367" s="1071" t="n"/>
      <c r="AD367" s="1071" t="n"/>
      <c r="AE367" s="1071" t="n"/>
      <c r="AF367" s="1072">
        <f>AF364/AF114</f>
        <v/>
      </c>
      <c r="AG367" s="1071" t="n"/>
      <c r="AH367" s="1071" t="n"/>
      <c r="AI367" s="1071" t="n"/>
      <c r="AJ367" s="1071" t="n"/>
      <c r="AK367" s="1072">
        <f>AK364/AK114</f>
        <v/>
      </c>
      <c r="AL367" s="1071" t="n"/>
      <c r="AM367" s="1071" t="n"/>
      <c r="AN367" s="1071" t="n"/>
      <c r="AO367" s="1071" t="n"/>
      <c r="AP367" s="1072">
        <f>AP364/AP114</f>
        <v/>
      </c>
      <c r="AQ367" s="1071" t="n"/>
      <c r="AR367" s="1071" t="n"/>
      <c r="AS367" s="1071" t="n"/>
      <c r="AT367" s="1071" t="n"/>
      <c r="AU367" s="1072">
        <f>AU364/AU114</f>
        <v/>
      </c>
      <c r="AV367" s="1071" t="n"/>
      <c r="AW367" s="1071" t="n"/>
      <c r="AX367" s="1071" t="n"/>
      <c r="AY367" s="1071" t="n"/>
      <c r="AZ367" s="1072">
        <f>AZ364/AZ114</f>
        <v/>
      </c>
      <c r="BA367" s="1071" t="n"/>
      <c r="BB367" s="1071" t="n"/>
      <c r="BC367" s="1071" t="n"/>
      <c r="BD367" s="1071" t="n"/>
      <c r="BE367" s="1072">
        <f>BE364/BE114</f>
        <v/>
      </c>
      <c r="BF367" s="1071" t="n"/>
      <c r="BG367" s="1071" t="n"/>
      <c r="BH367" s="1071" t="n"/>
      <c r="BI367" s="1071" t="n"/>
      <c r="BJ367" s="1072">
        <f>BJ364/BJ114</f>
        <v/>
      </c>
      <c r="BK367" s="1071" t="n"/>
      <c r="BL367" s="1071" t="n"/>
      <c r="BM367" s="1071" t="n"/>
      <c r="BN367" s="1071" t="n"/>
      <c r="BO367" s="1072">
        <f>BO364/BO114</f>
        <v/>
      </c>
      <c r="BP367" s="1071" t="n"/>
      <c r="BQ367" s="1071" t="n"/>
      <c r="BR367" s="1071" t="n"/>
      <c r="BS367" s="1071" t="n"/>
      <c r="BT367" s="1072">
        <f>BT364/BT114</f>
        <v/>
      </c>
      <c r="BU367" s="1071" t="n"/>
      <c r="BV367" s="1071" t="n"/>
      <c r="BW367" s="1071" t="n"/>
      <c r="BX367" s="1071" t="n"/>
      <c r="BY367" s="1072">
        <f>BY364/BY114</f>
        <v/>
      </c>
      <c r="BZ367" s="1071" t="n"/>
      <c r="CA367" s="1071" t="n"/>
      <c r="CB367" s="1071" t="n"/>
      <c r="CC367" s="1071" t="n"/>
      <c r="CD367" s="1072">
        <f>CD364/CD114</f>
        <v/>
      </c>
      <c r="CE367" s="1071">
        <f>CE364/CE114</f>
        <v/>
      </c>
      <c r="CF367" s="1071">
        <f>CF364/CF114</f>
        <v/>
      </c>
      <c r="CG367" s="1071">
        <f>CG364/CG114</f>
        <v/>
      </c>
      <c r="CH367" s="1071">
        <f>CH364/CH114</f>
        <v/>
      </c>
      <c r="CI367" s="1073">
        <f>CI364/CI114</f>
        <v/>
      </c>
      <c r="CJ367" s="1073">
        <f>CJ364/CJ114</f>
        <v/>
      </c>
      <c r="CK367" s="1073">
        <f>CK364/CK114</f>
        <v/>
      </c>
      <c r="CL367" s="1073">
        <f>CL364/CL114</f>
        <v/>
      </c>
      <c r="CM367" s="1073">
        <f>CM364/CM114</f>
        <v/>
      </c>
      <c r="CN367" s="1071" t="n"/>
      <c r="CO367" s="1071" t="n"/>
      <c r="CP367" s="1071" t="n"/>
      <c r="CQ367" s="694" t="n"/>
    </row>
    <row r="368" ht="16.5" customHeight="1">
      <c r="B368" s="305" t="inlineStr">
        <is>
          <t xml:space="preserve">  EV / EBITDA</t>
        </is>
      </c>
      <c r="C368" s="1071" t="n"/>
      <c r="D368" s="1071" t="n"/>
      <c r="E368" s="1071" t="n"/>
      <c r="F368" s="1071" t="n"/>
      <c r="G368" s="1072">
        <f>G364/G355</f>
        <v/>
      </c>
      <c r="H368" s="1071" t="n"/>
      <c r="I368" s="1071" t="n"/>
      <c r="J368" s="1071" t="n"/>
      <c r="K368" s="1071" t="n"/>
      <c r="L368" s="1072">
        <f>L364/L355</f>
        <v/>
      </c>
      <c r="M368" s="1071" t="n"/>
      <c r="N368" s="1071" t="n"/>
      <c r="O368" s="1071" t="n"/>
      <c r="P368" s="1071" t="n"/>
      <c r="Q368" s="1072">
        <f>Q364/Q355</f>
        <v/>
      </c>
      <c r="R368" s="1071" t="n"/>
      <c r="S368" s="1071" t="n"/>
      <c r="T368" s="1071" t="n"/>
      <c r="U368" s="1071" t="n"/>
      <c r="V368" s="1072">
        <f>V364/V355</f>
        <v/>
      </c>
      <c r="W368" s="1071" t="n"/>
      <c r="X368" s="1071" t="n"/>
      <c r="Y368" s="1071" t="n"/>
      <c r="Z368" s="1071" t="n"/>
      <c r="AA368" s="1072">
        <f>AA364/AA355</f>
        <v/>
      </c>
      <c r="AB368" s="1071" t="n"/>
      <c r="AC368" s="1071" t="n"/>
      <c r="AD368" s="1071" t="n"/>
      <c r="AE368" s="1071" t="n"/>
      <c r="AF368" s="1072">
        <f>AF364/AF355</f>
        <v/>
      </c>
      <c r="AG368" s="1071" t="n"/>
      <c r="AH368" s="1071" t="n"/>
      <c r="AI368" s="1071" t="n"/>
      <c r="AJ368" s="1071" t="n"/>
      <c r="AK368" s="1072">
        <f>AK364/AK355</f>
        <v/>
      </c>
      <c r="AL368" s="1071" t="n"/>
      <c r="AM368" s="1071" t="n"/>
      <c r="AN368" s="1071" t="n"/>
      <c r="AO368" s="1071" t="n"/>
      <c r="AP368" s="1072">
        <f>AP364/AP355</f>
        <v/>
      </c>
      <c r="AQ368" s="1071" t="n"/>
      <c r="AR368" s="1071" t="n"/>
      <c r="AS368" s="1071" t="n"/>
      <c r="AT368" s="1071" t="n"/>
      <c r="AU368" s="1072">
        <f>AU364/AU355</f>
        <v/>
      </c>
      <c r="AV368" s="1071" t="n"/>
      <c r="AW368" s="1071" t="n"/>
      <c r="AX368" s="1071" t="n"/>
      <c r="AY368" s="1071" t="n"/>
      <c r="AZ368" s="1072">
        <f>AZ364/AZ355</f>
        <v/>
      </c>
      <c r="BA368" s="1071" t="n"/>
      <c r="BB368" s="1071" t="n"/>
      <c r="BC368" s="1071" t="n"/>
      <c r="BD368" s="1071" t="n"/>
      <c r="BE368" s="1072">
        <f>BE364/BE355</f>
        <v/>
      </c>
      <c r="BF368" s="1071" t="n"/>
      <c r="BG368" s="1071" t="n"/>
      <c r="BH368" s="1071" t="n"/>
      <c r="BI368" s="1071" t="n"/>
      <c r="BJ368" s="1072">
        <f>BJ364/BJ355</f>
        <v/>
      </c>
      <c r="BK368" s="1071" t="n"/>
      <c r="BL368" s="1071" t="n"/>
      <c r="BM368" s="1071" t="n"/>
      <c r="BN368" s="1071" t="n"/>
      <c r="BO368" s="1072">
        <f>BO364/BO355</f>
        <v/>
      </c>
      <c r="BP368" s="1071" t="n"/>
      <c r="BQ368" s="1071" t="n"/>
      <c r="BR368" s="1071" t="n"/>
      <c r="BS368" s="1071" t="n"/>
      <c r="BT368" s="1072">
        <f>BT364/BT355</f>
        <v/>
      </c>
      <c r="BU368" s="1071" t="n"/>
      <c r="BV368" s="1071" t="n"/>
      <c r="BW368" s="1071" t="n"/>
      <c r="BX368" s="1071" t="n"/>
      <c r="BY368" s="1072">
        <f>BY364/BY355</f>
        <v/>
      </c>
      <c r="BZ368" s="1071" t="n"/>
      <c r="CA368" s="1071" t="n"/>
      <c r="CB368" s="1071" t="n"/>
      <c r="CC368" s="1071" t="n"/>
      <c r="CD368" s="1072">
        <f>CD364/CD355</f>
        <v/>
      </c>
      <c r="CE368" s="1071">
        <f>CE364/CE355</f>
        <v/>
      </c>
      <c r="CF368" s="1071">
        <f>CF364/CF355</f>
        <v/>
      </c>
      <c r="CG368" s="1071">
        <f>CG364/CG355</f>
        <v/>
      </c>
      <c r="CH368" s="1071">
        <f>CH364/CH355</f>
        <v/>
      </c>
      <c r="CI368" s="1073">
        <f>CI364/CI355</f>
        <v/>
      </c>
      <c r="CJ368" s="1073">
        <f>CJ364/CJ355</f>
        <v/>
      </c>
      <c r="CK368" s="1073">
        <f>CK364/CK355</f>
        <v/>
      </c>
      <c r="CL368" s="1073">
        <f>CL364/CL355</f>
        <v/>
      </c>
      <c r="CM368" s="1073">
        <f>CM364/CM355</f>
        <v/>
      </c>
      <c r="CN368" s="1071" t="n"/>
      <c r="CO368" s="1071" t="n"/>
      <c r="CP368" s="1071" t="n"/>
      <c r="CQ368" s="693" t="n"/>
    </row>
    <row r="369" ht="16.5" customHeight="1">
      <c r="B369" s="305" t="inlineStr">
        <is>
          <t xml:space="preserve">  EV / EBIT</t>
        </is>
      </c>
      <c r="C369" s="1071" t="n"/>
      <c r="D369" s="1071" t="n"/>
      <c r="E369" s="1071" t="n"/>
      <c r="F369" s="1071" t="n"/>
      <c r="G369" s="1072">
        <f>G364/G126</f>
        <v/>
      </c>
      <c r="H369" s="1071" t="n"/>
      <c r="I369" s="1071" t="n"/>
      <c r="J369" s="1071" t="n"/>
      <c r="K369" s="1071" t="n"/>
      <c r="L369" s="1072">
        <f>L364/L126</f>
        <v/>
      </c>
      <c r="M369" s="1071" t="n"/>
      <c r="N369" s="1071" t="n"/>
      <c r="O369" s="1071" t="n"/>
      <c r="P369" s="1071" t="n"/>
      <c r="Q369" s="1072">
        <f>Q364/Q126</f>
        <v/>
      </c>
      <c r="R369" s="1071" t="n"/>
      <c r="S369" s="1071" t="n"/>
      <c r="T369" s="1071" t="n"/>
      <c r="U369" s="1071" t="n"/>
      <c r="V369" s="1072">
        <f>V364/V126</f>
        <v/>
      </c>
      <c r="W369" s="1071" t="n"/>
      <c r="X369" s="1071" t="n"/>
      <c r="Y369" s="1071" t="n"/>
      <c r="Z369" s="1071" t="n"/>
      <c r="AA369" s="1072">
        <f>AA364/AA126</f>
        <v/>
      </c>
      <c r="AB369" s="1071" t="n"/>
      <c r="AC369" s="1071" t="n"/>
      <c r="AD369" s="1071" t="n"/>
      <c r="AE369" s="1071" t="n"/>
      <c r="AF369" s="1072">
        <f>AF364/AF126</f>
        <v/>
      </c>
      <c r="AG369" s="1071" t="n"/>
      <c r="AH369" s="1071" t="n"/>
      <c r="AI369" s="1071" t="n"/>
      <c r="AJ369" s="1071" t="n"/>
      <c r="AK369" s="1072">
        <f>AK364/AK126</f>
        <v/>
      </c>
      <c r="AL369" s="1071" t="n"/>
      <c r="AM369" s="1071" t="n"/>
      <c r="AN369" s="1071" t="n"/>
      <c r="AO369" s="1071" t="n"/>
      <c r="AP369" s="1072">
        <f>AP364/AP126</f>
        <v/>
      </c>
      <c r="AQ369" s="1071" t="n"/>
      <c r="AR369" s="1071" t="n"/>
      <c r="AS369" s="1071" t="n"/>
      <c r="AT369" s="1071" t="n"/>
      <c r="AU369" s="1072">
        <f>AU364/AU126</f>
        <v/>
      </c>
      <c r="AV369" s="1071" t="n"/>
      <c r="AW369" s="1071" t="n"/>
      <c r="AX369" s="1071" t="n"/>
      <c r="AY369" s="1071" t="n"/>
      <c r="AZ369" s="1072">
        <f>AZ364/AZ126</f>
        <v/>
      </c>
      <c r="BA369" s="1071" t="n"/>
      <c r="BB369" s="1071" t="n"/>
      <c r="BC369" s="1071" t="n"/>
      <c r="BD369" s="1071" t="n"/>
      <c r="BE369" s="1072">
        <f>BE364/BE126</f>
        <v/>
      </c>
      <c r="BF369" s="1071" t="n"/>
      <c r="BG369" s="1071" t="n"/>
      <c r="BH369" s="1071" t="n"/>
      <c r="BI369" s="1071" t="n"/>
      <c r="BJ369" s="1072">
        <f>BJ364/BJ126</f>
        <v/>
      </c>
      <c r="BK369" s="1071" t="n"/>
      <c r="BL369" s="1071" t="n"/>
      <c r="BM369" s="1071" t="n"/>
      <c r="BN369" s="1071" t="n"/>
      <c r="BO369" s="1072">
        <f>BO364/BO126</f>
        <v/>
      </c>
      <c r="BP369" s="1071" t="n"/>
      <c r="BQ369" s="1071" t="n"/>
      <c r="BR369" s="1071" t="n"/>
      <c r="BS369" s="1071" t="n"/>
      <c r="BT369" s="1072">
        <f>BT364/BT126</f>
        <v/>
      </c>
      <c r="BU369" s="1071" t="n"/>
      <c r="BV369" s="1071" t="n"/>
      <c r="BW369" s="1071" t="n"/>
      <c r="BX369" s="1071" t="n"/>
      <c r="BY369" s="1072">
        <f>BY364/BY126</f>
        <v/>
      </c>
      <c r="BZ369" s="1071" t="n"/>
      <c r="CA369" s="1071" t="n"/>
      <c r="CB369" s="1071" t="n"/>
      <c r="CC369" s="1071" t="n"/>
      <c r="CD369" s="1072">
        <f>CD364/CD126</f>
        <v/>
      </c>
      <c r="CE369" s="1071">
        <f>CE364/CE126</f>
        <v/>
      </c>
      <c r="CF369" s="1071">
        <f>CF364/CF126</f>
        <v/>
      </c>
      <c r="CG369" s="1071">
        <f>CG364/CG126</f>
        <v/>
      </c>
      <c r="CH369" s="1071">
        <f>CH364/CH126</f>
        <v/>
      </c>
      <c r="CI369" s="1073">
        <f>CI364/CI126</f>
        <v/>
      </c>
      <c r="CJ369" s="1073">
        <f>CJ364/CJ126</f>
        <v/>
      </c>
      <c r="CK369" s="1073">
        <f>CK364/CK126</f>
        <v/>
      </c>
      <c r="CL369" s="1073">
        <f>CL364/CL126</f>
        <v/>
      </c>
      <c r="CM369" s="1073">
        <f>CM364/CM126</f>
        <v/>
      </c>
      <c r="CN369" s="1071" t="n"/>
      <c r="CO369" s="1071" t="n"/>
      <c r="CP369" s="1071" t="n"/>
      <c r="CQ369" s="693" t="n"/>
    </row>
    <row r="370" ht="16.5" customHeight="1">
      <c r="B370" s="305" t="inlineStr">
        <is>
          <t xml:space="preserve">  P / E (GAAP)</t>
        </is>
      </c>
      <c r="C370" s="1071" t="n"/>
      <c r="D370" s="1071" t="n"/>
      <c r="E370" s="1071" t="n"/>
      <c r="F370" s="1071" t="n"/>
      <c r="G370" s="1072">
        <f>G360/G137</f>
        <v/>
      </c>
      <c r="H370" s="1071" t="n"/>
      <c r="I370" s="1071" t="n"/>
      <c r="J370" s="1071" t="n"/>
      <c r="K370" s="1071" t="n"/>
      <c r="L370" s="1072">
        <f>L360/L137</f>
        <v/>
      </c>
      <c r="M370" s="1071" t="n"/>
      <c r="N370" s="1071" t="n"/>
      <c r="O370" s="1071" t="n"/>
      <c r="P370" s="1071" t="n"/>
      <c r="Q370" s="1072">
        <f>Q360/Q137</f>
        <v/>
      </c>
      <c r="R370" s="1071" t="n"/>
      <c r="S370" s="1071" t="n"/>
      <c r="T370" s="1071" t="n"/>
      <c r="U370" s="1071" t="n"/>
      <c r="V370" s="1072">
        <f>V360/V137</f>
        <v/>
      </c>
      <c r="W370" s="1071" t="n"/>
      <c r="X370" s="1071" t="n"/>
      <c r="Y370" s="1071" t="n"/>
      <c r="Z370" s="1071" t="n"/>
      <c r="AA370" s="1072">
        <f>AA360/AA137</f>
        <v/>
      </c>
      <c r="AB370" s="1071" t="n"/>
      <c r="AC370" s="1071" t="n"/>
      <c r="AD370" s="1071" t="n"/>
      <c r="AE370" s="1071" t="n"/>
      <c r="AF370" s="1072">
        <f>AF360/AF137</f>
        <v/>
      </c>
      <c r="AG370" s="1071" t="n"/>
      <c r="AH370" s="1071" t="n"/>
      <c r="AI370" s="1071" t="n"/>
      <c r="AJ370" s="1071" t="n"/>
      <c r="AK370" s="1072">
        <f>AK360/AK137</f>
        <v/>
      </c>
      <c r="AL370" s="1071" t="n"/>
      <c r="AM370" s="1071" t="n"/>
      <c r="AN370" s="1071" t="n"/>
      <c r="AO370" s="1071" t="n"/>
      <c r="AP370" s="1072">
        <f>AP360/AP137</f>
        <v/>
      </c>
      <c r="AQ370" s="1071" t="n"/>
      <c r="AR370" s="1071" t="n"/>
      <c r="AS370" s="1071" t="n"/>
      <c r="AT370" s="1071" t="n"/>
      <c r="AU370" s="1072">
        <f>AU360/AU137</f>
        <v/>
      </c>
      <c r="AV370" s="1071" t="n"/>
      <c r="AW370" s="1071" t="n"/>
      <c r="AX370" s="1071" t="n"/>
      <c r="AY370" s="1071" t="n"/>
      <c r="AZ370" s="1072">
        <f>AZ360/AZ137</f>
        <v/>
      </c>
      <c r="BA370" s="1071" t="n"/>
      <c r="BB370" s="1071" t="n"/>
      <c r="BC370" s="1071" t="n"/>
      <c r="BD370" s="1071" t="n"/>
      <c r="BE370" s="1072">
        <f>BE360/BE137</f>
        <v/>
      </c>
      <c r="BF370" s="1071" t="n"/>
      <c r="BG370" s="1071" t="n"/>
      <c r="BH370" s="1071" t="n"/>
      <c r="BI370" s="1071" t="n"/>
      <c r="BJ370" s="1072">
        <f>BJ360/BJ137</f>
        <v/>
      </c>
      <c r="BK370" s="1071" t="n"/>
      <c r="BL370" s="1071" t="n"/>
      <c r="BM370" s="1071" t="n"/>
      <c r="BN370" s="1071" t="n"/>
      <c r="BO370" s="1072">
        <f>BO360/BO137</f>
        <v/>
      </c>
      <c r="BP370" s="1071" t="n"/>
      <c r="BQ370" s="1071" t="n"/>
      <c r="BR370" s="1071" t="n"/>
      <c r="BS370" s="1071" t="n"/>
      <c r="BT370" s="1072">
        <f>BT360/BT137</f>
        <v/>
      </c>
      <c r="BU370" s="1071" t="n"/>
      <c r="BV370" s="1071" t="n"/>
      <c r="BW370" s="1071" t="n"/>
      <c r="BX370" s="1071" t="n"/>
      <c r="BY370" s="1072">
        <f>BY360/BY137</f>
        <v/>
      </c>
      <c r="BZ370" s="1071" t="n"/>
      <c r="CA370" s="1071" t="n"/>
      <c r="CB370" s="1071" t="n"/>
      <c r="CC370" s="1071" t="n"/>
      <c r="CD370" s="1072">
        <f>CD360/CD137</f>
        <v/>
      </c>
      <c r="CE370" s="1071">
        <f>CE360/CE137</f>
        <v/>
      </c>
      <c r="CF370" s="1071">
        <f>CF360/CF137</f>
        <v/>
      </c>
      <c r="CG370" s="1071">
        <f>CG360/CG137</f>
        <v/>
      </c>
      <c r="CH370" s="1071">
        <f>CH360/CH137</f>
        <v/>
      </c>
      <c r="CI370" s="1073">
        <f>CI360/CI137</f>
        <v/>
      </c>
      <c r="CJ370" s="1073">
        <f>CJ360/CJ137</f>
        <v/>
      </c>
      <c r="CK370" s="1073">
        <f>CK360/CK137</f>
        <v/>
      </c>
      <c r="CL370" s="1073">
        <f>CL360/CL137</f>
        <v/>
      </c>
      <c r="CM370" s="1073">
        <f>CM360/CM137</f>
        <v/>
      </c>
      <c r="CN370" s="1071" t="n"/>
      <c r="CO370" s="1071" t="n"/>
      <c r="CP370" s="1071" t="n"/>
      <c r="CQ370" s="693" t="n"/>
    </row>
    <row r="371" ht="16.5" customHeight="1">
      <c r="B371" s="262" t="inlineStr">
        <is>
          <t xml:space="preserve">  P / E (adjusted)</t>
        </is>
      </c>
      <c r="C371" s="1071" t="n"/>
      <c r="D371" s="1071" t="n"/>
      <c r="E371" s="1071" t="n"/>
      <c r="F371" s="1071" t="n"/>
      <c r="G371" s="1091" t="n"/>
      <c r="H371" s="1071" t="n"/>
      <c r="I371" s="1071" t="n"/>
      <c r="J371" s="1071" t="n"/>
      <c r="K371" s="1071" t="n"/>
      <c r="L371" s="1091" t="n"/>
      <c r="M371" s="1071" t="n"/>
      <c r="N371" s="1071" t="n"/>
      <c r="O371" s="1071" t="n"/>
      <c r="P371" s="1071" t="n"/>
      <c r="Q371" s="1091" t="n"/>
      <c r="R371" s="1071" t="n"/>
      <c r="S371" s="1071" t="n"/>
      <c r="T371" s="1071" t="n"/>
      <c r="U371" s="1071" t="n"/>
      <c r="V371" s="1091" t="n"/>
      <c r="W371" s="1071" t="n"/>
      <c r="X371" s="1071" t="n"/>
      <c r="Y371" s="1071" t="n"/>
      <c r="Z371" s="1071" t="n"/>
      <c r="AA371" s="1091" t="n"/>
      <c r="AB371" s="1071" t="n"/>
      <c r="AC371" s="1071" t="n"/>
      <c r="AD371" s="1071" t="n"/>
      <c r="AE371" s="1071" t="n"/>
      <c r="AF371" s="1091" t="n"/>
      <c r="AG371" s="1071" t="n"/>
      <c r="AH371" s="1071" t="n"/>
      <c r="AI371" s="1071" t="n"/>
      <c r="AJ371" s="1071" t="n"/>
      <c r="AK371" s="1091" t="n"/>
      <c r="AL371" s="1071" t="n"/>
      <c r="AM371" s="1071" t="n"/>
      <c r="AN371" s="1071" t="n"/>
      <c r="AO371" s="1071" t="n"/>
      <c r="AP371" s="1091" t="n"/>
      <c r="AQ371" s="1071" t="n"/>
      <c r="AR371" s="1071" t="n"/>
      <c r="AS371" s="1071" t="n"/>
      <c r="AT371" s="1071" t="n"/>
      <c r="AU371" s="1091" t="n"/>
      <c r="AV371" s="1071" t="n"/>
      <c r="AW371" s="1071" t="n"/>
      <c r="AX371" s="1071" t="n"/>
      <c r="AY371" s="1071" t="n"/>
      <c r="AZ371" s="1091" t="n"/>
      <c r="BA371" s="1071" t="n"/>
      <c r="BB371" s="1071" t="n"/>
      <c r="BC371" s="1071" t="n"/>
      <c r="BD371" s="1071" t="n"/>
      <c r="BE371" s="1091">
        <f>IFERROR(BE360/BE156,0)</f>
        <v/>
      </c>
      <c r="BF371" s="1071" t="n"/>
      <c r="BG371" s="1071" t="n"/>
      <c r="BH371" s="1071" t="n"/>
      <c r="BI371" s="1071" t="n"/>
      <c r="BJ371" s="1091">
        <f>IFERROR(BJ360/BJ156,0)</f>
        <v/>
      </c>
      <c r="BK371" s="1071" t="n"/>
      <c r="BL371" s="1071" t="n"/>
      <c r="BM371" s="1071" t="n"/>
      <c r="BN371" s="1071" t="n"/>
      <c r="BO371" s="1091">
        <f>IFERROR(BO360/BO156,0)</f>
        <v/>
      </c>
      <c r="BP371" s="1071" t="n"/>
      <c r="BQ371" s="1071" t="n"/>
      <c r="BR371" s="1071" t="n"/>
      <c r="BS371" s="1071" t="n"/>
      <c r="BT371" s="1091">
        <f>IFERROR(BT360/BT156,0)</f>
        <v/>
      </c>
      <c r="BU371" s="1071" t="n"/>
      <c r="BV371" s="1071" t="n"/>
      <c r="BW371" s="1071" t="n"/>
      <c r="BX371" s="1071" t="n"/>
      <c r="BY371" s="1091">
        <f>IFERROR(BY360/BY156,0)</f>
        <v/>
      </c>
      <c r="BZ371" s="1071" t="n"/>
      <c r="CA371" s="1071" t="n"/>
      <c r="CB371" s="1071" t="n"/>
      <c r="CC371" s="1071" t="n"/>
      <c r="CD371" s="1091">
        <f>IFERROR(CD360/CD156,0)</f>
        <v/>
      </c>
      <c r="CE371" s="1092">
        <f>IFERROR(CE360/CE156,0)</f>
        <v/>
      </c>
      <c r="CF371" s="1092">
        <f>IFERROR(CF360/CF156,0)</f>
        <v/>
      </c>
      <c r="CG371" s="1092">
        <f>IFERROR(CG360/CG156,0)</f>
        <v/>
      </c>
      <c r="CH371" s="1092">
        <f>IFERROR(CH360/CH156,0)</f>
        <v/>
      </c>
      <c r="CI371" s="1092">
        <f>IFERROR(CI360/CI156,0)</f>
        <v/>
      </c>
      <c r="CJ371" s="1092">
        <f>IFERROR(CJ360/CJ156,0)</f>
        <v/>
      </c>
      <c r="CK371" s="1092">
        <f>IFERROR(CK360/CK156,0)</f>
        <v/>
      </c>
      <c r="CL371" s="1092">
        <f>IFERROR(CL360/CL156,0)</f>
        <v/>
      </c>
      <c r="CM371" s="1092">
        <f>IFERROR(CM360/CM156,0)</f>
        <v/>
      </c>
      <c r="CN371" s="1071" t="n"/>
      <c r="CO371" s="1071" t="n"/>
      <c r="CP371" s="1071" t="n"/>
      <c r="CQ371" s="693" t="n"/>
    </row>
    <row r="372" ht="16.5" customHeight="1">
      <c r="B372" s="262" t="inlineStr">
        <is>
          <t xml:space="preserve">  FCF yield</t>
        </is>
      </c>
      <c r="C372" s="974" t="n"/>
      <c r="D372" s="974" t="n"/>
      <c r="E372" s="974" t="n"/>
      <c r="F372" s="974" t="n"/>
      <c r="G372" s="1093">
        <f>G210/G362</f>
        <v/>
      </c>
      <c r="H372" s="974" t="n"/>
      <c r="I372" s="974" t="n"/>
      <c r="J372" s="974" t="n"/>
      <c r="K372" s="974" t="n"/>
      <c r="L372" s="1093">
        <f>L210/L362</f>
        <v/>
      </c>
      <c r="M372" s="974" t="n"/>
      <c r="N372" s="974" t="n"/>
      <c r="O372" s="974" t="n"/>
      <c r="P372" s="974" t="n"/>
      <c r="Q372" s="1093">
        <f>Q210/Q362</f>
        <v/>
      </c>
      <c r="R372" s="974" t="n"/>
      <c r="S372" s="974" t="n"/>
      <c r="T372" s="974" t="n"/>
      <c r="U372" s="974" t="n"/>
      <c r="V372" s="1093">
        <f>V210/V362</f>
        <v/>
      </c>
      <c r="W372" s="974" t="n"/>
      <c r="X372" s="974" t="n"/>
      <c r="Y372" s="974" t="n"/>
      <c r="Z372" s="974" t="n"/>
      <c r="AA372" s="1093">
        <f>AA210/AA362</f>
        <v/>
      </c>
      <c r="AB372" s="974" t="n"/>
      <c r="AC372" s="974" t="n"/>
      <c r="AD372" s="974" t="n"/>
      <c r="AE372" s="974" t="n"/>
      <c r="AF372" s="1093">
        <f>AF210/AF362</f>
        <v/>
      </c>
      <c r="AG372" s="974" t="n"/>
      <c r="AH372" s="974" t="n"/>
      <c r="AI372" s="974" t="n"/>
      <c r="AJ372" s="974" t="n"/>
      <c r="AK372" s="1093">
        <f>AK210/AK362</f>
        <v/>
      </c>
      <c r="AL372" s="974" t="n"/>
      <c r="AM372" s="974" t="n"/>
      <c r="AN372" s="974" t="n"/>
      <c r="AO372" s="974" t="n"/>
      <c r="AP372" s="1093">
        <f>AP210/AP362</f>
        <v/>
      </c>
      <c r="AQ372" s="974" t="n"/>
      <c r="AR372" s="974" t="n"/>
      <c r="AS372" s="974" t="n"/>
      <c r="AT372" s="974" t="n"/>
      <c r="AU372" s="1093">
        <f>AU210/AU362</f>
        <v/>
      </c>
      <c r="AV372" s="974" t="n"/>
      <c r="AW372" s="974" t="n"/>
      <c r="AX372" s="974" t="n"/>
      <c r="AY372" s="974" t="n"/>
      <c r="AZ372" s="1093">
        <f>AZ210/AZ362</f>
        <v/>
      </c>
      <c r="BA372" s="974" t="n"/>
      <c r="BB372" s="974" t="n"/>
      <c r="BC372" s="974" t="n"/>
      <c r="BD372" s="974" t="n"/>
      <c r="BE372" s="1093">
        <f>BE210/BE362</f>
        <v/>
      </c>
      <c r="BF372" s="974" t="n"/>
      <c r="BG372" s="974" t="n"/>
      <c r="BH372" s="974" t="n"/>
      <c r="BI372" s="974" t="n"/>
      <c r="BJ372" s="1093">
        <f>BJ210/BJ362</f>
        <v/>
      </c>
      <c r="BK372" s="974" t="n"/>
      <c r="BL372" s="974" t="n"/>
      <c r="BM372" s="974" t="n"/>
      <c r="BN372" s="974" t="n"/>
      <c r="BO372" s="1093">
        <f>BO210/BO362</f>
        <v/>
      </c>
      <c r="BP372" s="974" t="n"/>
      <c r="BQ372" s="974" t="n"/>
      <c r="BR372" s="974" t="n"/>
      <c r="BS372" s="974" t="n"/>
      <c r="BT372" s="1093">
        <f>BT210/BT362</f>
        <v/>
      </c>
      <c r="BU372" s="974" t="n"/>
      <c r="BV372" s="974" t="n"/>
      <c r="BW372" s="974" t="n"/>
      <c r="BX372" s="974" t="n"/>
      <c r="BY372" s="1093">
        <f>BY210/BY362</f>
        <v/>
      </c>
      <c r="BZ372" s="974" t="n"/>
      <c r="CA372" s="974" t="n"/>
      <c r="CB372" s="974" t="n"/>
      <c r="CC372" s="974" t="n"/>
      <c r="CD372" s="1093">
        <f>CD210/CD362</f>
        <v/>
      </c>
      <c r="CE372" s="1068">
        <f>CE210/CE362</f>
        <v/>
      </c>
      <c r="CF372" s="1068">
        <f>CF210/CF362</f>
        <v/>
      </c>
      <c r="CG372" s="1068">
        <f>CG210/CG362</f>
        <v/>
      </c>
      <c r="CH372" s="1068">
        <f>CH210/CH362</f>
        <v/>
      </c>
      <c r="CI372" s="1068">
        <f>CI210/CI362</f>
        <v/>
      </c>
      <c r="CJ372" s="1068">
        <f>CJ210/CJ362</f>
        <v/>
      </c>
      <c r="CK372" s="1068">
        <f>CK210/CK362</f>
        <v/>
      </c>
      <c r="CL372" s="1068">
        <f>CL210/CL362</f>
        <v/>
      </c>
      <c r="CM372" s="1068">
        <f>CM210/CM362</f>
        <v/>
      </c>
      <c r="CN372" s="974" t="n"/>
      <c r="CO372" s="974" t="n"/>
      <c r="CP372" s="974" t="n"/>
      <c r="CQ372" s="693" t="n"/>
    </row>
    <row r="373" ht="16.5" customHeight="1">
      <c r="B373" s="305" t="inlineStr">
        <is>
          <t xml:space="preserve">  Dividend yield</t>
        </is>
      </c>
      <c r="C373" s="974" t="n"/>
      <c r="D373" s="974" t="n"/>
      <c r="E373" s="974" t="n"/>
      <c r="F373" s="974" t="n"/>
      <c r="G373" s="1094" t="n"/>
      <c r="H373" s="974" t="n"/>
      <c r="I373" s="974" t="n"/>
      <c r="J373" s="974" t="n"/>
      <c r="K373" s="974" t="n"/>
      <c r="L373" s="1094" t="n"/>
      <c r="M373" s="974" t="n"/>
      <c r="N373" s="974" t="n"/>
      <c r="O373" s="974" t="n"/>
      <c r="P373" s="974" t="n"/>
      <c r="Q373" s="1094" t="n"/>
      <c r="R373" s="974" t="n"/>
      <c r="S373" s="974" t="n"/>
      <c r="T373" s="974" t="n"/>
      <c r="U373" s="974" t="n"/>
      <c r="V373" s="1094" t="n"/>
      <c r="W373" s="974" t="n"/>
      <c r="X373" s="974" t="n"/>
      <c r="Y373" s="974" t="n"/>
      <c r="Z373" s="974" t="n"/>
      <c r="AA373" s="1094" t="n"/>
      <c r="AB373" s="974" t="n"/>
      <c r="AC373" s="974" t="n"/>
      <c r="AD373" s="974" t="n"/>
      <c r="AE373" s="974" t="n"/>
      <c r="AF373" s="1094" t="n"/>
      <c r="AG373" s="974" t="n"/>
      <c r="AH373" s="974" t="n"/>
      <c r="AI373" s="974" t="n"/>
      <c r="AJ373" s="974" t="n"/>
      <c r="AK373" s="1094" t="n"/>
      <c r="AL373" s="974" t="n"/>
      <c r="AM373" s="974" t="n"/>
      <c r="AN373" s="974" t="n"/>
      <c r="AO373" s="974" t="n"/>
      <c r="AP373" s="1094" t="n"/>
      <c r="AQ373" s="974" t="n"/>
      <c r="AR373" s="974" t="n"/>
      <c r="AS373" s="974" t="n"/>
      <c r="AT373" s="974" t="n"/>
      <c r="AU373" s="1094" t="n"/>
      <c r="AV373" s="974" t="n"/>
      <c r="AW373" s="974" t="n"/>
      <c r="AX373" s="974" t="n"/>
      <c r="AY373" s="974" t="n"/>
      <c r="AZ373" s="1094" t="n"/>
      <c r="BA373" s="974" t="n"/>
      <c r="BB373" s="974" t="n"/>
      <c r="BC373" s="974" t="n"/>
      <c r="BD373" s="974" t="n"/>
      <c r="BE373" s="1094">
        <f>BE140/BE360</f>
        <v/>
      </c>
      <c r="BF373" s="974" t="n"/>
      <c r="BG373" s="974" t="n"/>
      <c r="BH373" s="974" t="n"/>
      <c r="BI373" s="974" t="n"/>
      <c r="BJ373" s="1094">
        <f>BJ140/BJ360</f>
        <v/>
      </c>
      <c r="BK373" s="974" t="n"/>
      <c r="BL373" s="974" t="n"/>
      <c r="BM373" s="974" t="n"/>
      <c r="BN373" s="974" t="n"/>
      <c r="BO373" s="1094">
        <f>BO140/BO360</f>
        <v/>
      </c>
      <c r="BP373" s="974" t="n"/>
      <c r="BQ373" s="974" t="n"/>
      <c r="BR373" s="974" t="n"/>
      <c r="BS373" s="974" t="n"/>
      <c r="BT373" s="1094">
        <f>BT140/BT360</f>
        <v/>
      </c>
      <c r="BU373" s="974" t="n"/>
      <c r="BV373" s="974" t="n"/>
      <c r="BW373" s="974" t="n"/>
      <c r="BX373" s="974" t="n"/>
      <c r="BY373" s="1094">
        <f>BY140/BY360</f>
        <v/>
      </c>
      <c r="BZ373" s="974" t="n"/>
      <c r="CA373" s="974" t="n"/>
      <c r="CB373" s="974" t="n"/>
      <c r="CC373" s="974" t="n"/>
      <c r="CD373" s="974">
        <f>CD140/CD360</f>
        <v/>
      </c>
      <c r="CE373" s="974" t="n"/>
      <c r="CF373" s="974" t="n"/>
      <c r="CG373" s="974" t="n"/>
      <c r="CH373" s="974" t="n"/>
      <c r="CI373" s="1095">
        <f>CI140/CI360</f>
        <v/>
      </c>
      <c r="CJ373" s="1095">
        <f>CJ140/CJ360</f>
        <v/>
      </c>
      <c r="CK373" s="1095">
        <f>CK140/CK360</f>
        <v/>
      </c>
      <c r="CL373" s="1095">
        <f>CL140/CL360</f>
        <v/>
      </c>
      <c r="CM373" s="1095">
        <f>CM140/CM360</f>
        <v/>
      </c>
      <c r="CN373" s="974" t="n"/>
      <c r="CO373" s="974" t="n"/>
      <c r="CP373" s="974" t="n"/>
      <c r="CQ373" s="693" t="n"/>
    </row>
    <row r="374" ht="16.5" customHeight="1"/>
    <row r="375" ht="16.5" customHeight="1"/>
    <row r="376" ht="16.5" customHeight="1">
      <c r="B376" t="inlineStr">
        <is>
          <t>SEGMENT OPERATIONAL DETAIL — NEW 3-SEGMENT STRUCTURE (FY23 restated, FY24, FY25)</t>
        </is>
      </c>
    </row>
    <row r="377" ht="16.5" customHeight="1">
      <c r="B377" t="inlineStr">
        <is>
          <t>Per-segment financial decomposition tagged in TFI's 40-F Note 'Segment Reporting (Details)'. Values in $M (R-files report $ thousands). FY23 is the restated comparative from the FY24 40-F; FY24-FY25 are from the FY25 40-F. Columns align with BT/BY/CD.</t>
        </is>
      </c>
    </row>
    <row r="378" ht="16.5" customHeight="1"/>
    <row r="379" ht="16.5" customHeight="1"/>
    <row r="380" ht="16.5" customHeight="1">
      <c r="B380" t="inlineStr">
        <is>
          <t>Less-Than-Truckload — Segment Disclosure</t>
        </is>
      </c>
    </row>
    <row r="381" ht="16.5" customHeight="1">
      <c r="B381" t="inlineStr">
        <is>
          <t xml:space="preserve">  Revenue (ex-fuel)</t>
        </is>
      </c>
      <c r="BT381" t="n">
        <v>3236.267</v>
      </c>
      <c r="BY381" t="n">
        <v>3085.727</v>
      </c>
      <c r="CD381" t="n">
        <v>2730.208</v>
      </c>
    </row>
    <row r="382" ht="16.5" customHeight="1">
      <c r="B382" t="inlineStr">
        <is>
          <t xml:space="preserve">  Fuel surcharge</t>
        </is>
      </c>
      <c r="BT382" t="n">
        <v>712.39</v>
      </c>
      <c r="BY382" t="n">
        <v>617.208</v>
      </c>
      <c r="CD382" t="n">
        <v>540.306</v>
      </c>
    </row>
    <row r="383" ht="16.5" customHeight="1">
      <c r="B383" t="inlineStr">
        <is>
          <t xml:space="preserve">  Total revenue</t>
        </is>
      </c>
      <c r="BT383" t="n">
        <v>3948.657</v>
      </c>
      <c r="BY383" t="n">
        <v>3702.935</v>
      </c>
      <c r="CD383" t="n">
        <v>3270.514</v>
      </c>
    </row>
    <row r="384" ht="16.5" customHeight="1">
      <c r="B384" t="inlineStr">
        <is>
          <t xml:space="preserve">  Operating income (loss)</t>
        </is>
      </c>
      <c r="BT384" t="n">
        <v>424.789</v>
      </c>
      <c r="BY384" t="n">
        <v>361.235</v>
      </c>
      <c r="CD384" t="n">
        <v>259.953</v>
      </c>
    </row>
    <row r="385" ht="16.5" customHeight="1">
      <c r="B385" t="inlineStr">
        <is>
          <t xml:space="preserve">  Materials and services expenses</t>
        </is>
      </c>
      <c r="BT385" t="n">
        <v>1700.911</v>
      </c>
      <c r="BY385" t="n">
        <v>1541.476</v>
      </c>
      <c r="CD385" t="n">
        <v>1340.048</v>
      </c>
    </row>
    <row r="386" ht="16.5" customHeight="1">
      <c r="B386" t="inlineStr">
        <is>
          <t xml:space="preserve">  Personnel expenses</t>
        </is>
      </c>
      <c r="BT386" t="n">
        <v>1377.596</v>
      </c>
      <c r="BY386" t="n">
        <v>1360.982</v>
      </c>
      <c r="CD386" t="n">
        <v>1272.225</v>
      </c>
    </row>
    <row r="387" ht="16.5" customHeight="1">
      <c r="B387" t="inlineStr">
        <is>
          <t xml:space="preserve">  Other operating expenses</t>
        </is>
      </c>
      <c r="BT387" t="n">
        <v>259.603</v>
      </c>
      <c r="BY387" t="n">
        <v>222.619</v>
      </c>
      <c r="CD387" t="n">
        <v>193.664</v>
      </c>
    </row>
    <row r="388" ht="16.5" customHeight="1">
      <c r="B388" t="inlineStr">
        <is>
          <t xml:space="preserve">  Depreciation and amortization</t>
        </is>
      </c>
      <c r="BT388" t="n">
        <v>198.754</v>
      </c>
      <c r="BY388" t="n">
        <v>213.524</v>
      </c>
      <c r="CD388" t="n">
        <v>200.461</v>
      </c>
    </row>
    <row r="389" ht="16.5" customHeight="1">
      <c r="B389" t="inlineStr">
        <is>
          <t xml:space="preserve">  Gain (loss) on sale of land and buildings</t>
        </is>
      </c>
      <c r="CD389" t="n">
        <v>0.08699999999999999</v>
      </c>
    </row>
    <row r="390" ht="16.5" customHeight="1">
      <c r="B390" t="inlineStr">
        <is>
          <t xml:space="preserve">  Gain on sale of held-for-sale assets</t>
        </is>
      </c>
      <c r="BT390" t="n">
        <v>10.546</v>
      </c>
      <c r="BY390" t="n">
        <v>-2.549</v>
      </c>
      <c r="CD390" t="n">
        <v>-4.139</v>
      </c>
    </row>
    <row r="391" ht="16.5" customHeight="1">
      <c r="B391" t="inlineStr">
        <is>
          <t xml:space="preserve">  Intangible assets (BS, period-end)</t>
        </is>
      </c>
      <c r="BT391" t="n">
        <v>378.623</v>
      </c>
      <c r="BY391" t="n">
        <v>396.533</v>
      </c>
      <c r="CD391" t="n">
        <v>407.692</v>
      </c>
    </row>
    <row r="392" ht="16.5" customHeight="1">
      <c r="B392" t="inlineStr">
        <is>
          <t xml:space="preserve">  Total assets (BS, period-end)</t>
        </is>
      </c>
      <c r="BT392" t="n">
        <v>2688.854</v>
      </c>
      <c r="BY392" t="n">
        <v>2618.714</v>
      </c>
      <c r="CD392" t="n">
        <v>2491.628</v>
      </c>
    </row>
    <row r="393" ht="16.5" customHeight="1">
      <c r="B393" t="inlineStr">
        <is>
          <t xml:space="preserve">  Total liabilities (BS, period-end)</t>
        </is>
      </c>
      <c r="BT393" t="n">
        <v>878.751</v>
      </c>
      <c r="BY393" t="n">
        <v>802.778</v>
      </c>
      <c r="CD393" t="n">
        <v>759.886</v>
      </c>
    </row>
    <row r="394" ht="16.5" customHeight="1">
      <c r="B394" t="inlineStr">
        <is>
          <t xml:space="preserve">  Additions to PP&amp;E (capex)</t>
        </is>
      </c>
      <c r="BT394" t="n">
        <v>239.327</v>
      </c>
      <c r="BY394" t="n">
        <v>188.055</v>
      </c>
      <c r="CD394" t="n">
        <v>98.20099999999999</v>
      </c>
      <c r="CI394" s="717" t="n"/>
      <c r="CJ394" s="717" t="n"/>
      <c r="CK394" s="717" t="n"/>
      <c r="CL394" s="717" t="n"/>
      <c r="CM394" s="717" t="n"/>
    </row>
    <row r="396">
      <c r="B396" t="inlineStr">
        <is>
          <t>Truckload — Segment Disclosure</t>
        </is>
      </c>
    </row>
    <row r="397">
      <c r="B397" t="inlineStr">
        <is>
          <t xml:space="preserve">  Revenue (ex-fuel)</t>
        </is>
      </c>
      <c r="BT397" t="n">
        <v>1625.592</v>
      </c>
      <c r="BY397" t="n">
        <v>2551.54</v>
      </c>
      <c r="CD397" t="n">
        <v>2733.421</v>
      </c>
    </row>
    <row r="398">
      <c r="B398" t="inlineStr">
        <is>
          <t xml:space="preserve">  Fuel surcharge</t>
        </is>
      </c>
      <c r="BT398" t="n">
        <v>310.446</v>
      </c>
      <c r="BY398" t="n">
        <v>385.765</v>
      </c>
      <c r="CD398" t="n">
        <v>363.81</v>
      </c>
    </row>
    <row r="399">
      <c r="B399" t="inlineStr">
        <is>
          <t xml:space="preserve">  Total revenue</t>
        </is>
      </c>
      <c r="BT399" t="n">
        <v>1936.038</v>
      </c>
      <c r="BY399" t="n">
        <v>2937.305</v>
      </c>
      <c r="CD399" t="n">
        <v>3097.231</v>
      </c>
      <c r="CK399" s="289" t="n"/>
    </row>
    <row r="400">
      <c r="B400" t="inlineStr">
        <is>
          <t xml:space="preserve">  Operating income (loss)</t>
        </is>
      </c>
      <c r="BT400" t="n">
        <v>237.393</v>
      </c>
      <c r="BY400" t="n">
        <v>252.434</v>
      </c>
      <c r="CD400" t="n">
        <v>220.145</v>
      </c>
      <c r="CK400" s="307" t="n"/>
    </row>
    <row r="401">
      <c r="B401" t="inlineStr">
        <is>
          <t xml:space="preserve">  Materials and services expenses</t>
        </is>
      </c>
      <c r="BT401" t="n">
        <v>992.788</v>
      </c>
      <c r="BY401" t="n">
        <v>1511.418</v>
      </c>
      <c r="CD401" t="n">
        <v>1610.728</v>
      </c>
      <c r="CK401" s="308" t="n"/>
    </row>
    <row r="402">
      <c r="B402" t="inlineStr">
        <is>
          <t xml:space="preserve">  Personnel expenses</t>
        </is>
      </c>
      <c r="BT402" t="n">
        <v>473.948</v>
      </c>
      <c r="BY402" t="n">
        <v>783.894</v>
      </c>
      <c r="CD402" t="n">
        <v>830.124</v>
      </c>
      <c r="CK402" s="289" t="n"/>
    </row>
    <row r="403">
      <c r="B403" t="inlineStr">
        <is>
          <t xml:space="preserve">  Other operating expenses</t>
        </is>
      </c>
      <c r="BT403" t="n">
        <v>55.42</v>
      </c>
      <c r="BY403" t="n">
        <v>94.83499999999999</v>
      </c>
      <c r="CD403" t="n">
        <v>112.62</v>
      </c>
      <c r="CK403" s="289" t="n"/>
    </row>
    <row r="404">
      <c r="B404" t="inlineStr">
        <is>
          <t xml:space="preserve">  Depreciation and amortization</t>
        </is>
      </c>
      <c r="BT404" t="n">
        <v>194.761</v>
      </c>
      <c r="BY404" t="n">
        <v>307.244</v>
      </c>
      <c r="CD404" t="n">
        <v>346.025</v>
      </c>
      <c r="CK404" s="289" t="n"/>
    </row>
    <row r="405">
      <c r="B405" t="inlineStr">
        <is>
          <t xml:space="preserve">  Gain (loss) on sale of land and buildings</t>
        </is>
      </c>
      <c r="CK405" s="289" t="n"/>
    </row>
    <row r="406">
      <c r="B406" t="inlineStr">
        <is>
          <t xml:space="preserve">  Gain on sale of held-for-sale assets</t>
        </is>
      </c>
      <c r="BT406" t="n">
        <v>3.949</v>
      </c>
      <c r="BY406" t="n">
        <v>2.321</v>
      </c>
      <c r="CD406" t="n">
        <v>9.521000000000001</v>
      </c>
      <c r="CK406" s="289" t="n"/>
    </row>
    <row r="407">
      <c r="B407" t="inlineStr">
        <is>
          <t xml:space="preserve">  Intangible assets (BS, period-end)</t>
        </is>
      </c>
      <c r="BT407" t="n">
        <v>857.6660000000001</v>
      </c>
      <c r="BY407" t="n">
        <v>1511.355</v>
      </c>
      <c r="CD407" t="n">
        <v>1521.006</v>
      </c>
      <c r="CK407" s="289" t="n"/>
    </row>
    <row r="408">
      <c r="B408" t="inlineStr">
        <is>
          <t xml:space="preserve">  Total assets (BS, period-end)</t>
        </is>
      </c>
      <c r="BT408" t="n">
        <v>2004.163</v>
      </c>
      <c r="BY408" t="n">
        <v>3393.992</v>
      </c>
      <c r="CD408" t="n">
        <v>3374.439</v>
      </c>
      <c r="CK408" s="289" t="n"/>
    </row>
    <row r="409">
      <c r="B409" t="inlineStr">
        <is>
          <t xml:space="preserve">  Total liabilities (BS, period-end)</t>
        </is>
      </c>
      <c r="BT409" t="n">
        <v>462.812</v>
      </c>
      <c r="BY409" t="n">
        <v>833.332</v>
      </c>
      <c r="CD409" t="n">
        <v>792.208</v>
      </c>
      <c r="CK409" s="289" t="n"/>
    </row>
    <row r="410">
      <c r="B410" t="inlineStr">
        <is>
          <t xml:space="preserve">  Additions to PP&amp;E (capex)</t>
        </is>
      </c>
      <c r="BT410" t="n">
        <v>115.048</v>
      </c>
      <c r="BY410" t="n">
        <v>196.596</v>
      </c>
      <c r="CD410" t="n">
        <v>165.111</v>
      </c>
      <c r="CK410" s="289" t="n"/>
    </row>
    <row r="411">
      <c r="CK411" s="289" t="n"/>
    </row>
    <row r="412">
      <c r="B412" t="inlineStr">
        <is>
          <t>Logistics — Segment Disclosure</t>
        </is>
      </c>
      <c r="CK412" s="289" t="n"/>
    </row>
    <row r="413">
      <c r="B413" t="inlineStr">
        <is>
          <t xml:space="preserve">  Revenue (ex-fuel)</t>
        </is>
      </c>
      <c r="BT413" t="n">
        <v>1604.878</v>
      </c>
      <c r="BY413" t="n">
        <v>1720.976</v>
      </c>
      <c r="CD413" t="n">
        <v>1503.929</v>
      </c>
      <c r="CK413" s="289" t="n"/>
    </row>
    <row r="414">
      <c r="B414" t="inlineStr">
        <is>
          <t xml:space="preserve">  Fuel surcharge</t>
        </is>
      </c>
      <c r="BT414" t="n">
        <v>92.13800000000001</v>
      </c>
      <c r="BY414" t="n">
        <v>100.735</v>
      </c>
      <c r="CD414" t="n">
        <v>78.057</v>
      </c>
      <c r="CK414" s="289" t="n"/>
    </row>
    <row r="415" ht="21.95" customHeight="1">
      <c r="B415" t="inlineStr">
        <is>
          <t xml:space="preserve">  Total revenue</t>
        </is>
      </c>
      <c r="BT415" t="n">
        <v>1697.016</v>
      </c>
      <c r="BY415" t="n">
        <v>1821.711</v>
      </c>
      <c r="CD415" t="n">
        <v>1581.986</v>
      </c>
      <c r="CK415" s="289" t="n"/>
    </row>
    <row r="416">
      <c r="B416" t="inlineStr">
        <is>
          <t xml:space="preserve">  Operating income (loss)</t>
        </is>
      </c>
      <c r="BT416" t="n">
        <v>160.112</v>
      </c>
      <c r="BY416" t="n">
        <v>182.364</v>
      </c>
      <c r="CD416" t="n">
        <v>131.279</v>
      </c>
      <c r="CK416" s="289" t="n"/>
    </row>
    <row r="417">
      <c r="B417" t="inlineStr">
        <is>
          <t xml:space="preserve">  Materials and services expenses</t>
        </is>
      </c>
      <c r="BT417" t="n">
        <v>1194.534</v>
      </c>
      <c r="BY417" t="n">
        <v>1216.026</v>
      </c>
      <c r="CD417" t="n">
        <v>1049.527</v>
      </c>
      <c r="CK417" s="289" t="n"/>
    </row>
    <row r="418">
      <c r="B418" t="inlineStr">
        <is>
          <t xml:space="preserve">  Personnel expenses</t>
        </is>
      </c>
      <c r="BT418" t="n">
        <v>191.146</v>
      </c>
      <c r="BY418" t="n">
        <v>267.569</v>
      </c>
      <c r="CD418" t="n">
        <v>242.246</v>
      </c>
      <c r="CK418" s="289" t="n"/>
    </row>
    <row r="419">
      <c r="B419" t="inlineStr">
        <is>
          <t xml:space="preserve">  Other operating expenses</t>
        </is>
      </c>
      <c r="BT419" t="n">
        <v>103.715</v>
      </c>
      <c r="BY419" t="n">
        <v>95.438</v>
      </c>
      <c r="CD419" t="n">
        <v>96.538</v>
      </c>
      <c r="CK419" s="289" t="n"/>
    </row>
    <row r="420">
      <c r="B420" t="inlineStr">
        <is>
          <t xml:space="preserve">  Depreciation and amortization</t>
        </is>
      </c>
      <c r="BT420" t="n">
        <v>47.914</v>
      </c>
      <c r="BY420" t="n">
        <v>60.419</v>
      </c>
      <c r="CD420" t="n">
        <v>62.74</v>
      </c>
      <c r="CK420" s="289" t="n"/>
    </row>
    <row r="421">
      <c r="B421" t="inlineStr">
        <is>
          <t xml:space="preserve">  Gain (loss) on sale of land and buildings</t>
        </is>
      </c>
      <c r="CD421" t="n">
        <v>0.005</v>
      </c>
      <c r="CK421" s="289" t="n"/>
    </row>
    <row r="422">
      <c r="B422" t="inlineStr">
        <is>
          <t xml:space="preserve">  Gain on sale of held-for-sale assets</t>
        </is>
      </c>
      <c r="BT422" t="n">
        <v>0.226</v>
      </c>
      <c r="CD422" t="n">
        <v>0.036</v>
      </c>
      <c r="CK422" s="289" t="n"/>
    </row>
    <row r="423">
      <c r="B423" t="inlineStr">
        <is>
          <t xml:space="preserve">  Intangible assets (BS, period-end)</t>
        </is>
      </c>
      <c r="BT423" t="n">
        <v>782.923</v>
      </c>
      <c r="BY423" t="n">
        <v>734.736</v>
      </c>
      <c r="CD423" t="n">
        <v>933.876</v>
      </c>
      <c r="CK423" s="289" t="n"/>
    </row>
    <row r="424">
      <c r="B424" t="inlineStr">
        <is>
          <t xml:space="preserve">  Total assets (BS, period-end)</t>
        </is>
      </c>
      <c r="BT424" t="n">
        <v>1140.174</v>
      </c>
      <c r="BY424" t="n">
        <v>1098.617</v>
      </c>
      <c r="CD424" t="n">
        <v>1379.429</v>
      </c>
      <c r="CK424" s="289" t="n"/>
    </row>
    <row r="425">
      <c r="B425" t="inlineStr">
        <is>
          <t xml:space="preserve">  Total liabilities (BS, period-end)</t>
        </is>
      </c>
      <c r="BT425" t="n">
        <v>336.875</v>
      </c>
      <c r="BY425" t="n">
        <v>390.525</v>
      </c>
      <c r="CD425" t="n">
        <v>428.414</v>
      </c>
      <c r="CK425" s="289" t="n"/>
    </row>
    <row r="426">
      <c r="B426" t="inlineStr">
        <is>
          <t xml:space="preserve">  Additions to PP&amp;E (capex)</t>
        </is>
      </c>
      <c r="BT426" t="n">
        <v>5.561</v>
      </c>
      <c r="BY426" t="n">
        <v>7.92</v>
      </c>
      <c r="CD426" t="n">
        <v>9.151</v>
      </c>
      <c r="CK426" s="289" t="n"/>
    </row>
    <row r="427">
      <c r="CK427" s="289" t="n"/>
    </row>
    <row r="428">
      <c r="CK428" s="289" t="n"/>
    </row>
    <row r="429" ht="21.95" customHeight="1">
      <c r="CK429" s="1096" t="n"/>
    </row>
    <row r="430">
      <c r="CK430" s="289" t="n"/>
    </row>
    <row r="431">
      <c r="CK431" s="289" t="n"/>
    </row>
    <row r="432">
      <c r="B432" t="inlineStr">
        <is>
          <t>Q1/26 OPERATIONAL BASELINE — disclosed in Q1/26 MD&amp;A (exhibit 99.2 of 6-K filed 2026-04-27)</t>
        </is>
      </c>
      <c r="CK432" s="289" t="n"/>
    </row>
    <row r="433">
      <c r="B433" t="inlineStr">
        <is>
          <t>Three months ended March 31, 2026 vs March 31, 2025. Values as reported by TFI; not annualized.</t>
        </is>
      </c>
      <c r="CK433" s="289" t="n"/>
    </row>
    <row r="434" ht="21.95" customHeight="1">
      <c r="CK434" s="289" t="n"/>
    </row>
    <row r="435">
      <c r="B435" t="inlineStr">
        <is>
          <t>Metric</t>
        </is>
      </c>
      <c r="BT435" t="inlineStr">
        <is>
          <t>Q1/25</t>
        </is>
      </c>
      <c r="BY435" t="inlineStr">
        <is>
          <t>Q1/26</t>
        </is>
      </c>
      <c r="CK435" s="289" t="n"/>
    </row>
    <row r="436">
      <c r="B436" t="inlineStr">
        <is>
          <t>Less-Than-Truckload — Q1 Operational KPIs</t>
        </is>
      </c>
      <c r="CK436" s="289" t="n"/>
    </row>
    <row r="437">
      <c r="B437" t="inlineStr">
        <is>
          <t xml:space="preserve">  Revenue per cwt ex-fuel ($)</t>
        </is>
      </c>
      <c r="BT437" t="n">
        <v>20.16</v>
      </c>
      <c r="BY437" t="n">
        <v>19.68</v>
      </c>
      <c r="CK437" s="289" t="n"/>
    </row>
    <row r="438">
      <c r="B438" t="inlineStr">
        <is>
          <t xml:space="preserve">  Revenue per shipment ex-fuel ($)</t>
        </is>
      </c>
      <c r="BT438" t="n">
        <v>310.07</v>
      </c>
      <c r="BY438" t="n">
        <v>303.36</v>
      </c>
      <c r="CK438" s="289" t="n"/>
    </row>
    <row r="439" ht="21.95" customHeight="1">
      <c r="B439" t="inlineStr">
        <is>
          <t xml:space="preserve">  Revenue per cwt incl fuel ($)</t>
        </is>
      </c>
      <c r="BT439" t="n">
        <v>24.24</v>
      </c>
      <c r="BY439" t="n">
        <v>24.04</v>
      </c>
      <c r="CK439" s="289" t="n"/>
    </row>
    <row r="440">
      <c r="B440" t="inlineStr">
        <is>
          <t xml:space="preserve">  Revenue per shipment incl fuel ($)</t>
        </is>
      </c>
      <c r="BT440" t="n">
        <v>373.28</v>
      </c>
      <c r="BY440" t="n">
        <v>370.64</v>
      </c>
    </row>
    <row r="441">
      <c r="B441" t="inlineStr">
        <is>
          <t xml:space="preserve">  Tonnage (thousands of tons)</t>
        </is>
      </c>
      <c r="BT441" t="n">
        <v>1351</v>
      </c>
      <c r="BY441" t="n">
        <v>1342</v>
      </c>
    </row>
    <row r="442">
      <c r="B442" t="inlineStr">
        <is>
          <t xml:space="preserve">  Shipments (thousands)</t>
        </is>
      </c>
      <c r="BT442" t="n">
        <v>1757</v>
      </c>
      <c r="BY442" t="n">
        <v>1741</v>
      </c>
    </row>
    <row r="443">
      <c r="B443" t="inlineStr">
        <is>
          <t xml:space="preserve">  Avg weight per shipment (lbs)</t>
        </is>
      </c>
      <c r="BT443" t="n">
        <v>1538</v>
      </c>
      <c r="BY443" t="n">
        <v>1542</v>
      </c>
    </row>
    <row r="444">
      <c r="B444" t="inlineStr">
        <is>
          <t xml:space="preserve">  Avg length of haul (miles)</t>
        </is>
      </c>
      <c r="BT444" t="n">
        <v>1069</v>
      </c>
      <c r="BY444" t="n">
        <v>1064</v>
      </c>
    </row>
    <row r="445">
      <c r="B445" t="inlineStr">
        <is>
          <t xml:space="preserve">  Packages (thousands, P&amp;C ops)</t>
        </is>
      </c>
      <c r="BT445" t="n">
        <v>16633</v>
      </c>
      <c r="BY445" t="n">
        <v>15667</v>
      </c>
    </row>
    <row r="446">
      <c r="B446" t="inlineStr">
        <is>
          <t xml:space="preserve">  Avg weight per package (lbs, P&amp;C)</t>
        </is>
      </c>
      <c r="BT446" t="n">
        <v>13.59</v>
      </c>
      <c r="BY446" t="n">
        <v>15.06</v>
      </c>
    </row>
    <row r="447">
      <c r="B447" t="inlineStr">
        <is>
          <t xml:space="preserve">  Cargo claims (% revenue)</t>
        </is>
      </c>
      <c r="BT447" t="n">
        <v>0.006</v>
      </c>
      <c r="BY447" t="n">
        <v>0.006</v>
      </c>
    </row>
    <row r="448">
      <c r="B448" t="inlineStr">
        <is>
          <t xml:space="preserve">  Vehicle count, average</t>
        </is>
      </c>
      <c r="BT448" t="n">
        <v>6174</v>
      </c>
      <c r="BY448" t="n">
        <v>5627</v>
      </c>
    </row>
    <row r="449">
      <c r="B449" t="inlineStr">
        <is>
          <t xml:space="preserve">  Truck age (years)</t>
        </is>
      </c>
      <c r="BT449" t="n">
        <v>4.3</v>
      </c>
      <c r="BY449" t="n">
        <v>4.3</v>
      </c>
    </row>
    <row r="450">
      <c r="B450" t="inlineStr">
        <is>
          <t xml:space="preserve">  Business days</t>
        </is>
      </c>
      <c r="BT450" t="n">
        <v>63</v>
      </c>
      <c r="BY450" t="n">
        <v>63</v>
      </c>
    </row>
    <row r="451">
      <c r="B451" t="inlineStr">
        <is>
          <t xml:space="preserve">  Adjusted Operating Ratio (%)</t>
        </is>
      </c>
      <c r="BT451" t="n">
        <v>0.931</v>
      </c>
      <c r="BY451" t="n">
        <v>0.953</v>
      </c>
    </row>
    <row r="452">
      <c r="B452" t="inlineStr">
        <is>
          <t xml:space="preserve">  Return on invested capital (%)</t>
        </is>
      </c>
      <c r="BT452" t="n">
        <v>0.144</v>
      </c>
      <c r="BY452" t="n">
        <v>0.116</v>
      </c>
    </row>
    <row r="454">
      <c r="B454" t="inlineStr">
        <is>
          <t>Truckload — Q1 Operational KPIs</t>
        </is>
      </c>
    </row>
    <row r="455">
      <c r="B455" t="inlineStr">
        <is>
          <t xml:space="preserve">  Adjusted operating ratio (%)</t>
        </is>
      </c>
      <c r="BT455" t="n">
        <v>0.9370000000000001</v>
      </c>
      <c r="BY455" t="n">
        <v>0.927</v>
      </c>
    </row>
    <row r="456">
      <c r="B456" t="inlineStr">
        <is>
          <t xml:space="preserve">  Trucking revenue ex-fuel ($ thousands)</t>
        </is>
      </c>
      <c r="BT456" t="n">
        <v>533372</v>
      </c>
      <c r="BY456" t="n">
        <v>533836</v>
      </c>
    </row>
    <row r="457">
      <c r="B457" t="inlineStr">
        <is>
          <t xml:space="preserve">  Brokerage revenue ($ thousands)</t>
        </is>
      </c>
      <c r="BT457" t="n">
        <v>129484</v>
      </c>
      <c r="BY457" t="n">
        <v>138915</v>
      </c>
    </row>
    <row r="458">
      <c r="B458" t="inlineStr">
        <is>
          <t xml:space="preserve">  Revenue per truck per week ex-fuel ($)</t>
        </is>
      </c>
      <c r="BT458" t="n">
        <v>4044</v>
      </c>
      <c r="BY458" t="n">
        <v>4390</v>
      </c>
    </row>
    <row r="459">
      <c r="B459" t="inlineStr">
        <is>
          <t xml:space="preserve">  Revenue per truck per week incl fuel ($)</t>
        </is>
      </c>
      <c r="BT459" t="n">
        <v>4753</v>
      </c>
      <c r="BW459" s="305" t="n"/>
      <c r="BY459" t="n">
        <v>5141</v>
      </c>
    </row>
    <row r="460">
      <c r="B460" t="inlineStr">
        <is>
          <t xml:space="preserve">  Truck count, average</t>
        </is>
      </c>
      <c r="BT460" t="n">
        <v>7469</v>
      </c>
      <c r="BW460" s="305" t="n"/>
      <c r="BY460" t="n">
        <v>6939</v>
      </c>
    </row>
    <row r="461">
      <c r="B461" t="inlineStr">
        <is>
          <t xml:space="preserve">  Trailer count, average</t>
        </is>
      </c>
      <c r="BT461" t="n">
        <v>23261</v>
      </c>
      <c r="BW461" s="305" t="n"/>
      <c r="BY461" t="n">
        <v>21298</v>
      </c>
    </row>
    <row r="462">
      <c r="B462" t="inlineStr">
        <is>
          <t xml:space="preserve">  Truck age (years)</t>
        </is>
      </c>
      <c r="BT462" t="n">
        <v>3.2</v>
      </c>
      <c r="BW462" s="305" t="n"/>
      <c r="BY462" t="n">
        <v>3.2</v>
      </c>
    </row>
    <row r="463">
      <c r="B463" t="inlineStr">
        <is>
          <t xml:space="preserve">  Trailer age (years)</t>
        </is>
      </c>
      <c r="BT463" t="n">
        <v>10.8</v>
      </c>
      <c r="BW463" s="305" t="n"/>
      <c r="BY463" t="n">
        <v>11.3</v>
      </c>
    </row>
    <row r="464">
      <c r="B464" t="inlineStr">
        <is>
          <t xml:space="preserve">  Number of owner operators, average</t>
        </is>
      </c>
      <c r="BT464" t="n">
        <v>2661</v>
      </c>
      <c r="BW464" s="305" t="n"/>
      <c r="BY464" t="n">
        <v>2415</v>
      </c>
    </row>
    <row r="465">
      <c r="B465" t="inlineStr">
        <is>
          <t xml:space="preserve">  Return on invested capital (%)</t>
        </is>
      </c>
      <c r="BT465" t="n">
        <v>0.067</v>
      </c>
      <c r="BW465" s="305" t="n"/>
      <c r="BY465" t="n">
        <v>0.06</v>
      </c>
    </row>
    <row r="466">
      <c r="BW466" s="305" t="n"/>
    </row>
    <row r="467">
      <c r="B467" t="inlineStr">
        <is>
          <t>Logistics — Q1 Operational KPIs</t>
        </is>
      </c>
      <c r="BW467" s="305" t="n"/>
    </row>
    <row r="468">
      <c r="B468" t="inlineStr">
        <is>
          <t xml:space="preserve">  Operating margin (%)</t>
        </is>
      </c>
      <c r="BT468" t="n">
        <v>0.081</v>
      </c>
      <c r="BW468" s="305" t="n"/>
      <c r="BY468" t="n">
        <v>0.089</v>
      </c>
    </row>
    <row r="469">
      <c r="B469" t="inlineStr">
        <is>
          <t xml:space="preserve">  Adjusted EBITDA margin (%)</t>
        </is>
      </c>
      <c r="BT469" t="n">
        <v>0.122</v>
      </c>
      <c r="BW469" s="305" t="n"/>
      <c r="BY469" t="n">
        <v>0.141</v>
      </c>
    </row>
    <row r="470">
      <c r="B470" t="inlineStr">
        <is>
          <t xml:space="preserve">  Return on invested capital (%)</t>
        </is>
      </c>
      <c r="BT470" t="n">
        <v>0.17</v>
      </c>
      <c r="BW470" s="305" t="n"/>
      <c r="BY470" t="n">
        <v>0.124</v>
      </c>
    </row>
    <row r="471">
      <c r="B471" t="inlineStr">
        <is>
          <t xml:space="preserve">  US share of segment revenue (%)</t>
        </is>
      </c>
      <c r="BT471" t="n">
        <v>0.83</v>
      </c>
      <c r="BW471" s="305" t="n"/>
      <c r="BY471" t="n">
        <v>0.8100000000000001</v>
      </c>
    </row>
    <row r="472">
      <c r="B472" t="inlineStr">
        <is>
          <t xml:space="preserve">  Canada share of segment revenue (%)</t>
        </is>
      </c>
      <c r="BT472" t="n">
        <v>0.17</v>
      </c>
      <c r="BW472" s="305" t="n"/>
      <c r="BY472" t="n">
        <v>0.19</v>
      </c>
    </row>
    <row r="473">
      <c r="BW473" s="305" t="n"/>
    </row>
    <row r="474">
      <c r="BW474" s="305" t="n"/>
    </row>
    <row r="475">
      <c r="BW475" s="305" t="n"/>
    </row>
    <row r="476">
      <c r="BW476" s="305" t="n"/>
    </row>
    <row r="477">
      <c r="BW477" s="305" t="n"/>
    </row>
    <row r="478">
      <c r="BW478" s="305" t="n"/>
    </row>
    <row r="479">
      <c r="BW479" s="305" t="n"/>
    </row>
    <row r="480">
      <c r="BW480" s="305" t="n"/>
    </row>
    <row r="481">
      <c r="BW481" s="305" t="n"/>
    </row>
    <row r="482">
      <c r="BW482" s="305" t="n"/>
    </row>
    <row r="483">
      <c r="BW483" s="305" t="n"/>
    </row>
    <row r="484">
      <c r="BW484" s="305" t="n"/>
    </row>
    <row r="485">
      <c r="BW485" s="305" t="n"/>
    </row>
    <row r="486">
      <c r="BW486" s="305" t="n"/>
    </row>
    <row r="487">
      <c r="BW487" s="305" t="n"/>
    </row>
    <row r="488">
      <c r="B488" t="inlineStr">
        <is>
          <t>OPERATIONAL DRIVER FORECAST (FY26E-FY30E) — volume × yield → Sales y/y%</t>
        </is>
      </c>
      <c r="BW488" s="305" t="n"/>
    </row>
    <row r="489">
      <c r="B489" t="inlineStr">
        <is>
          <t>Per segment × scenario. Implied Sales y/y% = (1+volume)(1+yield)-1. Feeds the scenario assumption table at CT57:CY85, which drives the current-block segment forecast at columns CI-CM.</t>
        </is>
      </c>
      <c r="BW489" s="305" t="n"/>
    </row>
    <row r="491">
      <c r="B491" t="inlineStr">
        <is>
          <t>Driver</t>
        </is>
      </c>
      <c r="C491" t="inlineStr">
        <is>
          <t>FY26E</t>
        </is>
      </c>
      <c r="D491" t="inlineStr">
        <is>
          <t>FY27E</t>
        </is>
      </c>
      <c r="E491" t="inlineStr">
        <is>
          <t>FY28E</t>
        </is>
      </c>
      <c r="F491" t="inlineStr">
        <is>
          <t>FY29E</t>
        </is>
      </c>
      <c r="G491" t="inlineStr">
        <is>
          <t>FY30E</t>
        </is>
      </c>
    </row>
    <row r="492">
      <c r="B492" t="inlineStr">
        <is>
          <t>Less-Than-Truckload</t>
        </is>
      </c>
    </row>
    <row r="493">
      <c r="B493" t="inlineStr">
        <is>
          <t xml:space="preserve">  Base case</t>
        </is>
      </c>
    </row>
    <row r="494">
      <c r="B494" t="inlineStr">
        <is>
          <t xml:space="preserve">    Volume y/y %</t>
        </is>
      </c>
      <c r="C494" t="n">
        <v>-0.01</v>
      </c>
      <c r="D494" t="n">
        <v>0.015</v>
      </c>
      <c r="E494" t="n">
        <v>0.025</v>
      </c>
      <c r="F494" t="n">
        <v>0.025</v>
      </c>
      <c r="G494" t="n">
        <v>0.02</v>
      </c>
    </row>
    <row r="495">
      <c r="B495" t="inlineStr">
        <is>
          <t xml:space="preserve">    Yield y/y %</t>
        </is>
      </c>
      <c r="C495" t="n">
        <v>-0.01</v>
      </c>
      <c r="D495" t="n">
        <v>0.02</v>
      </c>
      <c r="E495" t="n">
        <v>0.025</v>
      </c>
      <c r="F495" t="n">
        <v>0.025</v>
      </c>
      <c r="G495" t="n">
        <v>0.025</v>
      </c>
    </row>
    <row r="496">
      <c r="B496" t="inlineStr">
        <is>
          <t xml:space="preserve">    Implied Sales y/y %</t>
        </is>
      </c>
      <c r="C496">
        <f>(1+C494)*(1+C495)-1</f>
        <v/>
      </c>
      <c r="D496">
        <f>(1+D494)*(1+D495)-1</f>
        <v/>
      </c>
      <c r="E496">
        <f>(1+E494)*(1+E495)-1</f>
        <v/>
      </c>
      <c r="F496">
        <f>(1+F494)*(1+F495)-1</f>
        <v/>
      </c>
      <c r="G496">
        <f>(1+G494)*(1+G495)-1</f>
        <v/>
      </c>
    </row>
    <row r="497">
      <c r="B497" t="inlineStr">
        <is>
          <t xml:space="preserve">    EBIT margin %</t>
        </is>
      </c>
      <c r="C497" t="n">
        <v>0.06</v>
      </c>
      <c r="D497" t="n">
        <v>0.09</v>
      </c>
      <c r="E497" t="n">
        <v>0.115</v>
      </c>
      <c r="F497" t="n">
        <v>0.135</v>
      </c>
      <c r="G497" t="n">
        <v>0.15</v>
      </c>
    </row>
    <row r="498">
      <c r="B498" t="inlineStr">
        <is>
          <t xml:space="preserve">  Bull case</t>
        </is>
      </c>
    </row>
    <row r="499">
      <c r="B499" t="inlineStr">
        <is>
          <t xml:space="preserve">    Volume y/y %</t>
        </is>
      </c>
      <c r="C499" t="n">
        <v>0.02</v>
      </c>
      <c r="D499" t="n">
        <v>0.04</v>
      </c>
      <c r="E499" t="n">
        <v>0.04</v>
      </c>
      <c r="F499" t="n">
        <v>0.035</v>
      </c>
      <c r="G499" t="n">
        <v>0.03</v>
      </c>
    </row>
    <row r="500">
      <c r="B500" t="inlineStr">
        <is>
          <t xml:space="preserve">    Yield y/y %</t>
        </is>
      </c>
      <c r="C500" t="n">
        <v>0.01</v>
      </c>
      <c r="D500" t="n">
        <v>0.035</v>
      </c>
      <c r="E500" t="n">
        <v>0.04</v>
      </c>
      <c r="F500" t="n">
        <v>0.035</v>
      </c>
      <c r="G500" t="n">
        <v>0.03</v>
      </c>
    </row>
    <row r="501">
      <c r="B501" t="inlineStr">
        <is>
          <t xml:space="preserve">    Implied Sales y/y %</t>
        </is>
      </c>
      <c r="C501">
        <f>(1+C499)*(1+C500)-1</f>
        <v/>
      </c>
      <c r="D501">
        <f>(1+D499)*(1+D500)-1</f>
        <v/>
      </c>
      <c r="E501">
        <f>(1+E499)*(1+E500)-1</f>
        <v/>
      </c>
      <c r="F501">
        <f>(1+F499)*(1+F500)-1</f>
        <v/>
      </c>
      <c r="G501">
        <f>(1+G499)*(1+G500)-1</f>
        <v/>
      </c>
    </row>
    <row r="502">
      <c r="B502" t="inlineStr">
        <is>
          <t xml:space="preserve">    EBIT margin %</t>
        </is>
      </c>
      <c r="C502" t="n">
        <v>0.08500000000000001</v>
      </c>
      <c r="D502" t="n">
        <v>0.115</v>
      </c>
      <c r="E502" t="n">
        <v>0.14</v>
      </c>
      <c r="F502" t="n">
        <v>0.15</v>
      </c>
      <c r="G502" t="n">
        <v>0.155</v>
      </c>
    </row>
    <row r="503">
      <c r="B503" t="inlineStr">
        <is>
          <t xml:space="preserve">  Bear case</t>
        </is>
      </c>
    </row>
    <row r="504">
      <c r="B504" t="inlineStr">
        <is>
          <t xml:space="preserve">    Volume y/y %</t>
        </is>
      </c>
      <c r="C504" t="n">
        <v>-0.04</v>
      </c>
      <c r="D504" t="n">
        <v>-0.01</v>
      </c>
      <c r="E504" t="n">
        <v>0.005</v>
      </c>
      <c r="F504" t="n">
        <v>0.015</v>
      </c>
      <c r="G504" t="n">
        <v>0.02</v>
      </c>
    </row>
    <row r="505">
      <c r="B505" t="inlineStr">
        <is>
          <t xml:space="preserve">    Yield y/y %</t>
        </is>
      </c>
      <c r="C505" t="n">
        <v>-0.03</v>
      </c>
      <c r="D505" t="n">
        <v>-0.005</v>
      </c>
      <c r="E505" t="n">
        <v>0.01</v>
      </c>
      <c r="F505" t="n">
        <v>0.02</v>
      </c>
      <c r="G505" t="n">
        <v>0.02</v>
      </c>
    </row>
    <row r="506">
      <c r="B506" t="inlineStr">
        <is>
          <t xml:space="preserve">    Implied Sales y/y %</t>
        </is>
      </c>
      <c r="C506">
        <f>(1+C504)*(1+C505)-1</f>
        <v/>
      </c>
      <c r="D506">
        <f>(1+D504)*(1+D505)-1</f>
        <v/>
      </c>
      <c r="E506">
        <f>(1+E504)*(1+E505)-1</f>
        <v/>
      </c>
      <c r="F506">
        <f>(1+F504)*(1+F505)-1</f>
        <v/>
      </c>
      <c r="G506">
        <f>(1+G504)*(1+G505)-1</f>
        <v/>
      </c>
    </row>
    <row r="507">
      <c r="B507" t="inlineStr">
        <is>
          <t xml:space="preserve">    EBIT margin %</t>
        </is>
      </c>
      <c r="C507" t="n">
        <v>0.04</v>
      </c>
      <c r="D507" t="n">
        <v>0.045</v>
      </c>
      <c r="E507" t="n">
        <v>0.055</v>
      </c>
      <c r="F507" t="n">
        <v>0.07000000000000001</v>
      </c>
      <c r="G507" t="n">
        <v>0.08500000000000001</v>
      </c>
    </row>
    <row r="509">
      <c r="B509" t="inlineStr">
        <is>
          <t>Truckload</t>
        </is>
      </c>
    </row>
    <row r="510">
      <c r="B510" t="inlineStr">
        <is>
          <t xml:space="preserve">  Base case</t>
        </is>
      </c>
    </row>
    <row r="511">
      <c r="B511" t="inlineStr">
        <is>
          <t xml:space="preserve">    Volume y/y %</t>
        </is>
      </c>
      <c r="C511" t="n">
        <v>-0.03</v>
      </c>
      <c r="D511" t="n">
        <v>0</v>
      </c>
      <c r="E511" t="n">
        <v>0.015</v>
      </c>
      <c r="F511" t="n">
        <v>0.02</v>
      </c>
      <c r="G511" t="n">
        <v>0.02</v>
      </c>
    </row>
    <row r="512">
      <c r="B512" t="inlineStr">
        <is>
          <t xml:space="preserve">    Yield y/y %</t>
        </is>
      </c>
      <c r="C512" t="n">
        <v>0.05</v>
      </c>
      <c r="D512" t="n">
        <v>0.035</v>
      </c>
      <c r="E512" t="n">
        <v>0.03</v>
      </c>
      <c r="F512" t="n">
        <v>0.025</v>
      </c>
      <c r="G512" t="n">
        <v>0.025</v>
      </c>
    </row>
    <row r="513">
      <c r="B513" t="inlineStr">
        <is>
          <t xml:space="preserve">    Implied Sales y/y %</t>
        </is>
      </c>
      <c r="C513">
        <f>(1+C511)*(1+C512)-1</f>
        <v/>
      </c>
      <c r="D513">
        <f>(1+D511)*(1+D512)-1</f>
        <v/>
      </c>
      <c r="E513">
        <f>(1+E511)*(1+E512)-1</f>
        <v/>
      </c>
      <c r="F513">
        <f>(1+F511)*(1+F512)-1</f>
        <v/>
      </c>
      <c r="G513">
        <f>(1+G511)*(1+G512)-1</f>
        <v/>
      </c>
    </row>
    <row r="514">
      <c r="B514" t="inlineStr">
        <is>
          <t xml:space="preserve">    EBIT margin %</t>
        </is>
      </c>
      <c r="C514" t="n">
        <v>0.09</v>
      </c>
      <c r="D514" t="n">
        <v>0.1</v>
      </c>
      <c r="E514" t="n">
        <v>0.11</v>
      </c>
      <c r="F514" t="n">
        <v>0.115</v>
      </c>
      <c r="G514" t="n">
        <v>0.12</v>
      </c>
    </row>
    <row r="515">
      <c r="B515" t="inlineStr">
        <is>
          <t xml:space="preserve">  Bull case</t>
        </is>
      </c>
    </row>
    <row r="516">
      <c r="B516" t="inlineStr">
        <is>
          <t xml:space="preserve">    Volume y/y %</t>
        </is>
      </c>
      <c r="C516" t="n">
        <v>0</v>
      </c>
      <c r="D516" t="n">
        <v>0.02</v>
      </c>
      <c r="E516" t="n">
        <v>0.03</v>
      </c>
      <c r="F516" t="n">
        <v>0.03</v>
      </c>
      <c r="G516" t="n">
        <v>0.025</v>
      </c>
    </row>
    <row r="517">
      <c r="B517" t="inlineStr">
        <is>
          <t xml:space="preserve">    Yield y/y %</t>
        </is>
      </c>
      <c r="C517" t="n">
        <v>0.07000000000000001</v>
      </c>
      <c r="D517" t="n">
        <v>0.05</v>
      </c>
      <c r="E517" t="n">
        <v>0.04</v>
      </c>
      <c r="F517" t="n">
        <v>0.035</v>
      </c>
      <c r="G517" t="n">
        <v>0.03</v>
      </c>
    </row>
    <row r="518">
      <c r="B518" t="inlineStr">
        <is>
          <t xml:space="preserve">    Implied Sales y/y %</t>
        </is>
      </c>
      <c r="C518">
        <f>(1+C516)*(1+C517)-1</f>
        <v/>
      </c>
      <c r="D518">
        <f>(1+D516)*(1+D517)-1</f>
        <v/>
      </c>
      <c r="E518">
        <f>(1+E516)*(1+E517)-1</f>
        <v/>
      </c>
      <c r="F518">
        <f>(1+F516)*(1+F517)-1</f>
        <v/>
      </c>
      <c r="G518">
        <f>(1+G516)*(1+G517)-1</f>
        <v/>
      </c>
    </row>
    <row r="519">
      <c r="B519" t="inlineStr">
        <is>
          <t xml:space="preserve">    EBIT margin %</t>
        </is>
      </c>
      <c r="C519" t="n">
        <v>0.11</v>
      </c>
      <c r="D519" t="n">
        <v>0.12</v>
      </c>
      <c r="E519" t="n">
        <v>0.13</v>
      </c>
      <c r="F519" t="n">
        <v>0.13</v>
      </c>
      <c r="G519" t="n">
        <v>0.13</v>
      </c>
    </row>
    <row r="520">
      <c r="B520" t="inlineStr">
        <is>
          <t xml:space="preserve">  Bear case</t>
        </is>
      </c>
    </row>
    <row r="521">
      <c r="B521" t="inlineStr">
        <is>
          <t xml:space="preserve">    Volume y/y %</t>
        </is>
      </c>
      <c r="C521" t="n">
        <v>-0.05</v>
      </c>
      <c r="D521" t="n">
        <v>-0.02</v>
      </c>
      <c r="E521" t="n">
        <v>0</v>
      </c>
      <c r="F521" t="n">
        <v>0.01</v>
      </c>
      <c r="G521" t="n">
        <v>0.01</v>
      </c>
    </row>
    <row r="522">
      <c r="B522" t="inlineStr">
        <is>
          <t xml:space="preserve">    Yield y/y %</t>
        </is>
      </c>
      <c r="C522" t="n">
        <v>0.02</v>
      </c>
      <c r="D522" t="n">
        <v>0.01</v>
      </c>
      <c r="E522" t="n">
        <v>0.01</v>
      </c>
      <c r="F522" t="n">
        <v>0.015</v>
      </c>
      <c r="G522" t="n">
        <v>0.02</v>
      </c>
    </row>
    <row r="523">
      <c r="B523" t="inlineStr">
        <is>
          <t xml:space="preserve">    Implied Sales y/y %</t>
        </is>
      </c>
      <c r="C523">
        <f>(1+C521)*(1+C522)-1</f>
        <v/>
      </c>
      <c r="D523">
        <f>(1+D521)*(1+D522)-1</f>
        <v/>
      </c>
      <c r="E523">
        <f>(1+E521)*(1+E522)-1</f>
        <v/>
      </c>
      <c r="F523">
        <f>(1+F521)*(1+F522)-1</f>
        <v/>
      </c>
      <c r="G523">
        <f>(1+G521)*(1+G522)-1</f>
        <v/>
      </c>
    </row>
    <row r="524">
      <c r="B524" t="inlineStr">
        <is>
          <t xml:space="preserve">    EBIT margin %</t>
        </is>
      </c>
      <c r="C524" t="n">
        <v>0.07000000000000001</v>
      </c>
      <c r="D524" t="n">
        <v>0.07000000000000001</v>
      </c>
      <c r="E524" t="n">
        <v>0.08</v>
      </c>
      <c r="F524" t="n">
        <v>0.09</v>
      </c>
      <c r="G524" t="n">
        <v>0.09</v>
      </c>
    </row>
    <row r="526">
      <c r="B526" t="inlineStr">
        <is>
          <t>Logistics</t>
        </is>
      </c>
    </row>
    <row r="527">
      <c r="B527" t="inlineStr">
        <is>
          <t xml:space="preserve">  Base case</t>
        </is>
      </c>
    </row>
    <row r="528">
      <c r="B528" t="inlineStr">
        <is>
          <t xml:space="preserve">    Volume y/y %</t>
        </is>
      </c>
      <c r="C528" t="n">
        <v>0.03</v>
      </c>
      <c r="D528" t="n">
        <v>0.045</v>
      </c>
      <c r="E528" t="n">
        <v>0.05</v>
      </c>
      <c r="F528" t="n">
        <v>0.045</v>
      </c>
      <c r="G528" t="n">
        <v>0.04</v>
      </c>
    </row>
    <row r="529">
      <c r="B529" t="inlineStr">
        <is>
          <t xml:space="preserve">    Yield y/y %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B530" t="inlineStr">
        <is>
          <t xml:space="preserve">    Implied Sales y/y %</t>
        </is>
      </c>
      <c r="C530">
        <f>(1+C528)*(1+C529)-1</f>
        <v/>
      </c>
      <c r="D530">
        <f>(1+D528)*(1+D529)-1</f>
        <v/>
      </c>
      <c r="E530">
        <f>(1+E528)*(1+E529)-1</f>
        <v/>
      </c>
      <c r="F530">
        <f>(1+F528)*(1+F529)-1</f>
        <v/>
      </c>
      <c r="G530">
        <f>(1+G528)*(1+G529)-1</f>
        <v/>
      </c>
    </row>
    <row r="531">
      <c r="B531" t="inlineStr">
        <is>
          <t xml:space="preserve">    EBIT margin %</t>
        </is>
      </c>
      <c r="C531" t="n">
        <v>0.09</v>
      </c>
      <c r="D531" t="n">
        <v>0.095</v>
      </c>
      <c r="E531" t="n">
        <v>0.1</v>
      </c>
      <c r="F531" t="n">
        <v>0.1</v>
      </c>
      <c r="G531" t="n">
        <v>0.1</v>
      </c>
    </row>
    <row r="532">
      <c r="B532" t="inlineStr">
        <is>
          <t xml:space="preserve">  Bull case</t>
        </is>
      </c>
    </row>
    <row r="533">
      <c r="B533" t="inlineStr">
        <is>
          <t xml:space="preserve">    Volume y/y %</t>
        </is>
      </c>
      <c r="C533" t="n">
        <v>0.05</v>
      </c>
      <c r="D533" t="n">
        <v>0.07000000000000001</v>
      </c>
      <c r="E533" t="n">
        <v>0.07000000000000001</v>
      </c>
      <c r="F533" t="n">
        <v>0.06</v>
      </c>
      <c r="G533" t="n">
        <v>0.05</v>
      </c>
    </row>
    <row r="534">
      <c r="B534" t="inlineStr">
        <is>
          <t xml:space="preserve">    Yield y/y %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B535" t="inlineStr">
        <is>
          <t xml:space="preserve">    Implied Sales y/y %</t>
        </is>
      </c>
      <c r="C535">
        <f>(1+C533)*(1+C534)-1</f>
        <v/>
      </c>
      <c r="D535">
        <f>(1+D533)*(1+D534)-1</f>
        <v/>
      </c>
      <c r="E535">
        <f>(1+E533)*(1+E534)-1</f>
        <v/>
      </c>
      <c r="F535">
        <f>(1+F533)*(1+F534)-1</f>
        <v/>
      </c>
      <c r="G535">
        <f>(1+G533)*(1+G534)-1</f>
        <v/>
      </c>
    </row>
    <row r="536">
      <c r="B536" t="inlineStr">
        <is>
          <t xml:space="preserve">    EBIT margin %</t>
        </is>
      </c>
      <c r="C536" t="n">
        <v>0.1</v>
      </c>
      <c r="D536" t="n">
        <v>0.11</v>
      </c>
      <c r="E536" t="n">
        <v>0.12</v>
      </c>
      <c r="F536" t="n">
        <v>0.12</v>
      </c>
      <c r="G536" t="n">
        <v>0.12</v>
      </c>
    </row>
    <row r="537">
      <c r="B537" t="inlineStr">
        <is>
          <t xml:space="preserve">  Bear case</t>
        </is>
      </c>
    </row>
    <row r="538">
      <c r="B538" t="inlineStr">
        <is>
          <t xml:space="preserve">    Volume y/y %</t>
        </is>
      </c>
      <c r="C538" t="n">
        <v>0</v>
      </c>
      <c r="D538" t="n">
        <v>0.01</v>
      </c>
      <c r="E538" t="n">
        <v>0.02</v>
      </c>
      <c r="F538" t="n">
        <v>0.03</v>
      </c>
      <c r="G538" t="n">
        <v>0.03</v>
      </c>
    </row>
    <row r="539">
      <c r="B539" t="inlineStr">
        <is>
          <t xml:space="preserve">    Yield y/y %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B540" t="inlineStr">
        <is>
          <t xml:space="preserve">    Implied Sales y/y %</t>
        </is>
      </c>
      <c r="C540">
        <f>(1+C538)*(1+C539)-1</f>
        <v/>
      </c>
      <c r="D540">
        <f>(1+D538)*(1+D539)-1</f>
        <v/>
      </c>
      <c r="E540">
        <f>(1+E538)*(1+E539)-1</f>
        <v/>
      </c>
      <c r="F540">
        <f>(1+F538)*(1+F539)-1</f>
        <v/>
      </c>
      <c r="G540">
        <f>(1+G538)*(1+G539)-1</f>
        <v/>
      </c>
    </row>
    <row r="541">
      <c r="B541" t="inlineStr">
        <is>
          <t xml:space="preserve">    EBIT margin %</t>
        </is>
      </c>
      <c r="C541" t="n">
        <v>0.07000000000000001</v>
      </c>
      <c r="D541" t="n">
        <v>0.075</v>
      </c>
      <c r="E541" t="n">
        <v>0.08</v>
      </c>
      <c r="F541" t="n">
        <v>0.08</v>
      </c>
      <c r="G541" t="n">
        <v>0.08</v>
      </c>
    </row>
    <row r="552">
      <c r="B552" t="inlineStr">
        <is>
          <t>LT MARGIN ANCHORS — used as BASE-case end-period margin and BULL ceiling</t>
        </is>
      </c>
    </row>
    <row r="553">
      <c r="B553" t="inlineStr">
        <is>
          <t>CAVEAT: TFI's Q1/26 EDGAR filings (press release + MD&amp;A) do NOT contain explicit numeric LT margin targets per segment. Targets below are management's publicly-stated multi-year goals from prior calls. They should be validated against the Q1/26 call recording / transcript.</t>
        </is>
      </c>
    </row>
    <row r="555">
      <c r="B555" t="inlineStr">
        <is>
          <t>Segment</t>
        </is>
      </c>
      <c r="C555" t="inlineStr">
        <is>
          <t>LT op margin %</t>
        </is>
      </c>
      <c r="D555" t="inlineStr">
        <is>
          <t>Source / caveat</t>
        </is>
      </c>
    </row>
    <row r="556">
      <c r="B556" t="inlineStr">
        <is>
          <t>Less-Than-Truckload</t>
        </is>
      </c>
      <c r="C556" t="n">
        <v>0.15</v>
      </c>
      <c r="D556" t="inlineStr">
        <is>
          <t>Bedard's long-term Adj OR 85% goal (= 15% op margin). Q1/26 actual 4.7%.</t>
        </is>
      </c>
    </row>
    <row r="557">
      <c r="B557" t="inlineStr">
        <is>
          <t>Truckload</t>
        </is>
      </c>
      <c r="C557" t="n">
        <v>0.12</v>
      </c>
      <c r="D557" t="inlineStr">
        <is>
          <t>Mid-cycle Adj OR target ~88% (= 12% op margin). Q1/26 actual 8.3%.</t>
        </is>
      </c>
    </row>
    <row r="558">
      <c r="B558" t="inlineStr">
        <is>
          <t>Logistics</t>
        </is>
      </c>
      <c r="C558" t="n">
        <v>0.09</v>
      </c>
      <c r="D558" t="inlineStr">
        <is>
          <t>Asset-light double-digit goal. Q1/26 actual 8.9%, near target.</t>
        </is>
      </c>
    </row>
    <row r="580">
      <c r="B580" t="inlineStr">
        <is>
          <t>FX REFERENCE — CAD per USD annual averages (Bank of Canada)</t>
        </is>
      </c>
    </row>
    <row r="581">
      <c r="B581" t="inlineStr">
        <is>
          <t>Series IEXE0101 (noon rate, 2011-2017) stitched with FXUSDCAD (daily avg, 2017+). To convert a CAD figure to USD, divide by the rate for that fiscal year.</t>
        </is>
      </c>
    </row>
    <row r="582">
      <c r="B582" t="inlineStr">
        <is>
          <t>NOTE: TFI switched to USD reporting in the FY20 40-F. Pre-FY20 data on SEDAR is in CAD. SEDAR hosts (sedarplus.ca, sedar.com) are blocked by the egress allowlist in this environment, so FY11-FY18 historical figures must be entered manually. The rates below let you normalize any such entries to USD.</t>
        </is>
      </c>
    </row>
    <row r="584">
      <c r="B584" t="inlineStr">
        <is>
          <t>Fiscal year</t>
        </is>
      </c>
      <c r="C584" t="inlineStr">
        <is>
          <t>CAD/USD (annual avg)</t>
        </is>
      </c>
      <c r="D584" t="inlineStr">
        <is>
          <t>Source</t>
        </is>
      </c>
    </row>
    <row r="585">
      <c r="B585" t="n">
        <v>2011</v>
      </c>
      <c r="C585" t="n">
        <v>0.9890692000000001</v>
      </c>
      <c r="D585" t="inlineStr">
        <is>
          <t>BoC IEXE0101 (noon, deprecated)</t>
        </is>
      </c>
    </row>
    <row r="586">
      <c r="B586" t="n">
        <v>2012</v>
      </c>
      <c r="C586" t="n">
        <v>0.9995800796812746</v>
      </c>
      <c r="D586" t="inlineStr">
        <is>
          <t>BoC IEXE0101 (noon, deprecated)</t>
        </is>
      </c>
    </row>
    <row r="587">
      <c r="B587" t="n">
        <v>2013</v>
      </c>
      <c r="C587" t="n">
        <v>1.029914800000001</v>
      </c>
      <c r="D587" t="inlineStr">
        <is>
          <t>BoC IEXE0101 (noon, deprecated)</t>
        </is>
      </c>
    </row>
    <row r="588">
      <c r="B588" t="n">
        <v>2014</v>
      </c>
      <c r="C588" t="n">
        <v>1.1044664</v>
      </c>
      <c r="D588" t="inlineStr">
        <is>
          <t>BoC IEXE0101 (noon, deprecated)</t>
        </is>
      </c>
    </row>
    <row r="589">
      <c r="B589" t="n">
        <v>2015</v>
      </c>
      <c r="C589" t="n">
        <v>1.2787108</v>
      </c>
      <c r="D589" t="inlineStr">
        <is>
          <t>BoC IEXE0101 (noon, deprecated)</t>
        </is>
      </c>
    </row>
    <row r="590">
      <c r="B590" t="n">
        <v>2016</v>
      </c>
      <c r="C590" t="n">
        <v>1.324806400000001</v>
      </c>
      <c r="D590" t="inlineStr">
        <is>
          <t>BoC IEXE0101 (noon, deprecated)</t>
        </is>
      </c>
    </row>
    <row r="591">
      <c r="B591" t="n">
        <v>2017</v>
      </c>
      <c r="C591" t="n">
        <v>1.306016314199396</v>
      </c>
      <c r="D591" t="inlineStr">
        <is>
          <t>BoC FXUSDCAD (daily avg)</t>
        </is>
      </c>
    </row>
    <row r="592">
      <c r="B592" t="n">
        <v>2018</v>
      </c>
      <c r="C592" t="n">
        <v>1.2957432</v>
      </c>
      <c r="D592" t="inlineStr">
        <is>
          <t>BoC FXUSDCAD (daily avg)</t>
        </is>
      </c>
    </row>
    <row r="593">
      <c r="B593" t="n">
        <v>2019</v>
      </c>
      <c r="C593" t="n">
        <v>1.3269128</v>
      </c>
      <c r="D593" t="inlineStr">
        <is>
          <t>BoC FXUSDCAD (daily avg)</t>
        </is>
      </c>
    </row>
    <row r="594">
      <c r="B594" t="n">
        <v>2020</v>
      </c>
      <c r="C594" t="n">
        <v>1.341451394422311</v>
      </c>
      <c r="D594" t="inlineStr">
        <is>
          <t>BoC FXUSDCAD (daily avg)</t>
        </is>
      </c>
    </row>
    <row r="595">
      <c r="B595" t="n">
        <v>2021</v>
      </c>
      <c r="C595" t="n">
        <v>1.253526104417671</v>
      </c>
      <c r="D595" t="inlineStr">
        <is>
          <t>BoC FXUSDCAD (daily avg)</t>
        </is>
      </c>
    </row>
    <row r="596">
      <c r="B596" t="n">
        <v>2022</v>
      </c>
      <c r="C596" t="n">
        <v>1.301266935483871</v>
      </c>
      <c r="D596" t="inlineStr">
        <is>
          <t>BoC FXUSDCAD (daily avg)</t>
        </is>
      </c>
    </row>
    <row r="597">
      <c r="B597" t="n">
        <v>2023</v>
      </c>
      <c r="C597" t="n">
        <v>1.349668548387096</v>
      </c>
      <c r="D597" t="inlineStr">
        <is>
          <t>BoC FXUSDCAD (daily avg)</t>
        </is>
      </c>
    </row>
    <row r="598">
      <c r="B598" t="n">
        <v>2024</v>
      </c>
      <c r="C598" t="n">
        <v>1.3697948</v>
      </c>
      <c r="D598" t="inlineStr">
        <is>
          <t>BoC FXUSDCAD (daily avg)</t>
        </is>
      </c>
    </row>
    <row r="599">
      <c r="B599" t="n">
        <v>2025</v>
      </c>
      <c r="C599" t="n">
        <v>1.397762248995984</v>
      </c>
      <c r="D599" t="inlineStr">
        <is>
          <t>BoC FXUSDCAD (daily avg)</t>
        </is>
      </c>
    </row>
  </sheetData>
  <mergeCells count="5">
    <mergeCell ref="CT54:DA54"/>
    <mergeCell ref="CT77:CY77"/>
    <mergeCell ref="CO5:CR5"/>
    <mergeCell ref="CT67:CY67"/>
    <mergeCell ref="CT57:CY57"/>
  </mergeCells>
  <dataValidations count="1">
    <dataValidation sqref="CO3" showDropDown="0" showInputMessage="1" showErrorMessage="1" allowBlank="1" promptTitle="Scenario" prompt="Toggle Base / Bull / Bear cases — all forecast drivers respond." type="list">
      <formula1>"Base,Bull,Bear"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47"/>
  <sheetViews>
    <sheetView showGridLines="0" zoomScale="60" zoomScaleNormal="60" workbookViewId="0">
      <selection activeCell="E10" sqref="E10"/>
    </sheetView>
  </sheetViews>
  <sheetFormatPr baseColWidth="8" defaultRowHeight="15.75"/>
  <cols>
    <col width="46.625" customWidth="1" min="2" max="2"/>
    <col width="14.125" customWidth="1" min="3" max="3"/>
    <col width="11.375" customWidth="1" min="4" max="9"/>
    <col width="19.875" bestFit="1" customWidth="1" min="10" max="10"/>
    <col width="14.125" customWidth="1" min="11" max="12"/>
    <col width="39.5" bestFit="1" customWidth="1" min="14" max="14"/>
    <col width="10.25" customWidth="1" min="15" max="20"/>
    <col width="31.125" customWidth="1" min="26" max="26"/>
    <col width="10.5" customWidth="1" min="27" max="32"/>
  </cols>
  <sheetData>
    <row r="2" ht="21" customHeight="1">
      <c r="B2" s="550" t="inlineStr">
        <is>
          <t>TFI International (TFII) — Bull / Base / Bear Case P&amp;L Summary</t>
        </is>
      </c>
      <c r="J2" s="553" t="inlineStr">
        <is>
          <t>Share price ($):</t>
        </is>
      </c>
      <c r="K2" s="555" t="n">
        <v>150</v>
      </c>
    </row>
    <row r="3">
      <c r="B3" s="173" t="inlineStr">
        <is>
          <t>Adjusted figures · $ millions (USD) · Linked to Model — edit scenario assumptions on the Model tab.</t>
        </is>
      </c>
      <c r="J3" s="554" t="inlineStr">
        <is>
          <t>As of:</t>
        </is>
      </c>
      <c r="K3" s="556">
        <f>TODAY()</f>
        <v/>
      </c>
    </row>
    <row r="5">
      <c r="B5" s="551" t="inlineStr">
        <is>
          <t>Scenario:</t>
        </is>
      </c>
      <c r="C5" s="552">
        <f>Model!CO3</f>
        <v/>
      </c>
      <c r="N5" s="551" t="inlineStr">
        <is>
          <t>Scenario:</t>
        </is>
      </c>
      <c r="O5" s="552" t="inlineStr">
        <is>
          <t>Bull</t>
        </is>
      </c>
      <c r="Z5" s="551" t="inlineStr">
        <is>
          <t>Scenario:</t>
        </is>
      </c>
      <c r="AA5" s="552" t="inlineStr">
        <is>
          <t>Bear</t>
        </is>
      </c>
    </row>
    <row r="7" ht="16.5" customHeight="1" thickBot="1">
      <c r="B7" s="646" t="inlineStr">
        <is>
          <t>($M, except EPS and shares)</t>
        </is>
      </c>
      <c r="C7" s="607" t="inlineStr">
        <is>
          <t>FY25A</t>
        </is>
      </c>
      <c r="D7" s="624" t="inlineStr">
        <is>
          <t>FY26E</t>
        </is>
      </c>
      <c r="E7" s="557" t="inlineStr">
        <is>
          <t>FY27E</t>
        </is>
      </c>
      <c r="F7" s="557" t="inlineStr">
        <is>
          <t>FY28E</t>
        </is>
      </c>
      <c r="G7" s="557" t="inlineStr">
        <is>
          <t>FY29E</t>
        </is>
      </c>
      <c r="H7" s="557" t="inlineStr">
        <is>
          <t>FY30E</t>
        </is>
      </c>
      <c r="I7" s="591" t="inlineStr">
        <is>
          <t>25-'30 CAGR</t>
        </is>
      </c>
      <c r="J7" s="601" t="inlineStr">
        <is>
          <t>LT Hist Avg</t>
        </is>
      </c>
      <c r="K7" s="558" t="inlineStr">
        <is>
          <t>LT Hist Min</t>
        </is>
      </c>
      <c r="L7" s="580" t="inlineStr">
        <is>
          <t>LT Hist Max</t>
        </is>
      </c>
      <c r="N7" s="646" t="inlineStr">
        <is>
          <t>($M, except EPS and shares)</t>
        </is>
      </c>
      <c r="O7" s="607" t="inlineStr">
        <is>
          <t>FY25A</t>
        </is>
      </c>
      <c r="P7" s="624" t="inlineStr">
        <is>
          <t>FY26E</t>
        </is>
      </c>
      <c r="Q7" s="557" t="inlineStr">
        <is>
          <t>FY27E</t>
        </is>
      </c>
      <c r="R7" s="557" t="inlineStr">
        <is>
          <t>FY28E</t>
        </is>
      </c>
      <c r="S7" s="557" t="inlineStr">
        <is>
          <t>FY29E</t>
        </is>
      </c>
      <c r="T7" s="557" t="inlineStr">
        <is>
          <t>FY30E</t>
        </is>
      </c>
      <c r="U7" s="591" t="inlineStr">
        <is>
          <t>25-'30 CAGR</t>
        </is>
      </c>
      <c r="V7" s="601" t="inlineStr">
        <is>
          <t>LT Hist Avg</t>
        </is>
      </c>
      <c r="W7" s="558" t="inlineStr">
        <is>
          <t>LT Hist Min</t>
        </is>
      </c>
      <c r="X7" s="580" t="inlineStr">
        <is>
          <t>LT Hist Max</t>
        </is>
      </c>
      <c r="Z7" s="646" t="inlineStr">
        <is>
          <t>($M, except EPS and shares)</t>
        </is>
      </c>
      <c r="AA7" s="607" t="inlineStr">
        <is>
          <t>FY25A</t>
        </is>
      </c>
      <c r="AB7" s="624" t="inlineStr">
        <is>
          <t>FY26E</t>
        </is>
      </c>
      <c r="AC7" s="557" t="inlineStr">
        <is>
          <t>FY27E</t>
        </is>
      </c>
      <c r="AD7" s="557" t="inlineStr">
        <is>
          <t>FY28E</t>
        </is>
      </c>
      <c r="AE7" s="557" t="inlineStr">
        <is>
          <t>FY29E</t>
        </is>
      </c>
      <c r="AF7" s="557" t="inlineStr">
        <is>
          <t>FY30E</t>
        </is>
      </c>
      <c r="AG7" s="591" t="inlineStr">
        <is>
          <t>25-'30 CAGR</t>
        </is>
      </c>
      <c r="AH7" s="601" t="inlineStr">
        <is>
          <t>LT Hist Avg</t>
        </is>
      </c>
      <c r="AI7" s="558" t="inlineStr">
        <is>
          <t>LT Hist Min</t>
        </is>
      </c>
      <c r="AJ7" s="580" t="inlineStr">
        <is>
          <t>LT Hist Max</t>
        </is>
      </c>
    </row>
    <row r="8">
      <c r="B8" s="575" t="n"/>
      <c r="C8" s="608" t="n"/>
      <c r="D8" s="575" t="n"/>
      <c r="I8" s="575" t="n"/>
      <c r="J8" s="575" t="n"/>
      <c r="L8" s="581" t="n"/>
      <c r="N8" s="575" t="n"/>
      <c r="O8" s="608" t="n"/>
      <c r="P8" s="575" t="n"/>
      <c r="U8" s="575" t="n"/>
      <c r="V8" s="575" t="n"/>
      <c r="X8" s="581" t="n"/>
      <c r="Z8" s="575" t="n"/>
      <c r="AA8" s="608" t="n"/>
      <c r="AB8" s="575" t="n"/>
      <c r="AG8" s="575" t="n"/>
      <c r="AH8" s="575" t="n"/>
      <c r="AJ8" s="581" t="n"/>
    </row>
    <row r="9">
      <c r="B9" s="576" t="inlineStr">
        <is>
          <t>Revenue</t>
        </is>
      </c>
      <c r="C9" s="609">
        <f>Model!CD114</f>
        <v/>
      </c>
      <c r="D9" s="625">
        <f>Model!CI114</f>
        <v/>
      </c>
      <c r="E9" s="570">
        <f>Model!CJ114</f>
        <v/>
      </c>
      <c r="F9" s="570">
        <f>Model!CK114</f>
        <v/>
      </c>
      <c r="G9" s="570">
        <f>Model!CL114</f>
        <v/>
      </c>
      <c r="H9" s="570">
        <f>Model!CM114</f>
        <v/>
      </c>
      <c r="I9" s="1097">
        <f>IFERROR((H9/C9)^(1/5)-1,"n/m")</f>
        <v/>
      </c>
      <c r="J9" s="575" t="n"/>
      <c r="L9" s="581" t="n"/>
      <c r="N9" s="576" t="inlineStr">
        <is>
          <t>Revenue</t>
        </is>
      </c>
      <c r="O9" s="609" t="n">
        <v>3860.624</v>
      </c>
      <c r="P9" s="625" t="n">
        <v>4264.9902</v>
      </c>
      <c r="Q9" s="570" t="n">
        <v>4738.142388</v>
      </c>
      <c r="R9" s="570" t="n">
        <v>5175.89894384</v>
      </c>
      <c r="S9" s="570" t="n">
        <v>5605.242913685801</v>
      </c>
      <c r="T9" s="570" t="n">
        <v>6047.340544497376</v>
      </c>
      <c r="U9" s="1097" t="n">
        <v>0.09390947470642352</v>
      </c>
      <c r="V9" s="575" t="n"/>
      <c r="X9" s="581" t="n"/>
      <c r="Z9" s="576" t="inlineStr">
        <is>
          <t>Revenue</t>
        </is>
      </c>
      <c r="AA9" s="609" t="n">
        <v>3860.624</v>
      </c>
      <c r="AB9" s="625" t="n">
        <v>4264.9902</v>
      </c>
      <c r="AC9" s="570" t="n">
        <v>4421.39142</v>
      </c>
      <c r="AD9" s="570" t="n">
        <v>4555.917466440001</v>
      </c>
      <c r="AE9" s="570" t="n">
        <v>4684.1497341488</v>
      </c>
      <c r="AF9" s="570" t="n">
        <v>4822.184251461877</v>
      </c>
      <c r="AG9" s="1097" t="n">
        <v>0.04548368232780131</v>
      </c>
      <c r="AH9" s="575" t="n"/>
      <c r="AJ9" s="581" t="n"/>
    </row>
    <row r="10">
      <c r="B10" s="647" t="inlineStr">
        <is>
          <t xml:space="preserve">   Revenue y/y %</t>
        </is>
      </c>
      <c r="C10" s="1098" t="n"/>
      <c r="D10" s="1099">
        <f>IFERROR(D9/C9-1,"")</f>
        <v/>
      </c>
      <c r="E10" s="1100">
        <f>IFERROR(E9/D9-1,"")</f>
        <v/>
      </c>
      <c r="F10" s="1100">
        <f>IFERROR(F9/E9-1,"")</f>
        <v/>
      </c>
      <c r="G10" s="1100">
        <f>IFERROR(G9/F9-1,"")</f>
        <v/>
      </c>
      <c r="H10" s="1100">
        <f>IFERROR(H9/G9-1,"")</f>
        <v/>
      </c>
      <c r="I10" s="1101" t="n"/>
      <c r="J10" s="600" t="n"/>
      <c r="K10" s="561" t="n"/>
      <c r="L10" s="582" t="n"/>
      <c r="N10" s="647" t="inlineStr">
        <is>
          <t xml:space="preserve">   Revenue y/y %</t>
        </is>
      </c>
      <c r="O10" s="1098" t="n"/>
      <c r="P10" s="1099" t="n">
        <v>0.104741150653366</v>
      </c>
      <c r="Q10" s="1100" t="n">
        <v>0.1109386342786907</v>
      </c>
      <c r="R10" s="1100" t="n">
        <v>0.09238991148697417</v>
      </c>
      <c r="S10" s="1100" t="n">
        <v>0.08295060906410789</v>
      </c>
      <c r="T10" s="1100" t="n">
        <v>0.07887216265545716</v>
      </c>
      <c r="U10" s="1101" t="n"/>
      <c r="V10" s="600" t="n"/>
      <c r="W10" s="561" t="n"/>
      <c r="X10" s="582" t="n"/>
      <c r="Z10" s="647" t="inlineStr">
        <is>
          <t xml:space="preserve">   Revenue y/y %</t>
        </is>
      </c>
      <c r="AA10" s="1098" t="n"/>
      <c r="AB10" s="1099" t="n">
        <v>0.104741150653366</v>
      </c>
      <c r="AC10" s="1100" t="n">
        <v>0.03667094475387067</v>
      </c>
      <c r="AD10" s="1100" t="n">
        <v>0.03042617892446198</v>
      </c>
      <c r="AE10" s="1100" t="n">
        <v>0.02814631051887795</v>
      </c>
      <c r="AF10" s="1100" t="n">
        <v>0.02946842546615547</v>
      </c>
      <c r="AG10" s="1101" t="n"/>
      <c r="AH10" s="600" t="n"/>
      <c r="AI10" s="561" t="n"/>
      <c r="AJ10" s="582" t="n"/>
    </row>
    <row r="11">
      <c r="B11" s="575" t="n"/>
      <c r="C11" s="608" t="n"/>
      <c r="D11" s="575" t="n"/>
      <c r="I11" s="1102" t="n"/>
      <c r="J11" s="575" t="n"/>
      <c r="L11" s="581" t="n"/>
      <c r="N11" s="575" t="n"/>
      <c r="O11" s="608" t="n"/>
      <c r="P11" s="575" t="n"/>
      <c r="U11" s="1102" t="n"/>
      <c r="V11" s="575" t="n"/>
      <c r="X11" s="581" t="n"/>
      <c r="Z11" s="575" t="n"/>
      <c r="AA11" s="608" t="n"/>
      <c r="AB11" s="575" t="n"/>
      <c r="AG11" s="1102" t="n"/>
      <c r="AH11" s="575" t="n"/>
      <c r="AJ11" s="581" t="n"/>
    </row>
    <row r="12">
      <c r="B12" s="576" t="inlineStr">
        <is>
          <t>Gross Profit</t>
        </is>
      </c>
      <c r="C12" s="609">
        <f>Model!CD116</f>
        <v/>
      </c>
      <c r="D12" s="625">
        <f>Model!CI116</f>
        <v/>
      </c>
      <c r="E12" s="570">
        <f>Model!CJ116</f>
        <v/>
      </c>
      <c r="F12" s="570">
        <f>Model!CK116</f>
        <v/>
      </c>
      <c r="G12" s="570">
        <f>Model!CL116</f>
        <v/>
      </c>
      <c r="H12" s="570">
        <f>Model!CM116</f>
        <v/>
      </c>
      <c r="I12" s="1097">
        <f>IFERROR((H12/C12)^(1/5)-1,"n/m")</f>
        <v/>
      </c>
      <c r="J12" s="575" t="n"/>
      <c r="L12" s="581" t="n"/>
      <c r="N12" s="576" t="inlineStr">
        <is>
          <t>Gross Profit</t>
        </is>
      </c>
      <c r="O12" s="609" t="n">
        <v>1057.348</v>
      </c>
      <c r="P12" s="625" t="n">
        <v>1194.197256</v>
      </c>
      <c r="Q12" s="570" t="n">
        <v>1350.37058058</v>
      </c>
      <c r="R12" s="570" t="n">
        <v>1501.0106937136</v>
      </c>
      <c r="S12" s="570" t="n">
        <v>1653.546659537311</v>
      </c>
      <c r="T12" s="570" t="n">
        <v>1814.202163349213</v>
      </c>
      <c r="U12" s="1097" t="n">
        <v>0.1140214330633795</v>
      </c>
      <c r="V12" s="575" t="n"/>
      <c r="X12" s="581" t="n"/>
      <c r="Z12" s="576" t="inlineStr">
        <is>
          <t>Gross Profit</t>
        </is>
      </c>
      <c r="AA12" s="609" t="n">
        <v>1057.348</v>
      </c>
      <c r="AB12" s="625" t="n">
        <v>1194.197256</v>
      </c>
      <c r="AC12" s="570" t="n">
        <v>1260.0965547</v>
      </c>
      <c r="AD12" s="570" t="n">
        <v>1321.2160652676</v>
      </c>
      <c r="AE12" s="570" t="n">
        <v>1381.824171573896</v>
      </c>
      <c r="AF12" s="570" t="n">
        <v>1446.655275438563</v>
      </c>
      <c r="AG12" s="1097" t="n">
        <v>0.06470531333844476</v>
      </c>
      <c r="AH12" s="575" t="n"/>
      <c r="AJ12" s="581" t="n"/>
    </row>
    <row r="13">
      <c r="B13" s="647" t="inlineStr">
        <is>
          <t xml:space="preserve">   GP %</t>
        </is>
      </c>
      <c r="C13" s="1098">
        <f>IFERROR(C12/C9,"")</f>
        <v/>
      </c>
      <c r="D13" s="1103">
        <f>IFERROR(D12/D9,"")</f>
        <v/>
      </c>
      <c r="E13" s="1104">
        <f>IFERROR(E12/E9,"")</f>
        <v/>
      </c>
      <c r="F13" s="1104">
        <f>IFERROR(F12/F9,"")</f>
        <v/>
      </c>
      <c r="G13" s="1104">
        <f>IFERROR(G12/G9,"")</f>
        <v/>
      </c>
      <c r="H13" s="1104">
        <f>IFERROR(H12/H9,"")</f>
        <v/>
      </c>
      <c r="I13" s="1101" t="n"/>
      <c r="J13" s="1105">
        <f>AVERAGE(Model!AF165,Model!AK165,Model!AP165,Model!AU165,Model!AZ165,Model!BE165,Model!BJ165,Model!BO165,Model!BT165,Model!BY165,Model!CD165)</f>
        <v/>
      </c>
      <c r="K13" s="1106">
        <f>MIN(Model!AF165,Model!AK165,Model!AP165,Model!AU165,Model!AZ165,Model!BE165,Model!BJ165,Model!BO165,Model!BT165,Model!BY165,Model!CD165)</f>
        <v/>
      </c>
      <c r="L13" s="1107">
        <f>MAX(Model!AF165,Model!AK165,Model!AP165,Model!AU165,Model!AZ165,Model!BE165,Model!BJ165,Model!BO165,Model!BT165,Model!BY165,Model!CD165)</f>
        <v/>
      </c>
      <c r="N13" s="647" t="inlineStr">
        <is>
          <t xml:space="preserve">   GP %</t>
        </is>
      </c>
      <c r="O13" s="1098" t="n">
        <v>0.2738800774175366</v>
      </c>
      <c r="P13" s="1103" t="n">
        <v>0.2800000000000001</v>
      </c>
      <c r="Q13" s="1104" t="n">
        <v>0.2849999999999999</v>
      </c>
      <c r="R13" s="1104" t="n">
        <v>0.29</v>
      </c>
      <c r="S13" s="1104" t="n">
        <v>0.2949999999999999</v>
      </c>
      <c r="T13" s="1104" t="n">
        <v>0.3</v>
      </c>
      <c r="U13" s="1101" t="n"/>
      <c r="V13" s="1105" t="n">
        <v>0.2792281020124531</v>
      </c>
      <c r="W13" s="1106" t="n">
        <v>0.2578200997450559</v>
      </c>
      <c r="X13" s="1107" t="n">
        <v>0.2950255334198198</v>
      </c>
      <c r="Z13" s="647" t="inlineStr">
        <is>
          <t xml:space="preserve">   GP %</t>
        </is>
      </c>
      <c r="AA13" s="1098" t="n">
        <v>0.2738800774175366</v>
      </c>
      <c r="AB13" s="1103" t="n">
        <v>0.2800000000000001</v>
      </c>
      <c r="AC13" s="1104" t="n">
        <v>0.2849999999999999</v>
      </c>
      <c r="AD13" s="1104" t="n">
        <v>0.29</v>
      </c>
      <c r="AE13" s="1104" t="n">
        <v>0.295</v>
      </c>
      <c r="AF13" s="1104" t="n">
        <v>0.3</v>
      </c>
      <c r="AG13" s="1101" t="n"/>
      <c r="AH13" s="1105" t="n">
        <v>0.2792281020124531</v>
      </c>
      <c r="AI13" s="1106" t="n">
        <v>0.2578200997450559</v>
      </c>
      <c r="AJ13" s="1107" t="n">
        <v>0.2950255334198198</v>
      </c>
    </row>
    <row r="14">
      <c r="B14" s="575" t="n"/>
      <c r="C14" s="608" t="n"/>
      <c r="D14" s="575" t="n"/>
      <c r="I14" s="1102" t="n"/>
      <c r="J14" s="575" t="n"/>
      <c r="L14" s="581" t="n"/>
      <c r="N14" s="575" t="n"/>
      <c r="O14" s="608" t="n"/>
      <c r="P14" s="575" t="n"/>
      <c r="U14" s="1102" t="n"/>
      <c r="V14" s="575" t="n"/>
      <c r="X14" s="581" t="n"/>
      <c r="Z14" s="575" t="n"/>
      <c r="AA14" s="608" t="n"/>
      <c r="AB14" s="575" t="n"/>
      <c r="AG14" s="1102" t="n"/>
      <c r="AH14" s="575" t="n"/>
      <c r="AJ14" s="581" t="n"/>
    </row>
    <row r="15">
      <c r="B15" s="576" t="inlineStr">
        <is>
          <t>EBIT (Adjusted Operating Profit)</t>
        </is>
      </c>
      <c r="C15" s="609">
        <f>IF(ISNUMBER(Model!CD150),IF(Model!CD150&gt;0,Model!CD150,Model!CD126),Model!CD126)</f>
        <v/>
      </c>
      <c r="D15" s="625">
        <f>IF(ISNUMBER(Model!CI150),IF(Model!CI150&gt;0,Model!CI150,Model!CI126),Model!CI126)</f>
        <v/>
      </c>
      <c r="E15" s="570">
        <f>IF(ISNUMBER(Model!CJ150),IF(Model!CJ150&gt;0,Model!CJ150,Model!CJ126),Model!CJ126)</f>
        <v/>
      </c>
      <c r="F15" s="570">
        <f>IF(ISNUMBER(Model!CK150),IF(Model!CK150&gt;0,Model!CK150,Model!CK126),Model!CK126)</f>
        <v/>
      </c>
      <c r="G15" s="570">
        <f>IF(ISNUMBER(Model!CL150),IF(Model!CL150&gt;0,Model!CL150,Model!CL126),Model!CL126)</f>
        <v/>
      </c>
      <c r="H15" s="570">
        <f>IF(ISNUMBER(Model!CM150),IF(Model!CM150&gt;0,Model!CM150,Model!CM126),Model!CM126)</f>
        <v/>
      </c>
      <c r="I15" s="1097">
        <f>IFERROR((H15/C15)^(1/5)-1,"n/m")</f>
        <v/>
      </c>
      <c r="J15" s="575" t="n"/>
      <c r="L15" s="581" t="n"/>
      <c r="N15" s="576" t="inlineStr">
        <is>
          <t>EBIT (Adjusted Operating Profit)</t>
        </is>
      </c>
      <c r="O15" s="609" t="n">
        <v>501.268</v>
      </c>
      <c r="P15" s="625" t="n">
        <v>511.8405396666668</v>
      </c>
      <c r="Q15" s="570" t="n">
        <v>582.8215310044437</v>
      </c>
      <c r="R15" s="570" t="n">
        <v>656.4836642762963</v>
      </c>
      <c r="S15" s="570" t="n">
        <v>749.0255502608991</v>
      </c>
      <c r="T15" s="570" t="n">
        <v>850.8482523613203</v>
      </c>
      <c r="U15" s="1097" t="n">
        <v>0.111620189772262</v>
      </c>
      <c r="V15" s="575" t="n"/>
      <c r="X15" s="581" t="n"/>
      <c r="Z15" s="576" t="inlineStr">
        <is>
          <t>EBIT (Adjusted Operating Profit)</t>
        </is>
      </c>
      <c r="AA15" s="609" t="n">
        <v>501.268</v>
      </c>
      <c r="AB15" s="625" t="n">
        <v>511.8405396666668</v>
      </c>
      <c r="AC15" s="570" t="n">
        <v>544.811414844444</v>
      </c>
      <c r="AD15" s="570" t="n">
        <v>578.9859796012962</v>
      </c>
      <c r="AE15" s="570" t="n">
        <v>626.9807039722467</v>
      </c>
      <c r="AF15" s="570" t="n">
        <v>679.32637133635</v>
      </c>
      <c r="AG15" s="1097" t="n">
        <v>0.06267802180611493</v>
      </c>
      <c r="AH15" s="575" t="n"/>
      <c r="AJ15" s="581" t="n"/>
    </row>
    <row r="16">
      <c r="B16" s="648" t="inlineStr">
        <is>
          <t xml:space="preserve">   EBIT y/y %</t>
        </is>
      </c>
      <c r="C16" s="611" t="n"/>
      <c r="D16" s="1108">
        <f>IFERROR(D15/C15-1,"")</f>
        <v/>
      </c>
      <c r="E16" s="1109">
        <f>IFERROR(E15/D15-1,"")</f>
        <v/>
      </c>
      <c r="F16" s="1109">
        <f>IFERROR(F15/E15-1,"")</f>
        <v/>
      </c>
      <c r="G16" s="1109">
        <f>IFERROR(G15/F15-1,"")</f>
        <v/>
      </c>
      <c r="H16" s="1109">
        <f>IFERROR(H15/G15-1,"")</f>
        <v/>
      </c>
      <c r="I16" s="1102" t="n"/>
      <c r="J16" s="575" t="n"/>
      <c r="L16" s="581" t="n"/>
      <c r="N16" s="648" t="inlineStr">
        <is>
          <t xml:space="preserve">   EBIT y/y %</t>
        </is>
      </c>
      <c r="O16" s="611" t="n"/>
      <c r="P16" s="1108" t="n">
        <v>0.02109159105840952</v>
      </c>
      <c r="Q16" s="1109" t="n">
        <v>0.1386779393910511</v>
      </c>
      <c r="R16" s="1109" t="n">
        <v>0.1263888332074865</v>
      </c>
      <c r="S16" s="1109" t="n">
        <v>0.1409660148765779</v>
      </c>
      <c r="T16" s="1109" t="n">
        <v>0.1359402253567379</v>
      </c>
      <c r="U16" s="1102" t="n"/>
      <c r="V16" s="575" t="n"/>
      <c r="X16" s="581" t="n"/>
      <c r="Z16" s="648" t="inlineStr">
        <is>
          <t xml:space="preserve">   EBIT y/y %</t>
        </is>
      </c>
      <c r="AA16" s="611" t="n"/>
      <c r="AB16" s="1108" t="n">
        <v>0.02109159105840952</v>
      </c>
      <c r="AC16" s="1109" t="n">
        <v>0.06441630277908295</v>
      </c>
      <c r="AD16" s="1109" t="n">
        <v>0.06272732880717968</v>
      </c>
      <c r="AE16" s="1109" t="n">
        <v>0.08289445005905116</v>
      </c>
      <c r="AF16" s="1109" t="n">
        <v>0.08348848223313166</v>
      </c>
      <c r="AG16" s="1102" t="n"/>
      <c r="AH16" s="575" t="n"/>
      <c r="AJ16" s="581" t="n"/>
    </row>
    <row r="17">
      <c r="B17" s="647" t="inlineStr">
        <is>
          <t xml:space="preserve">   EBIT %</t>
        </is>
      </c>
      <c r="C17" s="1098">
        <f>IFERROR(C15/C9,"")</f>
        <v/>
      </c>
      <c r="D17" s="1103">
        <f>IFERROR(D15/D9,"")</f>
        <v/>
      </c>
      <c r="E17" s="1104">
        <f>IFERROR(E15/E9,"")</f>
        <v/>
      </c>
      <c r="F17" s="1104">
        <f>IFERROR(F15/F9,"")</f>
        <v/>
      </c>
      <c r="G17" s="1104">
        <f>IFERROR(G15/G9,"")</f>
        <v/>
      </c>
      <c r="H17" s="1104">
        <f>IFERROR(H15/H9,"")</f>
        <v/>
      </c>
      <c r="I17" s="1101" t="n"/>
      <c r="J17" s="1105">
        <f>AVERAGE(Model!AF151,Model!AK151,Model!AP151,Model!AU151,Model!AZ151,Model!BE151,Model!BJ151,Model!BO151,Model!BT151,Model!BY151,Model!CD151)</f>
        <v/>
      </c>
      <c r="K17" s="1106">
        <f>MIN(Model!AF151,Model!AK151,Model!AP151,Model!AU151,Model!AZ151,Model!BE151,Model!BJ151,Model!BO151,Model!BT151,Model!BY151,Model!CD151)</f>
        <v/>
      </c>
      <c r="L17" s="1107">
        <f>MAX(Model!AF151,Model!AK151,Model!AP151,Model!AU151,Model!AZ151,Model!BE151,Model!BJ151,Model!BO151,Model!BT151,Model!BY151,Model!CD151)</f>
        <v/>
      </c>
      <c r="N17" s="647" t="inlineStr">
        <is>
          <t xml:space="preserve">   EBIT %</t>
        </is>
      </c>
      <c r="O17" s="1098" t="n">
        <v>0.1298411862952725</v>
      </c>
      <c r="P17" s="1103" t="n">
        <v>0.1200097809525252</v>
      </c>
      <c r="Q17" s="1104" t="n">
        <v>0.1230063352423768</v>
      </c>
      <c r="R17" s="1104" t="n">
        <v>0.1268347143944142</v>
      </c>
      <c r="S17" s="1104" t="n">
        <v>0.1336294540299178</v>
      </c>
      <c r="T17" s="1104" t="n">
        <v>0.1406979226819842</v>
      </c>
      <c r="U17" s="1101" t="n"/>
      <c r="V17" s="1105" t="n">
        <v>0.1048001697992417</v>
      </c>
      <c r="W17" s="1106" t="n">
        <v>0.08425987079157983</v>
      </c>
      <c r="X17" s="1107" t="n">
        <v>0.1298411862952725</v>
      </c>
      <c r="Z17" s="647" t="inlineStr">
        <is>
          <t xml:space="preserve">   EBIT %</t>
        </is>
      </c>
      <c r="AA17" s="1098" t="n">
        <v>0.1298411862952725</v>
      </c>
      <c r="AB17" s="1103" t="n">
        <v>0.1200097809525252</v>
      </c>
      <c r="AC17" s="1104" t="n">
        <v>0.1232217107899585</v>
      </c>
      <c r="AD17" s="1104" t="n">
        <v>0.1270843872537745</v>
      </c>
      <c r="AE17" s="1104" t="n">
        <v>0.1338515503467741</v>
      </c>
      <c r="AF17" s="1104" t="n">
        <v>0.1408752415734442</v>
      </c>
      <c r="AG17" s="1101" t="n"/>
      <c r="AH17" s="1105" t="n">
        <v>0.1048001697992417</v>
      </c>
      <c r="AI17" s="1106" t="n">
        <v>0.08425987079157983</v>
      </c>
      <c r="AJ17" s="1107" t="n">
        <v>0.1298411862952725</v>
      </c>
    </row>
    <row r="18">
      <c r="B18" s="575" t="n"/>
      <c r="C18" s="608" t="n"/>
      <c r="D18" s="575" t="n"/>
      <c r="I18" s="1102" t="n"/>
      <c r="J18" s="575" t="n"/>
      <c r="L18" s="581" t="n"/>
      <c r="N18" s="575" t="n"/>
      <c r="O18" s="608" t="n"/>
      <c r="P18" s="575" t="n"/>
      <c r="U18" s="1102" t="n"/>
      <c r="V18" s="575" t="n"/>
      <c r="X18" s="581" t="n"/>
      <c r="Z18" s="575" t="n"/>
      <c r="AA18" s="608" t="n"/>
      <c r="AB18" s="575" t="n"/>
      <c r="AG18" s="1102" t="n"/>
      <c r="AH18" s="575" t="n"/>
      <c r="AJ18" s="581" t="n"/>
    </row>
    <row r="19">
      <c r="B19" s="577" t="inlineStr">
        <is>
          <t>Net Income (Adjusted Earnings)</t>
        </is>
      </c>
      <c r="C19" s="612">
        <f>Model!CD155</f>
        <v/>
      </c>
      <c r="D19" s="629">
        <f>Model!CI155</f>
        <v/>
      </c>
      <c r="E19" s="564">
        <f>Model!CJ155</f>
        <v/>
      </c>
      <c r="F19" s="564">
        <f>Model!CK155</f>
        <v/>
      </c>
      <c r="G19" s="564">
        <f>Model!CL155</f>
        <v/>
      </c>
      <c r="H19" s="564">
        <f>Model!CM155</f>
        <v/>
      </c>
      <c r="I19" s="1110">
        <f>IFERROR((H19/C19)^(1/5)-1,"n/m")</f>
        <v/>
      </c>
      <c r="J19" s="600" t="n"/>
      <c r="K19" s="561" t="n"/>
      <c r="L19" s="582" t="n"/>
      <c r="N19" s="577" t="inlineStr">
        <is>
          <t>Net Income (Adjusted Earnings)</t>
        </is>
      </c>
      <c r="O19" s="612" t="n">
        <v>278.6849999999999</v>
      </c>
      <c r="P19" s="629" t="n">
        <v>335.7988101466668</v>
      </c>
      <c r="Q19" s="564" t="n">
        <v>396.1334712183996</v>
      </c>
      <c r="R19" s="564" t="n">
        <v>456.3100031713667</v>
      </c>
      <c r="S19" s="564" t="n">
        <v>530.9295459495878</v>
      </c>
      <c r="T19" s="564" t="n">
        <v>612.64891305641</v>
      </c>
      <c r="U19" s="1110" t="n">
        <v>0.1706299057295655</v>
      </c>
      <c r="V19" s="600" t="n"/>
      <c r="W19" s="561" t="n"/>
      <c r="X19" s="582" t="n"/>
      <c r="Z19" s="577" t="inlineStr">
        <is>
          <t>Net Income (Adjusted Earnings)</t>
        </is>
      </c>
      <c r="AA19" s="612" t="n">
        <v>278.6849999999999</v>
      </c>
      <c r="AB19" s="629" t="n">
        <v>335.7988101466668</v>
      </c>
      <c r="AC19" s="564" t="n">
        <v>367.0557323559997</v>
      </c>
      <c r="AD19" s="564" t="n">
        <v>397.0242743949916</v>
      </c>
      <c r="AE19" s="564" t="n">
        <v>437.5652385387687</v>
      </c>
      <c r="AF19" s="564" t="n">
        <v>481.4346740723076</v>
      </c>
      <c r="AG19" s="1110" t="n">
        <v>0.1155389905625723</v>
      </c>
      <c r="AH19" s="600" t="n"/>
      <c r="AI19" s="561" t="n"/>
      <c r="AJ19" s="582" t="n"/>
    </row>
    <row r="20">
      <c r="B20" s="575" t="n"/>
      <c r="C20" s="608" t="n"/>
      <c r="D20" s="575" t="n"/>
      <c r="I20" s="1102" t="n"/>
      <c r="J20" s="575" t="n"/>
      <c r="L20" s="581" t="n"/>
      <c r="N20" s="575" t="n"/>
      <c r="O20" s="608" t="n"/>
      <c r="P20" s="575" t="n"/>
      <c r="U20" s="1102" t="n"/>
      <c r="V20" s="575" t="n"/>
      <c r="X20" s="581" t="n"/>
      <c r="Z20" s="575" t="n"/>
      <c r="AA20" s="608" t="n"/>
      <c r="AB20" s="575" t="n"/>
      <c r="AG20" s="1102" t="n"/>
      <c r="AH20" s="575" t="n"/>
      <c r="AJ20" s="581" t="n"/>
    </row>
    <row r="21">
      <c r="B21" s="577" t="inlineStr">
        <is>
          <t>Diluted shares ('000)</t>
        </is>
      </c>
      <c r="C21" s="612">
        <f>Model!CD139</f>
        <v/>
      </c>
      <c r="D21" s="629">
        <f>Model!CI139</f>
        <v/>
      </c>
      <c r="E21" s="564">
        <f>Model!CJ139</f>
        <v/>
      </c>
      <c r="F21" s="564">
        <f>Model!CK139</f>
        <v/>
      </c>
      <c r="G21" s="564">
        <f>Model!CL139</f>
        <v/>
      </c>
      <c r="H21" s="564">
        <f>Model!CM139</f>
        <v/>
      </c>
      <c r="I21" s="1110">
        <f>IFERROR((H21/C21)^(1/5)-1,"n/m")</f>
        <v/>
      </c>
      <c r="J21" s="600" t="n"/>
      <c r="K21" s="561" t="n"/>
      <c r="L21" s="582" t="n"/>
      <c r="N21" s="577" t="inlineStr">
        <is>
          <t>Diluted shares ('000)</t>
        </is>
      </c>
      <c r="O21" s="612" t="n">
        <v>32082.601</v>
      </c>
      <c r="P21" s="629" t="n">
        <v>31647.81839130435</v>
      </c>
      <c r="Q21" s="564" t="n">
        <v>31241.4795046729</v>
      </c>
      <c r="R21" s="564" t="n">
        <v>30861.72353585846</v>
      </c>
      <c r="S21" s="564" t="n">
        <v>30506.81141547113</v>
      </c>
      <c r="T21" s="564" t="n">
        <v>30175.11784501569</v>
      </c>
      <c r="U21" s="1110" t="n">
        <v>-0.01218439886496581</v>
      </c>
      <c r="V21" s="600" t="n"/>
      <c r="W21" s="561" t="n"/>
      <c r="X21" s="582" t="n"/>
      <c r="Z21" s="577" t="inlineStr">
        <is>
          <t>Diluted shares ('000)</t>
        </is>
      </c>
      <c r="AA21" s="612" t="n">
        <v>32082.601</v>
      </c>
      <c r="AB21" s="629" t="n">
        <v>31647.81839130435</v>
      </c>
      <c r="AC21" s="564" t="n">
        <v>31241.4795046729</v>
      </c>
      <c r="AD21" s="564" t="n">
        <v>30861.72353585846</v>
      </c>
      <c r="AE21" s="564" t="n">
        <v>30506.81141547113</v>
      </c>
      <c r="AF21" s="564" t="n">
        <v>30175.11784501569</v>
      </c>
      <c r="AG21" s="1110" t="n">
        <v>-0.01218439886496581</v>
      </c>
      <c r="AH21" s="600" t="n"/>
      <c r="AI21" s="561" t="n"/>
      <c r="AJ21" s="582" t="n"/>
    </row>
    <row r="22">
      <c r="B22" s="575" t="n"/>
      <c r="C22" s="608" t="n"/>
      <c r="D22" s="575" t="n"/>
      <c r="I22" s="1102" t="n"/>
      <c r="J22" s="575" t="n"/>
      <c r="L22" s="581" t="n"/>
      <c r="N22" s="575" t="n"/>
      <c r="O22" s="608" t="n"/>
      <c r="P22" s="575" t="n"/>
      <c r="U22" s="1102" t="n"/>
      <c r="V22" s="575" t="n"/>
      <c r="X22" s="581" t="n"/>
      <c r="Z22" s="575" t="n"/>
      <c r="AA22" s="608" t="n"/>
      <c r="AB22" s="575" t="n"/>
      <c r="AG22" s="1102" t="n"/>
      <c r="AH22" s="575" t="n"/>
      <c r="AJ22" s="581" t="n"/>
    </row>
    <row r="23">
      <c r="B23" s="576" t="inlineStr">
        <is>
          <t>Adjusted EPS — Diluted ($)</t>
        </is>
      </c>
      <c r="C23" s="1111">
        <f>Model!CD156</f>
        <v/>
      </c>
      <c r="D23" s="1112">
        <f>Model!CI156</f>
        <v/>
      </c>
      <c r="E23" s="1113">
        <f>Model!CJ156</f>
        <v/>
      </c>
      <c r="F23" s="1113">
        <f>Model!CK156</f>
        <v/>
      </c>
      <c r="G23" s="1113">
        <f>Model!CL156</f>
        <v/>
      </c>
      <c r="H23" s="1113">
        <f>Model!CM156</f>
        <v/>
      </c>
      <c r="I23" s="1097">
        <f>IFERROR((H23/C23)^(1/5)-1,"n/m")</f>
        <v/>
      </c>
      <c r="J23" s="575" t="n"/>
      <c r="L23" s="581" t="n"/>
      <c r="N23" s="576" t="inlineStr">
        <is>
          <t>Adjusted EPS — Diluted ($)</t>
        </is>
      </c>
      <c r="O23" s="1111" t="n">
        <v>8.686483991743685</v>
      </c>
      <c r="P23" s="1112" t="n">
        <v>10.61048840696495</v>
      </c>
      <c r="Q23" s="1113" t="n">
        <v>12.67972828108696</v>
      </c>
      <c r="R23" s="1113" t="n">
        <v>14.78562928091741</v>
      </c>
      <c r="S23" s="1113" t="n">
        <v>17.40363942723735</v>
      </c>
      <c r="T23" s="1113" t="n">
        <v>20.30311583878726</v>
      </c>
      <c r="U23" s="1097" t="n">
        <v>0.1850692623040895</v>
      </c>
      <c r="V23" s="575" t="n"/>
      <c r="X23" s="581" t="n"/>
      <c r="Z23" s="576" t="inlineStr">
        <is>
          <t>Adjusted EPS — Diluted ($)</t>
        </is>
      </c>
      <c r="AA23" s="1111" t="n">
        <v>8.686483991743685</v>
      </c>
      <c r="AB23" s="1112" t="n">
        <v>10.61048840696495</v>
      </c>
      <c r="AC23" s="1113" t="n">
        <v>11.7489868653979</v>
      </c>
      <c r="AD23" s="1113" t="n">
        <v>12.86461768519461</v>
      </c>
      <c r="AE23" s="1113" t="n">
        <v>14.34319806746054</v>
      </c>
      <c r="AF23" s="1113" t="n">
        <v>15.95469076691049</v>
      </c>
      <c r="AG23" s="1097" t="n">
        <v>0.1292988177963372</v>
      </c>
      <c r="AH23" s="575" t="n"/>
      <c r="AJ23" s="581" t="n"/>
    </row>
    <row r="24">
      <c r="B24" s="647" t="inlineStr">
        <is>
          <t xml:space="preserve">   EPS y/y %</t>
        </is>
      </c>
      <c r="C24" s="614" t="n"/>
      <c r="D24" s="1099">
        <f>IFERROR(D23/C23-1,"")</f>
        <v/>
      </c>
      <c r="E24" s="1100">
        <f>IFERROR(E23/D23-1,"")</f>
        <v/>
      </c>
      <c r="F24" s="1100">
        <f>IFERROR(F23/E23-1,"")</f>
        <v/>
      </c>
      <c r="G24" s="1100">
        <f>IFERROR(G23/F23-1,"")</f>
        <v/>
      </c>
      <c r="H24" s="1100">
        <f>IFERROR(H23/G23-1,"")</f>
        <v/>
      </c>
      <c r="I24" s="1101" t="n"/>
      <c r="J24" s="600" t="n"/>
      <c r="K24" s="561" t="n"/>
      <c r="L24" s="582" t="n"/>
      <c r="N24" s="647" t="inlineStr">
        <is>
          <t xml:space="preserve">   EPS y/y %</t>
        </is>
      </c>
      <c r="O24" s="614" t="n"/>
      <c r="P24" s="1099" t="n">
        <v>0.2214940379847572</v>
      </c>
      <c r="Q24" s="1100" t="n">
        <v>0.19501834361967</v>
      </c>
      <c r="R24" s="1100" t="n">
        <v>0.1660840794965299</v>
      </c>
      <c r="S24" s="1100" t="n">
        <v>0.1770645061214129</v>
      </c>
      <c r="T24" s="1100" t="n">
        <v>0.1666017285448997</v>
      </c>
      <c r="U24" s="1101" t="n"/>
      <c r="V24" s="600" t="n"/>
      <c r="W24" s="561" t="n"/>
      <c r="X24" s="582" t="n"/>
      <c r="Z24" s="647" t="inlineStr">
        <is>
          <t xml:space="preserve">   EPS y/y %</t>
        </is>
      </c>
      <c r="AA24" s="614" t="n"/>
      <c r="AB24" s="1103" t="n">
        <v>0.2214940379847572</v>
      </c>
      <c r="AC24" s="1104" t="n">
        <v>0.1072993452106901</v>
      </c>
      <c r="AD24" s="1104" t="n">
        <v>0.09495549127579417</v>
      </c>
      <c r="AE24" s="1104" t="n">
        <v>0.114933876656713</v>
      </c>
      <c r="AF24" s="1104" t="n">
        <v>0.1123523981102814</v>
      </c>
      <c r="AG24" s="1101" t="n"/>
      <c r="AH24" s="600" t="n"/>
      <c r="AI24" s="561" t="n"/>
      <c r="AJ24" s="582" t="n"/>
    </row>
    <row r="25" ht="16.5" customHeight="1" thickBot="1">
      <c r="B25" s="575" t="n"/>
      <c r="C25" s="608" t="n"/>
      <c r="D25" s="575" t="n"/>
      <c r="I25" s="1102" t="n"/>
      <c r="J25" s="575" t="n"/>
      <c r="L25" s="581" t="n"/>
      <c r="N25" s="575" t="n"/>
      <c r="O25" s="608" t="n"/>
      <c r="P25" s="575" t="n"/>
      <c r="U25" s="1102" t="n"/>
      <c r="V25" s="575" t="n"/>
      <c r="X25" s="581" t="n"/>
      <c r="Z25" s="575" t="n"/>
      <c r="AA25" s="608" t="n"/>
      <c r="AB25" s="575" t="n"/>
      <c r="AG25" s="1102" t="n"/>
      <c r="AH25" s="575" t="n"/>
      <c r="AJ25" s="581" t="n"/>
    </row>
    <row r="26">
      <c r="B26" s="649" t="inlineStr">
        <is>
          <t>P / E (x) — assumed</t>
        </is>
      </c>
      <c r="C26" s="615" t="n"/>
      <c r="D26" s="603" t="n"/>
      <c r="E26" s="567" t="n">
        <v>20</v>
      </c>
      <c r="F26" s="567">
        <f>E26</f>
        <v/>
      </c>
      <c r="G26" s="567">
        <f>F26</f>
        <v/>
      </c>
      <c r="H26" s="567">
        <f>G26</f>
        <v/>
      </c>
      <c r="I26" s="1114" t="n"/>
      <c r="J26" s="603" t="n"/>
      <c r="K26" s="566" t="n"/>
      <c r="L26" s="584" t="n"/>
      <c r="N26" s="649" t="inlineStr">
        <is>
          <t>P / E (x) — assumed</t>
        </is>
      </c>
      <c r="O26" s="615" t="n"/>
      <c r="P26" s="603" t="n"/>
      <c r="Q26" s="567" t="n"/>
      <c r="R26" s="567" t="n">
        <v>25</v>
      </c>
      <c r="S26" s="567" t="n">
        <v>22</v>
      </c>
      <c r="T26" s="567" t="n">
        <v>22</v>
      </c>
      <c r="U26" s="1114" t="n"/>
      <c r="V26" s="603" t="n"/>
      <c r="W26" s="566" t="n"/>
      <c r="X26" s="584" t="n"/>
      <c r="Z26" s="649" t="inlineStr">
        <is>
          <t>P / E (x) — assumed</t>
        </is>
      </c>
      <c r="AA26" s="615" t="n"/>
      <c r="AB26" s="603" t="n"/>
      <c r="AC26" s="567" t="n">
        <v>18</v>
      </c>
      <c r="AD26" s="567" t="n">
        <v>18</v>
      </c>
      <c r="AE26" s="567" t="n">
        <v>18</v>
      </c>
      <c r="AF26" s="567" t="n">
        <v>18</v>
      </c>
      <c r="AG26" s="1114" t="n"/>
      <c r="AH26" s="603" t="n"/>
      <c r="AI26" s="566" t="n"/>
      <c r="AJ26" s="584" t="n"/>
    </row>
    <row r="27">
      <c r="B27" s="578" t="inlineStr">
        <is>
          <t>Price Target ($)</t>
        </is>
      </c>
      <c r="C27" s="616" t="n"/>
      <c r="D27" s="604" t="n"/>
      <c r="E27" s="970" t="n"/>
      <c r="F27" s="970">
        <f>F26*F23</f>
        <v/>
      </c>
      <c r="G27" s="970">
        <f>G26*G23</f>
        <v/>
      </c>
      <c r="H27" s="970">
        <f>H26*H23</f>
        <v/>
      </c>
      <c r="I27" s="1115" t="n"/>
      <c r="J27" s="604" t="n"/>
      <c r="K27" s="544" t="n"/>
      <c r="L27" s="585" t="n"/>
      <c r="N27" s="578" t="inlineStr">
        <is>
          <t>Price Target ($)</t>
        </is>
      </c>
      <c r="O27" s="616" t="n"/>
      <c r="P27" s="604" t="n"/>
      <c r="Q27" s="970" t="n"/>
      <c r="R27" s="970">
        <f>R26*R23</f>
        <v/>
      </c>
      <c r="S27" s="970">
        <f>S26*S23</f>
        <v/>
      </c>
      <c r="T27" s="970">
        <f>T26*T23</f>
        <v/>
      </c>
      <c r="U27" s="1115" t="n"/>
      <c r="V27" s="604" t="n"/>
      <c r="W27" s="544" t="n"/>
      <c r="X27" s="585" t="n"/>
      <c r="Z27" s="578" t="inlineStr">
        <is>
          <t>Price Target ($)</t>
        </is>
      </c>
      <c r="AA27" s="616" t="n"/>
      <c r="AB27" s="604" t="n"/>
      <c r="AC27" s="970" t="n">
        <v>211.4817635771623</v>
      </c>
      <c r="AD27" s="970" t="n">
        <v>231.5631183335031</v>
      </c>
      <c r="AE27" s="970" t="n">
        <v>258.1775652142897</v>
      </c>
      <c r="AF27" s="970" t="n">
        <v>287.1844338043887</v>
      </c>
      <c r="AG27" s="1115" t="n"/>
      <c r="AH27" s="604" t="n"/>
      <c r="AI27" s="544" t="n"/>
      <c r="AJ27" s="585" t="n"/>
    </row>
    <row r="28">
      <c r="B28" s="650" t="inlineStr">
        <is>
          <t xml:space="preserve">   Upside / (Downside) vs current</t>
        </is>
      </c>
      <c r="C28" s="617" t="n"/>
      <c r="D28" s="605" t="n"/>
      <c r="E28" s="1116" t="n"/>
      <c r="F28" s="1116">
        <f>IFERROR(F27/$K$2-1,"")</f>
        <v/>
      </c>
      <c r="G28" s="1116">
        <f>IFERROR(G27/$K$2-1,"")</f>
        <v/>
      </c>
      <c r="H28" s="1116">
        <f>IFERROR(H27/$K$2-1,"")</f>
        <v/>
      </c>
      <c r="I28" s="1117" t="n"/>
      <c r="J28" s="605" t="n"/>
      <c r="K28" s="171" t="n"/>
      <c r="L28" s="586" t="n"/>
      <c r="N28" s="650" t="inlineStr">
        <is>
          <t xml:space="preserve">   Upside / (Downside) vs current</t>
        </is>
      </c>
      <c r="O28" s="617" t="n"/>
      <c r="P28" s="605" t="n"/>
      <c r="Q28" s="1116" t="n"/>
      <c r="R28" s="1116">
        <f>IFERROR(R27/$K$2-1,"")</f>
        <v/>
      </c>
      <c r="S28" s="1116">
        <f>IFERROR(S27/$K$2-1,"")</f>
        <v/>
      </c>
      <c r="T28" s="1116">
        <f>IFERROR(T27/$K$2-1,"")</f>
        <v/>
      </c>
      <c r="U28" s="1117" t="n"/>
      <c r="V28" s="605" t="n"/>
      <c r="W28" s="171" t="n"/>
      <c r="X28" s="586" t="n"/>
      <c r="Z28" s="650" t="inlineStr">
        <is>
          <t xml:space="preserve">   Upside / (Downside) vs current</t>
        </is>
      </c>
      <c r="AA28" s="617" t="n"/>
      <c r="AB28" s="605" t="n"/>
      <c r="AC28" s="1116" t="n">
        <v>-0.3178007626543151</v>
      </c>
      <c r="AD28" s="1116" t="n">
        <v>-0.2530221989241836</v>
      </c>
      <c r="AE28" s="1116" t="n">
        <v>-0.1671691444700332</v>
      </c>
      <c r="AF28" s="1116" t="n">
        <v>-0.0735986006310041</v>
      </c>
      <c r="AG28" s="1117" t="n"/>
      <c r="AH28" s="605" t="n"/>
      <c r="AI28" s="171" t="n"/>
      <c r="AJ28" s="586" t="n"/>
    </row>
    <row r="29" ht="16.5" customHeight="1" thickBot="1">
      <c r="B29" s="579" t="inlineStr">
        <is>
          <t>IRR (to Dec-Y-1)</t>
        </is>
      </c>
      <c r="C29" s="618" t="n"/>
      <c r="D29" s="579" t="n"/>
      <c r="E29" s="1118" t="n"/>
      <c r="F29" s="1119">
        <f>IFERROR((F27/$K$2)^(1/((DATE(2025+3,12,31)-$K$3)/365.25))-1,"")</f>
        <v/>
      </c>
      <c r="G29" s="1119">
        <f>IFERROR((G27/$K$2)^(1/((DATE(2025+4,12,31)-$K$3)/365.25))-1,"")</f>
        <v/>
      </c>
      <c r="H29" s="1119">
        <f>IFERROR((H27/$K$2)^(1/((DATE(2025+5,12,31)-$K$3)/365.25))-1,"")</f>
        <v/>
      </c>
      <c r="I29" s="1120" t="n"/>
      <c r="J29" s="579" t="n"/>
      <c r="K29" s="568" t="n"/>
      <c r="L29" s="587" t="n"/>
      <c r="N29" s="579" t="inlineStr">
        <is>
          <t>IRR (to Dec-Y-1)</t>
        </is>
      </c>
      <c r="O29" s="618" t="n"/>
      <c r="P29" s="579" t="n"/>
      <c r="Q29" s="1118" t="n"/>
      <c r="R29" s="1119">
        <f>IFERROR((R27/$K$2)^(1/((DATE(2025+3,12,31)-$K$3)/365.25))-1,"")</f>
        <v/>
      </c>
      <c r="S29" s="1119">
        <f>IFERROR((S27/$K$2)^(1/((DATE(2025+4,12,31)-$K$3)/365.25))-1,"")</f>
        <v/>
      </c>
      <c r="T29" s="1119">
        <f>IFERROR((T27/$K$2)^(1/((DATE(2025+5,12,31)-$K$3)/365.25))-1,"")</f>
        <v/>
      </c>
      <c r="U29" s="1120" t="n"/>
      <c r="V29" s="579" t="n"/>
      <c r="W29" s="568" t="n"/>
      <c r="X29" s="587" t="n"/>
      <c r="Z29" s="579" t="inlineStr">
        <is>
          <t>IRR (to Dec-Y-1)</t>
        </is>
      </c>
      <c r="AA29" s="618" t="n"/>
      <c r="AB29" s="579" t="n"/>
      <c r="AC29" s="1118" t="n">
        <v>-0.2127305139938952</v>
      </c>
      <c r="AD29" s="1119" t="n">
        <v>-0.1060975184257902</v>
      </c>
      <c r="AE29" s="1119" t="n">
        <v>-0.04953938684831194</v>
      </c>
      <c r="AF29" s="1119" t="n">
        <v>-0.01648318157850437</v>
      </c>
      <c r="AG29" s="1120" t="n"/>
      <c r="AH29" s="579" t="n"/>
      <c r="AI29" s="568" t="n"/>
      <c r="AJ29" s="587" t="n"/>
    </row>
    <row r="30">
      <c r="B30" s="575" t="n"/>
      <c r="C30" s="608" t="n"/>
      <c r="D30" s="575" t="n"/>
      <c r="I30" s="1102" t="n"/>
      <c r="J30" s="575" t="n"/>
      <c r="L30" s="581" t="n"/>
      <c r="N30" s="575" t="n"/>
      <c r="O30" s="608" t="n"/>
      <c r="P30" s="575" t="n"/>
      <c r="U30" s="1102" t="n"/>
      <c r="V30" s="575" t="n"/>
      <c r="X30" s="581" t="n"/>
      <c r="Z30" s="575" t="n"/>
      <c r="AA30" s="608" t="n"/>
      <c r="AB30" s="575" t="n"/>
      <c r="AG30" s="1102" t="n"/>
      <c r="AH30" s="575" t="n"/>
      <c r="AJ30" s="581" t="n"/>
    </row>
    <row r="31">
      <c r="B31" s="576" t="inlineStr">
        <is>
          <t>Free Cash Flow</t>
        </is>
      </c>
      <c r="C31" s="609">
        <f>Model!CD210</f>
        <v/>
      </c>
      <c r="D31" s="625">
        <f>Model!CI210</f>
        <v/>
      </c>
      <c r="E31" s="570">
        <f>Model!CJ210</f>
        <v/>
      </c>
      <c r="F31" s="570">
        <f>Model!CK210</f>
        <v/>
      </c>
      <c r="G31" s="570">
        <f>Model!CL210</f>
        <v/>
      </c>
      <c r="H31" s="570">
        <f>Model!CM210</f>
        <v/>
      </c>
      <c r="I31" s="1097">
        <f>IFERROR((H31/C31)^(1/5)-1,"n/m")</f>
        <v/>
      </c>
      <c r="J31" s="575" t="n"/>
      <c r="L31" s="581" t="n"/>
      <c r="N31" s="576" t="inlineStr">
        <is>
          <t>Free Cash Flow</t>
        </is>
      </c>
      <c r="O31" s="609" t="n">
        <v>128.355</v>
      </c>
      <c r="P31" s="625" t="n">
        <v>209.9732655571847</v>
      </c>
      <c r="Q31" s="570" t="n">
        <v>255.8854606212174</v>
      </c>
      <c r="R31" s="570" t="n">
        <v>364.4777030205316</v>
      </c>
      <c r="S31" s="570" t="n">
        <v>424.2843157872837</v>
      </c>
      <c r="T31" s="570" t="n">
        <v>452.070333284684</v>
      </c>
      <c r="U31" s="1097" t="n">
        <v>0.286348496813746</v>
      </c>
      <c r="V31" s="575" t="n"/>
      <c r="X31" s="581" t="n"/>
      <c r="Z31" s="576" t="inlineStr">
        <is>
          <t>Free Cash Flow</t>
        </is>
      </c>
      <c r="AA31" s="609" t="n">
        <v>128.355</v>
      </c>
      <c r="AB31" s="625" t="n">
        <v>209.9732655571847</v>
      </c>
      <c r="AC31" s="570" t="n">
        <v>320.0183098833722</v>
      </c>
      <c r="AD31" s="570" t="n">
        <v>387.7239577690399</v>
      </c>
      <c r="AE31" s="570" t="n">
        <v>411.446490638956</v>
      </c>
      <c r="AF31" s="570" t="n">
        <v>410.8610039402384</v>
      </c>
      <c r="AG31" s="1097" t="n">
        <v>0.2619914901702272</v>
      </c>
      <c r="AH31" s="575" t="n"/>
      <c r="AJ31" s="581" t="n"/>
    </row>
    <row r="32">
      <c r="B32" s="648" t="inlineStr">
        <is>
          <t xml:space="preserve">   FCF %</t>
        </is>
      </c>
      <c r="C32" s="1121">
        <f>IFERROR(C31/C9,"")</f>
        <v/>
      </c>
      <c r="D32" s="1108">
        <f>IFERROR(D31/D9,"")</f>
        <v/>
      </c>
      <c r="E32" s="1109">
        <f>IFERROR(E31/E9,"")</f>
        <v/>
      </c>
      <c r="F32" s="1109">
        <f>IFERROR(F31/F9,"")</f>
        <v/>
      </c>
      <c r="G32" s="1109">
        <f>IFERROR(G31/G9,"")</f>
        <v/>
      </c>
      <c r="H32" s="1109">
        <f>IFERROR(H31/H9,"")</f>
        <v/>
      </c>
      <c r="I32" s="575" t="n"/>
      <c r="J32" s="1122">
        <f>AVERAGE(IFERROR(Model!AF210/Model!AF114,NA()),IFERROR(Model!AK210/Model!AK114,NA()),IFERROR(Model!AP210/Model!AP114,NA()),IFERROR(Model!AU210/Model!AU114,NA()),IFERROR(Model!AZ210/Model!AZ114,NA()),IFERROR(Model!BE210/Model!BE114,NA()),IFERROR(Model!BJ210/Model!BJ114,NA()),IFERROR(Model!BO210/Model!BO114,NA()),IFERROR(Model!BT210/Model!BT114,NA()),IFERROR(Model!BY210/Model!BY114,NA()),IFERROR(Model!CD210/Model!CD114,NA()))</f>
        <v/>
      </c>
      <c r="K32" s="1123">
        <f>MIN(IFERROR(Model!AF210/Model!AF114,99),IFERROR(Model!AK210/Model!AK114,99),IFERROR(Model!AP210/Model!AP114,99),IFERROR(Model!AU210/Model!AU114,99),IFERROR(Model!AZ210/Model!AZ114,99),IFERROR(Model!BE210/Model!BE114,99),IFERROR(Model!BJ210/Model!BJ114,99),IFERROR(Model!BO210/Model!BO114,99),IFERROR(Model!BT210/Model!BT114,99),IFERROR(Model!BY210/Model!BY114,99),IFERROR(Model!CD210/Model!CD114,99))</f>
        <v/>
      </c>
      <c r="L32" s="1124">
        <f>MAX(IFERROR(Model!AF210/Model!AF114,-99),IFERROR(Model!AK210/Model!AK114,-99),IFERROR(Model!AP210/Model!AP114,-99),IFERROR(Model!AU210/Model!AU114,-99),IFERROR(Model!AZ210/Model!AZ114,-99),IFERROR(Model!BE210/Model!BE114,-99),IFERROR(Model!BJ210/Model!BJ114,-99),IFERROR(Model!BO210/Model!BO114,-99),IFERROR(Model!BT210/Model!BT114,-99),IFERROR(Model!BY210/Model!BY114,-99),IFERROR(Model!CD210/Model!CD114,-99))</f>
        <v/>
      </c>
      <c r="N32" s="648" t="inlineStr">
        <is>
          <t xml:space="preserve">   FCF %</t>
        </is>
      </c>
      <c r="O32" s="1121" t="n">
        <v>0.03324721599409836</v>
      </c>
      <c r="P32" s="1108" t="n">
        <v>0.04923182837728084</v>
      </c>
      <c r="Q32" s="1109" t="n">
        <v>0.0540054391926428</v>
      </c>
      <c r="R32" s="1109" t="n">
        <v>0.07041824173447359</v>
      </c>
      <c r="S32" s="1109" t="n">
        <v>0.07569418887294753</v>
      </c>
      <c r="T32" s="1109" t="n">
        <v>0.07475522999875275</v>
      </c>
      <c r="U32" s="575" t="n"/>
      <c r="V32" s="1122" t="n">
        <v>0.0466779481473105</v>
      </c>
      <c r="W32" s="1123" t="n">
        <v>-0.0113558028942853</v>
      </c>
      <c r="X32" s="1124" t="n">
        <v>0.1063629366010805</v>
      </c>
      <c r="Z32" s="648" t="inlineStr">
        <is>
          <t xml:space="preserve">   FCF %</t>
        </is>
      </c>
      <c r="AA32" s="1121" t="n">
        <v>0.03324721599409836</v>
      </c>
      <c r="AB32" s="1108" t="n">
        <v>0.04923182837728084</v>
      </c>
      <c r="AC32" s="1109" t="n">
        <v>0.07237954740577396</v>
      </c>
      <c r="AD32" s="1109" t="n">
        <v>0.08510337613117647</v>
      </c>
      <c r="AE32" s="1109" t="n">
        <v>0.0878380312310242</v>
      </c>
      <c r="AF32" s="1109" t="n">
        <v>0.08520226157175209</v>
      </c>
      <c r="AG32" s="575" t="n"/>
      <c r="AH32" s="1122" t="n">
        <v>0.0466779481473105</v>
      </c>
      <c r="AI32" s="1123" t="n">
        <v>-0.0113558028942853</v>
      </c>
      <c r="AJ32" s="1124" t="n">
        <v>0.1063629366010805</v>
      </c>
    </row>
    <row r="33">
      <c r="B33" s="648" t="inlineStr">
        <is>
          <t xml:space="preserve">   FCF / share ($)</t>
        </is>
      </c>
      <c r="C33" s="1125">
        <f>IFERROR(C31*1000/C21,"")</f>
        <v/>
      </c>
      <c r="D33" s="1126">
        <f>IFERROR(D31*1000/D21,"")</f>
        <v/>
      </c>
      <c r="E33" s="1127">
        <f>IFERROR(E31*1000/E21,"")</f>
        <v/>
      </c>
      <c r="F33" s="1127">
        <f>IFERROR(F31*1000/F21,"")</f>
        <v/>
      </c>
      <c r="G33" s="1127">
        <f>IFERROR(G31*1000/G21,"")</f>
        <v/>
      </c>
      <c r="H33" s="1127">
        <f>IFERROR(H31*1000/H21,"")</f>
        <v/>
      </c>
      <c r="I33" s="1102" t="n"/>
      <c r="J33" s="575" t="n"/>
      <c r="L33" s="581" t="n"/>
      <c r="N33" s="648" t="inlineStr">
        <is>
          <t xml:space="preserve">   FCF / share ($)</t>
        </is>
      </c>
      <c r="O33" s="1125" t="n">
        <v>4.000766646070871</v>
      </c>
      <c r="P33" s="1126" t="n">
        <v>6.634683723250814</v>
      </c>
      <c r="Q33" s="1127" t="n">
        <v>8.190567946148123</v>
      </c>
      <c r="R33" s="1127" t="n">
        <v>11.81002423915315</v>
      </c>
      <c r="S33" s="1127" t="n">
        <v>13.90785520023615</v>
      </c>
      <c r="T33" s="1127" t="n">
        <v>14.981559827093</v>
      </c>
      <c r="U33" s="1102" t="n"/>
      <c r="V33" s="575" t="n"/>
      <c r="X33" s="581" t="n"/>
      <c r="Z33" s="648" t="inlineStr">
        <is>
          <t xml:space="preserve">   FCF / share ($)</t>
        </is>
      </c>
      <c r="AA33" s="1125" t="n">
        <v>4.000766646070871</v>
      </c>
      <c r="AB33" s="1126" t="n">
        <v>6.634683723250814</v>
      </c>
      <c r="AC33" s="1127" t="n">
        <v>10.2433788334354</v>
      </c>
      <c r="AD33" s="1127" t="n">
        <v>12.56326327071593</v>
      </c>
      <c r="AE33" s="1127" t="n">
        <v>13.48703687958343</v>
      </c>
      <c r="AF33" s="1127" t="n">
        <v>13.61588730325718</v>
      </c>
      <c r="AG33" s="1102" t="n"/>
      <c r="AH33" s="575" t="n"/>
      <c r="AJ33" s="581" t="n"/>
    </row>
    <row r="34">
      <c r="B34" s="647" t="inlineStr">
        <is>
          <t xml:space="preserve">   FCF Yield (on PT)</t>
        </is>
      </c>
      <c r="C34" s="1128" t="n"/>
      <c r="D34" s="1129">
        <f>IFERROR(D33/D27,"")</f>
        <v/>
      </c>
      <c r="E34" s="1130">
        <f>IFERROR(E33/E27,"")</f>
        <v/>
      </c>
      <c r="F34" s="1130">
        <f>IFERROR(F33/F27,"")</f>
        <v/>
      </c>
      <c r="G34" s="1130">
        <f>IFERROR(G33/G27,"")</f>
        <v/>
      </c>
      <c r="H34" s="1130">
        <f>IFERROR(H33/H27,"")</f>
        <v/>
      </c>
      <c r="I34" s="1101" t="n"/>
      <c r="J34" s="600" t="n"/>
      <c r="K34" s="561" t="n"/>
      <c r="L34" s="582" t="n"/>
      <c r="N34" s="647" t="inlineStr">
        <is>
          <t xml:space="preserve">   FCF Yield (on PT)</t>
        </is>
      </c>
      <c r="O34" s="1128" t="n"/>
      <c r="P34" s="1129" t="inlineStr"/>
      <c r="Q34" s="1130" t="n">
        <v>0.02936171302361834</v>
      </c>
      <c r="R34" s="1130" t="n">
        <v>0.03630682694653374</v>
      </c>
      <c r="S34" s="1130" t="n">
        <v>0.03632431245300293</v>
      </c>
      <c r="T34" s="1130" t="n">
        <v>0.03354066427772826</v>
      </c>
      <c r="U34" s="1101" t="n"/>
      <c r="V34" s="600" t="n"/>
      <c r="W34" s="561" t="n"/>
      <c r="X34" s="582" t="n"/>
      <c r="Z34" s="647" t="inlineStr">
        <is>
          <t xml:space="preserve">   FCF Yield (on PT)</t>
        </is>
      </c>
      <c r="AA34" s="1128" t="n"/>
      <c r="AB34" s="1129" t="inlineStr"/>
      <c r="AC34" s="1130" t="n">
        <v>0.04843622759793163</v>
      </c>
      <c r="AD34" s="1130" t="n">
        <v>0.05425416344852464</v>
      </c>
      <c r="AE34" s="1130" t="n">
        <v>0.05223938365205772</v>
      </c>
      <c r="AF34" s="1130" t="n">
        <v>0.0474116480579565</v>
      </c>
      <c r="AG34" s="1101" t="n"/>
      <c r="AH34" s="600" t="n"/>
      <c r="AI34" s="561" t="n"/>
      <c r="AJ34" s="582" t="n"/>
    </row>
    <row r="35">
      <c r="B35" s="576" t="inlineStr">
        <is>
          <t>EBITDA (before special items)</t>
        </is>
      </c>
      <c r="C35" s="609">
        <f>IF(ISNUMBER(Model!CD150),IF(Model!CD150&gt;0,Model!CD150,Model!CD126),Model!CD126)+Model!CD176+Model!CD177</f>
        <v/>
      </c>
      <c r="D35" s="625">
        <f>IF(ISNUMBER(Model!CI150),IF(Model!CI150&gt;0,Model!CI150,Model!CI126),Model!CI126)+Model!CI176+Model!CI177</f>
        <v/>
      </c>
      <c r="E35" s="570">
        <f>IF(ISNUMBER(Model!CJ150),IF(Model!CJ150&gt;0,Model!CJ150,Model!CJ126),Model!CJ126)+Model!CJ176+Model!CJ177</f>
        <v/>
      </c>
      <c r="F35" s="570">
        <f>IF(ISNUMBER(Model!CK150),IF(Model!CK150&gt;0,Model!CK150,Model!CK126),Model!CK126)+Model!CK176+Model!CK177</f>
        <v/>
      </c>
      <c r="G35" s="570">
        <f>IF(ISNUMBER(Model!CL150),IF(Model!CL150&gt;0,Model!CL150,Model!CL126),Model!CL126)+Model!CL176+Model!CL177</f>
        <v/>
      </c>
      <c r="H35" s="570">
        <f>IF(ISNUMBER(Model!CM150),IF(Model!CM150&gt;0,Model!CM150,Model!CM126),Model!CM126)+Model!CM176+Model!CM177</f>
        <v/>
      </c>
      <c r="I35" s="1097">
        <f>IFERROR((H35/C35)^(1/5)-1,"n/m")</f>
        <v/>
      </c>
      <c r="J35" s="575" t="n"/>
      <c r="L35" s="581" t="n"/>
      <c r="N35" s="576" t="inlineStr">
        <is>
          <t>EBITDA (before special items)</t>
        </is>
      </c>
      <c r="O35" s="609" t="n">
        <v>604.996</v>
      </c>
      <c r="P35" s="625" t="n">
        <v>626.4331297416394</v>
      </c>
      <c r="Q35" s="570" t="n">
        <v>710.1268665207915</v>
      </c>
      <c r="R35" s="570" t="n">
        <v>795.5507284728191</v>
      </c>
      <c r="S35" s="570" t="n">
        <v>899.6283121332808</v>
      </c>
      <c r="T35" s="570" t="n">
        <v>1013.329379764462</v>
      </c>
      <c r="U35" s="1097" t="n">
        <v>0.1086631848433688</v>
      </c>
      <c r="V35" s="575" t="n"/>
      <c r="X35" s="581" t="n"/>
      <c r="Z35" s="576" t="inlineStr">
        <is>
          <t>EBITDA (before special items)</t>
        </is>
      </c>
      <c r="AA35" s="609" t="n">
        <v>604.996</v>
      </c>
      <c r="AB35" s="625" t="n">
        <v>626.4331297416394</v>
      </c>
      <c r="AC35" s="570" t="n">
        <v>663.6062234592588</v>
      </c>
      <c r="AD35" s="570" t="n">
        <v>701.3952603183225</v>
      </c>
      <c r="AE35" s="570" t="n">
        <v>752.8353543147269</v>
      </c>
      <c r="AF35" s="570" t="n">
        <v>808.8897600620168</v>
      </c>
      <c r="AG35" s="1097" t="n">
        <v>0.05980842311876278</v>
      </c>
      <c r="AH35" s="575" t="n"/>
      <c r="AJ35" s="581" t="n"/>
    </row>
    <row r="36">
      <c r="B36" s="647" t="inlineStr">
        <is>
          <t xml:space="preserve">   EBITDA %</t>
        </is>
      </c>
      <c r="C36" s="1098">
        <f>IFERROR(C35/C9,"")</f>
        <v/>
      </c>
      <c r="D36" s="1103">
        <f>IFERROR(D35/D9,"")</f>
        <v/>
      </c>
      <c r="E36" s="1104">
        <f>IFERROR(E35/E9,"")</f>
        <v/>
      </c>
      <c r="F36" s="1104">
        <f>IFERROR(F35/F9,"")</f>
        <v/>
      </c>
      <c r="G36" s="1104">
        <f>IFERROR(G35/G9,"")</f>
        <v/>
      </c>
      <c r="H36" s="1104">
        <f>IFERROR(H35/H9,"")</f>
        <v/>
      </c>
      <c r="I36" s="600" t="n"/>
      <c r="J36" s="1105">
        <f>AVERAGE(IFERROR((IF(ISNUMBER(Model!AF150),IF(Model!AF150&gt;0,Model!AF150,Model!AF126),Model!AF126)+Model!AF176+Model!AF177)/Model!AF114,NA()),IFERROR((IF(ISNUMBER(Model!AK150),IF(Model!AK150&gt;0,Model!AK150,Model!AK126),Model!AK126)+Model!AK176+Model!AK177)/Model!AK114,NA()),IFERROR((IF(ISNUMBER(Model!AP150),IF(Model!AP150&gt;0,Model!AP150,Model!AP126),Model!AP126)+Model!AP176+Model!AP177)/Model!AP114,NA()),IFERROR((IF(ISNUMBER(Model!AU150),IF(Model!AU150&gt;0,Model!AU150,Model!AU126),Model!AU126)+Model!AU176+Model!AU177)/Model!AU114,NA()),IFERROR((IF(ISNUMBER(Model!AZ150),IF(Model!AZ150&gt;0,Model!AZ150,Model!AZ126),Model!AZ126)+Model!AZ176+Model!AZ177)/Model!AZ114,NA()),IFERROR((IF(ISNUMBER(Model!BE150),IF(Model!BE150&gt;0,Model!BE150,Model!BE126),Model!BE126)+Model!BE176+Model!BE177)/Model!BE114,NA()),IFERROR((IF(ISNUMBER(Model!BJ150),IF(Model!BJ150&gt;0,Model!BJ150,Model!BJ126),Model!BJ126)+Model!BJ176+Model!BJ177)/Model!BJ114,NA()),IFERROR((IF(ISNUMBER(Model!BO150),IF(Model!BO150&gt;0,Model!BO150,Model!BO126),Model!BO126)+Model!BO176+Model!BO177)/Model!BO114,NA()),IFERROR((IF(ISNUMBER(Model!BT150),IF(Model!BT150&gt;0,Model!BT150,Model!BT126),Model!BT126)+Model!BT176+Model!BT177)/Model!BT114,NA()),IFERROR((IF(ISNUMBER(Model!BY150),IF(Model!BY150&gt;0,Model!BY150,Model!BY126),Model!BY126)+Model!BY176+Model!BY177)/Model!BY114,NA()),IFERROR((IF(ISNUMBER(Model!CD150),IF(Model!CD150&gt;0,Model!CD150,Model!CD126),Model!CD126)+Model!CD176+Model!CD177)/Model!CD114,NA()))</f>
        <v/>
      </c>
      <c r="K36" s="1106">
        <f>MIN(IFERROR((IF(ISNUMBER(Model!AF150),IF(Model!AF150&gt;0,Model!AF150,Model!AF126),Model!AF126)+Model!AF176+Model!AF177)/Model!AF114,99),IFERROR((IF(ISNUMBER(Model!AK150),IF(Model!AK150&gt;0,Model!AK150,Model!AK126),Model!AK126)+Model!AK176+Model!AK177)/Model!AK114,99),IFERROR((IF(ISNUMBER(Model!AP150),IF(Model!AP150&gt;0,Model!AP150,Model!AP126),Model!AP126)+Model!AP176+Model!AP177)/Model!AP114,99),IFERROR((IF(ISNUMBER(Model!AU150),IF(Model!AU150&gt;0,Model!AU150,Model!AU126),Model!AU126)+Model!AU176+Model!AU177)/Model!AU114,99),IFERROR((IF(ISNUMBER(Model!AZ150),IF(Model!AZ150&gt;0,Model!AZ150,Model!AZ126),Model!AZ126)+Model!AZ176+Model!AZ177)/Model!AZ114,99),IFERROR((IF(ISNUMBER(Model!BE150),IF(Model!BE150&gt;0,Model!BE150,Model!BE126),Model!BE126)+Model!BE176+Model!BE177)/Model!BE114,99),IFERROR((IF(ISNUMBER(Model!BJ150),IF(Model!BJ150&gt;0,Model!BJ150,Model!BJ126),Model!BJ126)+Model!BJ176+Model!BJ177)/Model!BJ114,99),IFERROR((IF(ISNUMBER(Model!BO150),IF(Model!BO150&gt;0,Model!BO150,Model!BO126),Model!BO126)+Model!BO176+Model!BO177)/Model!BO114,99),IFERROR((IF(ISNUMBER(Model!BT150),IF(Model!BT150&gt;0,Model!BT150,Model!BT126),Model!BT126)+Model!BT176+Model!BT177)/Model!BT114,99),IFERROR((IF(ISNUMBER(Model!BY150),IF(Model!BY150&gt;0,Model!BY150,Model!BY126),Model!BY126)+Model!BY176+Model!BY177)/Model!BY114,99),IFERROR((IF(ISNUMBER(Model!CD150),IF(Model!CD150&gt;0,Model!CD150,Model!CD126),Model!CD126)+Model!CD176+Model!CD177)/Model!CD114,99))</f>
        <v/>
      </c>
      <c r="L36" s="1107">
        <f>MAX(IFERROR((IF(ISNUMBER(Model!AF150),IF(Model!AF150&gt;0,Model!AF150,Model!AF126),Model!AF126)+Model!AF176+Model!AF177)/Model!AF114,-99),IFERROR((IF(ISNUMBER(Model!AK150),IF(Model!AK150&gt;0,Model!AK150,Model!AK126),Model!AK126)+Model!AK176+Model!AK177)/Model!AK114,-99),IFERROR((IF(ISNUMBER(Model!AP150),IF(Model!AP150&gt;0,Model!AP150,Model!AP126),Model!AP126)+Model!AP176+Model!AP177)/Model!AP114,-99),IFERROR((IF(ISNUMBER(Model!AU150),IF(Model!AU150&gt;0,Model!AU150,Model!AU126),Model!AU126)+Model!AU176+Model!AU177)/Model!AU114,-99),IFERROR((IF(ISNUMBER(Model!AZ150),IF(Model!AZ150&gt;0,Model!AZ150,Model!AZ126),Model!AZ126)+Model!AZ176+Model!AZ177)/Model!AZ114,-99),IFERROR((IF(ISNUMBER(Model!BE150),IF(Model!BE150&gt;0,Model!BE150,Model!BE126),Model!BE126)+Model!BE176+Model!BE177)/Model!BE114,-99),IFERROR((IF(ISNUMBER(Model!BJ150),IF(Model!BJ150&gt;0,Model!BJ150,Model!BJ126),Model!BJ126)+Model!BJ176+Model!BJ177)/Model!BJ114,-99),IFERROR((IF(ISNUMBER(Model!BO150),IF(Model!BO150&gt;0,Model!BO150,Model!BO126),Model!BO126)+Model!BO176+Model!BO177)/Model!BO114,-99),IFERROR((IF(ISNUMBER(Model!BT150),IF(Model!BT150&gt;0,Model!BT150,Model!BT126),Model!BT126)+Model!BT176+Model!BT177)/Model!BT114,-99),IFERROR((IF(ISNUMBER(Model!BY150),IF(Model!BY150&gt;0,Model!BY150,Model!BY126),Model!BY126)+Model!BY176+Model!BY177)/Model!BY114,-99),IFERROR((IF(ISNUMBER(Model!CD150),IF(Model!CD150&gt;0,Model!CD150,Model!CD126),Model!CD126)+Model!CD176+Model!CD177)/Model!CD114,-99))</f>
        <v/>
      </c>
      <c r="N36" s="647" t="inlineStr">
        <is>
          <t xml:space="preserve">   EBITDA %</t>
        </is>
      </c>
      <c r="O36" s="1098" t="n">
        <v>0.1567093816958088</v>
      </c>
      <c r="P36" s="1103" t="n">
        <v>0.1468779763530616</v>
      </c>
      <c r="Q36" s="1104" t="n">
        <v>0.1498745306429131</v>
      </c>
      <c r="R36" s="1104" t="n">
        <v>0.1537029097949505</v>
      </c>
      <c r="S36" s="1104" t="n">
        <v>0.1604976494304541</v>
      </c>
      <c r="T36" s="1104" t="n">
        <v>0.1675661180825206</v>
      </c>
      <c r="U36" s="600" t="n"/>
      <c r="V36" s="1105" t="n">
        <v>0.1367446833117962</v>
      </c>
      <c r="W36" s="1106" t="n">
        <v>0.1252844945144232</v>
      </c>
      <c r="X36" s="1107" t="n">
        <v>0.1567093816958088</v>
      </c>
      <c r="Z36" s="647" t="inlineStr">
        <is>
          <t xml:space="preserve">   EBITDA %</t>
        </is>
      </c>
      <c r="AA36" s="1098" t="n">
        <v>0.1567093816958088</v>
      </c>
      <c r="AB36" s="1103" t="n">
        <v>0.1468779763530616</v>
      </c>
      <c r="AC36" s="1104" t="n">
        <v>0.1500899061904948</v>
      </c>
      <c r="AD36" s="1104" t="n">
        <v>0.1539525826543108</v>
      </c>
      <c r="AE36" s="1104" t="n">
        <v>0.1607197457473104</v>
      </c>
      <c r="AF36" s="1104" t="n">
        <v>0.1677434369739805</v>
      </c>
      <c r="AG36" s="600" t="n"/>
      <c r="AH36" s="1105" t="n">
        <v>0.1367446833117962</v>
      </c>
      <c r="AI36" s="1106" t="n">
        <v>0.1252844945144232</v>
      </c>
      <c r="AJ36" s="1107" t="n">
        <v>0.1567093816958088</v>
      </c>
    </row>
    <row r="37">
      <c r="B37" s="575" t="n"/>
      <c r="C37" s="608" t="n"/>
      <c r="D37" s="575" t="n"/>
      <c r="I37" s="575" t="n"/>
      <c r="J37" s="575" t="n"/>
      <c r="L37" s="581" t="n"/>
      <c r="N37" s="575" t="n"/>
      <c r="O37" s="608" t="n"/>
      <c r="P37" s="575" t="n"/>
      <c r="U37" s="575" t="n"/>
      <c r="V37" s="575" t="n"/>
      <c r="X37" s="581" t="n"/>
      <c r="Z37" s="575" t="n"/>
      <c r="AA37" s="608" t="n"/>
      <c r="AB37" s="575" t="n"/>
      <c r="AG37" s="575" t="n"/>
      <c r="AH37" s="575" t="n"/>
      <c r="AJ37" s="581" t="n"/>
    </row>
    <row r="38">
      <c r="B38" s="576" t="inlineStr">
        <is>
          <t>Net Debt</t>
        </is>
      </c>
      <c r="C38" s="609">
        <f>Model!CD331</f>
        <v/>
      </c>
      <c r="D38" s="625">
        <f>Model!CI331</f>
        <v/>
      </c>
      <c r="E38" s="570">
        <f>Model!CJ331</f>
        <v/>
      </c>
      <c r="F38" s="570">
        <f>Model!CK331</f>
        <v/>
      </c>
      <c r="G38" s="570">
        <f>Model!CL331</f>
        <v/>
      </c>
      <c r="H38" s="570">
        <f>Model!CM331</f>
        <v/>
      </c>
      <c r="I38" s="575" t="n"/>
      <c r="J38" s="575" t="n"/>
      <c r="L38" s="581" t="n"/>
      <c r="N38" s="576" t="inlineStr">
        <is>
          <t>Net Debt</t>
        </is>
      </c>
      <c r="O38" s="609" t="n">
        <v>883.4730000000001</v>
      </c>
      <c r="P38" s="625" t="n">
        <v>833.4997344428153</v>
      </c>
      <c r="Q38" s="570" t="n">
        <v>747.614273821598</v>
      </c>
      <c r="R38" s="570" t="n">
        <v>558.1365708010663</v>
      </c>
      <c r="S38" s="570" t="n">
        <v>313.8522550137826</v>
      </c>
      <c r="T38" s="570" t="n">
        <v>46.7819217290986</v>
      </c>
      <c r="U38" s="575" t="n"/>
      <c r="V38" s="575" t="n"/>
      <c r="X38" s="581" t="n"/>
      <c r="Z38" s="576" t="inlineStr">
        <is>
          <t>Net Debt</t>
        </is>
      </c>
      <c r="AA38" s="609" t="n">
        <v>883.4730000000001</v>
      </c>
      <c r="AB38" s="625" t="n">
        <v>833.4997344428153</v>
      </c>
      <c r="AC38" s="570" t="n">
        <v>683.4814245594431</v>
      </c>
      <c r="AD38" s="570" t="n">
        <v>470.7574667904032</v>
      </c>
      <c r="AE38" s="570" t="n">
        <v>239.3109761514472</v>
      </c>
      <c r="AF38" s="570" t="n">
        <v>13.44997221120877</v>
      </c>
      <c r="AG38" s="575" t="n"/>
      <c r="AH38" s="575" t="n"/>
      <c r="AJ38" s="581" t="n"/>
    </row>
    <row r="39">
      <c r="B39" s="647" t="inlineStr">
        <is>
          <t xml:space="preserve">   Net Debt / EBITDA (x)</t>
        </is>
      </c>
      <c r="C39" s="621">
        <f>IFERROR(C38/C35,"")</f>
        <v/>
      </c>
      <c r="D39" s="948">
        <f>IFERROR(D38/D35,"")</f>
        <v/>
      </c>
      <c r="E39" s="949">
        <f>IFERROR(E38/E35,"")</f>
        <v/>
      </c>
      <c r="F39" s="949">
        <f>IFERROR(F38/F35,"")</f>
        <v/>
      </c>
      <c r="G39" s="949">
        <f>IFERROR(G38/G35,"")</f>
        <v/>
      </c>
      <c r="H39" s="949">
        <f>IFERROR(H38/H35,"")</f>
        <v/>
      </c>
      <c r="I39" s="600" t="n"/>
      <c r="J39" s="600" t="n"/>
      <c r="K39" s="561" t="n"/>
      <c r="L39" s="582" t="n"/>
      <c r="N39" s="647" t="inlineStr">
        <is>
          <t xml:space="preserve">   Net Debt / EBITDA (x)</t>
        </is>
      </c>
      <c r="O39" s="621" t="n">
        <v>1.4602956052602</v>
      </c>
      <c r="P39" s="948" t="n">
        <v>1.330548617035272</v>
      </c>
      <c r="Q39" s="949" t="n">
        <v>1.052789732466359</v>
      </c>
      <c r="R39" s="949" t="n">
        <v>0.701572572087885</v>
      </c>
      <c r="S39" s="949" t="n">
        <v>0.3488688059066833</v>
      </c>
      <c r="T39" s="949" t="n">
        <v>0.04616655024842228</v>
      </c>
      <c r="U39" s="600" t="n"/>
      <c r="V39" s="600" t="n"/>
      <c r="W39" s="561" t="n"/>
      <c r="X39" s="582" t="n"/>
      <c r="Z39" s="647" t="inlineStr">
        <is>
          <t xml:space="preserve">   Net Debt / EBITDA (x)</t>
        </is>
      </c>
      <c r="AA39" s="621" t="n">
        <v>1.4602956052602</v>
      </c>
      <c r="AB39" s="948" t="n">
        <v>1.330548617035272</v>
      </c>
      <c r="AC39" s="949" t="n">
        <v>1.029950293408308</v>
      </c>
      <c r="AD39" s="949" t="n">
        <v>0.671172865606126</v>
      </c>
      <c r="AE39" s="949" t="n">
        <v>0.3178795666009622</v>
      </c>
      <c r="AF39" s="949" t="n">
        <v>0.0166276949904491</v>
      </c>
      <c r="AG39" s="600" t="n"/>
      <c r="AH39" s="600" t="n"/>
      <c r="AI39" s="561" t="n"/>
      <c r="AJ39" s="582" t="n"/>
    </row>
    <row r="40">
      <c r="B40" s="575" t="n"/>
      <c r="C40" s="608" t="n"/>
      <c r="D40" s="575" t="n"/>
      <c r="I40" s="575" t="n"/>
      <c r="J40" s="575" t="n"/>
      <c r="L40" s="581" t="n"/>
      <c r="N40" s="575" t="n"/>
      <c r="O40" s="608" t="n"/>
      <c r="P40" s="575" t="n"/>
      <c r="U40" s="575" t="n"/>
      <c r="V40" s="575" t="n"/>
      <c r="X40" s="581" t="n"/>
      <c r="Z40" s="575" t="n"/>
      <c r="AA40" s="608" t="n"/>
      <c r="AB40" s="575" t="n"/>
      <c r="AG40" s="575" t="n"/>
      <c r="AH40" s="575" t="n"/>
      <c r="AJ40" s="581" t="n"/>
    </row>
    <row r="41">
      <c r="B41" s="576" t="inlineStr">
        <is>
          <t>ROIC</t>
        </is>
      </c>
      <c r="C41" s="1131">
        <f>Model!CD332</f>
        <v/>
      </c>
      <c r="D41" s="1132">
        <f>Model!CI332</f>
        <v/>
      </c>
      <c r="E41" s="1133">
        <f>Model!CJ332</f>
        <v/>
      </c>
      <c r="F41" s="1133">
        <f>Model!CK332</f>
        <v/>
      </c>
      <c r="G41" s="1133">
        <f>Model!CL332</f>
        <v/>
      </c>
      <c r="H41" s="1133">
        <f>Model!CM332</f>
        <v/>
      </c>
      <c r="I41" s="1134" t="n"/>
      <c r="J41" s="1135">
        <f>AVERAGE(Model!AF332,Model!AK332,Model!AP332,Model!AU332,Model!AZ332,Model!BE332,Model!BJ332,Model!BO332,Model!BT332,Model!BY332,Model!CD332)</f>
        <v/>
      </c>
      <c r="K41" s="1136">
        <f>MIN(Model!AF332,Model!AK332,Model!AP332,Model!AU332,Model!AZ332,Model!BE332,Model!BJ332,Model!BO332,Model!BT332,Model!BY332,Model!CD332)</f>
        <v/>
      </c>
      <c r="L41" s="1137">
        <f>MAX(Model!AF332,Model!AK332,Model!AP332,Model!AU332,Model!AZ332,Model!BE332,Model!BJ332,Model!BO332,Model!BT332,Model!BY332,Model!CD332)</f>
        <v/>
      </c>
      <c r="N41" s="576" t="inlineStr">
        <is>
          <t>ROIC</t>
        </is>
      </c>
      <c r="O41" s="1131" t="n">
        <v>0.1310209732543081</v>
      </c>
      <c r="P41" s="1132" t="n">
        <v>0.1299400914497922</v>
      </c>
      <c r="Q41" s="1133" t="n">
        <v>0.1422032303210559</v>
      </c>
      <c r="R41" s="1133" t="n">
        <v>0.1552194696308538</v>
      </c>
      <c r="S41" s="1133" t="n">
        <v>0.1707748388537174</v>
      </c>
      <c r="T41" s="1133" t="n">
        <v>0.1842499107181032</v>
      </c>
      <c r="U41" s="1134" t="n"/>
      <c r="V41" s="1135" t="n">
        <v>0.106496881778602</v>
      </c>
      <c r="W41" s="1136" t="n">
        <v>0.07865544696803008</v>
      </c>
      <c r="X41" s="1137" t="n">
        <v>0.1341805919353825</v>
      </c>
      <c r="Z41" s="576" t="inlineStr">
        <is>
          <t>ROIC</t>
        </is>
      </c>
      <c r="AA41" s="1131" t="n">
        <v>0.1310209732543081</v>
      </c>
      <c r="AB41" s="1132" t="n">
        <v>0.1299400914497922</v>
      </c>
      <c r="AC41" s="1133" t="n">
        <v>0.1370020108982807</v>
      </c>
      <c r="AD41" s="1133" t="n">
        <v>0.1447587597981164</v>
      </c>
      <c r="AE41" s="1133" t="n">
        <v>0.1547699481649509</v>
      </c>
      <c r="AF41" s="1133" t="n">
        <v>0.1630934874823316</v>
      </c>
      <c r="AG41" s="1134" t="n"/>
      <c r="AH41" s="1135" t="n">
        <v>0.106496881778602</v>
      </c>
      <c r="AI41" s="1136" t="n">
        <v>0.07865544696803008</v>
      </c>
      <c r="AJ41" s="1137" t="n">
        <v>0.1341805919353825</v>
      </c>
    </row>
    <row r="42" ht="16.5" customHeight="1" thickBot="1">
      <c r="B42" s="589" t="inlineStr">
        <is>
          <t>RONTA</t>
        </is>
      </c>
      <c r="C42" s="1138">
        <f>Model!CD346</f>
        <v/>
      </c>
      <c r="D42" s="1139">
        <f>Model!CI346</f>
        <v/>
      </c>
      <c r="E42" s="1140">
        <f>Model!CJ346</f>
        <v/>
      </c>
      <c r="F42" s="1140">
        <f>Model!CK346</f>
        <v/>
      </c>
      <c r="G42" s="1140">
        <f>Model!CL346</f>
        <v/>
      </c>
      <c r="H42" s="1140">
        <f>Model!CM346</f>
        <v/>
      </c>
      <c r="I42" s="1141" t="n"/>
      <c r="J42" s="1142">
        <f>AVERAGE(Model!AF346,Model!AK346,Model!AP346,Model!AU346,Model!AZ346,Model!BE346,Model!BJ346,Model!BO346,Model!BT346,Model!BY346,Model!CD346)</f>
        <v/>
      </c>
      <c r="K42" s="1143">
        <f>MIN(Model!AF346,Model!AK346,Model!AP346,Model!AU346,Model!AZ346,Model!BE346,Model!BJ346,Model!BO346,Model!BT346,Model!BY346,Model!CD346)</f>
        <v/>
      </c>
      <c r="L42" s="1144">
        <f>MAX(Model!AF346,Model!AK346,Model!AP346,Model!AU346,Model!AZ346,Model!BE346,Model!BJ346,Model!BO346,Model!BT346,Model!BY346,Model!CD346)</f>
        <v/>
      </c>
      <c r="N42" s="589" t="inlineStr">
        <is>
          <t>RONTA</t>
        </is>
      </c>
      <c r="O42" s="1138" t="n">
        <v>0.1611772447880623</v>
      </c>
      <c r="P42" s="1139" t="n">
        <v>0.1580457118693399</v>
      </c>
      <c r="Q42" s="1140" t="n">
        <v>0.1708327709497453</v>
      </c>
      <c r="R42" s="1140" t="n">
        <v>0.1847678892632281</v>
      </c>
      <c r="S42" s="1140" t="n">
        <v>0.2012658998084668</v>
      </c>
      <c r="T42" s="1140" t="n">
        <v>0.2144928821338764</v>
      </c>
      <c r="U42" s="1141" t="n"/>
      <c r="V42" s="1142" t="n">
        <v>0.1450983635490142</v>
      </c>
      <c r="W42" s="1143" t="n">
        <v>0.1169129723784788</v>
      </c>
      <c r="X42" s="1144" t="n">
        <v>0.1723189309026845</v>
      </c>
      <c r="Z42" s="589" t="inlineStr">
        <is>
          <t>RONTA</t>
        </is>
      </c>
      <c r="AA42" s="1138" t="n">
        <v>0.1611772447880623</v>
      </c>
      <c r="AB42" s="1139" t="n">
        <v>0.1580457118693399</v>
      </c>
      <c r="AC42" s="1140" t="n">
        <v>0.1656584291860714</v>
      </c>
      <c r="AD42" s="1140" t="n">
        <v>0.1743824442558726</v>
      </c>
      <c r="AE42" s="1140" t="n">
        <v>0.1854715358470494</v>
      </c>
      <c r="AF42" s="1140" t="n">
        <v>0.1938715087484861</v>
      </c>
      <c r="AG42" s="1141" t="n"/>
      <c r="AH42" s="1142" t="n">
        <v>0.1450983635490142</v>
      </c>
      <c r="AI42" s="1143" t="n">
        <v>0.1169129723784788</v>
      </c>
      <c r="AJ42" s="1144" t="n">
        <v>0.1723189309026845</v>
      </c>
    </row>
    <row r="44">
      <c r="B44" s="3" t="inlineStr">
        <is>
          <t>Implied Market Cap ($M)</t>
        </is>
      </c>
      <c r="E44" s="16">
        <f>E27*E21/1000</f>
        <v/>
      </c>
      <c r="F44" s="16">
        <f>F27*F21/1000</f>
        <v/>
      </c>
      <c r="G44" s="16">
        <f>G27*G21/1000</f>
        <v/>
      </c>
      <c r="H44" s="16">
        <f>H27*H21/1000</f>
        <v/>
      </c>
      <c r="N44" s="3" t="inlineStr">
        <is>
          <t>Implied Market Cap ($M)</t>
        </is>
      </c>
      <c r="Q44" s="16" t="n">
        <v>8714.936366804792</v>
      </c>
      <c r="R44" s="16" t="n">
        <v>10038.82006977007</v>
      </c>
      <c r="S44" s="16" t="n">
        <v>11680.45001089093</v>
      </c>
      <c r="T44" s="16" t="n">
        <v>13478.27608724102</v>
      </c>
      <c r="Z44" s="3" t="inlineStr">
        <is>
          <t>Implied Market Cap ($M)</t>
        </is>
      </c>
      <c r="AC44" s="16" t="n">
        <v>6607.003182407996</v>
      </c>
      <c r="AD44" s="16" t="n">
        <v>7146.436939109849</v>
      </c>
      <c r="AE44" s="16" t="n">
        <v>7876.174293697836</v>
      </c>
      <c r="AF44" s="16" t="n">
        <v>8665.824133301538</v>
      </c>
    </row>
    <row r="45">
      <c r="B45" s="210" t="inlineStr">
        <is>
          <t>(+) Net Debt</t>
        </is>
      </c>
      <c r="E45" s="211">
        <f>E38</f>
        <v/>
      </c>
      <c r="F45" s="211">
        <f>F38</f>
        <v/>
      </c>
      <c r="G45" s="211">
        <f>G38</f>
        <v/>
      </c>
      <c r="H45" s="211">
        <f>H38</f>
        <v/>
      </c>
      <c r="N45" s="210" t="inlineStr">
        <is>
          <t>(+) Net Debt</t>
        </is>
      </c>
      <c r="Q45" s="211" t="n">
        <v>747.614273821598</v>
      </c>
      <c r="R45" s="211" t="n">
        <v>558.1365708010663</v>
      </c>
      <c r="S45" s="211" t="n">
        <v>313.8522550137826</v>
      </c>
      <c r="T45" s="211" t="n">
        <v>46.7819217290986</v>
      </c>
      <c r="Z45" s="210" t="inlineStr">
        <is>
          <t>(+) Net Debt</t>
        </is>
      </c>
      <c r="AC45" s="211" t="n">
        <v>683.4814245594431</v>
      </c>
      <c r="AD45" s="211" t="n">
        <v>470.7574667904032</v>
      </c>
      <c r="AE45" s="211" t="n">
        <v>239.3109761514472</v>
      </c>
      <c r="AF45" s="211" t="n">
        <v>13.44997221120877</v>
      </c>
    </row>
    <row r="46">
      <c r="B46" s="966" t="inlineStr">
        <is>
          <t>Implied Enterprise Value ($M)</t>
        </is>
      </c>
      <c r="C46" s="543" t="n"/>
      <c r="D46" s="543" t="n"/>
      <c r="E46" s="970">
        <f>E44+E45</f>
        <v/>
      </c>
      <c r="F46" s="970">
        <f>F44+F45</f>
        <v/>
      </c>
      <c r="G46" s="970">
        <f>G44+G45</f>
        <v/>
      </c>
      <c r="H46" s="970">
        <f>H44+H45</f>
        <v/>
      </c>
      <c r="N46" s="966" t="inlineStr">
        <is>
          <t>Implied Enterprise Value ($M)</t>
        </is>
      </c>
      <c r="O46" s="543" t="n"/>
      <c r="P46" s="543" t="n"/>
      <c r="Q46" s="970" t="n">
        <v>9462.55064062639</v>
      </c>
      <c r="R46" s="970" t="n">
        <v>10596.95664057114</v>
      </c>
      <c r="S46" s="970" t="n">
        <v>11994.30226590471</v>
      </c>
      <c r="T46" s="970" t="n">
        <v>13525.05800897012</v>
      </c>
      <c r="Z46" s="966" t="inlineStr">
        <is>
          <t>Implied Enterprise Value ($M)</t>
        </is>
      </c>
      <c r="AA46" s="543" t="n"/>
      <c r="AB46" s="543" t="n"/>
      <c r="AC46" s="970" t="n">
        <v>7290.48460696744</v>
      </c>
      <c r="AD46" s="970" t="n">
        <v>7617.194405900253</v>
      </c>
      <c r="AE46" s="970" t="n">
        <v>8115.485269849283</v>
      </c>
      <c r="AF46" s="970" t="n">
        <v>8679.274105512746</v>
      </c>
    </row>
    <row r="47">
      <c r="B47" s="546" t="inlineStr">
        <is>
          <t>Implied EV / EBITDA (x)</t>
        </is>
      </c>
      <c r="C47" s="547" t="n"/>
      <c r="D47" s="547" t="n"/>
      <c r="E47" s="548">
        <f>IFERROR(E46/E35,"")</f>
        <v/>
      </c>
      <c r="F47" s="548">
        <f>IFERROR(F46/F35,"")</f>
        <v/>
      </c>
      <c r="G47" s="548">
        <f>IFERROR(G46/G35,"")</f>
        <v/>
      </c>
      <c r="H47" s="548">
        <f>IFERROR(H46/H35,"")</f>
        <v/>
      </c>
      <c r="N47" s="546" t="inlineStr">
        <is>
          <t>Implied EV / EBITDA (x)</t>
        </is>
      </c>
      <c r="O47" s="547" t="n"/>
      <c r="P47" s="547" t="n"/>
      <c r="Q47" s="548" t="n">
        <v>13.32515510501297</v>
      </c>
      <c r="R47" s="548" t="n">
        <v>13.32027771618487</v>
      </c>
      <c r="S47" s="548" t="n">
        <v>13.33250866400895</v>
      </c>
      <c r="T47" s="548" t="n">
        <v>13.34714879392314</v>
      </c>
      <c r="Z47" s="546" t="inlineStr">
        <is>
          <t>Implied EV / EBITDA (x)</t>
        </is>
      </c>
      <c r="AA47" s="547" t="n"/>
      <c r="AB47" s="547" t="n"/>
      <c r="AC47" s="548" t="n">
        <v>10.98616069174799</v>
      </c>
      <c r="AD47" s="548" t="n">
        <v>10.86005970790742</v>
      </c>
      <c r="AE47" s="548" t="n">
        <v>10.77989393475876</v>
      </c>
      <c r="AF47" s="548" t="n">
        <v>10.72986027768149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T129"/>
  <sheetViews>
    <sheetView topLeftCell="A103" zoomScale="70" zoomScaleNormal="70" workbookViewId="0">
      <selection activeCell="B131" sqref="B131"/>
    </sheetView>
  </sheetViews>
  <sheetFormatPr baseColWidth="8" defaultRowHeight="15.75"/>
  <cols>
    <col width="43.375" customWidth="1" min="2" max="2"/>
    <col width="13" customWidth="1" min="3" max="4"/>
    <col width="11.5" customWidth="1" min="5" max="5"/>
    <col width="13" customWidth="1" min="6" max="13"/>
    <col width="11.125" customWidth="1" min="14" max="18"/>
    <col width="10.875" bestFit="1" customWidth="1" min="19" max="19"/>
  </cols>
  <sheetData>
    <row r="2" ht="18.75" customHeight="1">
      <c r="B2" s="481" t="inlineStr">
        <is>
          <t>DCF VALUATION — TFI International (TFII)</t>
        </is>
      </c>
    </row>
    <row r="4">
      <c r="B4" s="968" t="inlineStr">
        <is>
          <t>1. WACC BUILD</t>
        </is>
      </c>
    </row>
    <row r="5">
      <c r="B5" t="inlineStr">
        <is>
          <t>Risk-free rate (US 10Y govt)</t>
        </is>
      </c>
      <c r="C5" s="484" t="n">
        <v>0.043</v>
      </c>
      <c r="D5" t="inlineStr">
        <is>
          <t>US 10Y Treasury</t>
        </is>
      </c>
    </row>
    <row r="6">
      <c r="B6" t="inlineStr">
        <is>
          <t>Equity risk premium</t>
        </is>
      </c>
      <c r="C6" s="484" t="n">
        <v>0.055</v>
      </c>
      <c r="D6" t="inlineStr">
        <is>
          <t>Damodaran global ERP estimate</t>
        </is>
      </c>
    </row>
    <row r="7">
      <c r="B7" t="inlineStr">
        <is>
          <t>Levered beta</t>
        </is>
      </c>
      <c r="C7" s="485" t="n">
        <v>1</v>
      </c>
      <c r="D7" t="inlineStr">
        <is>
          <t>TFI International reported beta ~0.9-1.0; industrial A&amp;D peer median</t>
        </is>
      </c>
    </row>
    <row r="8">
      <c r="B8" t="inlineStr">
        <is>
          <t>Cost of equity</t>
        </is>
      </c>
      <c r="C8" s="484">
        <f>C5+C7*C6</f>
        <v/>
      </c>
    </row>
    <row r="9">
      <c r="B9" t="inlineStr">
        <is>
          <t>Pre-tax cost of debt</t>
        </is>
      </c>
      <c r="C9" s="484" t="n">
        <v>0.05</v>
      </c>
      <c r="D9" t="inlineStr">
        <is>
          <t>TFI International senior notes 5-7Y yield</t>
        </is>
      </c>
    </row>
    <row r="10">
      <c r="B10" t="inlineStr">
        <is>
          <t>Tax rate</t>
        </is>
      </c>
      <c r="C10" s="484" t="n">
        <v>0.26</v>
      </c>
      <c r="D10" t="inlineStr">
        <is>
          <t>Long-run normalised effective tax rate</t>
        </is>
      </c>
    </row>
    <row r="11">
      <c r="B11" t="inlineStr">
        <is>
          <t>After-tax cost of debt</t>
        </is>
      </c>
      <c r="C11" s="484">
        <f>C9*(1-C10)</f>
        <v/>
      </c>
    </row>
    <row r="12">
      <c r="B12" t="inlineStr">
        <is>
          <t>Target D/V</t>
        </is>
      </c>
      <c r="C12" s="484" t="n">
        <v>0.2</v>
      </c>
      <c r="D12" t="inlineStr">
        <is>
          <t>Target leverage; net debt / total capital</t>
        </is>
      </c>
    </row>
    <row r="13">
      <c r="B13" s="3" t="inlineStr">
        <is>
          <t>WACC</t>
        </is>
      </c>
      <c r="C13" s="483">
        <f>C8*(1-C12)+C11*C12</f>
        <v/>
      </c>
    </row>
    <row r="15">
      <c r="B15" s="3" t="inlineStr">
        <is>
          <t>Valuation date (live)</t>
        </is>
      </c>
      <c r="C15" s="655">
        <f>TODAY()</f>
        <v/>
      </c>
      <c r="D15" s="539" t="n"/>
    </row>
    <row r="16">
      <c r="B16" s="968" t="inlineStr">
        <is>
          <t>2. UNLEVERED FREE CASH FLOW BUILD  (explicit FY26-FY30, fade FY31-FY40 over CAP = C68 years)</t>
        </is>
      </c>
    </row>
    <row r="17">
      <c r="D17" s="63" t="inlineStr">
        <is>
          <t>FY26E</t>
        </is>
      </c>
      <c r="E17" s="63" t="inlineStr">
        <is>
          <t>FY27E</t>
        </is>
      </c>
      <c r="F17" s="63" t="inlineStr">
        <is>
          <t>FY28E</t>
        </is>
      </c>
      <c r="G17" s="63" t="inlineStr">
        <is>
          <t>FY29E</t>
        </is>
      </c>
      <c r="H17" s="63" t="inlineStr">
        <is>
          <t>FY30E</t>
        </is>
      </c>
      <c r="I17" s="63" t="inlineStr">
        <is>
          <t>FY31E</t>
        </is>
      </c>
      <c r="J17" s="63" t="inlineStr">
        <is>
          <t>FY32E</t>
        </is>
      </c>
      <c r="K17" s="63" t="inlineStr">
        <is>
          <t>FY33E</t>
        </is>
      </c>
      <c r="L17" s="63" t="inlineStr">
        <is>
          <t>FY34E</t>
        </is>
      </c>
      <c r="M17" s="63" t="inlineStr">
        <is>
          <t>FY35E</t>
        </is>
      </c>
      <c r="N17" s="63" t="inlineStr">
        <is>
          <t>FY36E</t>
        </is>
      </c>
      <c r="O17" s="544" t="inlineStr">
        <is>
          <t>FY37E</t>
        </is>
      </c>
      <c r="P17" s="63" t="inlineStr">
        <is>
          <t>FY38E</t>
        </is>
      </c>
      <c r="Q17" s="63" t="inlineStr">
        <is>
          <t>FY39E</t>
        </is>
      </c>
      <c r="R17" s="63" t="inlineStr">
        <is>
          <t>FY40E</t>
        </is>
      </c>
      <c r="S17" s="63" t="inlineStr">
        <is>
          <t>Terminal</t>
        </is>
      </c>
      <c r="T17" s="544" t="inlineStr">
        <is>
          <t>FY26E-40E CAGR</t>
        </is>
      </c>
    </row>
    <row r="18">
      <c r="B18" t="inlineStr">
        <is>
          <t>EBIT before special items</t>
        </is>
      </c>
      <c r="D18" s="1">
        <f>IF(ISNUMBER(Model!CI150),IF(Model!CI150&gt;0,Model!CI150,Model!CI126),Model!CI126)</f>
        <v/>
      </c>
      <c r="E18" s="1">
        <f>IF(ISNUMBER(Model!CJ150),IF(Model!CJ150&gt;0,Model!CJ150,Model!CJ126),Model!CJ126)</f>
        <v/>
      </c>
      <c r="F18" s="1">
        <f>IF(ISNUMBER(Model!CK150),IF(Model!CK150&gt;0,Model!CK150,Model!CK126),Model!CK126)</f>
        <v/>
      </c>
      <c r="G18" s="1">
        <f>IF(ISNUMBER(Model!CL150),IF(Model!CL150&gt;0,Model!CL150,Model!CL126),Model!CL126)</f>
        <v/>
      </c>
      <c r="H18" s="1">
        <f>IF(ISNUMBER(Model!CM150),IF(Model!CM150&gt;0,Model!CM150,Model!CM126),Model!CM126)</f>
        <v/>
      </c>
      <c r="I18" s="1">
        <f>H18*(1+(H18/G18-1)+(($C$27-(H18/G18-1))*1/10))</f>
        <v/>
      </c>
      <c r="J18" s="1">
        <f>I18*(1+(H18/G18-1)+(($C$27-(H18/G18-1))*2/10))</f>
        <v/>
      </c>
      <c r="K18" s="1">
        <f>J18*(1+(H18/G18-1)+(($C$27-(H18/G18-1))*3/10))</f>
        <v/>
      </c>
      <c r="L18" s="1">
        <f>K18*(1+(H18/G18-1)+(($C$27-(H18/G18-1))*4/10))</f>
        <v/>
      </c>
      <c r="M18" s="1">
        <f>L18*(1+(H18/G18-1)+(($C$27-(H18/G18-1))*5/10))</f>
        <v/>
      </c>
      <c r="N18" s="1">
        <f>M18*(1+(H18/G18-1)+(($C$27-(H18/G18-1))*6/10))</f>
        <v/>
      </c>
      <c r="O18" s="1">
        <f>N18*(1+(H18/G18-1)+(($C$27-(H18/G18-1))*7/10))</f>
        <v/>
      </c>
      <c r="P18" s="1">
        <f>O18*(1+(H18/G18-1)+(($C$27-(H18/G18-1))*8/10))</f>
        <v/>
      </c>
      <c r="Q18" s="1">
        <f>P18*(1+(H18/G18-1)+(($C$27-(H18/G18-1))*9/10))</f>
        <v/>
      </c>
      <c r="R18" s="1">
        <f>Q18*(1+$C$27)</f>
        <v/>
      </c>
      <c r="T18" s="1145">
        <f>IFERROR((R18/D18)^(1/14)-1,"n/m")</f>
        <v/>
      </c>
    </row>
    <row r="19">
      <c r="B19" t="inlineStr">
        <is>
          <t>× (1 − tax rate)</t>
        </is>
      </c>
      <c r="D19" s="1145">
        <f>1-$C$10</f>
        <v/>
      </c>
      <c r="E19" s="1145">
        <f>1-$C$10</f>
        <v/>
      </c>
      <c r="F19" s="1145">
        <f>1-$C$10</f>
        <v/>
      </c>
      <c r="G19" s="1145">
        <f>1-$C$10</f>
        <v/>
      </c>
      <c r="H19" s="1145">
        <f>1-$C$10</f>
        <v/>
      </c>
      <c r="I19" s="1145">
        <f>1-$C$10</f>
        <v/>
      </c>
      <c r="J19" s="1145">
        <f>1-$C$10</f>
        <v/>
      </c>
      <c r="K19" s="1145">
        <f>1-$C$10</f>
        <v/>
      </c>
      <c r="L19" s="1145">
        <f>1-$C$10</f>
        <v/>
      </c>
      <c r="M19" s="1145">
        <f>1-$C$10</f>
        <v/>
      </c>
      <c r="N19" s="1145">
        <f>1-$C$10</f>
        <v/>
      </c>
      <c r="O19" s="1145">
        <f>1-$C$10</f>
        <v/>
      </c>
      <c r="P19" s="1145">
        <f>1-$C$10</f>
        <v/>
      </c>
      <c r="Q19" s="1145">
        <f>1-$C$10</f>
        <v/>
      </c>
      <c r="R19" s="1145">
        <f>1-$C$10</f>
        <v/>
      </c>
    </row>
    <row r="20">
      <c r="B20" s="3" t="inlineStr">
        <is>
          <t>NOPAT</t>
        </is>
      </c>
      <c r="C20" s="3" t="n"/>
      <c r="D20" s="16">
        <f>D18*D19</f>
        <v/>
      </c>
      <c r="E20" s="16">
        <f>E18*E19</f>
        <v/>
      </c>
      <c r="F20" s="16">
        <f>F18*F19</f>
        <v/>
      </c>
      <c r="G20" s="16">
        <f>G18*G19</f>
        <v/>
      </c>
      <c r="H20" s="16">
        <f>H18*H19</f>
        <v/>
      </c>
      <c r="I20" s="16">
        <f>I18*I19</f>
        <v/>
      </c>
      <c r="J20" s="16">
        <f>J18*J19</f>
        <v/>
      </c>
      <c r="K20" s="16">
        <f>K18*K19</f>
        <v/>
      </c>
      <c r="L20" s="16">
        <f>L18*L19</f>
        <v/>
      </c>
      <c r="M20" s="16">
        <f>M18*M19</f>
        <v/>
      </c>
      <c r="N20" s="16">
        <f>N18*N19</f>
        <v/>
      </c>
      <c r="O20" s="16">
        <f>O18*O19</f>
        <v/>
      </c>
      <c r="P20" s="16">
        <f>P18*P19</f>
        <v/>
      </c>
      <c r="Q20" s="16">
        <f>Q18*Q19</f>
        <v/>
      </c>
      <c r="R20" s="16">
        <f>R18*R19</f>
        <v/>
      </c>
      <c r="T20" s="1146">
        <f>IFERROR((R20/D20)^(1/14)-1,"n/m")</f>
        <v/>
      </c>
    </row>
    <row r="21">
      <c r="B21" t="inlineStr">
        <is>
          <t>plus D&amp;A</t>
        </is>
      </c>
      <c r="D21" s="1">
        <f>Model!CI176+Model!CI177</f>
        <v/>
      </c>
      <c r="E21" s="1">
        <f>Model!CJ176+Model!CJ177</f>
        <v/>
      </c>
      <c r="F21" s="1">
        <f>Model!CK176+Model!CK177</f>
        <v/>
      </c>
      <c r="G21" s="1">
        <f>Model!CL176+Model!CL177</f>
        <v/>
      </c>
      <c r="H21" s="1">
        <f>Model!CM176+Model!CM177</f>
        <v/>
      </c>
      <c r="I21" s="1">
        <f>H21*(I18/H18)</f>
        <v/>
      </c>
      <c r="J21" s="1">
        <f>I21*(J18/I18)</f>
        <v/>
      </c>
      <c r="K21" s="1">
        <f>J21*(K18/J18)</f>
        <v/>
      </c>
      <c r="L21" s="1">
        <f>K21*(L18/K18)</f>
        <v/>
      </c>
      <c r="M21" s="1">
        <f>L21*(M18/L18)</f>
        <v/>
      </c>
      <c r="N21" s="1">
        <f>M21*(N18/M18)</f>
        <v/>
      </c>
      <c r="O21" s="1">
        <f>N21*(O18/N18)</f>
        <v/>
      </c>
      <c r="P21" s="1">
        <f>O21*(P18/O18)</f>
        <v/>
      </c>
      <c r="Q21" s="1">
        <f>P21*(Q18/P18)</f>
        <v/>
      </c>
      <c r="R21" s="1">
        <f>Q21*(R18/Q18)</f>
        <v/>
      </c>
    </row>
    <row r="22">
      <c r="B22" t="inlineStr">
        <is>
          <t>− Capex (PP&amp;E + intangibles)</t>
        </is>
      </c>
      <c r="D22" s="1">
        <f>-ABS(Model!CI189)</f>
        <v/>
      </c>
      <c r="E22" s="1">
        <f>-ABS(Model!CJ189)</f>
        <v/>
      </c>
      <c r="F22" s="1">
        <f>-ABS(Model!CK189)</f>
        <v/>
      </c>
      <c r="G22" s="1">
        <f>-ABS(Model!CL189)</f>
        <v/>
      </c>
      <c r="H22" s="1">
        <f>-ABS(Model!CM189)</f>
        <v/>
      </c>
      <c r="I22" s="1">
        <f>H22*(I18/H18)</f>
        <v/>
      </c>
      <c r="J22" s="1">
        <f>I22*(J18/I18)</f>
        <v/>
      </c>
      <c r="K22" s="1">
        <f>J22*(K18/J18)</f>
        <v/>
      </c>
      <c r="L22" s="1">
        <f>K22*(L18/K18)</f>
        <v/>
      </c>
      <c r="M22" s="1">
        <f>L22*(M18/L18)</f>
        <v/>
      </c>
      <c r="N22" s="1">
        <f>M22*(N18/M18)</f>
        <v/>
      </c>
      <c r="O22" s="1">
        <f>N22*(O18/N18)</f>
        <v/>
      </c>
      <c r="P22" s="1">
        <f>O22*(P18/O18)</f>
        <v/>
      </c>
      <c r="Q22" s="1">
        <f>P22*(Q18/P18)</f>
        <v/>
      </c>
      <c r="R22" s="1">
        <f>Q22*(R18/Q18)</f>
        <v/>
      </c>
    </row>
    <row r="23">
      <c r="B23" t="inlineStr">
        <is>
          <t>− Δ Working capital</t>
        </is>
      </c>
      <c r="D23" s="1">
        <f>Model!CI180+Model!CI181+Model!CI182+Model!CI183+Model!CI184</f>
        <v/>
      </c>
      <c r="E23" s="1">
        <f>Model!CJ180+Model!CJ181+Model!CJ182+Model!CJ183+Model!CJ184</f>
        <v/>
      </c>
      <c r="F23" s="1">
        <f>Model!CK180+Model!CK181+Model!CK182+Model!CK183+Model!CK184</f>
        <v/>
      </c>
      <c r="G23" s="1">
        <f>Model!CL180+Model!CL181+Model!CL182+Model!CL183+Model!CL184</f>
        <v/>
      </c>
      <c r="H23" s="1">
        <f>Model!CM180+Model!CM181+Model!CM182+Model!CM183+Model!CM184</f>
        <v/>
      </c>
      <c r="I23" s="1">
        <f>H23*(I18/H18)</f>
        <v/>
      </c>
      <c r="J23" s="1">
        <f>I23*(J18/I18)</f>
        <v/>
      </c>
      <c r="K23" s="1">
        <f>J23*(K18/J18)</f>
        <v/>
      </c>
      <c r="L23" s="1">
        <f>K23*(L18/K18)</f>
        <v/>
      </c>
      <c r="M23" s="1">
        <f>L23*(M18/L18)</f>
        <v/>
      </c>
      <c r="N23" s="1">
        <f>M23*(N18/M18)</f>
        <v/>
      </c>
      <c r="O23" s="1">
        <f>N23*(O18/N18)</f>
        <v/>
      </c>
      <c r="P23" s="1">
        <f>O23*(P18/O18)</f>
        <v/>
      </c>
      <c r="Q23" s="1">
        <f>P23*(Q18/P18)</f>
        <v/>
      </c>
      <c r="R23" s="1">
        <f>Q23*(R18/Q18)</f>
        <v/>
      </c>
    </row>
    <row r="24">
      <c r="B24" s="967" t="inlineStr">
        <is>
          <t>Unlevered FCF</t>
        </is>
      </c>
      <c r="C24" s="967" t="n"/>
      <c r="D24" s="287">
        <f>D20+D21+D22+D23</f>
        <v/>
      </c>
      <c r="E24" s="287">
        <f>E20+E21+E22+E23</f>
        <v/>
      </c>
      <c r="F24" s="287">
        <f>F20+F21+F22+F23</f>
        <v/>
      </c>
      <c r="G24" s="287">
        <f>G20+G21+G22+G23</f>
        <v/>
      </c>
      <c r="H24" s="287">
        <f>H20+H21+H22+H23</f>
        <v/>
      </c>
      <c r="I24" s="287">
        <f>I20+I21+I22+I23</f>
        <v/>
      </c>
      <c r="J24" s="287">
        <f>J20+J21+J22+J23</f>
        <v/>
      </c>
      <c r="K24" s="287">
        <f>K20+K21+K22+K23</f>
        <v/>
      </c>
      <c r="L24" s="287">
        <f>L20+L21+L22+L23</f>
        <v/>
      </c>
      <c r="M24" s="287">
        <f>M20+M21+M22+M23</f>
        <v/>
      </c>
      <c r="N24" s="287">
        <f>N20+N21+N22+N23</f>
        <v/>
      </c>
      <c r="O24" s="287">
        <f>O20+O21+O22+O23</f>
        <v/>
      </c>
      <c r="P24" s="287">
        <f>P20+P21+P22+P23</f>
        <v/>
      </c>
      <c r="Q24" s="287">
        <f>Q20+Q21+Q22+Q23</f>
        <v/>
      </c>
      <c r="R24" s="287">
        <f>R20+R21+R22+R23</f>
        <v/>
      </c>
      <c r="S24" s="1147">
        <f>R24*(1+$C$27)</f>
        <v/>
      </c>
      <c r="T24" s="1145">
        <f>IFERROR((R24/D24)^(1/14)-1,"n/m")</f>
        <v/>
      </c>
    </row>
    <row r="25">
      <c r="B25" s="967" t="inlineStr">
        <is>
          <t>Terminal Value (Gordon Growth)</t>
        </is>
      </c>
      <c r="C25" s="967" t="n"/>
      <c r="D25" s="287" t="n"/>
      <c r="E25" s="287" t="n"/>
      <c r="F25" s="287" t="n"/>
      <c r="G25" s="287" t="n"/>
      <c r="H25" s="287" t="n"/>
      <c r="I25" s="287" t="n"/>
      <c r="J25" s="287" t="n"/>
      <c r="K25" s="287" t="n"/>
      <c r="L25" s="287" t="n"/>
      <c r="M25" s="287" t="n"/>
      <c r="N25" s="287" t="n"/>
      <c r="O25" s="287" t="n"/>
      <c r="P25" s="287" t="n"/>
      <c r="Q25" s="287" t="n"/>
      <c r="R25" s="287" t="n"/>
      <c r="S25" s="1147">
        <f>S24/($C$13-$C$27)</f>
        <v/>
      </c>
    </row>
    <row r="27">
      <c r="B27" t="inlineStr">
        <is>
          <t>Terminal growth rate</t>
        </is>
      </c>
      <c r="C27" s="1148" t="n">
        <v>0.025</v>
      </c>
    </row>
    <row r="29">
      <c r="B29" t="inlineStr">
        <is>
          <t>Discount period (year #)</t>
        </is>
      </c>
      <c r="D29" s="656">
        <f>(DATE(2026+0,12,31)-$C$15)/365.25</f>
        <v/>
      </c>
      <c r="E29" s="656">
        <f>(DATE(2026+1,12,31)-$C$15)/365.25</f>
        <v/>
      </c>
      <c r="F29" s="656">
        <f>(DATE(2026+2,12,31)-$C$15)/365.25</f>
        <v/>
      </c>
      <c r="G29" s="656">
        <f>(DATE(2026+3,12,31)-$C$15)/365.25</f>
        <v/>
      </c>
      <c r="H29" s="656">
        <f>(DATE(2026+4,12,31)-$C$15)/365.25</f>
        <v/>
      </c>
      <c r="I29" s="656">
        <f>(DATE(2031,12,31)-$C$15)/365.25</f>
        <v/>
      </c>
      <c r="J29" s="656">
        <f>(DATE(2032,12,31)-$C$15)/365.25</f>
        <v/>
      </c>
      <c r="K29" s="656">
        <f>(DATE(2033,12,31)-$C$15)/365.25</f>
        <v/>
      </c>
      <c r="L29" s="656">
        <f>(DATE(2034,12,31)-$C$15)/365.25</f>
        <v/>
      </c>
      <c r="M29" s="656">
        <f>(DATE(2035,12,31)-$C$15)/365.25</f>
        <v/>
      </c>
      <c r="N29" s="656">
        <f>(DATE(2036,12,31)-$C$15)/365.25</f>
        <v/>
      </c>
      <c r="O29" s="656">
        <f>(DATE(2037,12,31)-$C$15)/365.25</f>
        <v/>
      </c>
      <c r="P29" s="656">
        <f>(DATE(2038,12,31)-$C$15)/365.25</f>
        <v/>
      </c>
      <c r="Q29" s="656">
        <f>(DATE(2039,12,31)-$C$15)/365.25</f>
        <v/>
      </c>
      <c r="R29" s="656">
        <f>(DATE(2040,12,31)-$C$15)/365.25</f>
        <v/>
      </c>
      <c r="S29" s="656">
        <f>R29</f>
        <v/>
      </c>
    </row>
    <row r="30">
      <c r="B30" t="inlineStr">
        <is>
          <t>Discount factor</t>
        </is>
      </c>
      <c r="D30" s="656">
        <f>1/(1+$C$13)^D29</f>
        <v/>
      </c>
      <c r="E30" s="656">
        <f>1/(1+$C$13)^E29</f>
        <v/>
      </c>
      <c r="F30" s="656">
        <f>1/(1+$C$13)^F29</f>
        <v/>
      </c>
      <c r="G30" s="656">
        <f>1/(1+$C$13)^G29</f>
        <v/>
      </c>
      <c r="H30" s="656">
        <f>1/(1+$C$13)^H29</f>
        <v/>
      </c>
      <c r="I30" s="656">
        <f>1/(1+$C$13)^I29</f>
        <v/>
      </c>
      <c r="J30" s="656">
        <f>1/(1+$C$13)^J29</f>
        <v/>
      </c>
      <c r="K30" s="656">
        <f>1/(1+$C$13)^K29</f>
        <v/>
      </c>
      <c r="L30" s="656">
        <f>1/(1+$C$13)^L29</f>
        <v/>
      </c>
      <c r="M30" s="656">
        <f>1/(1+$C$13)^M29</f>
        <v/>
      </c>
      <c r="N30" s="656">
        <f>1/(1+$C$13)^N29</f>
        <v/>
      </c>
      <c r="O30" s="656">
        <f>1/(1+$C$13)^O29</f>
        <v/>
      </c>
      <c r="P30" s="656">
        <f>1/(1+$C$13)^P29</f>
        <v/>
      </c>
      <c r="Q30" s="656">
        <f>1/(1+$C$13)^Q29</f>
        <v/>
      </c>
      <c r="R30" s="656">
        <f>1/(1+$C$13)^R29</f>
        <v/>
      </c>
      <c r="S30" s="656">
        <f>1/(1+$C$13)^S29</f>
        <v/>
      </c>
    </row>
    <row r="31">
      <c r="B31" t="inlineStr">
        <is>
          <t>PV of UFCF</t>
        </is>
      </c>
      <c r="D31" s="1">
        <f>D24*D30</f>
        <v/>
      </c>
      <c r="E31" s="1">
        <f>E24*E30</f>
        <v/>
      </c>
      <c r="F31" s="1">
        <f>F24*F30</f>
        <v/>
      </c>
      <c r="G31" s="1">
        <f>G24*G30</f>
        <v/>
      </c>
      <c r="H31" s="1">
        <f>H24*H30</f>
        <v/>
      </c>
      <c r="I31" s="1">
        <f>I24*I30</f>
        <v/>
      </c>
      <c r="J31" s="1">
        <f>J24*J30</f>
        <v/>
      </c>
      <c r="K31" s="1">
        <f>K24*K30</f>
        <v/>
      </c>
      <c r="L31" s="1">
        <f>L24*L30</f>
        <v/>
      </c>
      <c r="M31" s="1">
        <f>M24*M30</f>
        <v/>
      </c>
      <c r="N31" s="1">
        <f>N24*N30</f>
        <v/>
      </c>
      <c r="O31" s="1">
        <f>O24*O30</f>
        <v/>
      </c>
      <c r="P31" s="1">
        <f>P24*P30</f>
        <v/>
      </c>
      <c r="Q31" s="1">
        <f>Q24*Q30</f>
        <v/>
      </c>
      <c r="R31" s="1">
        <f>R24*R30</f>
        <v/>
      </c>
      <c r="S31" s="1">
        <f>S25*S30</f>
        <v/>
      </c>
    </row>
    <row r="34">
      <c r="B34" s="968" t="inlineStr">
        <is>
          <t>3. VALUATION SUMMARY</t>
        </is>
      </c>
    </row>
    <row r="35">
      <c r="B35" t="inlineStr">
        <is>
          <t>Sum of PV (explicit + fade)</t>
        </is>
      </c>
      <c r="C35" s="1">
        <f>SUM(D31:R31)</f>
        <v/>
      </c>
    </row>
    <row r="36">
      <c r="B36" t="inlineStr">
        <is>
          <t>PV of Terminal Value</t>
        </is>
      </c>
      <c r="C36" s="1">
        <f>S31</f>
        <v/>
      </c>
    </row>
    <row r="37">
      <c r="B37" s="8" t="inlineStr">
        <is>
          <t>Enterprise Value</t>
        </is>
      </c>
      <c r="C37" s="492">
        <f>C35+C36</f>
        <v/>
      </c>
    </row>
    <row r="38">
      <c r="B38" t="inlineStr">
        <is>
          <t>Less: Net debt (Model FY26E YE)</t>
        </is>
      </c>
      <c r="C38" s="1">
        <f>Model!CI331</f>
        <v/>
      </c>
    </row>
    <row r="39">
      <c r="B39" s="8" t="inlineStr">
        <is>
          <t>Equity Value</t>
        </is>
      </c>
      <c r="C39" s="493">
        <f>C37-C38</f>
        <v/>
      </c>
    </row>
    <row r="40">
      <c r="B40" t="inlineStr">
        <is>
          <t>Diluted shares ('000)</t>
        </is>
      </c>
      <c r="C40" s="1">
        <f>Model!CI139</f>
        <v/>
      </c>
    </row>
    <row r="41">
      <c r="B41" s="3" t="inlineStr">
        <is>
          <t>Implied share price ($)</t>
        </is>
      </c>
      <c r="C41" s="58">
        <f>C39*1000/C40</f>
        <v/>
      </c>
    </row>
    <row r="42">
      <c r="B42" t="inlineStr">
        <is>
          <t>Current share price ($)</t>
        </is>
      </c>
      <c r="C42" s="2" t="n">
        <v>150</v>
      </c>
    </row>
    <row r="43">
      <c r="B43" s="3" t="inlineStr">
        <is>
          <t>Implied upside / (downside)</t>
        </is>
      </c>
      <c r="C43" s="487">
        <f>C41/C42-1</f>
        <v/>
      </c>
    </row>
    <row r="46">
      <c r="B46" s="968" t="inlineStr">
        <is>
          <t>4. SENSITIVITY: IMPLIED PRICE — WACC × Terminal Growth</t>
        </is>
      </c>
    </row>
    <row r="48">
      <c r="B48" s="3" t="inlineStr">
        <is>
          <t>WACC (across):</t>
        </is>
      </c>
    </row>
    <row r="49">
      <c r="B49" s="3" t="inlineStr">
        <is>
          <t>g (down) / WACC →</t>
        </is>
      </c>
      <c r="D49" s="488" t="n">
        <v>0.07000000000000001</v>
      </c>
      <c r="E49" s="488" t="n">
        <v>0.075</v>
      </c>
      <c r="F49" s="488" t="n">
        <v>0.08</v>
      </c>
      <c r="G49" s="488" t="n">
        <v>0.08500000000000001</v>
      </c>
      <c r="H49" s="488" t="n">
        <v>0.09</v>
      </c>
    </row>
    <row r="50">
      <c r="B50" s="488" t="n">
        <v>0.02</v>
      </c>
      <c r="D50" s="489">
        <f t="array" ref="D50">IFERROR((SUMPRODUCT($D$24:$M$24/(1+D$49)^$D$29:$M$29)+($M$24*(1+$B50)/(D$49-$B50))/(1+D$49)^$M$29-$C$38)*1000/$C$40,"")</f>
        <v/>
      </c>
      <c r="E50" s="489">
        <f t="array" ref="E50">IFERROR((SUMPRODUCT($D$24:$M$24/(1+E$49)^$D$29:$M$29)+($M$24*(1+$B50)/(E$49-$B50))/(1+E$49)^$M$29-$C$38)*1000/$C$40,"")</f>
        <v/>
      </c>
      <c r="F50" s="489">
        <f t="array" ref="F50">IFERROR((SUMPRODUCT($D$24:$M$24/(1+F$49)^$D$29:$M$29)+($M$24*(1+$B50)/(F$49-$B50))/(1+F$49)^$M$29-$C$38)*1000/$C$40,"")</f>
        <v/>
      </c>
      <c r="G50" s="489">
        <f t="array" ref="G50">IFERROR((SUMPRODUCT($D$24:$M$24/(1+G$49)^$D$29:$M$29)+($M$24*(1+$B50)/(G$49-$B50))/(1+G$49)^$M$29-$C$38)*1000/$C$40,"")</f>
        <v/>
      </c>
      <c r="H50" s="489">
        <f t="array" ref="H50">IFERROR((SUMPRODUCT($D$24:$M$24/(1+H$49)^$D$29:$M$29)+($M$24*(1+$B50)/(H$49-$B50))/(1+H$49)^$M$29-$C$38)*1000/$C$40,"")</f>
        <v/>
      </c>
    </row>
    <row r="51">
      <c r="B51" s="488" t="n">
        <v>0.0225</v>
      </c>
      <c r="D51" s="489">
        <f t="array" ref="D51">IFERROR((SUMPRODUCT($D$24:$M$24/(1+D$49)^$D$29:$M$29)+($M$24*(1+$B51)/(D$49-$B51))/(1+D$49)^$M$29-$C$38)*1000/$C$40,"")</f>
        <v/>
      </c>
      <c r="E51" s="489">
        <f t="array" ref="E51">IFERROR((SUMPRODUCT($D$24:$M$24/(1+E$49)^$D$29:$M$29)+($M$24*(1+$B51)/(E$49-$B51))/(1+E$49)^$M$29-$C$38)*1000/$C$40,"")</f>
        <v/>
      </c>
      <c r="F51" s="489">
        <f t="array" ref="F51">IFERROR((SUMPRODUCT($D$24:$M$24/(1+F$49)^$D$29:$M$29)+($M$24*(1+$B51)/(F$49-$B51))/(1+F$49)^$M$29-$C$38)*1000/$C$40,"")</f>
        <v/>
      </c>
      <c r="G51" s="489">
        <f t="array" ref="G51">IFERROR((SUMPRODUCT($D$24:$M$24/(1+G$49)^$D$29:$M$29)+($M$24*(1+$B51)/(G$49-$B51))/(1+G$49)^$M$29-$C$38)*1000/$C$40,"")</f>
        <v/>
      </c>
      <c r="H51" s="489">
        <f t="array" ref="H51">IFERROR((SUMPRODUCT($D$24:$M$24/(1+H$49)^$D$29:$M$29)+($M$24*(1+$B51)/(H$49-$B51))/(1+H$49)^$M$29-$C$38)*1000/$C$40,"")</f>
        <v/>
      </c>
    </row>
    <row r="52">
      <c r="B52" s="488" t="n">
        <v>0.025</v>
      </c>
      <c r="D52" s="489">
        <f t="array" ref="D52">IFERROR((SUMPRODUCT($D$24:$M$24/(1+D$49)^$D$29:$M$29)+($M$24*(1+$B52)/(D$49-$B52))/(1+D$49)^$M$29-$C$38)*1000/$C$40,"")</f>
        <v/>
      </c>
      <c r="E52" s="489">
        <f t="array" ref="E52">IFERROR((SUMPRODUCT($D$24:$M$24/(1+E$49)^$D$29:$M$29)+($M$24*(1+$B52)/(E$49-$B52))/(1+E$49)^$M$29-$C$38)*1000/$C$40,"")</f>
        <v/>
      </c>
      <c r="F52" s="490">
        <f t="array" ref="F52">IFERROR((SUMPRODUCT($D$24:$M$24/(1+F$49)^$D$29:$M$29)+($M$24*(1+$B52)/(F$49-$B52))/(1+F$49)^$M$29-$C$38)*1000/$C$40,"")</f>
        <v/>
      </c>
      <c r="G52" s="489">
        <f t="array" ref="G52">IFERROR((SUMPRODUCT($D$24:$M$24/(1+G$49)^$D$29:$M$29)+($M$24*(1+$B52)/(G$49-$B52))/(1+G$49)^$M$29-$C$38)*1000/$C$40,"")</f>
        <v/>
      </c>
      <c r="H52" s="489">
        <f t="array" ref="H52">IFERROR((SUMPRODUCT($D$24:$M$24/(1+H$49)^$D$29:$M$29)+($M$24*(1+$B52)/(H$49-$B52))/(1+H$49)^$M$29-$C$38)*1000/$C$40,"")</f>
        <v/>
      </c>
    </row>
    <row r="53">
      <c r="B53" s="488" t="n">
        <v>0.0275</v>
      </c>
      <c r="D53" s="489">
        <f t="array" ref="D53">IFERROR((SUMPRODUCT($D$24:$M$24/(1+D$49)^$D$29:$M$29)+($M$24*(1+$B53)/(D$49-$B53))/(1+D$49)^$M$29-$C$38)*1000/$C$40,"")</f>
        <v/>
      </c>
      <c r="E53" s="489">
        <f t="array" ref="E53">IFERROR((SUMPRODUCT($D$24:$M$24/(1+E$49)^$D$29:$M$29)+($M$24*(1+$B53)/(E$49-$B53))/(1+E$49)^$M$29-$C$38)*1000/$C$40,"")</f>
        <v/>
      </c>
      <c r="F53" s="489">
        <f t="array" ref="F53">IFERROR((SUMPRODUCT($D$24:$M$24/(1+F$49)^$D$29:$M$29)+($M$24*(1+$B53)/(F$49-$B53))/(1+F$49)^$M$29-$C$38)*1000/$C$40,"")</f>
        <v/>
      </c>
      <c r="G53" s="489">
        <f t="array" ref="G53">IFERROR((SUMPRODUCT($D$24:$M$24/(1+G$49)^$D$29:$M$29)+($M$24*(1+$B53)/(G$49-$B53))/(1+G$49)^$M$29-$C$38)*1000/$C$40,"")</f>
        <v/>
      </c>
      <c r="H53" s="489">
        <f t="array" ref="H53">IFERROR((SUMPRODUCT($D$24:$M$24/(1+H$49)^$D$29:$M$29)+($M$24*(1+$B53)/(H$49-$B53))/(1+H$49)^$M$29-$C$38)*1000/$C$40,"")</f>
        <v/>
      </c>
    </row>
    <row r="54">
      <c r="B54" s="488" t="n">
        <v>0.03</v>
      </c>
      <c r="D54" s="489">
        <f t="array" ref="D54">IFERROR((SUMPRODUCT($D$24:$M$24/(1+D$49)^$D$29:$M$29)+($M$24*(1+$B54)/(D$49-$B54))/(1+D$49)^$M$29-$C$38)*1000/$C$40,"")</f>
        <v/>
      </c>
      <c r="E54" s="489">
        <f t="array" ref="E54">IFERROR((SUMPRODUCT($D$24:$M$24/(1+E$49)^$D$29:$M$29)+($M$24*(1+$B54)/(E$49-$B54))/(1+E$49)^$M$29-$C$38)*1000/$C$40,"")</f>
        <v/>
      </c>
      <c r="F54" s="489">
        <f t="array" ref="F54">IFERROR((SUMPRODUCT($D$24:$M$24/(1+F$49)^$D$29:$M$29)+($M$24*(1+$B54)/(F$49-$B54))/(1+F$49)^$M$29-$C$38)*1000/$C$40,"")</f>
        <v/>
      </c>
      <c r="G54" s="489">
        <f t="array" ref="G54">IFERROR((SUMPRODUCT($D$24:$M$24/(1+G$49)^$D$29:$M$29)+($M$24*(1+$B54)/(G$49-$B54))/(1+G$49)^$M$29-$C$38)*1000/$C$40,"")</f>
        <v/>
      </c>
      <c r="H54" s="489">
        <f t="array" ref="H54">IFERROR((SUMPRODUCT($D$24:$M$24/(1+H$49)^$D$29:$M$29)+($M$24*(1+$B54)/(H$49-$B54))/(1+H$49)^$M$29-$C$38)*1000/$C$40,"")</f>
        <v/>
      </c>
    </row>
    <row r="57">
      <c r="B57" s="968" t="inlineStr">
        <is>
          <t>5. REVERSE DCF</t>
        </is>
      </c>
    </row>
    <row r="58" ht="50.1" customHeight="1">
      <c r="B58" s="942" t="inlineStr">
        <is>
          <t>At current $310 share price, the market is pricing TFI International's long-term FCF below the model's projection. To solve for break-even FCF: Data tab &gt; What-If Analysis &gt; Goal Seek. Set C41 to 310 by changing E18 (FY27 EBIT).</t>
        </is>
      </c>
    </row>
    <row r="60">
      <c r="B60" s="966" t="inlineStr">
        <is>
          <t>6. MAUBOUSSIN EV / NOPAT — TWO-STAGE FRAMEWORK</t>
        </is>
      </c>
      <c r="E60" s="966" t="inlineStr">
        <is>
          <t>IMPLIED P/E — DERIVED FROM EV/NOPAT FRAMEWORK</t>
        </is>
      </c>
    </row>
    <row r="61">
      <c r="B61" s="173" t="inlineStr">
        <is>
          <t>EV/NOPAT  =  1/r  +  [g × (1 − r/ROIIC) / (r × (r − g))] × [1 − ((1+g)/(1+r))^N]</t>
        </is>
      </c>
      <c r="E61" s="173" t="inlineStr">
        <is>
          <t>P/E  =  (EV/NOPAT × NOPAT − Net Debt) / Net Income</t>
        </is>
      </c>
    </row>
    <row r="62">
      <c r="B62" s="540" t="inlineStr">
        <is>
          <t>Formula source: Mauboussin &amp; Rappaport, "Expectations Investing" (2021); Counterpoint Global, "What Does a Price-Earnings Multiple Mean?" 2020.</t>
        </is>
      </c>
      <c r="E62" s="540" t="inlineStr">
        <is>
          <t>Translates the Mauboussin EV/NOPAT multiple into a P/E that includes capital-structure and tax effects.</t>
        </is>
      </c>
    </row>
    <row r="64">
      <c r="B64" s="968" t="inlineStr">
        <is>
          <t>Input</t>
        </is>
      </c>
      <c r="C64" s="449" t="inlineStr">
        <is>
          <t>Value</t>
        </is>
      </c>
      <c r="D64" s="968" t="inlineStr">
        <is>
          <t>Rationale (TFI International characteristics)</t>
        </is>
      </c>
      <c r="E64" s="449" t="inlineStr">
        <is>
          <t>Step</t>
        </is>
      </c>
      <c r="F64" s="449" t="inlineStr">
        <is>
          <t>Value</t>
        </is>
      </c>
      <c r="G64" s="449" t="inlineStr">
        <is>
          <t>Note</t>
        </is>
      </c>
    </row>
    <row r="65" ht="32.1" customHeight="1">
      <c r="B65" t="inlineStr">
        <is>
          <t>r  (Cost of capital / WACC)</t>
        </is>
      </c>
      <c r="C65" s="657">
        <f>$C$13</f>
        <v/>
      </c>
      <c r="D65" t="inlineStr">
        <is>
          <t>Linked from Section 1 WACC build</t>
        </is>
      </c>
      <c r="E65" t="inlineStr">
        <is>
          <t>FY28E Adj EBIT ($M)</t>
        </is>
      </c>
      <c r="F65" s="663">
        <f>C79</f>
        <v/>
      </c>
      <c r="G65" s="173" t="inlineStr">
        <is>
          <t>Linked to Model CK150</t>
        </is>
      </c>
    </row>
    <row r="66" ht="32.1" customHeight="1">
      <c r="B66" t="inlineStr">
        <is>
          <t>g  (NOPAT growth, Stage 1)</t>
        </is>
      </c>
      <c r="C66" s="658" t="n">
        <v>0.08</v>
      </c>
      <c r="D66" t="inlineStr">
        <is>
          <t>TFI International NOPAT CAGR FY24-FY30E = ~12-14%; conservatively normalised to 8% steady-state post strong A&amp;D backlog cycle</t>
        </is>
      </c>
      <c r="E66" t="inlineStr">
        <is>
          <t>× (1 − t)</t>
        </is>
      </c>
      <c r="F66" s="1149">
        <f>1-$C$10</f>
        <v/>
      </c>
      <c r="G66" s="173" t="inlineStr">
        <is>
          <t>Tax shield from WACC build</t>
        </is>
      </c>
    </row>
    <row r="67" ht="32.1" customHeight="1">
      <c r="B67" t="inlineStr">
        <is>
          <t>ROIIC  (Return on incremental invested capital)</t>
        </is>
      </c>
      <c r="C67" s="658" t="n">
        <v>0.2</v>
      </c>
      <c r="D67" t="inlineStr">
        <is>
          <t>TFI International ROIC trends to ~13-15% in forecast; ROIIC on incremental capital typically higher in mature A&amp;D — use 18%</t>
        </is>
      </c>
      <c r="E67" s="943" t="inlineStr">
        <is>
          <t>= NOPAT ($M)</t>
        </is>
      </c>
      <c r="F67" s="291">
        <f>F65*F66</f>
        <v/>
      </c>
      <c r="G67" s="173" t="inlineStr">
        <is>
          <t>EBIT-derived NOPAT</t>
        </is>
      </c>
    </row>
    <row r="68" ht="32.1" customHeight="1">
      <c r="B68" t="inlineStr">
        <is>
          <t>N  (Years of value creation / CAP)</t>
        </is>
      </c>
      <c r="C68" s="659" t="n">
        <v>15</v>
      </c>
      <c r="D68" t="inlineStr">
        <is>
          <t>Top-tier A&amp;D supplier with multi-decade flight programs (F-35, V-22, missiles, space launch); CAP 8-12 years typical for entrenched defense compounders</t>
        </is>
      </c>
      <c r="E68" t="inlineStr">
        <is>
          <t>EV/NOPAT (Mauboussin)</t>
        </is>
      </c>
      <c r="F68" s="945">
        <f>C76</f>
        <v/>
      </c>
      <c r="G68" s="173" t="inlineStr">
        <is>
          <t>From section 6 above</t>
        </is>
      </c>
    </row>
    <row r="69">
      <c r="E69" t="inlineStr">
        <is>
          <t>Implied EV ($M)</t>
        </is>
      </c>
      <c r="F69" s="291">
        <f>F67*F68</f>
        <v/>
      </c>
      <c r="G69" s="173" t="inlineStr">
        <is>
          <t>NOPAT × multiple</t>
        </is>
      </c>
    </row>
    <row r="70">
      <c r="B70" s="968" t="inlineStr">
        <is>
          <t>Calculation</t>
        </is>
      </c>
      <c r="C70" s="449" t="inlineStr">
        <is>
          <t>Value</t>
        </is>
      </c>
      <c r="E70" t="inlineStr">
        <is>
          <t>Less: YE FY27E Net debt ($M)</t>
        </is>
      </c>
      <c r="F70" s="663">
        <f>C84</f>
        <v/>
      </c>
      <c r="G70" s="173" t="inlineStr">
        <is>
          <t>Forward into 2028</t>
        </is>
      </c>
    </row>
    <row r="71">
      <c r="B71" t="inlineStr">
        <is>
          <t>Steady-state component:  1 / r</t>
        </is>
      </c>
      <c r="C71" s="660">
        <f>1/C65</f>
        <v/>
      </c>
      <c r="E71" t="inlineStr">
        <is>
          <t>Implied Equity Value ($M)</t>
        </is>
      </c>
      <c r="F71" s="291">
        <f>F69-F70</f>
        <v/>
      </c>
      <c r="G71" s="173" t="inlineStr">
        <is>
          <t>EV less net debt</t>
        </is>
      </c>
    </row>
    <row r="72">
      <c r="B72" t="inlineStr">
        <is>
          <t>Value-creation factor: 1 − r / ROIIC</t>
        </is>
      </c>
      <c r="C72" s="1150">
        <f>1-C65/C67</f>
        <v/>
      </c>
      <c r="E72" t="inlineStr">
        <is>
          <t>FY28E Net Income (GAAP, $M)</t>
        </is>
      </c>
      <c r="F72" s="663">
        <f>Model!CK133</f>
        <v/>
      </c>
      <c r="G72" s="173" t="inlineStr">
        <is>
          <t>Linked to Model CK133</t>
        </is>
      </c>
    </row>
    <row r="73">
      <c r="B73" t="inlineStr">
        <is>
          <t>Growth multiplier: g × (1 − r/ROIIC) / (r × (r − g))</t>
        </is>
      </c>
      <c r="C73" s="662">
        <f>C66*C72/(C65*(C65-C66))</f>
        <v/>
      </c>
      <c r="E73" t="inlineStr">
        <is>
          <t>FY28E Adj Net Earnings ($M)</t>
        </is>
      </c>
      <c r="F73" s="663">
        <f>Model!CK155</f>
        <v/>
      </c>
      <c r="G73" s="173" t="inlineStr">
        <is>
          <t>Linked to Model CK155 (after-tax adj add-back)</t>
        </is>
      </c>
    </row>
    <row r="74">
      <c r="B74" t="inlineStr">
        <is>
          <t>Time decay: 1 − ((1+g)/(1+r))^N</t>
        </is>
      </c>
      <c r="C74" s="1150">
        <f>1-((1+C66)/(1+C65))^C68</f>
        <v/>
      </c>
    </row>
    <row r="75">
      <c r="B75" s="542" t="inlineStr">
        <is>
          <t>PVGO component (growth value)</t>
        </is>
      </c>
      <c r="C75" s="660">
        <f>C73*C74</f>
        <v/>
      </c>
      <c r="E75" s="695" t="inlineStr">
        <is>
          <t>Implied P/E on GAAP NI (×)</t>
        </is>
      </c>
      <c r="F75" s="674">
        <f>IFERROR(F71/F72,"n/a")</f>
        <v/>
      </c>
      <c r="G75" s="173" t="inlineStr">
        <is>
          <t>Implied Equity Value / FY28E GAAP NI</t>
        </is>
      </c>
    </row>
    <row r="76">
      <c r="B76" s="966" t="inlineStr">
        <is>
          <t>Mauboussin EV / NOPAT (steady-state + PVGO)</t>
        </is>
      </c>
      <c r="C76" s="673">
        <f>C71+C75</f>
        <v/>
      </c>
      <c r="E76" s="695" t="inlineStr">
        <is>
          <t>Implied P/E on Adj NE (×)</t>
        </is>
      </c>
      <c r="F76" s="674">
        <f>IFERROR(F71/F73,"n/a")</f>
        <v/>
      </c>
      <c r="G76" s="173" t="inlineStr">
        <is>
          <t>Implied Equity Value / FY28E Adj NE</t>
        </is>
      </c>
    </row>
    <row r="78">
      <c r="B78" s="968" t="inlineStr">
        <is>
          <t>VALUATION — Applied to FY28E NOPAT</t>
        </is>
      </c>
      <c r="C78" s="449" t="inlineStr">
        <is>
          <t>$M</t>
        </is>
      </c>
      <c r="E78" s="966" t="inlineStr">
        <is>
          <t>Cross-check: Market-implied P/E today</t>
        </is>
      </c>
    </row>
    <row r="79">
      <c r="B79" t="inlineStr">
        <is>
          <t>FY28E Adj EBIT (Model CG146)</t>
        </is>
      </c>
      <c r="C79" s="663">
        <f>IF(ISNUMBER(Model!CK150),IF(Model!CK150&gt;0,Model!CK150,Model!CK126),Model!CK126)</f>
        <v/>
      </c>
      <c r="E79" s="3" t="inlineStr">
        <is>
          <t>Current price ($)</t>
        </is>
      </c>
      <c r="F79" s="668">
        <f>$C$42</f>
        <v/>
      </c>
    </row>
    <row r="80">
      <c r="B80" t="inlineStr">
        <is>
          <t>Tax rate (cash, from WACC build)</t>
        </is>
      </c>
      <c r="C80" s="1149">
        <f>$C$10</f>
        <v/>
      </c>
      <c r="E80" s="3" t="inlineStr">
        <is>
          <t>FY28E Adj EPS ($)</t>
        </is>
      </c>
      <c r="F80" s="668">
        <f>Model!CK156</f>
        <v/>
      </c>
      <c r="G80" s="173" t="inlineStr">
        <is>
          <t>Linked to Model CK156</t>
        </is>
      </c>
    </row>
    <row r="81">
      <c r="B81" s="3" t="inlineStr">
        <is>
          <t>FY28E NOPAT  =  EBIT × (1 − t)</t>
        </is>
      </c>
      <c r="C81" s="665">
        <f>C79*(1-C80)</f>
        <v/>
      </c>
      <c r="E81" s="695" t="inlineStr">
        <is>
          <t>Market P/E on FY28E Adj EPS (×)</t>
        </is>
      </c>
      <c r="F81" s="674">
        <f>IFERROR(F79/F80,"n/a")</f>
        <v/>
      </c>
      <c r="G81" s="173" t="inlineStr">
        <is>
          <t>Current valuation on Adj EPS</t>
        </is>
      </c>
    </row>
    <row r="82">
      <c r="B82" t="inlineStr">
        <is>
          <t>× Mauboussin EV/NOPAT multiple</t>
        </is>
      </c>
      <c r="C82" s="675">
        <f>C76</f>
        <v/>
      </c>
    </row>
    <row r="83">
      <c r="B83" s="966" t="inlineStr">
        <is>
          <t>Implied Enterprise Value (FY28E basis)</t>
        </is>
      </c>
      <c r="C83" s="970">
        <f>C81*C82</f>
        <v/>
      </c>
      <c r="E83" s="3" t="inlineStr">
        <is>
          <t>P/E Gap (Mauboussin − Market, ×)</t>
        </is>
      </c>
      <c r="F83" s="1084">
        <f>F76-F81</f>
        <v/>
      </c>
      <c r="G83" s="173" t="inlineStr">
        <is>
          <t>Positive = re-rating headroom; Negative = stock priced richer than framework</t>
        </is>
      </c>
    </row>
    <row r="84">
      <c r="B84" t="inlineStr">
        <is>
          <t>Less: YE FY27E Net debt (forward into 2028)</t>
        </is>
      </c>
      <c r="C84" s="663">
        <f>Model!CJ331</f>
        <v/>
      </c>
      <c r="E84" s="695" t="inlineStr">
        <is>
          <t>Implied re-rating ($)</t>
        </is>
      </c>
      <c r="F84" s="947">
        <f>F83*F80</f>
        <v/>
      </c>
      <c r="G84" s="173" t="inlineStr">
        <is>
          <t>P/E gap × FY28E Adj EPS</t>
        </is>
      </c>
    </row>
    <row r="85">
      <c r="B85" s="3" t="inlineStr">
        <is>
          <t>Implied Equity Value</t>
        </is>
      </c>
      <c r="C85" s="665">
        <f>C83-C84</f>
        <v/>
      </c>
    </row>
    <row r="86">
      <c r="B86" t="inlineStr">
        <is>
          <t>Diluted shares FY28E ('000)</t>
        </is>
      </c>
      <c r="C86" s="666">
        <f>Model!CK139</f>
        <v/>
      </c>
    </row>
    <row r="87">
      <c r="B87" s="966" t="inlineStr">
        <is>
          <t>Implied share price 2028 ($)</t>
        </is>
      </c>
      <c r="C87" s="667">
        <f>C85*1000/C86</f>
        <v/>
      </c>
    </row>
    <row r="89">
      <c r="B89" t="inlineStr">
        <is>
          <t>Current share price</t>
        </is>
      </c>
      <c r="C89" s="668">
        <f>C42</f>
        <v/>
      </c>
    </row>
    <row r="90">
      <c r="B90" s="3" t="inlineStr">
        <is>
          <t>Implied upside / (downside)</t>
        </is>
      </c>
      <c r="C90" s="1151">
        <f>C87/C89-1</f>
        <v/>
      </c>
    </row>
    <row r="92">
      <c r="B92" s="968" t="inlineStr">
        <is>
          <t>MARKET-IMPLIED EV/NOPAT TODAY</t>
        </is>
      </c>
      <c r="C92" s="449" t="inlineStr">
        <is>
          <t>$M</t>
        </is>
      </c>
    </row>
    <row r="93">
      <c r="B93" t="inlineStr">
        <is>
          <t>Current Market Cap (Spot × FDSO)</t>
        </is>
      </c>
      <c r="C93" s="670">
        <f>C42*C40/1000</f>
        <v/>
      </c>
    </row>
    <row r="94">
      <c r="B94" t="inlineStr">
        <is>
          <t>Plus: YE FY26E Net debt</t>
        </is>
      </c>
      <c r="C94" s="663">
        <f>C38</f>
        <v/>
      </c>
    </row>
    <row r="95">
      <c r="B95" s="3" t="inlineStr">
        <is>
          <t>Implied Enterprise Value (today)</t>
        </is>
      </c>
      <c r="C95" s="665">
        <f>C93+C94</f>
        <v/>
      </c>
    </row>
    <row r="96">
      <c r="B96" s="966" t="inlineStr">
        <is>
          <t>TFI International's Market-Implied EV/NOPAT (on FY28E NOPAT)</t>
        </is>
      </c>
      <c r="C96" s="674">
        <f>C95/C81</f>
        <v/>
      </c>
    </row>
    <row r="98">
      <c r="B98" s="3" t="inlineStr">
        <is>
          <t>Multiple Gap (Mauboussin − Market)</t>
        </is>
      </c>
      <c r="C98" s="671">
        <f>C76-C96</f>
        <v/>
      </c>
    </row>
    <row r="99">
      <c r="B99" s="541" t="inlineStr">
        <is>
          <t>Implied re-rating headroom</t>
        </is>
      </c>
      <c r="C99" s="1152">
        <f>C76/C96-1</f>
        <v/>
      </c>
    </row>
    <row r="102">
      <c r="B102" s="966" t="inlineStr">
        <is>
          <t>7. REVERSE FRAMEWORK — EXIT MULTIPLE → IMPLIED REVENUE GROWTH</t>
        </is>
      </c>
    </row>
    <row r="103">
      <c r="B103" s="173" t="inlineStr">
        <is>
          <t>Given a target FY30 exit P/E and required equity IRR, back out the FY30 revenue (and CAGR) needed to justify the current price using the model's average incremental EBIT margin.</t>
        </is>
      </c>
    </row>
    <row r="105">
      <c r="B105" s="449" t="inlineStr">
        <is>
          <t>Inputs</t>
        </is>
      </c>
      <c r="C105" s="449" t="inlineStr">
        <is>
          <t>Value</t>
        </is>
      </c>
      <c r="D105" s="968" t="inlineStr">
        <is>
          <t>Note</t>
        </is>
      </c>
    </row>
    <row r="106">
      <c r="B106" t="inlineStr">
        <is>
          <t>Current share price ($)</t>
        </is>
      </c>
      <c r="C106" s="946" t="n">
        <v>150</v>
      </c>
      <c r="D106" t="inlineStr">
        <is>
          <t>Linked to Section 1 / sensitivity</t>
        </is>
      </c>
    </row>
    <row r="107">
      <c r="B107" t="inlineStr">
        <is>
          <t>Target equity IRR (per year)</t>
        </is>
      </c>
      <c r="C107" s="1153" t="n">
        <v>0.15</v>
      </c>
      <c r="D107" t="inlineStr">
        <is>
          <t>Hardcoded hurdle rate</t>
        </is>
      </c>
    </row>
    <row r="108">
      <c r="B108" t="inlineStr">
        <is>
          <t>Years to FY30 exit</t>
        </is>
      </c>
      <c r="C108" s="951" t="n">
        <v>5</v>
      </c>
      <c r="D108" t="inlineStr">
        <is>
          <t>FY26→FY30 = 5 fiscal years</t>
        </is>
      </c>
    </row>
    <row r="109">
      <c r="B109" t="inlineStr">
        <is>
          <t>FY30E target price ($)</t>
        </is>
      </c>
      <c r="C109" s="952">
        <f>C106*(1+C107)^C108</f>
        <v/>
      </c>
      <c r="D109" t="inlineStr">
        <is>
          <t>Current price compounded at IRR over CAP</t>
        </is>
      </c>
    </row>
    <row r="110">
      <c r="B110" t="inlineStr">
        <is>
          <t>FY30E diluted shares ('000)</t>
        </is>
      </c>
      <c r="C110" s="666">
        <f>Model!CM139</f>
        <v/>
      </c>
      <c r="D110" t="inlineStr">
        <is>
          <t>Model FY30E diluted shares (after buybacks)</t>
        </is>
      </c>
    </row>
    <row r="111">
      <c r="B111" t="inlineStr">
        <is>
          <t>Tax rate (steady-state)</t>
        </is>
      </c>
      <c r="C111" s="1149">
        <f>C10</f>
        <v/>
      </c>
      <c r="D111" t="inlineStr">
        <is>
          <t>From WACC build</t>
        </is>
      </c>
    </row>
    <row r="112">
      <c r="B112" t="inlineStr">
        <is>
          <t>FY25 Adj EBIT ($M)</t>
        </is>
      </c>
      <c r="C112" s="663">
        <f>Model!CD150</f>
        <v/>
      </c>
      <c r="D112" t="inlineStr">
        <is>
          <t>Model FY25 reconciliation</t>
        </is>
      </c>
    </row>
    <row r="113">
      <c r="B113" t="inlineStr">
        <is>
          <t>FY25 Revenue ($M)</t>
        </is>
      </c>
      <c r="C113" s="663">
        <f>Model!CD114</f>
        <v/>
      </c>
    </row>
    <row r="114">
      <c r="B114" t="inlineStr">
        <is>
          <t>Model-derived incremental EBIT margin FY26-FY30</t>
        </is>
      </c>
      <c r="C114" s="1154">
        <f>IFERROR((Model!CM150-Model!CD150)/(Model!CM114-Model!CD114),"n/a")</f>
        <v/>
      </c>
      <c r="D114" t="inlineStr">
        <is>
          <t>Reference only — from Model base case</t>
        </is>
      </c>
    </row>
    <row r="115">
      <c r="B115" s="3" t="inlineStr">
        <is>
          <t xml:space="preserve">  → Incremental EBIT margin used (override)</t>
        </is>
      </c>
      <c r="C115" s="1155" t="n">
        <v>0.25</v>
      </c>
      <c r="D115" t="inlineStr">
        <is>
          <t>Edit to flex scenarios</t>
        </is>
      </c>
    </row>
    <row r="117">
      <c r="B117" s="968" t="inlineStr">
        <is>
          <t>Scenario A: Exit at 25x P/E in FY30</t>
        </is>
      </c>
      <c r="C117" s="968" t="inlineStr">
        <is>
          <t>Scenario B: Exit at Mauboussin P/E</t>
        </is>
      </c>
      <c r="D117" s="968" t="inlineStr">
        <is>
          <t>Note</t>
        </is>
      </c>
    </row>
    <row r="118">
      <c r="B118" t="inlineStr">
        <is>
          <t>Exit P/E multiple (×)</t>
        </is>
      </c>
      <c r="C118" s="953" t="n">
        <v>25</v>
      </c>
      <c r="D118" s="945">
        <f>F76</f>
        <v/>
      </c>
    </row>
    <row r="119">
      <c r="B119" t="inlineStr">
        <is>
          <t>Required FY30E Adj NE ($M)</t>
        </is>
      </c>
      <c r="C119" s="670">
        <f>$C$109*$C$110/1000/C118</f>
        <v/>
      </c>
      <c r="D119" s="670">
        <f>$C$109*$C$110/1000/D118</f>
        <v/>
      </c>
      <c r="E119" t="inlineStr">
        <is>
          <t>Target NE = Target price × shares / P/E</t>
        </is>
      </c>
    </row>
    <row r="120">
      <c r="B120" t="inlineStr">
        <is>
          <t>Required FY30E Adj EBIT ($M, pre-tax)</t>
        </is>
      </c>
      <c r="C120" s="670">
        <f>C119/(1-$C$111)</f>
        <v/>
      </c>
      <c r="D120" s="670">
        <f>D119/(1-$C$111)</f>
        <v/>
      </c>
      <c r="E120" t="inlineStr">
        <is>
          <t>EBIT = NE / (1-t); ignores interest — conservative proxy</t>
        </is>
      </c>
    </row>
    <row r="121">
      <c r="B121" t="inlineStr">
        <is>
          <t>Δ EBIT vs FY25 ($M)</t>
        </is>
      </c>
      <c r="C121" s="670">
        <f>C120-$C$112</f>
        <v/>
      </c>
      <c r="D121" s="670">
        <f>D120-$C$112</f>
        <v/>
      </c>
    </row>
    <row r="122">
      <c r="B122" t="inlineStr">
        <is>
          <t>Δ Revenue needed ($M)</t>
        </is>
      </c>
      <c r="C122" s="670">
        <f>C121/$C$115</f>
        <v/>
      </c>
      <c r="D122" s="670">
        <f>D121/$C$115</f>
        <v/>
      </c>
      <c r="E122" t="inlineStr">
        <is>
          <t>Δ EBIT / avg incremental margin</t>
        </is>
      </c>
    </row>
    <row r="123">
      <c r="B123" t="inlineStr">
        <is>
          <t>Implied FY30E Revenue ($M)</t>
        </is>
      </c>
      <c r="C123" s="665">
        <f>$C$113+C122</f>
        <v/>
      </c>
      <c r="D123" s="665">
        <f>$C$113+D122</f>
        <v/>
      </c>
    </row>
    <row r="124">
      <c r="B124" s="3" t="inlineStr">
        <is>
          <t>Implied Revenue CAGR FY25→FY30 (×)</t>
        </is>
      </c>
      <c r="C124" s="1156">
        <f>IFERROR((C123/$C$113)^(1/5)-1,"n/m")</f>
        <v/>
      </c>
      <c r="D124" s="1156">
        <f>IFERROR((D123/$C$113)^(1/5)-1,"n/m")</f>
        <v/>
      </c>
      <c r="E124" t="inlineStr">
        <is>
          <t>Required 5-yr revenue CAGR to justify hurdle at exit P/E</t>
        </is>
      </c>
    </row>
    <row r="126">
      <c r="B126" s="3" t="inlineStr">
        <is>
          <t>Comparison vs Base Case Model</t>
        </is>
      </c>
    </row>
    <row r="127">
      <c r="B127" t="inlineStr">
        <is>
          <t>Model Base-case FY30E Revenue ($M)</t>
        </is>
      </c>
      <c r="C127" s="663">
        <f>Model!CM114</f>
        <v/>
      </c>
      <c r="D127" s="663">
        <f>Model!CM114</f>
        <v/>
      </c>
    </row>
    <row r="128">
      <c r="B128" s="3" t="inlineStr">
        <is>
          <t>Model Base-case FY25-FY30 Revenue CAGR</t>
        </is>
      </c>
      <c r="C128" s="1157">
        <f>IFERROR((Model!CM114/Model!CD114)^(1/5)-1,"n/m")</f>
        <v/>
      </c>
      <c r="D128" s="1157">
        <f>IFERROR((Model!CM114/Model!CD114)^(1/5)-1,"n/m")</f>
        <v/>
      </c>
    </row>
    <row r="129">
      <c r="B129" s="3" t="inlineStr">
        <is>
          <t>Gap (Required − Modeled)</t>
        </is>
      </c>
      <c r="C129" s="1151">
        <f>C124-C128</f>
        <v/>
      </c>
      <c r="D129" s="1151">
        <f>D124-D128</f>
        <v/>
      </c>
      <c r="E129" t="inlineStr">
        <is>
          <t>Positive = model under-delivers vs hurdle; Negative = model over-delivers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21"/>
  <sheetViews>
    <sheetView zoomScale="60" zoomScaleNormal="60" workbookViewId="0">
      <selection activeCell="L2" sqref="L2"/>
    </sheetView>
  </sheetViews>
  <sheetFormatPr baseColWidth="8" defaultRowHeight="15.75"/>
  <cols>
    <col width="36.625" customWidth="1" min="2" max="2"/>
    <col width="12" customWidth="1" min="3" max="13"/>
  </cols>
  <sheetData>
    <row r="2" ht="21" customHeight="1">
      <c r="B2" s="550" t="inlineStr">
        <is>
          <t>TFI International (TFII) — Historical Operating Performance (FY15–FY25)</t>
        </is>
      </c>
    </row>
    <row r="3">
      <c r="B3" s="732" t="inlineStr">
        <is>
          <t>All historicals · $ millions (USD) · Linked to Model.</t>
        </is>
      </c>
    </row>
    <row r="7">
      <c r="B7" s="733" t="n"/>
      <c r="C7" s="734" t="n">
        <v>2015</v>
      </c>
      <c r="D7" s="734" t="n">
        <v>2016</v>
      </c>
      <c r="E7" s="734" t="n">
        <v>2017</v>
      </c>
      <c r="F7" s="734" t="n">
        <v>2018</v>
      </c>
      <c r="G7" s="734" t="n">
        <v>2019</v>
      </c>
      <c r="H7" s="734" t="n">
        <v>2020</v>
      </c>
      <c r="I7" s="734" t="n">
        <v>2021</v>
      </c>
      <c r="J7" s="734" t="n">
        <v>2022</v>
      </c>
      <c r="K7" s="734" t="n">
        <v>2023</v>
      </c>
      <c r="L7" s="734" t="n">
        <v>2024</v>
      </c>
      <c r="M7" s="734" t="n">
        <v>2025</v>
      </c>
    </row>
    <row r="8">
      <c r="B8" s="3" t="inlineStr">
        <is>
          <t>Revenue y/y %</t>
        </is>
      </c>
      <c r="C8" s="1158" t="n">
        <v>0</v>
      </c>
      <c r="D8" s="1158">
        <f>IFERROR(Model!AK114/Model!AF114-1,"")</f>
        <v/>
      </c>
      <c r="E8" s="1158">
        <f>IFERROR(Model!AP114/Model!AK114-1,"")</f>
        <v/>
      </c>
      <c r="F8" s="1158">
        <f>IFERROR(Model!AU114/Model!AP114-1,"")</f>
        <v/>
      </c>
      <c r="G8" s="1158">
        <f>IFERROR(Model!AZ114/Model!AU114-1,"")</f>
        <v/>
      </c>
      <c r="H8" s="1158">
        <f>IFERROR(Model!BE114/Model!AZ114-1,"")</f>
        <v/>
      </c>
      <c r="I8" s="1158">
        <f>IFERROR(Model!BJ114/Model!BE114-1,"")</f>
        <v/>
      </c>
      <c r="J8" s="1158">
        <f>IFERROR(Model!BO114/Model!BJ114-1,"")</f>
        <v/>
      </c>
      <c r="K8" s="1158">
        <f>IFERROR(Model!BT114/Model!BO114-1,"")</f>
        <v/>
      </c>
      <c r="L8" s="1158">
        <f>IFERROR(Model!BY114/Model!BT114-1,"")</f>
        <v/>
      </c>
      <c r="M8" s="1158">
        <f>IFERROR(Model!CD114/Model!BY114-1,"")</f>
        <v/>
      </c>
    </row>
    <row r="9">
      <c r="B9" s="735" t="n"/>
      <c r="C9" s="735" t="n"/>
      <c r="D9" s="735" t="n"/>
      <c r="E9" s="735" t="n"/>
      <c r="F9" s="735" t="n"/>
      <c r="G9" s="735" t="n"/>
      <c r="H9" s="735" t="n"/>
      <c r="I9" s="735" t="n"/>
      <c r="J9" s="735" t="n"/>
      <c r="K9" s="735" t="n"/>
      <c r="L9" s="735" t="n"/>
      <c r="M9" s="735" t="n"/>
    </row>
    <row r="11">
      <c r="B11" s="733" t="inlineStr">
        <is>
          <t>Year</t>
        </is>
      </c>
      <c r="C11" s="734" t="n">
        <v>2015</v>
      </c>
      <c r="D11" s="734" t="n">
        <v>2016</v>
      </c>
      <c r="E11" s="734" t="n">
        <v>2017</v>
      </c>
      <c r="F11" s="734" t="n">
        <v>2018</v>
      </c>
      <c r="G11" s="734" t="n">
        <v>2019</v>
      </c>
      <c r="H11" s="734" t="n">
        <v>2020</v>
      </c>
      <c r="I11" s="734" t="n">
        <v>2021</v>
      </c>
      <c r="J11" s="734" t="n">
        <v>2022</v>
      </c>
      <c r="K11" s="734" t="n">
        <v>2023</v>
      </c>
      <c r="L11" s="734" t="n">
        <v>2024</v>
      </c>
      <c r="M11" s="734" t="n">
        <v>2025</v>
      </c>
    </row>
    <row r="12">
      <c r="B12" s="3" t="inlineStr">
        <is>
          <t>Gross Profit ($M)</t>
        </is>
      </c>
      <c r="C12" s="1">
        <f>Model!AF116</f>
        <v/>
      </c>
      <c r="D12" s="1">
        <f>Model!AK116</f>
        <v/>
      </c>
      <c r="E12" s="1">
        <f>Model!AP116</f>
        <v/>
      </c>
      <c r="F12" s="1">
        <f>Model!AU116</f>
        <v/>
      </c>
      <c r="G12" s="1">
        <f>Model!AZ116</f>
        <v/>
      </c>
      <c r="H12" s="1">
        <f>Model!BE116</f>
        <v/>
      </c>
      <c r="I12" s="1">
        <f>Model!BJ116</f>
        <v/>
      </c>
      <c r="J12" s="1">
        <f>Model!BO116</f>
        <v/>
      </c>
      <c r="K12" s="1">
        <f>Model!BT116</f>
        <v/>
      </c>
      <c r="L12" s="1">
        <f>Model!BY116</f>
        <v/>
      </c>
      <c r="M12" s="1">
        <f>Model!CD116</f>
        <v/>
      </c>
    </row>
    <row r="13">
      <c r="B13" s="3" t="inlineStr">
        <is>
          <t>Adj EBIT ($M)</t>
        </is>
      </c>
      <c r="C13" s="1">
        <f>IF(ISNUMBER(Model!AF150),IF(Model!AF150&gt;0,Model!AF150,Model!AF126),Model!AF126)</f>
        <v/>
      </c>
      <c r="D13" s="1">
        <f>IF(ISNUMBER(Model!AK150),IF(Model!AK150&gt;0,Model!AK150,Model!AK126),Model!AK126)</f>
        <v/>
      </c>
      <c r="E13" s="1">
        <f>IF(ISNUMBER(Model!AP150),IF(Model!AP150&gt;0,Model!AP150,Model!AP126),Model!AP126)</f>
        <v/>
      </c>
      <c r="F13" s="1">
        <f>IF(ISNUMBER(Model!AU150),IF(Model!AU150&gt;0,Model!AU150,Model!AU126),Model!AU126)</f>
        <v/>
      </c>
      <c r="G13" s="1">
        <f>IF(ISNUMBER(Model!AZ150),IF(Model!AZ150&gt;0,Model!AZ150,Model!AZ126),Model!AZ126)</f>
        <v/>
      </c>
      <c r="H13" s="1">
        <f>IF(ISNUMBER(Model!BE150),IF(Model!BE150&gt;0,Model!BE150,Model!BE126),Model!BE126)</f>
        <v/>
      </c>
      <c r="I13" s="1">
        <f>IF(ISNUMBER(Model!BJ150),IF(Model!BJ150&gt;0,Model!BJ150,Model!BJ126),Model!BJ126)</f>
        <v/>
      </c>
      <c r="J13" s="1">
        <f>IF(ISNUMBER(Model!BO150),IF(Model!BO150&gt;0,Model!BO150,Model!BO126),Model!BO126)</f>
        <v/>
      </c>
      <c r="K13" s="1">
        <f>IF(ISNUMBER(Model!BT150),IF(Model!BT150&gt;0,Model!BT150,Model!BT126),Model!BT126)</f>
        <v/>
      </c>
      <c r="L13" s="1">
        <f>IF(ISNUMBER(Model!BY150),IF(Model!BY150&gt;0,Model!BY150,Model!BY126),Model!BY126)</f>
        <v/>
      </c>
      <c r="M13" s="1">
        <f>IF(ISNUMBER(Model!CD150),IF(Model!CD150&gt;0,Model!CD150,Model!CD126),Model!CD126)</f>
        <v/>
      </c>
    </row>
    <row r="14">
      <c r="B14" s="3" t="inlineStr">
        <is>
          <t>Gross margin %</t>
        </is>
      </c>
      <c r="C14" s="1158">
        <f>IFERROR(Model!AF116/Model!AF114,"")</f>
        <v/>
      </c>
      <c r="D14" s="1158">
        <f>IFERROR(Model!AK116/Model!AK114,"")</f>
        <v/>
      </c>
      <c r="E14" s="1158">
        <f>IFERROR(Model!AP116/Model!AP114,"")</f>
        <v/>
      </c>
      <c r="F14" s="1158">
        <f>IFERROR(Model!AU116/Model!AU114,"")</f>
        <v/>
      </c>
      <c r="G14" s="1158">
        <f>IFERROR(Model!AZ116/Model!AZ114,"")</f>
        <v/>
      </c>
      <c r="H14" s="1158">
        <f>IFERROR(Model!BE116/Model!BE114,"")</f>
        <v/>
      </c>
      <c r="I14" s="1158">
        <f>IFERROR(Model!BJ116/Model!BJ114,"")</f>
        <v/>
      </c>
      <c r="J14" s="1158">
        <f>IFERROR(Model!BO116/Model!BO114,"")</f>
        <v/>
      </c>
      <c r="K14" s="1158">
        <f>IFERROR(Model!BT116/Model!BT114,"")</f>
        <v/>
      </c>
      <c r="L14" s="1158">
        <f>IFERROR(Model!BY116/Model!BY114,"")</f>
        <v/>
      </c>
      <c r="M14" s="1158">
        <f>IFERROR(Model!CD116/Model!CD114,"")</f>
        <v/>
      </c>
    </row>
    <row r="15">
      <c r="B15" s="736" t="inlineStr">
        <is>
          <t>Adj EBIT margin %</t>
        </is>
      </c>
      <c r="C15" s="1159">
        <f>IFERROR(IF(ISNUMBER(Model!AF150),IF(Model!AF150&gt;0,Model!AF150,Model!AF126),Model!AF126)/Model!AF114,"")</f>
        <v/>
      </c>
      <c r="D15" s="1159">
        <f>IFERROR(IF(ISNUMBER(Model!AK150),IF(Model!AK150&gt;0,Model!AK150,Model!AK126),Model!AK126)/Model!AK114,"")</f>
        <v/>
      </c>
      <c r="E15" s="1159">
        <f>IFERROR(IF(ISNUMBER(Model!AP150),IF(Model!AP150&gt;0,Model!AP150,Model!AP126),Model!AP126)/Model!AP114,"")</f>
        <v/>
      </c>
      <c r="F15" s="1159">
        <f>IFERROR(IF(ISNUMBER(Model!AU150),IF(Model!AU150&gt;0,Model!AU150,Model!AU126),Model!AU126)/Model!AU114,"")</f>
        <v/>
      </c>
      <c r="G15" s="1159">
        <f>IFERROR(IF(ISNUMBER(Model!AZ150),IF(Model!AZ150&gt;0,Model!AZ150,Model!AZ126),Model!AZ126)/Model!AZ114,"")</f>
        <v/>
      </c>
      <c r="H15" s="1159">
        <f>IFERROR(IF(ISNUMBER(Model!BE150),IF(Model!BE150&gt;0,Model!BE150,Model!BE126),Model!BE126)/Model!BE114,"")</f>
        <v/>
      </c>
      <c r="I15" s="1159">
        <f>IFERROR(IF(ISNUMBER(Model!BJ150),IF(Model!BJ150&gt;0,Model!BJ150,Model!BJ126),Model!BJ126)/Model!BJ114,"")</f>
        <v/>
      </c>
      <c r="J15" s="1159">
        <f>IFERROR(IF(ISNUMBER(Model!BO150),IF(Model!BO150&gt;0,Model!BO150,Model!BO126),Model!BO126)/Model!BO114,"")</f>
        <v/>
      </c>
      <c r="K15" s="1159">
        <f>IFERROR(IF(ISNUMBER(Model!BT150),IF(Model!BT150&gt;0,Model!BT150,Model!BT126),Model!BT126)/Model!BT114,"")</f>
        <v/>
      </c>
      <c r="L15" s="1159">
        <f>IFERROR(IF(ISNUMBER(Model!BY150),IF(Model!BY150&gt;0,Model!BY150,Model!BY126),Model!BY126)/Model!BY114,"")</f>
        <v/>
      </c>
      <c r="M15" s="1159">
        <f>IFERROR(IF(ISNUMBER(Model!CD150),IF(Model!CD150&gt;0,Model!CD150,Model!CD126),Model!CD126)/Model!CD114,"")</f>
        <v/>
      </c>
    </row>
    <row r="17">
      <c r="B17" s="733" t="inlineStr">
        <is>
          <t>Year</t>
        </is>
      </c>
      <c r="C17" s="734" t="n">
        <v>2015</v>
      </c>
      <c r="D17" s="734" t="n">
        <v>2016</v>
      </c>
      <c r="E17" s="734" t="n">
        <v>2017</v>
      </c>
      <c r="F17" s="734" t="n">
        <v>2018</v>
      </c>
      <c r="G17" s="734" t="n">
        <v>2019</v>
      </c>
      <c r="H17" s="734" t="n">
        <v>2020</v>
      </c>
      <c r="I17" s="734" t="n">
        <v>2021</v>
      </c>
      <c r="J17" s="734" t="n">
        <v>2022</v>
      </c>
      <c r="K17" s="734" t="n">
        <v>2023</v>
      </c>
      <c r="L17" s="734" t="n">
        <v>2024</v>
      </c>
      <c r="M17" s="734" t="n">
        <v>2025</v>
      </c>
    </row>
    <row r="18">
      <c r="B18" s="3" t="inlineStr">
        <is>
          <t>ROIC</t>
        </is>
      </c>
      <c r="C18" s="1158">
        <f>IFERROR(Model!AF332,NA())</f>
        <v/>
      </c>
      <c r="D18" s="1158">
        <f>IFERROR(Model!AK332,NA())</f>
        <v/>
      </c>
      <c r="E18" s="1158">
        <f>IFERROR(Model!AP332,NA())</f>
        <v/>
      </c>
      <c r="F18" s="1158">
        <f>IFERROR(Model!AU332,NA())</f>
        <v/>
      </c>
      <c r="G18" s="1158">
        <f>IFERROR(Model!AZ332,NA())</f>
        <v/>
      </c>
      <c r="H18" s="1158">
        <f>IFERROR(Model!BE332,NA())</f>
        <v/>
      </c>
      <c r="I18" s="1158">
        <f>IFERROR(Model!BJ332,NA())</f>
        <v/>
      </c>
      <c r="J18" s="1158">
        <f>IFERROR(Model!BO332,NA())</f>
        <v/>
      </c>
      <c r="K18" s="1158">
        <f>IFERROR(Model!BT332,NA())</f>
        <v/>
      </c>
      <c r="L18" s="1158">
        <f>IFERROR(Model!BY332,NA())</f>
        <v/>
      </c>
      <c r="M18" s="1158">
        <f>IFERROR(Model!CD332,NA())</f>
        <v/>
      </c>
    </row>
    <row r="19">
      <c r="B19" s="3" t="inlineStr">
        <is>
          <t>RONTA</t>
        </is>
      </c>
      <c r="C19" s="1158">
        <f>IFERROR(Model!AF346,NA())</f>
        <v/>
      </c>
      <c r="D19" s="1158">
        <f>IFERROR(Model!AK346,NA())</f>
        <v/>
      </c>
      <c r="E19" s="1158">
        <f>IFERROR(Model!AP346,NA())</f>
        <v/>
      </c>
      <c r="F19" s="1158">
        <f>IFERROR(Model!AU346,NA())</f>
        <v/>
      </c>
      <c r="G19" s="1158">
        <f>IFERROR(Model!AZ346,NA())</f>
        <v/>
      </c>
      <c r="H19" s="1158">
        <f>IFERROR(Model!BE346,NA())</f>
        <v/>
      </c>
      <c r="I19" s="1158">
        <f>IFERROR(Model!BJ346,NA())</f>
        <v/>
      </c>
      <c r="J19" s="1158">
        <f>IFERROR(Model!BO346,NA())</f>
        <v/>
      </c>
      <c r="K19" s="1158">
        <f>IFERROR(Model!BT346,NA())</f>
        <v/>
      </c>
      <c r="L19" s="1158">
        <f>IFERROR(Model!BY346,NA())</f>
        <v/>
      </c>
      <c r="M19" s="1158">
        <f>IFERROR(Model!CD346,NA())</f>
        <v/>
      </c>
    </row>
    <row r="20">
      <c r="B20" s="3" t="inlineStr">
        <is>
          <t>EBIT / GP (conv ratio)</t>
        </is>
      </c>
      <c r="C20" s="1158">
        <f>IFERROR(IF(ISNUMBER(Model!AF150),IF(Model!AF150&gt;0,Model!AF150,Model!AF126),Model!AF126)/Model!AF116,NA())</f>
        <v/>
      </c>
      <c r="D20" s="1158">
        <f>IFERROR(IF(ISNUMBER(Model!AK150),IF(Model!AK150&gt;0,Model!AK150,Model!AK126),Model!AK126)/Model!AK116,NA())</f>
        <v/>
      </c>
      <c r="E20" s="1158">
        <f>IFERROR(IF(ISNUMBER(Model!AP150),IF(Model!AP150&gt;0,Model!AP150,Model!AP126),Model!AP126)/Model!AP116,NA())</f>
        <v/>
      </c>
      <c r="F20" s="1158">
        <f>IFERROR(IF(ISNUMBER(Model!AU150),IF(Model!AU150&gt;0,Model!AU150,Model!AU126),Model!AU126)/Model!AU116,NA())</f>
        <v/>
      </c>
      <c r="G20" s="1158">
        <f>IFERROR(IF(ISNUMBER(Model!AZ150),IF(Model!AZ150&gt;0,Model!AZ150,Model!AZ126),Model!AZ126)/Model!AZ116,NA())</f>
        <v/>
      </c>
      <c r="H20" s="1158">
        <f>IFERROR(IF(ISNUMBER(Model!BE150),IF(Model!BE150&gt;0,Model!BE150,Model!BE126),Model!BE126)/Model!BE116,NA())</f>
        <v/>
      </c>
      <c r="I20" s="1158">
        <f>IFERROR(IF(ISNUMBER(Model!BJ150),IF(Model!BJ150&gt;0,Model!BJ150,Model!BJ126),Model!BJ126)/Model!BJ116,NA())</f>
        <v/>
      </c>
      <c r="J20" s="1158">
        <f>IFERROR(IF(ISNUMBER(Model!BO150),IF(Model!BO150&gt;0,Model!BO150,Model!BO126),Model!BO126)/Model!BO116,NA())</f>
        <v/>
      </c>
      <c r="K20" s="1158">
        <f>IFERROR(IF(ISNUMBER(Model!BT150),IF(Model!BT150&gt;0,Model!BT150,Model!BT126),Model!BT126)/Model!BT116,NA())</f>
        <v/>
      </c>
      <c r="L20" s="1158">
        <f>IFERROR(IF(ISNUMBER(Model!BY150),IF(Model!BY150&gt;0,Model!BY150,Model!BY126),Model!BY126)/Model!BY116,NA())</f>
        <v/>
      </c>
      <c r="M20" s="1158">
        <f>IFERROR(IF(ISNUMBER(Model!CD150),IF(Model!CD150&gt;0,Model!CD150,Model!CD126),Model!CD126)/Model!CD116,NA())</f>
        <v/>
      </c>
    </row>
    <row r="21">
      <c r="B21" s="736" t="inlineStr">
        <is>
          <t>Incremental EBIT margin</t>
        </is>
      </c>
      <c r="C21" s="1159" t="n"/>
      <c r="D21" s="1159">
        <f>IFERROR((IF(ISNUMBER(Model!AK150),IF(Model!AK150&gt;0,Model!AK150,Model!AK126),Model!AK126)-IF(ISNUMBER(Model!AF150),IF(Model!AF150&gt;0,Model!AF150,Model!AF126),Model!AF126))/(Model!AK114-Model!AF114),NA())</f>
        <v/>
      </c>
      <c r="E21" s="1159">
        <f>IFERROR((IF(ISNUMBER(Model!AP150),IF(Model!AP150&gt;0,Model!AP150,Model!AP126),Model!AP126)-IF(ISNUMBER(Model!AK150),IF(Model!AK150&gt;0,Model!AK150,Model!AK126),Model!AK126))/(Model!AP114-Model!AK114),NA())</f>
        <v/>
      </c>
      <c r="F21" s="1159">
        <f>IFERROR((IF(ISNUMBER(Model!AU150),IF(Model!AU150&gt;0,Model!AU150,Model!AU126),Model!AU126)-IF(ISNUMBER(Model!AP150),IF(Model!AP150&gt;0,Model!AP150,Model!AP126),Model!AP126))/(Model!AU114-Model!AP114),NA())</f>
        <v/>
      </c>
      <c r="G21" s="1159">
        <f>IFERROR((IF(ISNUMBER(Model!AZ150),IF(Model!AZ150&gt;0,Model!AZ150,Model!AZ126),Model!AZ126)-IF(ISNUMBER(Model!AU150),IF(Model!AU150&gt;0,Model!AU150,Model!AU126),Model!AU126))/(Model!AZ114-Model!AU114),NA())</f>
        <v/>
      </c>
      <c r="H21" s="1159">
        <f>IFERROR((IF(ISNUMBER(Model!BE150),IF(Model!BE150&gt;0,Model!BE150,Model!BE126),Model!BE126)-IF(ISNUMBER(Model!AZ150),IF(Model!AZ150&gt;0,Model!AZ150,Model!AZ126),Model!AZ126))/(Model!BE114-Model!AZ114),NA())</f>
        <v/>
      </c>
      <c r="I21" s="1159">
        <f>IFERROR((IF(ISNUMBER(Model!BJ150),IF(Model!BJ150&gt;0,Model!BJ150,Model!BJ126),Model!BJ126)-IF(ISNUMBER(Model!BE150),IF(Model!BE150&gt;0,Model!BE150,Model!BE126),Model!BE126))/(Model!BJ114-Model!BE114),NA())</f>
        <v/>
      </c>
      <c r="J21" s="1159">
        <f>IFERROR((IF(ISNUMBER(Model!BO150),IF(Model!BO150&gt;0,Model!BO150,Model!BO126),Model!BO126)-IF(ISNUMBER(Model!BJ150),IF(Model!BJ150&gt;0,Model!BJ150,Model!BJ126),Model!BJ126))/(Model!BO114-Model!BJ114),NA())</f>
        <v/>
      </c>
      <c r="K21" s="1159">
        <f>IFERROR((IF(ISNUMBER(Model!BT150),IF(Model!BT150&gt;0,Model!BT150,Model!BT126),Model!BT126)-IF(ISNUMBER(Model!BO150),IF(Model!BO150&gt;0,Model!BO150,Model!BO126),Model!BO126))/(Model!BT114-Model!BO114),NA())</f>
        <v/>
      </c>
      <c r="L21" s="1159">
        <f>IFERROR((IF(ISNUMBER(Model!BY150),IF(Model!BY150&gt;0,Model!BY150,Model!BY126),Model!BY126)-IF(ISNUMBER(Model!BT150),IF(Model!BT150&gt;0,Model!BT150,Model!BT126),Model!BT126))/(Model!BY114-Model!BT114),NA())</f>
        <v/>
      </c>
      <c r="M21" s="1159">
        <f>IFERROR((IF(ISNUMBER(Model!CD150),IF(Model!CD150&gt;0,Model!CD150,Model!CD126),Model!CD126)-IF(ISNUMBER(Model!BY150),IF(Model!BY150&gt;0,Model!BY150,Model!BY126),Model!BY126))/(Model!CD114-Model!BY114),NA())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</dc:creator>
  <dcterms:created xsi:type="dcterms:W3CDTF">2018-06-07T17:34:22Z</dcterms:created>
  <dcterms:modified xsi:type="dcterms:W3CDTF">2026-05-28T18:00:12Z</dcterms:modified>
  <cp:lastModifiedBy>Payton Liske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0x010100CD401524DC532D42A0E0ED886331A72B</vt:lpwstr>
  </property>
  <property name="MSIP_Label_f42aa342-8706-4288-bd11-ebb85995028c_Enabled" fmtid="{D5CDD505-2E9C-101B-9397-08002B2CF9AE}" pid="3">
    <vt:lpwstr>True</vt:lpwstr>
  </property>
  <property name="MSIP_Label_f42aa342-8706-4288-bd11-ebb85995028c_SiteId" fmtid="{D5CDD505-2E9C-101B-9397-08002B2CF9AE}" pid="4">
    <vt:lpwstr>72f988bf-86f1-41af-91ab-2d7cd011db47</vt:lpwstr>
  </property>
  <property name="MSIP_Label_f42aa342-8706-4288-bd11-ebb85995028c_Owner" fmtid="{D5CDD505-2E9C-101B-9397-08002B2CF9AE}" pid="5">
    <vt:lpwstr>t-dahop@microsoft.com</vt:lpwstr>
  </property>
  <property name="MSIP_Label_f42aa342-8706-4288-bd11-ebb85995028c_SetDate" fmtid="{D5CDD505-2E9C-101B-9397-08002B2CF9AE}" pid="6">
    <vt:lpwstr>2018-06-18T14:22:57.3833839Z</vt:lpwstr>
  </property>
  <property name="MSIP_Label_f42aa342-8706-4288-bd11-ebb85995028c_Name" fmtid="{D5CDD505-2E9C-101B-9397-08002B2CF9AE}" pid="7">
    <vt:lpwstr>General</vt:lpwstr>
  </property>
  <property name="MSIP_Label_f42aa342-8706-4288-bd11-ebb85995028c_Application" fmtid="{D5CDD505-2E9C-101B-9397-08002B2CF9AE}" pid="8">
    <vt:lpwstr>Microsoft Azure Information Protection</vt:lpwstr>
  </property>
  <property name="MSIP_Label_f42aa342-8706-4288-bd11-ebb85995028c_Extended_MSFT_Method" fmtid="{D5CDD505-2E9C-101B-9397-08002B2CF9AE}" pid="9">
    <vt:lpwstr>Automatic</vt:lpwstr>
  </property>
  <property name="Sensitivity" fmtid="{D5CDD505-2E9C-101B-9397-08002B2CF9AE}" pid="10">
    <vt:lpwstr>General</vt:lpwstr>
  </property>
</Properties>
</file>