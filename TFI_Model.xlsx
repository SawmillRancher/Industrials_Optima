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640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>
        <v>122.439</v>
      </c>
      <c r="BD12" s="291" t="n"/>
      <c r="BE12" s="868" t="n">
        <v>529.155</v>
      </c>
      <c r="BF12" s="743" t="n"/>
      <c r="BG12" s="743" t="n">
        <v>145.235</v>
      </c>
      <c r="BH12" s="743" t="n">
        <v>133.315</v>
      </c>
      <c r="BI12" s="291">
        <f>BJ12-SUM(BF12:BH12)</f>
        <v/>
      </c>
      <c r="BJ12" s="868" t="n">
        <v>641.449</v>
      </c>
      <c r="BK12" s="743" t="n">
        <v>124.58</v>
      </c>
      <c r="BL12" s="743" t="n">
        <v>125.082</v>
      </c>
      <c r="BM12" s="743" t="n">
        <v>120.236</v>
      </c>
      <c r="BN12" s="291">
        <f>BO12-SUM(BK12:BM12)</f>
        <v/>
      </c>
      <c r="BO12" s="868" t="n">
        <v>650.8440000000001</v>
      </c>
      <c r="BP12" s="743" t="n">
        <v>112.56</v>
      </c>
      <c r="BQ12" s="743" t="n">
        <v>115.588</v>
      </c>
      <c r="BR12" s="743" t="n">
        <v>111.749</v>
      </c>
      <c r="BS12" s="291" t="n"/>
      <c r="BT12" s="864" t="n">
        <v>583.198</v>
      </c>
      <c r="BU12" s="291" t="n">
        <v>103.18</v>
      </c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>
        <v>21.392</v>
      </c>
      <c r="BD13" s="291" t="n"/>
      <c r="BE13" s="868" t="n">
        <v>78.753</v>
      </c>
      <c r="BF13" s="743" t="n"/>
      <c r="BG13" s="743" t="n">
        <v>29.543</v>
      </c>
      <c r="BH13" s="743" t="n">
        <v>23.861</v>
      </c>
      <c r="BI13" s="291">
        <f>BJ13-SUM(BF13:BH13)</f>
        <v/>
      </c>
      <c r="BJ13" s="868" t="n">
        <v>108.44</v>
      </c>
      <c r="BK13" s="743" t="n">
        <v>26.085</v>
      </c>
      <c r="BL13" s="743" t="n">
        <v>36.8</v>
      </c>
      <c r="BM13" s="743" t="n">
        <v>33.858</v>
      </c>
      <c r="BN13" s="291">
        <f>BO13-SUM(BK13:BM13)</f>
        <v/>
      </c>
      <c r="BO13" s="868" t="n">
        <v>134.306</v>
      </c>
      <c r="BP13" s="743" t="n">
        <v>27.323</v>
      </c>
      <c r="BQ13" s="743" t="n">
        <v>27.104</v>
      </c>
      <c r="BR13" s="743" t="n">
        <v>25.222</v>
      </c>
      <c r="BS13" s="291" t="n"/>
      <c r="BT13" s="864" t="n">
        <v>114.36</v>
      </c>
      <c r="BU13" s="291" t="n">
        <v>18.155</v>
      </c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>
        <v>133.122</v>
      </c>
      <c r="BD20" s="291" t="n"/>
      <c r="BE20" s="868" t="n">
        <v>589.235</v>
      </c>
      <c r="BF20" s="743" t="n"/>
      <c r="BG20" s="743" t="n">
        <v>625.265</v>
      </c>
      <c r="BH20" s="743" t="n">
        <v>860.838</v>
      </c>
      <c r="BI20" s="291">
        <f>BJ20-SUM(BF20:BH20)</f>
        <v/>
      </c>
      <c r="BJ20" s="868" t="n">
        <v>2815.39</v>
      </c>
      <c r="BK20" s="743" t="n">
        <v>835.399</v>
      </c>
      <c r="BL20" s="743" t="n">
        <v>870.176</v>
      </c>
      <c r="BM20" s="743" t="n">
        <v>817.199</v>
      </c>
      <c r="BN20" s="291">
        <f>BO20-SUM(BK20:BM20)</f>
        <v/>
      </c>
      <c r="BO20" s="868" t="n">
        <v>4023.163</v>
      </c>
      <c r="BP20" s="743" t="n">
        <v>690.862</v>
      </c>
      <c r="BQ20" s="743" t="n">
        <v>672.827</v>
      </c>
      <c r="BR20" s="743" t="n">
        <v>717.6900000000001</v>
      </c>
      <c r="BS20" s="291" t="n"/>
      <c r="BT20" s="864" t="n">
        <v>3368.567</v>
      </c>
      <c r="BU20" s="291" t="n">
        <v>680.696</v>
      </c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>
        <v>26.249</v>
      </c>
      <c r="BD21" s="291" t="n"/>
      <c r="BE21" s="868" t="n">
        <v>87.95</v>
      </c>
      <c r="BF21" s="743" t="n"/>
      <c r="BG21" s="743" t="n">
        <v>351.295</v>
      </c>
      <c r="BH21" s="743" t="n">
        <v>85.14400000000001</v>
      </c>
      <c r="BI21" s="291">
        <f>BJ21-SUM(BF21:BH21)</f>
        <v/>
      </c>
      <c r="BJ21" s="868" t="n">
        <v>482.754</v>
      </c>
      <c r="BK21" s="743" t="n">
        <v>94.77</v>
      </c>
      <c r="BL21" s="743" t="n">
        <v>187.284</v>
      </c>
      <c r="BM21" s="743" t="n">
        <v>100.513</v>
      </c>
      <c r="BN21" s="291">
        <f>BO21-SUM(BK21:BM21)</f>
        <v/>
      </c>
      <c r="BO21" s="868" t="n">
        <v>470.807</v>
      </c>
      <c r="BP21" s="743" t="n">
        <v>57.94</v>
      </c>
      <c r="BQ21" s="743" t="n">
        <v>80.672</v>
      </c>
      <c r="BR21" s="743" t="n">
        <v>100.37</v>
      </c>
      <c r="BS21" s="291" t="n"/>
      <c r="BT21" s="864" t="n">
        <v>310.429</v>
      </c>
      <c r="BU21" s="291" t="n">
        <v>66.875</v>
      </c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>
        <v>408.995</v>
      </c>
      <c r="BD27" s="291" t="n"/>
      <c r="BE27" s="868" t="n">
        <v>1748.359</v>
      </c>
      <c r="BF27" s="743" t="n"/>
      <c r="BG27" s="743" t="n">
        <v>481.541</v>
      </c>
      <c r="BH27" s="743" t="n">
        <v>488.617</v>
      </c>
      <c r="BI27" s="291">
        <f>BJ27-SUM(BF27:BH27)</f>
        <v/>
      </c>
      <c r="BJ27" s="868" t="n">
        <v>2162.752</v>
      </c>
      <c r="BK27" s="743" t="n">
        <v>515.925</v>
      </c>
      <c r="BL27" s="743" t="n">
        <v>556.894</v>
      </c>
      <c r="BM27" s="743" t="n">
        <v>510.185</v>
      </c>
      <c r="BN27" s="291">
        <f>BO27-SUM(BK27:BM27)</f>
        <v/>
      </c>
      <c r="BO27" s="868" t="n">
        <v>2451.038</v>
      </c>
      <c r="BP27" s="743" t="n">
        <v>414.125</v>
      </c>
      <c r="BQ27" s="743" t="n">
        <v>410.68</v>
      </c>
      <c r="BR27" s="743" t="n">
        <v>401.51</v>
      </c>
      <c r="BS27" s="291" t="n"/>
      <c r="BT27" s="864" t="n">
        <v>1936.038</v>
      </c>
      <c r="BU27" s="291" t="n">
        <v>397.732</v>
      </c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>
        <v>56.047</v>
      </c>
      <c r="BD28" s="291" t="n"/>
      <c r="BE28" s="868" t="n">
        <v>206.346</v>
      </c>
      <c r="BF28" s="743" t="n"/>
      <c r="BG28" s="743" t="n">
        <v>62.626</v>
      </c>
      <c r="BH28" s="743" t="n">
        <v>55.753</v>
      </c>
      <c r="BI28" s="291">
        <f>BJ28-SUM(BF28:BH28)</f>
        <v/>
      </c>
      <c r="BJ28" s="868" t="n">
        <v>230.189</v>
      </c>
      <c r="BK28" s="743" t="n">
        <v>71.02800000000001</v>
      </c>
      <c r="BL28" s="743" t="n">
        <v>127.37</v>
      </c>
      <c r="BM28" s="743" t="n">
        <v>96.628</v>
      </c>
      <c r="BN28" s="291">
        <f>BO28-SUM(BK28:BM28)</f>
        <v/>
      </c>
      <c r="BO28" s="868" t="n">
        <v>366.868</v>
      </c>
      <c r="BP28" s="743" t="n">
        <v>70.496</v>
      </c>
      <c r="BQ28" s="743" t="n">
        <v>66.18300000000001</v>
      </c>
      <c r="BR28" s="743" t="n">
        <v>50.057</v>
      </c>
      <c r="BS28" s="291" t="n"/>
      <c r="BT28" s="864" t="n">
        <v>237.393</v>
      </c>
      <c r="BU28" s="291" t="n">
        <v>41.464</v>
      </c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>
        <v>209.974</v>
      </c>
      <c r="BD34" s="291" t="n"/>
      <c r="BE34" s="868" t="n">
        <v>945.13</v>
      </c>
      <c r="BF34" s="743" t="n"/>
      <c r="BG34" s="743" t="n">
        <v>406.902</v>
      </c>
      <c r="BH34" s="743" t="n">
        <v>408.071</v>
      </c>
      <c r="BI34" s="743" t="n"/>
      <c r="BJ34" s="868" t="n">
        <v>1662.072</v>
      </c>
      <c r="BK34" s="291" t="n">
        <v>435.378</v>
      </c>
      <c r="BL34" s="291" t="n">
        <v>453.701</v>
      </c>
      <c r="BM34" s="291" t="n">
        <v>424.075</v>
      </c>
      <c r="BN34" s="291" t="n"/>
      <c r="BO34" s="864" t="n">
        <v>1763.28</v>
      </c>
      <c r="BP34" s="291" t="n">
        <v>355.251</v>
      </c>
      <c r="BQ34" s="291" t="n">
        <v>361.767</v>
      </c>
      <c r="BR34" s="291" t="n">
        <v>416.222</v>
      </c>
      <c r="BS34" s="291" t="n"/>
      <c r="BT34" s="864" t="n">
        <v>1697.016</v>
      </c>
      <c r="BU34" s="291" t="n">
        <v>441.905</v>
      </c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>
        <v>22.435</v>
      </c>
      <c r="BD35" s="291" t="n"/>
      <c r="BE35" s="868" t="n">
        <v>84.459</v>
      </c>
      <c r="BF35" s="743" t="n"/>
      <c r="BG35" s="743" t="n">
        <v>47.566</v>
      </c>
      <c r="BH35" s="743" t="n">
        <v>45.299</v>
      </c>
      <c r="BI35" s="743" t="n"/>
      <c r="BJ35" s="868" t="n">
        <v>142.794</v>
      </c>
      <c r="BK35" s="291" t="n">
        <v>34.882</v>
      </c>
      <c r="BL35" s="291" t="n">
        <v>42.368</v>
      </c>
      <c r="BM35" s="291" t="n">
        <v>28.992</v>
      </c>
      <c r="BN35" s="291" t="n"/>
      <c r="BO35" s="864" t="n">
        <v>140.446</v>
      </c>
      <c r="BP35" s="291" t="n">
        <v>31.71</v>
      </c>
      <c r="BQ35" s="291" t="n">
        <v>32.893</v>
      </c>
      <c r="BR35" s="291" t="n">
        <v>40.855</v>
      </c>
      <c r="BS35" s="291" t="n"/>
      <c r="BT35" s="864" t="n">
        <v>160.112</v>
      </c>
      <c r="BU35" s="291" t="n">
        <v>40.182</v>
      </c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>
        <v>794.158</v>
      </c>
      <c r="BW54" s="743" t="n">
        <v>770.7569999999999</v>
      </c>
      <c r="BX54" s="291">
        <f>BY54-BU54-BV54-BW54</f>
        <v/>
      </c>
      <c r="BY54" s="868" t="n">
        <v>3702.935</v>
      </c>
      <c r="BZ54" s="743" t="n">
        <v>678.95</v>
      </c>
      <c r="CA54" s="743" t="n">
        <v>703.698</v>
      </c>
      <c r="CB54" s="743" t="n">
        <v>687.044</v>
      </c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CD54*(1+CI55)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ASSUMPTIONS (TFI 3-segment structure, FY26E-FY30E)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>
        <f>CHOOSE(MATCH($CO$3,{"Base";"Bull";"Bear"},0),CU58,CU68,CU78)</f>
        <v/>
      </c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 toggle at Model!CO3 ("Base" / "Bull" / "Bear")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>
        <v>109.918</v>
      </c>
      <c r="BW56" s="977" t="n">
        <v>95.95999999999999</v>
      </c>
      <c r="BX56" s="978">
        <f>BY56-BU56-BV56-BW56</f>
        <v/>
      </c>
      <c r="BY56" s="982" t="n">
        <v>361.235</v>
      </c>
      <c r="BZ56" s="977" t="n">
        <v>47.123</v>
      </c>
      <c r="CA56" s="977" t="n">
        <v>73.56</v>
      </c>
      <c r="CB56" s="977" t="n">
        <v>77.72799999999999</v>
      </c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>
        <f>CHOOSE(MATCH($CO$3,{"Base";"Bull";"Bear"},0),CU59,CU69,CU79)</f>
        <v/>
      </c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 xml:space="preserve">  Less-Than-Truckload Sales y/y %</t>
        </is>
      </c>
      <c r="CU58" s="984" t="n">
        <v>-0.01990000000000003</v>
      </c>
      <c r="CV58" s="984" t="n">
        <v>0.03529999999999989</v>
      </c>
      <c r="CW58" s="984" t="n">
        <v>0.05062499999999992</v>
      </c>
      <c r="CX58" s="984" t="n">
        <v>0.05062499999999992</v>
      </c>
      <c r="CY58" s="984" t="n">
        <v>0.04549999999999987</v>
      </c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 xml:space="preserve">  Less-Than-Truckload EBIT margin %</t>
        </is>
      </c>
      <c r="CU59" s="984" t="n">
        <v>0.06</v>
      </c>
      <c r="CV59" s="984" t="n">
        <v>0.09</v>
      </c>
      <c r="CW59" s="984" t="n">
        <v>0.115</v>
      </c>
      <c r="CX59" s="984" t="n">
        <v>0.135</v>
      </c>
      <c r="CY59" s="984" t="n">
        <v>0.15</v>
      </c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 xml:space="preserve">  Truckload Sales y/y %</t>
        </is>
      </c>
      <c r="CU60" s="984" t="n">
        <v>0.01849999999999996</v>
      </c>
      <c r="CV60" s="984" t="n">
        <v>0.03499999999999992</v>
      </c>
      <c r="CW60" s="984" t="n">
        <v>0.04544999999999999</v>
      </c>
      <c r="CX60" s="984" t="n">
        <v>0.04549999999999987</v>
      </c>
      <c r="CY60" s="984" t="n">
        <v>0.04549999999999987</v>
      </c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 t="n"/>
      <c r="BL61" s="991" t="n"/>
      <c r="BM61" s="991" t="n"/>
      <c r="BN61" s="991" t="n"/>
      <c r="BO61" s="992" t="n"/>
      <c r="BP61" s="991" t="n"/>
      <c r="BQ61" s="991" t="n"/>
      <c r="BR61" s="991" t="n"/>
      <c r="BS61" s="991" t="n"/>
      <c r="BT61" s="992" t="n"/>
      <c r="BU61" s="991" t="n"/>
      <c r="BV61" s="991" t="n"/>
      <c r="BW61" s="991" t="n"/>
      <c r="BX61" s="991" t="n"/>
      <c r="BY61" s="992" t="n"/>
      <c r="BZ61" s="991" t="n"/>
      <c r="CA61" s="991" t="n"/>
      <c r="CB61" s="991" t="n"/>
      <c r="CC61" s="991" t="n"/>
      <c r="CD61" s="992" t="n"/>
      <c r="CE61" s="991" t="n"/>
      <c r="CF61" s="991" t="n"/>
      <c r="CG61" s="991" t="n"/>
      <c r="CH61" s="991" t="n"/>
      <c r="CI61" s="976" t="n"/>
      <c r="CJ61" s="976" t="n"/>
      <c r="CK61" s="976" t="n"/>
      <c r="CL61" s="976" t="n"/>
      <c r="CM61" s="976" t="n"/>
      <c r="CN61" s="974" t="n"/>
      <c r="CO61" s="766" t="n"/>
      <c r="CP61" s="974" t="n"/>
      <c r="CQ61" s="693" t="n"/>
      <c r="CT61" t="inlineStr">
        <is>
          <t xml:space="preserve">  Truckload EBIT margin %</t>
        </is>
      </c>
      <c r="CU61" s="984" t="n">
        <v>0.09</v>
      </c>
      <c r="CV61" s="984" t="n">
        <v>0.1</v>
      </c>
      <c r="CW61" s="984" t="n">
        <v>0.11</v>
      </c>
      <c r="CX61" s="984" t="n">
        <v>0.115</v>
      </c>
      <c r="CY61" s="984" t="n">
        <v>0.12</v>
      </c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 t="n"/>
      <c r="BL62" s="763" t="n"/>
      <c r="BM62" s="763" t="n"/>
      <c r="BN62" s="763" t="n"/>
      <c r="BO62" s="934" t="n"/>
      <c r="BP62" s="763" t="n"/>
      <c r="BQ62" s="763" t="n"/>
      <c r="BR62" s="763" t="n"/>
      <c r="BS62" s="763" t="n"/>
      <c r="BT62" s="934" t="n"/>
      <c r="BU62" s="763" t="n"/>
      <c r="BV62" s="763" t="n"/>
      <c r="BW62" s="763" t="n"/>
      <c r="BX62" s="763" t="n"/>
      <c r="BY62" s="934" t="n"/>
      <c r="BZ62" s="763" t="n"/>
      <c r="CA62" s="763" t="n"/>
      <c r="CB62" s="763" t="n"/>
      <c r="CC62" s="763" t="n"/>
      <c r="CD62" s="934" t="n"/>
      <c r="CE62" s="763" t="n"/>
      <c r="CF62" s="763" t="n"/>
      <c r="CG62" s="763" t="n"/>
      <c r="CH62" s="763" t="n"/>
      <c r="CI62" s="764" t="n"/>
      <c r="CJ62" s="764" t="n"/>
      <c r="CK62" s="764" t="n"/>
      <c r="CL62" s="764" t="n"/>
      <c r="CM62" s="764" t="n"/>
      <c r="CN62" s="974" t="n"/>
      <c r="CO62" s="766" t="n"/>
      <c r="CP62" s="974" t="n"/>
      <c r="CQ62" s="693" t="n"/>
      <c r="CT62" t="inlineStr">
        <is>
          <t xml:space="preserve">  Logistics Sales y/y %</t>
        </is>
      </c>
      <c r="CU62" s="984" t="n">
        <v>0.03000000000000003</v>
      </c>
      <c r="CV62" s="984" t="n">
        <v>0.04499999999999993</v>
      </c>
      <c r="CW62" s="984" t="n">
        <v>0.05000000000000004</v>
      </c>
      <c r="CX62" s="984" t="n">
        <v>0.04499999999999993</v>
      </c>
      <c r="CY62" s="984" t="n">
        <v>0.04000000000000004</v>
      </c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 xml:space="preserve">  Logistics EBIT margin %</t>
        </is>
      </c>
      <c r="CU63" s="984" t="n">
        <v>0.09</v>
      </c>
      <c r="CV63" s="984" t="n">
        <v>0.095</v>
      </c>
      <c r="CW63" s="984" t="n">
        <v>0.1</v>
      </c>
      <c r="CX63" s="984" t="n">
        <v>0.1</v>
      </c>
      <c r="CY63" s="984" t="n">
        <v>0.1</v>
      </c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>
        <v>737.687</v>
      </c>
      <c r="BW65" s="743" t="n">
        <v>722.8819999999999</v>
      </c>
      <c r="BX65" s="291">
        <f>BY65-BU65-BV65-BW65</f>
        <v/>
      </c>
      <c r="BY65" s="868" t="n">
        <v>2937.305</v>
      </c>
      <c r="BZ65" s="743" t="n">
        <v>662.855</v>
      </c>
      <c r="CA65" s="743" t="n">
        <v>712.283</v>
      </c>
      <c r="CB65" s="743" t="n">
        <v>684.104</v>
      </c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CD65*(1+CI66)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>
        <f>CHOOSE(MATCH($CO$3,{"Base";"Bull";"Bear"},0),CU60,CU70,CU80)</f>
        <v/>
      </c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>
        <v>83.32899999999999</v>
      </c>
      <c r="BW67" s="743" t="n">
        <v>70.10899999999999</v>
      </c>
      <c r="BX67" s="291">
        <f>BY67-BU67-BV67-BW67</f>
        <v/>
      </c>
      <c r="BY67" s="868" t="n">
        <v>252.434</v>
      </c>
      <c r="BZ67" s="743" t="n">
        <v>48.778</v>
      </c>
      <c r="CA67" s="743" t="n">
        <v>70.565</v>
      </c>
      <c r="CB67" s="743" t="n">
        <v>52.606</v>
      </c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 xml:space="preserve">  Less-Than-Truckload Sales y/y %</t>
        </is>
      </c>
      <c r="CU68" s="984" t="n">
        <v>0.0302</v>
      </c>
      <c r="CV68" s="984" t="n">
        <v>0.07640000000000002</v>
      </c>
      <c r="CW68" s="984" t="n">
        <v>0.08160000000000012</v>
      </c>
      <c r="CX68" s="984" t="n">
        <v>0.07122499999999987</v>
      </c>
      <c r="CY68" s="984" t="n">
        <v>0.06089999999999995</v>
      </c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>
        <f>CHOOSE(MATCH($CO$3,{"Base";"Bull";"Bear"},0),CU61,CU71,CU81)</f>
        <v/>
      </c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 xml:space="preserve">  Less-Than-Truckload EBIT margin %</t>
        </is>
      </c>
      <c r="CU69" s="984" t="n">
        <v>0.08500000000000001</v>
      </c>
      <c r="CV69" s="984" t="n">
        <v>0.115</v>
      </c>
      <c r="CW69" s="984" t="n">
        <v>0.14</v>
      </c>
      <c r="CX69" s="984" t="n">
        <v>0.15</v>
      </c>
      <c r="CY69" s="984" t="n">
        <v>0.155</v>
      </c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 xml:space="preserve">  Truckload Sales y/y %</t>
        </is>
      </c>
      <c r="CU70" s="984" t="n">
        <v>0.07000000000000006</v>
      </c>
      <c r="CV70" s="984" t="n">
        <v>0.07100000000000017</v>
      </c>
      <c r="CW70" s="984" t="n">
        <v>0.07120000000000015</v>
      </c>
      <c r="CX70" s="984" t="n">
        <v>0.06604999999999994</v>
      </c>
      <c r="CY70" s="984" t="n">
        <v>0.05574999999999997</v>
      </c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 xml:space="preserve">  Truckload EBIT margin %</t>
        </is>
      </c>
      <c r="CU71" s="984" t="n">
        <v>0.11</v>
      </c>
      <c r="CV71" s="984" t="n">
        <v>0.12</v>
      </c>
      <c r="CW71" s="984" t="n">
        <v>0.13</v>
      </c>
      <c r="CX71" s="984" t="n">
        <v>0.13</v>
      </c>
      <c r="CY71" s="984" t="n">
        <v>0.13</v>
      </c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 t="n"/>
      <c r="BL72" s="991" t="n"/>
      <c r="BM72" s="991" t="n"/>
      <c r="BN72" s="991" t="n"/>
      <c r="BO72" s="992" t="n"/>
      <c r="BP72" s="991" t="n"/>
      <c r="BQ72" s="991" t="n"/>
      <c r="BR72" s="991" t="n"/>
      <c r="BS72" s="991" t="n"/>
      <c r="BT72" s="992" t="n"/>
      <c r="BU72" s="991" t="n"/>
      <c r="BV72" s="991" t="n"/>
      <c r="BW72" s="991" t="n"/>
      <c r="BX72" s="991" t="n"/>
      <c r="BY72" s="992" t="n"/>
      <c r="BZ72" s="991" t="n"/>
      <c r="CA72" s="991" t="n"/>
      <c r="CB72" s="991" t="n"/>
      <c r="CC72" s="991" t="n"/>
      <c r="CD72" s="992" t="n"/>
      <c r="CE72" s="991" t="n"/>
      <c r="CF72" s="991" t="n"/>
      <c r="CG72" s="991" t="n"/>
      <c r="CH72" s="991" t="n"/>
      <c r="CI72" s="976" t="n"/>
      <c r="CJ72" s="976" t="n"/>
      <c r="CK72" s="976" t="n"/>
      <c r="CL72" s="976" t="n"/>
      <c r="CM72" s="976" t="n"/>
      <c r="CN72" s="974" t="n"/>
      <c r="CO72" s="766" t="n"/>
      <c r="CP72" s="974" t="n"/>
      <c r="CQ72" s="693" t="n"/>
      <c r="CT72" t="inlineStr">
        <is>
          <t xml:space="preserve">  Logistics Sales y/y %</t>
        </is>
      </c>
      <c r="CU72" s="984" t="n">
        <v>0.05000000000000004</v>
      </c>
      <c r="CV72" s="984" t="n">
        <v>0.07000000000000006</v>
      </c>
      <c r="CW72" s="984" t="n">
        <v>0.07000000000000006</v>
      </c>
      <c r="CX72" s="984" t="n">
        <v>0.06000000000000005</v>
      </c>
      <c r="CY72" s="984" t="n">
        <v>0.05000000000000004</v>
      </c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 t="n"/>
      <c r="BL73" s="763" t="n"/>
      <c r="BM73" s="763" t="n"/>
      <c r="BN73" s="763" t="n"/>
      <c r="BO73" s="934" t="n"/>
      <c r="BP73" s="763" t="n"/>
      <c r="BQ73" s="763" t="n"/>
      <c r="BR73" s="763" t="n"/>
      <c r="BS73" s="763" t="n"/>
      <c r="BT73" s="934" t="n"/>
      <c r="BU73" s="763" t="n"/>
      <c r="BV73" s="763" t="n"/>
      <c r="BW73" s="763" t="n"/>
      <c r="BX73" s="763" t="n"/>
      <c r="BY73" s="934" t="n"/>
      <c r="BZ73" s="763" t="n"/>
      <c r="CA73" s="763" t="n"/>
      <c r="CB73" s="763" t="n"/>
      <c r="CC73" s="763" t="n"/>
      <c r="CD73" s="934" t="n"/>
      <c r="CE73" s="763" t="n"/>
      <c r="CF73" s="763" t="n"/>
      <c r="CG73" s="763" t="n"/>
      <c r="CH73" s="763" t="n"/>
      <c r="CI73" s="764" t="n"/>
      <c r="CJ73" s="764" t="n"/>
      <c r="CK73" s="764" t="n"/>
      <c r="CL73" s="764" t="n"/>
      <c r="CM73" s="764" t="n"/>
      <c r="CN73" s="974" t="n"/>
      <c r="CO73" s="766" t="n"/>
      <c r="CP73" s="974" t="n"/>
      <c r="CQ73" s="693" t="n"/>
      <c r="CT73" t="inlineStr">
        <is>
          <t xml:space="preserve">  Logistics EBIT margin %</t>
        </is>
      </c>
      <c r="CU73" s="984" t="n">
        <v>0.1</v>
      </c>
      <c r="CV73" s="984" t="n">
        <v>0.11</v>
      </c>
      <c r="CW73" s="984" t="n">
        <v>0.12</v>
      </c>
      <c r="CX73" s="984" t="n">
        <v>0.12</v>
      </c>
      <c r="CY73" s="984" t="n">
        <v>0.12</v>
      </c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>
        <v>442.393</v>
      </c>
      <c r="BW76" s="743" t="n">
        <v>426.48</v>
      </c>
      <c r="BX76" s="291">
        <f>BY76-BU76-BV76-BW76</f>
        <v/>
      </c>
      <c r="BY76" s="937" t="n">
        <v>1821.711</v>
      </c>
      <c r="BZ76" s="743" t="n">
        <v>384.948</v>
      </c>
      <c r="CA76" s="743" t="n">
        <v>393.11</v>
      </c>
      <c r="CB76" s="743" t="n">
        <v>367.774</v>
      </c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CD76*(1+CI77)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>
        <f>CHOOSE(MATCH($CO$3,{"Base";"Bull";"Bear"},0),CU62,CU72,CU82)</f>
        <v/>
      </c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>
        <v>50.59</v>
      </c>
      <c r="BW78" s="743" t="n">
        <v>48.695</v>
      </c>
      <c r="BX78" s="291">
        <f>BY78-BU78-BV78-BW78</f>
        <v/>
      </c>
      <c r="BY78" s="868" t="n">
        <v>182.364</v>
      </c>
      <c r="BZ78" s="743" t="n">
        <v>31.233</v>
      </c>
      <c r="CA78" s="743" t="n">
        <v>37.728</v>
      </c>
      <c r="CB78" s="743" t="n">
        <v>31.027</v>
      </c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 xml:space="preserve">  Less-Than-Truckload Sales y/y %</t>
        </is>
      </c>
      <c r="CU78" s="984" t="n">
        <v>-0.06880000000000008</v>
      </c>
      <c r="CV78" s="984" t="n">
        <v>-0.01495000000000002</v>
      </c>
      <c r="CW78" s="984" t="n">
        <v>0.01505000000000001</v>
      </c>
      <c r="CX78" s="984" t="n">
        <v>0.03529999999999989</v>
      </c>
      <c r="CY78" s="984" t="n">
        <v>0.04039999999999999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 xml:space="preserve">  Less-Than-Truckload EBIT margin %</t>
        </is>
      </c>
      <c r="CU79" s="984" t="n">
        <v>0.04</v>
      </c>
      <c r="CV79" s="984" t="n">
        <v>0.045</v>
      </c>
      <c r="CW79" s="984" t="n">
        <v>0.055</v>
      </c>
      <c r="CX79" s="984" t="n">
        <v>0.07000000000000001</v>
      </c>
      <c r="CY79" s="984" t="n">
        <v>0.08500000000000001</v>
      </c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>
        <f>CHOOSE(MATCH($CO$3,{"Base";"Bull";"Bear"},0),CU63,CU73,CU83)</f>
        <v/>
      </c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 xml:space="preserve">  Truckload Sales y/y %</t>
        </is>
      </c>
      <c r="CU80" s="984" t="n">
        <v>-0.03100000000000003</v>
      </c>
      <c r="CV80" s="984" t="n">
        <v>-0.01019999999999999</v>
      </c>
      <c r="CW80" s="984" t="n">
        <v>0.01000000000000001</v>
      </c>
      <c r="CX80" s="984" t="n">
        <v>0.02515000000000001</v>
      </c>
      <c r="CY80" s="984" t="n">
        <v>0.0302</v>
      </c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 xml:space="preserve">  Truckload EBIT margin %</t>
        </is>
      </c>
      <c r="CU81" s="984" t="n">
        <v>0.07000000000000001</v>
      </c>
      <c r="CV81" s="984" t="n">
        <v>0.07000000000000001</v>
      </c>
      <c r="CW81" s="984" t="n">
        <v>0.08</v>
      </c>
      <c r="CX81" s="984" t="n">
        <v>0.09</v>
      </c>
      <c r="CY81" s="984" t="n">
        <v>0.09</v>
      </c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 xml:space="preserve">  Logistics Sales y/y %</t>
        </is>
      </c>
      <c r="CU82" s="984" t="n">
        <v>0</v>
      </c>
      <c r="CV82" s="984" t="n">
        <v>0.01000000000000001</v>
      </c>
      <c r="CW82" s="984" t="n">
        <v>0.02000000000000002</v>
      </c>
      <c r="CX82" s="984" t="n">
        <v>0.03000000000000003</v>
      </c>
      <c r="CY82" s="984" t="n">
        <v>0.03000000000000003</v>
      </c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 t="n"/>
      <c r="BL83" s="991" t="n"/>
      <c r="BM83" s="991" t="n"/>
      <c r="BN83" s="991" t="n"/>
      <c r="BO83" s="992" t="n"/>
      <c r="BP83" s="991" t="n"/>
      <c r="BQ83" s="991" t="n"/>
      <c r="BR83" s="991" t="n"/>
      <c r="BS83" s="991" t="n"/>
      <c r="BT83" s="992" t="n"/>
      <c r="BU83" s="991" t="n"/>
      <c r="BV83" s="991" t="n"/>
      <c r="BW83" s="991" t="n"/>
      <c r="BX83" s="991" t="n"/>
      <c r="BY83" s="992" t="n"/>
      <c r="BZ83" s="991" t="n"/>
      <c r="CA83" s="991" t="n"/>
      <c r="CB83" s="991" t="n"/>
      <c r="CC83" s="991" t="n"/>
      <c r="CD83" s="992" t="n"/>
      <c r="CE83" s="991" t="n"/>
      <c r="CF83" s="991" t="n"/>
      <c r="CG83" s="991" t="n"/>
      <c r="CH83" s="991" t="n"/>
      <c r="CI83" s="976" t="n"/>
      <c r="CJ83" s="976" t="n"/>
      <c r="CK83" s="976" t="n"/>
      <c r="CL83" s="976" t="n"/>
      <c r="CM83" s="976" t="n"/>
      <c r="CN83" s="974" t="n"/>
      <c r="CO83" s="766" t="n"/>
      <c r="CP83" s="974" t="n"/>
      <c r="CQ83" s="693" t="n"/>
      <c r="CT83" t="inlineStr">
        <is>
          <t xml:space="preserve">  Logistics EBIT margin %</t>
        </is>
      </c>
      <c r="CU83" s="984" t="n">
        <v>0.07000000000000001</v>
      </c>
      <c r="CV83" s="984" t="n">
        <v>0.075</v>
      </c>
      <c r="CW83" s="984" t="n">
        <v>0.08</v>
      </c>
      <c r="CX83" s="984" t="n">
        <v>0.08</v>
      </c>
      <c r="CY83" s="984" t="n">
        <v>0.08</v>
      </c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 t="n"/>
      <c r="BL84" s="763" t="n"/>
      <c r="BM84" s="763" t="n"/>
      <c r="BN84" s="763" t="n"/>
      <c r="BO84" s="934" t="n"/>
      <c r="BP84" s="763" t="n"/>
      <c r="BQ84" s="763" t="n"/>
      <c r="BR84" s="763" t="n"/>
      <c r="BS84" s="763" t="n"/>
      <c r="BT84" s="934" t="n"/>
      <c r="BU84" s="763" t="n"/>
      <c r="BV84" s="763" t="n"/>
      <c r="BW84" s="763" t="n"/>
      <c r="BX84" s="763" t="n"/>
      <c r="BY84" s="934" t="n"/>
      <c r="BZ84" s="763" t="n"/>
      <c r="CA84" s="763" t="n"/>
      <c r="CB84" s="763" t="n"/>
      <c r="CC84" s="763" t="n"/>
      <c r="CD84" s="934" t="n"/>
      <c r="CE84" s="763" t="n"/>
      <c r="CF84" s="763" t="n"/>
      <c r="CG84" s="763" t="n"/>
      <c r="CH84" s="763" t="n"/>
      <c r="CI84" s="764" t="n"/>
      <c r="CJ84" s="764" t="n"/>
      <c r="CK84" s="764" t="n"/>
      <c r="CL84" s="764" t="n"/>
      <c r="CM84" s="764" t="n"/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 t="n"/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 t="n"/>
      <c r="BL94" s="991" t="n"/>
      <c r="BM94" s="991" t="n"/>
      <c r="BN94" s="991" t="n"/>
      <c r="BO94" s="992" t="n"/>
      <c r="BP94" s="991" t="n"/>
      <c r="BQ94" s="991" t="n"/>
      <c r="BR94" s="991" t="n"/>
      <c r="BS94" s="991" t="n"/>
      <c r="BT94" s="992" t="n"/>
      <c r="BU94" s="991" t="n"/>
      <c r="BV94" s="991" t="n"/>
      <c r="BW94" s="991" t="n"/>
      <c r="BX94" s="991" t="n"/>
      <c r="BY94" s="992" t="n"/>
      <c r="BZ94" s="991" t="n"/>
      <c r="CA94" s="991" t="n"/>
      <c r="CB94" s="991" t="n"/>
      <c r="CC94" s="991" t="n"/>
      <c r="CD94" s="992" t="n"/>
      <c r="CE94" s="991" t="n"/>
      <c r="CF94" s="991" t="n"/>
      <c r="CG94" s="991" t="n"/>
      <c r="CH94" s="991" t="n"/>
      <c r="CI94" s="976" t="n"/>
      <c r="CJ94" s="976" t="n"/>
      <c r="CK94" s="976" t="n"/>
      <c r="CL94" s="976" t="n"/>
      <c r="CM94" s="976" t="n"/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 t="n"/>
      <c r="BL95" s="763" t="n"/>
      <c r="BM95" s="763" t="n"/>
      <c r="BN95" s="763" t="n"/>
      <c r="BO95" s="934" t="n"/>
      <c r="BP95" s="763" t="n"/>
      <c r="BQ95" s="763" t="n"/>
      <c r="BR95" s="763" t="n"/>
      <c r="BS95" s="763" t="n"/>
      <c r="BT95" s="934" t="n"/>
      <c r="BU95" s="763" t="n"/>
      <c r="BV95" s="763" t="n"/>
      <c r="BW95" s="763" t="n"/>
      <c r="BX95" s="763" t="n"/>
      <c r="BY95" s="934" t="n"/>
      <c r="BZ95" s="763" t="n"/>
      <c r="CA95" s="763" t="n"/>
      <c r="CB95" s="763" t="n"/>
      <c r="CC95" s="763" t="n"/>
      <c r="CD95" s="934" t="n"/>
      <c r="CE95" s="763" t="n"/>
      <c r="CF95" s="763" t="n"/>
      <c r="CG95" s="763" t="n"/>
      <c r="CH95" s="763" t="n"/>
      <c r="CI95" s="764" t="n"/>
      <c r="CJ95" s="764" t="n"/>
      <c r="CK95" s="764" t="n"/>
      <c r="CL95" s="764" t="n"/>
      <c r="CM95" s="764" t="n"/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 t="n"/>
      <c r="CH106" s="770" t="n"/>
      <c r="CI106" s="752" t="n"/>
      <c r="CJ106" s="752" t="n"/>
      <c r="CK106" s="752" t="n"/>
      <c r="CL106" s="752" t="n"/>
      <c r="CM106" s="752" t="n"/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 t="n"/>
      <c r="BL107" s="974" t="n"/>
      <c r="BM107" s="974" t="n"/>
      <c r="BN107" s="974" t="n"/>
      <c r="BO107" s="975" t="n"/>
      <c r="BP107" s="974" t="n"/>
      <c r="BQ107" s="974" t="n"/>
      <c r="BR107" s="974" t="n"/>
      <c r="BS107" s="974" t="n"/>
      <c r="BT107" s="975" t="n"/>
      <c r="BU107" s="974" t="n"/>
      <c r="BV107" s="974" t="n"/>
      <c r="BW107" s="974" t="n"/>
      <c r="BX107" s="974" t="n"/>
      <c r="BY107" s="975" t="n"/>
      <c r="BZ107" s="974" t="n"/>
      <c r="CA107" s="974" t="n"/>
      <c r="CB107" s="974" t="n"/>
      <c r="CC107" s="974" t="n"/>
      <c r="CD107" s="975" t="n"/>
      <c r="CE107" s="974" t="n"/>
      <c r="CF107" s="974" t="n"/>
      <c r="CG107" s="974" t="n"/>
      <c r="CH107" s="974" t="n"/>
      <c r="CI107" s="976" t="n"/>
      <c r="CJ107" s="976" t="n"/>
      <c r="CK107" s="976" t="n"/>
      <c r="CL107" s="976" t="n"/>
      <c r="CM107" s="976" t="n"/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 t="n"/>
      <c r="CF108" s="291" t="n"/>
      <c r="CG108" s="291" t="n"/>
      <c r="CH108" s="291" t="n"/>
      <c r="CI108" s="749" t="n"/>
      <c r="CJ108" s="749" t="n"/>
      <c r="CK108" s="749" t="n"/>
      <c r="CL108" s="749" t="n"/>
      <c r="CM108" s="749" t="n"/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 t="n"/>
      <c r="BL109" s="974" t="n"/>
      <c r="BM109" s="974" t="n"/>
      <c r="BN109" s="974" t="n"/>
      <c r="BO109" s="975" t="n"/>
      <c r="BP109" s="974" t="n"/>
      <c r="BQ109" s="974" t="n"/>
      <c r="BR109" s="974" t="n"/>
      <c r="BS109" s="974" t="n"/>
      <c r="BT109" s="975" t="n"/>
      <c r="BU109" s="974" t="n"/>
      <c r="BV109" s="974" t="n"/>
      <c r="BW109" s="974" t="n"/>
      <c r="BX109" s="974" t="n"/>
      <c r="BY109" s="975" t="n"/>
      <c r="BZ109" s="974" t="n"/>
      <c r="CA109" s="974" t="n"/>
      <c r="CB109" s="974" t="n"/>
      <c r="CC109" s="974" t="n"/>
      <c r="CD109" s="975" t="n"/>
      <c r="CE109" s="974" t="n"/>
      <c r="CF109" s="974" t="n"/>
      <c r="CG109" s="974" t="n"/>
      <c r="CH109" s="974" t="n"/>
      <c r="CI109" s="976" t="n"/>
      <c r="CJ109" s="976" t="n"/>
      <c r="CK109" s="976" t="n"/>
      <c r="CL109" s="976" t="n"/>
      <c r="CM109" s="976" t="n"/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 t="n"/>
      <c r="BL110" s="773" t="n"/>
      <c r="BM110" s="773" t="n"/>
      <c r="BN110" s="773" t="n"/>
      <c r="BO110" s="935" t="n"/>
      <c r="BP110" s="773" t="n"/>
      <c r="BQ110" s="773" t="n"/>
      <c r="BR110" s="773" t="n"/>
      <c r="BS110" s="773" t="n"/>
      <c r="BT110" s="935" t="n"/>
      <c r="BU110" s="773" t="n"/>
      <c r="BV110" s="773" t="n"/>
      <c r="BW110" s="773" t="n"/>
      <c r="BX110" s="773" t="n"/>
      <c r="BY110" s="935" t="n"/>
      <c r="BZ110" s="773" t="n"/>
      <c r="CA110" s="773" t="n"/>
      <c r="CB110" s="773" t="n"/>
      <c r="CC110" s="773" t="n"/>
      <c r="CD110" s="935" t="n"/>
      <c r="CE110" s="773" t="n"/>
      <c r="CF110" s="773" t="n"/>
      <c r="CG110" s="773" t="n"/>
      <c r="CH110" s="773" t="n"/>
      <c r="CI110" s="764" t="n"/>
      <c r="CJ110" s="764" t="n"/>
      <c r="CK110" s="764" t="n"/>
      <c r="CL110" s="764" t="n"/>
      <c r="CM110" s="764" t="n"/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 t="n"/>
      <c r="BK115" s="825" t="n"/>
      <c r="BL115" s="825" t="n"/>
      <c r="BM115" s="825" t="n"/>
      <c r="BN115" s="825" t="n"/>
      <c r="BO115" s="878" t="n"/>
      <c r="BP115" s="825" t="n"/>
      <c r="BQ115" s="825" t="n"/>
      <c r="BR115" s="825" t="n"/>
      <c r="BS115" s="825" t="n"/>
      <c r="BT115" s="878" t="n"/>
      <c r="BU115" s="825" t="n"/>
      <c r="BV115" s="825" t="n"/>
      <c r="BW115" s="825" t="n"/>
      <c r="BX115" s="825" t="n"/>
      <c r="BY115" s="878" t="n"/>
      <c r="BZ115" s="825" t="n"/>
      <c r="CA115" s="825" t="n"/>
      <c r="CB115" s="825" t="n"/>
      <c r="CC115" s="825" t="n"/>
      <c r="CD115" s="878" t="n"/>
      <c r="CE115" s="743" t="n"/>
      <c r="CF115" s="743" t="n"/>
      <c r="CG115" s="291" t="n"/>
      <c r="CH115" s="291" t="n"/>
      <c r="CI115" s="851" t="n"/>
      <c r="CJ115" s="851" t="n"/>
      <c r="CK115" s="851" t="n"/>
      <c r="CL115" s="851" t="n"/>
      <c r="CM115" s="851" t="n"/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 t="n"/>
      <c r="H116" s="678" t="n"/>
      <c r="I116" s="678" t="n"/>
      <c r="J116" s="678" t="n"/>
      <c r="K116" s="678" t="n"/>
      <c r="L116" s="870" t="n"/>
      <c r="M116" s="678" t="n"/>
      <c r="N116" s="678" t="n"/>
      <c r="O116" s="678" t="n"/>
      <c r="P116" s="678" t="n"/>
      <c r="Q116" s="870" t="n"/>
      <c r="R116" s="678" t="n"/>
      <c r="S116" s="678" t="n"/>
      <c r="T116" s="678" t="n"/>
      <c r="U116" s="678" t="n"/>
      <c r="V116" s="870" t="n"/>
      <c r="W116" s="678" t="n"/>
      <c r="X116" s="678" t="n"/>
      <c r="Y116" s="678" t="n"/>
      <c r="Z116" s="678" t="n"/>
      <c r="AA116" s="870" t="n"/>
      <c r="AB116" s="678" t="n"/>
      <c r="AC116" s="678" t="n"/>
      <c r="AD116" s="678" t="n"/>
      <c r="AE116" s="678" t="n"/>
      <c r="AF116" s="870" t="n"/>
      <c r="AG116" s="678" t="n"/>
      <c r="AH116" s="678" t="n"/>
      <c r="AI116" s="678" t="n"/>
      <c r="AJ116" s="678" t="n"/>
      <c r="AK116" s="870" t="n"/>
      <c r="AL116" s="678" t="n"/>
      <c r="AM116" s="678" t="n"/>
      <c r="AN116" s="678" t="n"/>
      <c r="AO116" s="678" t="n"/>
      <c r="AP116" s="870" t="n"/>
      <c r="AQ116" s="678" t="n"/>
      <c r="AR116" s="678" t="n"/>
      <c r="AS116" s="678" t="n"/>
      <c r="AT116" s="678" t="n"/>
      <c r="AU116" s="870" t="n"/>
      <c r="AV116" s="678" t="n"/>
      <c r="AW116" s="678" t="n"/>
      <c r="AX116" s="678" t="n"/>
      <c r="AY116" s="678" t="n"/>
      <c r="AZ116" s="870" t="n"/>
      <c r="BA116" s="678" t="n"/>
      <c r="BB116" s="678" t="n"/>
      <c r="BC116" s="678" t="n"/>
      <c r="BD116" s="678" t="n"/>
      <c r="BE116" s="870" t="n"/>
      <c r="BF116" s="678" t="n"/>
      <c r="BG116" s="678" t="n"/>
      <c r="BH116" s="678" t="n"/>
      <c r="BI116" s="678" t="n"/>
      <c r="BJ116" s="870" t="n"/>
      <c r="BK116" s="678" t="n"/>
      <c r="BL116" s="678" t="n"/>
      <c r="BM116" s="678" t="n"/>
      <c r="BN116" s="678" t="n"/>
      <c r="BO116" s="870" t="n"/>
      <c r="BP116" s="678" t="n"/>
      <c r="BQ116" s="678" t="n"/>
      <c r="BR116" s="678" t="n"/>
      <c r="BS116" s="678" t="n"/>
      <c r="BT116" s="870" t="n"/>
      <c r="BU116" s="678" t="n"/>
      <c r="BV116" s="678" t="n"/>
      <c r="BW116" s="678" t="n"/>
      <c r="BX116" s="678" t="n"/>
      <c r="BY116" s="870" t="n"/>
      <c r="BZ116" s="678" t="n"/>
      <c r="CA116" s="678" t="n"/>
      <c r="CB116" s="678" t="n"/>
      <c r="CC116" s="678" t="n"/>
      <c r="CD116" s="870" t="n"/>
      <c r="CE116" s="678" t="n"/>
      <c r="CF116" s="678" t="n"/>
      <c r="CG116" s="678" t="n"/>
      <c r="CH116" s="678" t="n"/>
      <c r="CI116" s="752" t="n"/>
      <c r="CJ116" s="752" t="n"/>
      <c r="CK116" s="752" t="n"/>
      <c r="CL116" s="752" t="n"/>
      <c r="CM116" s="752" t="n"/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 t="n"/>
      <c r="BK117" s="743" t="n"/>
      <c r="BL117" s="743" t="n"/>
      <c r="BM117" s="743" t="n"/>
      <c r="BN117" s="743" t="n"/>
      <c r="BO117" s="864" t="n"/>
      <c r="BP117" s="743" t="n"/>
      <c r="BQ117" s="743" t="n"/>
      <c r="BR117" s="743" t="n"/>
      <c r="BS117" s="743" t="n"/>
      <c r="BT117" s="864" t="n"/>
      <c r="BU117" s="743" t="n"/>
      <c r="BV117" s="743" t="n"/>
      <c r="BW117" s="743" t="n"/>
      <c r="BX117" s="743" t="n"/>
      <c r="BY117" s="864" t="n"/>
      <c r="BZ117" s="743" t="n"/>
      <c r="CA117" s="743" t="n"/>
      <c r="CB117" s="743" t="n"/>
      <c r="CC117" s="743" t="n"/>
      <c r="CD117" s="864" t="n"/>
      <c r="CE117" s="743" t="n"/>
      <c r="CF117" s="743" t="n"/>
      <c r="CG117" s="291" t="n"/>
      <c r="CH117" s="291" t="n"/>
      <c r="CI117" s="749" t="n"/>
      <c r="CJ117" s="749" t="n"/>
      <c r="CK117" s="749" t="n"/>
      <c r="CL117" s="749" t="n"/>
      <c r="CM117" s="749" t="n"/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 t="n"/>
      <c r="BK118" s="743" t="n"/>
      <c r="BL118" s="743" t="n"/>
      <c r="BM118" s="743" t="n"/>
      <c r="BN118" s="743" t="n"/>
      <c r="BO118" s="864" t="n"/>
      <c r="BP118" s="743" t="n"/>
      <c r="BQ118" s="743" t="n"/>
      <c r="BR118" s="743" t="n"/>
      <c r="BS118" s="743" t="n"/>
      <c r="BT118" s="864" t="n"/>
      <c r="BU118" s="743" t="n"/>
      <c r="BV118" s="743" t="n"/>
      <c r="BW118" s="743" t="n"/>
      <c r="BX118" s="743" t="n"/>
      <c r="BY118" s="864" t="n"/>
      <c r="BZ118" s="743" t="n"/>
      <c r="CA118" s="743" t="n"/>
      <c r="CB118" s="743" t="n"/>
      <c r="CC118" s="743" t="n"/>
      <c r="CD118" s="864" t="n"/>
      <c r="CE118" s="743" t="n"/>
      <c r="CF118" s="743" t="n"/>
      <c r="CG118" s="291" t="n"/>
      <c r="CH118" s="291" t="n"/>
      <c r="CI118" s="749" t="n"/>
      <c r="CJ118" s="749" t="n"/>
      <c r="CK118" s="749" t="n"/>
      <c r="CL118" s="749" t="n"/>
      <c r="CM118" s="749" t="n"/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 t="n"/>
      <c r="BK119" s="291" t="n"/>
      <c r="BL119" s="743" t="n"/>
      <c r="BM119" s="743" t="n"/>
      <c r="BN119" s="743" t="n"/>
      <c r="BO119" s="864" t="n"/>
      <c r="BP119" s="743" t="n"/>
      <c r="BQ119" s="743" t="n"/>
      <c r="BR119" s="743" t="n"/>
      <c r="BS119" s="743" t="n"/>
      <c r="BT119" s="864" t="n"/>
      <c r="BU119" s="743" t="n"/>
      <c r="BV119" s="743" t="n"/>
      <c r="BW119" s="743" t="n"/>
      <c r="BX119" s="743" t="n"/>
      <c r="BY119" s="864" t="n"/>
      <c r="BZ119" s="743" t="n"/>
      <c r="CA119" s="743" t="n"/>
      <c r="CB119" s="743" t="n"/>
      <c r="CC119" s="743" t="n"/>
      <c r="CD119" s="864" t="n"/>
      <c r="CE119" s="743" t="n"/>
      <c r="CF119" s="743" t="n"/>
      <c r="CG119" s="291" t="n"/>
      <c r="CH119" s="291" t="n"/>
      <c r="CI119" s="749" t="n"/>
      <c r="CJ119" s="774" t="n"/>
      <c r="CK119" s="774" t="n"/>
      <c r="CL119" s="774" t="n"/>
      <c r="CM119" s="774" t="n"/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 t="n"/>
      <c r="BK120" s="743" t="n"/>
      <c r="BL120" s="743" t="n"/>
      <c r="BM120" s="743" t="n"/>
      <c r="BN120" s="743" t="n"/>
      <c r="BO120" s="864" t="n"/>
      <c r="BP120" s="743" t="n"/>
      <c r="BQ120" s="743" t="n"/>
      <c r="BR120" s="743" t="n"/>
      <c r="BS120" s="743" t="n"/>
      <c r="BT120" s="864" t="n"/>
      <c r="BU120" s="291" t="n"/>
      <c r="BV120" s="743" t="n"/>
      <c r="BW120" s="743" t="n"/>
      <c r="BX120" s="743" t="n"/>
      <c r="BY120" s="864" t="n"/>
      <c r="BZ120" s="291" t="n"/>
      <c r="CA120" s="743" t="n"/>
      <c r="CB120" s="743" t="n"/>
      <c r="CC120" s="743" t="n"/>
      <c r="CD120" s="864" t="n"/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 t="n"/>
      <c r="BK121" s="291" t="n"/>
      <c r="BL121" s="743" t="n"/>
      <c r="BM121" s="743" t="n"/>
      <c r="BN121" s="743" t="n"/>
      <c r="BO121" s="864" t="n"/>
      <c r="BP121" s="291" t="n"/>
      <c r="BQ121" s="743" t="n"/>
      <c r="BR121" s="743" t="n"/>
      <c r="BS121" s="743" t="n"/>
      <c r="BT121" s="864" t="n"/>
      <c r="BU121" s="291" t="n"/>
      <c r="BV121" s="743" t="n"/>
      <c r="BW121" s="743" t="n"/>
      <c r="BX121" s="743" t="n"/>
      <c r="BY121" s="864" t="n"/>
      <c r="BZ121" s="291" t="n"/>
      <c r="CA121" s="743" t="n"/>
      <c r="CB121" s="743" t="n"/>
      <c r="CC121" s="743" t="n"/>
      <c r="CD121" s="864" t="n"/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 t="n"/>
      <c r="BK122" s="291" t="n"/>
      <c r="BL122" s="291" t="n"/>
      <c r="BM122" s="291" t="n"/>
      <c r="BN122" s="743" t="n"/>
      <c r="BO122" s="864" t="n"/>
      <c r="BP122" s="291" t="n"/>
      <c r="BQ122" s="291" t="n"/>
      <c r="BR122" s="291" t="n"/>
      <c r="BS122" s="743" t="n"/>
      <c r="BT122" s="864" t="n"/>
      <c r="BU122" s="291" t="n"/>
      <c r="BV122" s="291" t="n"/>
      <c r="BW122" s="291" t="n"/>
      <c r="BX122" s="743" t="n"/>
      <c r="BY122" s="864" t="n"/>
      <c r="BZ122" s="291" t="n"/>
      <c r="CA122" s="291" t="n"/>
      <c r="CB122" s="291" t="n"/>
      <c r="CC122" s="743" t="n"/>
      <c r="CD122" s="864" t="n"/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 t="n"/>
      <c r="BK123" s="291" t="n"/>
      <c r="BL123" s="291" t="n"/>
      <c r="BM123" s="291" t="n"/>
      <c r="BN123" s="291" t="n"/>
      <c r="BO123" s="864" t="n"/>
      <c r="BP123" s="743" t="n"/>
      <c r="BQ123" s="743" t="n"/>
      <c r="BR123" s="743" t="n"/>
      <c r="BS123" s="743" t="n"/>
      <c r="BT123" s="864" t="n"/>
      <c r="BU123" s="743" t="n"/>
      <c r="BV123" s="743" t="n"/>
      <c r="BW123" s="743" t="n"/>
      <c r="BX123" s="743" t="n"/>
      <c r="BY123" s="864" t="n"/>
      <c r="BZ123" s="291" t="n"/>
      <c r="CA123" s="291" t="n"/>
      <c r="CB123" s="291" t="n"/>
      <c r="CC123" s="743" t="n"/>
      <c r="CD123" s="864" t="n"/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 t="n"/>
      <c r="BK124" s="291" t="n"/>
      <c r="BL124" s="291" t="n"/>
      <c r="BM124" s="291" t="n"/>
      <c r="BN124" s="743" t="n"/>
      <c r="BO124" s="864" t="n"/>
      <c r="BP124" s="291" t="n"/>
      <c r="BQ124" s="291" t="n"/>
      <c r="BR124" s="291" t="n"/>
      <c r="BS124" s="743" t="n"/>
      <c r="BT124" s="864" t="n"/>
      <c r="BU124" s="291" t="n"/>
      <c r="BV124" s="291" t="n"/>
      <c r="BW124" s="291" t="n"/>
      <c r="BX124" s="743" t="n"/>
      <c r="BY124" s="864" t="n"/>
      <c r="BZ124" s="291" t="n"/>
      <c r="CA124" s="291" t="n"/>
      <c r="CB124" s="291" t="n"/>
      <c r="CC124" s="743" t="n"/>
      <c r="CD124" s="864" t="n"/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 t="n"/>
      <c r="BF125" s="825" t="n"/>
      <c r="BG125" s="825" t="n"/>
      <c r="BH125" s="825" t="n"/>
      <c r="BI125" s="825" t="n"/>
      <c r="BJ125" s="878" t="n"/>
      <c r="BK125" s="825" t="n"/>
      <c r="BL125" s="825" t="n"/>
      <c r="BM125" s="825" t="n"/>
      <c r="BN125" s="825" t="n"/>
      <c r="BO125" s="878" t="n"/>
      <c r="BP125" s="825" t="n"/>
      <c r="BQ125" s="825" t="n"/>
      <c r="BR125" s="825" t="n"/>
      <c r="BS125" s="825" t="n"/>
      <c r="BT125" s="878" t="n"/>
      <c r="BU125" s="825" t="n"/>
      <c r="BV125" s="825" t="n"/>
      <c r="BW125" s="825" t="n"/>
      <c r="BX125" s="825" t="n"/>
      <c r="BY125" s="878" t="n"/>
      <c r="BZ125" s="825" t="n"/>
      <c r="CA125" s="825" t="n"/>
      <c r="CB125" s="825" t="n"/>
      <c r="CC125" s="825" t="n"/>
      <c r="CD125" s="878" t="n"/>
      <c r="CE125" s="743" t="n"/>
      <c r="CF125" s="743" t="n"/>
      <c r="CG125" s="291" t="n"/>
      <c r="CH125" s="291" t="n"/>
      <c r="CI125" s="851" t="n"/>
      <c r="CJ125" s="861" t="n"/>
      <c r="CK125" s="861" t="n"/>
      <c r="CL125" s="861" t="n"/>
      <c r="CM125" s="861" t="n"/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CI102-(CD102-CD126)*POWER(1.03,1)</f>
        <v/>
      </c>
      <c r="CJ126" s="274">
        <f>CJ102-(CD102-CD126)*POWER(1.03,2)</f>
        <v/>
      </c>
      <c r="CK126" s="274">
        <f>CK102-(CD102-CD126)*POWER(1.03,3)</f>
        <v/>
      </c>
      <c r="CL126" s="274">
        <f>CL102-(CD102-CD126)*POWER(1.03,4)</f>
        <v/>
      </c>
      <c r="CM126" s="274">
        <f>CM102-(CD102-CD126)*POWER(1.03,5)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CD127</f>
        <v/>
      </c>
      <c r="CJ127" s="774">
        <f>CD127</f>
        <v/>
      </c>
      <c r="CK127" s="774">
        <f>CD127</f>
        <v/>
      </c>
      <c r="CL127" s="774">
        <f>CD127</f>
        <v/>
      </c>
      <c r="CM127" s="774">
        <f>CD127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>
        <v>0.24</v>
      </c>
      <c r="CJ132" s="1001" t="n">
        <v>0.24</v>
      </c>
      <c r="CK132" s="1001" t="n">
        <v>0.24</v>
      </c>
      <c r="CL132" s="1001" t="n">
        <v>0.24</v>
      </c>
      <c r="CM132" s="1001" t="n">
        <v>0.24</v>
      </c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>
        <f>-CD198/CD139*1000</f>
        <v/>
      </c>
      <c r="CE140" s="1016" t="n"/>
      <c r="CF140" s="1016" t="n"/>
      <c r="CG140" s="1007">
        <f>CI140/4</f>
        <v/>
      </c>
      <c r="CH140" s="1007">
        <f>CI140/4</f>
        <v/>
      </c>
      <c r="CI140" s="1019">
        <f>CD140*1.04</f>
        <v/>
      </c>
      <c r="CJ140" s="1019">
        <f>CI140*1.04</f>
        <v/>
      </c>
      <c r="CK140" s="1019">
        <f>CJ140*1.04</f>
        <v/>
      </c>
      <c r="CL140" s="1019">
        <f>CK140*1.04</f>
        <v/>
      </c>
      <c r="CM140" s="1019">
        <f>CL140*1.04</f>
        <v/>
      </c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n"/>
      <c r="AF143" s="910" t="n"/>
      <c r="AG143" s="775" t="n"/>
      <c r="AH143" s="775" t="n"/>
      <c r="AI143" s="775" t="n"/>
      <c r="AJ143" s="780" t="n"/>
      <c r="AK143" s="910" t="n"/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 t="n"/>
      <c r="CF143" s="993" t="n"/>
      <c r="CG143" s="993" t="n"/>
      <c r="CH143" s="993" t="n"/>
      <c r="CI143" s="752" t="n"/>
      <c r="CJ143" s="752" t="n"/>
      <c r="CK143" s="752" t="n"/>
      <c r="CL143" s="752" t="n"/>
      <c r="CM143" s="752" t="n"/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 t="n"/>
      <c r="CH144" s="978" t="n"/>
      <c r="CI144" s="749" t="n"/>
      <c r="CJ144" s="749" t="n"/>
      <c r="CK144" s="749" t="n"/>
      <c r="CL144" s="749" t="n"/>
      <c r="CM144" s="749" t="n"/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 t="n"/>
      <c r="CH145" s="978" t="n"/>
      <c r="CI145" s="749" t="n"/>
      <c r="CJ145" s="749" t="n"/>
      <c r="CK145" s="749" t="n"/>
      <c r="CL145" s="749" t="n"/>
      <c r="CM145" s="749" t="n"/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 t="n"/>
      <c r="CH146" s="978" t="n"/>
      <c r="CI146" s="749" t="n"/>
      <c r="CJ146" s="749" t="n"/>
      <c r="CK146" s="749" t="n"/>
      <c r="CL146" s="749" t="n"/>
      <c r="CM146" s="749" t="n"/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 t="n"/>
      <c r="CH147" s="978" t="n"/>
      <c r="CI147" s="749" t="n"/>
      <c r="CJ147" s="749" t="n"/>
      <c r="CK147" s="749" t="n"/>
      <c r="CL147" s="749" t="n"/>
      <c r="CM147" s="749" t="n"/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 t="n"/>
      <c r="CH148" s="978" t="n"/>
      <c r="CI148" s="749" t="n"/>
      <c r="CJ148" s="749" t="n"/>
      <c r="CK148" s="749" t="n"/>
      <c r="CL148" s="749" t="n"/>
      <c r="CM148" s="749" t="n"/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 t="n"/>
      <c r="CH149" s="978" t="n"/>
      <c r="CI149" s="1027" t="n"/>
      <c r="CJ149" s="1027" t="n"/>
      <c r="CK149" s="1027" t="n"/>
      <c r="CL149" s="1027" t="n"/>
      <c r="CM149" s="1027" t="n"/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 t="n"/>
      <c r="AG150" s="274" t="n"/>
      <c r="AH150" s="274" t="n"/>
      <c r="AI150" s="274" t="n"/>
      <c r="AJ150" s="274" t="n"/>
      <c r="AK150" s="871" t="n"/>
      <c r="AL150" s="274" t="n"/>
      <c r="AM150" s="274" t="n"/>
      <c r="AN150" s="274" t="n"/>
      <c r="AO150" s="274" t="n"/>
      <c r="AP150" s="871" t="n"/>
      <c r="AQ150" s="274" t="n"/>
      <c r="AR150" s="274" t="n"/>
      <c r="AS150" s="274" t="n"/>
      <c r="AT150" s="274" t="n"/>
      <c r="AU150" s="871" t="n"/>
      <c r="AV150" s="274" t="n"/>
      <c r="AW150" s="274" t="n"/>
      <c r="AX150" s="274" t="n"/>
      <c r="AY150" s="274" t="n"/>
      <c r="AZ150" s="871" t="n"/>
      <c r="BA150" s="274" t="n"/>
      <c r="BB150" s="274" t="n"/>
      <c r="BC150" s="274" t="n"/>
      <c r="BD150" s="274" t="n"/>
      <c r="BE150" s="871" t="n"/>
      <c r="BF150" s="274" t="n"/>
      <c r="BG150" s="274" t="n"/>
      <c r="BH150" s="274" t="n"/>
      <c r="BI150" s="274" t="n"/>
      <c r="BJ150" s="871" t="n"/>
      <c r="BK150" s="274" t="n"/>
      <c r="BL150" s="274" t="n"/>
      <c r="BM150" s="274" t="n"/>
      <c r="BN150" s="274" t="n"/>
      <c r="BO150" s="871" t="n"/>
      <c r="BP150" s="274" t="n"/>
      <c r="BQ150" s="274" t="n"/>
      <c r="BR150" s="274" t="n"/>
      <c r="BS150" s="274" t="n"/>
      <c r="BT150" s="871" t="n"/>
      <c r="BU150" s="274" t="n"/>
      <c r="BV150" s="274" t="n"/>
      <c r="BW150" s="274" t="n"/>
      <c r="BX150" s="274" t="n"/>
      <c r="BY150" s="871" t="n"/>
      <c r="BZ150" s="274" t="n"/>
      <c r="CA150" s="274" t="n"/>
      <c r="CB150" s="274" t="n"/>
      <c r="CC150" s="274" t="n"/>
      <c r="CD150" s="871" t="n"/>
      <c r="CE150" s="274" t="n"/>
      <c r="CF150" s="274" t="n"/>
      <c r="CG150" s="274" t="n"/>
      <c r="CH150" s="274" t="n"/>
      <c r="CI150" s="274" t="n"/>
      <c r="CJ150" s="274" t="n"/>
      <c r="CK150" s="274" t="n"/>
      <c r="CL150" s="274" t="n"/>
      <c r="CM150" s="274" t="n"/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 t="n"/>
      <c r="AF151" s="1028" t="n"/>
      <c r="AG151" s="782" t="n"/>
      <c r="AH151" s="782" t="n"/>
      <c r="AI151" s="782" t="n"/>
      <c r="AJ151" s="782" t="n"/>
      <c r="AK151" s="1028" t="n"/>
      <c r="AL151" s="782" t="n"/>
      <c r="AM151" s="782" t="n"/>
      <c r="AN151" s="782" t="n"/>
      <c r="AO151" s="782" t="n"/>
      <c r="AP151" s="1028" t="n"/>
      <c r="AQ151" s="782" t="n"/>
      <c r="AR151" s="782" t="n"/>
      <c r="AS151" s="782" t="n"/>
      <c r="AT151" s="782" t="n"/>
      <c r="AU151" s="1028" t="n"/>
      <c r="AV151" s="782" t="n"/>
      <c r="AW151" s="782" t="n"/>
      <c r="AX151" s="782" t="n"/>
      <c r="AY151" s="782" t="n"/>
      <c r="AZ151" s="1028" t="n"/>
      <c r="BA151" s="782" t="n"/>
      <c r="BB151" s="782" t="n"/>
      <c r="BC151" s="782" t="n"/>
      <c r="BD151" s="782" t="n"/>
      <c r="BE151" s="1028" t="n"/>
      <c r="BF151" s="978" t="n"/>
      <c r="BG151" s="978" t="n"/>
      <c r="BH151" s="978" t="n"/>
      <c r="BJ151" s="1029" t="n"/>
      <c r="BK151" s="978" t="n"/>
      <c r="BL151" s="978" t="n"/>
      <c r="BM151" s="978" t="n"/>
      <c r="BO151" s="1029" t="n"/>
      <c r="BP151" s="978" t="n"/>
      <c r="BQ151" s="978" t="n"/>
      <c r="BR151" s="978" t="n"/>
      <c r="BT151" s="1029" t="n"/>
      <c r="BU151" s="978" t="n"/>
      <c r="BV151" s="978" t="n"/>
      <c r="BW151" s="978" t="n"/>
      <c r="BX151" s="978" t="n"/>
      <c r="BY151" s="1029" t="n"/>
      <c r="BZ151" s="980" t="n"/>
      <c r="CA151" s="980" t="n"/>
      <c r="CB151" s="980" t="n"/>
      <c r="CC151" s="1030" t="n"/>
      <c r="CD151" s="1029" t="n"/>
      <c r="CE151" s="1030" t="n"/>
      <c r="CF151" s="1030" t="n"/>
      <c r="CG151" s="1030" t="n"/>
      <c r="CH151" s="1030" t="n"/>
      <c r="CI151" s="1031" t="n"/>
      <c r="CJ151" s="1031" t="n"/>
      <c r="CK151" s="1031" t="n"/>
      <c r="CL151" s="1031" t="n"/>
      <c r="CM151" s="1031" t="n"/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 t="n"/>
      <c r="I152" s="974" t="n"/>
      <c r="J152" s="974" t="n"/>
      <c r="K152" s="974" t="n"/>
      <c r="L152" s="975" t="n"/>
      <c r="M152" s="974" t="n"/>
      <c r="N152" s="974" t="n"/>
      <c r="O152" s="974" t="n"/>
      <c r="P152" s="974" t="n"/>
      <c r="Q152" s="975" t="n"/>
      <c r="R152" s="974" t="n"/>
      <c r="S152" s="974" t="n"/>
      <c r="T152" s="974" t="n"/>
      <c r="U152" s="974" t="n"/>
      <c r="V152" s="975" t="n"/>
      <c r="W152" s="974" t="n"/>
      <c r="X152" s="974" t="n"/>
      <c r="Y152" s="974" t="n"/>
      <c r="Z152" s="974" t="n"/>
      <c r="AA152" s="975" t="n"/>
      <c r="AB152" s="974" t="n"/>
      <c r="AC152" s="974" t="n"/>
      <c r="AD152" s="974" t="n"/>
      <c r="AE152" s="974" t="n"/>
      <c r="AF152" s="975" t="n"/>
      <c r="AG152" s="974" t="n"/>
      <c r="AH152" s="974" t="n"/>
      <c r="AI152" s="974" t="n"/>
      <c r="AJ152" s="974" t="n"/>
      <c r="AK152" s="975" t="n"/>
      <c r="AL152" s="974" t="n"/>
      <c r="AM152" s="974" t="n"/>
      <c r="AN152" s="974" t="n"/>
      <c r="AO152" s="974" t="n"/>
      <c r="AP152" s="975" t="n"/>
      <c r="AQ152" s="974" t="n"/>
      <c r="AR152" s="974" t="n"/>
      <c r="AS152" s="974" t="n"/>
      <c r="AT152" s="974" t="n"/>
      <c r="AU152" s="975" t="n"/>
      <c r="AV152" s="974" t="n"/>
      <c r="AW152" s="974" t="n"/>
      <c r="AX152" s="974" t="n"/>
      <c r="AY152" s="974" t="n"/>
      <c r="AZ152" s="975" t="n"/>
      <c r="BA152" s="974" t="n"/>
      <c r="BB152" s="974" t="n"/>
      <c r="BC152" s="974" t="n"/>
      <c r="BD152" s="974" t="n"/>
      <c r="BE152" s="975" t="n"/>
      <c r="BF152" s="974" t="n"/>
      <c r="BG152" s="974" t="n"/>
      <c r="BH152" s="974" t="n"/>
      <c r="BI152" s="974" t="n"/>
      <c r="BJ152" s="975" t="n"/>
      <c r="BK152" s="974" t="n"/>
      <c r="BL152" s="974" t="n"/>
      <c r="BM152" s="974" t="n"/>
      <c r="BN152" s="974" t="n"/>
      <c r="BO152" s="975" t="n"/>
      <c r="BP152" s="974" t="n"/>
      <c r="BQ152" s="974" t="n"/>
      <c r="BR152" s="974" t="n"/>
      <c r="BS152" s="974" t="n"/>
      <c r="BT152" s="975" t="n"/>
      <c r="BU152" s="974" t="n"/>
      <c r="BV152" s="974" t="n"/>
      <c r="BW152" s="974" t="n"/>
      <c r="BX152" s="974" t="n"/>
      <c r="BY152" s="975" t="n"/>
      <c r="BZ152" s="974" t="n"/>
      <c r="CA152" s="974" t="n"/>
      <c r="CB152" s="974" t="n"/>
      <c r="CC152" s="974" t="n"/>
      <c r="CD152" s="975" t="n"/>
      <c r="CE152" s="974" t="n"/>
      <c r="CF152" s="974" t="n"/>
      <c r="CG152" s="974" t="n"/>
      <c r="CH152" s="974" t="n"/>
      <c r="CI152" s="976" t="n"/>
      <c r="CJ152" s="976" t="n"/>
      <c r="CK152" s="976" t="n"/>
      <c r="CL152" s="976" t="n"/>
      <c r="CM152" s="976" t="n"/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 t="n"/>
      <c r="AG153" s="678" t="n"/>
      <c r="AH153" s="678" t="n"/>
      <c r="AI153" s="678" t="n"/>
      <c r="AJ153" s="678" t="n"/>
      <c r="AK153" s="870" t="n"/>
      <c r="AL153" s="678" t="n"/>
      <c r="AM153" s="678" t="n"/>
      <c r="AN153" s="678" t="n"/>
      <c r="AO153" s="678" t="n"/>
      <c r="AP153" s="870" t="n"/>
      <c r="AQ153" s="678" t="n"/>
      <c r="AR153" s="678" t="n"/>
      <c r="AS153" s="678" t="n"/>
      <c r="AT153" s="678" t="n"/>
      <c r="AU153" s="870" t="n"/>
      <c r="AV153" s="678" t="n"/>
      <c r="AW153" s="678" t="n"/>
      <c r="AX153" s="678" t="n"/>
      <c r="AY153" s="678" t="n"/>
      <c r="AZ153" s="870" t="n"/>
      <c r="BA153" s="678" t="n"/>
      <c r="BB153" s="678" t="n"/>
      <c r="BC153" s="678" t="n"/>
      <c r="BD153" s="678" t="n"/>
      <c r="BE153" s="870" t="n"/>
      <c r="BF153" s="678" t="n"/>
      <c r="BG153" s="678" t="n"/>
      <c r="BH153" s="678" t="n"/>
      <c r="BI153" s="678" t="n"/>
      <c r="BJ153" s="870" t="n"/>
      <c r="BK153" s="678" t="n"/>
      <c r="BL153" s="678" t="n"/>
      <c r="BM153" s="678" t="n"/>
      <c r="BN153" s="678" t="n"/>
      <c r="BO153" s="870" t="n"/>
      <c r="BP153" s="678" t="n"/>
      <c r="BQ153" s="678" t="n"/>
      <c r="BR153" s="678" t="n"/>
      <c r="BS153" s="678" t="n"/>
      <c r="BT153" s="870" t="n"/>
      <c r="BU153" s="678" t="n"/>
      <c r="BV153" s="678" t="n"/>
      <c r="BW153" s="678" t="n"/>
      <c r="BX153" s="678" t="n"/>
      <c r="BY153" s="870" t="n"/>
      <c r="BZ153" s="678" t="n"/>
      <c r="CA153" s="678" t="n"/>
      <c r="CB153" s="678" t="n"/>
      <c r="CC153" s="678" t="n"/>
      <c r="CD153" s="870" t="n"/>
      <c r="CE153" s="678" t="n"/>
      <c r="CF153" s="678" t="n"/>
      <c r="CG153" s="678" t="n"/>
      <c r="CH153" s="678" t="n"/>
      <c r="CI153" s="752" t="n"/>
      <c r="CJ153" s="752" t="n"/>
      <c r="CK153" s="752" t="n"/>
      <c r="CL153" s="752" t="n"/>
      <c r="CM153" s="752" t="n"/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 t="n"/>
      <c r="CF154" s="993" t="n"/>
      <c r="CG154" s="993" t="n"/>
      <c r="CH154" s="993" t="n"/>
      <c r="CI154" s="1036" t="n"/>
      <c r="CJ154" s="1036" t="n"/>
      <c r="CK154" s="1036" t="n"/>
      <c r="CL154" s="1036" t="n"/>
      <c r="CM154" s="1036" t="n"/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 t="n"/>
      <c r="AG155" s="818" t="n"/>
      <c r="AH155" s="818" t="n"/>
      <c r="AI155" s="818" t="n"/>
      <c r="AJ155" s="818" t="n"/>
      <c r="AK155" s="915" t="n"/>
      <c r="AL155" s="818" t="n"/>
      <c r="AM155" s="818" t="n"/>
      <c r="AN155" s="818" t="n"/>
      <c r="AO155" s="818" t="n"/>
      <c r="AP155" s="915" t="n"/>
      <c r="AQ155" s="818" t="n"/>
      <c r="AR155" s="818" t="n"/>
      <c r="AS155" s="818" t="n"/>
      <c r="AT155" s="818" t="n"/>
      <c r="AU155" s="915" t="n"/>
      <c r="AV155" s="818" t="n"/>
      <c r="AW155" s="818" t="n"/>
      <c r="AX155" s="818" t="n"/>
      <c r="AY155" s="818" t="n"/>
      <c r="AZ155" s="915" t="n"/>
      <c r="BA155" s="818" t="n"/>
      <c r="BB155" s="818" t="n"/>
      <c r="BC155" s="818" t="n"/>
      <c r="BD155" s="818" t="n"/>
      <c r="BE155" s="915" t="n"/>
      <c r="BF155" s="818" t="n"/>
      <c r="BG155" s="818" t="n"/>
      <c r="BH155" s="818" t="n"/>
      <c r="BI155" s="818" t="n"/>
      <c r="BJ155" s="915" t="n"/>
      <c r="BK155" s="818" t="n"/>
      <c r="BL155" s="818" t="n"/>
      <c r="BM155" s="818" t="n"/>
      <c r="BN155" s="818" t="n"/>
      <c r="BO155" s="915" t="n"/>
      <c r="BP155" s="818" t="n"/>
      <c r="BQ155" s="818" t="n"/>
      <c r="BR155" s="818" t="n"/>
      <c r="BS155" s="818" t="n"/>
      <c r="BT155" s="915" t="n"/>
      <c r="BU155" s="818" t="n"/>
      <c r="BV155" s="818" t="n"/>
      <c r="BW155" s="818" t="n"/>
      <c r="BX155" s="818" t="n"/>
      <c r="BY155" s="915" t="n"/>
      <c r="BZ155" s="822" t="n"/>
      <c r="CA155" s="822" t="n"/>
      <c r="CB155" s="822" t="n"/>
      <c r="CC155" s="822" t="n"/>
      <c r="CD155" s="915" t="n"/>
      <c r="CE155" s="814" t="n"/>
      <c r="CF155" s="814" t="n"/>
      <c r="CG155" s="814" t="n"/>
      <c r="CH155" s="814" t="n"/>
      <c r="CI155" s="849" t="n"/>
      <c r="CJ155" s="849" t="n"/>
      <c r="CK155" s="849" t="n"/>
      <c r="CL155" s="849" t="n"/>
      <c r="CM155" s="849" t="n"/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 t="n"/>
      <c r="AG156" s="823" t="n"/>
      <c r="AH156" s="823" t="n"/>
      <c r="AI156" s="823" t="n"/>
      <c r="AJ156" s="823" t="n"/>
      <c r="AK156" s="916" t="n"/>
      <c r="AL156" s="823" t="n"/>
      <c r="AM156" s="823" t="n"/>
      <c r="AN156" s="823" t="n"/>
      <c r="AO156" s="823" t="n"/>
      <c r="AP156" s="916" t="n"/>
      <c r="AQ156" s="823" t="n"/>
      <c r="AR156" s="823" t="n"/>
      <c r="AS156" s="823" t="n"/>
      <c r="AT156" s="823" t="n"/>
      <c r="AU156" s="916" t="n"/>
      <c r="AV156" s="823" t="n"/>
      <c r="AW156" s="823" t="n"/>
      <c r="AX156" s="823" t="n"/>
      <c r="AY156" s="823" t="n"/>
      <c r="AZ156" s="916" t="n"/>
      <c r="BA156" s="823" t="n"/>
      <c r="BB156" s="823" t="n"/>
      <c r="BC156" s="823" t="n"/>
      <c r="BD156" s="823" t="n"/>
      <c r="BE156" s="916" t="n"/>
      <c r="BF156" s="823" t="n"/>
      <c r="BG156" s="823" t="n"/>
      <c r="BH156" s="823" t="n"/>
      <c r="BI156" s="823" t="n"/>
      <c r="BJ156" s="916" t="n"/>
      <c r="BK156" s="823" t="n"/>
      <c r="BL156" s="823" t="n"/>
      <c r="BM156" s="823" t="n"/>
      <c r="BN156" s="823" t="n"/>
      <c r="BO156" s="916" t="n"/>
      <c r="BP156" s="823" t="n"/>
      <c r="BQ156" s="823" t="n"/>
      <c r="BR156" s="823" t="n"/>
      <c r="BS156" s="823" t="n"/>
      <c r="BT156" s="916" t="n"/>
      <c r="BU156" s="823" t="n"/>
      <c r="BV156" s="823" t="n"/>
      <c r="BW156" s="823" t="n"/>
      <c r="BX156" s="823" t="n"/>
      <c r="BY156" s="916" t="n"/>
      <c r="BZ156" s="823" t="n"/>
      <c r="CA156" s="823" t="n"/>
      <c r="CB156" s="823" t="n"/>
      <c r="CC156" s="823" t="n"/>
      <c r="CD156" s="916" t="n"/>
      <c r="CE156" s="815" t="n"/>
      <c r="CF156" s="815" t="n"/>
      <c r="CG156" s="815" t="n"/>
      <c r="CH156" s="815" t="n"/>
      <c r="CI156" s="823" t="n"/>
      <c r="CJ156" s="823" t="n"/>
      <c r="CK156" s="823" t="n"/>
      <c r="CL156" s="823" t="n"/>
      <c r="CM156" s="823" t="n"/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 t="n"/>
      <c r="AL157" s="1039" t="n"/>
      <c r="AM157" s="1039" t="n"/>
      <c r="AN157" s="1039" t="n"/>
      <c r="AO157" s="1039" t="n"/>
      <c r="AP157" s="1038" t="n"/>
      <c r="AQ157" s="1039" t="n"/>
      <c r="AR157" s="1039" t="n"/>
      <c r="AS157" s="1039" t="n"/>
      <c r="AT157" s="1039" t="n"/>
      <c r="AU157" s="1038" t="n"/>
      <c r="AV157" s="1039" t="n"/>
      <c r="AW157" s="1039" t="n"/>
      <c r="AX157" s="1039" t="n"/>
      <c r="AY157" s="1039" t="n"/>
      <c r="AZ157" s="1038" t="n"/>
      <c r="BA157" s="1039" t="n"/>
      <c r="BB157" s="1039" t="n"/>
      <c r="BC157" s="1039" t="n"/>
      <c r="BD157" s="1039" t="n"/>
      <c r="BE157" s="1038" t="n"/>
      <c r="BF157" s="1039" t="n"/>
      <c r="BG157" s="1039" t="n"/>
      <c r="BH157" s="1039" t="n"/>
      <c r="BI157" s="1039" t="n"/>
      <c r="BJ157" s="1038" t="n"/>
      <c r="BK157" s="1040" t="n"/>
      <c r="BL157" s="1040" t="n"/>
      <c r="BM157" s="1040" t="n"/>
      <c r="BN157" s="1040" t="n"/>
      <c r="BO157" s="1038" t="n"/>
      <c r="BP157" s="1040" t="n"/>
      <c r="BQ157" s="1040" t="n"/>
      <c r="BR157" s="1040" t="n"/>
      <c r="BS157" s="1040" t="n"/>
      <c r="BT157" s="1038" t="n"/>
      <c r="BU157" s="1040" t="n"/>
      <c r="BV157" s="1040" t="n"/>
      <c r="BW157" s="1040" t="n"/>
      <c r="BX157" s="1040" t="n"/>
      <c r="BY157" s="1041" t="n"/>
      <c r="BZ157" s="1037" t="n"/>
      <c r="CA157" s="1037" t="n"/>
      <c r="CB157" s="1037" t="n"/>
      <c r="CC157" s="1040" t="n"/>
      <c r="CD157" s="1041" t="n"/>
      <c r="CE157" s="974" t="n"/>
      <c r="CF157" s="974" t="n"/>
      <c r="CG157" s="974" t="n"/>
      <c r="CH157" s="974" t="n"/>
      <c r="CI157" s="1042" t="n"/>
      <c r="CJ157" s="1042" t="n"/>
      <c r="CK157" s="1042" t="n"/>
      <c r="CL157" s="1042" t="n"/>
      <c r="CM157" s="1042" t="n"/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 t="n"/>
      <c r="AF158" s="1044" t="n"/>
      <c r="AG158" s="1043" t="n"/>
      <c r="AH158" s="1043" t="n"/>
      <c r="AI158" s="1043" t="n"/>
      <c r="AJ158" s="1043" t="n"/>
      <c r="AK158" s="1044" t="n"/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 t="n"/>
      <c r="CH158" s="1049" t="n"/>
      <c r="CI158" s="1046" t="n"/>
      <c r="CJ158" s="1046" t="n"/>
      <c r="CK158" s="1046" t="n"/>
      <c r="CL158" s="1046" t="n"/>
      <c r="CM158" s="1046" t="n"/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 t="n"/>
      <c r="AG159" s="1050" t="n"/>
      <c r="AH159" s="1050" t="n"/>
      <c r="AI159" s="1050" t="n"/>
      <c r="AJ159" s="1050" t="n"/>
      <c r="AK159" s="1052" t="n"/>
      <c r="AL159" s="1053" t="n"/>
      <c r="AM159" s="1053" t="n"/>
      <c r="AN159" s="1053" t="n"/>
      <c r="AO159" s="1053" t="n"/>
      <c r="AP159" s="1052" t="n"/>
      <c r="AQ159" s="1053" t="n"/>
      <c r="AR159" s="1053" t="n"/>
      <c r="AS159" s="1053" t="n"/>
      <c r="AT159" s="1053" t="n"/>
      <c r="AU159" s="1052" t="n"/>
      <c r="AV159" s="1053" t="n"/>
      <c r="AW159" s="1053" t="n"/>
      <c r="AX159" s="1053" t="n"/>
      <c r="AY159" s="1053" t="n"/>
      <c r="AZ159" s="1052" t="n"/>
      <c r="BA159" s="1053" t="n"/>
      <c r="BB159" s="1053" t="n"/>
      <c r="BC159" s="1053" t="n"/>
      <c r="BD159" s="1053" t="n"/>
      <c r="BE159" s="1052" t="n"/>
      <c r="BF159" s="1054" t="n"/>
      <c r="BG159" s="1054" t="n"/>
      <c r="BH159" s="1054" t="n"/>
      <c r="BI159" s="1054" t="n"/>
      <c r="BJ159" s="1052" t="n"/>
      <c r="BK159" s="1054" t="n"/>
      <c r="BL159" s="1054" t="n"/>
      <c r="BM159" s="1054" t="n"/>
      <c r="BN159" s="1054" t="n"/>
      <c r="BO159" s="1052" t="n"/>
      <c r="BP159" s="1054" t="n"/>
      <c r="BQ159" s="1054" t="n"/>
      <c r="BR159" s="1054" t="n"/>
      <c r="BS159" s="1054" t="n"/>
      <c r="BT159" s="1052" t="n"/>
      <c r="BU159" s="1054" t="n"/>
      <c r="BV159" s="1054" t="n"/>
      <c r="BW159" s="1054" t="n"/>
      <c r="BX159" s="1054" t="n"/>
      <c r="BY159" s="1052" t="n"/>
      <c r="BZ159" s="1055" t="n"/>
      <c r="CA159" s="1055" t="n"/>
      <c r="CB159" s="1055" t="n"/>
      <c r="CC159" s="1055" t="n"/>
      <c r="CD159" s="1052" t="n"/>
      <c r="CE159" s="1055" t="n"/>
      <c r="CF159" s="1055" t="n"/>
      <c r="CG159" s="1055" t="n"/>
      <c r="CH159" s="1055" t="n"/>
      <c r="CI159" s="1056" t="n"/>
      <c r="CJ159" s="1056" t="n"/>
      <c r="CK159" s="1056" t="n"/>
      <c r="CL159" s="1056" t="n"/>
      <c r="CM159" s="1056" t="n"/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 t="n"/>
      <c r="H165" s="974" t="n"/>
      <c r="I165" s="974" t="n"/>
      <c r="J165" s="974" t="n"/>
      <c r="K165" s="974" t="n"/>
      <c r="L165" s="975" t="n"/>
      <c r="M165" s="974" t="n"/>
      <c r="N165" s="974" t="n"/>
      <c r="O165" s="974" t="n"/>
      <c r="P165" s="974" t="n"/>
      <c r="Q165" s="975" t="n"/>
      <c r="R165" s="974" t="n"/>
      <c r="S165" s="974" t="n"/>
      <c r="T165" s="974" t="n"/>
      <c r="U165" s="974" t="n"/>
      <c r="V165" s="975" t="n"/>
      <c r="W165" s="974" t="n"/>
      <c r="X165" s="974" t="n"/>
      <c r="Y165" s="974" t="n"/>
      <c r="Z165" s="974" t="n"/>
      <c r="AA165" s="975" t="n"/>
      <c r="AB165" s="974" t="n"/>
      <c r="AC165" s="974" t="n"/>
      <c r="AD165" s="974" t="n"/>
      <c r="AE165" s="974" t="n"/>
      <c r="AF165" s="975" t="n"/>
      <c r="AG165" s="974" t="n"/>
      <c r="AH165" s="974" t="n"/>
      <c r="AI165" s="974" t="n"/>
      <c r="AJ165" s="974" t="n"/>
      <c r="AK165" s="975" t="n"/>
      <c r="AL165" s="974" t="n"/>
      <c r="AM165" s="974" t="n"/>
      <c r="AN165" s="974" t="n"/>
      <c r="AO165" s="974" t="n"/>
      <c r="AP165" s="975" t="n"/>
      <c r="AQ165" s="974" t="n"/>
      <c r="AR165" s="974" t="n"/>
      <c r="AS165" s="974" t="n"/>
      <c r="AT165" s="974" t="n"/>
      <c r="AU165" s="975" t="n"/>
      <c r="AV165" s="974" t="n"/>
      <c r="AW165" s="974" t="n"/>
      <c r="AX165" s="974" t="n"/>
      <c r="AY165" s="974" t="n"/>
      <c r="AZ165" s="975" t="n"/>
      <c r="BA165" s="974" t="n"/>
      <c r="BB165" s="974" t="n"/>
      <c r="BC165" s="974" t="n"/>
      <c r="BD165" s="974" t="n"/>
      <c r="BE165" s="975" t="n"/>
      <c r="BF165" s="974" t="n"/>
      <c r="BG165" s="974" t="n"/>
      <c r="BH165" s="974" t="n"/>
      <c r="BI165" s="974" t="n"/>
      <c r="BJ165" s="975" t="n"/>
      <c r="BK165" s="974" t="n"/>
      <c r="BL165" s="974" t="n"/>
      <c r="BM165" s="974" t="n"/>
      <c r="BN165" s="974" t="n"/>
      <c r="BO165" s="975" t="n"/>
      <c r="BP165" s="974" t="n"/>
      <c r="BQ165" s="974" t="n"/>
      <c r="BR165" s="974" t="n"/>
      <c r="BS165" s="974" t="n"/>
      <c r="BT165" s="975" t="n"/>
      <c r="BU165" s="974" t="n"/>
      <c r="BV165" s="974" t="n"/>
      <c r="BW165" s="974" t="n"/>
      <c r="BX165" s="974" t="n"/>
      <c r="BY165" s="975" t="n"/>
      <c r="BZ165" s="974" t="n"/>
      <c r="CA165" s="974" t="n"/>
      <c r="CB165" s="974" t="n"/>
      <c r="CC165" s="974" t="n"/>
      <c r="CD165" s="975" t="n"/>
      <c r="CE165" s="974" t="n"/>
      <c r="CF165" s="974" t="n"/>
      <c r="CG165" s="974" t="n"/>
      <c r="CH165" s="974" t="n"/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 t="n"/>
      <c r="H166" s="974" t="n"/>
      <c r="I166" s="974" t="n"/>
      <c r="J166" s="974" t="n"/>
      <c r="K166" s="974" t="n"/>
      <c r="L166" s="975" t="n"/>
      <c r="M166" s="974" t="n"/>
      <c r="N166" s="974" t="n"/>
      <c r="O166" s="974" t="n"/>
      <c r="P166" s="974" t="n"/>
      <c r="Q166" s="975" t="n"/>
      <c r="R166" s="974" t="n"/>
      <c r="S166" s="974" t="n"/>
      <c r="T166" s="974" t="n"/>
      <c r="U166" s="974" t="n"/>
      <c r="V166" s="975" t="n"/>
      <c r="W166" s="974" t="n"/>
      <c r="X166" s="974" t="n"/>
      <c r="Y166" s="974" t="n"/>
      <c r="Z166" s="974" t="n"/>
      <c r="AA166" s="975" t="n"/>
      <c r="AB166" s="974" t="n"/>
      <c r="AC166" s="974" t="n"/>
      <c r="AD166" s="974" t="n"/>
      <c r="AE166" s="974" t="n"/>
      <c r="AF166" s="975" t="n"/>
      <c r="AG166" s="974" t="n"/>
      <c r="AH166" s="974" t="n"/>
      <c r="AI166" s="974" t="n"/>
      <c r="AJ166" s="974" t="n"/>
      <c r="AK166" s="975" t="n"/>
      <c r="AL166" s="974" t="n"/>
      <c r="AM166" s="974" t="n"/>
      <c r="AN166" s="974" t="n"/>
      <c r="AO166" s="974" t="n"/>
      <c r="AP166" s="975" t="n"/>
      <c r="AQ166" s="974" t="n"/>
      <c r="AR166" s="974" t="n"/>
      <c r="AS166" s="974" t="n"/>
      <c r="AT166" s="974" t="n"/>
      <c r="AU166" s="975" t="n"/>
      <c r="AV166" s="974" t="n"/>
      <c r="AW166" s="974" t="n"/>
      <c r="AX166" s="974" t="n"/>
      <c r="AY166" s="974" t="n"/>
      <c r="AZ166" s="975" t="n"/>
      <c r="BA166" s="974" t="n"/>
      <c r="BB166" s="974" t="n"/>
      <c r="BC166" s="974" t="n"/>
      <c r="BD166" s="974" t="n"/>
      <c r="BE166" s="975" t="n"/>
      <c r="BF166" s="974" t="n"/>
      <c r="BG166" s="974" t="n"/>
      <c r="BH166" s="974" t="n"/>
      <c r="BI166" s="974" t="n"/>
      <c r="BJ166" s="975" t="n"/>
      <c r="BK166" s="974" t="n"/>
      <c r="BL166" s="974" t="n"/>
      <c r="BM166" s="974" t="n"/>
      <c r="BN166" s="974" t="n"/>
      <c r="BO166" s="975" t="n"/>
      <c r="BP166" s="974" t="n"/>
      <c r="BQ166" s="974" t="n"/>
      <c r="BR166" s="974" t="n"/>
      <c r="BS166" s="974" t="n"/>
      <c r="BT166" s="975" t="n"/>
      <c r="BU166" s="974" t="n"/>
      <c r="BV166" s="974" t="n"/>
      <c r="BW166" s="974" t="n"/>
      <c r="BX166" s="974" t="n"/>
      <c r="BY166" s="975" t="n"/>
      <c r="BZ166" s="974" t="n"/>
      <c r="CA166" s="974" t="n"/>
      <c r="CB166" s="974" t="n"/>
      <c r="CC166" s="974" t="n"/>
      <c r="CD166" s="975" t="n"/>
      <c r="CE166" s="974" t="n"/>
      <c r="CF166" s="974" t="n"/>
      <c r="CG166" s="974" t="n"/>
      <c r="CH166" s="974" t="n"/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 t="n"/>
      <c r="H167" s="974" t="n"/>
      <c r="I167" s="974" t="n"/>
      <c r="J167" s="974" t="n"/>
      <c r="K167" s="974" t="n"/>
      <c r="L167" s="975" t="n"/>
      <c r="M167" s="974" t="n"/>
      <c r="N167" s="974" t="n"/>
      <c r="O167" s="974" t="n"/>
      <c r="P167" s="974" t="n"/>
      <c r="Q167" s="975" t="n"/>
      <c r="R167" s="974" t="n"/>
      <c r="S167" s="974" t="n"/>
      <c r="T167" s="974" t="n"/>
      <c r="U167" s="974" t="n"/>
      <c r="V167" s="975" t="n"/>
      <c r="W167" s="974" t="n"/>
      <c r="X167" s="974" t="n"/>
      <c r="Y167" s="974" t="n"/>
      <c r="Z167" s="974" t="n"/>
      <c r="AA167" s="975" t="n"/>
      <c r="AB167" s="974" t="n"/>
      <c r="AC167" s="974" t="n"/>
      <c r="AD167" s="974" t="n"/>
      <c r="AE167" s="974" t="n"/>
      <c r="AF167" s="975" t="n"/>
      <c r="AG167" s="974" t="n"/>
      <c r="AH167" s="974" t="n"/>
      <c r="AI167" s="974" t="n"/>
      <c r="AJ167" s="974" t="n"/>
      <c r="AK167" s="975" t="n"/>
      <c r="AL167" s="974" t="n"/>
      <c r="AM167" s="974" t="n"/>
      <c r="AN167" s="974" t="n"/>
      <c r="AO167" s="974" t="n"/>
      <c r="AP167" s="975" t="n"/>
      <c r="AQ167" s="974" t="n"/>
      <c r="AR167" s="974" t="n"/>
      <c r="AS167" s="974" t="n"/>
      <c r="AT167" s="974" t="n"/>
      <c r="AU167" s="975" t="n"/>
      <c r="AV167" s="974" t="n"/>
      <c r="AW167" s="974" t="n"/>
      <c r="AX167" s="974" t="n"/>
      <c r="AY167" s="974" t="n"/>
      <c r="AZ167" s="975" t="n"/>
      <c r="BA167" s="974" t="n"/>
      <c r="BB167" s="974" t="n"/>
      <c r="BC167" s="974" t="n"/>
      <c r="BD167" s="974" t="n"/>
      <c r="BE167" s="975" t="n"/>
      <c r="BF167" s="974" t="n"/>
      <c r="BG167" s="974" t="n"/>
      <c r="BH167" s="974" t="n"/>
      <c r="BI167" s="974" t="n"/>
      <c r="BJ167" s="975" t="n"/>
      <c r="BK167" s="974" t="n"/>
      <c r="BL167" s="974" t="n"/>
      <c r="BM167" s="974" t="n"/>
      <c r="BN167" s="974" t="n"/>
      <c r="BO167" s="975" t="n"/>
      <c r="BP167" s="974" t="n"/>
      <c r="BQ167" s="974" t="n"/>
      <c r="BR167" s="974" t="n"/>
      <c r="BS167" s="974" t="n"/>
      <c r="BT167" s="975" t="n"/>
      <c r="BU167" s="974" t="n"/>
      <c r="BV167" s="974" t="n"/>
      <c r="BW167" s="974" t="n"/>
      <c r="BX167" s="974" t="n"/>
      <c r="BY167" s="975" t="n"/>
      <c r="BZ167" s="974" t="n"/>
      <c r="CA167" s="974" t="n"/>
      <c r="CB167" s="974" t="n"/>
      <c r="CC167" s="974" t="n"/>
      <c r="CD167" s="975" t="n"/>
      <c r="CE167" s="974" t="n"/>
      <c r="CF167" s="974" t="n"/>
      <c r="CG167" s="974" t="n"/>
      <c r="CH167" s="974" t="n"/>
      <c r="CI167" s="981" t="n"/>
      <c r="CJ167" s="976" t="n"/>
      <c r="CK167" s="976" t="n"/>
      <c r="CL167" s="976" t="n"/>
      <c r="CM167" s="976" t="n"/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>
        <f>CD178</f>
        <v/>
      </c>
      <c r="CJ178" s="774">
        <f>CD178</f>
        <v/>
      </c>
      <c r="CK178" s="774">
        <f>CD178</f>
        <v/>
      </c>
      <c r="CL178" s="774">
        <f>CD178</f>
        <v/>
      </c>
      <c r="CM178" s="774">
        <f>CD178</f>
        <v/>
      </c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CI175+CI176+CI177+CI178</f>
        <v/>
      </c>
      <c r="CJ186" s="752">
        <f>CJ175+CJ176+CJ177+CJ178</f>
        <v/>
      </c>
      <c r="CK186" s="752">
        <f>CK175+CK176+CK177+CK178</f>
        <v/>
      </c>
      <c r="CL186" s="752">
        <f>CL175+CL176+CL177+CL178</f>
        <v/>
      </c>
      <c r="CM186" s="752">
        <f>CM175+CM176+CM177+CM178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>
        <f>CD190</f>
        <v/>
      </c>
      <c r="CJ190" s="774">
        <f>CD190</f>
        <v/>
      </c>
      <c r="CK190" s="774">
        <f>CD190</f>
        <v/>
      </c>
      <c r="CL190" s="774">
        <f>CD190</f>
        <v/>
      </c>
      <c r="CM190" s="774">
        <f>CD190</f>
        <v/>
      </c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CI189+CI190</f>
        <v/>
      </c>
      <c r="CJ193" s="752">
        <f>CJ189+CJ190</f>
        <v/>
      </c>
      <c r="CK193" s="752">
        <f>CK189+CK190</f>
        <v/>
      </c>
      <c r="CL193" s="752">
        <f>CL189+CL190</f>
        <v/>
      </c>
      <c r="CM193" s="752">
        <f>CM189+CM190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>
        <f>CD198</f>
        <v/>
      </c>
      <c r="CJ198" s="774">
        <f>CD198</f>
        <v/>
      </c>
      <c r="CK198" s="774">
        <f>CD198</f>
        <v/>
      </c>
      <c r="CL198" s="774">
        <f>CD198</f>
        <v/>
      </c>
      <c r="CM198" s="774">
        <f>CD198</f>
        <v/>
      </c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>
        <f>CD199</f>
        <v/>
      </c>
      <c r="CJ199" s="774">
        <f>CD199</f>
        <v/>
      </c>
      <c r="CK199" s="774">
        <f>CD199</f>
        <v/>
      </c>
      <c r="CL199" s="774">
        <f>CD199</f>
        <v/>
      </c>
      <c r="CM199" s="774">
        <f>CD199</f>
        <v/>
      </c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CI198+CI199-CI294</f>
        <v/>
      </c>
      <c r="CJ202" s="752">
        <f>CJ198+CJ199-CJ294</f>
        <v/>
      </c>
      <c r="CK202" s="752">
        <f>CK198+CK199-CK294</f>
        <v/>
      </c>
      <c r="CL202" s="752">
        <f>CL198+CL199-CL294</f>
        <v/>
      </c>
      <c r="CM202" s="752">
        <f>CM198+CM199-CM294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CI186+CI193+CI202</f>
        <v/>
      </c>
      <c r="CJ205" s="749">
        <f>CJ186+CJ193+CJ202</f>
        <v/>
      </c>
      <c r="CK205" s="749">
        <f>CK186+CK193+CK202</f>
        <v/>
      </c>
      <c r="CL205" s="749">
        <f>CL186+CL193+CL202</f>
        <v/>
      </c>
      <c r="CM205" s="749">
        <f>CM186+CM193+CM202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CD207+CI205</f>
        <v/>
      </c>
      <c r="CJ207" s="856">
        <f>CI207+CJ205</f>
        <v/>
      </c>
      <c r="CK207" s="856">
        <f>CJ207+CK205</f>
        <v/>
      </c>
      <c r="CL207" s="856">
        <f>CK207+CL205</f>
        <v/>
      </c>
      <c r="CM207" s="856">
        <f>CL207+CM205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CI261-CI227-CI228-CI229-CI231-CI232-CI233-CI234-CI235-CI236</f>
        <v/>
      </c>
      <c r="CJ226" s="791">
        <f>CJ261-CJ227-CJ228-CJ229-CJ231-CJ232-CJ233-CJ234-CJ235-CJ236</f>
        <v/>
      </c>
      <c r="CK226" s="791">
        <f>CK261-CK227-CK228-CK229-CK231-CK232-CK233-CK234-CK235-CK236</f>
        <v/>
      </c>
      <c r="CL226" s="791">
        <f>CL261-CL227-CL228-CL229-CL231-CL232-CL233-CL234-CL235-CL236</f>
        <v/>
      </c>
      <c r="CM226" s="791">
        <f>CM261-CM227-CM228-CM229-CM231-CM232-CM233-CM234-CM235-CM236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CD228</f>
        <v/>
      </c>
      <c r="CJ228" s="749">
        <f>CD228</f>
        <v/>
      </c>
      <c r="CK228" s="749">
        <f>CD228</f>
        <v/>
      </c>
      <c r="CL228" s="749">
        <f>CD228</f>
        <v/>
      </c>
      <c r="CM228" s="749">
        <f>CD228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CI114*CD231/CD114</f>
        <v/>
      </c>
      <c r="CJ231" s="749">
        <f>CJ114*CD231/CD114</f>
        <v/>
      </c>
      <c r="CK231" s="749">
        <f>CK114*CD231/CD114</f>
        <v/>
      </c>
      <c r="CL231" s="749">
        <f>CL114*CD231/CD114</f>
        <v/>
      </c>
      <c r="CM231" s="749">
        <f>CM114*CD231/CD114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CD232</f>
        <v/>
      </c>
      <c r="CK232" s="749">
        <f>CD232</f>
        <v/>
      </c>
      <c r="CL232" s="749">
        <f>CD232</f>
        <v/>
      </c>
      <c r="CM232" s="749">
        <f>CD232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CI114*CD234/CD114</f>
        <v/>
      </c>
      <c r="CJ234" s="749">
        <f>CJ114*CD234/CD114</f>
        <v/>
      </c>
      <c r="CK234" s="749">
        <f>CK114*CD234/CD114</f>
        <v/>
      </c>
      <c r="CL234" s="749">
        <f>CL114*CD234/CD114</f>
        <v/>
      </c>
      <c r="CM234" s="749">
        <f>CM114*CD234/CD114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CD243/CD114*CI114</f>
        <v/>
      </c>
      <c r="CJ243" s="749">
        <f>CD243/CD114*CJ114</f>
        <v/>
      </c>
      <c r="CK243" s="749">
        <f>CD243/CD114*CK114</f>
        <v/>
      </c>
      <c r="CL243" s="749">
        <f>CD243/CD114*CL114</f>
        <v/>
      </c>
      <c r="CM243" s="749">
        <f>CD243/CD114*CM114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CI114*CD249/CD114</f>
        <v/>
      </c>
      <c r="CJ249" s="749">
        <f>CJ114*CD249/CD114</f>
        <v/>
      </c>
      <c r="CK249" s="749">
        <f>CK114*CD249/CD114</f>
        <v/>
      </c>
      <c r="CL249" s="749">
        <f>CL114*CD249/CD114</f>
        <v/>
      </c>
      <c r="CM249" s="749">
        <f>CM114*CD249/CD114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CI114*CD251/CD114</f>
        <v/>
      </c>
      <c r="CJ251" s="749">
        <f>CJ114*CD251/CD114</f>
        <v/>
      </c>
      <c r="CK251" s="749">
        <f>CK114*CD251/CD114</f>
        <v/>
      </c>
      <c r="CL251" s="749">
        <f>CL114*CD251/CD114</f>
        <v/>
      </c>
      <c r="CM251" s="749">
        <f>CM114*CD251/CD114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CI114*CD252/CD114</f>
        <v/>
      </c>
      <c r="CJ252" s="749">
        <f>CJ114*CD252/CD114</f>
        <v/>
      </c>
      <c r="CK252" s="749">
        <f>CK114*CD252/CD114</f>
        <v/>
      </c>
      <c r="CL252" s="749">
        <f>CL114*CD252/CD114</f>
        <v/>
      </c>
      <c r="CM252" s="749">
        <f>CM114*CD252/CD114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CD260+CI133+CI198+CI199</f>
        <v/>
      </c>
      <c r="CJ260" s="849">
        <f>CI260+CJ133+CJ198+CJ199</f>
        <v/>
      </c>
      <c r="CK260" s="849">
        <f>CJ260+CK133+CK198+CK199</f>
        <v/>
      </c>
      <c r="CL260" s="849">
        <f>CK260+CL133+CL198+CL199</f>
        <v/>
      </c>
      <c r="CM260" s="849">
        <f>CL260+CM133+CM198+CM199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>
        <f>CD268</f>
        <v/>
      </c>
      <c r="CJ268" s="1060">
        <f>CD268</f>
        <v/>
      </c>
      <c r="CK268" s="1060">
        <f>CD268</f>
        <v/>
      </c>
      <c r="CL268" s="1060">
        <f>CD268</f>
        <v/>
      </c>
      <c r="CM268" s="1060">
        <f>CD268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 t="n"/>
      <c r="H269" s="1058" t="n"/>
      <c r="I269" s="1058" t="n"/>
      <c r="J269" s="1058" t="n"/>
      <c r="K269" s="1058" t="n"/>
      <c r="L269" s="1057" t="n"/>
      <c r="M269" s="1058" t="n"/>
      <c r="N269" s="1058" t="n"/>
      <c r="O269" s="1058" t="n"/>
      <c r="P269" s="1058" t="n"/>
      <c r="Q269" s="1057" t="n"/>
      <c r="R269" s="1058" t="n"/>
      <c r="S269" s="1058" t="n"/>
      <c r="T269" s="1058" t="n"/>
      <c r="U269" s="1058" t="n"/>
      <c r="V269" s="1057" t="n"/>
      <c r="W269" s="1058" t="n"/>
      <c r="X269" s="1058" t="n"/>
      <c r="Y269" s="1058" t="n"/>
      <c r="Z269" s="1058" t="n"/>
      <c r="AA269" s="1057" t="n"/>
      <c r="AB269" s="1058" t="n"/>
      <c r="AC269" s="1058" t="n"/>
      <c r="AD269" s="1058" t="n"/>
      <c r="AE269" s="1058" t="n"/>
      <c r="AF269" s="1057" t="n"/>
      <c r="AG269" s="1058" t="n"/>
      <c r="AH269" s="1058" t="n"/>
      <c r="AI269" s="1058" t="n"/>
      <c r="AJ269" s="1058" t="n"/>
      <c r="AK269" s="1057" t="n"/>
      <c r="AL269" s="1058" t="n"/>
      <c r="AM269" s="1058" t="n"/>
      <c r="AN269" s="1058" t="n"/>
      <c r="AO269" s="1058" t="n"/>
      <c r="AP269" s="1057" t="n"/>
      <c r="AQ269" s="1058" t="n"/>
      <c r="AR269" s="1058" t="n"/>
      <c r="AS269" s="1058" t="n"/>
      <c r="AT269" s="1058" t="n"/>
      <c r="AU269" s="1057" t="n"/>
      <c r="AV269" s="1058" t="n"/>
      <c r="AW269" s="1058" t="n"/>
      <c r="AX269" s="1058" t="n"/>
      <c r="AY269" s="1058" t="n"/>
      <c r="AZ269" s="1057" t="n"/>
      <c r="BE269" s="1057" t="n"/>
      <c r="BF269" s="1058" t="n"/>
      <c r="BG269" s="1058" t="n"/>
      <c r="BH269" s="1058" t="n"/>
      <c r="BI269" s="1058" t="n"/>
      <c r="BJ269" s="1057" t="n"/>
      <c r="BK269" s="1058" t="n"/>
      <c r="BL269" s="1058" t="n"/>
      <c r="BM269" s="1058" t="n"/>
      <c r="BN269" s="1058" t="n"/>
      <c r="BO269" s="1057" t="n"/>
      <c r="BP269" s="1058" t="n"/>
      <c r="BQ269" s="1058" t="n"/>
      <c r="BR269" s="1058" t="n"/>
      <c r="BS269" s="1058" t="n"/>
      <c r="BT269" s="1057" t="n"/>
      <c r="BU269" s="1058" t="n"/>
      <c r="BV269" s="1058" t="n"/>
      <c r="BW269" s="1058" t="n"/>
      <c r="BX269" s="1058" t="n"/>
      <c r="BY269" s="1057" t="n"/>
      <c r="BZ269" s="1058" t="n"/>
      <c r="CA269" s="1058" t="n"/>
      <c r="CB269" s="1058" t="n"/>
      <c r="CC269" s="1058" t="n"/>
      <c r="CD269" s="1057" t="n"/>
      <c r="CE269" s="1059" t="n"/>
      <c r="CF269" s="1059" t="n"/>
      <c r="CG269" s="1059" t="n"/>
      <c r="CH269" s="1059" t="n"/>
      <c r="CI269" s="1060" t="n"/>
      <c r="CJ269" s="1060" t="n"/>
      <c r="CK269" s="1060" t="n"/>
      <c r="CL269" s="1060" t="n"/>
      <c r="CM269" s="1060" t="n"/>
      <c r="CQ269" s="693" t="n"/>
    </row>
    <row r="270" ht="16.5" customHeight="1">
      <c r="B270" t="inlineStr">
        <is>
          <t xml:space="preserve">  DPO (Accounts payable / COGS × 365)</t>
        </is>
      </c>
      <c r="G270" s="1057" t="n"/>
      <c r="H270" s="1058" t="n"/>
      <c r="I270" s="1058" t="n"/>
      <c r="J270" s="1058" t="n"/>
      <c r="K270" s="1058" t="n"/>
      <c r="L270" s="1057" t="n"/>
      <c r="M270" s="1058" t="n"/>
      <c r="N270" s="1058" t="n"/>
      <c r="O270" s="1058" t="n"/>
      <c r="P270" s="1058" t="n"/>
      <c r="Q270" s="1057" t="n"/>
      <c r="R270" s="1058" t="n"/>
      <c r="S270" s="1058" t="n"/>
      <c r="T270" s="1058" t="n"/>
      <c r="U270" s="1058" t="n"/>
      <c r="V270" s="1057" t="n"/>
      <c r="W270" s="1058" t="n"/>
      <c r="X270" s="1058" t="n"/>
      <c r="Y270" s="1058" t="n"/>
      <c r="Z270" s="1058" t="n"/>
      <c r="AA270" s="1057" t="n"/>
      <c r="AB270" s="1058" t="n"/>
      <c r="AC270" s="1058" t="n"/>
      <c r="AD270" s="1058" t="n"/>
      <c r="AE270" s="1058" t="n"/>
      <c r="AF270" s="1057" t="n"/>
      <c r="AG270" s="1058" t="n"/>
      <c r="AH270" s="1058" t="n"/>
      <c r="AI270" s="1058" t="n"/>
      <c r="AJ270" s="1058" t="n"/>
      <c r="AK270" s="1057" t="n"/>
      <c r="AL270" s="1058" t="n"/>
      <c r="AM270" s="1058" t="n"/>
      <c r="AN270" s="1058" t="n"/>
      <c r="AO270" s="1058" t="n"/>
      <c r="AP270" s="1057" t="n"/>
      <c r="AQ270" s="1058" t="n"/>
      <c r="AR270" s="1058" t="n"/>
      <c r="AS270" s="1058" t="n"/>
      <c r="AT270" s="1058" t="n"/>
      <c r="AU270" s="1057" t="n"/>
      <c r="AV270" s="1058" t="n"/>
      <c r="AW270" s="1058" t="n"/>
      <c r="AX270" s="1058" t="n"/>
      <c r="AY270" s="1058" t="n"/>
      <c r="AZ270" s="1057" t="n"/>
      <c r="BE270" s="1057" t="n"/>
      <c r="BF270" s="1058" t="n"/>
      <c r="BG270" s="1058" t="n"/>
      <c r="BH270" s="1058" t="n"/>
      <c r="BI270" s="1058" t="n"/>
      <c r="BJ270" s="1057" t="n"/>
      <c r="BK270" s="1058" t="n"/>
      <c r="BL270" s="1058" t="n"/>
      <c r="BM270" s="1058" t="n"/>
      <c r="BN270" s="1058" t="n"/>
      <c r="BO270" s="1057" t="n"/>
      <c r="BP270" s="1058" t="n"/>
      <c r="BQ270" s="1058" t="n"/>
      <c r="BR270" s="1058" t="n"/>
      <c r="BS270" s="1058" t="n"/>
      <c r="BT270" s="1057" t="n"/>
      <c r="BU270" s="1058" t="n"/>
      <c r="BV270" s="1058" t="n"/>
      <c r="BW270" s="1058" t="n"/>
      <c r="BX270" s="1058" t="n"/>
      <c r="BY270" s="1057" t="n"/>
      <c r="BZ270" s="1058" t="n"/>
      <c r="CA270" s="1058" t="n"/>
      <c r="CB270" s="1058" t="n"/>
      <c r="CC270" s="1058" t="n"/>
      <c r="CD270" s="1057" t="n"/>
      <c r="CE270" s="1059" t="n"/>
      <c r="CF270" s="1059" t="n"/>
      <c r="CG270" s="1059" t="n"/>
      <c r="CH270" s="1059" t="n"/>
      <c r="CI270" s="1060" t="n"/>
      <c r="CJ270" s="1060" t="n"/>
      <c r="CK270" s="1060" t="n"/>
      <c r="CL270" s="1060" t="n"/>
      <c r="CM270" s="1060" t="n"/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>
        <f>CD272</f>
        <v/>
      </c>
      <c r="CJ272" s="1067">
        <f>CD272</f>
        <v/>
      </c>
      <c r="CK272" s="1067">
        <f>CD272</f>
        <v/>
      </c>
      <c r="CL272" s="1067">
        <f>CD272</f>
        <v/>
      </c>
      <c r="CM272" s="1067">
        <f>CD272</f>
        <v/>
      </c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>
        <f>CD273</f>
        <v/>
      </c>
      <c r="CJ273" s="1067">
        <f>CD273</f>
        <v/>
      </c>
      <c r="CK273" s="1067">
        <f>CD273</f>
        <v/>
      </c>
      <c r="CL273" s="1067">
        <f>CD273</f>
        <v/>
      </c>
      <c r="CM273" s="1067">
        <f>CD273</f>
        <v/>
      </c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>
        <f>CD274</f>
        <v/>
      </c>
      <c r="CJ274" s="1067">
        <f>CD274</f>
        <v/>
      </c>
      <c r="CK274" s="1067">
        <f>CD274</f>
        <v/>
      </c>
      <c r="CL274" s="1067">
        <f>CD274</f>
        <v/>
      </c>
      <c r="CM274" s="1067">
        <f>CD274</f>
        <v/>
      </c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>
        <f>CD275</f>
        <v/>
      </c>
      <c r="CJ275" s="1067">
        <f>CD275</f>
        <v/>
      </c>
      <c r="CK275" s="1067">
        <f>CD275</f>
        <v/>
      </c>
      <c r="CL275" s="1067">
        <f>CD275</f>
        <v/>
      </c>
      <c r="CM275" s="1067">
        <f>CD275</f>
        <v/>
      </c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>
        <f>CD278</f>
        <v/>
      </c>
      <c r="CJ278" s="1067">
        <f>CD278</f>
        <v/>
      </c>
      <c r="CK278" s="1067">
        <f>CD278</f>
        <v/>
      </c>
      <c r="CL278" s="1067">
        <f>CD278</f>
        <v/>
      </c>
      <c r="CM278" s="1067">
        <f>CD278</f>
        <v/>
      </c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>
        <f>CD279</f>
        <v/>
      </c>
      <c r="CJ279" s="1067">
        <f>CD279</f>
        <v/>
      </c>
      <c r="CK279" s="1067">
        <f>CD279</f>
        <v/>
      </c>
      <c r="CL279" s="1067">
        <f>CD279</f>
        <v/>
      </c>
      <c r="CM279" s="1067">
        <f>CD279</f>
        <v/>
      </c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>
        <f>CD281</f>
        <v/>
      </c>
      <c r="CJ281" s="1067">
        <f>CD281</f>
        <v/>
      </c>
      <c r="CK281" s="1067">
        <f>CD281</f>
        <v/>
      </c>
      <c r="CL281" s="1067">
        <f>CD281</f>
        <v/>
      </c>
      <c r="CM281" s="1067">
        <f>CD281</f>
        <v/>
      </c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>
        <f>CD287</f>
        <v/>
      </c>
      <c r="CJ287" s="1067">
        <f>CD287</f>
        <v/>
      </c>
      <c r="CK287" s="1067">
        <f>CD287</f>
        <v/>
      </c>
      <c r="CL287" s="1067">
        <f>CD287</f>
        <v/>
      </c>
      <c r="CM287" s="1067">
        <f>CD287</f>
        <v/>
      </c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>
        <f>CD288</f>
        <v/>
      </c>
      <c r="CJ288" s="1067">
        <f>CD288</f>
        <v/>
      </c>
      <c r="CK288" s="1067">
        <f>CD288</f>
        <v/>
      </c>
      <c r="CL288" s="1067">
        <f>CD288</f>
        <v/>
      </c>
      <c r="CM288" s="1067">
        <f>CD288</f>
        <v/>
      </c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>
        <f>CD289</f>
        <v/>
      </c>
      <c r="CJ289" s="1067">
        <f>CD289</f>
        <v/>
      </c>
      <c r="CK289" s="1067">
        <f>CD289</f>
        <v/>
      </c>
      <c r="CL289" s="1067">
        <f>CD289</f>
        <v/>
      </c>
      <c r="CM289" s="1067">
        <f>CD289</f>
        <v/>
      </c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>
        <f>CD290</f>
        <v/>
      </c>
      <c r="CJ290" s="1067">
        <f>CD290</f>
        <v/>
      </c>
      <c r="CK290" s="1067">
        <f>CD290</f>
        <v/>
      </c>
      <c r="CL290" s="1067">
        <f>CD290</f>
        <v/>
      </c>
      <c r="CM290" s="1067">
        <f>CD290</f>
        <v/>
      </c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>
        <f>CD291</f>
        <v/>
      </c>
      <c r="CJ291" s="1067">
        <f>CD291</f>
        <v/>
      </c>
      <c r="CK291" s="1067">
        <f>CD291</f>
        <v/>
      </c>
      <c r="CL291" s="1067">
        <f>CD291</f>
        <v/>
      </c>
      <c r="CM291" s="1067">
        <f>CD291</f>
        <v/>
      </c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>
        <f>CD294</f>
        <v/>
      </c>
      <c r="CJ294" s="796">
        <f>CD294</f>
        <v/>
      </c>
      <c r="CK294" s="796">
        <f>CD294</f>
        <v/>
      </c>
      <c r="CL294" s="796">
        <f>CD294</f>
        <v/>
      </c>
      <c r="CM294" s="796">
        <f>CD294</f>
        <v/>
      </c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>
        <f>CD299</f>
        <v/>
      </c>
      <c r="CJ299" s="959">
        <f>CD299</f>
        <v/>
      </c>
      <c r="CK299" s="959">
        <f>CD299</f>
        <v/>
      </c>
      <c r="CL299" s="959">
        <f>CD299</f>
        <v/>
      </c>
      <c r="CM299" s="959">
        <f>CD299</f>
        <v/>
      </c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>
        <f>CD302</f>
        <v/>
      </c>
      <c r="CJ302" s="960">
        <f>CD302</f>
        <v/>
      </c>
      <c r="CK302" s="960">
        <f>CD302</f>
        <v/>
      </c>
      <c r="CL302" s="960">
        <f>CD302</f>
        <v/>
      </c>
      <c r="CM302" s="960">
        <f>CD302</f>
        <v/>
      </c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BY126/BY114</f>
        <v/>
      </c>
      <c r="BZ333" s="974" t="n"/>
      <c r="CA333" s="974" t="n"/>
      <c r="CB333" s="974" t="n"/>
      <c r="CC333" s="974" t="n"/>
      <c r="CD333" s="975">
        <f>CD126/CD114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CI126/CI114</f>
        <v/>
      </c>
      <c r="CJ333" s="976">
        <f>CJ126/CJ114</f>
        <v/>
      </c>
      <c r="CK333" s="976">
        <f>CK126/CK114</f>
        <v/>
      </c>
      <c r="CL333" s="976">
        <f>CL126/CL114</f>
        <v/>
      </c>
      <c r="CM333" s="976">
        <f>CM126/CM114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BE126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BJ126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BO126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BT126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BY126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CD126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CI126</f>
        <v/>
      </c>
      <c r="CJ339" s="1078">
        <f>CJ126</f>
        <v/>
      </c>
      <c r="CK339" s="1078">
        <f>CK126</f>
        <v/>
      </c>
      <c r="CL339" s="1078">
        <f>CL126</f>
        <v/>
      </c>
      <c r="CM339" s="1078">
        <f>CM126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BE133</f>
        <v/>
      </c>
      <c r="BF349" s="974" t="n"/>
      <c r="BG349" s="974" t="n"/>
      <c r="BH349" s="974" t="n"/>
      <c r="BI349" s="974" t="n"/>
      <c r="BJ349" s="1076">
        <f>BJ133</f>
        <v/>
      </c>
      <c r="BK349" s="974" t="n"/>
      <c r="BL349" s="974" t="n"/>
      <c r="BM349" s="974" t="n"/>
      <c r="BN349" s="974" t="n"/>
      <c r="BO349" s="1076">
        <f>BO133</f>
        <v/>
      </c>
      <c r="BP349" s="974" t="n"/>
      <c r="BQ349" s="974" t="n"/>
      <c r="BR349" s="974" t="n"/>
      <c r="BS349" s="974" t="n"/>
      <c r="BT349" s="1076">
        <f>BT133</f>
        <v/>
      </c>
      <c r="BU349" s="974" t="n"/>
      <c r="BV349" s="974" t="n"/>
      <c r="BW349" s="974" t="n"/>
      <c r="BX349" s="974" t="n"/>
      <c r="BY349" s="1076">
        <f>BY133</f>
        <v/>
      </c>
      <c r="BZ349" s="974" t="n"/>
      <c r="CA349" s="974" t="n"/>
      <c r="CB349" s="974" t="n"/>
      <c r="CC349" s="974" t="n"/>
      <c r="CD349" s="1076">
        <f>CD133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CI133</f>
        <v/>
      </c>
      <c r="CJ349" s="1078">
        <f>CJ133</f>
        <v/>
      </c>
      <c r="CK349" s="1078">
        <f>CK133</f>
        <v/>
      </c>
      <c r="CL349" s="1078">
        <f>CL133</f>
        <v/>
      </c>
      <c r="CM349" s="1078">
        <f>CM133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>
        <f>DCF!C42</f>
        <v/>
      </c>
      <c r="CE360" s="1088" t="n"/>
      <c r="CF360" s="1088" t="n"/>
      <c r="CG360" s="1088" t="n"/>
      <c r="CH360" s="1088" t="n"/>
      <c r="CI360" s="1089">
        <f>CD360</f>
        <v/>
      </c>
      <c r="CJ360" s="1090">
        <f>CD360</f>
        <v/>
      </c>
      <c r="CK360" s="1090">
        <f>CD360</f>
        <v/>
      </c>
      <c r="CL360" s="1090">
        <f>CD360</f>
        <v/>
      </c>
      <c r="CM360" s="1090">
        <f>CD360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IFERROR(BE360/BE137,"")</f>
        <v/>
      </c>
      <c r="BF371" s="1071" t="n"/>
      <c r="BG371" s="1071" t="n"/>
      <c r="BH371" s="1071" t="n"/>
      <c r="BI371" s="1071" t="n"/>
      <c r="BJ371" s="1091">
        <f>IFERROR(BJ360/BJ137,"")</f>
        <v/>
      </c>
      <c r="BK371" s="1071" t="n"/>
      <c r="BL371" s="1071" t="n"/>
      <c r="BM371" s="1071" t="n"/>
      <c r="BN371" s="1071" t="n"/>
      <c r="BO371" s="1091">
        <f>IFERROR(BO360/BO137,"")</f>
        <v/>
      </c>
      <c r="BP371" s="1071" t="n"/>
      <c r="BQ371" s="1071" t="n"/>
      <c r="BR371" s="1071" t="n"/>
      <c r="BS371" s="1071" t="n"/>
      <c r="BT371" s="1091">
        <f>IFERROR(BT360/BT137,"")</f>
        <v/>
      </c>
      <c r="BU371" s="1071" t="n"/>
      <c r="BV371" s="1071" t="n"/>
      <c r="BW371" s="1071" t="n"/>
      <c r="BX371" s="1071" t="n"/>
      <c r="BY371" s="1091">
        <f>IFERROR(BY360/BY137,"")</f>
        <v/>
      </c>
      <c r="BZ371" s="1071" t="n"/>
      <c r="CA371" s="1071" t="n"/>
      <c r="CB371" s="1071" t="n"/>
      <c r="CC371" s="1071" t="n"/>
      <c r="CD371" s="1091">
        <f>IFERROR(CD360/CD137,"")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IFERROR(CI360/CI137,"")</f>
        <v/>
      </c>
      <c r="CJ371" s="1092">
        <f>IFERROR(CJ360/CJ137,"")</f>
        <v/>
      </c>
      <c r="CK371" s="1092">
        <f>IFERROR(CK360/CK137,"")</f>
        <v/>
      </c>
      <c r="CL371" s="1092">
        <f>IFERROR(CL360/CL137,"")</f>
        <v/>
      </c>
      <c r="CM371" s="1092">
        <f>IFERROR(CM360/CM137,"")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B432" t="inlineStr">
        <is>
          <t>Q1/26 OPERATIONAL BASELINE — disclosed in Q1/26 MD&amp;A (exhibit 99.2 of 6-K filed 2026-04-27)</t>
        </is>
      </c>
      <c r="CK432" s="289" t="n"/>
    </row>
    <row r="433">
      <c r="B433" t="inlineStr">
        <is>
          <t>Three months ended March 31, 2026 vs March 31, 2025. Values as reported by TFI; not annualized.</t>
        </is>
      </c>
      <c r="CK433" s="289" t="n"/>
    </row>
    <row r="434" ht="21.95" customHeight="1">
      <c r="CK434" s="289" t="n"/>
    </row>
    <row r="435">
      <c r="B435" t="inlineStr">
        <is>
          <t>Metric</t>
        </is>
      </c>
      <c r="BT435" t="inlineStr">
        <is>
          <t>Q1/25</t>
        </is>
      </c>
      <c r="BY435" t="inlineStr">
        <is>
          <t>Q1/26</t>
        </is>
      </c>
      <c r="CK435" s="289" t="n"/>
    </row>
    <row r="436">
      <c r="B436" t="inlineStr">
        <is>
          <t>Less-Than-Truckload — Q1 Operational KPIs</t>
        </is>
      </c>
      <c r="CK436" s="289" t="n"/>
    </row>
    <row r="437">
      <c r="B437" t="inlineStr">
        <is>
          <t xml:space="preserve">  Revenue per cwt ex-fuel ($)</t>
        </is>
      </c>
      <c r="BT437" t="n">
        <v>20.16</v>
      </c>
      <c r="BY437" t="n">
        <v>19.68</v>
      </c>
      <c r="CK437" s="289" t="n"/>
    </row>
    <row r="438">
      <c r="B438" t="inlineStr">
        <is>
          <t xml:space="preserve">  Revenue per shipment ex-fuel ($)</t>
        </is>
      </c>
      <c r="BT438" t="n">
        <v>310.07</v>
      </c>
      <c r="BY438" t="n">
        <v>303.36</v>
      </c>
      <c r="CK438" s="289" t="n"/>
    </row>
    <row r="439" ht="21.95" customHeight="1">
      <c r="B439" t="inlineStr">
        <is>
          <t xml:space="preserve">  Revenue per cwt incl fuel ($)</t>
        </is>
      </c>
      <c r="BT439" t="n">
        <v>24.24</v>
      </c>
      <c r="BY439" t="n">
        <v>24.04</v>
      </c>
      <c r="CK439" s="289" t="n"/>
    </row>
    <row r="440">
      <c r="B440" t="inlineStr">
        <is>
          <t xml:space="preserve">  Revenue per shipment incl fuel ($)</t>
        </is>
      </c>
      <c r="BT440" t="n">
        <v>373.28</v>
      </c>
      <c r="BY440" t="n">
        <v>370.64</v>
      </c>
    </row>
    <row r="441">
      <c r="B441" t="inlineStr">
        <is>
          <t xml:space="preserve">  Tonnage (thousands of tons)</t>
        </is>
      </c>
      <c r="BT441" t="n">
        <v>1351</v>
      </c>
      <c r="BY441" t="n">
        <v>1342</v>
      </c>
    </row>
    <row r="442">
      <c r="B442" t="inlineStr">
        <is>
          <t xml:space="preserve">  Shipments (thousands)</t>
        </is>
      </c>
      <c r="BT442" t="n">
        <v>1757</v>
      </c>
      <c r="BY442" t="n">
        <v>1741</v>
      </c>
    </row>
    <row r="443">
      <c r="B443" t="inlineStr">
        <is>
          <t xml:space="preserve">  Avg weight per shipment (lbs)</t>
        </is>
      </c>
      <c r="BT443" t="n">
        <v>1538</v>
      </c>
      <c r="BY443" t="n">
        <v>1542</v>
      </c>
    </row>
    <row r="444">
      <c r="B444" t="inlineStr">
        <is>
          <t xml:space="preserve">  Avg length of haul (miles)</t>
        </is>
      </c>
      <c r="BT444" t="n">
        <v>1069</v>
      </c>
      <c r="BY444" t="n">
        <v>1064</v>
      </c>
    </row>
    <row r="445">
      <c r="B445" t="inlineStr">
        <is>
          <t xml:space="preserve">  Packages (thousands, P&amp;C ops)</t>
        </is>
      </c>
      <c r="BT445" t="n">
        <v>16633</v>
      </c>
      <c r="BY445" t="n">
        <v>15667</v>
      </c>
    </row>
    <row r="446">
      <c r="B446" t="inlineStr">
        <is>
          <t xml:space="preserve">  Avg weight per package (lbs, P&amp;C)</t>
        </is>
      </c>
      <c r="BT446" t="n">
        <v>13.59</v>
      </c>
      <c r="BY446" t="n">
        <v>15.06</v>
      </c>
    </row>
    <row r="447">
      <c r="B447" t="inlineStr">
        <is>
          <t xml:space="preserve">  Cargo claims (% revenue)</t>
        </is>
      </c>
      <c r="BT447" t="n">
        <v>0.006</v>
      </c>
      <c r="BY447" t="n">
        <v>0.006</v>
      </c>
    </row>
    <row r="448">
      <c r="B448" t="inlineStr">
        <is>
          <t xml:space="preserve">  Vehicle count, average</t>
        </is>
      </c>
      <c r="BT448" t="n">
        <v>6174</v>
      </c>
      <c r="BY448" t="n">
        <v>5627</v>
      </c>
    </row>
    <row r="449">
      <c r="B449" t="inlineStr">
        <is>
          <t xml:space="preserve">  Truck age (years)</t>
        </is>
      </c>
      <c r="BT449" t="n">
        <v>4.3</v>
      </c>
      <c r="BY449" t="n">
        <v>4.3</v>
      </c>
    </row>
    <row r="450">
      <c r="B450" t="inlineStr">
        <is>
          <t xml:space="preserve">  Business days</t>
        </is>
      </c>
      <c r="BT450" t="n">
        <v>63</v>
      </c>
      <c r="BY450" t="n">
        <v>63</v>
      </c>
    </row>
    <row r="451">
      <c r="B451" t="inlineStr">
        <is>
          <t xml:space="preserve">  Adjusted Operating Ratio (%)</t>
        </is>
      </c>
      <c r="BT451" t="n">
        <v>0.931</v>
      </c>
      <c r="BY451" t="n">
        <v>0.953</v>
      </c>
    </row>
    <row r="452">
      <c r="B452" t="inlineStr">
        <is>
          <t xml:space="preserve">  Return on invested capital (%)</t>
        </is>
      </c>
      <c r="BT452" t="n">
        <v>0.144</v>
      </c>
      <c r="BY452" t="n">
        <v>0.116</v>
      </c>
    </row>
    <row r="454">
      <c r="B454" t="inlineStr">
        <is>
          <t>Truckload — Q1 Operational KPIs</t>
        </is>
      </c>
    </row>
    <row r="455">
      <c r="B455" t="inlineStr">
        <is>
          <t xml:space="preserve">  Adjusted operating ratio (%)</t>
        </is>
      </c>
      <c r="BT455" t="n">
        <v>0.9370000000000001</v>
      </c>
      <c r="BY455" t="n">
        <v>0.927</v>
      </c>
    </row>
    <row r="456">
      <c r="B456" t="inlineStr">
        <is>
          <t xml:space="preserve">  Trucking revenue ex-fuel ($ thousands)</t>
        </is>
      </c>
      <c r="BT456" t="n">
        <v>533372</v>
      </c>
      <c r="BY456" t="n">
        <v>533836</v>
      </c>
    </row>
    <row r="457">
      <c r="B457" t="inlineStr">
        <is>
          <t xml:space="preserve">  Brokerage revenue ($ thousands)</t>
        </is>
      </c>
      <c r="BT457" t="n">
        <v>129484</v>
      </c>
      <c r="BY457" t="n">
        <v>138915</v>
      </c>
    </row>
    <row r="458">
      <c r="B458" t="inlineStr">
        <is>
          <t xml:space="preserve">  Revenue per truck per week ex-fuel ($)</t>
        </is>
      </c>
      <c r="BT458" t="n">
        <v>4044</v>
      </c>
      <c r="BY458" t="n">
        <v>4390</v>
      </c>
    </row>
    <row r="459">
      <c r="B459" t="inlineStr">
        <is>
          <t xml:space="preserve">  Revenue per truck per week incl fuel ($)</t>
        </is>
      </c>
      <c r="BT459" t="n">
        <v>4753</v>
      </c>
      <c r="BW459" s="305" t="n"/>
      <c r="BY459" t="n">
        <v>5141</v>
      </c>
    </row>
    <row r="460">
      <c r="B460" t="inlineStr">
        <is>
          <t xml:space="preserve">  Truck count, average</t>
        </is>
      </c>
      <c r="BT460" t="n">
        <v>7469</v>
      </c>
      <c r="BW460" s="305" t="n"/>
      <c r="BY460" t="n">
        <v>6939</v>
      </c>
    </row>
    <row r="461">
      <c r="B461" t="inlineStr">
        <is>
          <t xml:space="preserve">  Trailer count, average</t>
        </is>
      </c>
      <c r="BT461" t="n">
        <v>23261</v>
      </c>
      <c r="BW461" s="305" t="n"/>
      <c r="BY461" t="n">
        <v>21298</v>
      </c>
    </row>
    <row r="462">
      <c r="B462" t="inlineStr">
        <is>
          <t xml:space="preserve">  Truck age (years)</t>
        </is>
      </c>
      <c r="BT462" t="n">
        <v>3.2</v>
      </c>
      <c r="BW462" s="305" t="n"/>
      <c r="BY462" t="n">
        <v>3.2</v>
      </c>
    </row>
    <row r="463">
      <c r="B463" t="inlineStr">
        <is>
          <t xml:space="preserve">  Trailer age (years)</t>
        </is>
      </c>
      <c r="BT463" t="n">
        <v>10.8</v>
      </c>
      <c r="BW463" s="305" t="n"/>
      <c r="BY463" t="n">
        <v>11.3</v>
      </c>
    </row>
    <row r="464">
      <c r="B464" t="inlineStr">
        <is>
          <t xml:space="preserve">  Number of owner operators, average</t>
        </is>
      </c>
      <c r="BT464" t="n">
        <v>2661</v>
      </c>
      <c r="BW464" s="305" t="n"/>
      <c r="BY464" t="n">
        <v>2415</v>
      </c>
    </row>
    <row r="465">
      <c r="B465" t="inlineStr">
        <is>
          <t xml:space="preserve">  Return on invested capital (%)</t>
        </is>
      </c>
      <c r="BT465" t="n">
        <v>0.067</v>
      </c>
      <c r="BW465" s="305" t="n"/>
      <c r="BY465" t="n">
        <v>0.06</v>
      </c>
    </row>
    <row r="466">
      <c r="BW466" s="305" t="n"/>
    </row>
    <row r="467">
      <c r="B467" t="inlineStr">
        <is>
          <t>Logistics — Q1 Operational KPIs</t>
        </is>
      </c>
      <c r="BW467" s="305" t="n"/>
    </row>
    <row r="468">
      <c r="B468" t="inlineStr">
        <is>
          <t xml:space="preserve">  Operating margin (%)</t>
        </is>
      </c>
      <c r="BT468" t="n">
        <v>0.081</v>
      </c>
      <c r="BW468" s="305" t="n"/>
      <c r="BY468" t="n">
        <v>0.089</v>
      </c>
    </row>
    <row r="469">
      <c r="B469" t="inlineStr">
        <is>
          <t xml:space="preserve">  Adjusted EBITDA margin (%)</t>
        </is>
      </c>
      <c r="BT469" t="n">
        <v>0.122</v>
      </c>
      <c r="BW469" s="305" t="n"/>
      <c r="BY469" t="n">
        <v>0.141</v>
      </c>
    </row>
    <row r="470">
      <c r="B470" t="inlineStr">
        <is>
          <t xml:space="preserve">  Return on invested capital (%)</t>
        </is>
      </c>
      <c r="BT470" t="n">
        <v>0.17</v>
      </c>
      <c r="BW470" s="305" t="n"/>
      <c r="BY470" t="n">
        <v>0.124</v>
      </c>
    </row>
    <row r="471">
      <c r="B471" t="inlineStr">
        <is>
          <t xml:space="preserve">  US share of segment revenue (%)</t>
        </is>
      </c>
      <c r="BT471" t="n">
        <v>0.83</v>
      </c>
      <c r="BW471" s="305" t="n"/>
      <c r="BY471" t="n">
        <v>0.8100000000000001</v>
      </c>
    </row>
    <row r="472">
      <c r="B472" t="inlineStr">
        <is>
          <t xml:space="preserve">  Canada share of segment revenue (%)</t>
        </is>
      </c>
      <c r="BT472" t="n">
        <v>0.17</v>
      </c>
      <c r="BW472" s="305" t="n"/>
      <c r="BY472" t="n">
        <v>0.19</v>
      </c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488" t="inlineStr">
        <is>
          <t>OPERATIONAL DRIVER FORECAST (FY26E-FY30E) — volume × yield → Sales y/y%</t>
        </is>
      </c>
      <c r="BW488" s="305" t="n"/>
    </row>
    <row r="489">
      <c r="B489" t="inlineStr">
        <is>
          <t>Per segment × scenario. Implied Sales y/y% = (1+volume)(1+yield)-1. Feeds the scenario assumption table at CT57:CY85, which drives the current-block segment forecast at columns CI-CM.</t>
        </is>
      </c>
      <c r="BW489" s="305" t="n"/>
    </row>
    <row r="491">
      <c r="B491" t="inlineStr">
        <is>
          <t>Driver</t>
        </is>
      </c>
      <c r="C491" t="inlineStr">
        <is>
          <t>FY26E</t>
        </is>
      </c>
      <c r="D491" t="inlineStr">
        <is>
          <t>FY27E</t>
        </is>
      </c>
      <c r="E491" t="inlineStr">
        <is>
          <t>FY28E</t>
        </is>
      </c>
      <c r="F491" t="inlineStr">
        <is>
          <t>FY29E</t>
        </is>
      </c>
      <c r="G491" t="inlineStr">
        <is>
          <t>FY30E</t>
        </is>
      </c>
    </row>
    <row r="492">
      <c r="B492" t="inlineStr">
        <is>
          <t>Less-Than-Truckload</t>
        </is>
      </c>
    </row>
    <row r="493">
      <c r="B493" t="inlineStr">
        <is>
          <t xml:space="preserve">  Base case</t>
        </is>
      </c>
    </row>
    <row r="494">
      <c r="B494" t="inlineStr">
        <is>
          <t xml:space="preserve">    Volume y/y %</t>
        </is>
      </c>
      <c r="C494" t="n">
        <v>-0.01</v>
      </c>
      <c r="D494" t="n">
        <v>0.015</v>
      </c>
      <c r="E494" t="n">
        <v>0.025</v>
      </c>
      <c r="F494" t="n">
        <v>0.025</v>
      </c>
      <c r="G494" t="n">
        <v>0.02</v>
      </c>
    </row>
    <row r="495">
      <c r="B495" t="inlineStr">
        <is>
          <t xml:space="preserve">    Yield y/y %</t>
        </is>
      </c>
      <c r="C495" t="n">
        <v>-0.01</v>
      </c>
      <c r="D495" t="n">
        <v>0.02</v>
      </c>
      <c r="E495" t="n">
        <v>0.025</v>
      </c>
      <c r="F495" t="n">
        <v>0.025</v>
      </c>
      <c r="G495" t="n">
        <v>0.025</v>
      </c>
    </row>
    <row r="496">
      <c r="B496" t="inlineStr">
        <is>
          <t xml:space="preserve">    Implied Sales y/y %</t>
        </is>
      </c>
      <c r="C496">
        <f>(1+C494)*(1+C495)-1</f>
        <v/>
      </c>
      <c r="D496">
        <f>(1+D494)*(1+D495)-1</f>
        <v/>
      </c>
      <c r="E496">
        <f>(1+E494)*(1+E495)-1</f>
        <v/>
      </c>
      <c r="F496">
        <f>(1+F494)*(1+F495)-1</f>
        <v/>
      </c>
      <c r="G496">
        <f>(1+G494)*(1+G495)-1</f>
        <v/>
      </c>
    </row>
    <row r="497">
      <c r="B497" t="inlineStr">
        <is>
          <t xml:space="preserve">    EBIT margin %</t>
        </is>
      </c>
      <c r="C497" t="n">
        <v>0.06</v>
      </c>
      <c r="D497" t="n">
        <v>0.09</v>
      </c>
      <c r="E497" t="n">
        <v>0.115</v>
      </c>
      <c r="F497" t="n">
        <v>0.135</v>
      </c>
      <c r="G497" t="n">
        <v>0.15</v>
      </c>
    </row>
    <row r="498">
      <c r="B498" t="inlineStr">
        <is>
          <t xml:space="preserve">  Bull case</t>
        </is>
      </c>
    </row>
    <row r="499">
      <c r="B499" t="inlineStr">
        <is>
          <t xml:space="preserve">    Volume y/y %</t>
        </is>
      </c>
      <c r="C499" t="n">
        <v>0.02</v>
      </c>
      <c r="D499" t="n">
        <v>0.04</v>
      </c>
      <c r="E499" t="n">
        <v>0.04</v>
      </c>
      <c r="F499" t="n">
        <v>0.035</v>
      </c>
      <c r="G499" t="n">
        <v>0.03</v>
      </c>
    </row>
    <row r="500">
      <c r="B500" t="inlineStr">
        <is>
          <t xml:space="preserve">    Yield y/y %</t>
        </is>
      </c>
      <c r="C500" t="n">
        <v>0.01</v>
      </c>
      <c r="D500" t="n">
        <v>0.035</v>
      </c>
      <c r="E500" t="n">
        <v>0.04</v>
      </c>
      <c r="F500" t="n">
        <v>0.035</v>
      </c>
      <c r="G500" t="n">
        <v>0.03</v>
      </c>
    </row>
    <row r="501">
      <c r="B501" t="inlineStr">
        <is>
          <t xml:space="preserve">    Implied Sales y/y %</t>
        </is>
      </c>
      <c r="C501">
        <f>(1+C499)*(1+C500)-1</f>
        <v/>
      </c>
      <c r="D501">
        <f>(1+D499)*(1+D500)-1</f>
        <v/>
      </c>
      <c r="E501">
        <f>(1+E499)*(1+E500)-1</f>
        <v/>
      </c>
      <c r="F501">
        <f>(1+F499)*(1+F500)-1</f>
        <v/>
      </c>
      <c r="G501">
        <f>(1+G499)*(1+G500)-1</f>
        <v/>
      </c>
    </row>
    <row r="502">
      <c r="B502" t="inlineStr">
        <is>
          <t xml:space="preserve">    EBIT margin %</t>
        </is>
      </c>
      <c r="C502" t="n">
        <v>0.08500000000000001</v>
      </c>
      <c r="D502" t="n">
        <v>0.115</v>
      </c>
      <c r="E502" t="n">
        <v>0.14</v>
      </c>
      <c r="F502" t="n">
        <v>0.15</v>
      </c>
      <c r="G502" t="n">
        <v>0.155</v>
      </c>
    </row>
    <row r="503">
      <c r="B503" t="inlineStr">
        <is>
          <t xml:space="preserve">  Bear case</t>
        </is>
      </c>
    </row>
    <row r="504">
      <c r="B504" t="inlineStr">
        <is>
          <t xml:space="preserve">    Volume y/y %</t>
        </is>
      </c>
      <c r="C504" t="n">
        <v>-0.04</v>
      </c>
      <c r="D504" t="n">
        <v>-0.01</v>
      </c>
      <c r="E504" t="n">
        <v>0.005</v>
      </c>
      <c r="F504" t="n">
        <v>0.015</v>
      </c>
      <c r="G504" t="n">
        <v>0.02</v>
      </c>
    </row>
    <row r="505">
      <c r="B505" t="inlineStr">
        <is>
          <t xml:space="preserve">    Yield y/y %</t>
        </is>
      </c>
      <c r="C505" t="n">
        <v>-0.03</v>
      </c>
      <c r="D505" t="n">
        <v>-0.005</v>
      </c>
      <c r="E505" t="n">
        <v>0.01</v>
      </c>
      <c r="F505" t="n">
        <v>0.02</v>
      </c>
      <c r="G505" t="n">
        <v>0.02</v>
      </c>
    </row>
    <row r="506">
      <c r="B506" t="inlineStr">
        <is>
          <t xml:space="preserve">    Implied Sales y/y %</t>
        </is>
      </c>
      <c r="C506">
        <f>(1+C504)*(1+C505)-1</f>
        <v/>
      </c>
      <c r="D506">
        <f>(1+D504)*(1+D505)-1</f>
        <v/>
      </c>
      <c r="E506">
        <f>(1+E504)*(1+E505)-1</f>
        <v/>
      </c>
      <c r="F506">
        <f>(1+F504)*(1+F505)-1</f>
        <v/>
      </c>
      <c r="G506">
        <f>(1+G504)*(1+G505)-1</f>
        <v/>
      </c>
    </row>
    <row r="507">
      <c r="B507" t="inlineStr">
        <is>
          <t xml:space="preserve">    EBIT margin %</t>
        </is>
      </c>
      <c r="C507" t="n">
        <v>0.04</v>
      </c>
      <c r="D507" t="n">
        <v>0.045</v>
      </c>
      <c r="E507" t="n">
        <v>0.055</v>
      </c>
      <c r="F507" t="n">
        <v>0.07000000000000001</v>
      </c>
      <c r="G507" t="n">
        <v>0.08500000000000001</v>
      </c>
    </row>
    <row r="509">
      <c r="B509" t="inlineStr">
        <is>
          <t>Truckload</t>
        </is>
      </c>
    </row>
    <row r="510">
      <c r="B510" t="inlineStr">
        <is>
          <t xml:space="preserve">  Base case</t>
        </is>
      </c>
    </row>
    <row r="511">
      <c r="B511" t="inlineStr">
        <is>
          <t xml:space="preserve">    Volume y/y %</t>
        </is>
      </c>
      <c r="C511" t="n">
        <v>-0.03</v>
      </c>
      <c r="D511" t="n">
        <v>0</v>
      </c>
      <c r="E511" t="n">
        <v>0.015</v>
      </c>
      <c r="F511" t="n">
        <v>0.02</v>
      </c>
      <c r="G511" t="n">
        <v>0.02</v>
      </c>
    </row>
    <row r="512">
      <c r="B512" t="inlineStr">
        <is>
          <t xml:space="preserve">    Yield y/y %</t>
        </is>
      </c>
      <c r="C512" t="n">
        <v>0.05</v>
      </c>
      <c r="D512" t="n">
        <v>0.035</v>
      </c>
      <c r="E512" t="n">
        <v>0.03</v>
      </c>
      <c r="F512" t="n">
        <v>0.025</v>
      </c>
      <c r="G512" t="n">
        <v>0.025</v>
      </c>
    </row>
    <row r="513">
      <c r="B513" t="inlineStr">
        <is>
          <t xml:space="preserve">    Implied Sales y/y %</t>
        </is>
      </c>
      <c r="C513">
        <f>(1+C511)*(1+C512)-1</f>
        <v/>
      </c>
      <c r="D513">
        <f>(1+D511)*(1+D512)-1</f>
        <v/>
      </c>
      <c r="E513">
        <f>(1+E511)*(1+E512)-1</f>
        <v/>
      </c>
      <c r="F513">
        <f>(1+F511)*(1+F512)-1</f>
        <v/>
      </c>
      <c r="G513">
        <f>(1+G511)*(1+G512)-1</f>
        <v/>
      </c>
    </row>
    <row r="514">
      <c r="B514" t="inlineStr">
        <is>
          <t xml:space="preserve">    EBIT margin %</t>
        </is>
      </c>
      <c r="C514" t="n">
        <v>0.09</v>
      </c>
      <c r="D514" t="n">
        <v>0.1</v>
      </c>
      <c r="E514" t="n">
        <v>0.11</v>
      </c>
      <c r="F514" t="n">
        <v>0.115</v>
      </c>
      <c r="G514" t="n">
        <v>0.12</v>
      </c>
    </row>
    <row r="515">
      <c r="B515" t="inlineStr">
        <is>
          <t xml:space="preserve">  Bull case</t>
        </is>
      </c>
    </row>
    <row r="516">
      <c r="B516" t="inlineStr">
        <is>
          <t xml:space="preserve">    Volume y/y %</t>
        </is>
      </c>
      <c r="C516" t="n">
        <v>0</v>
      </c>
      <c r="D516" t="n">
        <v>0.02</v>
      </c>
      <c r="E516" t="n">
        <v>0.03</v>
      </c>
      <c r="F516" t="n">
        <v>0.03</v>
      </c>
      <c r="G516" t="n">
        <v>0.025</v>
      </c>
    </row>
    <row r="517">
      <c r="B517" t="inlineStr">
        <is>
          <t xml:space="preserve">    Yield y/y %</t>
        </is>
      </c>
      <c r="C517" t="n">
        <v>0.07000000000000001</v>
      </c>
      <c r="D517" t="n">
        <v>0.05</v>
      </c>
      <c r="E517" t="n">
        <v>0.04</v>
      </c>
      <c r="F517" t="n">
        <v>0.035</v>
      </c>
      <c r="G517" t="n">
        <v>0.03</v>
      </c>
    </row>
    <row r="518">
      <c r="B518" t="inlineStr">
        <is>
          <t xml:space="preserve">    Implied Sales y/y %</t>
        </is>
      </c>
      <c r="C518">
        <f>(1+C516)*(1+C517)-1</f>
        <v/>
      </c>
      <c r="D518">
        <f>(1+D516)*(1+D517)-1</f>
        <v/>
      </c>
      <c r="E518">
        <f>(1+E516)*(1+E517)-1</f>
        <v/>
      </c>
      <c r="F518">
        <f>(1+F516)*(1+F517)-1</f>
        <v/>
      </c>
      <c r="G518">
        <f>(1+G516)*(1+G517)-1</f>
        <v/>
      </c>
    </row>
    <row r="519">
      <c r="B519" t="inlineStr">
        <is>
          <t xml:space="preserve">    EBIT margin %</t>
        </is>
      </c>
      <c r="C519" t="n">
        <v>0.11</v>
      </c>
      <c r="D519" t="n">
        <v>0.12</v>
      </c>
      <c r="E519" t="n">
        <v>0.13</v>
      </c>
      <c r="F519" t="n">
        <v>0.13</v>
      </c>
      <c r="G519" t="n">
        <v>0.13</v>
      </c>
    </row>
    <row r="520">
      <c r="B520" t="inlineStr">
        <is>
          <t xml:space="preserve">  Bear case</t>
        </is>
      </c>
    </row>
    <row r="521">
      <c r="B521" t="inlineStr">
        <is>
          <t xml:space="preserve">    Volume y/y %</t>
        </is>
      </c>
      <c r="C521" t="n">
        <v>-0.05</v>
      </c>
      <c r="D521" t="n">
        <v>-0.02</v>
      </c>
      <c r="E521" t="n">
        <v>0</v>
      </c>
      <c r="F521" t="n">
        <v>0.01</v>
      </c>
      <c r="G521" t="n">
        <v>0.01</v>
      </c>
    </row>
    <row r="522">
      <c r="B522" t="inlineStr">
        <is>
          <t xml:space="preserve">    Yield y/y %</t>
        </is>
      </c>
      <c r="C522" t="n">
        <v>0.02</v>
      </c>
      <c r="D522" t="n">
        <v>0.01</v>
      </c>
      <c r="E522" t="n">
        <v>0.01</v>
      </c>
      <c r="F522" t="n">
        <v>0.015</v>
      </c>
      <c r="G522" t="n">
        <v>0.02</v>
      </c>
    </row>
    <row r="523">
      <c r="B523" t="inlineStr">
        <is>
          <t xml:space="preserve">    Implied Sales y/y %</t>
        </is>
      </c>
      <c r="C523">
        <f>(1+C521)*(1+C522)-1</f>
        <v/>
      </c>
      <c r="D523">
        <f>(1+D521)*(1+D522)-1</f>
        <v/>
      </c>
      <c r="E523">
        <f>(1+E521)*(1+E522)-1</f>
        <v/>
      </c>
      <c r="F523">
        <f>(1+F521)*(1+F522)-1</f>
        <v/>
      </c>
      <c r="G523">
        <f>(1+G521)*(1+G522)-1</f>
        <v/>
      </c>
    </row>
    <row r="524">
      <c r="B524" t="inlineStr">
        <is>
          <t xml:space="preserve">    EBIT margin %</t>
        </is>
      </c>
      <c r="C524" t="n">
        <v>0.07000000000000001</v>
      </c>
      <c r="D524" t="n">
        <v>0.07000000000000001</v>
      </c>
      <c r="E524" t="n">
        <v>0.08</v>
      </c>
      <c r="F524" t="n">
        <v>0.09</v>
      </c>
      <c r="G524" t="n">
        <v>0.09</v>
      </c>
    </row>
    <row r="526">
      <c r="B526" t="inlineStr">
        <is>
          <t>Logistics</t>
        </is>
      </c>
    </row>
    <row r="527">
      <c r="B527" t="inlineStr">
        <is>
          <t xml:space="preserve">  Base case</t>
        </is>
      </c>
    </row>
    <row r="528">
      <c r="B528" t="inlineStr">
        <is>
          <t xml:space="preserve">    Volume y/y %</t>
        </is>
      </c>
      <c r="C528" t="n">
        <v>0.03</v>
      </c>
      <c r="D528" t="n">
        <v>0.045</v>
      </c>
      <c r="E528" t="n">
        <v>0.05</v>
      </c>
      <c r="F528" t="n">
        <v>0.045</v>
      </c>
      <c r="G528" t="n">
        <v>0.04</v>
      </c>
    </row>
    <row r="529">
      <c r="B529" t="inlineStr">
        <is>
          <t xml:space="preserve">    Yield y/y %</t>
        </is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B530" t="inlineStr">
        <is>
          <t xml:space="preserve">    Implied Sales y/y %</t>
        </is>
      </c>
      <c r="C530">
        <f>(1+C528)*(1+C529)-1</f>
        <v/>
      </c>
      <c r="D530">
        <f>(1+D528)*(1+D529)-1</f>
        <v/>
      </c>
      <c r="E530">
        <f>(1+E528)*(1+E529)-1</f>
        <v/>
      </c>
      <c r="F530">
        <f>(1+F528)*(1+F529)-1</f>
        <v/>
      </c>
      <c r="G530">
        <f>(1+G528)*(1+G529)-1</f>
        <v/>
      </c>
    </row>
    <row r="531">
      <c r="B531" t="inlineStr">
        <is>
          <t xml:space="preserve">    EBIT margin %</t>
        </is>
      </c>
      <c r="C531" t="n">
        <v>0.09</v>
      </c>
      <c r="D531" t="n">
        <v>0.095</v>
      </c>
      <c r="E531" t="n">
        <v>0.1</v>
      </c>
      <c r="F531" t="n">
        <v>0.1</v>
      </c>
      <c r="G531" t="n">
        <v>0.1</v>
      </c>
    </row>
    <row r="532">
      <c r="B532" t="inlineStr">
        <is>
          <t xml:space="preserve">  Bull case</t>
        </is>
      </c>
    </row>
    <row r="533">
      <c r="B533" t="inlineStr">
        <is>
          <t xml:space="preserve">    Volume y/y %</t>
        </is>
      </c>
      <c r="C533" t="n">
        <v>0.05</v>
      </c>
      <c r="D533" t="n">
        <v>0.07000000000000001</v>
      </c>
      <c r="E533" t="n">
        <v>0.07000000000000001</v>
      </c>
      <c r="F533" t="n">
        <v>0.06</v>
      </c>
      <c r="G533" t="n">
        <v>0.05</v>
      </c>
    </row>
    <row r="534">
      <c r="B534" t="inlineStr">
        <is>
          <t xml:space="preserve">    Yield y/y %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</row>
    <row r="535">
      <c r="B535" t="inlineStr">
        <is>
          <t xml:space="preserve">    Implied Sales y/y %</t>
        </is>
      </c>
      <c r="C535">
        <f>(1+C533)*(1+C534)-1</f>
        <v/>
      </c>
      <c r="D535">
        <f>(1+D533)*(1+D534)-1</f>
        <v/>
      </c>
      <c r="E535">
        <f>(1+E533)*(1+E534)-1</f>
        <v/>
      </c>
      <c r="F535">
        <f>(1+F533)*(1+F534)-1</f>
        <v/>
      </c>
      <c r="G535">
        <f>(1+G533)*(1+G534)-1</f>
        <v/>
      </c>
    </row>
    <row r="536">
      <c r="B536" t="inlineStr">
        <is>
          <t xml:space="preserve">    EBIT margin %</t>
        </is>
      </c>
      <c r="C536" t="n">
        <v>0.1</v>
      </c>
      <c r="D536" t="n">
        <v>0.11</v>
      </c>
      <c r="E536" t="n">
        <v>0.12</v>
      </c>
      <c r="F536" t="n">
        <v>0.12</v>
      </c>
      <c r="G536" t="n">
        <v>0.12</v>
      </c>
    </row>
    <row r="537">
      <c r="B537" t="inlineStr">
        <is>
          <t xml:space="preserve">  Bear case</t>
        </is>
      </c>
    </row>
    <row r="538">
      <c r="B538" t="inlineStr">
        <is>
          <t xml:space="preserve">    Volume y/y %</t>
        </is>
      </c>
      <c r="C538" t="n">
        <v>0</v>
      </c>
      <c r="D538" t="n">
        <v>0.01</v>
      </c>
      <c r="E538" t="n">
        <v>0.02</v>
      </c>
      <c r="F538" t="n">
        <v>0.03</v>
      </c>
      <c r="G538" t="n">
        <v>0.03</v>
      </c>
    </row>
    <row r="539">
      <c r="B539" t="inlineStr">
        <is>
          <t xml:space="preserve">    Yield y/y %</t>
        </is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B540" t="inlineStr">
        <is>
          <t xml:space="preserve">    Implied Sales y/y %</t>
        </is>
      </c>
      <c r="C540">
        <f>(1+C538)*(1+C539)-1</f>
        <v/>
      </c>
      <c r="D540">
        <f>(1+D538)*(1+D539)-1</f>
        <v/>
      </c>
      <c r="E540">
        <f>(1+E538)*(1+E539)-1</f>
        <v/>
      </c>
      <c r="F540">
        <f>(1+F538)*(1+F539)-1</f>
        <v/>
      </c>
      <c r="G540">
        <f>(1+G538)*(1+G539)-1</f>
        <v/>
      </c>
    </row>
    <row r="541">
      <c r="B541" t="inlineStr">
        <is>
          <t xml:space="preserve">    EBIT margin %</t>
        </is>
      </c>
      <c r="C541" t="n">
        <v>0.07000000000000001</v>
      </c>
      <c r="D541" t="n">
        <v>0.075</v>
      </c>
      <c r="E541" t="n">
        <v>0.08</v>
      </c>
      <c r="F541" t="n">
        <v>0.08</v>
      </c>
      <c r="G541" t="n">
        <v>0.08</v>
      </c>
    </row>
    <row r="552">
      <c r="B552" t="inlineStr">
        <is>
          <t>LT MARGIN ANCHORS — used as BASE-case end-period margin and BULL ceiling</t>
        </is>
      </c>
    </row>
    <row r="553">
      <c r="B553" t="inlineStr">
        <is>
          <t>CAVEAT: TFI's Q1/26 EDGAR filings (press release + MD&amp;A) do NOT contain explicit numeric LT margin targets per segment. Targets below are management's publicly-stated multi-year goals from prior calls. They should be validated against the Q1/26 call recording / transcript.</t>
        </is>
      </c>
    </row>
    <row r="555">
      <c r="B555" t="inlineStr">
        <is>
          <t>Segment</t>
        </is>
      </c>
      <c r="C555" t="inlineStr">
        <is>
          <t>LT op margin %</t>
        </is>
      </c>
      <c r="D555" t="inlineStr">
        <is>
          <t>Source / caveat</t>
        </is>
      </c>
    </row>
    <row r="556">
      <c r="B556" t="inlineStr">
        <is>
          <t>Less-Than-Truckload</t>
        </is>
      </c>
      <c r="C556" t="n">
        <v>0.15</v>
      </c>
      <c r="D556" t="inlineStr">
        <is>
          <t>Bedard's long-term Adj OR 85% goal (= 15% op margin). Q1/26 actual 4.7%.</t>
        </is>
      </c>
    </row>
    <row r="557">
      <c r="B557" t="inlineStr">
        <is>
          <t>Truckload</t>
        </is>
      </c>
      <c r="C557" t="n">
        <v>0.12</v>
      </c>
      <c r="D557" t="inlineStr">
        <is>
          <t>Mid-cycle Adj OR target ~88% (= 12% op margin). Q1/26 actual 8.3%.</t>
        </is>
      </c>
    </row>
    <row r="558">
      <c r="B558" t="inlineStr">
        <is>
          <t>Logistics</t>
        </is>
      </c>
      <c r="C558" t="n">
        <v>0.09</v>
      </c>
      <c r="D558" t="inlineStr">
        <is>
          <t>Asset-light double-digit goal. Q1/26 actual 8.9%, near target.</t>
        </is>
      </c>
    </row>
    <row r="580">
      <c r="B580" t="inlineStr">
        <is>
          <t>FX REFERENCE — CAD per USD annual averages (Bank of Canada)</t>
        </is>
      </c>
    </row>
    <row r="581">
      <c r="B581" t="inlineStr">
        <is>
          <t>Series IEXE0101 (noon rate, 2011-2017) stitched with FXUSDCAD (daily avg, 2017+). To convert a CAD figure to USD, divide by the rate for that fiscal year.</t>
        </is>
      </c>
    </row>
    <row r="582">
      <c r="B582" t="inlineStr">
        <is>
          <t>NOTE: TFI switched to USD reporting in the FY20 40-F. Pre-FY20 data on SEDAR is in CAD. SEDAR hosts (sedarplus.ca, sedar.com) are blocked by the egress allowlist in this environment, so FY11-FY18 historical figures must be entered manually. The rates below let you normalize any such entries to USD.</t>
        </is>
      </c>
    </row>
    <row r="584">
      <c r="B584" t="inlineStr">
        <is>
          <t>Fiscal year</t>
        </is>
      </c>
      <c r="C584" t="inlineStr">
        <is>
          <t>CAD/USD (annual avg)</t>
        </is>
      </c>
      <c r="D584" t="inlineStr">
        <is>
          <t>Source</t>
        </is>
      </c>
    </row>
    <row r="585">
      <c r="B585" t="n">
        <v>2011</v>
      </c>
      <c r="C585" t="n">
        <v>0.9890692000000001</v>
      </c>
      <c r="D585" t="inlineStr">
        <is>
          <t>BoC IEXE0101 (noon, deprecated)</t>
        </is>
      </c>
    </row>
    <row r="586">
      <c r="B586" t="n">
        <v>2012</v>
      </c>
      <c r="C586" t="n">
        <v>0.9995800796812746</v>
      </c>
      <c r="D586" t="inlineStr">
        <is>
          <t>BoC IEXE0101 (noon, deprecated)</t>
        </is>
      </c>
    </row>
    <row r="587">
      <c r="B587" t="n">
        <v>2013</v>
      </c>
      <c r="C587" t="n">
        <v>1.029914800000001</v>
      </c>
      <c r="D587" t="inlineStr">
        <is>
          <t>BoC IEXE0101 (noon, deprecated)</t>
        </is>
      </c>
    </row>
    <row r="588">
      <c r="B588" t="n">
        <v>2014</v>
      </c>
      <c r="C588" t="n">
        <v>1.1044664</v>
      </c>
      <c r="D588" t="inlineStr">
        <is>
          <t>BoC IEXE0101 (noon, deprecated)</t>
        </is>
      </c>
    </row>
    <row r="589">
      <c r="B589" t="n">
        <v>2015</v>
      </c>
      <c r="C589" t="n">
        <v>1.2787108</v>
      </c>
      <c r="D589" t="inlineStr">
        <is>
          <t>BoC IEXE0101 (noon, deprecated)</t>
        </is>
      </c>
    </row>
    <row r="590">
      <c r="B590" t="n">
        <v>2016</v>
      </c>
      <c r="C590" t="n">
        <v>1.324806400000001</v>
      </c>
      <c r="D590" t="inlineStr">
        <is>
          <t>BoC IEXE0101 (noon, deprecated)</t>
        </is>
      </c>
    </row>
    <row r="591">
      <c r="B591" t="n">
        <v>2017</v>
      </c>
      <c r="C591" t="n">
        <v>1.306016314199396</v>
      </c>
      <c r="D591" t="inlineStr">
        <is>
          <t>BoC FXUSDCAD (daily avg)</t>
        </is>
      </c>
    </row>
    <row r="592">
      <c r="B592" t="n">
        <v>2018</v>
      </c>
      <c r="C592" t="n">
        <v>1.2957432</v>
      </c>
      <c r="D592" t="inlineStr">
        <is>
          <t>BoC FXUSDCAD (daily avg)</t>
        </is>
      </c>
    </row>
    <row r="593">
      <c r="B593" t="n">
        <v>2019</v>
      </c>
      <c r="C593" t="n">
        <v>1.3269128</v>
      </c>
      <c r="D593" t="inlineStr">
        <is>
          <t>BoC FXUSDCAD (daily avg)</t>
        </is>
      </c>
    </row>
    <row r="594">
      <c r="B594" t="n">
        <v>2020</v>
      </c>
      <c r="C594" t="n">
        <v>1.341451394422311</v>
      </c>
      <c r="D594" t="inlineStr">
        <is>
          <t>BoC FXUSDCAD (daily avg)</t>
        </is>
      </c>
    </row>
    <row r="595">
      <c r="B595" t="n">
        <v>2021</v>
      </c>
      <c r="C595" t="n">
        <v>1.253526104417671</v>
      </c>
      <c r="D595" t="inlineStr">
        <is>
          <t>BoC FXUSDCAD (daily avg)</t>
        </is>
      </c>
    </row>
    <row r="596">
      <c r="B596" t="n">
        <v>2022</v>
      </c>
      <c r="C596" t="n">
        <v>1.301266935483871</v>
      </c>
      <c r="D596" t="inlineStr">
        <is>
          <t>BoC FXUSDCAD (daily avg)</t>
        </is>
      </c>
    </row>
    <row r="597">
      <c r="B597" t="n">
        <v>2023</v>
      </c>
      <c r="C597" t="n">
        <v>1.349668548387096</v>
      </c>
      <c r="D597" t="inlineStr">
        <is>
          <t>BoC FXUSDCAD (daily avg)</t>
        </is>
      </c>
    </row>
    <row r="598">
      <c r="B598" t="n">
        <v>2024</v>
      </c>
      <c r="C598" t="n">
        <v>1.3697948</v>
      </c>
      <c r="D598" t="inlineStr">
        <is>
          <t>BoC FXUSDCAD (daily avg)</t>
        </is>
      </c>
    </row>
    <row r="599">
      <c r="B599" t="n">
        <v>2025</v>
      </c>
      <c r="C599" t="n">
        <v>1.397762248995984</v>
      </c>
      <c r="D599" t="inlineStr">
        <is>
          <t>BoC FXUSDCAD (daily avg)</t>
        </is>
      </c>
    </row>
    <row r="605">
      <c r="B605" t="inlineStr">
        <is>
          <t>PER-SEGMENT OPERATIONAL KPIs (quarterly, parsed from each MD&amp;A's 'Operational data' subsection)</t>
        </is>
      </c>
    </row>
    <row r="606">
      <c r="B606" t="inlineStr">
        <is>
          <t>Values stamped into BF-CC quarterly columns where the source MD&amp;A discloses the metric. Dollar values per the source; percentages shown as decimal fractions.</t>
        </is>
      </c>
    </row>
    <row r="607">
      <c r="B607" t="inlineStr">
        <is>
          <t>Less-Than-Truckload — Operational KPIs</t>
        </is>
      </c>
    </row>
    <row r="608">
      <c r="B608" t="inlineStr">
        <is>
          <t xml:space="preserve">  Revenue per cwt (ex-fuel) $</t>
        </is>
      </c>
      <c r="BC608" t="n">
        <v>7</v>
      </c>
      <c r="BG608" t="n">
        <v>27.22</v>
      </c>
      <c r="BH608" t="n">
        <v>28.77</v>
      </c>
      <c r="BK608" t="n">
        <v>29.01</v>
      </c>
      <c r="BL608" t="n">
        <v>29.84</v>
      </c>
      <c r="BM608" t="n">
        <v>29.87</v>
      </c>
      <c r="BP608" t="n">
        <v>29.47</v>
      </c>
      <c r="BQ608" t="n">
        <v>28.46</v>
      </c>
      <c r="BR608" t="n">
        <v>27.84</v>
      </c>
      <c r="BU608" t="n">
        <v>28.9</v>
      </c>
      <c r="BV608" t="n">
        <v>27.62</v>
      </c>
      <c r="BW608" t="n">
        <v>27.03</v>
      </c>
      <c r="BZ608" t="n">
        <v>20.16</v>
      </c>
      <c r="CA608" t="n">
        <v>25.8</v>
      </c>
      <c r="CB608" t="n">
        <v>26.13</v>
      </c>
    </row>
    <row r="609">
      <c r="B609" t="inlineStr">
        <is>
          <t xml:space="preserve">  Revenue per shipment (ex-fuel) $</t>
        </is>
      </c>
      <c r="BC609" t="n">
        <v>1</v>
      </c>
      <c r="BG609" t="n">
        <v>282.91</v>
      </c>
      <c r="BH609" t="n">
        <v>301.41</v>
      </c>
      <c r="BK609" t="n">
        <v>315.48</v>
      </c>
      <c r="BL609" t="n">
        <v>322.08</v>
      </c>
      <c r="BM609" t="n">
        <v>320.94</v>
      </c>
      <c r="BP609" t="n">
        <v>313.37</v>
      </c>
      <c r="BQ609" t="n">
        <v>313.61</v>
      </c>
      <c r="BR609" t="n">
        <v>320.97</v>
      </c>
      <c r="BU609" t="n">
        <v>349.43</v>
      </c>
      <c r="BV609" t="n">
        <v>337.35</v>
      </c>
      <c r="BW609" t="n">
        <v>330.23</v>
      </c>
      <c r="BZ609" t="n">
        <v>310.07</v>
      </c>
      <c r="CA609" t="n">
        <v>331.18</v>
      </c>
      <c r="CB609" t="n">
        <v>331.46</v>
      </c>
    </row>
    <row r="610">
      <c r="B610" t="inlineStr">
        <is>
          <t xml:space="preserve">  Revenue per cwt (incl fuel) $</t>
        </is>
      </c>
      <c r="BK610" t="n">
        <v>35.59</v>
      </c>
      <c r="BL610" t="n">
        <v>39</v>
      </c>
      <c r="BM610" t="n">
        <v>38.78</v>
      </c>
      <c r="BP610" t="n">
        <v>37.21</v>
      </c>
      <c r="BQ610" t="n">
        <v>34.5</v>
      </c>
      <c r="BR610" t="n">
        <v>34.23</v>
      </c>
      <c r="BU610" t="n">
        <v>35.08</v>
      </c>
      <c r="BV610" t="n">
        <v>33.28</v>
      </c>
      <c r="BW610" t="n">
        <v>32.18</v>
      </c>
      <c r="BZ610" t="n">
        <v>24.24</v>
      </c>
      <c r="CA610" t="n">
        <v>30.69</v>
      </c>
      <c r="CB610" t="n">
        <v>31.39</v>
      </c>
    </row>
    <row r="611">
      <c r="B611" t="inlineStr">
        <is>
          <t xml:space="preserve">  Revenue per shipment (incl fuel) $</t>
        </is>
      </c>
      <c r="BK611" t="n">
        <v>387.01</v>
      </c>
      <c r="BL611" t="n">
        <v>420.9</v>
      </c>
      <c r="BM611" t="n">
        <v>416.56</v>
      </c>
      <c r="BP611" t="n">
        <v>395.63</v>
      </c>
      <c r="BQ611" t="n">
        <v>380.17</v>
      </c>
      <c r="BR611" t="n">
        <v>394.68</v>
      </c>
      <c r="BU611" t="n">
        <v>424.11</v>
      </c>
      <c r="BV611" t="n">
        <v>406.42</v>
      </c>
      <c r="BW611" t="n">
        <v>393.12</v>
      </c>
      <c r="BZ611" t="n">
        <v>373.28</v>
      </c>
      <c r="CA611" t="n">
        <v>393.96</v>
      </c>
      <c r="CB611" t="n">
        <v>398.21</v>
      </c>
    </row>
    <row r="612">
      <c r="B612" t="inlineStr">
        <is>
          <t xml:space="preserve">  Tonnage (000 tons)</t>
        </is>
      </c>
      <c r="BC612" t="n">
        <v>7</v>
      </c>
      <c r="BG612" t="n">
        <v>740</v>
      </c>
      <c r="BH612" t="n">
        <v>1067</v>
      </c>
      <c r="BK612" t="n">
        <v>1002</v>
      </c>
      <c r="BL612" t="n">
        <v>981</v>
      </c>
      <c r="BM612" t="n">
        <v>911</v>
      </c>
      <c r="BP612" t="n">
        <v>781</v>
      </c>
      <c r="BQ612" t="n">
        <v>822</v>
      </c>
      <c r="BR612" t="n">
        <v>904</v>
      </c>
      <c r="BU612" t="n">
        <v>838</v>
      </c>
      <c r="BV612" t="n">
        <v>891</v>
      </c>
      <c r="BW612" t="n">
        <v>887</v>
      </c>
      <c r="BZ612" t="n">
        <v>1351</v>
      </c>
      <c r="CA612" t="n">
        <v>842</v>
      </c>
      <c r="CB612" t="n">
        <v>822</v>
      </c>
    </row>
    <row r="613">
      <c r="B613" t="inlineStr">
        <is>
          <t xml:space="preserve">  Shipments (000)</t>
        </is>
      </c>
      <c r="BC613" t="n">
        <v>7</v>
      </c>
      <c r="BG613" t="n">
        <v>1424</v>
      </c>
      <c r="BH613" t="n">
        <v>2037</v>
      </c>
      <c r="BK613" t="n">
        <v>1843</v>
      </c>
      <c r="BL613" t="n">
        <v>1818</v>
      </c>
      <c r="BM613" t="n">
        <v>1696</v>
      </c>
      <c r="BP613" t="n">
        <v>1469</v>
      </c>
      <c r="BQ613" t="n">
        <v>1492</v>
      </c>
      <c r="BR613" t="n">
        <v>1568</v>
      </c>
      <c r="BU613" t="n">
        <v>1386</v>
      </c>
      <c r="BV613" t="n">
        <v>1459</v>
      </c>
      <c r="BW613" t="n">
        <v>1452</v>
      </c>
      <c r="BZ613" t="n">
        <v>1757</v>
      </c>
      <c r="CA613" t="n">
        <v>1312</v>
      </c>
      <c r="CB613" t="n">
        <v>1296</v>
      </c>
    </row>
    <row r="614">
      <c r="B614" t="inlineStr">
        <is>
          <t xml:space="preserve">  Avg weight / shipment (lbs)</t>
        </is>
      </c>
      <c r="BC614" t="n">
        <v>8</v>
      </c>
      <c r="BG614" t="n">
        <v>1039</v>
      </c>
      <c r="BH614" t="n">
        <v>1048</v>
      </c>
      <c r="BK614" t="n">
        <v>1087</v>
      </c>
      <c r="BL614" t="n">
        <v>1079</v>
      </c>
      <c r="BM614" t="n">
        <v>1074</v>
      </c>
      <c r="BP614" t="n">
        <v>1063</v>
      </c>
      <c r="BQ614" t="n">
        <v>1102</v>
      </c>
      <c r="BR614" t="n">
        <v>1153</v>
      </c>
      <c r="BU614" t="n">
        <v>1209</v>
      </c>
      <c r="BV614" t="n">
        <v>1221</v>
      </c>
      <c r="BW614" t="n">
        <v>1222</v>
      </c>
      <c r="BZ614" t="n">
        <v>1538</v>
      </c>
      <c r="CA614" t="n">
        <v>1284</v>
      </c>
      <c r="CB614" t="n">
        <v>1269</v>
      </c>
    </row>
    <row r="615">
      <c r="B615" t="inlineStr">
        <is>
          <t xml:space="preserve">  Avg length of haul (miles)</t>
        </is>
      </c>
      <c r="BC615" t="n">
        <v>5</v>
      </c>
      <c r="BG615" t="n">
        <v>1065</v>
      </c>
      <c r="BH615" t="n">
        <v>1095</v>
      </c>
      <c r="BK615" t="n">
        <v>1104</v>
      </c>
      <c r="BL615" t="n">
        <v>1097</v>
      </c>
      <c r="BM615" t="n">
        <v>1107</v>
      </c>
      <c r="BP615" t="n">
        <v>1088</v>
      </c>
      <c r="BQ615" t="n">
        <v>1106</v>
      </c>
      <c r="BR615" t="n">
        <v>1124</v>
      </c>
      <c r="BU615" t="n">
        <v>1153</v>
      </c>
      <c r="BV615" t="n">
        <v>1157</v>
      </c>
      <c r="BW615" t="n">
        <v>1172</v>
      </c>
      <c r="BZ615" t="n">
        <v>1069</v>
      </c>
      <c r="CA615" t="n">
        <v>1133</v>
      </c>
      <c r="CB615" t="n">
        <v>1130</v>
      </c>
    </row>
    <row r="616">
      <c r="B616" t="inlineStr">
        <is>
          <t xml:space="preserve">  Vehicle count, avg</t>
        </is>
      </c>
      <c r="BC616" t="n">
        <v>8</v>
      </c>
      <c r="BG616" t="n">
        <v>5062</v>
      </c>
      <c r="BH616" t="n">
        <v>4952</v>
      </c>
      <c r="BK616" t="n">
        <v>4501</v>
      </c>
      <c r="BL616" t="n">
        <v>4908</v>
      </c>
      <c r="BM616" t="n">
        <v>4922</v>
      </c>
      <c r="BP616" t="n">
        <v>4305</v>
      </c>
      <c r="BQ616" t="n">
        <v>4136</v>
      </c>
      <c r="BR616" t="n">
        <v>3972</v>
      </c>
      <c r="BU616" t="n">
        <v>3836</v>
      </c>
      <c r="BV616" t="n">
        <v>4416</v>
      </c>
      <c r="BW616" t="n">
        <v>4276</v>
      </c>
      <c r="BZ616" t="n">
        <v>6174</v>
      </c>
      <c r="CA616" t="n">
        <v>4298</v>
      </c>
      <c r="CB616" t="n">
        <v>4180</v>
      </c>
    </row>
    <row r="617">
      <c r="B617" t="inlineStr">
        <is>
          <t xml:space="preserve">  Truck age (yrs)</t>
        </is>
      </c>
      <c r="BM617" t="n">
        <v>6.7</v>
      </c>
      <c r="BP617" t="n">
        <v>5</v>
      </c>
      <c r="BQ617" t="n">
        <v>4.9</v>
      </c>
      <c r="BR617" t="n">
        <v>4.6</v>
      </c>
      <c r="BU617" t="n">
        <v>4.6</v>
      </c>
      <c r="BV617" t="n">
        <v>4.3</v>
      </c>
      <c r="BW617" t="n">
        <v>4.1</v>
      </c>
      <c r="BZ617" t="n">
        <v>4.3</v>
      </c>
      <c r="CA617" t="n">
        <v>4.3</v>
      </c>
      <c r="CB617" t="n">
        <v>4.5</v>
      </c>
    </row>
    <row r="618">
      <c r="B618" t="inlineStr">
        <is>
          <t xml:space="preserve">  Adjusted Operating Ratio %</t>
        </is>
      </c>
      <c r="BC618" t="n">
        <v>0.882</v>
      </c>
      <c r="BG618" t="n">
        <v>0.9009999999999999</v>
      </c>
      <c r="BH618" t="n">
        <v>0.907</v>
      </c>
      <c r="BK618" t="n">
        <v>0.907</v>
      </c>
      <c r="BL618" t="n">
        <v>0.88</v>
      </c>
      <c r="BM618" t="n">
        <v>0.9079999999999999</v>
      </c>
      <c r="BP618" t="n">
        <v>0.9570000000000001</v>
      </c>
      <c r="BQ618" t="n">
        <v>0.915</v>
      </c>
      <c r="BR618" t="n">
        <v>0.9079999999999999</v>
      </c>
      <c r="BU618" t="n">
        <v>0.892</v>
      </c>
      <c r="BV618" t="n">
        <v>0.862</v>
      </c>
      <c r="BW618" t="n">
        <v>0.873</v>
      </c>
      <c r="BZ618" t="n">
        <v>0.9309999999999999</v>
      </c>
      <c r="CA618" t="n">
        <v>0.895</v>
      </c>
      <c r="CB618" t="n">
        <v>0.888</v>
      </c>
    </row>
    <row r="619">
      <c r="B619" t="inlineStr">
        <is>
          <t xml:space="preserve">  Return on invested capital %</t>
        </is>
      </c>
      <c r="BC619" t="n">
        <v>0.13</v>
      </c>
      <c r="BG619" t="n">
        <v>0.245</v>
      </c>
      <c r="BH619" t="n">
        <v>0.252</v>
      </c>
      <c r="BK619" t="n">
        <v>0.04</v>
      </c>
      <c r="BL619" t="n">
        <v>0.245</v>
      </c>
      <c r="BM619" t="n">
        <v>0.252</v>
      </c>
      <c r="BP619" t="n">
        <v>0.174</v>
      </c>
      <c r="BQ619" t="n">
        <v>0.16</v>
      </c>
      <c r="BR619" t="n">
        <v>0.152</v>
      </c>
      <c r="BU619" t="n">
        <v>0.182</v>
      </c>
      <c r="BV619" t="n">
        <v>0.18</v>
      </c>
      <c r="BW619" t="n">
        <v>0.173</v>
      </c>
      <c r="BZ619" t="n">
        <v>0.144</v>
      </c>
      <c r="CA619" t="n">
        <v>0.129</v>
      </c>
      <c r="CB619" t="n">
        <v>0.119</v>
      </c>
    </row>
    <row r="624">
      <c r="B624" t="inlineStr">
        <is>
          <t>Truckload — Operational KPIs</t>
        </is>
      </c>
    </row>
    <row r="625">
      <c r="B625" t="inlineStr">
        <is>
          <t xml:space="preserve">  Adjusted operating ratio %</t>
        </is>
      </c>
      <c r="BC625" t="n">
        <v>0.912</v>
      </c>
      <c r="BG625" t="n">
        <v>0.826</v>
      </c>
      <c r="BH625" t="n">
        <v>0.9</v>
      </c>
      <c r="BK625" t="n">
        <v>0.87</v>
      </c>
      <c r="BL625" t="n">
        <v>0.7879999999999999</v>
      </c>
      <c r="BM625" t="n">
        <v>0.799</v>
      </c>
      <c r="BP625" t="n">
        <v>0.845</v>
      </c>
      <c r="BQ625" t="n">
        <v>0.8390000000000001</v>
      </c>
      <c r="BR625" t="n">
        <v>0.878</v>
      </c>
      <c r="BU625" t="n">
        <v>0.8959999999999999</v>
      </c>
      <c r="BV625" t="n">
        <v>0.89</v>
      </c>
      <c r="BW625" t="n">
        <v>0.9059999999999999</v>
      </c>
      <c r="BZ625" t="n">
        <v>0.9370000000000001</v>
      </c>
      <c r="CA625" t="n">
        <v>0.9009999999999999</v>
      </c>
      <c r="CB625" t="n">
        <v>0.9229999999999999</v>
      </c>
    </row>
    <row r="626">
      <c r="B626" t="inlineStr">
        <is>
          <t xml:space="preserve">  Trucking revenue ex-fuel ($K)</t>
        </is>
      </c>
      <c r="BC626" t="n">
        <v>166413</v>
      </c>
      <c r="BG626" t="n">
        <v>232243</v>
      </c>
      <c r="BH626" t="n">
        <v>325149</v>
      </c>
      <c r="BK626" t="n">
        <v>328320</v>
      </c>
      <c r="BL626" t="n">
        <v>353146</v>
      </c>
      <c r="BM626" t="n">
        <v>355431</v>
      </c>
      <c r="BP626" t="n">
        <v>279415</v>
      </c>
      <c r="BQ626" t="n">
        <v>291768</v>
      </c>
      <c r="BR626" t="n">
        <v>325384</v>
      </c>
      <c r="BU626" t="n">
        <v>278468</v>
      </c>
      <c r="BV626" t="n">
        <v>565936</v>
      </c>
      <c r="BW626" t="n">
        <v>553870</v>
      </c>
      <c r="BZ626" t="n">
        <v>533372</v>
      </c>
      <c r="CA626" t="n">
        <v>542496</v>
      </c>
      <c r="CB626" t="n">
        <v>525586</v>
      </c>
    </row>
    <row r="627">
      <c r="B627" t="inlineStr">
        <is>
          <t xml:space="preserve">  Brokerage revenue ($K)</t>
        </is>
      </c>
      <c r="BP627" t="n">
        <v>56744</v>
      </c>
      <c r="BQ627" t="n">
        <v>43682</v>
      </c>
      <c r="BU627" t="n">
        <v>42698</v>
      </c>
      <c r="BV627" t="n">
        <v>98583</v>
      </c>
      <c r="BW627" t="n">
        <v>94090</v>
      </c>
      <c r="BZ627" t="n">
        <v>129484</v>
      </c>
      <c r="CA627" t="n">
        <v>102426</v>
      </c>
      <c r="CB627" t="n">
        <v>97600</v>
      </c>
    </row>
    <row r="628">
      <c r="B628" t="inlineStr">
        <is>
          <t xml:space="preserve">  Rev / truck / week ex-fuel $</t>
        </is>
      </c>
      <c r="BM628" t="n">
        <v>4777</v>
      </c>
      <c r="BP628" t="n">
        <v>4170</v>
      </c>
      <c r="BQ628" t="n">
        <v>4390</v>
      </c>
      <c r="BR628" t="n">
        <v>4240</v>
      </c>
      <c r="BU628" t="n">
        <v>3946</v>
      </c>
      <c r="BV628" t="n">
        <v>4379</v>
      </c>
      <c r="BW628" t="n">
        <v>4279</v>
      </c>
      <c r="BZ628" t="n">
        <v>4044</v>
      </c>
      <c r="CA628" t="n">
        <v>4374</v>
      </c>
      <c r="CB628" t="n">
        <v>4311</v>
      </c>
    </row>
    <row r="629">
      <c r="B629" t="inlineStr">
        <is>
          <t xml:space="preserve">  Rev / truck / week incl fuel $</t>
        </is>
      </c>
      <c r="BM629" t="n">
        <v>6182</v>
      </c>
      <c r="BP629" t="n">
        <v>5212</v>
      </c>
      <c r="BQ629" t="n">
        <v>5248</v>
      </c>
      <c r="BR629" t="n">
        <v>5154</v>
      </c>
      <c r="BU629" t="n">
        <v>4810</v>
      </c>
      <c r="BV629" t="n">
        <v>5195</v>
      </c>
      <c r="BW629" t="n">
        <v>5041</v>
      </c>
      <c r="BZ629" t="n">
        <v>4753</v>
      </c>
      <c r="CA629" t="n">
        <v>5059</v>
      </c>
      <c r="CB629" t="n">
        <v>5003</v>
      </c>
    </row>
    <row r="630">
      <c r="B630" t="inlineStr">
        <is>
          <t xml:space="preserve">  Truck count, avg</t>
        </is>
      </c>
      <c r="BK630" t="n">
        <v>3531</v>
      </c>
      <c r="BL630" t="n">
        <v>3535</v>
      </c>
      <c r="BM630" t="n">
        <v>3657</v>
      </c>
      <c r="BP630" t="n">
        <v>3985</v>
      </c>
      <c r="BQ630" t="n">
        <v>3914</v>
      </c>
      <c r="BR630" t="n">
        <v>3918</v>
      </c>
      <c r="BU630" t="n">
        <v>3928</v>
      </c>
      <c r="BV630" t="n">
        <v>6785</v>
      </c>
      <c r="BW630" t="n">
        <v>6832</v>
      </c>
      <c r="BZ630" t="n">
        <v>7469</v>
      </c>
      <c r="CA630" t="n">
        <v>6676</v>
      </c>
      <c r="CB630" t="n">
        <v>6675</v>
      </c>
    </row>
    <row r="631">
      <c r="B631" t="inlineStr">
        <is>
          <t xml:space="preserve">  Trailer count, avg</t>
        </is>
      </c>
      <c r="BC631" t="n">
        <v>11294</v>
      </c>
      <c r="BG631" t="n">
        <v>6619</v>
      </c>
      <c r="BH631" t="n">
        <v>11530</v>
      </c>
      <c r="BK631" t="n">
        <v>10873</v>
      </c>
      <c r="BL631" t="n">
        <v>10525</v>
      </c>
      <c r="BM631" t="n">
        <v>10928</v>
      </c>
      <c r="BP631" t="n">
        <v>10627</v>
      </c>
      <c r="BQ631" t="n">
        <v>10404</v>
      </c>
      <c r="BR631" t="n">
        <v>10362</v>
      </c>
      <c r="BU631" t="n">
        <v>10134</v>
      </c>
      <c r="BV631" t="n">
        <v>20613</v>
      </c>
      <c r="BW631" t="n">
        <v>20155</v>
      </c>
      <c r="BZ631" t="n">
        <v>23261</v>
      </c>
      <c r="CA631" t="n">
        <v>19625</v>
      </c>
      <c r="CB631" t="n">
        <v>18892</v>
      </c>
    </row>
    <row r="632">
      <c r="B632" t="inlineStr">
        <is>
          <t xml:space="preserve">  Truck age (yrs)</t>
        </is>
      </c>
      <c r="BK632" t="n">
        <v>3.9</v>
      </c>
      <c r="BL632" t="n">
        <v>3.9</v>
      </c>
      <c r="BM632" t="n">
        <v>3.6</v>
      </c>
      <c r="BP632" t="n">
        <v>3.5</v>
      </c>
      <c r="BQ632" t="n">
        <v>3.4</v>
      </c>
      <c r="BR632" t="n">
        <v>3.4</v>
      </c>
      <c r="BU632" t="n">
        <v>3.4</v>
      </c>
      <c r="BV632" t="n">
        <v>3.3</v>
      </c>
      <c r="BW632" t="n">
        <v>3.2</v>
      </c>
      <c r="BZ632" t="n">
        <v>3.2</v>
      </c>
      <c r="CA632" t="n">
        <v>3.2</v>
      </c>
      <c r="CB632" t="n">
        <v>3.1</v>
      </c>
    </row>
    <row r="633">
      <c r="B633" t="inlineStr">
        <is>
          <t xml:space="preserve">  Trailer age (yrs)</t>
        </is>
      </c>
      <c r="BC633" t="n">
        <v>6.4</v>
      </c>
      <c r="BG633" t="n">
        <v>12.8</v>
      </c>
      <c r="BH633" t="n">
        <v>9.800000000000001</v>
      </c>
      <c r="BK633" t="n">
        <v>12.7</v>
      </c>
      <c r="BL633" t="n">
        <v>12.6</v>
      </c>
      <c r="BM633" t="n">
        <v>11.5</v>
      </c>
      <c r="BP633" t="n">
        <v>12</v>
      </c>
      <c r="BQ633" t="n">
        <v>12.2</v>
      </c>
      <c r="BR633" t="n">
        <v>12.4</v>
      </c>
      <c r="BU633" t="n">
        <v>12.2</v>
      </c>
      <c r="BV633" t="n">
        <v>12.2</v>
      </c>
      <c r="BW633" t="n">
        <v>11.9</v>
      </c>
      <c r="BZ633" t="n">
        <v>10.8</v>
      </c>
      <c r="CA633" t="n">
        <v>11.4</v>
      </c>
      <c r="CB633" t="n">
        <v>11.4</v>
      </c>
    </row>
    <row r="634">
      <c r="B634" t="inlineStr">
        <is>
          <t xml:space="preserve">  Owner operators, avg</t>
        </is>
      </c>
      <c r="BC634" t="n">
        <v>578</v>
      </c>
      <c r="BG634" t="n">
        <v>1064</v>
      </c>
      <c r="BH634" t="n">
        <v>1286</v>
      </c>
      <c r="BK634" t="n">
        <v>1094</v>
      </c>
      <c r="BL634" t="n">
        <v>1086</v>
      </c>
      <c r="BM634" t="n">
        <v>1129</v>
      </c>
      <c r="BP634" t="n">
        <v>1170</v>
      </c>
      <c r="BQ634" t="n">
        <v>1199</v>
      </c>
      <c r="BR634" t="n">
        <v>1241</v>
      </c>
      <c r="BU634" t="n">
        <v>1188</v>
      </c>
      <c r="BV634" t="n">
        <v>2783</v>
      </c>
      <c r="BW634" t="n">
        <v>2736</v>
      </c>
      <c r="BZ634" t="n">
        <v>2661</v>
      </c>
      <c r="CA634" t="n">
        <v>2517</v>
      </c>
      <c r="CB634" t="n">
        <v>2358</v>
      </c>
    </row>
    <row r="635">
      <c r="B635" t="inlineStr">
        <is>
          <t xml:space="preserve">  Return on invested capital %</t>
        </is>
      </c>
      <c r="BC635" t="n">
        <v>0.052</v>
      </c>
      <c r="BG635" t="n">
        <v>0.112</v>
      </c>
      <c r="BH635" t="n">
        <v>0.08800000000000001</v>
      </c>
      <c r="BK635" t="n">
        <v>0.098</v>
      </c>
      <c r="BL635" t="n">
        <v>0.112</v>
      </c>
      <c r="BM635" t="n">
        <v>0.127</v>
      </c>
      <c r="BP635" t="n">
        <v>0.141</v>
      </c>
      <c r="BQ635" t="n">
        <v>0.127</v>
      </c>
      <c r="BR635" t="n">
        <v>0.101</v>
      </c>
      <c r="BU635" t="n">
        <v>0.096</v>
      </c>
      <c r="BV635" t="n">
        <v>0.073</v>
      </c>
      <c r="BW635" t="n">
        <v>0.078</v>
      </c>
      <c r="BZ635" t="n">
        <v>0.067</v>
      </c>
      <c r="CA635" t="n">
        <v>0.064</v>
      </c>
      <c r="CB635" t="n">
        <v>0.06</v>
      </c>
    </row>
    <row r="639">
      <c r="B639" t="inlineStr">
        <is>
          <t>Logistics — Operational KPIs</t>
        </is>
      </c>
    </row>
    <row r="640">
      <c r="B640" t="inlineStr">
        <is>
          <t xml:space="preserve">  Return on invested capital %</t>
        </is>
      </c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2026-05-28T18:43:35Z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