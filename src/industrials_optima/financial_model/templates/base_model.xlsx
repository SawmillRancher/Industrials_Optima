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3.xml" ContentType="application/vnd.openxmlformats-officedocument.spreadsheetml.comments+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c4fe9d6c707c2821/Desktop/MOGa/"/>
    </mc:Choice>
  </mc:AlternateContent>
  <xr:revisionPtr revIDLastSave="4945" documentId="8_{6DB0E7EC-C60D-4001-9308-A01212056B3E}" xr6:coauthVersionLast="47" xr6:coauthVersionMax="47" xr10:uidLastSave="{C9A258D1-8B21-4492-899B-04C11804D0AD}"/>
  <bookViews>
    <workbookView xWindow="-120" yWindow="-120" windowWidth="29040" windowHeight="15720" tabRatio="836" xr2:uid="{51658058-8315-A640-B733-1DFC39D6EEC8}"/>
  </bookViews>
  <sheets>
    <sheet name="Model" sheetId="6" r:id="rId1"/>
    <sheet name="Moog-Bull-Base-Bear" sheetId="7" r:id="rId2"/>
    <sheet name="Moog-DCF" sheetId="8" r:id="rId3"/>
    <sheet name="Moog-Charts" sheetId="9" r:id="rId4"/>
    <sheet name="Model_DSV_ref" sheetId="2" r:id="rId5"/>
    <sheet name="Bull-Base-Bear" sheetId="5" r:id="rId6"/>
    <sheet name="DCF" sheetId="4" r:id="rId7"/>
    <sheet name="Charts" sheetId="3"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M127" i="6" l="1"/>
  <c r="CL127" i="6"/>
  <c r="CK127" i="6"/>
  <c r="CJ127" i="6"/>
  <c r="CI127" i="6"/>
  <c r="CM309" i="6"/>
  <c r="CL309" i="6"/>
  <c r="CK309" i="6"/>
  <c r="CJ309" i="6"/>
  <c r="CI309" i="6"/>
  <c r="CM306" i="6"/>
  <c r="CL306" i="6"/>
  <c r="CK306" i="6"/>
  <c r="CJ306" i="6"/>
  <c r="CI306" i="6"/>
  <c r="CM305" i="6"/>
  <c r="CL305" i="6"/>
  <c r="CK305" i="6"/>
  <c r="CJ305" i="6"/>
  <c r="CI305" i="6"/>
  <c r="CM304" i="6"/>
  <c r="CL304" i="6"/>
  <c r="CK304" i="6"/>
  <c r="CJ304" i="6"/>
  <c r="CI304" i="6"/>
  <c r="CM303" i="6"/>
  <c r="CL303" i="6"/>
  <c r="CM300" i="6" s="1"/>
  <c r="CK303" i="6"/>
  <c r="CL300" i="6" s="1"/>
  <c r="CJ303" i="6"/>
  <c r="CK300" i="6" s="1"/>
  <c r="CI303" i="6"/>
  <c r="CM301" i="6"/>
  <c r="CL301" i="6"/>
  <c r="CK301" i="6"/>
  <c r="CJ301" i="6"/>
  <c r="CI301" i="6"/>
  <c r="CJ300" i="6"/>
  <c r="CI300" i="6"/>
  <c r="CD309" i="6"/>
  <c r="CD308" i="6"/>
  <c r="CD306" i="6"/>
  <c r="CD305" i="6"/>
  <c r="CD304" i="6"/>
  <c r="CD303" i="6"/>
  <c r="CD301" i="6"/>
  <c r="CD300" i="6"/>
  <c r="CD299" i="6"/>
  <c r="BX152" i="6"/>
  <c r="BW152" i="6"/>
  <c r="BV152" i="6"/>
  <c r="BU152" i="6"/>
  <c r="BS152" i="6"/>
  <c r="BR152" i="6"/>
  <c r="BQ152" i="6"/>
  <c r="BP152" i="6"/>
  <c r="BN152" i="6"/>
  <c r="BM152" i="6"/>
  <c r="BL152" i="6"/>
  <c r="BK152" i="6"/>
  <c r="BI152" i="6"/>
  <c r="BH152" i="6"/>
  <c r="BG152" i="6"/>
  <c r="BF152" i="6"/>
  <c r="BD152" i="6"/>
  <c r="BC152" i="6"/>
  <c r="BB152" i="6"/>
  <c r="BA152" i="6"/>
  <c r="AY152" i="6"/>
  <c r="AX152" i="6"/>
  <c r="AW152" i="6"/>
  <c r="AV152" i="6"/>
  <c r="AT152" i="6"/>
  <c r="AS152" i="6"/>
  <c r="AR152" i="6"/>
  <c r="AQ152" i="6"/>
  <c r="AO152" i="6"/>
  <c r="AN152" i="6"/>
  <c r="AM152" i="6"/>
  <c r="AL152" i="6"/>
  <c r="AJ152" i="6"/>
  <c r="AI152" i="6"/>
  <c r="AH152" i="6"/>
  <c r="AG152" i="6"/>
  <c r="AE152" i="6"/>
  <c r="AD152" i="6"/>
  <c r="AC152" i="6"/>
  <c r="AB152" i="6"/>
  <c r="AA152" i="6"/>
  <c r="Z152" i="6"/>
  <c r="Y152" i="6"/>
  <c r="X152" i="6"/>
  <c r="W152" i="6"/>
  <c r="V152" i="6"/>
  <c r="U152" i="6"/>
  <c r="T152" i="6"/>
  <c r="S152" i="6"/>
  <c r="R152" i="6"/>
  <c r="Q152" i="6"/>
  <c r="P152" i="6"/>
  <c r="O152" i="6"/>
  <c r="N152" i="6"/>
  <c r="M152" i="6"/>
  <c r="L152" i="6"/>
  <c r="K152" i="6"/>
  <c r="J152" i="6"/>
  <c r="I152" i="6"/>
  <c r="H152" i="6"/>
  <c r="C111" i="8"/>
  <c r="C109" i="8"/>
  <c r="C106" i="8"/>
  <c r="R28" i="7"/>
  <c r="R27" i="7"/>
  <c r="T28" i="7"/>
  <c r="T27" i="7"/>
  <c r="S27" i="7"/>
  <c r="S28" i="7" s="1"/>
  <c r="R19" i="8"/>
  <c r="Q19" i="8"/>
  <c r="P19" i="8"/>
  <c r="O19" i="8"/>
  <c r="N19" i="8"/>
  <c r="M19" i="8"/>
  <c r="L19" i="8"/>
  <c r="K19" i="8"/>
  <c r="J19" i="8"/>
  <c r="I19" i="8"/>
  <c r="F66" i="8"/>
  <c r="F79" i="8"/>
  <c r="F26" i="7"/>
  <c r="G26" i="7" s="1"/>
  <c r="H26" i="7" s="1"/>
  <c r="BD339" i="6"/>
  <c r="BD326" i="6"/>
  <c r="BC339" i="6"/>
  <c r="BC326" i="6"/>
  <c r="BB339" i="6"/>
  <c r="BB326" i="6"/>
  <c r="BA339" i="6"/>
  <c r="BA326" i="6"/>
  <c r="AY339" i="6"/>
  <c r="AY326" i="6"/>
  <c r="AX339" i="6"/>
  <c r="AX326" i="6"/>
  <c r="AW339" i="6"/>
  <c r="AW326" i="6"/>
  <c r="AV339" i="6"/>
  <c r="AV326" i="6"/>
  <c r="AT339" i="6"/>
  <c r="AT326" i="6"/>
  <c r="AS339" i="6"/>
  <c r="AS326" i="6"/>
  <c r="AR339" i="6"/>
  <c r="AR326" i="6"/>
  <c r="AQ339" i="6"/>
  <c r="AQ326" i="6"/>
  <c r="AO339" i="6"/>
  <c r="AO326" i="6"/>
  <c r="AN339" i="6"/>
  <c r="AN326" i="6"/>
  <c r="AM339" i="6"/>
  <c r="AM326" i="6"/>
  <c r="AL339" i="6"/>
  <c r="AL326" i="6"/>
  <c r="AJ339" i="6"/>
  <c r="AJ326" i="6"/>
  <c r="AI339" i="6"/>
  <c r="AI326" i="6"/>
  <c r="AH339" i="6"/>
  <c r="AH326" i="6"/>
  <c r="AG339" i="6"/>
  <c r="AG326" i="6"/>
  <c r="AE339" i="6"/>
  <c r="AE326" i="6"/>
  <c r="AD339" i="6"/>
  <c r="AD326" i="6"/>
  <c r="AC339" i="6"/>
  <c r="AC326" i="6"/>
  <c r="AB339" i="6"/>
  <c r="AB326" i="6"/>
  <c r="Z339" i="6"/>
  <c r="Z326" i="6"/>
  <c r="Y339" i="6"/>
  <c r="Y326" i="6"/>
  <c r="X339" i="6"/>
  <c r="X326" i="6"/>
  <c r="W339" i="6"/>
  <c r="W326" i="6"/>
  <c r="U339" i="6"/>
  <c r="U326" i="6"/>
  <c r="T339" i="6"/>
  <c r="T326" i="6"/>
  <c r="S339" i="6"/>
  <c r="S326" i="6"/>
  <c r="R339" i="6"/>
  <c r="R326" i="6"/>
  <c r="P339" i="6"/>
  <c r="P326" i="6"/>
  <c r="O339" i="6"/>
  <c r="O326" i="6"/>
  <c r="N339" i="6"/>
  <c r="N326" i="6"/>
  <c r="M339" i="6"/>
  <c r="M326" i="6"/>
  <c r="K339" i="6"/>
  <c r="K326" i="6"/>
  <c r="J339" i="6"/>
  <c r="J326" i="6"/>
  <c r="I339" i="6"/>
  <c r="I326" i="6"/>
  <c r="H339" i="6"/>
  <c r="H326" i="6"/>
  <c r="F339" i="6"/>
  <c r="F326" i="6"/>
  <c r="E339" i="6"/>
  <c r="E326" i="6"/>
  <c r="D339" i="6"/>
  <c r="D326" i="6"/>
  <c r="C339" i="6"/>
  <c r="C326" i="6"/>
  <c r="CF361" i="6"/>
  <c r="CF362" i="6" s="1"/>
  <c r="CF364" i="6" s="1"/>
  <c r="CF344" i="6"/>
  <c r="CF343" i="6"/>
  <c r="CF331" i="6"/>
  <c r="CF363" i="6" s="1"/>
  <c r="CE363" i="6"/>
  <c r="CE361" i="6"/>
  <c r="CE362" i="6" s="1"/>
  <c r="CE364" i="6" s="1"/>
  <c r="CE354" i="6"/>
  <c r="CE344" i="6"/>
  <c r="CE343" i="6"/>
  <c r="CE331" i="6"/>
  <c r="CH315" i="6"/>
  <c r="CG281" i="6"/>
  <c r="CH281" i="6" s="1"/>
  <c r="CG279" i="6"/>
  <c r="CH279" i="6" s="1"/>
  <c r="CG278" i="6"/>
  <c r="CH278" i="6" s="1"/>
  <c r="CG315" i="6"/>
  <c r="CG313" i="6"/>
  <c r="CG295" i="6"/>
  <c r="CG291" i="6"/>
  <c r="CH291" i="6" s="1"/>
  <c r="CG290" i="6"/>
  <c r="CH290" i="6" s="1"/>
  <c r="CG289" i="6"/>
  <c r="CH289" i="6" s="1"/>
  <c r="CG288" i="6"/>
  <c r="CH288" i="6" s="1"/>
  <c r="CG287" i="6"/>
  <c r="CH287" i="6" s="1"/>
  <c r="CG275" i="6"/>
  <c r="CH275" i="6" s="1"/>
  <c r="CG274" i="6"/>
  <c r="CH274" i="6" s="1"/>
  <c r="CG273" i="6"/>
  <c r="CH273" i="6" s="1"/>
  <c r="CG272" i="6"/>
  <c r="CH272" i="6" s="1"/>
  <c r="CG271" i="6"/>
  <c r="CG270" i="6"/>
  <c r="CH270" i="6" s="1"/>
  <c r="CG269" i="6"/>
  <c r="CH269" i="6" s="1"/>
  <c r="CG268" i="6"/>
  <c r="CH268" i="6" s="1"/>
  <c r="CG259" i="6"/>
  <c r="CH259" i="6" s="1"/>
  <c r="CH317" i="6" s="1"/>
  <c r="CG258" i="6"/>
  <c r="CH258" i="6" s="1"/>
  <c r="CH316" i="6" s="1"/>
  <c r="CG256" i="6"/>
  <c r="CH256" i="6" s="1"/>
  <c r="CH313" i="6" s="1"/>
  <c r="CG255" i="6"/>
  <c r="CH255" i="6" s="1"/>
  <c r="CH312" i="6" s="1"/>
  <c r="CG252" i="6"/>
  <c r="CH252" i="6" s="1"/>
  <c r="CG251" i="6"/>
  <c r="CH251" i="6" s="1"/>
  <c r="CG250" i="6"/>
  <c r="CH250" i="6" s="1"/>
  <c r="CG249" i="6"/>
  <c r="CH249" i="6" s="1"/>
  <c r="CG248" i="6"/>
  <c r="CH248" i="6" s="1"/>
  <c r="CH295" i="6" s="1"/>
  <c r="CG242" i="6"/>
  <c r="CH242" i="6" s="1"/>
  <c r="CH297" i="6" s="1"/>
  <c r="CG241" i="6"/>
  <c r="CG236" i="6"/>
  <c r="CH236" i="6" s="1"/>
  <c r="CG235" i="6"/>
  <c r="CH235" i="6" s="1"/>
  <c r="CG234" i="6"/>
  <c r="CH234" i="6" s="1"/>
  <c r="CG232" i="6"/>
  <c r="CH232" i="6" s="1"/>
  <c r="CH202" i="6"/>
  <c r="CG202" i="6"/>
  <c r="CF321" i="6"/>
  <c r="CF317" i="6"/>
  <c r="CF316" i="6"/>
  <c r="CF315" i="6"/>
  <c r="CF314" i="6"/>
  <c r="CF313" i="6"/>
  <c r="CF312" i="6"/>
  <c r="CF297" i="6"/>
  <c r="CF296" i="6"/>
  <c r="CF295" i="6"/>
  <c r="CF294" i="6"/>
  <c r="CF291" i="6"/>
  <c r="CF290" i="6"/>
  <c r="CF289" i="6"/>
  <c r="CF288" i="6"/>
  <c r="CF287" i="6"/>
  <c r="CF281" i="6"/>
  <c r="CF279" i="6"/>
  <c r="CF278" i="6"/>
  <c r="CF275" i="6"/>
  <c r="CF274" i="6"/>
  <c r="CF273" i="6"/>
  <c r="CF272" i="6"/>
  <c r="CF270" i="6"/>
  <c r="CF269" i="6"/>
  <c r="CF268" i="6"/>
  <c r="CF271" i="6" s="1"/>
  <c r="CE321" i="6"/>
  <c r="CE317" i="6"/>
  <c r="CE316" i="6"/>
  <c r="CE315" i="6"/>
  <c r="CE314" i="6"/>
  <c r="CE313" i="6"/>
  <c r="CE312" i="6"/>
  <c r="CE297" i="6"/>
  <c r="CE296" i="6"/>
  <c r="CE295" i="6"/>
  <c r="CE294" i="6"/>
  <c r="CE291" i="6"/>
  <c r="CE290" i="6"/>
  <c r="CE289" i="6"/>
  <c r="CE288" i="6"/>
  <c r="CE287" i="6"/>
  <c r="CE281" i="6"/>
  <c r="CE279" i="6"/>
  <c r="CE278" i="6"/>
  <c r="CE275" i="6"/>
  <c r="CE274" i="6"/>
  <c r="CE273" i="6"/>
  <c r="CE272" i="6"/>
  <c r="CE270" i="6"/>
  <c r="CE269" i="6"/>
  <c r="CE268" i="6"/>
  <c r="CE271" i="6" s="1"/>
  <c r="CF260" i="6"/>
  <c r="CF247" i="6"/>
  <c r="CF253" i="6" s="1"/>
  <c r="CF261" i="6" s="1"/>
  <c r="CF263" i="6" s="1"/>
  <c r="CF230" i="6"/>
  <c r="CF237" i="6" s="1"/>
  <c r="CF342" i="6" s="1"/>
  <c r="CF345" i="6" s="1"/>
  <c r="CE260" i="6"/>
  <c r="CE253" i="6"/>
  <c r="CE261" i="6" s="1"/>
  <c r="CE247" i="6"/>
  <c r="CE237" i="6"/>
  <c r="CE342" i="6" s="1"/>
  <c r="CE345" i="6" s="1"/>
  <c r="CE230" i="6"/>
  <c r="CF214" i="6"/>
  <c r="CF202" i="6"/>
  <c r="CF193" i="6"/>
  <c r="CF186" i="6"/>
  <c r="CF210" i="6" s="1"/>
  <c r="CE214" i="6"/>
  <c r="CE207" i="6"/>
  <c r="CF206" i="6" s="1"/>
  <c r="CE202" i="6"/>
  <c r="CE193" i="6"/>
  <c r="CE186" i="6"/>
  <c r="CE210" i="6" s="1"/>
  <c r="CE372" i="6" s="1"/>
  <c r="CF170" i="6"/>
  <c r="CF168" i="6"/>
  <c r="CF167" i="6"/>
  <c r="CF166" i="6"/>
  <c r="CF161" i="6"/>
  <c r="CE170" i="6"/>
  <c r="CE168" i="6"/>
  <c r="CE167" i="6"/>
  <c r="CE166" i="6"/>
  <c r="CE161" i="6"/>
  <c r="CI87" i="6"/>
  <c r="CI76" i="6"/>
  <c r="CI65" i="6"/>
  <c r="CI54" i="6"/>
  <c r="CF108" i="6"/>
  <c r="CF109" i="6" s="1"/>
  <c r="CF102" i="6"/>
  <c r="CF105" i="6" s="1"/>
  <c r="CF98" i="6"/>
  <c r="CF99" i="6" s="1"/>
  <c r="CE108" i="6"/>
  <c r="CE109" i="6" s="1"/>
  <c r="CE102" i="6"/>
  <c r="CE105" i="6" s="1"/>
  <c r="CE98" i="6"/>
  <c r="CE99" i="6" s="1"/>
  <c r="CG132" i="6"/>
  <c r="CG327" i="6" s="1"/>
  <c r="CG335" i="6" s="1"/>
  <c r="CH140" i="6"/>
  <c r="CH139" i="6"/>
  <c r="CH361" i="6" s="1"/>
  <c r="CH362" i="6" s="1"/>
  <c r="CH138" i="6"/>
  <c r="CG140" i="6"/>
  <c r="CG139" i="6"/>
  <c r="CG361" i="6" s="1"/>
  <c r="CG362" i="6" s="1"/>
  <c r="CG138" i="6"/>
  <c r="CG127" i="6"/>
  <c r="CH127" i="6" s="1"/>
  <c r="CF116" i="6"/>
  <c r="CF162" i="6" s="1"/>
  <c r="CF107" i="6"/>
  <c r="CE116" i="6"/>
  <c r="CE162" i="6" s="1"/>
  <c r="CE107" i="6"/>
  <c r="CF90" i="6"/>
  <c r="CF88" i="6"/>
  <c r="CF79" i="6"/>
  <c r="CF77" i="6"/>
  <c r="CF68" i="6"/>
  <c r="CF66" i="6"/>
  <c r="CF57" i="6"/>
  <c r="CF55" i="6"/>
  <c r="CE90" i="6"/>
  <c r="CE88" i="6"/>
  <c r="CE79" i="6"/>
  <c r="CE77" i="6"/>
  <c r="CE68" i="6"/>
  <c r="CE66" i="6"/>
  <c r="CE57" i="6"/>
  <c r="CE55" i="6"/>
  <c r="CF91" i="6"/>
  <c r="CF80" i="6"/>
  <c r="CF69" i="6"/>
  <c r="CF58" i="6"/>
  <c r="CE91" i="6"/>
  <c r="CE80" i="6"/>
  <c r="CE69" i="6"/>
  <c r="CE58" i="6"/>
  <c r="AA98" i="6"/>
  <c r="CI149" i="6"/>
  <c r="CJ149" i="6" s="1"/>
  <c r="CK149" i="6" s="1"/>
  <c r="CL149" i="6" s="1"/>
  <c r="CM149" i="6" s="1"/>
  <c r="CI148" i="6"/>
  <c r="CG148" i="6" s="1"/>
  <c r="CI147" i="6"/>
  <c r="CJ147" i="6" s="1"/>
  <c r="CK147" i="6" s="1"/>
  <c r="CL147" i="6" s="1"/>
  <c r="CM147" i="6" s="1"/>
  <c r="CI146" i="6"/>
  <c r="CJ146" i="6" s="1"/>
  <c r="CK146" i="6" s="1"/>
  <c r="CL146" i="6" s="1"/>
  <c r="CM146" i="6" s="1"/>
  <c r="CI145" i="6"/>
  <c r="CJ145" i="6" s="1"/>
  <c r="CK145" i="6" s="1"/>
  <c r="CL145" i="6" s="1"/>
  <c r="CM145" i="6" s="1"/>
  <c r="CI144" i="6"/>
  <c r="CJ144" i="6" s="1"/>
  <c r="CK144" i="6" s="1"/>
  <c r="AE151" i="6"/>
  <c r="AJ151" i="6"/>
  <c r="AO151" i="6"/>
  <c r="AT151" i="6"/>
  <c r="AY151" i="6"/>
  <c r="BD151" i="6"/>
  <c r="AJ158" i="6"/>
  <c r="AE158" i="6"/>
  <c r="CB150" i="6"/>
  <c r="CB151" i="6" s="1"/>
  <c r="CA150" i="6"/>
  <c r="BZ150" i="6"/>
  <c r="BT150" i="6"/>
  <c r="BO150" i="6"/>
  <c r="BJ150" i="6"/>
  <c r="BE150" i="6"/>
  <c r="AZ150" i="6"/>
  <c r="AU150" i="6"/>
  <c r="AP150" i="6"/>
  <c r="BY150" i="6"/>
  <c r="CC150" i="6"/>
  <c r="CD150" i="6"/>
  <c r="BE98" i="6"/>
  <c r="AZ98" i="6"/>
  <c r="BE99" i="6" s="1"/>
  <c r="BE101" i="6" s="1"/>
  <c r="AU98" i="6"/>
  <c r="AP98" i="6"/>
  <c r="AK98" i="6"/>
  <c r="AF98" i="6"/>
  <c r="AA99" i="6"/>
  <c r="AA101" i="6" s="1"/>
  <c r="V98" i="6"/>
  <c r="Q98" i="6"/>
  <c r="L98" i="6"/>
  <c r="G98" i="6"/>
  <c r="AP99" i="6"/>
  <c r="AP101" i="6" s="1"/>
  <c r="V99" i="6"/>
  <c r="V101" i="6" s="1"/>
  <c r="C89" i="8"/>
  <c r="C80" i="8"/>
  <c r="H8" i="9"/>
  <c r="G8" i="9"/>
  <c r="F8" i="9"/>
  <c r="E8" i="9"/>
  <c r="D8" i="9"/>
  <c r="H19" i="8"/>
  <c r="G19" i="8"/>
  <c r="F19" i="8"/>
  <c r="E19" i="8"/>
  <c r="D19" i="8"/>
  <c r="C15" i="8"/>
  <c r="H29" i="8" s="1"/>
  <c r="C11" i="8"/>
  <c r="C8" i="8"/>
  <c r="C13" i="8" s="1"/>
  <c r="C65" i="8" s="1"/>
  <c r="C71" i="8" s="1"/>
  <c r="K3" i="7"/>
  <c r="R29" i="7" s="1"/>
  <c r="C21" i="7"/>
  <c r="C5" i="7"/>
  <c r="CP9" i="6"/>
  <c r="CM91" i="6"/>
  <c r="CM88" i="6"/>
  <c r="CM80" i="6"/>
  <c r="CM77" i="6"/>
  <c r="CM69" i="6"/>
  <c r="CM66" i="6"/>
  <c r="CM58" i="6"/>
  <c r="CM55" i="6"/>
  <c r="CL91" i="6"/>
  <c r="CL88" i="6"/>
  <c r="CL80" i="6"/>
  <c r="CL77" i="6"/>
  <c r="CL69" i="6"/>
  <c r="CL66" i="6"/>
  <c r="CL58" i="6"/>
  <c r="CL55" i="6"/>
  <c r="CK91" i="6"/>
  <c r="CK88" i="6"/>
  <c r="CK80" i="6"/>
  <c r="CK77" i="6"/>
  <c r="CK69" i="6"/>
  <c r="CK66" i="6"/>
  <c r="CK58" i="6"/>
  <c r="CK55" i="6"/>
  <c r="CJ91" i="6"/>
  <c r="CJ88" i="6"/>
  <c r="CJ80" i="6"/>
  <c r="CJ77" i="6"/>
  <c r="CJ69" i="6"/>
  <c r="CJ66" i="6"/>
  <c r="CJ58" i="6"/>
  <c r="CJ55" i="6"/>
  <c r="CL268" i="6"/>
  <c r="CM268" i="6" s="1"/>
  <c r="BT344" i="6"/>
  <c r="CI327" i="6"/>
  <c r="CI335" i="6" s="1"/>
  <c r="CJ327" i="6"/>
  <c r="CJ335" i="6" s="1"/>
  <c r="CK327" i="6"/>
  <c r="CL327" i="6"/>
  <c r="CM327" i="6"/>
  <c r="G330" i="6"/>
  <c r="L330" i="6"/>
  <c r="Q330" i="6"/>
  <c r="V330" i="6"/>
  <c r="AA330" i="6"/>
  <c r="AF330" i="6"/>
  <c r="AK330" i="6"/>
  <c r="AP330" i="6"/>
  <c r="AU330" i="6"/>
  <c r="AZ330" i="6"/>
  <c r="G331" i="6"/>
  <c r="G363" i="6" s="1"/>
  <c r="L331" i="6"/>
  <c r="L363" i="6" s="1"/>
  <c r="Q331" i="6"/>
  <c r="Q354" i="6" s="1"/>
  <c r="V331" i="6"/>
  <c r="V354" i="6" s="1"/>
  <c r="AA331" i="6"/>
  <c r="AA363" i="6" s="1"/>
  <c r="AF331" i="6"/>
  <c r="AF363" i="6" s="1"/>
  <c r="AK331" i="6"/>
  <c r="AK354" i="6" s="1"/>
  <c r="AP331" i="6"/>
  <c r="AP363" i="6" s="1"/>
  <c r="AU331" i="6"/>
  <c r="AU363" i="6" s="1"/>
  <c r="AZ331" i="6"/>
  <c r="AZ354" i="6" s="1"/>
  <c r="BY331" i="6"/>
  <c r="BY354" i="6" s="1"/>
  <c r="CL335" i="6"/>
  <c r="CM335" i="6"/>
  <c r="G343" i="6"/>
  <c r="L343" i="6"/>
  <c r="Q343" i="6"/>
  <c r="V343" i="6"/>
  <c r="AA343" i="6"/>
  <c r="AF343" i="6"/>
  <c r="AK343" i="6"/>
  <c r="AP343" i="6"/>
  <c r="AU343" i="6"/>
  <c r="AZ343" i="6"/>
  <c r="BE343" i="6"/>
  <c r="BJ343" i="6"/>
  <c r="BO343" i="6"/>
  <c r="BT343" i="6"/>
  <c r="BY343" i="6"/>
  <c r="CD343" i="6"/>
  <c r="G344" i="6"/>
  <c r="L344" i="6"/>
  <c r="Q344" i="6"/>
  <c r="V344" i="6"/>
  <c r="AA344" i="6"/>
  <c r="AF344" i="6"/>
  <c r="AK344" i="6"/>
  <c r="AP344" i="6"/>
  <c r="AU344" i="6"/>
  <c r="AZ344" i="6"/>
  <c r="BE344" i="6"/>
  <c r="BJ344" i="6"/>
  <c r="BO344" i="6"/>
  <c r="BY344" i="6"/>
  <c r="CD344" i="6"/>
  <c r="G350" i="6"/>
  <c r="L350" i="6"/>
  <c r="Q350" i="6"/>
  <c r="V350" i="6"/>
  <c r="AA350" i="6"/>
  <c r="AF350" i="6"/>
  <c r="AK350" i="6"/>
  <c r="AP350" i="6"/>
  <c r="AU350" i="6"/>
  <c r="AZ350" i="6"/>
  <c r="CJ360" i="6"/>
  <c r="CK360" i="6" s="1"/>
  <c r="CL360" i="6" s="1"/>
  <c r="CM360" i="6" s="1"/>
  <c r="G361" i="6"/>
  <c r="L361" i="6"/>
  <c r="L362" i="6" s="1"/>
  <c r="Q361" i="6"/>
  <c r="Q362" i="6" s="1"/>
  <c r="V361" i="6"/>
  <c r="V362" i="6" s="1"/>
  <c r="AA361" i="6"/>
  <c r="AA362" i="6" s="1"/>
  <c r="AF361" i="6"/>
  <c r="AF362" i="6" s="1"/>
  <c r="AK361" i="6"/>
  <c r="AK362" i="6" s="1"/>
  <c r="AP361" i="6"/>
  <c r="AP362" i="6" s="1"/>
  <c r="AU361" i="6"/>
  <c r="AU362" i="6" s="1"/>
  <c r="AZ361" i="6"/>
  <c r="AZ362" i="6" s="1"/>
  <c r="BE361" i="6"/>
  <c r="BE362" i="6" s="1"/>
  <c r="BJ361" i="6"/>
  <c r="BJ362" i="6" s="1"/>
  <c r="BO361" i="6"/>
  <c r="BO362" i="6" s="1"/>
  <c r="BT361" i="6"/>
  <c r="BT362" i="6" s="1"/>
  <c r="BY361" i="6"/>
  <c r="BY362" i="6" s="1"/>
  <c r="CD361" i="6"/>
  <c r="CD362" i="6" s="1"/>
  <c r="G362" i="6"/>
  <c r="Q363" i="6"/>
  <c r="CK270" i="6"/>
  <c r="CL270" i="6" s="1"/>
  <c r="CM270" i="6" s="1"/>
  <c r="CM269" i="6"/>
  <c r="CI252" i="6"/>
  <c r="CJ252" i="6" s="1"/>
  <c r="CK252" i="6" s="1"/>
  <c r="CL252" i="6" s="1"/>
  <c r="CM252" i="6" s="1"/>
  <c r="CI251" i="6"/>
  <c r="CJ251" i="6" s="1"/>
  <c r="CK251" i="6" s="1"/>
  <c r="CL251" i="6" s="1"/>
  <c r="CM251" i="6" s="1"/>
  <c r="CI250" i="6"/>
  <c r="CJ250" i="6" s="1"/>
  <c r="CK250" i="6" s="1"/>
  <c r="CL250" i="6" s="1"/>
  <c r="CM250" i="6" s="1"/>
  <c r="CI236" i="6"/>
  <c r="CJ236" i="6" s="1"/>
  <c r="CK236" i="6" s="1"/>
  <c r="CL236" i="6" s="1"/>
  <c r="CM236" i="6" s="1"/>
  <c r="CI235" i="6"/>
  <c r="CJ235" i="6" s="1"/>
  <c r="CK235" i="6" s="1"/>
  <c r="CL235" i="6" s="1"/>
  <c r="CM235" i="6" s="1"/>
  <c r="CI249" i="6"/>
  <c r="CJ249" i="6" s="1"/>
  <c r="CK249" i="6" s="1"/>
  <c r="CL249" i="6" s="1"/>
  <c r="CM249" i="6" s="1"/>
  <c r="CI248" i="6"/>
  <c r="CJ248" i="6" s="1"/>
  <c r="CK248" i="6" s="1"/>
  <c r="CL248" i="6" s="1"/>
  <c r="CM248" i="6" s="1"/>
  <c r="CI242" i="6"/>
  <c r="CJ242" i="6" s="1"/>
  <c r="CI241" i="6"/>
  <c r="CI234" i="6"/>
  <c r="CJ234" i="6" s="1"/>
  <c r="CK234" i="6" s="1"/>
  <c r="CL234" i="6" s="1"/>
  <c r="CM234" i="6" s="1"/>
  <c r="CI232" i="6"/>
  <c r="CJ232" i="6" s="1"/>
  <c r="CK232" i="6" s="1"/>
  <c r="AZ294" i="6"/>
  <c r="AU294" i="6"/>
  <c r="AP294" i="6"/>
  <c r="AK294" i="6"/>
  <c r="AF294" i="6"/>
  <c r="AA294" i="6"/>
  <c r="V294" i="6"/>
  <c r="Q294" i="6"/>
  <c r="L294" i="6"/>
  <c r="G294" i="6"/>
  <c r="AZ321" i="6"/>
  <c r="AZ317" i="6"/>
  <c r="AZ316" i="6"/>
  <c r="AZ315" i="6"/>
  <c r="AZ314" i="6"/>
  <c r="AZ313" i="6"/>
  <c r="AZ312" i="6"/>
  <c r="AZ297" i="6"/>
  <c r="AZ296" i="6"/>
  <c r="AZ295" i="6"/>
  <c r="AZ291" i="6"/>
  <c r="AZ290" i="6"/>
  <c r="AZ289" i="6"/>
  <c r="AZ288" i="6"/>
  <c r="AZ287" i="6"/>
  <c r="AZ281" i="6"/>
  <c r="AZ279" i="6"/>
  <c r="AZ278" i="6"/>
  <c r="AZ275" i="6"/>
  <c r="AZ274" i="6"/>
  <c r="AZ273" i="6"/>
  <c r="AZ272" i="6"/>
  <c r="AZ270" i="6"/>
  <c r="AZ269" i="6"/>
  <c r="AZ268" i="6"/>
  <c r="AU321" i="6"/>
  <c r="AU317" i="6"/>
  <c r="AU316" i="6"/>
  <c r="AU315" i="6"/>
  <c r="AU314" i="6"/>
  <c r="AU313" i="6"/>
  <c r="AU312" i="6"/>
  <c r="AU297" i="6"/>
  <c r="AU296" i="6"/>
  <c r="AU295" i="6"/>
  <c r="AU291" i="6"/>
  <c r="AU290" i="6"/>
  <c r="AU289" i="6"/>
  <c r="AU288" i="6"/>
  <c r="AU287" i="6"/>
  <c r="AU281" i="6"/>
  <c r="AU279" i="6"/>
  <c r="AU278" i="6"/>
  <c r="AU275" i="6"/>
  <c r="AU274" i="6"/>
  <c r="AU273" i="6"/>
  <c r="AU272" i="6"/>
  <c r="AU270" i="6"/>
  <c r="AU269" i="6"/>
  <c r="AU268" i="6"/>
  <c r="AP321" i="6"/>
  <c r="AP317" i="6"/>
  <c r="AP316" i="6"/>
  <c r="AP315" i="6"/>
  <c r="AP314" i="6"/>
  <c r="AP313" i="6"/>
  <c r="AP312" i="6"/>
  <c r="AP297" i="6"/>
  <c r="AP296" i="6"/>
  <c r="AP295" i="6"/>
  <c r="AP291" i="6"/>
  <c r="AP290" i="6"/>
  <c r="AP289" i="6"/>
  <c r="AP288" i="6"/>
  <c r="AP287" i="6"/>
  <c r="AP281" i="6"/>
  <c r="AP279" i="6"/>
  <c r="AP278" i="6"/>
  <c r="AP275" i="6"/>
  <c r="AP274" i="6"/>
  <c r="AP273" i="6"/>
  <c r="AP272" i="6"/>
  <c r="AP270" i="6"/>
  <c r="AP269" i="6"/>
  <c r="AP268" i="6"/>
  <c r="AK321" i="6"/>
  <c r="AK317" i="6"/>
  <c r="AK316" i="6"/>
  <c r="AK315" i="6"/>
  <c r="AK314" i="6"/>
  <c r="AK313" i="6"/>
  <c r="AK312" i="6"/>
  <c r="AK297" i="6"/>
  <c r="AK296" i="6"/>
  <c r="AK295" i="6"/>
  <c r="AK291" i="6"/>
  <c r="AK290" i="6"/>
  <c r="AK289" i="6"/>
  <c r="AK288" i="6"/>
  <c r="AK287" i="6"/>
  <c r="AK281" i="6"/>
  <c r="AK279" i="6"/>
  <c r="AK278" i="6"/>
  <c r="AK275" i="6"/>
  <c r="AK274" i="6"/>
  <c r="AK273" i="6"/>
  <c r="AK272" i="6"/>
  <c r="AK270" i="6"/>
  <c r="AK269" i="6"/>
  <c r="AK268" i="6"/>
  <c r="AF321" i="6"/>
  <c r="AF317" i="6"/>
  <c r="AF316" i="6"/>
  <c r="AF315" i="6"/>
  <c r="AF314" i="6"/>
  <c r="AF313" i="6"/>
  <c r="AF312" i="6"/>
  <c r="AF297" i="6"/>
  <c r="AF296" i="6"/>
  <c r="AF295" i="6"/>
  <c r="AF291" i="6"/>
  <c r="AF290" i="6"/>
  <c r="AF289" i="6"/>
  <c r="AF288" i="6"/>
  <c r="AF287" i="6"/>
  <c r="AF281" i="6"/>
  <c r="AF279" i="6"/>
  <c r="AF278" i="6"/>
  <c r="AF275" i="6"/>
  <c r="AF274" i="6"/>
  <c r="AF273" i="6"/>
  <c r="AF272" i="6"/>
  <c r="AF270" i="6"/>
  <c r="AF269" i="6"/>
  <c r="AF268" i="6"/>
  <c r="AA321" i="6"/>
  <c r="AA317" i="6"/>
  <c r="AA316" i="6"/>
  <c r="AA315" i="6"/>
  <c r="AA314" i="6"/>
  <c r="AA313" i="6"/>
  <c r="AA312" i="6"/>
  <c r="AA297" i="6"/>
  <c r="AA296" i="6"/>
  <c r="AA295" i="6"/>
  <c r="AA291" i="6"/>
  <c r="AA290" i="6"/>
  <c r="AA289" i="6"/>
  <c r="AA288" i="6"/>
  <c r="AA287" i="6"/>
  <c r="AA281" i="6"/>
  <c r="AA279" i="6"/>
  <c r="AA278" i="6"/>
  <c r="AA275" i="6"/>
  <c r="AA274" i="6"/>
  <c r="AA273" i="6"/>
  <c r="AA272" i="6"/>
  <c r="AA270" i="6"/>
  <c r="AA269" i="6"/>
  <c r="AA268" i="6"/>
  <c r="V321" i="6"/>
  <c r="V317" i="6"/>
  <c r="V316" i="6"/>
  <c r="V315" i="6"/>
  <c r="V314" i="6"/>
  <c r="V313" i="6"/>
  <c r="V312" i="6"/>
  <c r="V297" i="6"/>
  <c r="V296" i="6"/>
  <c r="V295" i="6"/>
  <c r="V291" i="6"/>
  <c r="V290" i="6"/>
  <c r="V289" i="6"/>
  <c r="V288" i="6"/>
  <c r="V287" i="6"/>
  <c r="V281" i="6"/>
  <c r="V279" i="6"/>
  <c r="V278" i="6"/>
  <c r="V275" i="6"/>
  <c r="V274" i="6"/>
  <c r="V273" i="6"/>
  <c r="V272" i="6"/>
  <c r="V270" i="6"/>
  <c r="V269" i="6"/>
  <c r="V268" i="6"/>
  <c r="Q321" i="6"/>
  <c r="Q317" i="6"/>
  <c r="Q316" i="6"/>
  <c r="Q315" i="6"/>
  <c r="Q314" i="6"/>
  <c r="Q313" i="6"/>
  <c r="Q312" i="6"/>
  <c r="Q297" i="6"/>
  <c r="Q296" i="6"/>
  <c r="Q295" i="6"/>
  <c r="Q291" i="6"/>
  <c r="Q290" i="6"/>
  <c r="Q289" i="6"/>
  <c r="Q288" i="6"/>
  <c r="Q287" i="6"/>
  <c r="Q281" i="6"/>
  <c r="Q279" i="6"/>
  <c r="Q278" i="6"/>
  <c r="Q275" i="6"/>
  <c r="Q274" i="6"/>
  <c r="Q273" i="6"/>
  <c r="Q272" i="6"/>
  <c r="Q270" i="6"/>
  <c r="Q269" i="6"/>
  <c r="Q268" i="6"/>
  <c r="L321" i="6"/>
  <c r="L317" i="6"/>
  <c r="L316" i="6"/>
  <c r="L315" i="6"/>
  <c r="L314" i="6"/>
  <c r="L313" i="6"/>
  <c r="L312" i="6"/>
  <c r="L297" i="6"/>
  <c r="L296" i="6"/>
  <c r="L295" i="6"/>
  <c r="L291" i="6"/>
  <c r="L290" i="6"/>
  <c r="L289" i="6"/>
  <c r="L288" i="6"/>
  <c r="L287" i="6"/>
  <c r="L281" i="6"/>
  <c r="L279" i="6"/>
  <c r="L278" i="6"/>
  <c r="L275" i="6"/>
  <c r="L274" i="6"/>
  <c r="L273" i="6"/>
  <c r="L272" i="6"/>
  <c r="L270" i="6"/>
  <c r="L269" i="6"/>
  <c r="L268" i="6"/>
  <c r="G321" i="6"/>
  <c r="G317" i="6"/>
  <c r="G316" i="6"/>
  <c r="G315" i="6"/>
  <c r="G314" i="6"/>
  <c r="G313" i="6"/>
  <c r="G312" i="6"/>
  <c r="G297" i="6"/>
  <c r="G296" i="6"/>
  <c r="G295" i="6"/>
  <c r="G291" i="6"/>
  <c r="G290" i="6"/>
  <c r="G289" i="6"/>
  <c r="G288" i="6"/>
  <c r="G287" i="6"/>
  <c r="G281" i="6"/>
  <c r="G279" i="6"/>
  <c r="G278" i="6"/>
  <c r="G275" i="6"/>
  <c r="G274" i="6"/>
  <c r="G273" i="6"/>
  <c r="G272" i="6"/>
  <c r="G270" i="6"/>
  <c r="G269" i="6"/>
  <c r="G268" i="6"/>
  <c r="CI256" i="6"/>
  <c r="CI313" i="6" s="1"/>
  <c r="CI259" i="6"/>
  <c r="CJ259" i="6" s="1"/>
  <c r="CI258" i="6"/>
  <c r="CJ258" i="6" s="1"/>
  <c r="CK258" i="6" s="1"/>
  <c r="CI255" i="6"/>
  <c r="CD294" i="6"/>
  <c r="BY294" i="6"/>
  <c r="BT294" i="6"/>
  <c r="BO294" i="6"/>
  <c r="BJ294" i="6"/>
  <c r="BE294" i="6"/>
  <c r="CM315" i="6"/>
  <c r="CL315" i="6"/>
  <c r="CK315" i="6"/>
  <c r="CJ315" i="6"/>
  <c r="CI316" i="6"/>
  <c r="CI315" i="6"/>
  <c r="CD317" i="6"/>
  <c r="CD316" i="6"/>
  <c r="CD315" i="6"/>
  <c r="CD314" i="6"/>
  <c r="CD313" i="6"/>
  <c r="CD312" i="6"/>
  <c r="CD297" i="6"/>
  <c r="CD296" i="6"/>
  <c r="CD295" i="6"/>
  <c r="BY321" i="6"/>
  <c r="BY317" i="6"/>
  <c r="BY316" i="6"/>
  <c r="BY315" i="6"/>
  <c r="BY314" i="6"/>
  <c r="BY313" i="6"/>
  <c r="BY312" i="6"/>
  <c r="BY297" i="6"/>
  <c r="BY296" i="6"/>
  <c r="BY295" i="6"/>
  <c r="BT317" i="6"/>
  <c r="BT316" i="6"/>
  <c r="BT315" i="6"/>
  <c r="BT314" i="6"/>
  <c r="BT313" i="6"/>
  <c r="BT312" i="6"/>
  <c r="BT297" i="6"/>
  <c r="BT296" i="6"/>
  <c r="BT295" i="6"/>
  <c r="BO317" i="6"/>
  <c r="BO316" i="6"/>
  <c r="BO315" i="6"/>
  <c r="BO314" i="6"/>
  <c r="BO313" i="6"/>
  <c r="BO312" i="6"/>
  <c r="BO297" i="6"/>
  <c r="BO296" i="6"/>
  <c r="BO295" i="6"/>
  <c r="BJ320" i="6"/>
  <c r="BJ317" i="6"/>
  <c r="BJ316" i="6"/>
  <c r="BJ315" i="6"/>
  <c r="BJ314" i="6"/>
  <c r="BJ313" i="6"/>
  <c r="BJ312" i="6"/>
  <c r="BJ297" i="6"/>
  <c r="BJ296" i="6"/>
  <c r="BJ295" i="6"/>
  <c r="BE317" i="6"/>
  <c r="BE316" i="6"/>
  <c r="BE315" i="6"/>
  <c r="BE314" i="6"/>
  <c r="BE313" i="6"/>
  <c r="BE312" i="6"/>
  <c r="BE297" i="6"/>
  <c r="BE296" i="6"/>
  <c r="BE295" i="6"/>
  <c r="BE291" i="6"/>
  <c r="BE290" i="6"/>
  <c r="BE289" i="6"/>
  <c r="BE288" i="6"/>
  <c r="BE287" i="6"/>
  <c r="BE281" i="6"/>
  <c r="BE279" i="6"/>
  <c r="BE278" i="6"/>
  <c r="BE275" i="6"/>
  <c r="BE274" i="6"/>
  <c r="BE273" i="6"/>
  <c r="BE272" i="6"/>
  <c r="BE270" i="6"/>
  <c r="BE269" i="6"/>
  <c r="BE268" i="6"/>
  <c r="E27" i="5"/>
  <c r="AF28" i="5"/>
  <c r="AE28" i="5"/>
  <c r="AD28" i="5"/>
  <c r="AC28" i="5"/>
  <c r="Q28" i="5"/>
  <c r="T28" i="5"/>
  <c r="S28" i="5"/>
  <c r="R28" i="5"/>
  <c r="BS384" i="2"/>
  <c r="BT384" i="2" s="1"/>
  <c r="BU384" i="2" s="1"/>
  <c r="BR384" i="2"/>
  <c r="BO373" i="6"/>
  <c r="BJ373" i="6"/>
  <c r="BE373" i="6"/>
  <c r="CJ167" i="6"/>
  <c r="CK167" i="6" s="1"/>
  <c r="CL167" i="6" s="1"/>
  <c r="CM167" i="6" s="1"/>
  <c r="BX226" i="6"/>
  <c r="CD202" i="6"/>
  <c r="CD193" i="6"/>
  <c r="CD186" i="6"/>
  <c r="BY202" i="6"/>
  <c r="BY193" i="6"/>
  <c r="BY186" i="6"/>
  <c r="BT202" i="6"/>
  <c r="BT193" i="6"/>
  <c r="BT186" i="6"/>
  <c r="BT210" i="6" s="1"/>
  <c r="BO202" i="6"/>
  <c r="BO193" i="6"/>
  <c r="BO186" i="6"/>
  <c r="BK206" i="6"/>
  <c r="CC259" i="6"/>
  <c r="CC258" i="6"/>
  <c r="CC257" i="6"/>
  <c r="CC256" i="6"/>
  <c r="CC255" i="6"/>
  <c r="CC252" i="6"/>
  <c r="CC251" i="6"/>
  <c r="CC250" i="6"/>
  <c r="CC248" i="6"/>
  <c r="CC246" i="6"/>
  <c r="CC245" i="6"/>
  <c r="CC244" i="6"/>
  <c r="CC243" i="6"/>
  <c r="CC241" i="6"/>
  <c r="CC236" i="6"/>
  <c r="CC235" i="6"/>
  <c r="CC234" i="6"/>
  <c r="CC233" i="6"/>
  <c r="CC232" i="6"/>
  <c r="CC231" i="6"/>
  <c r="CC229" i="6"/>
  <c r="CC228" i="6"/>
  <c r="CC227" i="6"/>
  <c r="BX259" i="6"/>
  <c r="BX258" i="6"/>
  <c r="BX257" i="6"/>
  <c r="BX256" i="6"/>
  <c r="BX255" i="6"/>
  <c r="BX252" i="6"/>
  <c r="BX251" i="6"/>
  <c r="BX250" i="6"/>
  <c r="BX248" i="6"/>
  <c r="BX246" i="6"/>
  <c r="BX245" i="6"/>
  <c r="BX244" i="6"/>
  <c r="BX243" i="6"/>
  <c r="BX241" i="6"/>
  <c r="BX236" i="6"/>
  <c r="BX235" i="6"/>
  <c r="BX234" i="6"/>
  <c r="BX233" i="6"/>
  <c r="BX232" i="6"/>
  <c r="BX231" i="6"/>
  <c r="BX229" i="6"/>
  <c r="BX228" i="6"/>
  <c r="BX227" i="6"/>
  <c r="BS259" i="6"/>
  <c r="BS258" i="6"/>
  <c r="BS257" i="6"/>
  <c r="BS256" i="6"/>
  <c r="BS255" i="6"/>
  <c r="BS252" i="6"/>
  <c r="BS251" i="6"/>
  <c r="BS250" i="6"/>
  <c r="BS248" i="6"/>
  <c r="BS246" i="6"/>
  <c r="BS245" i="6"/>
  <c r="BS244" i="6"/>
  <c r="BS243" i="6"/>
  <c r="BS241" i="6"/>
  <c r="BS236" i="6"/>
  <c r="BS235" i="6"/>
  <c r="BS234" i="6"/>
  <c r="BS233" i="6"/>
  <c r="BS232" i="6"/>
  <c r="BS231" i="6"/>
  <c r="BS229" i="6"/>
  <c r="BS228" i="6"/>
  <c r="BS227" i="6"/>
  <c r="BN259" i="6"/>
  <c r="BN258" i="6"/>
  <c r="BN257" i="6"/>
  <c r="BN256" i="6"/>
  <c r="BN255" i="6"/>
  <c r="BN252" i="6"/>
  <c r="BN251" i="6"/>
  <c r="BN250" i="6"/>
  <c r="BN248" i="6"/>
  <c r="BN246" i="6"/>
  <c r="BN245" i="6"/>
  <c r="BN244" i="6"/>
  <c r="BN243" i="6"/>
  <c r="BN241" i="6"/>
  <c r="BN236" i="6"/>
  <c r="BN235" i="6"/>
  <c r="BN234" i="6"/>
  <c r="BN233" i="6"/>
  <c r="BN232" i="6"/>
  <c r="BN231" i="6"/>
  <c r="BN229" i="6"/>
  <c r="BN228" i="6"/>
  <c r="BN227" i="6"/>
  <c r="CC205" i="6"/>
  <c r="CC204" i="6"/>
  <c r="CC201" i="6"/>
  <c r="CC200" i="6"/>
  <c r="CC199" i="6"/>
  <c r="CC198" i="6"/>
  <c r="CC197" i="6"/>
  <c r="CC196" i="6"/>
  <c r="CC192" i="6"/>
  <c r="CC191" i="6"/>
  <c r="CC190" i="6"/>
  <c r="CC189" i="6"/>
  <c r="CC185" i="6"/>
  <c r="CC184" i="6"/>
  <c r="CC183" i="6"/>
  <c r="CC182" i="6"/>
  <c r="CC181" i="6"/>
  <c r="CC180" i="6"/>
  <c r="CC179" i="6"/>
  <c r="CC178" i="6"/>
  <c r="CC177" i="6"/>
  <c r="CC176" i="6"/>
  <c r="CC175" i="6"/>
  <c r="BX205" i="6"/>
  <c r="BX204" i="6"/>
  <c r="BX201" i="6"/>
  <c r="BX200" i="6"/>
  <c r="BX199" i="6"/>
  <c r="BX198" i="6"/>
  <c r="BX197" i="6"/>
  <c r="BX196" i="6"/>
  <c r="BX192" i="6"/>
  <c r="BX191" i="6"/>
  <c r="BX190" i="6"/>
  <c r="BX189" i="6"/>
  <c r="BX185" i="6"/>
  <c r="BX184" i="6"/>
  <c r="BX183" i="6"/>
  <c r="BX182" i="6"/>
  <c r="BX181" i="6"/>
  <c r="BX180" i="6"/>
  <c r="BX179" i="6"/>
  <c r="BX178" i="6"/>
  <c r="BX177" i="6"/>
  <c r="BX176" i="6"/>
  <c r="BX175" i="6"/>
  <c r="BS205" i="6"/>
  <c r="BS204" i="6"/>
  <c r="BS201" i="6"/>
  <c r="BS200" i="6"/>
  <c r="BS199" i="6"/>
  <c r="BS198" i="6"/>
  <c r="BS197" i="6"/>
  <c r="BS196" i="6"/>
  <c r="BS192" i="6"/>
  <c r="BS191" i="6"/>
  <c r="BS190" i="6"/>
  <c r="BS189" i="6"/>
  <c r="BS185" i="6"/>
  <c r="BS184" i="6"/>
  <c r="BS183" i="6"/>
  <c r="BS182" i="6"/>
  <c r="BS181" i="6"/>
  <c r="BS180" i="6"/>
  <c r="BS179" i="6"/>
  <c r="BS178" i="6"/>
  <c r="BS177" i="6"/>
  <c r="BS176" i="6"/>
  <c r="BS175" i="6"/>
  <c r="BN205" i="6"/>
  <c r="BN204" i="6"/>
  <c r="BN201" i="6"/>
  <c r="BN200" i="6"/>
  <c r="BN199" i="6"/>
  <c r="BN198" i="6"/>
  <c r="BN197" i="6"/>
  <c r="BN196" i="6"/>
  <c r="BN192" i="6"/>
  <c r="BN191" i="6"/>
  <c r="BN190" i="6"/>
  <c r="BN189" i="6"/>
  <c r="BN185" i="6"/>
  <c r="BN184" i="6"/>
  <c r="BN183" i="6"/>
  <c r="BN182" i="6"/>
  <c r="BN181" i="6"/>
  <c r="BN180" i="6"/>
  <c r="BN179" i="6"/>
  <c r="BN178" i="6"/>
  <c r="BN177" i="6"/>
  <c r="BN176" i="6"/>
  <c r="BN175" i="6"/>
  <c r="CB202" i="6"/>
  <c r="CB193" i="6"/>
  <c r="CB186" i="6"/>
  <c r="CA202" i="6"/>
  <c r="CA193" i="6"/>
  <c r="CA186" i="6"/>
  <c r="BZ202" i="6"/>
  <c r="BZ193" i="6"/>
  <c r="BZ186" i="6"/>
  <c r="BW202" i="6"/>
  <c r="BW193" i="6"/>
  <c r="BW186" i="6"/>
  <c r="BV202" i="6"/>
  <c r="BV193" i="6"/>
  <c r="BV186" i="6"/>
  <c r="BU202" i="6"/>
  <c r="BU193" i="6"/>
  <c r="BU186" i="6"/>
  <c r="BR202" i="6"/>
  <c r="BR193" i="6"/>
  <c r="BR186" i="6"/>
  <c r="BQ202" i="6"/>
  <c r="BQ193" i="6"/>
  <c r="BQ186" i="6"/>
  <c r="BP202" i="6"/>
  <c r="BP193" i="6"/>
  <c r="BP186" i="6"/>
  <c r="BM202" i="6"/>
  <c r="BM193" i="6"/>
  <c r="BM186" i="6"/>
  <c r="BL202" i="6"/>
  <c r="BL193" i="6"/>
  <c r="BL186" i="6"/>
  <c r="BK202" i="6"/>
  <c r="BK193" i="6"/>
  <c r="BK186" i="6"/>
  <c r="BH202" i="6"/>
  <c r="BH193" i="6"/>
  <c r="BH186" i="6"/>
  <c r="BG202" i="6"/>
  <c r="BG193" i="6"/>
  <c r="BG186" i="6"/>
  <c r="BF202" i="6"/>
  <c r="BF193" i="6"/>
  <c r="BF186" i="6"/>
  <c r="CD260" i="6"/>
  <c r="CD330" i="6" s="1"/>
  <c r="CD247" i="6"/>
  <c r="CD253" i="6" s="1"/>
  <c r="CB260" i="6"/>
  <c r="CB247" i="6"/>
  <c r="CB253" i="6" s="1"/>
  <c r="CA260" i="6"/>
  <c r="CA247" i="6"/>
  <c r="CA253" i="6" s="1"/>
  <c r="BZ260" i="6"/>
  <c r="BZ247" i="6"/>
  <c r="BZ253" i="6" s="1"/>
  <c r="BY260" i="6"/>
  <c r="BY330" i="6" s="1"/>
  <c r="BY247" i="6"/>
  <c r="BY253" i="6" s="1"/>
  <c r="BY230" i="6"/>
  <c r="BY237" i="6" s="1"/>
  <c r="BY342" i="6" s="1"/>
  <c r="BW260" i="6"/>
  <c r="BW247" i="6"/>
  <c r="BW253" i="6" s="1"/>
  <c r="BV260" i="6"/>
  <c r="BV247" i="6"/>
  <c r="BV253" i="6" s="1"/>
  <c r="BU260" i="6"/>
  <c r="BU247" i="6"/>
  <c r="BU253" i="6" s="1"/>
  <c r="BT260" i="6"/>
  <c r="BT330" i="6" s="1"/>
  <c r="BT247" i="6"/>
  <c r="BT253" i="6" s="1"/>
  <c r="BR260" i="6"/>
  <c r="BR247" i="6"/>
  <c r="BR253" i="6" s="1"/>
  <c r="BQ260" i="6"/>
  <c r="BQ247" i="6"/>
  <c r="BQ253" i="6" s="1"/>
  <c r="BP260" i="6"/>
  <c r="BP247" i="6"/>
  <c r="BP253" i="6" s="1"/>
  <c r="BO260" i="6"/>
  <c r="BO330" i="6" s="1"/>
  <c r="BO247" i="6"/>
  <c r="BO253" i="6" s="1"/>
  <c r="BM260" i="6"/>
  <c r="BM247" i="6"/>
  <c r="BM253" i="6" s="1"/>
  <c r="BL260" i="6"/>
  <c r="BL247" i="6"/>
  <c r="BL253" i="6" s="1"/>
  <c r="BK260" i="6"/>
  <c r="BK247" i="6"/>
  <c r="BK253" i="6" s="1"/>
  <c r="BJ260" i="6"/>
  <c r="BJ330" i="6" s="1"/>
  <c r="BJ247" i="6"/>
  <c r="BJ253" i="6" s="1"/>
  <c r="BI260" i="6"/>
  <c r="BI247" i="6"/>
  <c r="BI253" i="6" s="1"/>
  <c r="BH260" i="6"/>
  <c r="BH247" i="6"/>
  <c r="BH253" i="6" s="1"/>
  <c r="BG260" i="6"/>
  <c r="BG247" i="6"/>
  <c r="BG253" i="6" s="1"/>
  <c r="BF260" i="6"/>
  <c r="BF247" i="6"/>
  <c r="BF253" i="6" s="1"/>
  <c r="BE260" i="6"/>
  <c r="BE350" i="6" s="1"/>
  <c r="BE247" i="6"/>
  <c r="BE253" i="6" s="1"/>
  <c r="BJ226" i="6"/>
  <c r="BJ331" i="6" s="1"/>
  <c r="BI226" i="6"/>
  <c r="BI230" i="6" s="1"/>
  <c r="BI237" i="6" s="1"/>
  <c r="CM217" i="6"/>
  <c r="CL217" i="6"/>
  <c r="CK217" i="6"/>
  <c r="CJ217" i="6"/>
  <c r="CJ216" i="6"/>
  <c r="CK216" i="6" s="1"/>
  <c r="CL216" i="6" s="1"/>
  <c r="CI219" i="6"/>
  <c r="CI217" i="6"/>
  <c r="CI218" i="6" s="1"/>
  <c r="BE167" i="6"/>
  <c r="BE166" i="6"/>
  <c r="CC107" i="6"/>
  <c r="CD107" i="6"/>
  <c r="CB107" i="6"/>
  <c r="CA107" i="6"/>
  <c r="BZ107" i="6"/>
  <c r="BY107" i="6"/>
  <c r="BX107" i="6"/>
  <c r="BW107" i="6"/>
  <c r="BV107" i="6"/>
  <c r="BU107" i="6"/>
  <c r="BT107" i="6"/>
  <c r="BS107" i="6"/>
  <c r="BR107" i="6"/>
  <c r="BQ107" i="6"/>
  <c r="BP107" i="6"/>
  <c r="BO107" i="6"/>
  <c r="BN107" i="6"/>
  <c r="BM107" i="6"/>
  <c r="BL107" i="6"/>
  <c r="BK107" i="6"/>
  <c r="BY84" i="6"/>
  <c r="CD70" i="6"/>
  <c r="BY70" i="6"/>
  <c r="CC89" i="6"/>
  <c r="CC87" i="6"/>
  <c r="BX89" i="6"/>
  <c r="BX87" i="6"/>
  <c r="BS89" i="6"/>
  <c r="BS87" i="6"/>
  <c r="BN89" i="6"/>
  <c r="BN90" i="6" s="1"/>
  <c r="BN87" i="6"/>
  <c r="BN88" i="6" s="1"/>
  <c r="CC78" i="6"/>
  <c r="CC76" i="6"/>
  <c r="CC84" i="6" s="1"/>
  <c r="BX78" i="6"/>
  <c r="BX76" i="6"/>
  <c r="BX84" i="6" s="1"/>
  <c r="BS78" i="6"/>
  <c r="BS76" i="6"/>
  <c r="BN78" i="6"/>
  <c r="BN79" i="6" s="1"/>
  <c r="BN76" i="6"/>
  <c r="BN77" i="6" s="1"/>
  <c r="CC67" i="6"/>
  <c r="CC65" i="6"/>
  <c r="CC73" i="6" s="1"/>
  <c r="BX67" i="6"/>
  <c r="BX65" i="6"/>
  <c r="BX73" i="6" s="1"/>
  <c r="BS67" i="6"/>
  <c r="BS65" i="6"/>
  <c r="BN67" i="6"/>
  <c r="BN65" i="6"/>
  <c r="BN66" i="6" s="1"/>
  <c r="CC56" i="6"/>
  <c r="CC54" i="6"/>
  <c r="CC62" i="6" s="1"/>
  <c r="BX56" i="6"/>
  <c r="BX54" i="6"/>
  <c r="BX62" i="6" s="1"/>
  <c r="BS56" i="6"/>
  <c r="BS102" i="6" s="1"/>
  <c r="BS54" i="6"/>
  <c r="BS62" i="6" s="1"/>
  <c r="BN56" i="6"/>
  <c r="BN54" i="6"/>
  <c r="BN98" i="6" s="1"/>
  <c r="CD102" i="6"/>
  <c r="CD98" i="6"/>
  <c r="CB102" i="6"/>
  <c r="CB98" i="6"/>
  <c r="CA102" i="6"/>
  <c r="CA98" i="6"/>
  <c r="BZ102" i="6"/>
  <c r="BZ98" i="6"/>
  <c r="BZ110" i="6" s="1"/>
  <c r="BY102" i="6"/>
  <c r="BY98" i="6"/>
  <c r="BY110" i="6" s="1"/>
  <c r="BW102" i="6"/>
  <c r="BW98" i="6"/>
  <c r="BW110" i="6" s="1"/>
  <c r="BV102" i="6"/>
  <c r="BV98" i="6"/>
  <c r="BU102" i="6"/>
  <c r="BU98" i="6"/>
  <c r="BU110" i="6" s="1"/>
  <c r="BT102" i="6"/>
  <c r="BY103" i="6" s="1"/>
  <c r="BT98" i="6"/>
  <c r="BR102" i="6"/>
  <c r="BR98" i="6"/>
  <c r="BQ102" i="6"/>
  <c r="BQ98" i="6"/>
  <c r="BQ110" i="6" s="1"/>
  <c r="BP102" i="6"/>
  <c r="BP98" i="6"/>
  <c r="BP110" i="6" s="1"/>
  <c r="BO102" i="6"/>
  <c r="BT103" i="6" s="1"/>
  <c r="BM102" i="6"/>
  <c r="BM103" i="6" s="1"/>
  <c r="BM98" i="6"/>
  <c r="BM99" i="6" s="1"/>
  <c r="BL102" i="6"/>
  <c r="BL98" i="6"/>
  <c r="BK102" i="6"/>
  <c r="BK103" i="6" s="1"/>
  <c r="BK98" i="6"/>
  <c r="BK110" i="6" s="1"/>
  <c r="CD109" i="6"/>
  <c r="CC109" i="6"/>
  <c r="CB109" i="6"/>
  <c r="CA109" i="6"/>
  <c r="BZ109" i="6"/>
  <c r="BY109" i="6"/>
  <c r="BX109" i="6"/>
  <c r="BW109" i="6"/>
  <c r="BV109" i="6"/>
  <c r="BU109" i="6"/>
  <c r="BT109" i="6"/>
  <c r="BS109" i="6"/>
  <c r="BR109" i="6"/>
  <c r="BQ109" i="6"/>
  <c r="BP109" i="6"/>
  <c r="BO109" i="6"/>
  <c r="BN109" i="6"/>
  <c r="BM109" i="6"/>
  <c r="BL109" i="6"/>
  <c r="BK109" i="6"/>
  <c r="CM94" i="6"/>
  <c r="CL94" i="6"/>
  <c r="CK94" i="6"/>
  <c r="CJ94" i="6"/>
  <c r="CI94" i="6"/>
  <c r="CD95" i="6"/>
  <c r="CD94" i="6"/>
  <c r="CD92" i="6"/>
  <c r="CD91" i="6"/>
  <c r="CD90" i="6"/>
  <c r="CD88" i="6"/>
  <c r="CC94" i="6"/>
  <c r="CB95" i="6"/>
  <c r="CB94" i="6"/>
  <c r="CB92" i="6"/>
  <c r="CB91" i="6"/>
  <c r="CB90" i="6"/>
  <c r="CB88" i="6"/>
  <c r="CA95" i="6"/>
  <c r="CA94" i="6"/>
  <c r="CA92" i="6"/>
  <c r="CA91" i="6"/>
  <c r="CA90" i="6"/>
  <c r="CA88" i="6"/>
  <c r="BZ95" i="6"/>
  <c r="BZ94" i="6"/>
  <c r="BZ92" i="6"/>
  <c r="BZ91" i="6"/>
  <c r="BZ90" i="6"/>
  <c r="BZ88" i="6"/>
  <c r="BY95" i="6"/>
  <c r="BY94" i="6"/>
  <c r="BY92" i="6"/>
  <c r="BY91" i="6"/>
  <c r="BY90" i="6"/>
  <c r="BY88" i="6"/>
  <c r="BX94" i="6"/>
  <c r="BW95" i="6"/>
  <c r="BW94" i="6"/>
  <c r="BW92" i="6"/>
  <c r="BW91" i="6"/>
  <c r="BW90" i="6"/>
  <c r="BW88" i="6"/>
  <c r="BV95" i="6"/>
  <c r="BV94" i="6"/>
  <c r="BV92" i="6"/>
  <c r="BV91" i="6"/>
  <c r="BV90" i="6"/>
  <c r="BV88" i="6"/>
  <c r="BU95" i="6"/>
  <c r="BU94" i="6"/>
  <c r="BU92" i="6"/>
  <c r="BU91" i="6"/>
  <c r="BU90" i="6"/>
  <c r="BU88" i="6"/>
  <c r="BT95" i="6"/>
  <c r="BT94" i="6"/>
  <c r="BT92" i="6"/>
  <c r="BT91" i="6"/>
  <c r="BT90" i="6"/>
  <c r="BT88" i="6"/>
  <c r="BS94" i="6"/>
  <c r="BR95" i="6"/>
  <c r="BR94" i="6"/>
  <c r="BR92" i="6"/>
  <c r="BR91" i="6"/>
  <c r="BR90" i="6"/>
  <c r="BR88" i="6"/>
  <c r="BQ95" i="6"/>
  <c r="BQ94" i="6"/>
  <c r="BQ92" i="6"/>
  <c r="BQ91" i="6"/>
  <c r="BQ90" i="6"/>
  <c r="BQ88" i="6"/>
  <c r="BP95" i="6"/>
  <c r="BP94" i="6"/>
  <c r="BP92" i="6"/>
  <c r="BP91" i="6"/>
  <c r="BP90" i="6"/>
  <c r="BP88" i="6"/>
  <c r="BO95" i="6"/>
  <c r="BO94" i="6"/>
  <c r="BO92" i="6"/>
  <c r="BO91" i="6"/>
  <c r="BO90" i="6"/>
  <c r="BO88" i="6"/>
  <c r="BN94" i="6"/>
  <c r="BM95" i="6"/>
  <c r="BM94" i="6"/>
  <c r="BM92" i="6"/>
  <c r="BM91" i="6"/>
  <c r="BM90" i="6"/>
  <c r="BM88" i="6"/>
  <c r="BL95" i="6"/>
  <c r="BL94" i="6"/>
  <c r="BL92" i="6"/>
  <c r="BL91" i="6"/>
  <c r="BL90" i="6"/>
  <c r="BL88" i="6"/>
  <c r="BK95" i="6"/>
  <c r="BK94" i="6"/>
  <c r="BK92" i="6"/>
  <c r="BK91" i="6"/>
  <c r="BK90" i="6"/>
  <c r="BK88" i="6"/>
  <c r="CM83" i="6"/>
  <c r="CL83" i="6"/>
  <c r="CK83" i="6"/>
  <c r="CJ83" i="6"/>
  <c r="CI83" i="6"/>
  <c r="CD84" i="6"/>
  <c r="CD83" i="6"/>
  <c r="CD81" i="6"/>
  <c r="CD80" i="6"/>
  <c r="CD79" i="6"/>
  <c r="CD77" i="6"/>
  <c r="CC83" i="6"/>
  <c r="CB84" i="6"/>
  <c r="CB83" i="6"/>
  <c r="CB81" i="6"/>
  <c r="CB80" i="6"/>
  <c r="CB79" i="6"/>
  <c r="CB77" i="6"/>
  <c r="CA84" i="6"/>
  <c r="CA83" i="6"/>
  <c r="CA81" i="6"/>
  <c r="CA80" i="6"/>
  <c r="CA79" i="6"/>
  <c r="CA77" i="6"/>
  <c r="BZ84" i="6"/>
  <c r="BZ83" i="6"/>
  <c r="BZ81" i="6"/>
  <c r="BZ80" i="6"/>
  <c r="BZ79" i="6"/>
  <c r="BZ77" i="6"/>
  <c r="BY83" i="6"/>
  <c r="BY81" i="6"/>
  <c r="BY80" i="6"/>
  <c r="BY79" i="6"/>
  <c r="BY77" i="6"/>
  <c r="BX83" i="6"/>
  <c r="BW84" i="6"/>
  <c r="BW83" i="6"/>
  <c r="BW81" i="6"/>
  <c r="BW80" i="6"/>
  <c r="BW79" i="6"/>
  <c r="BW77" i="6"/>
  <c r="BV84" i="6"/>
  <c r="BV83" i="6"/>
  <c r="BV81" i="6"/>
  <c r="BV80" i="6"/>
  <c r="BV79" i="6"/>
  <c r="BV77" i="6"/>
  <c r="BU84" i="6"/>
  <c r="BU83" i="6"/>
  <c r="BU81" i="6"/>
  <c r="BU80" i="6"/>
  <c r="BU79" i="6"/>
  <c r="BU77" i="6"/>
  <c r="BT84" i="6"/>
  <c r="BT83" i="6"/>
  <c r="BT81" i="6"/>
  <c r="BT80" i="6"/>
  <c r="BT79" i="6"/>
  <c r="BT77" i="6"/>
  <c r="BS83" i="6"/>
  <c r="BR84" i="6"/>
  <c r="BR83" i="6"/>
  <c r="BR81" i="6"/>
  <c r="BR80" i="6"/>
  <c r="BR79" i="6"/>
  <c r="BR77" i="6"/>
  <c r="BQ84" i="6"/>
  <c r="BQ83" i="6"/>
  <c r="BQ81" i="6"/>
  <c r="BQ80" i="6"/>
  <c r="BQ79" i="6"/>
  <c r="BQ77" i="6"/>
  <c r="BP84" i="6"/>
  <c r="BP83" i="6"/>
  <c r="BP81" i="6"/>
  <c r="BP80" i="6"/>
  <c r="BP79" i="6"/>
  <c r="BP77" i="6"/>
  <c r="BO84" i="6"/>
  <c r="BO83" i="6"/>
  <c r="BO81" i="6"/>
  <c r="BO80" i="6"/>
  <c r="BO79" i="6"/>
  <c r="BO77" i="6"/>
  <c r="BN83" i="6"/>
  <c r="BM84" i="6"/>
  <c r="BM83" i="6"/>
  <c r="BM81" i="6"/>
  <c r="BM80" i="6"/>
  <c r="BM79" i="6"/>
  <c r="BM77" i="6"/>
  <c r="BL84" i="6"/>
  <c r="BL83" i="6"/>
  <c r="BL81" i="6"/>
  <c r="BL80" i="6"/>
  <c r="BL79" i="6"/>
  <c r="BL77" i="6"/>
  <c r="BK84" i="6"/>
  <c r="BK83" i="6"/>
  <c r="BK81" i="6"/>
  <c r="BK80" i="6"/>
  <c r="BK79" i="6"/>
  <c r="BK77" i="6"/>
  <c r="CM72" i="6"/>
  <c r="CL72" i="6"/>
  <c r="CK72" i="6"/>
  <c r="CJ72" i="6"/>
  <c r="CI72" i="6"/>
  <c r="CD73" i="6"/>
  <c r="CD72" i="6"/>
  <c r="CD69" i="6"/>
  <c r="CD68" i="6"/>
  <c r="CD66" i="6"/>
  <c r="CC72" i="6"/>
  <c r="CB73" i="6"/>
  <c r="CB72" i="6"/>
  <c r="CB70" i="6"/>
  <c r="CB69" i="6"/>
  <c r="CB68" i="6"/>
  <c r="CB66" i="6"/>
  <c r="CA73" i="6"/>
  <c r="CA72" i="6"/>
  <c r="CA70" i="6"/>
  <c r="CA69" i="6"/>
  <c r="CA68" i="6"/>
  <c r="CA66" i="6"/>
  <c r="BZ73" i="6"/>
  <c r="BZ72" i="6"/>
  <c r="BZ70" i="6"/>
  <c r="BZ69" i="6"/>
  <c r="BZ68" i="6"/>
  <c r="BZ66" i="6"/>
  <c r="BY73" i="6"/>
  <c r="BY72" i="6"/>
  <c r="BY69" i="6"/>
  <c r="BY68" i="6"/>
  <c r="BY66" i="6"/>
  <c r="BX72" i="6"/>
  <c r="BW73" i="6"/>
  <c r="BW72" i="6"/>
  <c r="BW70" i="6"/>
  <c r="BW69" i="6"/>
  <c r="BW68" i="6"/>
  <c r="BW66" i="6"/>
  <c r="BV73" i="6"/>
  <c r="BV72" i="6"/>
  <c r="BV70" i="6"/>
  <c r="BV69" i="6"/>
  <c r="BV68" i="6"/>
  <c r="BV66" i="6"/>
  <c r="BU73" i="6"/>
  <c r="BU72" i="6"/>
  <c r="BU70" i="6"/>
  <c r="BU69" i="6"/>
  <c r="BU68" i="6"/>
  <c r="BU66" i="6"/>
  <c r="BT73" i="6"/>
  <c r="BT72" i="6"/>
  <c r="BT70" i="6"/>
  <c r="BT69" i="6"/>
  <c r="BT68" i="6"/>
  <c r="BT66" i="6"/>
  <c r="BS72" i="6"/>
  <c r="BR73" i="6"/>
  <c r="BR72" i="6"/>
  <c r="BR70" i="6"/>
  <c r="BR69" i="6"/>
  <c r="BR68" i="6"/>
  <c r="BR66" i="6"/>
  <c r="BQ73" i="6"/>
  <c r="BQ72" i="6"/>
  <c r="BQ70" i="6"/>
  <c r="BQ69" i="6"/>
  <c r="BQ68" i="6"/>
  <c r="BQ66" i="6"/>
  <c r="BP73" i="6"/>
  <c r="BP72" i="6"/>
  <c r="BP70" i="6"/>
  <c r="BP69" i="6"/>
  <c r="BP68" i="6"/>
  <c r="BP66" i="6"/>
  <c r="BO73" i="6"/>
  <c r="BO72" i="6"/>
  <c r="BO70" i="6"/>
  <c r="BO69" i="6"/>
  <c r="BO68" i="6"/>
  <c r="BO66" i="6"/>
  <c r="BN72" i="6"/>
  <c r="BM73" i="6"/>
  <c r="BM72" i="6"/>
  <c r="BM70" i="6"/>
  <c r="BM69" i="6"/>
  <c r="BM68" i="6"/>
  <c r="BM66" i="6"/>
  <c r="BL73" i="6"/>
  <c r="BL72" i="6"/>
  <c r="BL70" i="6"/>
  <c r="BL69" i="6"/>
  <c r="BL68" i="6"/>
  <c r="BL66" i="6"/>
  <c r="BK73" i="6"/>
  <c r="BK72" i="6"/>
  <c r="BK70" i="6"/>
  <c r="BK69" i="6"/>
  <c r="BK68" i="6"/>
  <c r="BK66" i="6"/>
  <c r="CM61" i="6"/>
  <c r="CL61" i="6"/>
  <c r="CK61" i="6"/>
  <c r="CJ61" i="6"/>
  <c r="CI61" i="6"/>
  <c r="CD62" i="6"/>
  <c r="CD61" i="6"/>
  <c r="CD59" i="6"/>
  <c r="CD58" i="6"/>
  <c r="CD57" i="6"/>
  <c r="CD55" i="6"/>
  <c r="CC61" i="6"/>
  <c r="CB62" i="6"/>
  <c r="CB61" i="6"/>
  <c r="CB59" i="6"/>
  <c r="CB58" i="6"/>
  <c r="CB57" i="6"/>
  <c r="CB55" i="6"/>
  <c r="CA62" i="6"/>
  <c r="CA61" i="6"/>
  <c r="CA59" i="6"/>
  <c r="CA58" i="6"/>
  <c r="CA57" i="6"/>
  <c r="CA55" i="6"/>
  <c r="BZ62" i="6"/>
  <c r="BZ61" i="6"/>
  <c r="BZ59" i="6"/>
  <c r="BZ58" i="6"/>
  <c r="BZ57" i="6"/>
  <c r="BZ55" i="6"/>
  <c r="BY62" i="6"/>
  <c r="BY61" i="6"/>
  <c r="BY59" i="6"/>
  <c r="BY58" i="6"/>
  <c r="BY57" i="6"/>
  <c r="BY55" i="6"/>
  <c r="BX61" i="6"/>
  <c r="BW62" i="6"/>
  <c r="BW61" i="6"/>
  <c r="BW59" i="6"/>
  <c r="BW58" i="6"/>
  <c r="BW57" i="6"/>
  <c r="BW55" i="6"/>
  <c r="BV62" i="6"/>
  <c r="BV61" i="6"/>
  <c r="BV59" i="6"/>
  <c r="BV58" i="6"/>
  <c r="BV57" i="6"/>
  <c r="BV55" i="6"/>
  <c r="BU62" i="6"/>
  <c r="BU61" i="6"/>
  <c r="BU59" i="6"/>
  <c r="BU58" i="6"/>
  <c r="BU57" i="6"/>
  <c r="BU55" i="6"/>
  <c r="BT62" i="6"/>
  <c r="BT61" i="6"/>
  <c r="BT59" i="6"/>
  <c r="BT58" i="6"/>
  <c r="BT57" i="6"/>
  <c r="BT55" i="6"/>
  <c r="BS61" i="6"/>
  <c r="BR62" i="6"/>
  <c r="BR61" i="6"/>
  <c r="BR59" i="6"/>
  <c r="BR58" i="6"/>
  <c r="BR57" i="6"/>
  <c r="BR55" i="6"/>
  <c r="BQ62" i="6"/>
  <c r="BQ61" i="6"/>
  <c r="BQ59" i="6"/>
  <c r="BQ58" i="6"/>
  <c r="BQ57" i="6"/>
  <c r="BQ55" i="6"/>
  <c r="BP62" i="6"/>
  <c r="BP61" i="6"/>
  <c r="BP59" i="6"/>
  <c r="BP58" i="6"/>
  <c r="BP57" i="6"/>
  <c r="BP55" i="6"/>
  <c r="BO62" i="6"/>
  <c r="BO61" i="6"/>
  <c r="BO59" i="6"/>
  <c r="BO58" i="6"/>
  <c r="BO57" i="6"/>
  <c r="BO55" i="6"/>
  <c r="BN61" i="6"/>
  <c r="BM62" i="6"/>
  <c r="BM61" i="6"/>
  <c r="BM59" i="6"/>
  <c r="BM58" i="6"/>
  <c r="BM57" i="6"/>
  <c r="BM55" i="6"/>
  <c r="BL62" i="6"/>
  <c r="BL61" i="6"/>
  <c r="BL59" i="6"/>
  <c r="BL58" i="6"/>
  <c r="BL57" i="6"/>
  <c r="BL55" i="6"/>
  <c r="BK62" i="6"/>
  <c r="BK61" i="6"/>
  <c r="BK59" i="6"/>
  <c r="BK58" i="6"/>
  <c r="BK57" i="6"/>
  <c r="BK55" i="6"/>
  <c r="CC133" i="6"/>
  <c r="CC153" i="6" s="1"/>
  <c r="CC155" i="6" s="1"/>
  <c r="CC116" i="6"/>
  <c r="CC126" i="6" s="1"/>
  <c r="CB133" i="6"/>
  <c r="CB137" i="6" s="1"/>
  <c r="CB116" i="6"/>
  <c r="CB126" i="6" s="1"/>
  <c r="CA133" i="6"/>
  <c r="CA137" i="6" s="1"/>
  <c r="CA116" i="6"/>
  <c r="CA126" i="6" s="1"/>
  <c r="BZ133" i="6"/>
  <c r="BZ137" i="6" s="1"/>
  <c r="BZ116" i="6"/>
  <c r="BZ126" i="6" s="1"/>
  <c r="BX133" i="6"/>
  <c r="BX116" i="6"/>
  <c r="BX126" i="6" s="1"/>
  <c r="BW133" i="6"/>
  <c r="BW137" i="6" s="1"/>
  <c r="BW116" i="6"/>
  <c r="BW126" i="6" s="1"/>
  <c r="BV133" i="6"/>
  <c r="BV136" i="6" s="1"/>
  <c r="BV116" i="6"/>
  <c r="BV126" i="6" s="1"/>
  <c r="BU133" i="6"/>
  <c r="BU137" i="6" s="1"/>
  <c r="BU116" i="6"/>
  <c r="BU126" i="6" s="1"/>
  <c r="BS133" i="6"/>
  <c r="BS116" i="6"/>
  <c r="BS126" i="6" s="1"/>
  <c r="BR133" i="6"/>
  <c r="BR137" i="6" s="1"/>
  <c r="BR116" i="6"/>
  <c r="BR126" i="6" s="1"/>
  <c r="BQ133" i="6"/>
  <c r="BQ137" i="6" s="1"/>
  <c r="BQ116" i="6"/>
  <c r="BQ126" i="6" s="1"/>
  <c r="BP133" i="6"/>
  <c r="BP137" i="6" s="1"/>
  <c r="BP116" i="6"/>
  <c r="BP126" i="6" s="1"/>
  <c r="BN133" i="6"/>
  <c r="BN116" i="6"/>
  <c r="BN126" i="6" s="1"/>
  <c r="BM133" i="6"/>
  <c r="BM137" i="6" s="1"/>
  <c r="BM116" i="6"/>
  <c r="BM126" i="6" s="1"/>
  <c r="BL133" i="6"/>
  <c r="BL137" i="6" s="1"/>
  <c r="BL116" i="6"/>
  <c r="BL126" i="6" s="1"/>
  <c r="BK133" i="6"/>
  <c r="BK137" i="6" s="1"/>
  <c r="BK116" i="6"/>
  <c r="BK126" i="6" s="1"/>
  <c r="BI133" i="6"/>
  <c r="BI116" i="6"/>
  <c r="BI126" i="6" s="1"/>
  <c r="BH133" i="6"/>
  <c r="BH136" i="6" s="1"/>
  <c r="BH116" i="6"/>
  <c r="BH126" i="6" s="1"/>
  <c r="BG133" i="6"/>
  <c r="BG137" i="6" s="1"/>
  <c r="BG116" i="6"/>
  <c r="BG126" i="6" s="1"/>
  <c r="BF133" i="6"/>
  <c r="BF137" i="6" s="1"/>
  <c r="BF116" i="6"/>
  <c r="BF126" i="6" s="1"/>
  <c r="BE116" i="6"/>
  <c r="H12" i="9" s="1"/>
  <c r="AZ116" i="6"/>
  <c r="AZ126" i="6" s="1"/>
  <c r="AZ355" i="6" s="1"/>
  <c r="AU116" i="6"/>
  <c r="AU126" i="6" s="1"/>
  <c r="AU333" i="6" s="1"/>
  <c r="AP116" i="6"/>
  <c r="AP126" i="6" s="1"/>
  <c r="AP355" i="6" s="1"/>
  <c r="AK116" i="6"/>
  <c r="AK165" i="6" s="1"/>
  <c r="AF116" i="6"/>
  <c r="AF126" i="6" s="1"/>
  <c r="AF143" i="6" s="1"/>
  <c r="AF150" i="6" s="1"/>
  <c r="AA116" i="6"/>
  <c r="AA126" i="6" s="1"/>
  <c r="V116" i="6"/>
  <c r="V126" i="6" s="1"/>
  <c r="Q116" i="6"/>
  <c r="Q165" i="6" s="1"/>
  <c r="L116" i="6"/>
  <c r="L165" i="6" s="1"/>
  <c r="G116" i="6"/>
  <c r="G126" i="6" s="1"/>
  <c r="BY210" i="6"/>
  <c r="BJ210" i="6"/>
  <c r="CC139" i="6"/>
  <c r="CC138" i="6"/>
  <c r="BX139" i="6"/>
  <c r="BX138" i="6"/>
  <c r="BS139" i="6"/>
  <c r="BS138" i="6"/>
  <c r="BN139" i="6"/>
  <c r="BN138" i="6"/>
  <c r="BI139" i="6"/>
  <c r="BI138" i="6"/>
  <c r="CD131" i="6"/>
  <c r="CD130" i="6"/>
  <c r="CD127" i="6"/>
  <c r="CD125" i="6"/>
  <c r="CI125" i="6" s="1"/>
  <c r="CJ125" i="6" s="1"/>
  <c r="CK125" i="6" s="1"/>
  <c r="CL125" i="6" s="1"/>
  <c r="CM125" i="6" s="1"/>
  <c r="CD124" i="6"/>
  <c r="CD123" i="6"/>
  <c r="CD122" i="6"/>
  <c r="CD121" i="6"/>
  <c r="CD120" i="6"/>
  <c r="CD119" i="6"/>
  <c r="CI119" i="6" s="1"/>
  <c r="CD118" i="6"/>
  <c r="CD117" i="6"/>
  <c r="CD115" i="6"/>
  <c r="CD114" i="6"/>
  <c r="BY131" i="6"/>
  <c r="BY130" i="6"/>
  <c r="BY127" i="6"/>
  <c r="BY125" i="6"/>
  <c r="BY124" i="6"/>
  <c r="BY123" i="6"/>
  <c r="BY122" i="6"/>
  <c r="BY121" i="6"/>
  <c r="BY120" i="6"/>
  <c r="BY119" i="6"/>
  <c r="BY118" i="6"/>
  <c r="BY117" i="6"/>
  <c r="BY115" i="6"/>
  <c r="BY114" i="6"/>
  <c r="BY288" i="6" s="1"/>
  <c r="BT131" i="6"/>
  <c r="BT130" i="6"/>
  <c r="BT127" i="6"/>
  <c r="BT125" i="6"/>
  <c r="BT124" i="6"/>
  <c r="BT123" i="6"/>
  <c r="BT122" i="6"/>
  <c r="BT121" i="6"/>
  <c r="BT120" i="6"/>
  <c r="BT119" i="6"/>
  <c r="BT118" i="6"/>
  <c r="BT117" i="6"/>
  <c r="BT115" i="6"/>
  <c r="BT269" i="6" s="1"/>
  <c r="BT114" i="6"/>
  <c r="BO131" i="6"/>
  <c r="BO130" i="6"/>
  <c r="BO127" i="6"/>
  <c r="BO125" i="6"/>
  <c r="BO124" i="6"/>
  <c r="BO123" i="6"/>
  <c r="BO122" i="6"/>
  <c r="BO121" i="6"/>
  <c r="BO120" i="6"/>
  <c r="BO119" i="6"/>
  <c r="BO118" i="6"/>
  <c r="BO117" i="6"/>
  <c r="BO115" i="6"/>
  <c r="BO114" i="6"/>
  <c r="BJ131" i="6"/>
  <c r="BJ130" i="6"/>
  <c r="BJ127" i="6"/>
  <c r="BJ125" i="6"/>
  <c r="BJ124" i="6"/>
  <c r="BJ123" i="6"/>
  <c r="BJ122" i="6"/>
  <c r="BJ121" i="6"/>
  <c r="BJ120" i="6"/>
  <c r="BJ119" i="6"/>
  <c r="BJ118" i="6"/>
  <c r="BJ117" i="6"/>
  <c r="BJ115" i="6"/>
  <c r="BJ114" i="6"/>
  <c r="I8" i="9" s="1"/>
  <c r="BN28" i="6"/>
  <c r="BN27" i="6"/>
  <c r="BN21" i="6"/>
  <c r="BN20" i="6"/>
  <c r="BN13" i="6"/>
  <c r="BN12" i="6"/>
  <c r="BI28" i="6"/>
  <c r="BI27" i="6"/>
  <c r="BI21" i="6"/>
  <c r="BI20" i="6"/>
  <c r="BI13" i="6"/>
  <c r="BI12" i="6"/>
  <c r="BR45" i="6"/>
  <c r="BR44" i="6"/>
  <c r="BR30" i="6"/>
  <c r="BR29" i="6"/>
  <c r="BR23" i="6"/>
  <c r="BR22" i="6"/>
  <c r="BR15" i="6"/>
  <c r="BR14" i="6"/>
  <c r="BQ45" i="6"/>
  <c r="BQ44" i="6"/>
  <c r="BQ30" i="6"/>
  <c r="BQ29" i="6"/>
  <c r="BQ23" i="6"/>
  <c r="BQ22" i="6"/>
  <c r="BQ15" i="6"/>
  <c r="BQ14" i="6"/>
  <c r="BP45" i="6"/>
  <c r="BP44" i="6"/>
  <c r="BP30" i="6"/>
  <c r="BP29" i="6"/>
  <c r="BP23" i="6"/>
  <c r="BP22" i="6"/>
  <c r="BP15" i="6"/>
  <c r="BP14" i="6"/>
  <c r="BM45" i="6"/>
  <c r="BM44" i="6"/>
  <c r="BR46" i="6" s="1"/>
  <c r="BM30" i="6"/>
  <c r="BM29" i="6"/>
  <c r="BM23" i="6"/>
  <c r="BM22" i="6"/>
  <c r="BM15" i="6"/>
  <c r="BM14" i="6"/>
  <c r="BL45" i="6"/>
  <c r="BL44" i="6"/>
  <c r="BL30" i="6"/>
  <c r="BL29" i="6"/>
  <c r="BL23" i="6"/>
  <c r="BL22" i="6"/>
  <c r="BL15" i="6"/>
  <c r="BL14" i="6"/>
  <c r="BK45" i="6"/>
  <c r="BK44" i="6"/>
  <c r="BK30" i="6"/>
  <c r="BK29" i="6"/>
  <c r="BK23" i="6"/>
  <c r="BK22" i="6"/>
  <c r="BK15" i="6"/>
  <c r="BK14" i="6"/>
  <c r="BH45" i="6"/>
  <c r="BH44" i="6"/>
  <c r="BH30" i="6"/>
  <c r="BH23" i="6"/>
  <c r="BH15" i="6"/>
  <c r="BG45" i="6"/>
  <c r="BG44" i="6"/>
  <c r="BG30" i="6"/>
  <c r="BG23" i="6"/>
  <c r="BG15" i="6"/>
  <c r="BF45" i="6"/>
  <c r="BF44" i="6"/>
  <c r="BF30" i="6"/>
  <c r="BF23" i="6"/>
  <c r="BF15" i="6"/>
  <c r="CC132" i="6"/>
  <c r="CB132" i="6"/>
  <c r="CA132" i="6"/>
  <c r="BZ132" i="6"/>
  <c r="BX132" i="6"/>
  <c r="BW132" i="6"/>
  <c r="BV132" i="6"/>
  <c r="BU132" i="6"/>
  <c r="BS132" i="6"/>
  <c r="BR132" i="6"/>
  <c r="BQ132" i="6"/>
  <c r="BP132" i="6"/>
  <c r="BN132" i="6"/>
  <c r="BM132" i="6"/>
  <c r="BL132" i="6"/>
  <c r="BK132" i="6"/>
  <c r="BI132" i="6"/>
  <c r="BH132" i="6"/>
  <c r="BG132" i="6"/>
  <c r="BF132" i="6"/>
  <c r="BE161" i="6"/>
  <c r="AA370" i="6"/>
  <c r="V370" i="6"/>
  <c r="Q370" i="6"/>
  <c r="L370" i="6"/>
  <c r="G370" i="6"/>
  <c r="AZ247" i="6"/>
  <c r="AZ253" i="6" s="1"/>
  <c r="AZ261" i="6" s="1"/>
  <c r="AZ230" i="6"/>
  <c r="AZ237" i="6" s="1"/>
  <c r="AZ342" i="6" s="1"/>
  <c r="AU247" i="6"/>
  <c r="AU253" i="6" s="1"/>
  <c r="AU261" i="6" s="1"/>
  <c r="AU230" i="6"/>
  <c r="AU237" i="6" s="1"/>
  <c r="AU342" i="6" s="1"/>
  <c r="AP247" i="6"/>
  <c r="AP253" i="6" s="1"/>
  <c r="AP261" i="6" s="1"/>
  <c r="AP230" i="6"/>
  <c r="AP237" i="6" s="1"/>
  <c r="AP342" i="6" s="1"/>
  <c r="AK247" i="6"/>
  <c r="AK253" i="6" s="1"/>
  <c r="AK261" i="6" s="1"/>
  <c r="AK230" i="6"/>
  <c r="AK237" i="6" s="1"/>
  <c r="AK342" i="6" s="1"/>
  <c r="AF247" i="6"/>
  <c r="AF253" i="6" s="1"/>
  <c r="AF261" i="6" s="1"/>
  <c r="AF230" i="6"/>
  <c r="AF237" i="6" s="1"/>
  <c r="AF342" i="6" s="1"/>
  <c r="AA247" i="6"/>
  <c r="AA253" i="6" s="1"/>
  <c r="AA261" i="6" s="1"/>
  <c r="AA230" i="6"/>
  <c r="AA237" i="6" s="1"/>
  <c r="AA342" i="6" s="1"/>
  <c r="V247" i="6"/>
  <c r="V253" i="6" s="1"/>
  <c r="V261" i="6" s="1"/>
  <c r="V230" i="6"/>
  <c r="V237" i="6" s="1"/>
  <c r="V342" i="6" s="1"/>
  <c r="Q247" i="6"/>
  <c r="Q253" i="6" s="1"/>
  <c r="Q261" i="6" s="1"/>
  <c r="Q230" i="6"/>
  <c r="Q237" i="6" s="1"/>
  <c r="Q342" i="6" s="1"/>
  <c r="L247" i="6"/>
  <c r="L253" i="6" s="1"/>
  <c r="L261" i="6" s="1"/>
  <c r="L230" i="6"/>
  <c r="L237" i="6" s="1"/>
  <c r="L342" i="6" s="1"/>
  <c r="G247" i="6"/>
  <c r="G253" i="6" s="1"/>
  <c r="G261" i="6" s="1"/>
  <c r="G230" i="6"/>
  <c r="G237" i="6" s="1"/>
  <c r="G342" i="6" s="1"/>
  <c r="AZ214" i="6"/>
  <c r="AZ193" i="6"/>
  <c r="AZ186" i="6"/>
  <c r="AU214" i="6"/>
  <c r="AU193" i="6"/>
  <c r="AU186" i="6"/>
  <c r="AU210" i="6" s="1"/>
  <c r="AP214" i="6"/>
  <c r="AP193" i="6"/>
  <c r="AP186" i="6"/>
  <c r="AK214" i="6"/>
  <c r="AK193" i="6"/>
  <c r="AK186" i="6"/>
  <c r="AF214" i="6"/>
  <c r="AF193" i="6"/>
  <c r="AF186" i="6"/>
  <c r="AA214" i="6"/>
  <c r="AA193" i="6"/>
  <c r="AA186" i="6"/>
  <c r="AA210" i="6" s="1"/>
  <c r="V214" i="6"/>
  <c r="V193" i="6"/>
  <c r="V186" i="6"/>
  <c r="Q214" i="6"/>
  <c r="Q193" i="6"/>
  <c r="Q186" i="6"/>
  <c r="L214" i="6"/>
  <c r="L193" i="6"/>
  <c r="L186" i="6"/>
  <c r="G214" i="6"/>
  <c r="G202" i="6"/>
  <c r="G193" i="6"/>
  <c r="G186" i="6"/>
  <c r="G210" i="6" s="1"/>
  <c r="AZ167" i="6"/>
  <c r="AZ166" i="6"/>
  <c r="AZ161" i="6"/>
  <c r="AU167" i="6"/>
  <c r="AU166" i="6"/>
  <c r="AU161" i="6"/>
  <c r="AP167" i="6"/>
  <c r="AP166" i="6"/>
  <c r="AP161" i="6"/>
  <c r="AK167" i="6"/>
  <c r="AK166" i="6"/>
  <c r="AK161" i="6"/>
  <c r="AF167" i="6"/>
  <c r="AF166" i="6"/>
  <c r="AF161" i="6"/>
  <c r="AA167" i="6"/>
  <c r="AA166" i="6"/>
  <c r="AA161" i="6"/>
  <c r="V167" i="6"/>
  <c r="V166" i="6"/>
  <c r="V161" i="6"/>
  <c r="Q167" i="6"/>
  <c r="Q166" i="6"/>
  <c r="Q161" i="6"/>
  <c r="L167" i="6"/>
  <c r="L166" i="6"/>
  <c r="L161" i="6"/>
  <c r="G167" i="6"/>
  <c r="G166" i="6"/>
  <c r="AF45" i="6"/>
  <c r="AF44" i="6"/>
  <c r="BE45" i="6"/>
  <c r="BE44" i="6"/>
  <c r="AZ45" i="6"/>
  <c r="AZ44" i="6"/>
  <c r="AU45" i="6"/>
  <c r="AU44" i="6"/>
  <c r="AP45" i="6"/>
  <c r="AP44" i="6"/>
  <c r="AK45" i="6"/>
  <c r="AK44" i="6"/>
  <c r="AA45" i="6"/>
  <c r="AA44" i="6"/>
  <c r="V45" i="6"/>
  <c r="V44" i="6"/>
  <c r="Q45" i="6"/>
  <c r="Q44" i="6"/>
  <c r="L45" i="6"/>
  <c r="L44" i="6"/>
  <c r="G45" i="6"/>
  <c r="G44" i="6"/>
  <c r="BJ29" i="6"/>
  <c r="BJ22" i="6"/>
  <c r="BJ14" i="6"/>
  <c r="BE29" i="6"/>
  <c r="BE22" i="6"/>
  <c r="BE14" i="6"/>
  <c r="AZ29" i="6"/>
  <c r="AZ22" i="6"/>
  <c r="AZ14" i="6"/>
  <c r="AU29" i="6"/>
  <c r="AU22" i="6"/>
  <c r="AU14" i="6"/>
  <c r="AP36" i="6"/>
  <c r="AP29" i="6"/>
  <c r="AP22" i="6"/>
  <c r="AP14" i="6"/>
  <c r="AK36" i="6"/>
  <c r="AK29" i="6"/>
  <c r="AK22" i="6"/>
  <c r="AK14" i="6"/>
  <c r="AF36" i="6"/>
  <c r="AF29" i="6"/>
  <c r="AF22" i="6"/>
  <c r="AF14" i="6"/>
  <c r="AA36" i="6"/>
  <c r="AA29" i="6"/>
  <c r="AA22" i="6"/>
  <c r="AA14" i="6"/>
  <c r="V36" i="6"/>
  <c r="V29" i="6"/>
  <c r="V22" i="6"/>
  <c r="V14" i="6"/>
  <c r="Q36" i="6"/>
  <c r="Q29" i="6"/>
  <c r="Q22" i="6"/>
  <c r="Q14" i="6"/>
  <c r="L36" i="6"/>
  <c r="L29" i="6"/>
  <c r="L22" i="6"/>
  <c r="L14" i="6"/>
  <c r="BJ41" i="6"/>
  <c r="BI41" i="6"/>
  <c r="BH41" i="6"/>
  <c r="BG41" i="6"/>
  <c r="BF41" i="6"/>
  <c r="BE41" i="6"/>
  <c r="AZ41" i="6"/>
  <c r="AU41" i="6"/>
  <c r="AP41" i="6"/>
  <c r="AK41" i="6"/>
  <c r="AF41" i="6"/>
  <c r="AA41" i="6"/>
  <c r="V41" i="6"/>
  <c r="Q41" i="6"/>
  <c r="L41" i="6"/>
  <c r="BJ37" i="6"/>
  <c r="BI37" i="6"/>
  <c r="BH37" i="6"/>
  <c r="BG37" i="6"/>
  <c r="BF37" i="6"/>
  <c r="BE37" i="6"/>
  <c r="AZ37" i="6"/>
  <c r="AU37" i="6"/>
  <c r="AP37" i="6"/>
  <c r="AK37" i="6"/>
  <c r="AF37" i="6"/>
  <c r="AA37" i="6"/>
  <c r="V37" i="6"/>
  <c r="Q37" i="6"/>
  <c r="L37" i="6"/>
  <c r="BJ30" i="6"/>
  <c r="BE30" i="6"/>
  <c r="AZ30" i="6"/>
  <c r="AU30" i="6"/>
  <c r="AP30" i="6"/>
  <c r="AK30" i="6"/>
  <c r="AF30" i="6"/>
  <c r="AA30" i="6"/>
  <c r="V30" i="6"/>
  <c r="Q30" i="6"/>
  <c r="L30" i="6"/>
  <c r="BJ23" i="6"/>
  <c r="BE23" i="6"/>
  <c r="AZ23" i="6"/>
  <c r="AU23" i="6"/>
  <c r="AP23" i="6"/>
  <c r="AK23" i="6"/>
  <c r="AF23" i="6"/>
  <c r="AA23" i="6"/>
  <c r="V23" i="6"/>
  <c r="Q23" i="6"/>
  <c r="L23" i="6"/>
  <c r="BJ15" i="6"/>
  <c r="BE15" i="6"/>
  <c r="AZ15" i="6"/>
  <c r="AU15" i="6"/>
  <c r="AP15" i="6"/>
  <c r="AK15" i="6"/>
  <c r="AF15" i="6"/>
  <c r="AA15" i="6"/>
  <c r="V15" i="6"/>
  <c r="Q15" i="6"/>
  <c r="L15" i="6"/>
  <c r="G41" i="6"/>
  <c r="G37" i="6"/>
  <c r="G30" i="6"/>
  <c r="G23" i="6"/>
  <c r="G15" i="6"/>
  <c r="BE214" i="6"/>
  <c r="BE200" i="6"/>
  <c r="BE199" i="6"/>
  <c r="BE197" i="6"/>
  <c r="BE196" i="6"/>
  <c r="BE193" i="6"/>
  <c r="BE185" i="6"/>
  <c r="BE183" i="6"/>
  <c r="BO45" i="6"/>
  <c r="BJ45" i="6"/>
  <c r="BO44" i="6"/>
  <c r="BJ44" i="6"/>
  <c r="BO30" i="6"/>
  <c r="BO23" i="6"/>
  <c r="BO15" i="6"/>
  <c r="BE125" i="6"/>
  <c r="CM202" i="6"/>
  <c r="CL202" i="6"/>
  <c r="CK202" i="6"/>
  <c r="CJ202" i="6"/>
  <c r="CI196" i="6"/>
  <c r="CI202" i="6" s="1"/>
  <c r="CD373" i="6"/>
  <c r="BY373" i="6"/>
  <c r="BT373" i="6"/>
  <c r="C89" i="4"/>
  <c r="C80" i="4"/>
  <c r="C15" i="4"/>
  <c r="D29" i="4" s="1"/>
  <c r="CF372" i="6" l="1"/>
  <c r="CF213" i="6"/>
  <c r="CF212" i="6"/>
  <c r="CF211" i="6"/>
  <c r="CH271" i="6"/>
  <c r="CJ119" i="6"/>
  <c r="CK119" i="6" s="1"/>
  <c r="CL119" i="6" s="1"/>
  <c r="CM119" i="6" s="1"/>
  <c r="CH119" i="6"/>
  <c r="CG119" i="6"/>
  <c r="G339" i="6"/>
  <c r="G326" i="6"/>
  <c r="AA339" i="6"/>
  <c r="AA326" i="6"/>
  <c r="H14" i="9"/>
  <c r="AP151" i="6"/>
  <c r="E13" i="9"/>
  <c r="E20" i="9"/>
  <c r="AP339" i="6"/>
  <c r="E15" i="9"/>
  <c r="AP326" i="6"/>
  <c r="BJ151" i="6"/>
  <c r="I13" i="9"/>
  <c r="I21" i="9"/>
  <c r="BJ152" i="6"/>
  <c r="BJ339" i="6"/>
  <c r="I15" i="9"/>
  <c r="BJ326" i="6"/>
  <c r="CA151" i="6"/>
  <c r="CA339" i="6"/>
  <c r="CA152" i="6"/>
  <c r="CA326" i="6"/>
  <c r="CF350" i="6"/>
  <c r="CF330" i="6"/>
  <c r="CF329" i="6" s="1"/>
  <c r="CF334" i="6" s="1"/>
  <c r="CE320" i="6"/>
  <c r="CG145" i="6"/>
  <c r="CG149" i="6"/>
  <c r="CG297" i="6"/>
  <c r="AF151" i="6"/>
  <c r="AF152" i="6"/>
  <c r="C20" i="9"/>
  <c r="C15" i="9"/>
  <c r="AF339" i="6"/>
  <c r="C13" i="9"/>
  <c r="AF326" i="6"/>
  <c r="BG339" i="6"/>
  <c r="BG326" i="6"/>
  <c r="BI339" i="6"/>
  <c r="BI326" i="6"/>
  <c r="BL339" i="6"/>
  <c r="BL326" i="6"/>
  <c r="BN339" i="6"/>
  <c r="BN326" i="6"/>
  <c r="BQ339" i="6"/>
  <c r="BQ326" i="6"/>
  <c r="BS339" i="6"/>
  <c r="BS326" i="6"/>
  <c r="BV339" i="6"/>
  <c r="BV326" i="6"/>
  <c r="BX339" i="6"/>
  <c r="BX326" i="6"/>
  <c r="CD99" i="6"/>
  <c r="CD101" i="6" s="1"/>
  <c r="CI296" i="6"/>
  <c r="BY99" i="6"/>
  <c r="BY101" i="6" s="1"/>
  <c r="CD151" i="6"/>
  <c r="CD333" i="6" s="1"/>
  <c r="M13" i="9"/>
  <c r="C112" i="8"/>
  <c r="C35" i="7"/>
  <c r="M21" i="9"/>
  <c r="CD152" i="6"/>
  <c r="C15" i="7"/>
  <c r="CD339" i="6"/>
  <c r="M15" i="9"/>
  <c r="CD326" i="6"/>
  <c r="AU151" i="6"/>
  <c r="F13" i="9"/>
  <c r="AU339" i="6"/>
  <c r="AU152" i="6"/>
  <c r="F21" i="9"/>
  <c r="AU326" i="6"/>
  <c r="F20" i="9"/>
  <c r="F15" i="9"/>
  <c r="J13" i="9"/>
  <c r="BO339" i="6"/>
  <c r="BO152" i="6"/>
  <c r="J21" i="9"/>
  <c r="BO326" i="6"/>
  <c r="J15" i="9"/>
  <c r="CB152" i="6"/>
  <c r="CB339" i="6"/>
  <c r="CB326" i="6"/>
  <c r="CE126" i="6"/>
  <c r="CF126" i="6"/>
  <c r="CE103" i="6"/>
  <c r="CF103" i="6"/>
  <c r="CF165" i="6"/>
  <c r="CE330" i="6"/>
  <c r="CE350" i="6"/>
  <c r="CG146" i="6"/>
  <c r="CH148" i="6"/>
  <c r="CG312" i="6"/>
  <c r="CG316" i="6"/>
  <c r="CH241" i="6"/>
  <c r="CE367" i="6"/>
  <c r="K8" i="9"/>
  <c r="M8" i="9"/>
  <c r="C113" i="8"/>
  <c r="CC156" i="6"/>
  <c r="CC159" i="6" s="1"/>
  <c r="AU99" i="6"/>
  <c r="AU101" i="6" s="1"/>
  <c r="CC151" i="6"/>
  <c r="CC339" i="6"/>
  <c r="CC326" i="6"/>
  <c r="CC152" i="6"/>
  <c r="AZ151" i="6"/>
  <c r="AZ152" i="6"/>
  <c r="G13" i="9"/>
  <c r="G21" i="9"/>
  <c r="G20" i="9"/>
  <c r="AZ339" i="6"/>
  <c r="G15" i="9"/>
  <c r="AZ326" i="6"/>
  <c r="BT152" i="6"/>
  <c r="K13" i="9"/>
  <c r="K21" i="9"/>
  <c r="BT339" i="6"/>
  <c r="K15" i="9"/>
  <c r="BT326" i="6"/>
  <c r="CG125" i="6"/>
  <c r="CH125" i="6" s="1"/>
  <c r="CE104" i="6"/>
  <c r="CF104" i="6"/>
  <c r="CE165" i="6"/>
  <c r="CF207" i="6"/>
  <c r="CG147" i="6"/>
  <c r="CH147" i="6" s="1"/>
  <c r="CH145" i="6"/>
  <c r="CH149" i="6"/>
  <c r="CG317" i="6"/>
  <c r="CF369" i="6"/>
  <c r="CF367" i="6"/>
  <c r="V355" i="6"/>
  <c r="V339" i="6"/>
  <c r="V326" i="6"/>
  <c r="BF339" i="6"/>
  <c r="BF326" i="6"/>
  <c r="BH339" i="6"/>
  <c r="BH326" i="6"/>
  <c r="BK339" i="6"/>
  <c r="BK326" i="6"/>
  <c r="BM339" i="6"/>
  <c r="BM326" i="6"/>
  <c r="BP339" i="6"/>
  <c r="BP326" i="6"/>
  <c r="BR339" i="6"/>
  <c r="BR326" i="6"/>
  <c r="BU339" i="6"/>
  <c r="BU326" i="6"/>
  <c r="BW339" i="6"/>
  <c r="BW326" i="6"/>
  <c r="C14" i="9"/>
  <c r="L99" i="6"/>
  <c r="L101" i="6" s="1"/>
  <c r="L13" i="9"/>
  <c r="BY339" i="6"/>
  <c r="L21" i="9"/>
  <c r="BY326" i="6"/>
  <c r="BY152" i="6"/>
  <c r="L15" i="9"/>
  <c r="BE151" i="6"/>
  <c r="H13" i="9"/>
  <c r="BE339" i="6"/>
  <c r="BE340" i="6" s="1"/>
  <c r="H21" i="9"/>
  <c r="BE326" i="6"/>
  <c r="H20" i="9"/>
  <c r="BE152" i="6"/>
  <c r="H15" i="9"/>
  <c r="BZ151" i="6"/>
  <c r="BZ152" i="6"/>
  <c r="BZ339" i="6"/>
  <c r="BZ326" i="6"/>
  <c r="CE263" i="6"/>
  <c r="CG144" i="6"/>
  <c r="CG154" i="6" s="1"/>
  <c r="CH146" i="6"/>
  <c r="CG296" i="6"/>
  <c r="CF354" i="6"/>
  <c r="T29" i="7"/>
  <c r="S29" i="7"/>
  <c r="R29" i="8"/>
  <c r="Q29" i="8"/>
  <c r="Q30" i="8" s="1"/>
  <c r="P29" i="8"/>
  <c r="P30" i="8" s="1"/>
  <c r="O29" i="8"/>
  <c r="O30" i="8" s="1"/>
  <c r="N29" i="8"/>
  <c r="M29" i="8"/>
  <c r="M30" i="8" s="1"/>
  <c r="L29" i="8"/>
  <c r="L30" i="8" s="1"/>
  <c r="K29" i="8"/>
  <c r="K30" i="8" s="1"/>
  <c r="J29" i="8"/>
  <c r="J30" i="8" s="1"/>
  <c r="I29" i="8"/>
  <c r="I30" i="8" s="1"/>
  <c r="CE329" i="6"/>
  <c r="CE334" i="6" s="1"/>
  <c r="CE212" i="6"/>
  <c r="CE213" i="6"/>
  <c r="CE211" i="6"/>
  <c r="J8" i="9"/>
  <c r="D14" i="9"/>
  <c r="AK99" i="6"/>
  <c r="AK101" i="6" s="1"/>
  <c r="BY151" i="6"/>
  <c r="BY333" i="6" s="1"/>
  <c r="BO151" i="6"/>
  <c r="CA153" i="6"/>
  <c r="CA155" i="6" s="1"/>
  <c r="CA156" i="6" s="1"/>
  <c r="CA159" i="6" s="1"/>
  <c r="BY345" i="6"/>
  <c r="F14" i="9"/>
  <c r="BJ98" i="6"/>
  <c r="BZ153" i="6"/>
  <c r="BZ155" i="6" s="1"/>
  <c r="BZ156" i="6" s="1"/>
  <c r="BZ159" i="6" s="1"/>
  <c r="L8" i="9"/>
  <c r="G14" i="9"/>
  <c r="Q99" i="6"/>
  <c r="Q101" i="6" s="1"/>
  <c r="BO98" i="6"/>
  <c r="BT151" i="6"/>
  <c r="CB153" i="6"/>
  <c r="CB155" i="6" s="1"/>
  <c r="CB156" i="6" s="1"/>
  <c r="CB159" i="6" s="1"/>
  <c r="BT104" i="6"/>
  <c r="CJ148" i="6"/>
  <c r="CI154" i="6"/>
  <c r="CL144" i="6"/>
  <c r="BJ99" i="6"/>
  <c r="BJ101" i="6" s="1"/>
  <c r="AF99" i="6"/>
  <c r="AF101" i="6" s="1"/>
  <c r="AZ99" i="6"/>
  <c r="AZ101" i="6" s="1"/>
  <c r="C9" i="7"/>
  <c r="C12" i="9"/>
  <c r="D12" i="9"/>
  <c r="E12" i="9"/>
  <c r="F12" i="9"/>
  <c r="G12" i="9"/>
  <c r="E14" i="9"/>
  <c r="C72" i="8"/>
  <c r="C73" i="8" s="1"/>
  <c r="C74" i="8"/>
  <c r="H30" i="8"/>
  <c r="D29" i="8"/>
  <c r="D30" i="8" s="1"/>
  <c r="F29" i="8"/>
  <c r="F30" i="8" s="1"/>
  <c r="G29" i="8"/>
  <c r="G30" i="8" s="1"/>
  <c r="E29" i="8"/>
  <c r="E30" i="8" s="1"/>
  <c r="BY329" i="6"/>
  <c r="AP354" i="6"/>
  <c r="AP356" i="6" s="1"/>
  <c r="AA345" i="6"/>
  <c r="AP345" i="6"/>
  <c r="V363" i="6"/>
  <c r="V364" i="6" s="1"/>
  <c r="AF329" i="6"/>
  <c r="G329" i="6"/>
  <c r="G334" i="6" s="1"/>
  <c r="BJ329" i="6"/>
  <c r="BJ334" i="6" s="1"/>
  <c r="AP364" i="6"/>
  <c r="AZ329" i="6"/>
  <c r="L329" i="6"/>
  <c r="L334" i="6" s="1"/>
  <c r="L354" i="6"/>
  <c r="AU364" i="6"/>
  <c r="AA329" i="6"/>
  <c r="AK345" i="6"/>
  <c r="CA104" i="6"/>
  <c r="BK261" i="6"/>
  <c r="BM261" i="6"/>
  <c r="BP261" i="6"/>
  <c r="BR261" i="6"/>
  <c r="AU329" i="6"/>
  <c r="AU334" i="6" s="1"/>
  <c r="L345" i="6"/>
  <c r="AZ345" i="6"/>
  <c r="AU354" i="6"/>
  <c r="AF345" i="6"/>
  <c r="CJ316" i="6"/>
  <c r="AP329" i="6"/>
  <c r="V329" i="6"/>
  <c r="V334" i="6" s="1"/>
  <c r="BE330" i="6"/>
  <c r="AK329" i="6"/>
  <c r="AK334" i="6" s="1"/>
  <c r="Q329" i="6"/>
  <c r="AK363" i="6"/>
  <c r="AK364" i="6" s="1"/>
  <c r="CK335" i="6"/>
  <c r="BY363" i="6"/>
  <c r="BY364" i="6" s="1"/>
  <c r="Q364" i="6"/>
  <c r="AF354" i="6"/>
  <c r="AZ363" i="6"/>
  <c r="AZ364" i="6" s="1"/>
  <c r="AF364" i="6"/>
  <c r="L364" i="6"/>
  <c r="AA357" i="6"/>
  <c r="AA333" i="6"/>
  <c r="BK99" i="6"/>
  <c r="BM110" i="6"/>
  <c r="CI317" i="6"/>
  <c r="CI297" i="6"/>
  <c r="AK271" i="6"/>
  <c r="AP334" i="6"/>
  <c r="CK259" i="6"/>
  <c r="CL259" i="6" s="1"/>
  <c r="CJ317" i="6"/>
  <c r="AZ356" i="6"/>
  <c r="BE271" i="6"/>
  <c r="G364" i="6"/>
  <c r="V357" i="6"/>
  <c r="AU355" i="6"/>
  <c r="AU356" i="6" s="1"/>
  <c r="V345" i="6"/>
  <c r="V333" i="6"/>
  <c r="Q334" i="6"/>
  <c r="BO350" i="6"/>
  <c r="V356" i="6"/>
  <c r="AU357" i="6"/>
  <c r="AA355" i="6"/>
  <c r="AA271" i="6"/>
  <c r="AP357" i="6"/>
  <c r="BT350" i="6"/>
  <c r="AP333" i="6"/>
  <c r="CL232" i="6"/>
  <c r="BY350" i="6"/>
  <c r="BY334" i="6"/>
  <c r="CD350" i="6"/>
  <c r="G345" i="6"/>
  <c r="BT274" i="6"/>
  <c r="CK242" i="6"/>
  <c r="CL242" i="6" s="1"/>
  <c r="CJ297" i="6"/>
  <c r="CK317" i="6"/>
  <c r="AA364" i="6"/>
  <c r="AA354" i="6"/>
  <c r="AA334" i="6"/>
  <c r="G354" i="6"/>
  <c r="G333" i="6"/>
  <c r="Q271" i="6"/>
  <c r="AU271" i="6"/>
  <c r="BJ350" i="6"/>
  <c r="BO278" i="6"/>
  <c r="BO272" i="6"/>
  <c r="Q345" i="6"/>
  <c r="AU345" i="6"/>
  <c r="AF333" i="6"/>
  <c r="AF357" i="6"/>
  <c r="AZ333" i="6"/>
  <c r="AZ357" i="6"/>
  <c r="BJ230" i="6"/>
  <c r="BJ237" i="6" s="1"/>
  <c r="BJ342" i="6" s="1"/>
  <c r="BJ345" i="6" s="1"/>
  <c r="CJ256" i="6"/>
  <c r="CJ313" i="6" s="1"/>
  <c r="L271" i="6"/>
  <c r="V271" i="6"/>
  <c r="AF271" i="6"/>
  <c r="CJ241" i="6"/>
  <c r="CJ296" i="6" s="1"/>
  <c r="G357" i="6"/>
  <c r="AF355" i="6"/>
  <c r="G355" i="6"/>
  <c r="AZ334" i="6"/>
  <c r="AF334" i="6"/>
  <c r="G271" i="6"/>
  <c r="AP271" i="6"/>
  <c r="AZ271" i="6"/>
  <c r="AZ263" i="6"/>
  <c r="BP103" i="6"/>
  <c r="BT213" i="6"/>
  <c r="BT212" i="6"/>
  <c r="L210" i="6"/>
  <c r="L212" i="6" s="1"/>
  <c r="L201" i="6"/>
  <c r="L202" i="6" s="1"/>
  <c r="L205" i="6" s="1"/>
  <c r="L207" i="6" s="1"/>
  <c r="L320" i="6" s="1"/>
  <c r="AK210" i="6"/>
  <c r="AK213" i="6" s="1"/>
  <c r="AK201" i="6"/>
  <c r="AK202" i="6" s="1"/>
  <c r="AK205" i="6" s="1"/>
  <c r="AK207" i="6" s="1"/>
  <c r="AK320" i="6" s="1"/>
  <c r="BJ289" i="6"/>
  <c r="BJ279" i="6"/>
  <c r="BJ273" i="6"/>
  <c r="BJ268" i="6"/>
  <c r="BJ214" i="6"/>
  <c r="BJ288" i="6"/>
  <c r="BJ278" i="6"/>
  <c r="BJ272" i="6"/>
  <c r="BJ291" i="6"/>
  <c r="BJ287" i="6"/>
  <c r="BJ275" i="6"/>
  <c r="CD289" i="6"/>
  <c r="CD279" i="6"/>
  <c r="CD273" i="6"/>
  <c r="CD268" i="6"/>
  <c r="CD288" i="6"/>
  <c r="CD278" i="6"/>
  <c r="CD272" i="6"/>
  <c r="CD214" i="6"/>
  <c r="CD291" i="6"/>
  <c r="CD287" i="6"/>
  <c r="CD275" i="6"/>
  <c r="BJ290" i="6"/>
  <c r="CD274" i="6"/>
  <c r="BJ270" i="6"/>
  <c r="BT270" i="6"/>
  <c r="CD270" i="6"/>
  <c r="BY213" i="6"/>
  <c r="BY212" i="6"/>
  <c r="BX66" i="6"/>
  <c r="BJ269" i="6"/>
  <c r="CD281" i="6"/>
  <c r="Q210" i="6"/>
  <c r="Q212" i="6" s="1"/>
  <c r="Q201" i="6"/>
  <c r="Q202" i="6" s="1"/>
  <c r="Q205" i="6" s="1"/>
  <c r="Q207" i="6" s="1"/>
  <c r="Q320" i="6" s="1"/>
  <c r="V210" i="6"/>
  <c r="V213" i="6" s="1"/>
  <c r="V201" i="6"/>
  <c r="V202" i="6" s="1"/>
  <c r="V205" i="6" s="1"/>
  <c r="V207" i="6" s="1"/>
  <c r="V320" i="6" s="1"/>
  <c r="AF210" i="6"/>
  <c r="AF201" i="6"/>
  <c r="AF202" i="6" s="1"/>
  <c r="AF205" i="6" s="1"/>
  <c r="AF207" i="6" s="1"/>
  <c r="AF320" i="6" s="1"/>
  <c r="AP210" i="6"/>
  <c r="AP372" i="6" s="1"/>
  <c r="AP201" i="6"/>
  <c r="AP202" i="6" s="1"/>
  <c r="AP205" i="6" s="1"/>
  <c r="AP207" i="6" s="1"/>
  <c r="AP320" i="6" s="1"/>
  <c r="AZ210" i="6"/>
  <c r="AZ211" i="6" s="1"/>
  <c r="AZ201" i="6"/>
  <c r="AZ202" i="6" s="1"/>
  <c r="AZ205" i="6" s="1"/>
  <c r="AZ207" i="6" s="1"/>
  <c r="AZ320" i="6" s="1"/>
  <c r="BT289" i="6"/>
  <c r="BT279" i="6"/>
  <c r="BT273" i="6"/>
  <c r="BT268" i="6"/>
  <c r="BT214" i="6"/>
  <c r="BT288" i="6"/>
  <c r="BT278" i="6"/>
  <c r="BT272" i="6"/>
  <c r="BT291" i="6"/>
  <c r="BT287" i="6"/>
  <c r="BT275" i="6"/>
  <c r="BJ213" i="6"/>
  <c r="BJ212" i="6"/>
  <c r="BO291" i="6"/>
  <c r="BO287" i="6"/>
  <c r="BO275" i="6"/>
  <c r="BO214" i="6"/>
  <c r="BO290" i="6"/>
  <c r="BO281" i="6"/>
  <c r="BO274" i="6"/>
  <c r="BO289" i="6"/>
  <c r="BO279" i="6"/>
  <c r="BO273" i="6"/>
  <c r="BO268" i="6"/>
  <c r="BY291" i="6"/>
  <c r="BY287" i="6"/>
  <c r="BY275" i="6"/>
  <c r="BY214" i="6"/>
  <c r="BY290" i="6"/>
  <c r="BY281" i="6"/>
  <c r="BY274" i="6"/>
  <c r="BY289" i="6"/>
  <c r="BY279" i="6"/>
  <c r="BY273" i="6"/>
  <c r="BY268" i="6"/>
  <c r="BZ261" i="6"/>
  <c r="AA201" i="6"/>
  <c r="AA202" i="6" s="1"/>
  <c r="AA205" i="6" s="1"/>
  <c r="AA207" i="6" s="1"/>
  <c r="AA320" i="6" s="1"/>
  <c r="BJ274" i="6"/>
  <c r="BO288" i="6"/>
  <c r="BT281" i="6"/>
  <c r="BY272" i="6"/>
  <c r="CD290" i="6"/>
  <c r="CL258" i="6"/>
  <c r="CK316" i="6"/>
  <c r="BO270" i="6"/>
  <c r="BO269" i="6"/>
  <c r="BY270" i="6"/>
  <c r="BY269" i="6"/>
  <c r="BF261" i="6"/>
  <c r="BH261" i="6"/>
  <c r="BJ261" i="6"/>
  <c r="BT261" i="6"/>
  <c r="BV261" i="6"/>
  <c r="BY211" i="6"/>
  <c r="AU201" i="6"/>
  <c r="AU202" i="6" s="1"/>
  <c r="AU205" i="6" s="1"/>
  <c r="AU207" i="6" s="1"/>
  <c r="AU320" i="6" s="1"/>
  <c r="BJ281" i="6"/>
  <c r="BJ321" i="6"/>
  <c r="BT290" i="6"/>
  <c r="BY278" i="6"/>
  <c r="CD269" i="6"/>
  <c r="CI295" i="6"/>
  <c r="CJ255" i="6"/>
  <c r="CI312" i="6"/>
  <c r="BR104" i="6"/>
  <c r="BJ372" i="6"/>
  <c r="BY104" i="6"/>
  <c r="CA110" i="6"/>
  <c r="BM105" i="6"/>
  <c r="CL218" i="6"/>
  <c r="CB261" i="6"/>
  <c r="BG207" i="6"/>
  <c r="BG226" i="6" s="1"/>
  <c r="BG230" i="6" s="1"/>
  <c r="BG237" i="6" s="1"/>
  <c r="BS247" i="6"/>
  <c r="BS253" i="6" s="1"/>
  <c r="CD207" i="6"/>
  <c r="BS73" i="6"/>
  <c r="CC88" i="6"/>
  <c r="V130" i="6"/>
  <c r="V132" i="6" s="1"/>
  <c r="V327" i="6" s="1"/>
  <c r="G263" i="6"/>
  <c r="BK104" i="6"/>
  <c r="BU104" i="6"/>
  <c r="BW104" i="6"/>
  <c r="BN55" i="6"/>
  <c r="BX55" i="6"/>
  <c r="BN73" i="6"/>
  <c r="BN95" i="6"/>
  <c r="BX95" i="6"/>
  <c r="BX98" i="6"/>
  <c r="BX110" i="6" s="1"/>
  <c r="BN70" i="6"/>
  <c r="BX80" i="6"/>
  <c r="CC92" i="6"/>
  <c r="BN84" i="6"/>
  <c r="BS88" i="6"/>
  <c r="BS77" i="6"/>
  <c r="BU261" i="6"/>
  <c r="BN62" i="6"/>
  <c r="BE261" i="6"/>
  <c r="BI261" i="6"/>
  <c r="BI263" i="6" s="1"/>
  <c r="BL261" i="6"/>
  <c r="BO261" i="6"/>
  <c r="BQ261" i="6"/>
  <c r="BW261" i="6"/>
  <c r="CD261" i="6"/>
  <c r="BH207" i="6"/>
  <c r="BH226" i="6" s="1"/>
  <c r="BH230" i="6" s="1"/>
  <c r="BH237" i="6" s="1"/>
  <c r="BX193" i="6"/>
  <c r="BO207" i="6"/>
  <c r="BO320" i="6" s="1"/>
  <c r="BX186" i="6"/>
  <c r="BX210" i="6" s="1"/>
  <c r="BX90" i="6"/>
  <c r="BK105" i="6"/>
  <c r="BS58" i="6"/>
  <c r="CC58" i="6"/>
  <c r="CC69" i="6"/>
  <c r="BF207" i="6"/>
  <c r="BF226" i="6" s="1"/>
  <c r="BF230" i="6" s="1"/>
  <c r="BF237" i="6" s="1"/>
  <c r="BN186" i="6"/>
  <c r="BN210" i="6" s="1"/>
  <c r="BN202" i="6"/>
  <c r="BS186" i="6"/>
  <c r="BS210" i="6" s="1"/>
  <c r="BS193" i="6"/>
  <c r="BX202" i="6"/>
  <c r="BY207" i="6"/>
  <c r="BI23" i="6"/>
  <c r="BO133" i="6"/>
  <c r="BO153" i="6" s="1"/>
  <c r="BO155" i="6" s="1"/>
  <c r="BO156" i="6" s="1"/>
  <c r="BO159" i="6" s="1"/>
  <c r="BY133" i="6"/>
  <c r="BF136" i="6"/>
  <c r="CJ218" i="6"/>
  <c r="BG261" i="6"/>
  <c r="CA261" i="6"/>
  <c r="BK207" i="6"/>
  <c r="BK226" i="6" s="1"/>
  <c r="BK230" i="6" s="1"/>
  <c r="BK237" i="6" s="1"/>
  <c r="BS202" i="6"/>
  <c r="CC186" i="6"/>
  <c r="CC210" i="6" s="1"/>
  <c r="CC193" i="6"/>
  <c r="CC202" i="6"/>
  <c r="BN247" i="6"/>
  <c r="BN253" i="6" s="1"/>
  <c r="BN260" i="6"/>
  <c r="BS260" i="6"/>
  <c r="BX247" i="6"/>
  <c r="BX253" i="6" s="1"/>
  <c r="BX260" i="6"/>
  <c r="CC247" i="6"/>
  <c r="CC253" i="6" s="1"/>
  <c r="BT207" i="6"/>
  <c r="CD210" i="6"/>
  <c r="C31" i="7" s="1"/>
  <c r="C33" i="7" s="1"/>
  <c r="BS68" i="6"/>
  <c r="BV105" i="6"/>
  <c r="CA136" i="6"/>
  <c r="BN137" i="6"/>
  <c r="BX137" i="6"/>
  <c r="BO210" i="6"/>
  <c r="BT211" i="6" s="1"/>
  <c r="AF170" i="6"/>
  <c r="BO103" i="6"/>
  <c r="BM104" i="6"/>
  <c r="BX70" i="6"/>
  <c r="BS81" i="6"/>
  <c r="BS92" i="6"/>
  <c r="BJ133" i="6"/>
  <c r="BJ153" i="6" s="1"/>
  <c r="BJ155" i="6" s="1"/>
  <c r="BJ156" i="6" s="1"/>
  <c r="BJ159" i="6" s="1"/>
  <c r="BO105" i="6"/>
  <c r="BZ103" i="6"/>
  <c r="CK218" i="6"/>
  <c r="BY261" i="6"/>
  <c r="BY263" i="6" s="1"/>
  <c r="BN193" i="6"/>
  <c r="CC260" i="6"/>
  <c r="CM216" i="6"/>
  <c r="CM218" i="6" s="1"/>
  <c r="CI220" i="6"/>
  <c r="CI222" i="6"/>
  <c r="CI221" i="6"/>
  <c r="BL136" i="6"/>
  <c r="BS69" i="6"/>
  <c r="BW103" i="6"/>
  <c r="BO104" i="6"/>
  <c r="BQ104" i="6"/>
  <c r="CB103" i="6"/>
  <c r="CD167" i="6"/>
  <c r="CC102" i="6"/>
  <c r="BO166" i="6"/>
  <c r="BT166" i="6"/>
  <c r="BY166" i="6"/>
  <c r="BQ136" i="6"/>
  <c r="BO167" i="6"/>
  <c r="BY167" i="6"/>
  <c r="BV137" i="6"/>
  <c r="BN136" i="6"/>
  <c r="BX136" i="6"/>
  <c r="BT110" i="6"/>
  <c r="BU103" i="6"/>
  <c r="BR103" i="6"/>
  <c r="BS66" i="6"/>
  <c r="BX77" i="6"/>
  <c r="CC80" i="6"/>
  <c r="BX88" i="6"/>
  <c r="CC91" i="6"/>
  <c r="V168" i="6"/>
  <c r="BI15" i="6"/>
  <c r="BI30" i="6"/>
  <c r="BJ116" i="6"/>
  <c r="I20" i="9" s="1"/>
  <c r="BJ167" i="6"/>
  <c r="BQ99" i="6"/>
  <c r="BL99" i="6"/>
  <c r="BL110" i="6"/>
  <c r="CD110" i="6"/>
  <c r="BQ105" i="6"/>
  <c r="CB110" i="6"/>
  <c r="CB99" i="6"/>
  <c r="BJ166" i="6"/>
  <c r="CB104" i="6"/>
  <c r="CA105" i="6"/>
  <c r="CA99" i="6"/>
  <c r="BV110" i="6"/>
  <c r="BV99" i="6"/>
  <c r="BZ105" i="6"/>
  <c r="BL105" i="6"/>
  <c r="BZ99" i="6"/>
  <c r="BZ104" i="6"/>
  <c r="CD104" i="6"/>
  <c r="CD166" i="6"/>
  <c r="BT167" i="6"/>
  <c r="BP99" i="6"/>
  <c r="BU99" i="6"/>
  <c r="BP104" i="6"/>
  <c r="BW99" i="6"/>
  <c r="BR110" i="6"/>
  <c r="BR99" i="6"/>
  <c r="BS57" i="6"/>
  <c r="BN59" i="6"/>
  <c r="BN102" i="6"/>
  <c r="BN104" i="6" s="1"/>
  <c r="BS59" i="6"/>
  <c r="BN57" i="6"/>
  <c r="BN58" i="6"/>
  <c r="CC57" i="6"/>
  <c r="BX59" i="6"/>
  <c r="BX102" i="6"/>
  <c r="BX58" i="6"/>
  <c r="CC59" i="6"/>
  <c r="BX57" i="6"/>
  <c r="BN69" i="6"/>
  <c r="BS70" i="6"/>
  <c r="BN68" i="6"/>
  <c r="CC68" i="6"/>
  <c r="BX69" i="6"/>
  <c r="CC70" i="6"/>
  <c r="BX68" i="6"/>
  <c r="BN80" i="6"/>
  <c r="BS79" i="6"/>
  <c r="BN81" i="6"/>
  <c r="BS90" i="6"/>
  <c r="BN92" i="6"/>
  <c r="BN91" i="6"/>
  <c r="BX91" i="6"/>
  <c r="CC90" i="6"/>
  <c r="BX92" i="6"/>
  <c r="BV104" i="6"/>
  <c r="BE126" i="6"/>
  <c r="BI136" i="6"/>
  <c r="BS136" i="6"/>
  <c r="CC136" i="6"/>
  <c r="BS55" i="6"/>
  <c r="CC55" i="6"/>
  <c r="CC66" i="6"/>
  <c r="BS84" i="6"/>
  <c r="CC77" i="6"/>
  <c r="BS95" i="6"/>
  <c r="CC95" i="6"/>
  <c r="BL103" i="6"/>
  <c r="BP105" i="6"/>
  <c r="BQ103" i="6"/>
  <c r="CA103" i="6"/>
  <c r="BS98" i="6"/>
  <c r="BS110" i="6" s="1"/>
  <c r="CC98" i="6"/>
  <c r="BG136" i="6"/>
  <c r="BS137" i="6"/>
  <c r="CC137" i="6"/>
  <c r="BS80" i="6"/>
  <c r="BS91" i="6"/>
  <c r="BL104" i="6"/>
  <c r="BV103" i="6"/>
  <c r="BW105" i="6"/>
  <c r="CC79" i="6"/>
  <c r="BX79" i="6"/>
  <c r="CC81" i="6"/>
  <c r="BX81" i="6"/>
  <c r="BN99" i="6"/>
  <c r="BN110" i="6"/>
  <c r="CD103" i="6"/>
  <c r="CD105" i="6"/>
  <c r="CB105" i="6"/>
  <c r="BY105" i="6"/>
  <c r="BR105" i="6"/>
  <c r="BU105" i="6"/>
  <c r="BT105" i="6"/>
  <c r="AF165" i="6"/>
  <c r="AP165" i="6"/>
  <c r="L46" i="6"/>
  <c r="V46" i="6"/>
  <c r="BH137" i="6"/>
  <c r="V162" i="6"/>
  <c r="CB136" i="6"/>
  <c r="BH47" i="6"/>
  <c r="BM136" i="6"/>
  <c r="BZ136" i="6"/>
  <c r="BT116" i="6"/>
  <c r="K20" i="9" s="1"/>
  <c r="BT133" i="6"/>
  <c r="BT153" i="6" s="1"/>
  <c r="BT155" i="6" s="1"/>
  <c r="BT156" i="6" s="1"/>
  <c r="BT159" i="6" s="1"/>
  <c r="CD116" i="6"/>
  <c r="M20" i="9" s="1"/>
  <c r="CD133" i="6"/>
  <c r="CD153" i="6" s="1"/>
  <c r="CD155" i="6" s="1"/>
  <c r="CD156" i="6" s="1"/>
  <c r="BK136" i="6"/>
  <c r="BI137" i="6"/>
  <c r="BG47" i="6"/>
  <c r="Q126" i="6"/>
  <c r="BE202" i="6"/>
  <c r="BO116" i="6"/>
  <c r="J20" i="9" s="1"/>
  <c r="AP46" i="6"/>
  <c r="BF47" i="6"/>
  <c r="BP136" i="6"/>
  <c r="BR136" i="6"/>
  <c r="BU136" i="6"/>
  <c r="BW136" i="6"/>
  <c r="AK126" i="6"/>
  <c r="AK143" i="6" s="1"/>
  <c r="AK150" i="6" s="1"/>
  <c r="J36" i="7" s="1"/>
  <c r="AZ130" i="6"/>
  <c r="AZ132" i="6" s="1"/>
  <c r="AU46" i="6"/>
  <c r="BE46" i="6"/>
  <c r="BY116" i="6"/>
  <c r="L20" i="9" s="1"/>
  <c r="BJ47" i="6"/>
  <c r="AP162" i="6"/>
  <c r="AZ165" i="6"/>
  <c r="BE162" i="6"/>
  <c r="L126" i="6"/>
  <c r="BP46" i="6"/>
  <c r="BQ46" i="6"/>
  <c r="G47" i="6"/>
  <c r="Q47" i="6"/>
  <c r="AA47" i="6"/>
  <c r="AP47" i="6"/>
  <c r="AZ47" i="6"/>
  <c r="AF47" i="6"/>
  <c r="V165" i="6"/>
  <c r="BK47" i="6"/>
  <c r="BL47" i="6"/>
  <c r="BP47" i="6"/>
  <c r="BR47" i="6"/>
  <c r="L162" i="6"/>
  <c r="AA162" i="6"/>
  <c r="AU162" i="6"/>
  <c r="G165" i="6"/>
  <c r="Q162" i="6"/>
  <c r="AA165" i="6"/>
  <c r="AK162" i="6"/>
  <c r="AU165" i="6"/>
  <c r="BE165" i="6"/>
  <c r="AF162" i="6"/>
  <c r="AZ162" i="6"/>
  <c r="BM47" i="6"/>
  <c r="BJ46" i="6"/>
  <c r="L47" i="6"/>
  <c r="V47" i="6"/>
  <c r="AK47" i="6"/>
  <c r="AU47" i="6"/>
  <c r="BE47" i="6"/>
  <c r="AF130" i="6"/>
  <c r="BQ47" i="6"/>
  <c r="AZ46" i="6"/>
  <c r="BK46" i="6"/>
  <c r="BL46" i="6"/>
  <c r="CI373" i="6"/>
  <c r="Q46" i="6"/>
  <c r="AA46" i="6"/>
  <c r="BM46" i="6"/>
  <c r="AK46" i="6"/>
  <c r="AF46" i="6"/>
  <c r="AP130" i="6"/>
  <c r="CD132" i="6"/>
  <c r="CD327" i="6" s="1"/>
  <c r="BY132" i="6"/>
  <c r="BY327" i="6" s="1"/>
  <c r="BT132" i="6"/>
  <c r="BT327" i="6" s="1"/>
  <c r="BO132" i="6"/>
  <c r="BJ132" i="6"/>
  <c r="BJ327" i="6" s="1"/>
  <c r="BY161" i="6"/>
  <c r="CD161" i="6"/>
  <c r="BT161" i="6"/>
  <c r="BO161" i="6"/>
  <c r="BJ161" i="6"/>
  <c r="CJ373" i="6"/>
  <c r="AA163" i="6"/>
  <c r="L372" i="6"/>
  <c r="L213" i="6"/>
  <c r="AA213" i="6"/>
  <c r="AA372" i="6"/>
  <c r="AA212" i="6"/>
  <c r="AU213" i="6"/>
  <c r="AU212" i="6"/>
  <c r="G130" i="6"/>
  <c r="AA130" i="6"/>
  <c r="G168" i="6"/>
  <c r="AU372" i="6"/>
  <c r="BO47" i="6"/>
  <c r="AA170" i="6"/>
  <c r="AA168" i="6"/>
  <c r="AF163" i="6"/>
  <c r="L211" i="6"/>
  <c r="G205" i="6"/>
  <c r="G207" i="6" s="1"/>
  <c r="G320" i="6" s="1"/>
  <c r="Q263" i="6"/>
  <c r="L263" i="6"/>
  <c r="AU263" i="6"/>
  <c r="AP263" i="6"/>
  <c r="AK263" i="6"/>
  <c r="AF263" i="6"/>
  <c r="AA263" i="6"/>
  <c r="V263" i="6"/>
  <c r="BO46" i="6"/>
  <c r="CJ295" i="6"/>
  <c r="M29" i="4"/>
  <c r="N29" i="4" s="1"/>
  <c r="L29" i="4"/>
  <c r="K29" i="4"/>
  <c r="J29" i="4"/>
  <c r="I29" i="4"/>
  <c r="H29" i="4"/>
  <c r="G29" i="4"/>
  <c r="F29" i="4"/>
  <c r="E29" i="4"/>
  <c r="BQ33" i="2"/>
  <c r="BR33" i="2" s="1"/>
  <c r="BS33" i="2" s="1"/>
  <c r="BQ31" i="2"/>
  <c r="BR31" i="2" s="1"/>
  <c r="C17" i="3"/>
  <c r="D17" i="3"/>
  <c r="E17" i="3"/>
  <c r="F17" i="3"/>
  <c r="G17" i="3"/>
  <c r="H17" i="3"/>
  <c r="I17" i="3"/>
  <c r="J17" i="3"/>
  <c r="K17" i="3"/>
  <c r="L17" i="3"/>
  <c r="M17" i="3"/>
  <c r="C11" i="3"/>
  <c r="D11" i="3"/>
  <c r="E11" i="3"/>
  <c r="F11" i="3"/>
  <c r="G11" i="3"/>
  <c r="H11" i="3"/>
  <c r="I11" i="3"/>
  <c r="J11" i="3"/>
  <c r="K11" i="3"/>
  <c r="L11" i="3"/>
  <c r="M11" i="3"/>
  <c r="C9" i="3"/>
  <c r="E9" i="3"/>
  <c r="F9" i="3"/>
  <c r="H9" i="3"/>
  <c r="J9" i="3"/>
  <c r="K9" i="3"/>
  <c r="L9" i="3"/>
  <c r="C8" i="3"/>
  <c r="F26" i="5"/>
  <c r="G26" i="5" s="1"/>
  <c r="K3" i="5"/>
  <c r="AF29" i="5" s="1"/>
  <c r="C21" i="5"/>
  <c r="C5" i="5"/>
  <c r="BP385" i="2"/>
  <c r="BP386" i="2" s="1"/>
  <c r="BP395" i="2" s="1"/>
  <c r="BJ385" i="2"/>
  <c r="BJ386" i="2" s="1"/>
  <c r="BJ395" i="2" s="1"/>
  <c r="BD385" i="2"/>
  <c r="BD386" i="2" s="1"/>
  <c r="BD395" i="2" s="1"/>
  <c r="AX385" i="2"/>
  <c r="AX386" i="2" s="1"/>
  <c r="AX395" i="2" s="1"/>
  <c r="AR385" i="2"/>
  <c r="AR386" i="2" s="1"/>
  <c r="AR395" i="2" s="1"/>
  <c r="AL385" i="2"/>
  <c r="AL386" i="2" s="1"/>
  <c r="AL395" i="2" s="1"/>
  <c r="AF385" i="2"/>
  <c r="AF386" i="2" s="1"/>
  <c r="AF395" i="2" s="1"/>
  <c r="Z385" i="2"/>
  <c r="Z386" i="2" s="1"/>
  <c r="Z395" i="2" s="1"/>
  <c r="T385" i="2"/>
  <c r="T386" i="2" s="1"/>
  <c r="T395" i="2" s="1"/>
  <c r="N385" i="2"/>
  <c r="H385" i="2"/>
  <c r="H386" i="2" s="1"/>
  <c r="H395" i="2" s="1"/>
  <c r="BJ374" i="2"/>
  <c r="BD374" i="2"/>
  <c r="AX374" i="2"/>
  <c r="AR374" i="2"/>
  <c r="AL374" i="2"/>
  <c r="AF374" i="2"/>
  <c r="Z374" i="2"/>
  <c r="T374" i="2"/>
  <c r="N374" i="2"/>
  <c r="H374" i="2"/>
  <c r="BP379" i="2"/>
  <c r="BJ379" i="2"/>
  <c r="BD379" i="2"/>
  <c r="AX379" i="2"/>
  <c r="AR379" i="2"/>
  <c r="AL379" i="2"/>
  <c r="AF379" i="2"/>
  <c r="Z379" i="2"/>
  <c r="T379" i="2"/>
  <c r="N379" i="2"/>
  <c r="H379" i="2"/>
  <c r="BU360" i="2"/>
  <c r="BT360" i="2"/>
  <c r="BS360" i="2"/>
  <c r="BR360" i="2"/>
  <c r="BQ360" i="2"/>
  <c r="BP367" i="2"/>
  <c r="BP360" i="2"/>
  <c r="BP356" i="2"/>
  <c r="BJ367" i="2"/>
  <c r="BJ360" i="2"/>
  <c r="BJ356" i="2"/>
  <c r="BJ387" i="2" s="1"/>
  <c r="BD367" i="2"/>
  <c r="BD360" i="2"/>
  <c r="BD356" i="2"/>
  <c r="BD387" i="2" s="1"/>
  <c r="AX367" i="2"/>
  <c r="AX360" i="2"/>
  <c r="AX356" i="2"/>
  <c r="AX387" i="2" s="1"/>
  <c r="AR367" i="2"/>
  <c r="AR360" i="2"/>
  <c r="AR356" i="2"/>
  <c r="AR387" i="2" s="1"/>
  <c r="AL367" i="2"/>
  <c r="AL360" i="2"/>
  <c r="AL356" i="2"/>
  <c r="AL387" i="2" s="1"/>
  <c r="AF367" i="2"/>
  <c r="AF360" i="2"/>
  <c r="AF356" i="2"/>
  <c r="AF387" i="2" s="1"/>
  <c r="Z367" i="2"/>
  <c r="Z360" i="2"/>
  <c r="Z356" i="2"/>
  <c r="T367" i="2"/>
  <c r="T360" i="2"/>
  <c r="T356" i="2"/>
  <c r="T387" i="2" s="1"/>
  <c r="N367" i="2"/>
  <c r="N360" i="2"/>
  <c r="N356" i="2"/>
  <c r="N387" i="2" s="1"/>
  <c r="H367" i="2"/>
  <c r="H360" i="2"/>
  <c r="H356" i="2"/>
  <c r="H387" i="2" s="1"/>
  <c r="BP347" i="2"/>
  <c r="BP346" i="2"/>
  <c r="BP345" i="2"/>
  <c r="BJ347" i="2"/>
  <c r="BJ346" i="2"/>
  <c r="BJ345" i="2"/>
  <c r="BD347" i="2"/>
  <c r="BD346" i="2"/>
  <c r="BD345" i="2"/>
  <c r="AX347" i="2"/>
  <c r="AX346" i="2"/>
  <c r="AX345" i="2"/>
  <c r="AR347" i="2"/>
  <c r="AR346" i="2"/>
  <c r="AR345" i="2"/>
  <c r="AL347" i="2"/>
  <c r="AL346" i="2"/>
  <c r="AL345" i="2"/>
  <c r="AF347" i="2"/>
  <c r="AF346" i="2"/>
  <c r="AF345" i="2"/>
  <c r="Z347" i="2"/>
  <c r="Z346" i="2"/>
  <c r="Z345" i="2"/>
  <c r="T347" i="2"/>
  <c r="T346" i="2"/>
  <c r="T345" i="2"/>
  <c r="N347" i="2"/>
  <c r="N346" i="2"/>
  <c r="N345" i="2"/>
  <c r="BP339" i="2"/>
  <c r="BP338" i="2"/>
  <c r="BP337" i="2"/>
  <c r="BJ339" i="2"/>
  <c r="BJ338" i="2"/>
  <c r="BJ337" i="2"/>
  <c r="BD339" i="2"/>
  <c r="BD338" i="2"/>
  <c r="BD337" i="2"/>
  <c r="AX339" i="2"/>
  <c r="AX338" i="2"/>
  <c r="AX337" i="2"/>
  <c r="AR339" i="2"/>
  <c r="AR338" i="2"/>
  <c r="AR337" i="2"/>
  <c r="AL339" i="2"/>
  <c r="AL338" i="2"/>
  <c r="AL337" i="2"/>
  <c r="AF339" i="2"/>
  <c r="AF338" i="2"/>
  <c r="AF337" i="2"/>
  <c r="Z339" i="2"/>
  <c r="Z338" i="2"/>
  <c r="Z337" i="2"/>
  <c r="T339" i="2"/>
  <c r="T338" i="2"/>
  <c r="T337" i="2"/>
  <c r="N339" i="2"/>
  <c r="N338" i="2"/>
  <c r="N337" i="2"/>
  <c r="H339" i="2"/>
  <c r="H338" i="2"/>
  <c r="H337" i="2"/>
  <c r="BU227" i="2"/>
  <c r="BT227" i="2"/>
  <c r="BS227" i="2"/>
  <c r="BR227" i="2"/>
  <c r="BQ227" i="2"/>
  <c r="BU299" i="2"/>
  <c r="BU292" i="2"/>
  <c r="BT299" i="2"/>
  <c r="BT292" i="2"/>
  <c r="BS299" i="2"/>
  <c r="BS292" i="2"/>
  <c r="BR299" i="2"/>
  <c r="BR292" i="2"/>
  <c r="BQ299" i="2"/>
  <c r="BQ292" i="2"/>
  <c r="BQ266" i="2"/>
  <c r="BQ345" i="2" s="1"/>
  <c r="BQ270" i="2"/>
  <c r="BQ256" i="2"/>
  <c r="BQ253" i="2"/>
  <c r="BR253" i="2" s="1"/>
  <c r="BS253" i="2" s="1"/>
  <c r="C8" i="4"/>
  <c r="M19" i="4"/>
  <c r="L19" i="4"/>
  <c r="K19" i="4"/>
  <c r="J19" i="4"/>
  <c r="I19" i="4"/>
  <c r="H19" i="4"/>
  <c r="G19" i="4"/>
  <c r="F19" i="4"/>
  <c r="E19" i="4"/>
  <c r="D19" i="4"/>
  <c r="C11" i="4"/>
  <c r="BP35" i="2"/>
  <c r="BQ34" i="2"/>
  <c r="BR34" i="2" s="1"/>
  <c r="BS34" i="2" s="1"/>
  <c r="BT34" i="2" s="1"/>
  <c r="BU34" i="2" s="1"/>
  <c r="BQ32" i="2"/>
  <c r="BR32" i="2" s="1"/>
  <c r="BS32" i="2" s="1"/>
  <c r="BT32" i="2" s="1"/>
  <c r="BU32" i="2" s="1"/>
  <c r="BU233" i="2"/>
  <c r="BU254" i="2" s="1"/>
  <c r="BT233" i="2"/>
  <c r="BT254" i="2" s="1"/>
  <c r="BS233" i="2"/>
  <c r="BS254" i="2" s="1"/>
  <c r="BR233" i="2"/>
  <c r="BR254" i="2" s="1"/>
  <c r="BQ233" i="2"/>
  <c r="BQ254" i="2" s="1"/>
  <c r="BU154" i="2"/>
  <c r="BU176" i="2" s="1"/>
  <c r="BU177" i="2" s="1"/>
  <c r="BT154" i="2"/>
  <c r="BT187" i="2" s="1"/>
  <c r="BS154" i="2"/>
  <c r="BS214" i="2" s="1"/>
  <c r="BR154" i="2"/>
  <c r="BR214" i="2" s="1"/>
  <c r="BQ154" i="2"/>
  <c r="BQ176" i="2" s="1"/>
  <c r="BQ177" i="2" s="1"/>
  <c r="BU89" i="2"/>
  <c r="BT89" i="2"/>
  <c r="BS89" i="2"/>
  <c r="BR89" i="2"/>
  <c r="BQ89" i="2"/>
  <c r="BQ81" i="2" s="1"/>
  <c r="BU55" i="2"/>
  <c r="BT55" i="2"/>
  <c r="BS55" i="2"/>
  <c r="BR55" i="2"/>
  <c r="BQ55" i="2"/>
  <c r="BQ47" i="2" s="1"/>
  <c r="BU21" i="2"/>
  <c r="BT21" i="2"/>
  <c r="BS21" i="2"/>
  <c r="BR21" i="2"/>
  <c r="BQ21" i="2"/>
  <c r="BQ13" i="2" s="1"/>
  <c r="BN127" i="2"/>
  <c r="BL127" i="2"/>
  <c r="BK127" i="2"/>
  <c r="BH127" i="2"/>
  <c r="BI127" i="2"/>
  <c r="N386" i="2"/>
  <c r="N395" i="2" s="1"/>
  <c r="BX93" i="2"/>
  <c r="BX59" i="2"/>
  <c r="BX25" i="2"/>
  <c r="BQ250" i="2"/>
  <c r="BU250" i="2"/>
  <c r="BT250" i="2"/>
  <c r="BS250" i="2"/>
  <c r="BR250" i="2"/>
  <c r="BU155" i="2"/>
  <c r="BT155" i="2"/>
  <c r="BS155" i="2"/>
  <c r="BR155" i="2"/>
  <c r="BQ155" i="2"/>
  <c r="BU211" i="2"/>
  <c r="BT211" i="2"/>
  <c r="BS211" i="2"/>
  <c r="BR211" i="2"/>
  <c r="BQ211" i="2"/>
  <c r="BU305" i="2"/>
  <c r="BU295" i="2"/>
  <c r="BU294" i="2"/>
  <c r="BU293" i="2"/>
  <c r="BU288" i="2"/>
  <c r="BU284" i="2"/>
  <c r="BU278" i="2"/>
  <c r="BU270" i="2"/>
  <c r="BT305" i="2"/>
  <c r="BT295" i="2"/>
  <c r="BT294" i="2"/>
  <c r="BT293" i="2"/>
  <c r="BT288" i="2"/>
  <c r="BT284" i="2"/>
  <c r="BT278" i="2"/>
  <c r="BT270" i="2"/>
  <c r="BS305" i="2"/>
  <c r="BS295" i="2"/>
  <c r="BS294" i="2"/>
  <c r="BS293" i="2"/>
  <c r="BS288" i="2"/>
  <c r="BS284" i="2"/>
  <c r="BS278" i="2"/>
  <c r="BS270" i="2"/>
  <c r="BR305" i="2"/>
  <c r="BR295" i="2"/>
  <c r="BR294" i="2"/>
  <c r="BR293" i="2"/>
  <c r="BR288" i="2"/>
  <c r="BR284" i="2"/>
  <c r="BR278" i="2"/>
  <c r="BR270" i="2"/>
  <c r="BQ305" i="2"/>
  <c r="BQ295" i="2"/>
  <c r="BQ294" i="2"/>
  <c r="BQ293" i="2"/>
  <c r="BQ288" i="2"/>
  <c r="BQ284" i="2"/>
  <c r="BQ278" i="2"/>
  <c r="BU315" i="2"/>
  <c r="BT315" i="2"/>
  <c r="BS315" i="2"/>
  <c r="BR315" i="2"/>
  <c r="BQ315" i="2"/>
  <c r="BP317" i="2"/>
  <c r="BJ317" i="2"/>
  <c r="BD317" i="2"/>
  <c r="AX317" i="2"/>
  <c r="AR317" i="2"/>
  <c r="AL317" i="2"/>
  <c r="AF317" i="2"/>
  <c r="Z317" i="2"/>
  <c r="T317" i="2"/>
  <c r="N317" i="2"/>
  <c r="H317" i="2"/>
  <c r="BQ114" i="2"/>
  <c r="BQ113" i="2"/>
  <c r="BP41" i="2"/>
  <c r="BJ41" i="2"/>
  <c r="BP109" i="2"/>
  <c r="BP105" i="2"/>
  <c r="BJ109" i="2"/>
  <c r="BJ108" i="2"/>
  <c r="BJ107" i="2"/>
  <c r="BJ106" i="2"/>
  <c r="BJ105" i="2"/>
  <c r="BD109" i="2"/>
  <c r="BD108" i="2"/>
  <c r="BD107" i="2"/>
  <c r="BD106" i="2"/>
  <c r="BD105" i="2"/>
  <c r="AX109" i="2"/>
  <c r="AX108" i="2"/>
  <c r="AX107" i="2"/>
  <c r="AX106" i="2"/>
  <c r="AX105" i="2"/>
  <c r="AR109" i="2"/>
  <c r="AR108" i="2"/>
  <c r="AR107" i="2"/>
  <c r="AR106" i="2"/>
  <c r="AR105" i="2"/>
  <c r="AL109" i="2"/>
  <c r="AL108" i="2"/>
  <c r="AL107" i="2"/>
  <c r="AL106" i="2"/>
  <c r="AL105" i="2"/>
  <c r="AF109" i="2"/>
  <c r="AF108" i="2"/>
  <c r="AF107" i="2"/>
  <c r="AF106" i="2"/>
  <c r="AF105" i="2"/>
  <c r="Z109" i="2"/>
  <c r="Z108" i="2"/>
  <c r="Z107" i="2"/>
  <c r="Z106" i="2"/>
  <c r="Z105" i="2"/>
  <c r="T109" i="2"/>
  <c r="T108" i="2"/>
  <c r="T107" i="2"/>
  <c r="T106" i="2"/>
  <c r="T105" i="2"/>
  <c r="N109" i="2"/>
  <c r="N108" i="2"/>
  <c r="N107" i="2"/>
  <c r="N106" i="2"/>
  <c r="N105" i="2"/>
  <c r="H109" i="2"/>
  <c r="H108" i="2"/>
  <c r="H107" i="2"/>
  <c r="H106" i="2"/>
  <c r="H105" i="2"/>
  <c r="BP75" i="2"/>
  <c r="BP74" i="2"/>
  <c r="BP73" i="2"/>
  <c r="BP72" i="2"/>
  <c r="BP71" i="2"/>
  <c r="BJ75" i="2"/>
  <c r="BJ74" i="2"/>
  <c r="BJ73" i="2"/>
  <c r="BJ72" i="2"/>
  <c r="BJ71" i="2"/>
  <c r="BD75" i="2"/>
  <c r="BD74" i="2"/>
  <c r="BD73" i="2"/>
  <c r="BD72" i="2"/>
  <c r="BD71" i="2"/>
  <c r="AX75" i="2"/>
  <c r="AX74" i="2"/>
  <c r="AX73" i="2"/>
  <c r="AX72" i="2"/>
  <c r="AX71" i="2"/>
  <c r="AR75" i="2"/>
  <c r="AR74" i="2"/>
  <c r="AR73" i="2"/>
  <c r="AR72" i="2"/>
  <c r="AR71" i="2"/>
  <c r="AL75" i="2"/>
  <c r="AL74" i="2"/>
  <c r="AL73" i="2"/>
  <c r="AL72" i="2"/>
  <c r="AL71" i="2"/>
  <c r="AF75" i="2"/>
  <c r="AF74" i="2"/>
  <c r="AF73" i="2"/>
  <c r="AF72" i="2"/>
  <c r="AF71" i="2"/>
  <c r="Z75" i="2"/>
  <c r="Z74" i="2"/>
  <c r="Z73" i="2"/>
  <c r="Z72" i="2"/>
  <c r="Z71" i="2"/>
  <c r="T75" i="2"/>
  <c r="T74" i="2"/>
  <c r="T73" i="2"/>
  <c r="T72" i="2"/>
  <c r="T71" i="2"/>
  <c r="N75" i="2"/>
  <c r="N74" i="2"/>
  <c r="N73" i="2"/>
  <c r="N72" i="2"/>
  <c r="N71" i="2"/>
  <c r="H75" i="2"/>
  <c r="H74" i="2"/>
  <c r="H73" i="2"/>
  <c r="H72" i="2"/>
  <c r="H71" i="2"/>
  <c r="BP40" i="2"/>
  <c r="BP39" i="2"/>
  <c r="BP38" i="2"/>
  <c r="BP37" i="2"/>
  <c r="BJ40" i="2"/>
  <c r="BJ39" i="2"/>
  <c r="BJ38" i="2"/>
  <c r="BJ37" i="2"/>
  <c r="BD41" i="2"/>
  <c r="BD40" i="2"/>
  <c r="BD39" i="2"/>
  <c r="BD38" i="2"/>
  <c r="BD37" i="2"/>
  <c r="AX41" i="2"/>
  <c r="AX40" i="2"/>
  <c r="AX39" i="2"/>
  <c r="AX38" i="2"/>
  <c r="AX37" i="2"/>
  <c r="AR41" i="2"/>
  <c r="AR40" i="2"/>
  <c r="AR39" i="2"/>
  <c r="AR38" i="2"/>
  <c r="AR37" i="2"/>
  <c r="AL41" i="2"/>
  <c r="AL40" i="2"/>
  <c r="AL39" i="2"/>
  <c r="AL38" i="2"/>
  <c r="AL37" i="2"/>
  <c r="AF41" i="2"/>
  <c r="AF40" i="2"/>
  <c r="AF39" i="2"/>
  <c r="AF38" i="2"/>
  <c r="AF37" i="2"/>
  <c r="Z41" i="2"/>
  <c r="Z40" i="2"/>
  <c r="Z39" i="2"/>
  <c r="Z38" i="2"/>
  <c r="Z37" i="2"/>
  <c r="T41" i="2"/>
  <c r="T40" i="2"/>
  <c r="T39" i="2"/>
  <c r="T38" i="2"/>
  <c r="T37" i="2"/>
  <c r="N41" i="2"/>
  <c r="N40" i="2"/>
  <c r="N39" i="2"/>
  <c r="N38" i="2"/>
  <c r="N37" i="2"/>
  <c r="H41" i="2"/>
  <c r="H40" i="2"/>
  <c r="H39" i="2"/>
  <c r="H38" i="2"/>
  <c r="H37" i="2"/>
  <c r="BU114" i="2"/>
  <c r="BU113" i="2"/>
  <c r="BT114" i="2"/>
  <c r="BT113" i="2"/>
  <c r="BS114" i="2"/>
  <c r="BS113" i="2"/>
  <c r="BR114" i="2"/>
  <c r="BR113" i="2"/>
  <c r="BP306" i="2"/>
  <c r="BP368" i="2" s="1"/>
  <c r="BP296" i="2"/>
  <c r="BP287" i="2"/>
  <c r="BP289" i="2" s="1"/>
  <c r="BP279" i="2"/>
  <c r="BP271" i="2"/>
  <c r="BJ306" i="2"/>
  <c r="BJ368" i="2" s="1"/>
  <c r="BJ296" i="2"/>
  <c r="BJ287" i="2"/>
  <c r="BJ289" i="2" s="1"/>
  <c r="BJ355" i="2" s="1"/>
  <c r="BJ354" i="2" s="1"/>
  <c r="BJ279" i="2"/>
  <c r="BJ271" i="2"/>
  <c r="BD306" i="2"/>
  <c r="BD368" i="2" s="1"/>
  <c r="BD296" i="2"/>
  <c r="BD287" i="2"/>
  <c r="BD289" i="2" s="1"/>
  <c r="BD355" i="2" s="1"/>
  <c r="BD279" i="2"/>
  <c r="BD271" i="2"/>
  <c r="AX306" i="2"/>
  <c r="AX368" i="2" s="1"/>
  <c r="AX296" i="2"/>
  <c r="AX287" i="2"/>
  <c r="AX289" i="2" s="1"/>
  <c r="AX279" i="2"/>
  <c r="AX271" i="2"/>
  <c r="AR306" i="2"/>
  <c r="AR368" i="2" s="1"/>
  <c r="AR296" i="2"/>
  <c r="AR287" i="2"/>
  <c r="AR289" i="2" s="1"/>
  <c r="AR355" i="2" s="1"/>
  <c r="AR279" i="2"/>
  <c r="AR271" i="2"/>
  <c r="AL306" i="2"/>
  <c r="AL368" i="2" s="1"/>
  <c r="AL296" i="2"/>
  <c r="AL287" i="2"/>
  <c r="AL289" i="2" s="1"/>
  <c r="AL355" i="2" s="1"/>
  <c r="AL354" i="2" s="1"/>
  <c r="AL279" i="2"/>
  <c r="AL271" i="2"/>
  <c r="AF306" i="2"/>
  <c r="AF368" i="2" s="1"/>
  <c r="AF296" i="2"/>
  <c r="AF287" i="2"/>
  <c r="AF289" i="2" s="1"/>
  <c r="AF279" i="2"/>
  <c r="AF271" i="2"/>
  <c r="Z306" i="2"/>
  <c r="Z368" i="2" s="1"/>
  <c r="Z296" i="2"/>
  <c r="Z287" i="2"/>
  <c r="Z289" i="2" s="1"/>
  <c r="Z375" i="2" s="1"/>
  <c r="Z279" i="2"/>
  <c r="Z271" i="2"/>
  <c r="T306" i="2"/>
  <c r="T368" i="2" s="1"/>
  <c r="T296" i="2"/>
  <c r="T287" i="2"/>
  <c r="T289" i="2" s="1"/>
  <c r="T375" i="2" s="1"/>
  <c r="T279" i="2"/>
  <c r="T271" i="2"/>
  <c r="N306" i="2"/>
  <c r="N368" i="2" s="1"/>
  <c r="N296" i="2"/>
  <c r="N287" i="2"/>
  <c r="N289" i="2" s="1"/>
  <c r="N375" i="2" s="1"/>
  <c r="N279" i="2"/>
  <c r="N271" i="2"/>
  <c r="H306" i="2"/>
  <c r="H368" i="2" s="1"/>
  <c r="H296" i="2"/>
  <c r="H287" i="2"/>
  <c r="H289" i="2" s="1"/>
  <c r="H375" i="2" s="1"/>
  <c r="H279" i="2"/>
  <c r="H271" i="2"/>
  <c r="BZ181" i="2"/>
  <c r="BY181" i="2"/>
  <c r="AX33" i="2"/>
  <c r="Z33" i="2"/>
  <c r="BP103" i="2"/>
  <c r="BJ103" i="2"/>
  <c r="BD103" i="2"/>
  <c r="AX103" i="2"/>
  <c r="AR103" i="2"/>
  <c r="AL103" i="2"/>
  <c r="AF103" i="2"/>
  <c r="Z103" i="2"/>
  <c r="T103" i="2"/>
  <c r="N103" i="2"/>
  <c r="H103" i="2"/>
  <c r="BP100" i="2"/>
  <c r="BJ100" i="2"/>
  <c r="BD100" i="2"/>
  <c r="AX100" i="2"/>
  <c r="AR100" i="2"/>
  <c r="AL100" i="2"/>
  <c r="AF100" i="2"/>
  <c r="Z100" i="2"/>
  <c r="T100" i="2"/>
  <c r="N102" i="2"/>
  <c r="N101" i="2"/>
  <c r="N100" i="2"/>
  <c r="H102" i="2"/>
  <c r="H101" i="2"/>
  <c r="H100" i="2"/>
  <c r="BP66" i="2"/>
  <c r="BJ66" i="2"/>
  <c r="BD66" i="2"/>
  <c r="AX66" i="2"/>
  <c r="AR66" i="2"/>
  <c r="AL66" i="2"/>
  <c r="AF66" i="2"/>
  <c r="Z66" i="2"/>
  <c r="T66" i="2"/>
  <c r="N68" i="2"/>
  <c r="N67" i="2"/>
  <c r="N66" i="2"/>
  <c r="H68" i="2"/>
  <c r="H67" i="2"/>
  <c r="H66" i="2"/>
  <c r="BJ33" i="2"/>
  <c r="BD33" i="2"/>
  <c r="AR33" i="2"/>
  <c r="AL33" i="2"/>
  <c r="AF33" i="2"/>
  <c r="T33" i="2"/>
  <c r="N35" i="2"/>
  <c r="N34" i="2"/>
  <c r="N33" i="2"/>
  <c r="H35" i="2"/>
  <c r="H34" i="2"/>
  <c r="H33" i="2"/>
  <c r="AF180" i="2"/>
  <c r="BP180" i="2"/>
  <c r="C23" i="5" s="1"/>
  <c r="BJ180" i="2"/>
  <c r="BD180" i="2"/>
  <c r="AX180" i="2"/>
  <c r="AR180" i="2"/>
  <c r="AL180" i="2"/>
  <c r="Z180" i="2"/>
  <c r="T180" i="2"/>
  <c r="N180" i="2"/>
  <c r="H180" i="2"/>
  <c r="AF176" i="2"/>
  <c r="AF173" i="2"/>
  <c r="BP176" i="2"/>
  <c r="BP173" i="2"/>
  <c r="BJ176" i="2"/>
  <c r="BJ173" i="2"/>
  <c r="BD176" i="2"/>
  <c r="BD173" i="2"/>
  <c r="AX176" i="2"/>
  <c r="AX173" i="2"/>
  <c r="AR176" i="2"/>
  <c r="AR173" i="2"/>
  <c r="AL176" i="2"/>
  <c r="AL173" i="2"/>
  <c r="Z176" i="2"/>
  <c r="Z173" i="2"/>
  <c r="T176" i="2"/>
  <c r="T173" i="2"/>
  <c r="N176" i="2"/>
  <c r="N173" i="2"/>
  <c r="H176" i="2"/>
  <c r="H173" i="2"/>
  <c r="T135" i="2"/>
  <c r="T133" i="2"/>
  <c r="T152" i="2" s="1"/>
  <c r="BP49" i="2"/>
  <c r="BP52" i="2" s="1"/>
  <c r="BP60" i="2" s="1"/>
  <c r="BO49" i="2"/>
  <c r="BO52" i="2" s="1"/>
  <c r="BO54" i="2" s="1"/>
  <c r="BO63" i="2" s="1"/>
  <c r="BN49" i="2"/>
  <c r="BN52" i="2" s="1"/>
  <c r="BM49" i="2"/>
  <c r="BM59" i="2" s="1"/>
  <c r="BL49" i="2"/>
  <c r="BL59" i="2" s="1"/>
  <c r="BK49" i="2"/>
  <c r="BK52" i="2" s="1"/>
  <c r="BK54" i="2" s="1"/>
  <c r="BJ49" i="2"/>
  <c r="BJ52" i="2" s="1"/>
  <c r="BI49" i="2"/>
  <c r="BH49" i="2"/>
  <c r="BG49" i="2"/>
  <c r="BG52" i="2" s="1"/>
  <c r="BG54" i="2" s="1"/>
  <c r="BG63" i="2" s="1"/>
  <c r="BF49" i="2"/>
  <c r="BF52" i="2" s="1"/>
  <c r="BF60" i="2" s="1"/>
  <c r="BE49" i="2"/>
  <c r="BE59" i="2" s="1"/>
  <c r="BD49" i="2"/>
  <c r="BD67" i="2" s="1"/>
  <c r="BC49" i="2"/>
  <c r="BB49" i="2"/>
  <c r="BB52" i="2" s="1"/>
  <c r="BB54" i="2" s="1"/>
  <c r="BB63" i="2" s="1"/>
  <c r="BA49" i="2"/>
  <c r="BA59" i="2" s="1"/>
  <c r="AZ49" i="2"/>
  <c r="AZ59" i="2" s="1"/>
  <c r="AY49" i="2"/>
  <c r="AY52" i="2" s="1"/>
  <c r="AY54" i="2" s="1"/>
  <c r="AY63" i="2" s="1"/>
  <c r="AX49" i="2"/>
  <c r="AX52" i="2" s="1"/>
  <c r="AX60" i="2" s="1"/>
  <c r="AW49" i="2"/>
  <c r="AW59" i="2" s="1"/>
  <c r="AV49" i="2"/>
  <c r="AV52" i="2" s="1"/>
  <c r="AV60" i="2" s="1"/>
  <c r="AU49" i="2"/>
  <c r="AU52" i="2" s="1"/>
  <c r="AU54" i="2" s="1"/>
  <c r="AU61" i="2" s="1"/>
  <c r="AT49" i="2"/>
  <c r="AT52" i="2" s="1"/>
  <c r="AT60" i="2" s="1"/>
  <c r="AS49" i="2"/>
  <c r="AR49" i="2"/>
  <c r="AR59" i="2" s="1"/>
  <c r="AQ49" i="2"/>
  <c r="AQ52" i="2" s="1"/>
  <c r="AQ54" i="2" s="1"/>
  <c r="AQ63" i="2" s="1"/>
  <c r="AP49" i="2"/>
  <c r="AP52" i="2" s="1"/>
  <c r="AP60" i="2" s="1"/>
  <c r="AO49" i="2"/>
  <c r="AO59" i="2" s="1"/>
  <c r="AN49" i="2"/>
  <c r="AN59" i="2" s="1"/>
  <c r="AM49" i="2"/>
  <c r="AM52" i="2" s="1"/>
  <c r="AM54" i="2" s="1"/>
  <c r="AM63" i="2" s="1"/>
  <c r="AL49" i="2"/>
  <c r="AL52" i="2" s="1"/>
  <c r="AL54" i="2" s="1"/>
  <c r="AL68" i="2" s="1"/>
  <c r="AK49" i="2"/>
  <c r="AK59" i="2" s="1"/>
  <c r="AJ49" i="2"/>
  <c r="AJ59" i="2" s="1"/>
  <c r="AI49" i="2"/>
  <c r="AI52" i="2" s="1"/>
  <c r="AI54" i="2" s="1"/>
  <c r="AI63" i="2" s="1"/>
  <c r="AH49" i="2"/>
  <c r="AH52" i="2" s="1"/>
  <c r="AH60" i="2" s="1"/>
  <c r="AG49" i="2"/>
  <c r="AG59" i="2" s="1"/>
  <c r="AF49" i="2"/>
  <c r="AF67" i="2" s="1"/>
  <c r="AE49" i="2"/>
  <c r="AE52" i="2" s="1"/>
  <c r="AE54" i="2" s="1"/>
  <c r="AD49" i="2"/>
  <c r="AD52" i="2" s="1"/>
  <c r="AD54" i="2" s="1"/>
  <c r="AD63" i="2" s="1"/>
  <c r="AC49" i="2"/>
  <c r="AC59" i="2" s="1"/>
  <c r="AB49" i="2"/>
  <c r="AB52" i="2" s="1"/>
  <c r="AB54" i="2" s="1"/>
  <c r="AA49" i="2"/>
  <c r="AA52" i="2" s="1"/>
  <c r="AA54" i="2" s="1"/>
  <c r="AA63" i="2" s="1"/>
  <c r="Z49" i="2"/>
  <c r="Z52" i="2" s="1"/>
  <c r="Z54" i="2" s="1"/>
  <c r="Z68" i="2" s="1"/>
  <c r="Y49" i="2"/>
  <c r="Y59" i="2" s="1"/>
  <c r="X49" i="2"/>
  <c r="X52" i="2" s="1"/>
  <c r="X54" i="2" s="1"/>
  <c r="X61" i="2" s="1"/>
  <c r="W49" i="2"/>
  <c r="W52" i="2" s="1"/>
  <c r="V49" i="2"/>
  <c r="V52" i="2" s="1"/>
  <c r="V54" i="2" s="1"/>
  <c r="V61" i="2" s="1"/>
  <c r="U49" i="2"/>
  <c r="U59" i="2" s="1"/>
  <c r="BO83" i="2"/>
  <c r="BO86" i="2" s="1"/>
  <c r="BO88" i="2" s="1"/>
  <c r="BN83" i="2"/>
  <c r="BL83" i="2"/>
  <c r="BL86" i="2" s="1"/>
  <c r="BL88" i="2" s="1"/>
  <c r="BK83" i="2"/>
  <c r="BK86" i="2" s="1"/>
  <c r="BK88" i="2" s="1"/>
  <c r="BJ83" i="2"/>
  <c r="BJ86" i="2" s="1"/>
  <c r="BJ88" i="2" s="1"/>
  <c r="BJ102" i="2" s="1"/>
  <c r="BI83" i="2"/>
  <c r="BI86" i="2" s="1"/>
  <c r="BI88" i="2" s="1"/>
  <c r="BH83" i="2"/>
  <c r="BH86" i="2" s="1"/>
  <c r="BH88" i="2" s="1"/>
  <c r="BF83" i="2"/>
  <c r="BF86" i="2" s="1"/>
  <c r="BF88" i="2" s="1"/>
  <c r="BE83" i="2"/>
  <c r="BE86" i="2" s="1"/>
  <c r="BE88" i="2" s="1"/>
  <c r="BD83" i="2"/>
  <c r="BD86" i="2" s="1"/>
  <c r="BD88" i="2" s="1"/>
  <c r="BD97" i="2" s="1"/>
  <c r="BC83" i="2"/>
  <c r="BC86" i="2" s="1"/>
  <c r="BC88" i="2" s="1"/>
  <c r="BB83" i="2"/>
  <c r="BB86" i="2" s="1"/>
  <c r="BB88" i="2" s="1"/>
  <c r="AZ83" i="2"/>
  <c r="AZ86" i="2" s="1"/>
  <c r="AZ88" i="2" s="1"/>
  <c r="AY83" i="2"/>
  <c r="AY86" i="2" s="1"/>
  <c r="AY88" i="2" s="1"/>
  <c r="AY134" i="2" s="1"/>
  <c r="AX83" i="2"/>
  <c r="AX86" i="2" s="1"/>
  <c r="AX88" i="2" s="1"/>
  <c r="AX102" i="2" s="1"/>
  <c r="AW83" i="2"/>
  <c r="AW129" i="2" s="1"/>
  <c r="AV83" i="2"/>
  <c r="AV86" i="2" s="1"/>
  <c r="AV88" i="2" s="1"/>
  <c r="AT83" i="2"/>
  <c r="AT86" i="2" s="1"/>
  <c r="AT88" i="2" s="1"/>
  <c r="AS83" i="2"/>
  <c r="AS86" i="2" s="1"/>
  <c r="AS88" i="2" s="1"/>
  <c r="AR83" i="2"/>
  <c r="AR86" i="2" s="1"/>
  <c r="AR88" i="2" s="1"/>
  <c r="AR97" i="2" s="1"/>
  <c r="AQ83" i="2"/>
  <c r="AQ86" i="2" s="1"/>
  <c r="AQ88" i="2" s="1"/>
  <c r="AP83" i="2"/>
  <c r="AP86" i="2" s="1"/>
  <c r="AP88" i="2" s="1"/>
  <c r="AN83" i="2"/>
  <c r="AN86" i="2" s="1"/>
  <c r="AN88" i="2" s="1"/>
  <c r="AM83" i="2"/>
  <c r="AM86" i="2" s="1"/>
  <c r="AL83" i="2"/>
  <c r="AL86" i="2" s="1"/>
  <c r="AL88" i="2" s="1"/>
  <c r="AL97" i="2" s="1"/>
  <c r="AK83" i="2"/>
  <c r="AJ83" i="2"/>
  <c r="AJ86" i="2" s="1"/>
  <c r="AJ88" i="2" s="1"/>
  <c r="AH83" i="2"/>
  <c r="AH86" i="2" s="1"/>
  <c r="AH88" i="2" s="1"/>
  <c r="AG83" i="2"/>
  <c r="AF83" i="2"/>
  <c r="AF86" i="2" s="1"/>
  <c r="AF88" i="2" s="1"/>
  <c r="AF97" i="2" s="1"/>
  <c r="AE83" i="2"/>
  <c r="AE86" i="2" s="1"/>
  <c r="AE88" i="2" s="1"/>
  <c r="AD83" i="2"/>
  <c r="AD86" i="2" s="1"/>
  <c r="AD88" i="2" s="1"/>
  <c r="AC83" i="2"/>
  <c r="AC86" i="2" s="1"/>
  <c r="AC88" i="2" s="1"/>
  <c r="AB83" i="2"/>
  <c r="AB86" i="2" s="1"/>
  <c r="AB88" i="2" s="1"/>
  <c r="AA83" i="2"/>
  <c r="AA86" i="2" s="1"/>
  <c r="AA88" i="2" s="1"/>
  <c r="Z83" i="2"/>
  <c r="Z93" i="2" s="1"/>
  <c r="Y83" i="2"/>
  <c r="Y86" i="2" s="1"/>
  <c r="Y88" i="2" s="1"/>
  <c r="X83" i="2"/>
  <c r="X86" i="2" s="1"/>
  <c r="X88" i="2" s="1"/>
  <c r="W83" i="2"/>
  <c r="W86" i="2" s="1"/>
  <c r="W88" i="2" s="1"/>
  <c r="V83" i="2"/>
  <c r="V86" i="2" s="1"/>
  <c r="V88" i="2" s="1"/>
  <c r="U83" i="2"/>
  <c r="U86" i="2" s="1"/>
  <c r="U88" i="2" s="1"/>
  <c r="BD94" i="2"/>
  <c r="T83" i="2"/>
  <c r="T86" i="2" s="1"/>
  <c r="T88" i="2" s="1"/>
  <c r="T96" i="2" s="1"/>
  <c r="T49" i="2"/>
  <c r="T67" i="2" s="1"/>
  <c r="BP15" i="2"/>
  <c r="BJ15" i="2"/>
  <c r="BD15" i="2"/>
  <c r="BD25" i="2" s="1"/>
  <c r="AX15" i="2"/>
  <c r="AX18" i="2" s="1"/>
  <c r="AR15" i="2"/>
  <c r="AR34" i="2" s="1"/>
  <c r="AL15" i="2"/>
  <c r="AF15" i="2"/>
  <c r="AF18" i="2" s="1"/>
  <c r="AF26" i="2" s="1"/>
  <c r="Z15" i="2"/>
  <c r="Z18" i="2" s="1"/>
  <c r="T15" i="2"/>
  <c r="T18" i="2" s="1"/>
  <c r="T26" i="2" s="1"/>
  <c r="H240" i="2"/>
  <c r="N238" i="2" s="1"/>
  <c r="H187" i="2"/>
  <c r="N171" i="2"/>
  <c r="N170" i="2"/>
  <c r="H171" i="2"/>
  <c r="H170" i="2"/>
  <c r="K157" i="2"/>
  <c r="AI157" i="2"/>
  <c r="AO157" i="2"/>
  <c r="AU157" i="2"/>
  <c r="BA157" i="2"/>
  <c r="BG157" i="2"/>
  <c r="BM157" i="2"/>
  <c r="BO148" i="2"/>
  <c r="BO151" i="2" s="1"/>
  <c r="BO153" i="2" s="1"/>
  <c r="BN148" i="2"/>
  <c r="BN151" i="2" s="1"/>
  <c r="BN153" i="2" s="1"/>
  <c r="BL148" i="2"/>
  <c r="BL151" i="2" s="1"/>
  <c r="BL153" i="2" s="1"/>
  <c r="BK148" i="2"/>
  <c r="BK151" i="2" s="1"/>
  <c r="BK153" i="2" s="1"/>
  <c r="BI148" i="2"/>
  <c r="BI151" i="2" s="1"/>
  <c r="BI153" i="2" s="1"/>
  <c r="BH148" i="2"/>
  <c r="BH151" i="2" s="1"/>
  <c r="BH153" i="2" s="1"/>
  <c r="BF148" i="2"/>
  <c r="BF151" i="2" s="1"/>
  <c r="BF153" i="2" s="1"/>
  <c r="BE148" i="2"/>
  <c r="BE151" i="2" s="1"/>
  <c r="BE153" i="2" s="1"/>
  <c r="BC148" i="2"/>
  <c r="BC151" i="2" s="1"/>
  <c r="BC153" i="2" s="1"/>
  <c r="BB148" i="2"/>
  <c r="BB151" i="2" s="1"/>
  <c r="BB153" i="2" s="1"/>
  <c r="AZ148" i="2"/>
  <c r="AZ151" i="2" s="1"/>
  <c r="AZ153" i="2" s="1"/>
  <c r="AY148" i="2"/>
  <c r="AY151" i="2" s="1"/>
  <c r="AY153" i="2" s="1"/>
  <c r="AW148" i="2"/>
  <c r="AW151" i="2" s="1"/>
  <c r="AW153" i="2" s="1"/>
  <c r="AV148" i="2"/>
  <c r="AV151" i="2" s="1"/>
  <c r="AV153" i="2" s="1"/>
  <c r="AT148" i="2"/>
  <c r="AT151" i="2" s="1"/>
  <c r="AT153" i="2" s="1"/>
  <c r="AS148" i="2"/>
  <c r="AS151" i="2" s="1"/>
  <c r="AS153" i="2" s="1"/>
  <c r="AQ148" i="2"/>
  <c r="AQ151" i="2" s="1"/>
  <c r="AQ153" i="2" s="1"/>
  <c r="AP148" i="2"/>
  <c r="AP151" i="2" s="1"/>
  <c r="AP153" i="2" s="1"/>
  <c r="AN148" i="2"/>
  <c r="AN151" i="2" s="1"/>
  <c r="AN153" i="2" s="1"/>
  <c r="AM148" i="2"/>
  <c r="AM151" i="2" s="1"/>
  <c r="AM153" i="2" s="1"/>
  <c r="AK148" i="2"/>
  <c r="AK151" i="2" s="1"/>
  <c r="AK153" i="2" s="1"/>
  <c r="AJ148" i="2"/>
  <c r="AJ151" i="2" s="1"/>
  <c r="AJ153" i="2" s="1"/>
  <c r="AH148" i="2"/>
  <c r="AH151" i="2" s="1"/>
  <c r="AH153" i="2" s="1"/>
  <c r="AG148" i="2"/>
  <c r="AG151" i="2" s="1"/>
  <c r="AG153" i="2" s="1"/>
  <c r="AE148" i="2"/>
  <c r="AE151" i="2" s="1"/>
  <c r="AE153" i="2" s="1"/>
  <c r="AD148" i="2"/>
  <c r="AD151" i="2" s="1"/>
  <c r="AD153" i="2" s="1"/>
  <c r="AC148" i="2"/>
  <c r="AC151" i="2" s="1"/>
  <c r="AC153" i="2" s="1"/>
  <c r="AB148" i="2"/>
  <c r="AB151" i="2" s="1"/>
  <c r="AB153" i="2" s="1"/>
  <c r="AA148" i="2"/>
  <c r="AA151" i="2" s="1"/>
  <c r="AA153" i="2" s="1"/>
  <c r="Y148" i="2"/>
  <c r="Y151" i="2" s="1"/>
  <c r="Y153" i="2" s="1"/>
  <c r="X148" i="2"/>
  <c r="X151" i="2" s="1"/>
  <c r="X153" i="2" s="1"/>
  <c r="W148" i="2"/>
  <c r="W151" i="2" s="1"/>
  <c r="W153" i="2" s="1"/>
  <c r="V148" i="2"/>
  <c r="V151" i="2" s="1"/>
  <c r="V153" i="2" s="1"/>
  <c r="U148" i="2"/>
  <c r="U151" i="2" s="1"/>
  <c r="U153" i="2" s="1"/>
  <c r="S148" i="2"/>
  <c r="S151" i="2" s="1"/>
  <c r="S153" i="2" s="1"/>
  <c r="R148" i="2"/>
  <c r="R151" i="2" s="1"/>
  <c r="R153" i="2" s="1"/>
  <c r="Q148" i="2"/>
  <c r="Q151" i="2" s="1"/>
  <c r="Q153" i="2" s="1"/>
  <c r="P148" i="2"/>
  <c r="P151" i="2" s="1"/>
  <c r="P153" i="2" s="1"/>
  <c r="O148" i="2"/>
  <c r="O151" i="2" s="1"/>
  <c r="O153" i="2" s="1"/>
  <c r="M148" i="2"/>
  <c r="M151" i="2" s="1"/>
  <c r="M153" i="2" s="1"/>
  <c r="L148" i="2"/>
  <c r="L151" i="2" s="1"/>
  <c r="L153" i="2" s="1"/>
  <c r="J148" i="2"/>
  <c r="J151" i="2" s="1"/>
  <c r="J153" i="2" s="1"/>
  <c r="I148" i="2"/>
  <c r="I151" i="2" s="1"/>
  <c r="I153" i="2" s="1"/>
  <c r="BP161" i="2"/>
  <c r="BP171" i="2" s="1"/>
  <c r="BJ171" i="2"/>
  <c r="BJ170" i="2"/>
  <c r="BD171" i="2"/>
  <c r="BD170" i="2"/>
  <c r="AX171" i="2"/>
  <c r="AX170" i="2"/>
  <c r="AR171" i="2"/>
  <c r="AR170" i="2"/>
  <c r="AL171" i="2"/>
  <c r="AL170" i="2"/>
  <c r="AF171" i="2"/>
  <c r="AF170" i="2"/>
  <c r="Z171" i="2"/>
  <c r="Z170" i="2"/>
  <c r="T171" i="2"/>
  <c r="T170" i="2"/>
  <c r="BP152" i="2"/>
  <c r="BP150" i="2"/>
  <c r="BP149" i="2"/>
  <c r="BP147" i="2"/>
  <c r="BP146" i="2"/>
  <c r="N152" i="2"/>
  <c r="N150" i="2"/>
  <c r="N149" i="2"/>
  <c r="N147" i="2"/>
  <c r="N313" i="2" s="1"/>
  <c r="N146" i="2"/>
  <c r="N312" i="2" s="1"/>
  <c r="H152" i="2"/>
  <c r="H150" i="2"/>
  <c r="H149" i="2"/>
  <c r="H147" i="2"/>
  <c r="H146" i="2"/>
  <c r="H331" i="2" s="1"/>
  <c r="BP187" i="2"/>
  <c r="BP185" i="2"/>
  <c r="BJ187" i="2"/>
  <c r="BJ185" i="2"/>
  <c r="BD187" i="2"/>
  <c r="BD185" i="2"/>
  <c r="AX187" i="2"/>
  <c r="AX185" i="2"/>
  <c r="AR187" i="2"/>
  <c r="AR185" i="2"/>
  <c r="AL187" i="2"/>
  <c r="AL185" i="2"/>
  <c r="AF187" i="2"/>
  <c r="AF185" i="2"/>
  <c r="Z187" i="2"/>
  <c r="Z185" i="2"/>
  <c r="T187" i="2"/>
  <c r="T185" i="2"/>
  <c r="N187" i="2"/>
  <c r="N185" i="2"/>
  <c r="H185" i="2"/>
  <c r="BM160" i="2"/>
  <c r="BM158" i="2"/>
  <c r="BM156" i="2"/>
  <c r="BM155" i="2"/>
  <c r="BM154" i="2"/>
  <c r="BM152" i="2"/>
  <c r="BM150" i="2"/>
  <c r="BM149" i="2"/>
  <c r="BM147" i="2"/>
  <c r="BM146" i="2"/>
  <c r="BG160" i="2"/>
  <c r="BG158" i="2"/>
  <c r="BG156" i="2"/>
  <c r="BG155" i="2"/>
  <c r="BG154" i="2"/>
  <c r="BG152" i="2"/>
  <c r="BG150" i="2"/>
  <c r="BG149" i="2"/>
  <c r="BG147" i="2"/>
  <c r="BG146" i="2"/>
  <c r="BA160" i="2"/>
  <c r="BA158" i="2"/>
  <c r="BA156" i="2"/>
  <c r="BA155" i="2"/>
  <c r="BA154" i="2"/>
  <c r="BA152" i="2"/>
  <c r="BA150" i="2"/>
  <c r="BA149" i="2"/>
  <c r="BA147" i="2"/>
  <c r="BA146" i="2"/>
  <c r="AU160" i="2"/>
  <c r="AU158" i="2"/>
  <c r="AU156" i="2"/>
  <c r="AU155" i="2"/>
  <c r="AU154" i="2"/>
  <c r="AU152" i="2"/>
  <c r="AU150" i="2"/>
  <c r="AU149" i="2"/>
  <c r="AU147" i="2"/>
  <c r="AU146" i="2"/>
  <c r="Z387" i="2"/>
  <c r="AX131" i="2"/>
  <c r="AX150" i="2" s="1"/>
  <c r="AX130" i="2"/>
  <c r="AX149" i="2" s="1"/>
  <c r="BP225" i="2"/>
  <c r="BO133" i="2"/>
  <c r="BO131" i="2"/>
  <c r="BO130" i="2"/>
  <c r="BO128" i="2"/>
  <c r="BN133" i="2"/>
  <c r="BN131" i="2"/>
  <c r="BN130" i="2"/>
  <c r="BN128" i="2"/>
  <c r="BL133" i="2"/>
  <c r="BL131" i="2"/>
  <c r="BL130" i="2"/>
  <c r="BL128" i="2"/>
  <c r="BK133" i="2"/>
  <c r="BK131" i="2"/>
  <c r="BK130" i="2"/>
  <c r="BK128" i="2"/>
  <c r="BJ133" i="2"/>
  <c r="BJ152" i="2" s="1"/>
  <c r="BJ131" i="2"/>
  <c r="BJ150" i="2" s="1"/>
  <c r="BJ130" i="2"/>
  <c r="BJ149" i="2" s="1"/>
  <c r="BJ128" i="2"/>
  <c r="BJ147" i="2" s="1"/>
  <c r="BJ313" i="2" s="1"/>
  <c r="BI133" i="2"/>
  <c r="BI131" i="2"/>
  <c r="BI130" i="2"/>
  <c r="BI128" i="2"/>
  <c r="BH133" i="2"/>
  <c r="BH131" i="2"/>
  <c r="BH130" i="2"/>
  <c r="BH128" i="2"/>
  <c r="BF133" i="2"/>
  <c r="BF131" i="2"/>
  <c r="BF130" i="2"/>
  <c r="BF128" i="2"/>
  <c r="BE133" i="2"/>
  <c r="BE131" i="2"/>
  <c r="BE130" i="2"/>
  <c r="BE128" i="2"/>
  <c r="BD133" i="2"/>
  <c r="BD152" i="2" s="1"/>
  <c r="BD131" i="2"/>
  <c r="BD150" i="2" s="1"/>
  <c r="BD130" i="2"/>
  <c r="BD149" i="2" s="1"/>
  <c r="BD128" i="2"/>
  <c r="BD147" i="2" s="1"/>
  <c r="BC133" i="2"/>
  <c r="BC131" i="2"/>
  <c r="BC130" i="2"/>
  <c r="BC128" i="2"/>
  <c r="BB133" i="2"/>
  <c r="BB131" i="2"/>
  <c r="BB130" i="2"/>
  <c r="BB128" i="2"/>
  <c r="AZ133" i="2"/>
  <c r="AZ131" i="2"/>
  <c r="AZ130" i="2"/>
  <c r="AZ128" i="2"/>
  <c r="AY133" i="2"/>
  <c r="AY131" i="2"/>
  <c r="AY130" i="2"/>
  <c r="AY128" i="2"/>
  <c r="AX133" i="2"/>
  <c r="AX152" i="2" s="1"/>
  <c r="AX128" i="2"/>
  <c r="AX147" i="2" s="1"/>
  <c r="AW133" i="2"/>
  <c r="AW131" i="2"/>
  <c r="AW130" i="2"/>
  <c r="AW128" i="2"/>
  <c r="AV133" i="2"/>
  <c r="AV131" i="2"/>
  <c r="AV130" i="2"/>
  <c r="AV128" i="2"/>
  <c r="AT133" i="2"/>
  <c r="AT131" i="2"/>
  <c r="AT130" i="2"/>
  <c r="AT128" i="2"/>
  <c r="AS133" i="2"/>
  <c r="AS131" i="2"/>
  <c r="AS130" i="2"/>
  <c r="AS128" i="2"/>
  <c r="AR133" i="2"/>
  <c r="AR152" i="2" s="1"/>
  <c r="AR131" i="2"/>
  <c r="AR150" i="2" s="1"/>
  <c r="AR130" i="2"/>
  <c r="AR149" i="2" s="1"/>
  <c r="AR128" i="2"/>
  <c r="AR147" i="2" s="1"/>
  <c r="AQ133" i="2"/>
  <c r="AQ131" i="2"/>
  <c r="AQ130" i="2"/>
  <c r="AQ128" i="2"/>
  <c r="AP133" i="2"/>
  <c r="AP131" i="2"/>
  <c r="AP130" i="2"/>
  <c r="AP128" i="2"/>
  <c r="AN133" i="2"/>
  <c r="AN131" i="2"/>
  <c r="AN130" i="2"/>
  <c r="AN128" i="2"/>
  <c r="AM133" i="2"/>
  <c r="AM131" i="2"/>
  <c r="AM130" i="2"/>
  <c r="AM128" i="2"/>
  <c r="AL133" i="2"/>
  <c r="AL152" i="2" s="1"/>
  <c r="AL131" i="2"/>
  <c r="AL150" i="2" s="1"/>
  <c r="AL130" i="2"/>
  <c r="AL149" i="2" s="1"/>
  <c r="AL128" i="2"/>
  <c r="AL147" i="2" s="1"/>
  <c r="AK133" i="2"/>
  <c r="AK131" i="2"/>
  <c r="AK130" i="2"/>
  <c r="AK128" i="2"/>
  <c r="AJ133" i="2"/>
  <c r="AJ131" i="2"/>
  <c r="AJ130" i="2"/>
  <c r="AJ128" i="2"/>
  <c r="AH133" i="2"/>
  <c r="AH131" i="2"/>
  <c r="AH130" i="2"/>
  <c r="AH128" i="2"/>
  <c r="AG133" i="2"/>
  <c r="AG131" i="2"/>
  <c r="AG130" i="2"/>
  <c r="AG128" i="2"/>
  <c r="AF133" i="2"/>
  <c r="AF152" i="2" s="1"/>
  <c r="AF131" i="2"/>
  <c r="AF150" i="2" s="1"/>
  <c r="AF130" i="2"/>
  <c r="AF149" i="2" s="1"/>
  <c r="AF128" i="2"/>
  <c r="AF147" i="2" s="1"/>
  <c r="AF314" i="2" s="1"/>
  <c r="AE133" i="2"/>
  <c r="AE131" i="2"/>
  <c r="AE130" i="2"/>
  <c r="AE128" i="2"/>
  <c r="AD133" i="2"/>
  <c r="AD131" i="2"/>
  <c r="AD130" i="2"/>
  <c r="AD128" i="2"/>
  <c r="AC133" i="2"/>
  <c r="AC131" i="2"/>
  <c r="AC130" i="2"/>
  <c r="AC128" i="2"/>
  <c r="AB133" i="2"/>
  <c r="AB131" i="2"/>
  <c r="AB130" i="2"/>
  <c r="AB128" i="2"/>
  <c r="AA133" i="2"/>
  <c r="AA131" i="2"/>
  <c r="AA130" i="2"/>
  <c r="AA128" i="2"/>
  <c r="Z133" i="2"/>
  <c r="Z152" i="2" s="1"/>
  <c r="Z131" i="2"/>
  <c r="Z150" i="2" s="1"/>
  <c r="Z130" i="2"/>
  <c r="Z149" i="2" s="1"/>
  <c r="Z128" i="2"/>
  <c r="Z147" i="2" s="1"/>
  <c r="Z313" i="2" s="1"/>
  <c r="Y133" i="2"/>
  <c r="Y131" i="2"/>
  <c r="Y130" i="2"/>
  <c r="Y128" i="2"/>
  <c r="X133" i="2"/>
  <c r="X131" i="2"/>
  <c r="X130" i="2"/>
  <c r="X128" i="2"/>
  <c r="W133" i="2"/>
  <c r="W131" i="2"/>
  <c r="W130" i="2"/>
  <c r="W128" i="2"/>
  <c r="V133" i="2"/>
  <c r="V131" i="2"/>
  <c r="V130" i="2"/>
  <c r="V128" i="2"/>
  <c r="U133" i="2"/>
  <c r="U131" i="2"/>
  <c r="U130" i="2"/>
  <c r="U128" i="2"/>
  <c r="T131" i="2"/>
  <c r="T150" i="2" s="1"/>
  <c r="T130" i="2"/>
  <c r="T149" i="2" s="1"/>
  <c r="T128" i="2"/>
  <c r="T147" i="2" s="1"/>
  <c r="S133" i="2"/>
  <c r="S131" i="2"/>
  <c r="S130" i="2"/>
  <c r="S128" i="2"/>
  <c r="R133" i="2"/>
  <c r="R131" i="2"/>
  <c r="R130" i="2"/>
  <c r="R128" i="2"/>
  <c r="Q133" i="2"/>
  <c r="Q131" i="2"/>
  <c r="Q130" i="2"/>
  <c r="Q128" i="2"/>
  <c r="P133" i="2"/>
  <c r="P131" i="2"/>
  <c r="P130" i="2"/>
  <c r="P128" i="2"/>
  <c r="O133" i="2"/>
  <c r="O131" i="2"/>
  <c r="O130" i="2"/>
  <c r="O128" i="2"/>
  <c r="M133" i="2"/>
  <c r="M131" i="2"/>
  <c r="M130" i="2"/>
  <c r="M128" i="2"/>
  <c r="L133" i="2"/>
  <c r="L131" i="2"/>
  <c r="L130" i="2"/>
  <c r="L128" i="2"/>
  <c r="J133" i="2"/>
  <c r="J131" i="2"/>
  <c r="J130" i="2"/>
  <c r="J128" i="2"/>
  <c r="I133" i="2"/>
  <c r="I131" i="2"/>
  <c r="I130" i="2"/>
  <c r="I128" i="2"/>
  <c r="M134" i="2"/>
  <c r="L134" i="2"/>
  <c r="J134" i="2"/>
  <c r="I134" i="2"/>
  <c r="M132" i="2"/>
  <c r="L132" i="2"/>
  <c r="J132" i="2"/>
  <c r="I132" i="2"/>
  <c r="M129" i="2"/>
  <c r="L129" i="2"/>
  <c r="J129" i="2"/>
  <c r="I129" i="2"/>
  <c r="BJ127" i="2"/>
  <c r="BJ146" i="2" s="1"/>
  <c r="BF127" i="2"/>
  <c r="BE127" i="2"/>
  <c r="BD127" i="2"/>
  <c r="BD146" i="2" s="1"/>
  <c r="BC127" i="2"/>
  <c r="BB127" i="2"/>
  <c r="AZ127" i="2"/>
  <c r="AY127" i="2"/>
  <c r="AX127" i="2"/>
  <c r="AW127" i="2"/>
  <c r="AV127" i="2"/>
  <c r="AT127" i="2"/>
  <c r="AS127" i="2"/>
  <c r="AR127" i="2"/>
  <c r="AR146" i="2" s="1"/>
  <c r="AR331" i="2" s="1"/>
  <c r="AQ127" i="2"/>
  <c r="AP127" i="2"/>
  <c r="AN127" i="2"/>
  <c r="AM127" i="2"/>
  <c r="AL127" i="2"/>
  <c r="AL146" i="2" s="1"/>
  <c r="AK127" i="2"/>
  <c r="AJ127" i="2"/>
  <c r="AH127" i="2"/>
  <c r="AG127" i="2"/>
  <c r="AF127" i="2"/>
  <c r="AF146" i="2" s="1"/>
  <c r="Z127" i="2"/>
  <c r="Z146" i="2" s="1"/>
  <c r="T127" i="2"/>
  <c r="T146" i="2" s="1"/>
  <c r="T333" i="2" s="1"/>
  <c r="M127" i="2"/>
  <c r="L127" i="2"/>
  <c r="J127" i="2"/>
  <c r="I127" i="2"/>
  <c r="BZ81" i="2"/>
  <c r="BY81" i="2"/>
  <c r="BZ47" i="2"/>
  <c r="BY47" i="2"/>
  <c r="BZ13" i="2"/>
  <c r="BY13" i="2"/>
  <c r="BP236" i="2"/>
  <c r="BJ236" i="2"/>
  <c r="BD236" i="2"/>
  <c r="AX236" i="2"/>
  <c r="AR236" i="2"/>
  <c r="AL236" i="2"/>
  <c r="AF236" i="2"/>
  <c r="Z236" i="2"/>
  <c r="T236" i="2"/>
  <c r="N236" i="2"/>
  <c r="H236" i="2"/>
  <c r="T225" i="2"/>
  <c r="Z225" i="2"/>
  <c r="AF225" i="2"/>
  <c r="AL225" i="2"/>
  <c r="AR225" i="2"/>
  <c r="BJ225" i="2"/>
  <c r="BD225" i="2"/>
  <c r="AX225" i="2"/>
  <c r="N225" i="2"/>
  <c r="H225" i="2"/>
  <c r="H244" i="2"/>
  <c r="H200" i="2"/>
  <c r="H199" i="2"/>
  <c r="H198" i="2"/>
  <c r="H195" i="2"/>
  <c r="H196" i="2" s="1"/>
  <c r="H204" i="2"/>
  <c r="H142" i="2"/>
  <c r="C21" i="3" s="1"/>
  <c r="N138" i="2"/>
  <c r="H138" i="2"/>
  <c r="H137" i="2"/>
  <c r="H136" i="2"/>
  <c r="BP135" i="2"/>
  <c r="BJ135" i="2"/>
  <c r="BD135" i="2"/>
  <c r="AX135" i="2"/>
  <c r="AR135" i="2"/>
  <c r="AL135" i="2"/>
  <c r="AF135" i="2"/>
  <c r="Z135" i="2"/>
  <c r="N135" i="2"/>
  <c r="H135" i="2"/>
  <c r="BP89" i="2"/>
  <c r="BJ89" i="2"/>
  <c r="BD89" i="2"/>
  <c r="AX89" i="2"/>
  <c r="AR89" i="2"/>
  <c r="AL89" i="2"/>
  <c r="AF89" i="2"/>
  <c r="Z89" i="2"/>
  <c r="T89" i="2"/>
  <c r="N96" i="2"/>
  <c r="N92" i="2"/>
  <c r="N91" i="2"/>
  <c r="N90" i="2"/>
  <c r="N89" i="2"/>
  <c r="BP55" i="2"/>
  <c r="BJ55" i="2"/>
  <c r="BD55" i="2"/>
  <c r="AX55" i="2"/>
  <c r="AR55" i="2"/>
  <c r="AL55" i="2"/>
  <c r="AF55" i="2"/>
  <c r="Z55" i="2"/>
  <c r="T55" i="2"/>
  <c r="N62" i="2"/>
  <c r="N58" i="2"/>
  <c r="N57" i="2"/>
  <c r="N56" i="2"/>
  <c r="N55" i="2"/>
  <c r="BP21" i="2"/>
  <c r="BJ21" i="2"/>
  <c r="BD21" i="2"/>
  <c r="AX21" i="2"/>
  <c r="AR21" i="2"/>
  <c r="AL21" i="2"/>
  <c r="AF21" i="2"/>
  <c r="Z21" i="2"/>
  <c r="T21" i="2"/>
  <c r="N28" i="2"/>
  <c r="N24" i="2"/>
  <c r="N23" i="2"/>
  <c r="N22" i="2"/>
  <c r="N21" i="2"/>
  <c r="S63" i="2"/>
  <c r="R63" i="2"/>
  <c r="Q63" i="2"/>
  <c r="P63" i="2"/>
  <c r="O63" i="2"/>
  <c r="N63" i="2"/>
  <c r="M63" i="2"/>
  <c r="L63" i="2"/>
  <c r="K63" i="2"/>
  <c r="J63" i="2"/>
  <c r="I63" i="2"/>
  <c r="S61" i="2"/>
  <c r="R61" i="2"/>
  <c r="Q61" i="2"/>
  <c r="P61" i="2"/>
  <c r="O61" i="2"/>
  <c r="N61" i="2"/>
  <c r="M61" i="2"/>
  <c r="L61" i="2"/>
  <c r="K61" i="2"/>
  <c r="J61" i="2"/>
  <c r="I61" i="2"/>
  <c r="S60" i="2"/>
  <c r="R60" i="2"/>
  <c r="Q60" i="2"/>
  <c r="P60" i="2"/>
  <c r="O60" i="2"/>
  <c r="N60" i="2"/>
  <c r="M60" i="2"/>
  <c r="L60" i="2"/>
  <c r="K60" i="2"/>
  <c r="J60" i="2"/>
  <c r="I60" i="2"/>
  <c r="S59" i="2"/>
  <c r="R59" i="2"/>
  <c r="Q59" i="2"/>
  <c r="P59" i="2"/>
  <c r="O59" i="2"/>
  <c r="N59" i="2"/>
  <c r="M59" i="2"/>
  <c r="L59" i="2"/>
  <c r="K59" i="2"/>
  <c r="J59" i="2"/>
  <c r="I59" i="2"/>
  <c r="BO29" i="2"/>
  <c r="BN29" i="2"/>
  <c r="BM29" i="2"/>
  <c r="BL29" i="2"/>
  <c r="BK29" i="2"/>
  <c r="BI29" i="2"/>
  <c r="BH29" i="2"/>
  <c r="BG29" i="2"/>
  <c r="BF29" i="2"/>
  <c r="BE29" i="2"/>
  <c r="BC29" i="2"/>
  <c r="BB29" i="2"/>
  <c r="BA29" i="2"/>
  <c r="AZ29" i="2"/>
  <c r="AY29" i="2"/>
  <c r="AW29" i="2"/>
  <c r="AV29" i="2"/>
  <c r="AU29" i="2"/>
  <c r="AT29" i="2"/>
  <c r="AS29" i="2"/>
  <c r="AQ29" i="2"/>
  <c r="AP29" i="2"/>
  <c r="AO29" i="2"/>
  <c r="AN29" i="2"/>
  <c r="AM29" i="2"/>
  <c r="AK29" i="2"/>
  <c r="AJ29" i="2"/>
  <c r="AI29" i="2"/>
  <c r="AH29" i="2"/>
  <c r="AG29" i="2"/>
  <c r="AE29" i="2"/>
  <c r="AD29" i="2"/>
  <c r="AC29" i="2"/>
  <c r="AB29" i="2"/>
  <c r="AA29" i="2"/>
  <c r="Y29" i="2"/>
  <c r="X29" i="2"/>
  <c r="W29" i="2"/>
  <c r="V29" i="2"/>
  <c r="U29" i="2"/>
  <c r="S29" i="2"/>
  <c r="R29" i="2"/>
  <c r="Q29" i="2"/>
  <c r="P29" i="2"/>
  <c r="O29" i="2"/>
  <c r="N29" i="2"/>
  <c r="M29" i="2"/>
  <c r="L29" i="2"/>
  <c r="K29" i="2"/>
  <c r="J29" i="2"/>
  <c r="I29" i="2"/>
  <c r="BO27" i="2"/>
  <c r="BN27" i="2"/>
  <c r="BM27" i="2"/>
  <c r="BL27" i="2"/>
  <c r="BK27" i="2"/>
  <c r="BI27" i="2"/>
  <c r="BH27" i="2"/>
  <c r="BG27" i="2"/>
  <c r="BF27" i="2"/>
  <c r="BE27" i="2"/>
  <c r="BC27" i="2"/>
  <c r="BB27" i="2"/>
  <c r="BA27" i="2"/>
  <c r="AZ27" i="2"/>
  <c r="AY27" i="2"/>
  <c r="AW27" i="2"/>
  <c r="AV27" i="2"/>
  <c r="AU27" i="2"/>
  <c r="AT27" i="2"/>
  <c r="AS27" i="2"/>
  <c r="AQ27" i="2"/>
  <c r="AP27" i="2"/>
  <c r="AO27" i="2"/>
  <c r="AN27" i="2"/>
  <c r="AM27" i="2"/>
  <c r="AK27" i="2"/>
  <c r="AJ27" i="2"/>
  <c r="AI27" i="2"/>
  <c r="AH27" i="2"/>
  <c r="AG27" i="2"/>
  <c r="AE27" i="2"/>
  <c r="AD27" i="2"/>
  <c r="AC27" i="2"/>
  <c r="AB27" i="2"/>
  <c r="AA27" i="2"/>
  <c r="Y27" i="2"/>
  <c r="X27" i="2"/>
  <c r="W27" i="2"/>
  <c r="V27" i="2"/>
  <c r="U27" i="2"/>
  <c r="S27" i="2"/>
  <c r="R27" i="2"/>
  <c r="Q27" i="2"/>
  <c r="P27" i="2"/>
  <c r="O27" i="2"/>
  <c r="N27" i="2"/>
  <c r="M27" i="2"/>
  <c r="L27" i="2"/>
  <c r="K27" i="2"/>
  <c r="J27" i="2"/>
  <c r="I27" i="2"/>
  <c r="BO26" i="2"/>
  <c r="BN26" i="2"/>
  <c r="BM26" i="2"/>
  <c r="BL26" i="2"/>
  <c r="BK26" i="2"/>
  <c r="BI26" i="2"/>
  <c r="BH26" i="2"/>
  <c r="BG26" i="2"/>
  <c r="BF26" i="2"/>
  <c r="BE26" i="2"/>
  <c r="BC26" i="2"/>
  <c r="BB26" i="2"/>
  <c r="BA26" i="2"/>
  <c r="AZ26" i="2"/>
  <c r="AY26" i="2"/>
  <c r="AW26" i="2"/>
  <c r="AV26" i="2"/>
  <c r="AU26" i="2"/>
  <c r="AT26" i="2"/>
  <c r="AS26" i="2"/>
  <c r="AQ26" i="2"/>
  <c r="AP26" i="2"/>
  <c r="AO26" i="2"/>
  <c r="AN26" i="2"/>
  <c r="AM26" i="2"/>
  <c r="AK26" i="2"/>
  <c r="AJ26" i="2"/>
  <c r="AI26" i="2"/>
  <c r="AH26" i="2"/>
  <c r="AG26" i="2"/>
  <c r="AE26" i="2"/>
  <c r="AD26" i="2"/>
  <c r="AC26" i="2"/>
  <c r="AB26" i="2"/>
  <c r="AA26" i="2"/>
  <c r="Y26" i="2"/>
  <c r="X26" i="2"/>
  <c r="W26" i="2"/>
  <c r="V26" i="2"/>
  <c r="U26" i="2"/>
  <c r="S26" i="2"/>
  <c r="R26" i="2"/>
  <c r="Q26" i="2"/>
  <c r="P26" i="2"/>
  <c r="O26" i="2"/>
  <c r="N26" i="2"/>
  <c r="M26" i="2"/>
  <c r="L26" i="2"/>
  <c r="K26" i="2"/>
  <c r="J26" i="2"/>
  <c r="I26" i="2"/>
  <c r="BO25" i="2"/>
  <c r="BN25" i="2"/>
  <c r="BM25" i="2"/>
  <c r="BL25" i="2"/>
  <c r="BK25" i="2"/>
  <c r="BI25" i="2"/>
  <c r="BH25" i="2"/>
  <c r="BG25" i="2"/>
  <c r="BF25" i="2"/>
  <c r="BE25" i="2"/>
  <c r="BC25" i="2"/>
  <c r="BB25" i="2"/>
  <c r="BA25" i="2"/>
  <c r="AZ25" i="2"/>
  <c r="AY25" i="2"/>
  <c r="AW25" i="2"/>
  <c r="AV25" i="2"/>
  <c r="AU25" i="2"/>
  <c r="AT25" i="2"/>
  <c r="AS25" i="2"/>
  <c r="AQ25" i="2"/>
  <c r="AP25" i="2"/>
  <c r="AO25" i="2"/>
  <c r="AN25" i="2"/>
  <c r="AM25" i="2"/>
  <c r="AK25" i="2"/>
  <c r="AJ25" i="2"/>
  <c r="AI25" i="2"/>
  <c r="AH25" i="2"/>
  <c r="AG25" i="2"/>
  <c r="AE25" i="2"/>
  <c r="AD25" i="2"/>
  <c r="AC25" i="2"/>
  <c r="AB25" i="2"/>
  <c r="AA25" i="2"/>
  <c r="Y25" i="2"/>
  <c r="X25" i="2"/>
  <c r="W25" i="2"/>
  <c r="V25" i="2"/>
  <c r="U25" i="2"/>
  <c r="S25" i="2"/>
  <c r="R25" i="2"/>
  <c r="Q25" i="2"/>
  <c r="P25" i="2"/>
  <c r="O25" i="2"/>
  <c r="N25" i="2"/>
  <c r="M25" i="2"/>
  <c r="L25" i="2"/>
  <c r="K25" i="2"/>
  <c r="J25" i="2"/>
  <c r="I25" i="2"/>
  <c r="N97" i="2"/>
  <c r="N95" i="2"/>
  <c r="N94" i="2"/>
  <c r="N93" i="2"/>
  <c r="H97" i="2"/>
  <c r="H95" i="2"/>
  <c r="H94" i="2"/>
  <c r="H93" i="2"/>
  <c r="H63" i="2"/>
  <c r="H61" i="2"/>
  <c r="H60" i="2"/>
  <c r="H59" i="2"/>
  <c r="H29" i="2"/>
  <c r="H27" i="2"/>
  <c r="H26" i="2"/>
  <c r="H25" i="2"/>
  <c r="BP122" i="2"/>
  <c r="BP121" i="2"/>
  <c r="BP120" i="2"/>
  <c r="BU120" i="2" s="1"/>
  <c r="BP119" i="2"/>
  <c r="BP118" i="2"/>
  <c r="BT118" i="2" s="1"/>
  <c r="BP117" i="2"/>
  <c r="BP116" i="2"/>
  <c r="BP115" i="2"/>
  <c r="BP85" i="2"/>
  <c r="BP108" i="2" s="1"/>
  <c r="BP84" i="2"/>
  <c r="BP107" i="2" s="1"/>
  <c r="BP82" i="2"/>
  <c r="K161" i="2"/>
  <c r="K160" i="2"/>
  <c r="K158" i="2"/>
  <c r="K155" i="2"/>
  <c r="K154" i="2"/>
  <c r="K152" i="2"/>
  <c r="K150" i="2"/>
  <c r="K149" i="2"/>
  <c r="K147" i="2"/>
  <c r="K148" i="2" s="1"/>
  <c r="K122" i="2"/>
  <c r="K134" i="2" s="1"/>
  <c r="K121" i="2"/>
  <c r="K133" i="2" s="1"/>
  <c r="K120" i="2"/>
  <c r="K119" i="2"/>
  <c r="K118" i="2"/>
  <c r="K117" i="2"/>
  <c r="K116" i="2"/>
  <c r="K115" i="2"/>
  <c r="K127" i="2" s="1"/>
  <c r="K86" i="2"/>
  <c r="K85" i="2"/>
  <c r="K84" i="2"/>
  <c r="K83" i="2"/>
  <c r="K82" i="2"/>
  <c r="E161" i="2"/>
  <c r="E160" i="2"/>
  <c r="E158" i="2"/>
  <c r="E157" i="2"/>
  <c r="E155" i="2"/>
  <c r="E154" i="2"/>
  <c r="E153" i="2"/>
  <c r="E152" i="2"/>
  <c r="E151" i="2"/>
  <c r="E150" i="2"/>
  <c r="E149" i="2"/>
  <c r="E148" i="2"/>
  <c r="E147" i="2"/>
  <c r="E134" i="2"/>
  <c r="E133" i="2"/>
  <c r="E132" i="2"/>
  <c r="E131" i="2"/>
  <c r="E130" i="2"/>
  <c r="E129" i="2"/>
  <c r="E128" i="2"/>
  <c r="E127" i="2"/>
  <c r="E122" i="2"/>
  <c r="E121" i="2"/>
  <c r="E120" i="2"/>
  <c r="E119" i="2"/>
  <c r="E118" i="2"/>
  <c r="E117" i="2"/>
  <c r="E116" i="2"/>
  <c r="E115" i="2"/>
  <c r="E86" i="2"/>
  <c r="E85" i="2"/>
  <c r="E84" i="2"/>
  <c r="E83" i="2"/>
  <c r="E82" i="2"/>
  <c r="BM161" i="2"/>
  <c r="BM122" i="2"/>
  <c r="BM121" i="2"/>
  <c r="BM133" i="2" s="1"/>
  <c r="BM120" i="2"/>
  <c r="BM119" i="2"/>
  <c r="BM118" i="2"/>
  <c r="BM117" i="2"/>
  <c r="BM116" i="2"/>
  <c r="BM115" i="2"/>
  <c r="BM127" i="2" s="1"/>
  <c r="BM85" i="2"/>
  <c r="BM84" i="2"/>
  <c r="BM82" i="2"/>
  <c r="BG161" i="2"/>
  <c r="BG122" i="2"/>
  <c r="BG121" i="2"/>
  <c r="BG133" i="2" s="1"/>
  <c r="BG120" i="2"/>
  <c r="BG119" i="2"/>
  <c r="BG118" i="2"/>
  <c r="BG117" i="2"/>
  <c r="BG116" i="2"/>
  <c r="BG115" i="2"/>
  <c r="BG127" i="2" s="1"/>
  <c r="BG85" i="2"/>
  <c r="BG84" i="2"/>
  <c r="BG82" i="2"/>
  <c r="BG83" i="2" s="1"/>
  <c r="BA161" i="2"/>
  <c r="BA122" i="2"/>
  <c r="BA121" i="2"/>
  <c r="BA133" i="2" s="1"/>
  <c r="BA120" i="2"/>
  <c r="BA119" i="2"/>
  <c r="BA118" i="2"/>
  <c r="BA117" i="2"/>
  <c r="BA116" i="2"/>
  <c r="BA115" i="2"/>
  <c r="BA127" i="2" s="1"/>
  <c r="BA85" i="2"/>
  <c r="BA84" i="2"/>
  <c r="BA82" i="2"/>
  <c r="AU161" i="2"/>
  <c r="AU122" i="2"/>
  <c r="AU121" i="2"/>
  <c r="AU133" i="2" s="1"/>
  <c r="AU120" i="2"/>
  <c r="AU119" i="2"/>
  <c r="AU118" i="2"/>
  <c r="AU117" i="2"/>
  <c r="AU116" i="2"/>
  <c r="AU115" i="2"/>
  <c r="AU127" i="2" s="1"/>
  <c r="AU85" i="2"/>
  <c r="AU84" i="2"/>
  <c r="AU82" i="2"/>
  <c r="AU83" i="2" s="1"/>
  <c r="AO161" i="2"/>
  <c r="AO160" i="2"/>
  <c r="AO158" i="2"/>
  <c r="AO156" i="2"/>
  <c r="AO155" i="2"/>
  <c r="AO154" i="2"/>
  <c r="AO152" i="2"/>
  <c r="AO150" i="2"/>
  <c r="AO149" i="2"/>
  <c r="AO147" i="2"/>
  <c r="AO148" i="2" s="1"/>
  <c r="AO122" i="2"/>
  <c r="AO121" i="2"/>
  <c r="AO133" i="2" s="1"/>
  <c r="AO120" i="2"/>
  <c r="AO119" i="2"/>
  <c r="AO118" i="2"/>
  <c r="AO117" i="2"/>
  <c r="AO116" i="2"/>
  <c r="AO115" i="2"/>
  <c r="AO127" i="2" s="1"/>
  <c r="AO85" i="2"/>
  <c r="AO84" i="2"/>
  <c r="AO82" i="2"/>
  <c r="AO83" i="2" s="1"/>
  <c r="AI161" i="2"/>
  <c r="AI160" i="2"/>
  <c r="AI158" i="2"/>
  <c r="AI156" i="2"/>
  <c r="AI155" i="2"/>
  <c r="AI154" i="2"/>
  <c r="AI152" i="2"/>
  <c r="AI150" i="2"/>
  <c r="AI149" i="2"/>
  <c r="AI147" i="2"/>
  <c r="AI148" i="2" s="1"/>
  <c r="AI122" i="2"/>
  <c r="AI121" i="2"/>
  <c r="AI133" i="2" s="1"/>
  <c r="AI120" i="2"/>
  <c r="AI119" i="2"/>
  <c r="AI118" i="2"/>
  <c r="AI117" i="2"/>
  <c r="AI116" i="2"/>
  <c r="AI115" i="2"/>
  <c r="AI127" i="2" s="1"/>
  <c r="AI85" i="2"/>
  <c r="AI84" i="2"/>
  <c r="AI82" i="2"/>
  <c r="Q339" i="6" l="1"/>
  <c r="Q326" i="6"/>
  <c r="AP152" i="6"/>
  <c r="CG206" i="6"/>
  <c r="CF320" i="6"/>
  <c r="CH296" i="6"/>
  <c r="CH144" i="6"/>
  <c r="CF355" i="6"/>
  <c r="CF368" i="6" s="1"/>
  <c r="CF357" i="6"/>
  <c r="CF163" i="6"/>
  <c r="CF130" i="6"/>
  <c r="CF143" i="6"/>
  <c r="CF150" i="6" s="1"/>
  <c r="K36" i="7"/>
  <c r="E21" i="9"/>
  <c r="L339" i="6"/>
  <c r="L326" i="6"/>
  <c r="CE357" i="6"/>
  <c r="CE355" i="6"/>
  <c r="CE143" i="6"/>
  <c r="CE150" i="6" s="1"/>
  <c r="CE130" i="6"/>
  <c r="CE163" i="6"/>
  <c r="AK151" i="6"/>
  <c r="J17" i="7" s="1"/>
  <c r="D13" i="9"/>
  <c r="AK339" i="6"/>
  <c r="D21" i="9"/>
  <c r="AK326" i="6"/>
  <c r="D20" i="9"/>
  <c r="AK152" i="6"/>
  <c r="D15" i="9"/>
  <c r="CF356" i="6"/>
  <c r="BY340" i="6"/>
  <c r="AZ340" i="6"/>
  <c r="CE369" i="6"/>
  <c r="L36" i="7"/>
  <c r="N30" i="8"/>
  <c r="R30" i="8"/>
  <c r="S29" i="8"/>
  <c r="S30" i="8" s="1"/>
  <c r="BT157" i="6"/>
  <c r="CD159" i="6"/>
  <c r="CD157" i="6"/>
  <c r="BY136" i="6"/>
  <c r="BY153" i="6"/>
  <c r="BY155" i="6" s="1"/>
  <c r="BY156" i="6" s="1"/>
  <c r="C32" i="7"/>
  <c r="BO157" i="6"/>
  <c r="BO110" i="6"/>
  <c r="BO99" i="6"/>
  <c r="BO101" i="6" s="1"/>
  <c r="BT99" i="6"/>
  <c r="BT101" i="6" s="1"/>
  <c r="CJ154" i="6"/>
  <c r="CK148" i="6"/>
  <c r="CM144" i="6"/>
  <c r="CD165" i="6"/>
  <c r="M14" i="9"/>
  <c r="M12" i="9"/>
  <c r="C12" i="7"/>
  <c r="C13" i="7" s="1"/>
  <c r="BJ162" i="6"/>
  <c r="I14" i="9"/>
  <c r="I12" i="9"/>
  <c r="BY126" i="6"/>
  <c r="BY357" i="6" s="1"/>
  <c r="L14" i="9"/>
  <c r="L12" i="9"/>
  <c r="BO126" i="6"/>
  <c r="J14" i="9"/>
  <c r="J12" i="9"/>
  <c r="BT126" i="6"/>
  <c r="BT357" i="6" s="1"/>
  <c r="K14" i="9"/>
  <c r="K12" i="9"/>
  <c r="AF212" i="6"/>
  <c r="C75" i="8"/>
  <c r="C76" i="8" s="1"/>
  <c r="F68" i="8" s="1"/>
  <c r="AA211" i="6"/>
  <c r="V328" i="6"/>
  <c r="V332" i="6" s="1"/>
  <c r="AP212" i="6"/>
  <c r="BK263" i="6"/>
  <c r="CK297" i="6"/>
  <c r="V372" i="6"/>
  <c r="AZ327" i="6"/>
  <c r="AZ335" i="6" s="1"/>
  <c r="AZ336" i="6" s="1"/>
  <c r="AP213" i="6"/>
  <c r="BO327" i="6"/>
  <c r="BO335" i="6" s="1"/>
  <c r="BP206" i="6"/>
  <c r="BP207" i="6" s="1"/>
  <c r="BQ206" i="6" s="1"/>
  <c r="BQ207" i="6" s="1"/>
  <c r="BQ226" i="6" s="1"/>
  <c r="BQ230" i="6" s="1"/>
  <c r="BQ237" i="6" s="1"/>
  <c r="BQ263" i="6" s="1"/>
  <c r="AU211" i="6"/>
  <c r="V212" i="6"/>
  <c r="BF263" i="6"/>
  <c r="BJ263" i="6"/>
  <c r="CJ222" i="6"/>
  <c r="CK222" i="6" s="1"/>
  <c r="CL222" i="6" s="1"/>
  <c r="AF356" i="6"/>
  <c r="CM259" i="6"/>
  <c r="CM317" i="6" s="1"/>
  <c r="CL317" i="6"/>
  <c r="AA356" i="6"/>
  <c r="BL206" i="6"/>
  <c r="BL207" i="6" s="1"/>
  <c r="BM206" i="6" s="1"/>
  <c r="BM207" i="6" s="1"/>
  <c r="Q213" i="6"/>
  <c r="BJ165" i="6"/>
  <c r="BX261" i="6"/>
  <c r="Q333" i="6"/>
  <c r="Q357" i="6"/>
  <c r="Q355" i="6"/>
  <c r="Q356" i="6" s="1"/>
  <c r="V340" i="6"/>
  <c r="V346" i="6" s="1"/>
  <c r="L333" i="6"/>
  <c r="L357" i="6"/>
  <c r="L355" i="6"/>
  <c r="L356" i="6" s="1"/>
  <c r="BJ126" i="6"/>
  <c r="BO163" i="6" s="1"/>
  <c r="BT335" i="6"/>
  <c r="AZ346" i="6"/>
  <c r="G19" i="9" s="1"/>
  <c r="AK333" i="6"/>
  <c r="AK357" i="6"/>
  <c r="AK355" i="6"/>
  <c r="AK356" i="6" s="1"/>
  <c r="BO333" i="6"/>
  <c r="BO355" i="6"/>
  <c r="BO357" i="6"/>
  <c r="CM232" i="6"/>
  <c r="CD335" i="6"/>
  <c r="AP211" i="6"/>
  <c r="V211" i="6"/>
  <c r="BE355" i="6"/>
  <c r="BE333" i="6"/>
  <c r="BE357" i="6"/>
  <c r="AF213" i="6"/>
  <c r="BJ335" i="6"/>
  <c r="BY335" i="6"/>
  <c r="CD126" i="6"/>
  <c r="CK256" i="6"/>
  <c r="CL256" i="6" s="1"/>
  <c r="CM256" i="6" s="1"/>
  <c r="CM313" i="6" s="1"/>
  <c r="CK241" i="6"/>
  <c r="BJ354" i="6"/>
  <c r="BJ363" i="6"/>
  <c r="BJ364" i="6" s="1"/>
  <c r="G356" i="6"/>
  <c r="AZ212" i="6"/>
  <c r="AF372" i="6"/>
  <c r="Q372" i="6"/>
  <c r="CD271" i="6"/>
  <c r="AZ213" i="6"/>
  <c r="AK211" i="6"/>
  <c r="AF211" i="6"/>
  <c r="Q211" i="6"/>
  <c r="CM242" i="6"/>
  <c r="CM297" i="6" s="1"/>
  <c r="CL297" i="6"/>
  <c r="AZ372" i="6"/>
  <c r="BG263" i="6"/>
  <c r="BH263" i="6"/>
  <c r="BY169" i="6"/>
  <c r="BT271" i="6"/>
  <c r="BO372" i="6"/>
  <c r="BO213" i="6"/>
  <c r="BO212" i="6"/>
  <c r="BO211" i="6"/>
  <c r="BU206" i="6"/>
  <c r="BU207" i="6" s="1"/>
  <c r="BU226" i="6" s="1"/>
  <c r="BU230" i="6" s="1"/>
  <c r="BU237" i="6" s="1"/>
  <c r="BU263" i="6" s="1"/>
  <c r="BT320" i="6"/>
  <c r="CM258" i="6"/>
  <c r="CM316" i="6" s="1"/>
  <c r="CL316" i="6"/>
  <c r="AK372" i="6"/>
  <c r="AK212" i="6"/>
  <c r="CD211" i="6"/>
  <c r="CD213" i="6"/>
  <c r="CD212" i="6"/>
  <c r="BO226" i="6"/>
  <c r="BZ206" i="6"/>
  <c r="BZ207" i="6" s="1"/>
  <c r="BY320" i="6"/>
  <c r="CD226" i="6"/>
  <c r="CD331" i="6" s="1"/>
  <c r="CD320" i="6"/>
  <c r="CI206" i="6"/>
  <c r="BY271" i="6"/>
  <c r="CK255" i="6"/>
  <c r="CJ312" i="6"/>
  <c r="BO271" i="6"/>
  <c r="BJ271" i="6"/>
  <c r="AD29" i="5"/>
  <c r="AE29" i="5"/>
  <c r="T29" i="5"/>
  <c r="R29" i="5"/>
  <c r="S29" i="5"/>
  <c r="F29" i="5"/>
  <c r="CK373" i="6"/>
  <c r="V133" i="6"/>
  <c r="V349" i="6" s="1"/>
  <c r="V351" i="6" s="1"/>
  <c r="CC99" i="6"/>
  <c r="BS261" i="6"/>
  <c r="BN103" i="6"/>
  <c r="BX104" i="6"/>
  <c r="BN105" i="6"/>
  <c r="BE130" i="6"/>
  <c r="BE132" i="6" s="1"/>
  <c r="BT226" i="6"/>
  <c r="BT331" i="6" s="1"/>
  <c r="BT329" i="6" s="1"/>
  <c r="BN261" i="6"/>
  <c r="BO137" i="6"/>
  <c r="BO370" i="6" s="1"/>
  <c r="Q168" i="6"/>
  <c r="BS103" i="6"/>
  <c r="BT136" i="6"/>
  <c r="BY137" i="6"/>
  <c r="BY370" i="6" s="1"/>
  <c r="CC261" i="6"/>
  <c r="BO136" i="6"/>
  <c r="BO169" i="6"/>
  <c r="BJ169" i="6"/>
  <c r="Z376" i="2"/>
  <c r="BE163" i="6"/>
  <c r="BO164" i="6"/>
  <c r="BS105" i="6"/>
  <c r="BX99" i="6"/>
  <c r="BS104" i="6"/>
  <c r="BJ137" i="6"/>
  <c r="BJ370" i="6" s="1"/>
  <c r="BS99" i="6"/>
  <c r="BJ136" i="6"/>
  <c r="CM222" i="6"/>
  <c r="CI139" i="6"/>
  <c r="CJ219" i="6"/>
  <c r="L130" i="6"/>
  <c r="L132" i="6" s="1"/>
  <c r="L170" i="6"/>
  <c r="AZ168" i="6"/>
  <c r="AZ170" i="6"/>
  <c r="AP168" i="6"/>
  <c r="AF168" i="6"/>
  <c r="AU168" i="6"/>
  <c r="AU170" i="6"/>
  <c r="CC105" i="6"/>
  <c r="CD137" i="6"/>
  <c r="CD370" i="6" s="1"/>
  <c r="CD169" i="6"/>
  <c r="BT137" i="6"/>
  <c r="BT370" i="6" s="1"/>
  <c r="BT169" i="6"/>
  <c r="BX105" i="6"/>
  <c r="BX103" i="6"/>
  <c r="CC103" i="6"/>
  <c r="CC104" i="6"/>
  <c r="CC110" i="6"/>
  <c r="BT165" i="6"/>
  <c r="V170" i="6"/>
  <c r="V163" i="6"/>
  <c r="Q163" i="6"/>
  <c r="Q130" i="6"/>
  <c r="Q132" i="6" s="1"/>
  <c r="BY165" i="6"/>
  <c r="BO165" i="6"/>
  <c r="AZ133" i="6"/>
  <c r="AZ153" i="6" s="1"/>
  <c r="AZ155" i="6" s="1"/>
  <c r="AZ156" i="6" s="1"/>
  <c r="AK130" i="6"/>
  <c r="AK133" i="6" s="1"/>
  <c r="AK153" i="6" s="1"/>
  <c r="AK155" i="6" s="1"/>
  <c r="AK156" i="6" s="1"/>
  <c r="AK163" i="6"/>
  <c r="CD136" i="6"/>
  <c r="AP163" i="6"/>
  <c r="BO162" i="6"/>
  <c r="BT162" i="6"/>
  <c r="BY162" i="6"/>
  <c r="Q170" i="6"/>
  <c r="L163" i="6"/>
  <c r="L168" i="6"/>
  <c r="CD162" i="6"/>
  <c r="AU163" i="6"/>
  <c r="AU130" i="6"/>
  <c r="AU133" i="6" s="1"/>
  <c r="AU153" i="6" s="1"/>
  <c r="AU155" i="6" s="1"/>
  <c r="AU156" i="6" s="1"/>
  <c r="AZ163" i="6"/>
  <c r="AA132" i="6"/>
  <c r="AA327" i="6" s="1"/>
  <c r="AA328" i="6" s="1"/>
  <c r="AA332" i="6" s="1"/>
  <c r="AA133" i="6"/>
  <c r="AA349" i="6" s="1"/>
  <c r="AA351" i="6" s="1"/>
  <c r="AP132" i="6"/>
  <c r="AP133" i="6"/>
  <c r="AP153" i="6" s="1"/>
  <c r="AP155" i="6" s="1"/>
  <c r="AP156" i="6" s="1"/>
  <c r="AF132" i="6"/>
  <c r="AF327" i="6" s="1"/>
  <c r="AF133" i="6"/>
  <c r="AF153" i="6" s="1"/>
  <c r="AF155" i="6" s="1"/>
  <c r="AF156" i="6" s="1"/>
  <c r="G132" i="6"/>
  <c r="G133" i="6"/>
  <c r="G349" i="6" s="1"/>
  <c r="G351" i="6" s="1"/>
  <c r="BT163" i="6"/>
  <c r="CL373" i="6"/>
  <c r="AA369" i="6"/>
  <c r="AA368" i="6"/>
  <c r="AA367" i="6"/>
  <c r="G369" i="6"/>
  <c r="G368" i="6"/>
  <c r="G367" i="6"/>
  <c r="Q367" i="6"/>
  <c r="Q369" i="6"/>
  <c r="V367" i="6"/>
  <c r="V369" i="6"/>
  <c r="V368" i="6"/>
  <c r="G213" i="6"/>
  <c r="G372" i="6"/>
  <c r="G212" i="6"/>
  <c r="L369" i="6"/>
  <c r="L367" i="6"/>
  <c r="AF369" i="6"/>
  <c r="AF368" i="6"/>
  <c r="AF367" i="6"/>
  <c r="AZ369" i="6"/>
  <c r="AZ368" i="6"/>
  <c r="AZ367" i="6"/>
  <c r="AU367" i="6"/>
  <c r="AU369" i="6"/>
  <c r="AP368" i="6"/>
  <c r="AP367" i="6"/>
  <c r="AP369" i="6"/>
  <c r="AK369" i="6"/>
  <c r="AK367" i="6"/>
  <c r="BD354" i="2"/>
  <c r="BD359" i="2" s="1"/>
  <c r="CK295" i="6"/>
  <c r="BQ298" i="2"/>
  <c r="AR354" i="2"/>
  <c r="AR359" i="2" s="1"/>
  <c r="H376" i="2"/>
  <c r="BQ80" i="2"/>
  <c r="BQ79" i="2" s="1"/>
  <c r="BQ84" i="2"/>
  <c r="BQ83" i="2"/>
  <c r="BQ82" i="2"/>
  <c r="BQ87" i="2"/>
  <c r="BQ85" i="2"/>
  <c r="BQ19" i="2"/>
  <c r="BQ14" i="2"/>
  <c r="BV14" i="2" s="1"/>
  <c r="BQ15" i="2"/>
  <c r="BQ17" i="2"/>
  <c r="BQ16" i="2"/>
  <c r="C13" i="4"/>
  <c r="C65" i="4" s="1"/>
  <c r="BJ375" i="2"/>
  <c r="BJ376" i="2" s="1"/>
  <c r="T376" i="2"/>
  <c r="BY367" i="6"/>
  <c r="BY369" i="6"/>
  <c r="Z342" i="2"/>
  <c r="AF342" i="2"/>
  <c r="BQ51" i="2"/>
  <c r="BQ49" i="2"/>
  <c r="BQ53" i="2"/>
  <c r="BQ48" i="2"/>
  <c r="BQ50" i="2"/>
  <c r="N355" i="2"/>
  <c r="N354" i="2" s="1"/>
  <c r="N359" i="2" s="1"/>
  <c r="T355" i="2"/>
  <c r="T354" i="2" s="1"/>
  <c r="T359" i="2" s="1"/>
  <c r="AL312" i="2"/>
  <c r="AL359" i="2"/>
  <c r="BP249" i="2"/>
  <c r="C9" i="5"/>
  <c r="Z355" i="2"/>
  <c r="Z354" i="2" s="1"/>
  <c r="Z359" i="2" s="1"/>
  <c r="AX375" i="2"/>
  <c r="AX376" i="2" s="1"/>
  <c r="AX355" i="2"/>
  <c r="AX354" i="2" s="1"/>
  <c r="AR333" i="2"/>
  <c r="AR342" i="2"/>
  <c r="AF375" i="2"/>
  <c r="AF376" i="2" s="1"/>
  <c r="AF355" i="2"/>
  <c r="AF354" i="2" s="1"/>
  <c r="AF359" i="2" s="1"/>
  <c r="AR334" i="2"/>
  <c r="H355" i="2"/>
  <c r="H354" i="2" s="1"/>
  <c r="H359" i="2" s="1"/>
  <c r="BD375" i="2"/>
  <c r="BD376" i="2" s="1"/>
  <c r="Z332" i="2"/>
  <c r="BJ312" i="2"/>
  <c r="BJ359" i="2"/>
  <c r="BQ291" i="2"/>
  <c r="Z343" i="2"/>
  <c r="AL375" i="2"/>
  <c r="AL376" i="2" s="1"/>
  <c r="AR375" i="2"/>
  <c r="AR376" i="2" s="1"/>
  <c r="N376" i="2"/>
  <c r="C38" i="5"/>
  <c r="BP374" i="2"/>
  <c r="AF331" i="2"/>
  <c r="BD249" i="2"/>
  <c r="N342" i="2"/>
  <c r="T342" i="2"/>
  <c r="BP375" i="2"/>
  <c r="BP355" i="2"/>
  <c r="BP354" i="2" s="1"/>
  <c r="BP359" i="2" s="1"/>
  <c r="Z333" i="2"/>
  <c r="H26" i="5"/>
  <c r="H342" i="2"/>
  <c r="H332" i="2"/>
  <c r="Z344" i="2"/>
  <c r="Z334" i="2"/>
  <c r="BD342" i="2"/>
  <c r="BJ342" i="2"/>
  <c r="BP342" i="2"/>
  <c r="BR266" i="2"/>
  <c r="BS266" i="2" s="1"/>
  <c r="N331" i="2"/>
  <c r="T334" i="2"/>
  <c r="AL331" i="2"/>
  <c r="BJ331" i="2"/>
  <c r="H344" i="2"/>
  <c r="T330" i="2"/>
  <c r="H333" i="2"/>
  <c r="T331" i="2"/>
  <c r="T343" i="2"/>
  <c r="AR343" i="2"/>
  <c r="N332" i="2"/>
  <c r="Z330" i="2"/>
  <c r="AR330" i="2"/>
  <c r="BJ332" i="2"/>
  <c r="BD344" i="2"/>
  <c r="AF332" i="2"/>
  <c r="BP330" i="2"/>
  <c r="AF333" i="2"/>
  <c r="BQ185" i="2"/>
  <c r="N343" i="2"/>
  <c r="T344" i="2"/>
  <c r="AL343" i="2"/>
  <c r="AR344" i="2"/>
  <c r="BJ343" i="2"/>
  <c r="BP344" i="2"/>
  <c r="H330" i="2"/>
  <c r="H334" i="2"/>
  <c r="N333" i="2"/>
  <c r="T332" i="2"/>
  <c r="Z331" i="2"/>
  <c r="AF330" i="2"/>
  <c r="AF334" i="2"/>
  <c r="AL333" i="2"/>
  <c r="AR332" i="2"/>
  <c r="BD330" i="2"/>
  <c r="BD334" i="2"/>
  <c r="BJ333" i="2"/>
  <c r="BP332" i="2"/>
  <c r="AF344" i="2"/>
  <c r="BD332" i="2"/>
  <c r="BP334" i="2"/>
  <c r="AL342" i="2"/>
  <c r="BP343" i="2"/>
  <c r="AL332" i="2"/>
  <c r="BD333" i="2"/>
  <c r="BP331" i="2"/>
  <c r="BQ228" i="2"/>
  <c r="H343" i="2"/>
  <c r="N344" i="2"/>
  <c r="AF343" i="2"/>
  <c r="AL344" i="2"/>
  <c r="BD343" i="2"/>
  <c r="BJ344" i="2"/>
  <c r="N330" i="2"/>
  <c r="N334" i="2"/>
  <c r="AL330" i="2"/>
  <c r="AL334" i="2"/>
  <c r="BD331" i="2"/>
  <c r="BJ330" i="2"/>
  <c r="BJ334" i="2"/>
  <c r="BP333" i="2"/>
  <c r="BR187" i="2"/>
  <c r="BQ338" i="2"/>
  <c r="AR178" i="2"/>
  <c r="BZ180" i="2"/>
  <c r="BU185" i="2"/>
  <c r="BR176" i="2"/>
  <c r="BR177" i="2" s="1"/>
  <c r="BU187" i="2"/>
  <c r="BQ187" i="2"/>
  <c r="BQ214" i="2"/>
  <c r="BR185" i="2"/>
  <c r="H388" i="2"/>
  <c r="BJ388" i="2"/>
  <c r="AF388" i="2"/>
  <c r="BS187" i="2"/>
  <c r="N314" i="2"/>
  <c r="N315" i="2" s="1"/>
  <c r="BQ255" i="2"/>
  <c r="BQ259" i="2" s="1"/>
  <c r="BS176" i="2"/>
  <c r="BS177" i="2" s="1"/>
  <c r="BS185" i="2"/>
  <c r="BS255" i="2"/>
  <c r="BT253" i="2"/>
  <c r="BR255" i="2"/>
  <c r="BT214" i="2"/>
  <c r="AR388" i="2"/>
  <c r="BT176" i="2"/>
  <c r="BT177" i="2" s="1"/>
  <c r="BJ248" i="2"/>
  <c r="AL388" i="2"/>
  <c r="AL394" i="2" s="1"/>
  <c r="T312" i="2"/>
  <c r="T249" i="2"/>
  <c r="AR312" i="2"/>
  <c r="AR249" i="2"/>
  <c r="AR314" i="2"/>
  <c r="AR313" i="2"/>
  <c r="BP387" i="2"/>
  <c r="BP388" i="2" s="1"/>
  <c r="BP394" i="2" s="1"/>
  <c r="N248" i="2"/>
  <c r="N388" i="2"/>
  <c r="AX388" i="2"/>
  <c r="BR81" i="2"/>
  <c r="BT185" i="2"/>
  <c r="BJ249" i="2"/>
  <c r="T388" i="2"/>
  <c r="Z388" i="2"/>
  <c r="BD388" i="2"/>
  <c r="BU214" i="2"/>
  <c r="BP280" i="2"/>
  <c r="BP366" i="2" s="1"/>
  <c r="BP370" i="2" s="1"/>
  <c r="BS31" i="2"/>
  <c r="BT31" i="2" s="1"/>
  <c r="BU31" i="2" s="1"/>
  <c r="BQ35" i="2"/>
  <c r="H30" i="4"/>
  <c r="J30" i="4"/>
  <c r="BT33" i="2"/>
  <c r="BR35" i="2"/>
  <c r="N197" i="2"/>
  <c r="D9" i="3" s="1"/>
  <c r="H249" i="2"/>
  <c r="AF312" i="2"/>
  <c r="AF249" i="2"/>
  <c r="AX313" i="2"/>
  <c r="AX314" i="2"/>
  <c r="H314" i="2"/>
  <c r="H313" i="2"/>
  <c r="N318" i="2"/>
  <c r="AF313" i="2"/>
  <c r="N249" i="2"/>
  <c r="H312" i="2"/>
  <c r="AL248" i="2"/>
  <c r="Z312" i="2"/>
  <c r="Z249" i="2"/>
  <c r="Z248" i="2"/>
  <c r="AL313" i="2"/>
  <c r="AL314" i="2"/>
  <c r="BQ217" i="2"/>
  <c r="AF248" i="2"/>
  <c r="T314" i="2"/>
  <c r="T313" i="2"/>
  <c r="BP248" i="2"/>
  <c r="BP312" i="2"/>
  <c r="H318" i="2"/>
  <c r="Z314" i="2"/>
  <c r="BD312" i="2"/>
  <c r="H248" i="2"/>
  <c r="AL249" i="2"/>
  <c r="BD248" i="2"/>
  <c r="Z318" i="2"/>
  <c r="BJ318" i="2"/>
  <c r="AL318" i="2"/>
  <c r="T248" i="2"/>
  <c r="AR248" i="2"/>
  <c r="AF319" i="2"/>
  <c r="AF318" i="2"/>
  <c r="AL319" i="2"/>
  <c r="BD313" i="2"/>
  <c r="BD314" i="2"/>
  <c r="BP313" i="2"/>
  <c r="BP314" i="2"/>
  <c r="BQ12" i="2"/>
  <c r="BR13" i="2"/>
  <c r="AR319" i="2"/>
  <c r="AR318" i="2"/>
  <c r="BD319" i="2"/>
  <c r="BD318" i="2"/>
  <c r="BP319" i="2"/>
  <c r="BP318" i="2"/>
  <c r="BJ319" i="2"/>
  <c r="BJ314" i="2"/>
  <c r="BJ315" i="2" s="1"/>
  <c r="T319" i="2"/>
  <c r="T318" i="2"/>
  <c r="N319" i="2"/>
  <c r="Z319" i="2"/>
  <c r="AX319" i="2"/>
  <c r="N307" i="2"/>
  <c r="N308" i="2" s="1"/>
  <c r="AR307" i="2"/>
  <c r="AR308" i="2" s="1"/>
  <c r="BD280" i="2"/>
  <c r="BD366" i="2" s="1"/>
  <c r="BD370" i="2" s="1"/>
  <c r="AR280" i="2"/>
  <c r="AR366" i="2" s="1"/>
  <c r="AR370" i="2" s="1"/>
  <c r="T94" i="2"/>
  <c r="BT121" i="2"/>
  <c r="BQ121" i="2"/>
  <c r="AL18" i="2"/>
  <c r="AL25" i="2"/>
  <c r="AL34" i="2"/>
  <c r="BC52" i="2"/>
  <c r="BC54" i="2" s="1"/>
  <c r="BC134" i="2" s="1"/>
  <c r="BC59" i="2"/>
  <c r="BP18" i="2"/>
  <c r="BZ18" i="2" s="1"/>
  <c r="BP22" i="2"/>
  <c r="BQ120" i="2"/>
  <c r="BT117" i="2"/>
  <c r="BQ117" i="2"/>
  <c r="BJ34" i="2"/>
  <c r="BJ25" i="2"/>
  <c r="W54" i="2"/>
  <c r="W61" i="2" s="1"/>
  <c r="W60" i="2"/>
  <c r="AE61" i="2"/>
  <c r="AE63" i="2"/>
  <c r="BK61" i="2"/>
  <c r="BK63" i="2"/>
  <c r="BP83" i="2"/>
  <c r="BP101" i="2" s="1"/>
  <c r="BP106" i="2"/>
  <c r="BU116" i="2"/>
  <c r="BQ116" i="2"/>
  <c r="BD95" i="2"/>
  <c r="X59" i="2"/>
  <c r="H307" i="2"/>
  <c r="H308" i="2" s="1"/>
  <c r="BP307" i="2"/>
  <c r="BP308" i="2" s="1"/>
  <c r="BT122" i="2"/>
  <c r="BQ122" i="2"/>
  <c r="AF280" i="2"/>
  <c r="AF366" i="2" s="1"/>
  <c r="AF370" i="2" s="1"/>
  <c r="BU115" i="2"/>
  <c r="BQ115" i="2"/>
  <c r="BQ127" i="2" s="1"/>
  <c r="BQ146" i="2" s="1"/>
  <c r="BU119" i="2"/>
  <c r="BQ119" i="2"/>
  <c r="BR47" i="2"/>
  <c r="BQ46" i="2"/>
  <c r="BQ45" i="2" s="1"/>
  <c r="BQ118" i="2"/>
  <c r="BY180" i="2"/>
  <c r="N280" i="2"/>
  <c r="N366" i="2" s="1"/>
  <c r="N370" i="2" s="1"/>
  <c r="T280" i="2"/>
  <c r="T366" i="2" s="1"/>
  <c r="T370" i="2" s="1"/>
  <c r="BR115" i="2"/>
  <c r="BR119" i="2"/>
  <c r="BS117" i="2"/>
  <c r="BS121" i="2"/>
  <c r="BT115" i="2"/>
  <c r="BT119" i="2"/>
  <c r="BU117" i="2"/>
  <c r="BU121" i="2"/>
  <c r="T148" i="2"/>
  <c r="BD102" i="2"/>
  <c r="H280" i="2"/>
  <c r="H366" i="2" s="1"/>
  <c r="H370" i="2" s="1"/>
  <c r="T307" i="2"/>
  <c r="T308" i="2" s="1"/>
  <c r="Z307" i="2"/>
  <c r="Z308" i="2" s="1"/>
  <c r="AL280" i="2"/>
  <c r="AL366" i="2" s="1"/>
  <c r="AL370" i="2" s="1"/>
  <c r="AL307" i="2"/>
  <c r="AL308" i="2" s="1"/>
  <c r="AX280" i="2"/>
  <c r="AX366" i="2" s="1"/>
  <c r="AX370" i="2" s="1"/>
  <c r="AX307" i="2"/>
  <c r="AX308" i="2" s="1"/>
  <c r="BJ280" i="2"/>
  <c r="BJ366" i="2" s="1"/>
  <c r="BJ370" i="2" s="1"/>
  <c r="BJ307" i="2"/>
  <c r="BJ308" i="2" s="1"/>
  <c r="BR116" i="2"/>
  <c r="BR120" i="2"/>
  <c r="BS118" i="2"/>
  <c r="BS122" i="2"/>
  <c r="BT116" i="2"/>
  <c r="BT120" i="2"/>
  <c r="BU118" i="2"/>
  <c r="BU122" i="2"/>
  <c r="BR117" i="2"/>
  <c r="BR121" i="2"/>
  <c r="BS115" i="2"/>
  <c r="BS119" i="2"/>
  <c r="AF178" i="2"/>
  <c r="Z280" i="2"/>
  <c r="Z366" i="2" s="1"/>
  <c r="Z370" i="2" s="1"/>
  <c r="BR118" i="2"/>
  <c r="BR122" i="2"/>
  <c r="BS116" i="2"/>
  <c r="BS120" i="2"/>
  <c r="H347" i="2"/>
  <c r="AR67" i="2"/>
  <c r="BP67" i="2"/>
  <c r="Z34" i="2"/>
  <c r="AF307" i="2"/>
  <c r="AF308" i="2" s="1"/>
  <c r="BD307" i="2"/>
  <c r="BD308" i="2" s="1"/>
  <c r="BJ93" i="2"/>
  <c r="BP59" i="2"/>
  <c r="AV129" i="2"/>
  <c r="H178" i="2"/>
  <c r="T178" i="2"/>
  <c r="AL178" i="2"/>
  <c r="BJ178" i="2"/>
  <c r="AF102" i="2"/>
  <c r="AX101" i="2"/>
  <c r="AL67" i="2"/>
  <c r="BJ67" i="2"/>
  <c r="T101" i="2"/>
  <c r="AR101" i="2"/>
  <c r="AX59" i="2"/>
  <c r="V63" i="2"/>
  <c r="AF34" i="2"/>
  <c r="AX34" i="2"/>
  <c r="T102" i="2"/>
  <c r="AL101" i="2"/>
  <c r="AR102" i="2"/>
  <c r="BJ101" i="2"/>
  <c r="Z101" i="2"/>
  <c r="BD34" i="2"/>
  <c r="T34" i="2"/>
  <c r="Z67" i="2"/>
  <c r="AX67" i="2"/>
  <c r="AF101" i="2"/>
  <c r="AL102" i="2"/>
  <c r="BD101" i="2"/>
  <c r="Z25" i="2"/>
  <c r="V60" i="2"/>
  <c r="AR94" i="2"/>
  <c r="AR95" i="2"/>
  <c r="T92" i="2"/>
  <c r="AR22" i="2"/>
  <c r="AL56" i="2"/>
  <c r="AX25" i="2"/>
  <c r="Z178" i="2"/>
  <c r="AX22" i="2"/>
  <c r="BJ148" i="2"/>
  <c r="H148" i="2"/>
  <c r="AB59" i="2"/>
  <c r="X63" i="2"/>
  <c r="AQ132" i="2"/>
  <c r="BP178" i="2"/>
  <c r="C19" i="5" s="1"/>
  <c r="AR25" i="2"/>
  <c r="AF59" i="2"/>
  <c r="T22" i="2"/>
  <c r="BY171" i="2"/>
  <c r="Z86" i="2"/>
  <c r="Z88" i="2" s="1"/>
  <c r="X60" i="2"/>
  <c r="AX96" i="2"/>
  <c r="AI151" i="2"/>
  <c r="AI153" i="2" s="1"/>
  <c r="AR93" i="2"/>
  <c r="AH59" i="2"/>
  <c r="AV59" i="2"/>
  <c r="AB60" i="2"/>
  <c r="BZ15" i="2"/>
  <c r="AM129" i="2"/>
  <c r="BJ22" i="2"/>
  <c r="AK129" i="2"/>
  <c r="N178" i="2"/>
  <c r="AX20" i="2"/>
  <c r="AX27" i="2" s="1"/>
  <c r="AX26" i="2"/>
  <c r="AM59" i="2"/>
  <c r="BK59" i="2"/>
  <c r="AI60" i="2"/>
  <c r="AY60" i="2"/>
  <c r="AI61" i="2"/>
  <c r="BO61" i="2"/>
  <c r="AR195" i="2"/>
  <c r="AQ129" i="2"/>
  <c r="AY132" i="2"/>
  <c r="BJ96" i="2"/>
  <c r="AF93" i="2"/>
  <c r="AF95" i="2"/>
  <c r="W59" i="2"/>
  <c r="AY59" i="2"/>
  <c r="AA60" i="2"/>
  <c r="AQ60" i="2"/>
  <c r="AM61" i="2"/>
  <c r="AU63" i="2"/>
  <c r="Z22" i="2"/>
  <c r="BK132" i="2"/>
  <c r="BZ146" i="2"/>
  <c r="T25" i="2"/>
  <c r="BD93" i="2"/>
  <c r="BP25" i="2"/>
  <c r="AI59" i="2"/>
  <c r="BG60" i="2"/>
  <c r="AY61" i="2"/>
  <c r="BY15" i="2"/>
  <c r="BD148" i="2"/>
  <c r="AY129" i="2"/>
  <c r="BA148" i="2"/>
  <c r="BA151" i="2" s="1"/>
  <c r="BA153" i="2" s="1"/>
  <c r="BM148" i="2"/>
  <c r="BM151" i="2" s="1"/>
  <c r="BM153" i="2" s="1"/>
  <c r="Z20" i="2"/>
  <c r="Z29" i="2" s="1"/>
  <c r="Z23" i="2"/>
  <c r="Z26" i="2"/>
  <c r="BF59" i="2"/>
  <c r="AF22" i="2"/>
  <c r="BD22" i="2"/>
  <c r="BD18" i="2"/>
  <c r="BD26" i="2" s="1"/>
  <c r="AO151" i="2"/>
  <c r="AO153" i="2" s="1"/>
  <c r="K128" i="2"/>
  <c r="K132" i="2"/>
  <c r="T97" i="2"/>
  <c r="Z59" i="2"/>
  <c r="AE59" i="2"/>
  <c r="AP59" i="2"/>
  <c r="AU59" i="2"/>
  <c r="BG59" i="2"/>
  <c r="BN59" i="2"/>
  <c r="AD60" i="2"/>
  <c r="AM60" i="2"/>
  <c r="AU60" i="2"/>
  <c r="BB60" i="2"/>
  <c r="BK60" i="2"/>
  <c r="AA61" i="2"/>
  <c r="AQ61" i="2"/>
  <c r="BG61" i="2"/>
  <c r="BJ56" i="2"/>
  <c r="T90" i="2"/>
  <c r="AF148" i="2"/>
  <c r="AT129" i="2"/>
  <c r="BD129" i="2"/>
  <c r="BD139" i="2" s="1"/>
  <c r="K14" i="3" s="1"/>
  <c r="BB132" i="2"/>
  <c r="AQ134" i="2"/>
  <c r="BP170" i="2"/>
  <c r="BY170" i="2" s="1"/>
  <c r="AJ129" i="2"/>
  <c r="AZ129" i="2"/>
  <c r="T95" i="2"/>
  <c r="AD59" i="2"/>
  <c r="AT59" i="2"/>
  <c r="Z56" i="2"/>
  <c r="Z148" i="2"/>
  <c r="BC129" i="2"/>
  <c r="AP129" i="2"/>
  <c r="BN129" i="2"/>
  <c r="T93" i="2"/>
  <c r="AF25" i="2"/>
  <c r="V59" i="2"/>
  <c r="AA59" i="2"/>
  <c r="AL59" i="2"/>
  <c r="AQ59" i="2"/>
  <c r="BB59" i="2"/>
  <c r="BJ59" i="2"/>
  <c r="BO59" i="2"/>
  <c r="Z60" i="2"/>
  <c r="AE60" i="2"/>
  <c r="BO60" i="2"/>
  <c r="AL22" i="2"/>
  <c r="AX56" i="2"/>
  <c r="T91" i="2"/>
  <c r="Z90" i="2"/>
  <c r="AH129" i="2"/>
  <c r="BK129" i="2"/>
  <c r="T129" i="2"/>
  <c r="T136" i="2" s="1"/>
  <c r="AU148" i="2"/>
  <c r="AU151" i="2" s="1"/>
  <c r="AU153" i="2" s="1"/>
  <c r="BG148" i="2"/>
  <c r="BG151" i="2" s="1"/>
  <c r="BG153" i="2" s="1"/>
  <c r="N148" i="2"/>
  <c r="BB129" i="2"/>
  <c r="BF129" i="2"/>
  <c r="BK134" i="2"/>
  <c r="BN86" i="2"/>
  <c r="BN88" i="2" s="1"/>
  <c r="AF20" i="2"/>
  <c r="AF35" i="2" s="1"/>
  <c r="AF23" i="2"/>
  <c r="AM88" i="2"/>
  <c r="AM134" i="2" s="1"/>
  <c r="AM132" i="2"/>
  <c r="AB63" i="2"/>
  <c r="AB61" i="2"/>
  <c r="AF52" i="2"/>
  <c r="AL57" i="2" s="1"/>
  <c r="AF129" i="2"/>
  <c r="AF139" i="2" s="1"/>
  <c r="G14" i="3" s="1"/>
  <c r="AF56" i="2"/>
  <c r="AN52" i="2"/>
  <c r="AN129" i="2"/>
  <c r="AR52" i="2"/>
  <c r="AR56" i="2"/>
  <c r="AV54" i="2"/>
  <c r="AV132" i="2"/>
  <c r="BD59" i="2"/>
  <c r="BD56" i="2"/>
  <c r="BD52" i="2"/>
  <c r="BD57" i="2" s="1"/>
  <c r="BH52" i="2"/>
  <c r="BH59" i="2"/>
  <c r="BH129" i="2"/>
  <c r="BL52" i="2"/>
  <c r="BL129" i="2"/>
  <c r="BZ49" i="2"/>
  <c r="BY49" i="2"/>
  <c r="BP56" i="2"/>
  <c r="AO129" i="2"/>
  <c r="AO86" i="2"/>
  <c r="AO88" i="2" s="1"/>
  <c r="AU86" i="2"/>
  <c r="AU88" i="2" s="1"/>
  <c r="AU134" i="2" s="1"/>
  <c r="BA128" i="2"/>
  <c r="BA83" i="2"/>
  <c r="BA86" i="2" s="1"/>
  <c r="BA88" i="2" s="1"/>
  <c r="BM128" i="2"/>
  <c r="BM83" i="2"/>
  <c r="K151" i="2"/>
  <c r="K153" i="2" s="1"/>
  <c r="AR148" i="2"/>
  <c r="AJ52" i="2"/>
  <c r="BG86" i="2"/>
  <c r="BG88" i="2" s="1"/>
  <c r="BG134" i="2" s="1"/>
  <c r="AI128" i="2"/>
  <c r="AI83" i="2"/>
  <c r="AI86" i="2" s="1"/>
  <c r="AU130" i="2"/>
  <c r="BG130" i="2"/>
  <c r="BZ52" i="2"/>
  <c r="AR197" i="2"/>
  <c r="I9" i="3" s="1"/>
  <c r="AL148" i="2"/>
  <c r="T23" i="2"/>
  <c r="T20" i="2"/>
  <c r="T35" i="2" s="1"/>
  <c r="AR129" i="2"/>
  <c r="AR139" i="2" s="1"/>
  <c r="I14" i="3" s="1"/>
  <c r="AZ52" i="2"/>
  <c r="BP54" i="2"/>
  <c r="BD96" i="2"/>
  <c r="T56" i="2"/>
  <c r="T52" i="2"/>
  <c r="AH132" i="2"/>
  <c r="AH54" i="2"/>
  <c r="AH61" i="2" s="1"/>
  <c r="AP132" i="2"/>
  <c r="AP54" i="2"/>
  <c r="AT132" i="2"/>
  <c r="AT54" i="2"/>
  <c r="AX54" i="2"/>
  <c r="BF132" i="2"/>
  <c r="BF54" i="2"/>
  <c r="BF61" i="2" s="1"/>
  <c r="BP57" i="2"/>
  <c r="BJ54" i="2"/>
  <c r="BJ68" i="2" s="1"/>
  <c r="BN60" i="2"/>
  <c r="BN54" i="2"/>
  <c r="BB134" i="2"/>
  <c r="BY146" i="2"/>
  <c r="BP148" i="2"/>
  <c r="BZ171" i="2"/>
  <c r="BJ129" i="2"/>
  <c r="BJ139" i="2" s="1"/>
  <c r="L14" i="3" s="1"/>
  <c r="BJ18" i="2"/>
  <c r="AG129" i="2"/>
  <c r="AG86" i="2"/>
  <c r="AG88" i="2" s="1"/>
  <c r="AS129" i="2"/>
  <c r="BI129" i="2"/>
  <c r="U52" i="2"/>
  <c r="Y52" i="2"/>
  <c r="AC52" i="2"/>
  <c r="AG52" i="2"/>
  <c r="AK52" i="2"/>
  <c r="AO52" i="2"/>
  <c r="AS52" i="2"/>
  <c r="AS132" i="2" s="1"/>
  <c r="AW52" i="2"/>
  <c r="BA52" i="2"/>
  <c r="BE52" i="2"/>
  <c r="BE132" i="2" s="1"/>
  <c r="BI52" i="2"/>
  <c r="BM52" i="2"/>
  <c r="Z129" i="2"/>
  <c r="AL90" i="2"/>
  <c r="AX90" i="2"/>
  <c r="AR18" i="2"/>
  <c r="AK86" i="2"/>
  <c r="AK88" i="2" s="1"/>
  <c r="AW86" i="2"/>
  <c r="AW88" i="2" s="1"/>
  <c r="BJ95" i="2"/>
  <c r="AR92" i="2"/>
  <c r="AR96" i="2"/>
  <c r="AL95" i="2"/>
  <c r="AL92" i="2"/>
  <c r="BJ92" i="2"/>
  <c r="BJ97" i="2"/>
  <c r="AX95" i="2"/>
  <c r="AL96" i="2"/>
  <c r="BD92" i="2"/>
  <c r="AX97" i="2"/>
  <c r="AX92" i="2"/>
  <c r="AD61" i="2"/>
  <c r="BB61" i="2"/>
  <c r="Z61" i="2"/>
  <c r="Z63" i="2"/>
  <c r="BE129" i="2"/>
  <c r="AS59" i="2"/>
  <c r="BI59" i="2"/>
  <c r="AX132" i="2"/>
  <c r="AL60" i="2"/>
  <c r="BJ60" i="2"/>
  <c r="BY52" i="2"/>
  <c r="AX129" i="2"/>
  <c r="AL91" i="2"/>
  <c r="AL93" i="2"/>
  <c r="AX93" i="2"/>
  <c r="AR90" i="2"/>
  <c r="BJ90" i="2"/>
  <c r="AL129" i="2"/>
  <c r="AL139" i="2" s="1"/>
  <c r="H14" i="3" s="1"/>
  <c r="AX91" i="2"/>
  <c r="BD91" i="2"/>
  <c r="AF94" i="2"/>
  <c r="AX94" i="2"/>
  <c r="AF90" i="2"/>
  <c r="BD90" i="2"/>
  <c r="BA130" i="2"/>
  <c r="BM130" i="2"/>
  <c r="T59" i="2"/>
  <c r="AF195" i="2"/>
  <c r="BJ195" i="2"/>
  <c r="BJ196" i="2" s="1"/>
  <c r="L8" i="3" s="1"/>
  <c r="BP197" i="2"/>
  <c r="M9" i="3" s="1"/>
  <c r="Z195" i="2"/>
  <c r="Z196" i="2" s="1"/>
  <c r="F8" i="3" s="1"/>
  <c r="AF197" i="2"/>
  <c r="G9" i="3" s="1"/>
  <c r="T195" i="2"/>
  <c r="T196" i="2" s="1"/>
  <c r="E8" i="3" s="1"/>
  <c r="AL195" i="2"/>
  <c r="AL196" i="2" s="1"/>
  <c r="H8" i="3" s="1"/>
  <c r="BP195" i="2"/>
  <c r="AX146" i="2"/>
  <c r="N195" i="2"/>
  <c r="H143" i="2"/>
  <c r="C20" i="3" s="1"/>
  <c r="H141" i="2"/>
  <c r="N142" i="2"/>
  <c r="D21" i="3" s="1"/>
  <c r="AI131" i="2"/>
  <c r="AO128" i="2"/>
  <c r="AU129" i="2"/>
  <c r="BA131" i="2"/>
  <c r="BG129" i="2"/>
  <c r="BM131" i="2"/>
  <c r="K131" i="2"/>
  <c r="BP140" i="2"/>
  <c r="AO130" i="2"/>
  <c r="AU131" i="2"/>
  <c r="BG131" i="2"/>
  <c r="K129" i="2"/>
  <c r="AI130" i="2"/>
  <c r="AO131" i="2"/>
  <c r="AU128" i="2"/>
  <c r="BG128" i="2"/>
  <c r="K130" i="2"/>
  <c r="N141" i="2"/>
  <c r="D15" i="3" s="1"/>
  <c r="N139" i="2"/>
  <c r="D14" i="3" s="1"/>
  <c r="BZ127" i="2"/>
  <c r="H140" i="2"/>
  <c r="BZ129" i="2"/>
  <c r="N140" i="2"/>
  <c r="BZ134" i="2"/>
  <c r="BZ132" i="2"/>
  <c r="BY127" i="2"/>
  <c r="N143" i="2"/>
  <c r="D20" i="3" s="1"/>
  <c r="N137" i="2"/>
  <c r="N136" i="2"/>
  <c r="H139" i="2"/>
  <c r="BP141" i="2"/>
  <c r="M15" i="3" s="1"/>
  <c r="CE132" i="6" l="1"/>
  <c r="CE133" i="6"/>
  <c r="K17" i="7"/>
  <c r="CF132" i="6"/>
  <c r="CF133" i="6"/>
  <c r="CE151" i="6"/>
  <c r="CE333" i="6" s="1"/>
  <c r="CE339" i="6"/>
  <c r="CE340" i="6" s="1"/>
  <c r="CE346" i="6" s="1"/>
  <c r="CE152" i="6"/>
  <c r="CE326" i="6"/>
  <c r="L17" i="7"/>
  <c r="CE356" i="6"/>
  <c r="CE368" i="6"/>
  <c r="BT333" i="6"/>
  <c r="CF152" i="6"/>
  <c r="CF339" i="6"/>
  <c r="CF340" i="6" s="1"/>
  <c r="CF346" i="6" s="1"/>
  <c r="CF326" i="6"/>
  <c r="CF151" i="6"/>
  <c r="CF333" i="6" s="1"/>
  <c r="C82" i="8"/>
  <c r="AU159" i="6"/>
  <c r="AU157" i="6"/>
  <c r="AK158" i="6"/>
  <c r="AK159" i="6" s="1"/>
  <c r="AK157" i="6"/>
  <c r="AF158" i="6"/>
  <c r="AF159" i="6" s="1"/>
  <c r="AZ159" i="6"/>
  <c r="AZ157" i="6"/>
  <c r="L13" i="7"/>
  <c r="AP159" i="6"/>
  <c r="AP157" i="6"/>
  <c r="BY355" i="6"/>
  <c r="BY356" i="6" s="1"/>
  <c r="BY159" i="6"/>
  <c r="BY157" i="6"/>
  <c r="AF328" i="6"/>
  <c r="AF332" i="6" s="1"/>
  <c r="C18" i="9" s="1"/>
  <c r="CL148" i="6"/>
  <c r="CK154" i="6"/>
  <c r="CD329" i="6"/>
  <c r="C38" i="7"/>
  <c r="CD163" i="6"/>
  <c r="J13" i="7"/>
  <c r="BT355" i="6"/>
  <c r="K13" i="7"/>
  <c r="BY328" i="6"/>
  <c r="BY332" i="6" s="1"/>
  <c r="L18" i="9" s="1"/>
  <c r="BY163" i="6"/>
  <c r="CI361" i="6"/>
  <c r="CI362" i="6" s="1"/>
  <c r="C40" i="8"/>
  <c r="C93" i="8" s="1"/>
  <c r="D21" i="7"/>
  <c r="BV206" i="6"/>
  <c r="BV207" i="6" s="1"/>
  <c r="BW206" i="6" s="1"/>
  <c r="BW207" i="6" s="1"/>
  <c r="BX206" i="6" s="1"/>
  <c r="BX207" i="6" s="1"/>
  <c r="BX230" i="6" s="1"/>
  <c r="BX237" i="6" s="1"/>
  <c r="BX263" i="6" s="1"/>
  <c r="BL226" i="6"/>
  <c r="BL230" i="6" s="1"/>
  <c r="BL237" i="6" s="1"/>
  <c r="BL263" i="6" s="1"/>
  <c r="CL313" i="6"/>
  <c r="BP226" i="6"/>
  <c r="BP230" i="6" s="1"/>
  <c r="BP237" i="6" s="1"/>
  <c r="BP263" i="6" s="1"/>
  <c r="BR206" i="6"/>
  <c r="BR207" i="6" s="1"/>
  <c r="G327" i="6"/>
  <c r="G328" i="6" s="1"/>
  <c r="G332" i="6" s="1"/>
  <c r="L368" i="6"/>
  <c r="BO230" i="6"/>
  <c r="BO237" i="6" s="1"/>
  <c r="BO342" i="6" s="1"/>
  <c r="BO345" i="6" s="1"/>
  <c r="BO331" i="6"/>
  <c r="BO329" i="6" s="1"/>
  <c r="L327" i="6"/>
  <c r="L328" i="6" s="1"/>
  <c r="L332" i="6" s="1"/>
  <c r="BO328" i="6"/>
  <c r="AZ328" i="6"/>
  <c r="AZ332" i="6" s="1"/>
  <c r="G18" i="9" s="1"/>
  <c r="AP327" i="6"/>
  <c r="AP328" i="6" s="1"/>
  <c r="AP332" i="6" s="1"/>
  <c r="E18" i="9" s="1"/>
  <c r="Q327" i="6"/>
  <c r="Q328" i="6" s="1"/>
  <c r="Q332" i="6" s="1"/>
  <c r="BJ163" i="6"/>
  <c r="BY336" i="6"/>
  <c r="AK368" i="6"/>
  <c r="BE133" i="6"/>
  <c r="BV226" i="6"/>
  <c r="BV230" i="6" s="1"/>
  <c r="BV237" i="6" s="1"/>
  <c r="BV263" i="6" s="1"/>
  <c r="G340" i="6"/>
  <c r="G346" i="6" s="1"/>
  <c r="BT340" i="6"/>
  <c r="BE170" i="6"/>
  <c r="BY346" i="6"/>
  <c r="L19" i="9" s="1"/>
  <c r="CD321" i="6"/>
  <c r="AF340" i="6"/>
  <c r="AF346" i="6" s="1"/>
  <c r="CD355" i="6"/>
  <c r="CD357" i="6"/>
  <c r="AP340" i="6"/>
  <c r="AP346" i="6" s="1"/>
  <c r="E19" i="9" s="1"/>
  <c r="AF335" i="6"/>
  <c r="AF336" i="6" s="1"/>
  <c r="AA335" i="6"/>
  <c r="AA336" i="6" s="1"/>
  <c r="BO340" i="6"/>
  <c r="CK313" i="6"/>
  <c r="CL241" i="6"/>
  <c r="CK296" i="6"/>
  <c r="BJ333" i="6"/>
  <c r="BJ336" i="6" s="1"/>
  <c r="BJ355" i="6"/>
  <c r="BJ356" i="6" s="1"/>
  <c r="BJ357" i="6"/>
  <c r="L340" i="6"/>
  <c r="L346" i="6" s="1"/>
  <c r="AP170" i="6"/>
  <c r="BT321" i="6"/>
  <c r="BO321" i="6"/>
  <c r="AA340" i="6"/>
  <c r="AA346" i="6" s="1"/>
  <c r="V335" i="6"/>
  <c r="V336" i="6" s="1"/>
  <c r="Q340" i="6"/>
  <c r="Q346" i="6" s="1"/>
  <c r="CD230" i="6"/>
  <c r="CD237" i="6" s="1"/>
  <c r="CD342" i="6" s="1"/>
  <c r="CD345" i="6" s="1"/>
  <c r="CK312" i="6"/>
  <c r="CL255" i="6"/>
  <c r="CA206" i="6"/>
  <c r="CA207" i="6" s="1"/>
  <c r="BZ226" i="6"/>
  <c r="BZ230" i="6" s="1"/>
  <c r="BZ237" i="6" s="1"/>
  <c r="BZ263" i="6" s="1"/>
  <c r="BE168" i="6"/>
  <c r="V169" i="6"/>
  <c r="BT230" i="6"/>
  <c r="BT237" i="6" s="1"/>
  <c r="BT342" i="6" s="1"/>
  <c r="BT345" i="6" s="1"/>
  <c r="BJ367" i="6"/>
  <c r="BJ369" i="6"/>
  <c r="BD394" i="2"/>
  <c r="BN206" i="6"/>
  <c r="BN207" i="6" s="1"/>
  <c r="BN226" i="6" s="1"/>
  <c r="BN230" i="6" s="1"/>
  <c r="BN237" i="6" s="1"/>
  <c r="BN263" i="6" s="1"/>
  <c r="BM226" i="6"/>
  <c r="BM230" i="6" s="1"/>
  <c r="BM237" i="6" s="1"/>
  <c r="BM263" i="6" s="1"/>
  <c r="F30" i="4"/>
  <c r="L30" i="4"/>
  <c r="M30" i="4"/>
  <c r="AK132" i="6"/>
  <c r="G30" i="4"/>
  <c r="D30" i="4"/>
  <c r="E30" i="4"/>
  <c r="T394" i="2"/>
  <c r="BW226" i="6"/>
  <c r="BW230" i="6" s="1"/>
  <c r="BW237" i="6" s="1"/>
  <c r="BW263" i="6" s="1"/>
  <c r="L133" i="6"/>
  <c r="L349" i="6" s="1"/>
  <c r="L351" i="6" s="1"/>
  <c r="CJ220" i="6"/>
  <c r="CJ221" i="6"/>
  <c r="BO168" i="6"/>
  <c r="AK170" i="6"/>
  <c r="AK168" i="6"/>
  <c r="CI138" i="6"/>
  <c r="BY170" i="6"/>
  <c r="BY168" i="6"/>
  <c r="BT170" i="6"/>
  <c r="BT168" i="6"/>
  <c r="AZ137" i="6"/>
  <c r="AZ370" i="6" s="1"/>
  <c r="Q133" i="6"/>
  <c r="Q349" i="6" s="1"/>
  <c r="Q351" i="6" s="1"/>
  <c r="AZ136" i="6"/>
  <c r="AZ164" i="6"/>
  <c r="Q368" i="6"/>
  <c r="C19" i="7"/>
  <c r="AZ169" i="6"/>
  <c r="AU132" i="6"/>
  <c r="AU368" i="6"/>
  <c r="G169" i="6"/>
  <c r="AF169" i="6"/>
  <c r="AF164" i="6"/>
  <c r="AF136" i="6"/>
  <c r="AF137" i="6"/>
  <c r="AF370" i="6" s="1"/>
  <c r="AA169" i="6"/>
  <c r="AA164" i="6"/>
  <c r="AU137" i="6"/>
  <c r="AU370" i="6" s="1"/>
  <c r="AU169" i="6"/>
  <c r="AU136" i="6"/>
  <c r="AU164" i="6"/>
  <c r="AP136" i="6"/>
  <c r="AP137" i="6"/>
  <c r="AP370" i="6" s="1"/>
  <c r="AP169" i="6"/>
  <c r="AP164" i="6"/>
  <c r="AK137" i="6"/>
  <c r="AK370" i="6" s="1"/>
  <c r="AK136" i="6"/>
  <c r="AK169" i="6"/>
  <c r="AK164" i="6"/>
  <c r="CM373" i="6"/>
  <c r="BQ216" i="2"/>
  <c r="BQ156" i="2" s="1"/>
  <c r="BT164" i="6"/>
  <c r="AR394" i="2"/>
  <c r="CL295" i="6"/>
  <c r="K30" i="4"/>
  <c r="N30" i="4"/>
  <c r="I30" i="4"/>
  <c r="Z394" i="2"/>
  <c r="AX394" i="2"/>
  <c r="BQ52" i="2"/>
  <c r="BQ54" i="2" s="1"/>
  <c r="BQ63" i="2" s="1"/>
  <c r="BR53" i="2"/>
  <c r="BR48" i="2"/>
  <c r="BR50" i="2"/>
  <c r="BR49" i="2"/>
  <c r="BR51" i="2"/>
  <c r="BP250" i="2"/>
  <c r="BP376" i="2"/>
  <c r="C71" i="4"/>
  <c r="C74" i="4"/>
  <c r="C72" i="4"/>
  <c r="C73" i="4" s="1"/>
  <c r="BS13" i="2"/>
  <c r="BT13" i="2" s="1"/>
  <c r="BR15" i="2"/>
  <c r="BR16" i="2"/>
  <c r="BR19" i="2"/>
  <c r="BR14" i="2"/>
  <c r="BR17" i="2"/>
  <c r="N394" i="2"/>
  <c r="AX359" i="2"/>
  <c r="BD250" i="2"/>
  <c r="BR80" i="2"/>
  <c r="BR79" i="2" s="1"/>
  <c r="BR85" i="2"/>
  <c r="BR84" i="2"/>
  <c r="BR83" i="2"/>
  <c r="BR82" i="2"/>
  <c r="BR87" i="2"/>
  <c r="C15" i="3"/>
  <c r="BP151" i="2"/>
  <c r="BP380" i="2" s="1"/>
  <c r="BP381" i="2" s="1"/>
  <c r="C12" i="5"/>
  <c r="C13" i="5" s="1"/>
  <c r="M12" i="3"/>
  <c r="AL151" i="2"/>
  <c r="AL392" i="2" s="1"/>
  <c r="H12" i="3"/>
  <c r="N201" i="2"/>
  <c r="D12" i="3"/>
  <c r="BD201" i="2"/>
  <c r="K12" i="3"/>
  <c r="H201" i="2"/>
  <c r="C12" i="3"/>
  <c r="C14" i="3"/>
  <c r="AR201" i="2"/>
  <c r="I12" i="3"/>
  <c r="Z151" i="2"/>
  <c r="Z380" i="2" s="1"/>
  <c r="Z381" i="2" s="1"/>
  <c r="F12" i="3"/>
  <c r="BJ151" i="2"/>
  <c r="BJ380" i="2" s="1"/>
  <c r="BJ381" i="2" s="1"/>
  <c r="L12" i="3"/>
  <c r="BQ296" i="2"/>
  <c r="AF151" i="2"/>
  <c r="AF380" i="2" s="1"/>
  <c r="AF381" i="2" s="1"/>
  <c r="G12" i="3"/>
  <c r="T151" i="2"/>
  <c r="T380" i="2" s="1"/>
  <c r="T381" i="2" s="1"/>
  <c r="E12" i="3"/>
  <c r="D9" i="5"/>
  <c r="D10" i="5" s="1"/>
  <c r="BJ391" i="2"/>
  <c r="BJ394" i="2"/>
  <c r="AF391" i="2"/>
  <c r="AF394" i="2"/>
  <c r="H391" i="2"/>
  <c r="H394" i="2"/>
  <c r="BT266" i="2"/>
  <c r="BS345" i="2"/>
  <c r="BR291" i="2"/>
  <c r="BR296" i="2" s="1"/>
  <c r="BR345" i="2"/>
  <c r="BR298" i="2"/>
  <c r="AX332" i="2"/>
  <c r="AX330" i="2"/>
  <c r="AX343" i="2"/>
  <c r="AX331" i="2"/>
  <c r="AX334" i="2"/>
  <c r="AX344" i="2"/>
  <c r="AX333" i="2"/>
  <c r="D22" i="4"/>
  <c r="BQ302" i="2"/>
  <c r="BQ269" i="2"/>
  <c r="BQ276" i="2"/>
  <c r="BQ304" i="2"/>
  <c r="BQ303" i="2"/>
  <c r="AX342" i="2"/>
  <c r="AR250" i="2"/>
  <c r="AR315" i="2"/>
  <c r="BR228" i="2"/>
  <c r="BR338" i="2"/>
  <c r="T315" i="2"/>
  <c r="AF250" i="2"/>
  <c r="BQ258" i="2"/>
  <c r="H310" i="2"/>
  <c r="H250" i="2"/>
  <c r="BQ257" i="2"/>
  <c r="BQ168" i="2" s="1"/>
  <c r="C40" i="4" s="1"/>
  <c r="C93" i="4" s="1"/>
  <c r="BY18" i="2"/>
  <c r="AL315" i="2"/>
  <c r="N196" i="2"/>
  <c r="D8" i="3" s="1"/>
  <c r="AF315" i="2"/>
  <c r="BS81" i="2"/>
  <c r="BT255" i="2"/>
  <c r="BU253" i="2"/>
  <c r="BU255" i="2" s="1"/>
  <c r="BR259" i="2"/>
  <c r="BS259" i="2" s="1"/>
  <c r="BD315" i="2"/>
  <c r="Z391" i="2"/>
  <c r="BS298" i="2"/>
  <c r="BS291" i="2"/>
  <c r="W63" i="2"/>
  <c r="AR310" i="2"/>
  <c r="BP315" i="2"/>
  <c r="T250" i="2"/>
  <c r="N250" i="2"/>
  <c r="AX391" i="2"/>
  <c r="AL391" i="2"/>
  <c r="AR391" i="2"/>
  <c r="BP391" i="2"/>
  <c r="BP310" i="2"/>
  <c r="Z315" i="2"/>
  <c r="BD391" i="2"/>
  <c r="T391" i="2"/>
  <c r="N391" i="2"/>
  <c r="BJ250" i="2"/>
  <c r="BS35" i="2"/>
  <c r="BT35" i="2"/>
  <c r="BU33" i="2"/>
  <c r="BU35" i="2" s="1"/>
  <c r="BQ126" i="2"/>
  <c r="BQ221" i="2"/>
  <c r="BQ343" i="2" s="1"/>
  <c r="BQ220" i="2"/>
  <c r="BQ344" i="2" s="1"/>
  <c r="BR217" i="2"/>
  <c r="AL250" i="2"/>
  <c r="AX249" i="2"/>
  <c r="AX248" i="2"/>
  <c r="BQ11" i="2"/>
  <c r="Z250" i="2"/>
  <c r="H315" i="2"/>
  <c r="AX148" i="2"/>
  <c r="AX312" i="2"/>
  <c r="AX315" i="2" s="1"/>
  <c r="BY83" i="2"/>
  <c r="BC132" i="2"/>
  <c r="BC60" i="2"/>
  <c r="BR127" i="2"/>
  <c r="BR146" i="2" s="1"/>
  <c r="BQ195" i="2"/>
  <c r="BQ196" i="2" s="1"/>
  <c r="BQ274" i="2"/>
  <c r="BQ273" i="2"/>
  <c r="AX318" i="2"/>
  <c r="BD310" i="2"/>
  <c r="BR12" i="2"/>
  <c r="BR11" i="2" s="1"/>
  <c r="BP90" i="2"/>
  <c r="BJ201" i="2"/>
  <c r="BP23" i="2"/>
  <c r="BP86" i="2"/>
  <c r="BP88" i="2" s="1"/>
  <c r="BP95" i="2" s="1"/>
  <c r="BY95" i="2" s="1"/>
  <c r="T310" i="2"/>
  <c r="BP93" i="2"/>
  <c r="BY93" i="2" s="1"/>
  <c r="BZ83" i="2"/>
  <c r="T201" i="2"/>
  <c r="AL310" i="2"/>
  <c r="BC63" i="2"/>
  <c r="BC61" i="2"/>
  <c r="AX310" i="2"/>
  <c r="AL20" i="2"/>
  <c r="AL24" i="2" s="1"/>
  <c r="AL26" i="2"/>
  <c r="AL23" i="2"/>
  <c r="T198" i="2"/>
  <c r="AF310" i="2"/>
  <c r="N310" i="2"/>
  <c r="BS47" i="2"/>
  <c r="BR46" i="2"/>
  <c r="BR45" i="2" s="1"/>
  <c r="BP26" i="2"/>
  <c r="BP20" i="2"/>
  <c r="Z310" i="2"/>
  <c r="BJ310" i="2"/>
  <c r="AR151" i="2"/>
  <c r="AR380" i="2" s="1"/>
  <c r="AR381" i="2" s="1"/>
  <c r="AU132" i="2"/>
  <c r="AR196" i="2"/>
  <c r="I8" i="3" s="1"/>
  <c r="BD20" i="2"/>
  <c r="BD35" i="2" s="1"/>
  <c r="BP198" i="2"/>
  <c r="H151" i="2"/>
  <c r="AX29" i="2"/>
  <c r="AX35" i="2"/>
  <c r="AX61" i="2"/>
  <c r="AX68" i="2"/>
  <c r="BP63" i="2"/>
  <c r="BP68" i="2"/>
  <c r="Z27" i="2"/>
  <c r="Z35" i="2"/>
  <c r="Z96" i="2"/>
  <c r="Z102" i="2"/>
  <c r="BA129" i="2"/>
  <c r="Z136" i="2"/>
  <c r="Z132" i="2"/>
  <c r="Z140" i="2" s="1"/>
  <c r="AF92" i="2"/>
  <c r="AF91" i="2"/>
  <c r="Z94" i="2"/>
  <c r="Z97" i="2"/>
  <c r="BA132" i="2"/>
  <c r="BY59" i="2"/>
  <c r="Z92" i="2"/>
  <c r="AF96" i="2"/>
  <c r="Z91" i="2"/>
  <c r="BJ57" i="2"/>
  <c r="Z95" i="2"/>
  <c r="BY25" i="2"/>
  <c r="BJ198" i="2"/>
  <c r="Z134" i="2"/>
  <c r="Z141" i="2" s="1"/>
  <c r="F15" i="3" s="1"/>
  <c r="BZ170" i="2"/>
  <c r="BD151" i="2"/>
  <c r="N198" i="2"/>
  <c r="AG132" i="2"/>
  <c r="AX136" i="2"/>
  <c r="AO132" i="2"/>
  <c r="BJ136" i="2"/>
  <c r="BN134" i="2"/>
  <c r="N151" i="2"/>
  <c r="BZ25" i="2"/>
  <c r="AK132" i="2"/>
  <c r="BP196" i="2"/>
  <c r="M8" i="3" s="1"/>
  <c r="BF63" i="2"/>
  <c r="AR198" i="2"/>
  <c r="AR136" i="2"/>
  <c r="BF134" i="2"/>
  <c r="AF196" i="2"/>
  <c r="G8" i="3" s="1"/>
  <c r="BD132" i="2"/>
  <c r="BD140" i="2" s="1"/>
  <c r="BP61" i="2"/>
  <c r="BP201" i="2"/>
  <c r="T139" i="2"/>
  <c r="E14" i="3" s="1"/>
  <c r="BZ148" i="2"/>
  <c r="AX139" i="2"/>
  <c r="J14" i="3" s="1"/>
  <c r="AL201" i="2"/>
  <c r="BG132" i="2"/>
  <c r="BZ54" i="2"/>
  <c r="AF136" i="2"/>
  <c r="Z139" i="2"/>
  <c r="F14" i="3" s="1"/>
  <c r="BY148" i="2"/>
  <c r="BD136" i="2"/>
  <c r="BZ59" i="2"/>
  <c r="AW132" i="2"/>
  <c r="Z24" i="2"/>
  <c r="BD23" i="2"/>
  <c r="BN132" i="2"/>
  <c r="BI60" i="2"/>
  <c r="BI54" i="2"/>
  <c r="AC54" i="2"/>
  <c r="AC60" i="2"/>
  <c r="AP134" i="2"/>
  <c r="AP63" i="2"/>
  <c r="AP61" i="2"/>
  <c r="T54" i="2"/>
  <c r="T68" i="2" s="1"/>
  <c r="Z57" i="2"/>
  <c r="T60" i="2"/>
  <c r="T57" i="2"/>
  <c r="AR57" i="2"/>
  <c r="AR54" i="2"/>
  <c r="AR68" i="2" s="1"/>
  <c r="AR60" i="2"/>
  <c r="AL136" i="2"/>
  <c r="BE60" i="2"/>
  <c r="BE54" i="2"/>
  <c r="AO60" i="2"/>
  <c r="AO54" i="2"/>
  <c r="Y54" i="2"/>
  <c r="Y60" i="2"/>
  <c r="BJ20" i="2"/>
  <c r="BJ23" i="2"/>
  <c r="BJ26" i="2"/>
  <c r="AX57" i="2"/>
  <c r="BM129" i="2"/>
  <c r="BM86" i="2"/>
  <c r="BM88" i="2" s="1"/>
  <c r="BH132" i="2"/>
  <c r="BH54" i="2"/>
  <c r="BH60" i="2"/>
  <c r="AF54" i="2"/>
  <c r="AF57" i="2"/>
  <c r="AF132" i="2"/>
  <c r="AF140" i="2" s="1"/>
  <c r="AF60" i="2"/>
  <c r="AS60" i="2"/>
  <c r="AS54" i="2"/>
  <c r="T132" i="2"/>
  <c r="AI88" i="2"/>
  <c r="AI134" i="2" s="1"/>
  <c r="AI132" i="2"/>
  <c r="AF28" i="2"/>
  <c r="AF24" i="2"/>
  <c r="AF29" i="2"/>
  <c r="AF27" i="2"/>
  <c r="AX63" i="2"/>
  <c r="AX134" i="2"/>
  <c r="AX141" i="2" s="1"/>
  <c r="J15" i="3" s="1"/>
  <c r="BA60" i="2"/>
  <c r="BA54" i="2"/>
  <c r="AK54" i="2"/>
  <c r="AK60" i="2"/>
  <c r="U54" i="2"/>
  <c r="U60" i="2"/>
  <c r="BN61" i="2"/>
  <c r="BN63" i="2"/>
  <c r="AT63" i="2"/>
  <c r="AT61" i="2"/>
  <c r="AH63" i="2"/>
  <c r="AH134" i="2"/>
  <c r="AZ132" i="2"/>
  <c r="AZ60" i="2"/>
  <c r="AZ54" i="2"/>
  <c r="T28" i="2"/>
  <c r="T24" i="2"/>
  <c r="T27" i="2"/>
  <c r="T29" i="2"/>
  <c r="AT134" i="2"/>
  <c r="BL54" i="2"/>
  <c r="BL132" i="2"/>
  <c r="BL60" i="2"/>
  <c r="BD60" i="2"/>
  <c r="BD54" i="2"/>
  <c r="BD68" i="2" s="1"/>
  <c r="AV134" i="2"/>
  <c r="AV63" i="2"/>
  <c r="AV61" i="2"/>
  <c r="AN132" i="2"/>
  <c r="AN60" i="2"/>
  <c r="AN54" i="2"/>
  <c r="Z28" i="2"/>
  <c r="AI129" i="2"/>
  <c r="BI132" i="2"/>
  <c r="AR20" i="2"/>
  <c r="AR35" i="2" s="1"/>
  <c r="AR23" i="2"/>
  <c r="AR132" i="2"/>
  <c r="AR140" i="2" s="1"/>
  <c r="AX23" i="2"/>
  <c r="AR26" i="2"/>
  <c r="BM60" i="2"/>
  <c r="BM54" i="2"/>
  <c r="AW60" i="2"/>
  <c r="AW54" i="2"/>
  <c r="AG54" i="2"/>
  <c r="AG60" i="2"/>
  <c r="AJ132" i="2"/>
  <c r="AJ60" i="2"/>
  <c r="AJ54" i="2"/>
  <c r="BJ61" i="2"/>
  <c r="BJ63" i="2"/>
  <c r="BP58" i="2"/>
  <c r="AX140" i="2"/>
  <c r="AL61" i="2"/>
  <c r="AL63" i="2"/>
  <c r="BY54" i="2"/>
  <c r="BP62" i="2"/>
  <c r="BJ94" i="2"/>
  <c r="BJ132" i="2"/>
  <c r="BJ91" i="2"/>
  <c r="AR91" i="2"/>
  <c r="AL94" i="2"/>
  <c r="AL132" i="2"/>
  <c r="BY132" i="2" s="1"/>
  <c r="AX195" i="2"/>
  <c r="AX196" i="2" s="1"/>
  <c r="J8" i="3" s="1"/>
  <c r="AF198" i="2"/>
  <c r="AF201" i="2"/>
  <c r="AL198" i="2"/>
  <c r="Z198" i="2"/>
  <c r="Z201" i="2"/>
  <c r="BD195" i="2"/>
  <c r="BD196" i="2" s="1"/>
  <c r="K8" i="3" s="1"/>
  <c r="BP136" i="2"/>
  <c r="BP139" i="2"/>
  <c r="M14" i="3" s="1"/>
  <c r="BP143" i="2"/>
  <c r="M20" i="3" s="1"/>
  <c r="BY129" i="2"/>
  <c r="BT346" i="6" l="1"/>
  <c r="CE169" i="6"/>
  <c r="CE137" i="6"/>
  <c r="CE370" i="6" s="1"/>
  <c r="CE164" i="6"/>
  <c r="CE136" i="6"/>
  <c r="CE153" i="6"/>
  <c r="CF153" i="6"/>
  <c r="CF137" i="6"/>
  <c r="CF370" i="6" s="1"/>
  <c r="CF169" i="6"/>
  <c r="CF136" i="6"/>
  <c r="CF164" i="6"/>
  <c r="CE327" i="6"/>
  <c r="CE335" i="6" s="1"/>
  <c r="CE336" i="6" s="1"/>
  <c r="CE154" i="6"/>
  <c r="CE155" i="6" s="1"/>
  <c r="CF327" i="6"/>
  <c r="CF335" i="6" s="1"/>
  <c r="CF336" i="6" s="1"/>
  <c r="CF154" i="6"/>
  <c r="BJ368" i="6"/>
  <c r="BY368" i="6"/>
  <c r="BE169" i="6"/>
  <c r="BE153" i="6"/>
  <c r="BE155" i="6" s="1"/>
  <c r="BE156" i="6" s="1"/>
  <c r="CM148" i="6"/>
  <c r="CL154" i="6"/>
  <c r="C19" i="9"/>
  <c r="BJ328" i="6"/>
  <c r="BJ332" i="6" s="1"/>
  <c r="I18" i="9" s="1"/>
  <c r="BE328" i="6"/>
  <c r="CD328" i="6"/>
  <c r="CD332" i="6" s="1"/>
  <c r="C36" i="7"/>
  <c r="C17" i="7"/>
  <c r="BT328" i="6"/>
  <c r="BT332" i="6" s="1"/>
  <c r="K18" i="9" s="1"/>
  <c r="CD168" i="6"/>
  <c r="CD170" i="6"/>
  <c r="CD340" i="6"/>
  <c r="CD346" i="6" s="1"/>
  <c r="BJ168" i="6"/>
  <c r="BS206" i="6"/>
  <c r="BS207" i="6" s="1"/>
  <c r="BS226" i="6" s="1"/>
  <c r="BS230" i="6" s="1"/>
  <c r="BS237" i="6" s="1"/>
  <c r="BS263" i="6" s="1"/>
  <c r="BR226" i="6"/>
  <c r="BR230" i="6" s="1"/>
  <c r="BR237" i="6" s="1"/>
  <c r="BR263" i="6" s="1"/>
  <c r="BO170" i="6"/>
  <c r="BJ170" i="6"/>
  <c r="BE335" i="6"/>
  <c r="BJ340" i="6"/>
  <c r="BJ346" i="6" s="1"/>
  <c r="I19" i="9" s="1"/>
  <c r="BE175" i="6"/>
  <c r="BE186" i="6" s="1"/>
  <c r="BE210" i="6" s="1"/>
  <c r="CD263" i="6"/>
  <c r="AU327" i="6"/>
  <c r="AU328" i="6" s="1"/>
  <c r="AU332" i="6" s="1"/>
  <c r="F18" i="9" s="1"/>
  <c r="BO263" i="6"/>
  <c r="BO346" i="6"/>
  <c r="J19" i="9" s="1"/>
  <c r="AP335" i="6"/>
  <c r="AP336" i="6" s="1"/>
  <c r="AK327" i="6"/>
  <c r="AK328" i="6" s="1"/>
  <c r="AK332" i="6" s="1"/>
  <c r="Q335" i="6"/>
  <c r="Q336" i="6" s="1"/>
  <c r="L335" i="6"/>
  <c r="L336" i="6" s="1"/>
  <c r="BO332" i="6"/>
  <c r="J18" i="9" s="1"/>
  <c r="G335" i="6"/>
  <c r="G336" i="6" s="1"/>
  <c r="BE164" i="6"/>
  <c r="BJ164" i="6"/>
  <c r="BE137" i="6"/>
  <c r="BE370" i="6" s="1"/>
  <c r="BE136" i="6"/>
  <c r="AK340" i="6"/>
  <c r="AK346" i="6" s="1"/>
  <c r="D19" i="9" s="1"/>
  <c r="BO371" i="6"/>
  <c r="BO349" i="6"/>
  <c r="BO351" i="6" s="1"/>
  <c r="BT354" i="6"/>
  <c r="BT356" i="6" s="1"/>
  <c r="BT363" i="6"/>
  <c r="BT364" i="6" s="1"/>
  <c r="BT334" i="6"/>
  <c r="BT336" i="6" s="1"/>
  <c r="BY371" i="6"/>
  <c r="BY349" i="6"/>
  <c r="BY351" i="6" s="1"/>
  <c r="BO354" i="6"/>
  <c r="BO356" i="6" s="1"/>
  <c r="BO363" i="6"/>
  <c r="BO364" i="6" s="1"/>
  <c r="BO369" i="6" s="1"/>
  <c r="BO334" i="6"/>
  <c r="BO336" i="6" s="1"/>
  <c r="BJ349" i="6"/>
  <c r="BJ351" i="6" s="1"/>
  <c r="CD349" i="6"/>
  <c r="CD351" i="6" s="1"/>
  <c r="CM241" i="6"/>
  <c r="CL296" i="6"/>
  <c r="BT371" i="6"/>
  <c r="BT349" i="6"/>
  <c r="BT351" i="6" s="1"/>
  <c r="AZ349" i="6"/>
  <c r="AZ351" i="6" s="1"/>
  <c r="AU340" i="6"/>
  <c r="AU346" i="6" s="1"/>
  <c r="F19" i="9" s="1"/>
  <c r="CD354" i="6"/>
  <c r="CD356" i="6" s="1"/>
  <c r="CD363" i="6"/>
  <c r="CD364" i="6" s="1"/>
  <c r="CD334" i="6"/>
  <c r="CD336" i="6" s="1"/>
  <c r="K19" i="9"/>
  <c r="CB206" i="6"/>
  <c r="CB207" i="6" s="1"/>
  <c r="CA226" i="6"/>
  <c r="CA230" i="6" s="1"/>
  <c r="CA237" i="6" s="1"/>
  <c r="CA263" i="6" s="1"/>
  <c r="CL312" i="6"/>
  <c r="CM255" i="6"/>
  <c r="CM312" i="6" s="1"/>
  <c r="L164" i="6"/>
  <c r="V164" i="6"/>
  <c r="BT263" i="6"/>
  <c r="L169" i="6"/>
  <c r="BJ209" i="2"/>
  <c r="BJ219" i="2" s="1"/>
  <c r="BJ243" i="2" s="1"/>
  <c r="BJ246" i="2" s="1"/>
  <c r="BP209" i="2"/>
  <c r="C35" i="5" s="1"/>
  <c r="BP202" i="2"/>
  <c r="BJ153" i="2"/>
  <c r="BJ351" i="2" s="1"/>
  <c r="BP153" i="2"/>
  <c r="M13" i="3" s="1"/>
  <c r="BP392" i="2"/>
  <c r="BR216" i="2"/>
  <c r="CJ139" i="6"/>
  <c r="CK219" i="6"/>
  <c r="Q164" i="6"/>
  <c r="Q169" i="6"/>
  <c r="BE205" i="6"/>
  <c r="BE207" i="6" s="1"/>
  <c r="T202" i="2"/>
  <c r="CM295" i="6"/>
  <c r="T392" i="2"/>
  <c r="AL28" i="2"/>
  <c r="AF202" i="2"/>
  <c r="BS12" i="2"/>
  <c r="BS11" i="2" s="1"/>
  <c r="Z209" i="2"/>
  <c r="Z219" i="2" s="1"/>
  <c r="Z243" i="2" s="1"/>
  <c r="Z396" i="2" s="1"/>
  <c r="AF209" i="2"/>
  <c r="AF219" i="2" s="1"/>
  <c r="AF237" i="2" s="1"/>
  <c r="BY164" i="6"/>
  <c r="BT81" i="2"/>
  <c r="BS87" i="2"/>
  <c r="BS82" i="2"/>
  <c r="BS85" i="2"/>
  <c r="BS83" i="2"/>
  <c r="BS84" i="2"/>
  <c r="J13" i="5"/>
  <c r="BT372" i="6"/>
  <c r="BT17" i="2"/>
  <c r="BT19" i="2"/>
  <c r="BT16" i="2"/>
  <c r="BT15" i="2"/>
  <c r="BT14" i="2"/>
  <c r="Z153" i="2"/>
  <c r="Z351" i="2" s="1"/>
  <c r="AF199" i="2"/>
  <c r="AL134" i="2"/>
  <c r="AL143" i="2" s="1"/>
  <c r="H20" i="3" s="1"/>
  <c r="AL202" i="2"/>
  <c r="T209" i="2"/>
  <c r="T219" i="2" s="1"/>
  <c r="T237" i="2" s="1"/>
  <c r="BS16" i="2"/>
  <c r="BS17" i="2"/>
  <c r="BS14" i="2"/>
  <c r="BS15" i="2"/>
  <c r="BS19" i="2"/>
  <c r="C75" i="4"/>
  <c r="C76" i="4" s="1"/>
  <c r="Z199" i="2"/>
  <c r="Z202" i="2"/>
  <c r="BS49" i="2"/>
  <c r="BS51" i="2"/>
  <c r="BS50" i="2"/>
  <c r="BS48" i="2"/>
  <c r="BS53" i="2"/>
  <c r="T153" i="2"/>
  <c r="T351" i="2" s="1"/>
  <c r="Z392" i="2"/>
  <c r="CD164" i="6"/>
  <c r="AL199" i="2"/>
  <c r="BD392" i="2"/>
  <c r="BD380" i="2"/>
  <c r="BD381" i="2" s="1"/>
  <c r="AF153" i="2"/>
  <c r="AF157" i="2" s="1"/>
  <c r="L13" i="5"/>
  <c r="BP157" i="2"/>
  <c r="BP352" i="2" s="1"/>
  <c r="AL209" i="2"/>
  <c r="AL219" i="2" s="1"/>
  <c r="AL380" i="2"/>
  <c r="AL381" i="2" s="1"/>
  <c r="BP199" i="2"/>
  <c r="BY151" i="2"/>
  <c r="AL153" i="2"/>
  <c r="AL186" i="2" s="1"/>
  <c r="AL188" i="2" s="1"/>
  <c r="N209" i="2"/>
  <c r="N219" i="2" s="1"/>
  <c r="N242" i="2" s="1"/>
  <c r="N380" i="2"/>
  <c r="N381" i="2" s="1"/>
  <c r="BJ202" i="2"/>
  <c r="H392" i="2"/>
  <c r="H380" i="2"/>
  <c r="H381" i="2" s="1"/>
  <c r="AX151" i="2"/>
  <c r="AX202" i="2" s="1"/>
  <c r="J12" i="3"/>
  <c r="BJ392" i="2"/>
  <c r="AF392" i="2"/>
  <c r="K13" i="5"/>
  <c r="E9" i="5"/>
  <c r="E10" i="5" s="1"/>
  <c r="BQ169" i="2"/>
  <c r="BU266" i="2"/>
  <c r="BU345" i="2" s="1"/>
  <c r="BT345" i="2"/>
  <c r="E22" i="4"/>
  <c r="BR276" i="2"/>
  <c r="BR303" i="2"/>
  <c r="BR302" i="2"/>
  <c r="BR304" i="2"/>
  <c r="BR269" i="2"/>
  <c r="BP97" i="2"/>
  <c r="BY97" i="2" s="1"/>
  <c r="BR156" i="2"/>
  <c r="BS228" i="2"/>
  <c r="BS338" i="2"/>
  <c r="BT217" i="2"/>
  <c r="BS217" i="2"/>
  <c r="BY20" i="2"/>
  <c r="BS216" i="2"/>
  <c r="AX198" i="2"/>
  <c r="AX153" i="2"/>
  <c r="AX184" i="2" s="1"/>
  <c r="BQ167" i="2"/>
  <c r="BS127" i="2"/>
  <c r="BS146" i="2" s="1"/>
  <c r="BR125" i="2"/>
  <c r="BS80" i="2"/>
  <c r="BS79" i="2" s="1"/>
  <c r="BR195" i="2"/>
  <c r="BR196" i="2" s="1"/>
  <c r="BR256" i="2"/>
  <c r="BT259" i="2"/>
  <c r="BU259" i="2" s="1"/>
  <c r="BQ128" i="2"/>
  <c r="BQ147" i="2" s="1"/>
  <c r="BT298" i="2"/>
  <c r="BT291" i="2"/>
  <c r="BQ125" i="2"/>
  <c r="BQ135" i="2" s="1"/>
  <c r="AX201" i="2"/>
  <c r="BY201" i="2" s="1"/>
  <c r="BD198" i="2"/>
  <c r="BS296" i="2"/>
  <c r="N392" i="2"/>
  <c r="AR392" i="2"/>
  <c r="BQ131" i="2"/>
  <c r="BQ150" i="2" s="1"/>
  <c r="BR220" i="2"/>
  <c r="BR344" i="2" s="1"/>
  <c r="BR221" i="2"/>
  <c r="BR343" i="2" s="1"/>
  <c r="BP102" i="2"/>
  <c r="BP27" i="2"/>
  <c r="AX250" i="2"/>
  <c r="BQ225" i="2"/>
  <c r="BZ93" i="2"/>
  <c r="BR273" i="2"/>
  <c r="BR274" i="2"/>
  <c r="BP91" i="2"/>
  <c r="BP92" i="2"/>
  <c r="BY86" i="2"/>
  <c r="BY88" i="2"/>
  <c r="BQ133" i="2"/>
  <c r="BQ152" i="2" s="1"/>
  <c r="BR126" i="2"/>
  <c r="BZ20" i="2"/>
  <c r="BP96" i="2"/>
  <c r="BZ88" i="2"/>
  <c r="T134" i="2"/>
  <c r="T141" i="2" s="1"/>
  <c r="AR199" i="2"/>
  <c r="AR153" i="2"/>
  <c r="BP94" i="2"/>
  <c r="BZ86" i="2"/>
  <c r="H202" i="2"/>
  <c r="H209" i="2"/>
  <c r="H219" i="2" s="1"/>
  <c r="BQ56" i="2"/>
  <c r="BD209" i="2"/>
  <c r="BD219" i="2" s="1"/>
  <c r="BQ90" i="2"/>
  <c r="BQ86" i="2"/>
  <c r="BQ88" i="2" s="1"/>
  <c r="BQ97" i="2" s="1"/>
  <c r="AL35" i="2"/>
  <c r="AL29" i="2"/>
  <c r="AL27" i="2"/>
  <c r="BU13" i="2"/>
  <c r="BT12" i="2"/>
  <c r="BT11" i="2" s="1"/>
  <c r="BT47" i="2"/>
  <c r="BS46" i="2"/>
  <c r="BS45" i="2" s="1"/>
  <c r="AR202" i="2"/>
  <c r="AR209" i="2"/>
  <c r="AR219" i="2" s="1"/>
  <c r="BZ151" i="2"/>
  <c r="BZ95" i="2"/>
  <c r="BP29" i="2"/>
  <c r="Z242" i="2"/>
  <c r="Z237" i="2"/>
  <c r="BD29" i="2"/>
  <c r="BJ199" i="2"/>
  <c r="BD27" i="2"/>
  <c r="BD24" i="2"/>
  <c r="AX62" i="2"/>
  <c r="AR58" i="2"/>
  <c r="BD28" i="2"/>
  <c r="H153" i="2"/>
  <c r="BP24" i="2"/>
  <c r="BJ35" i="2"/>
  <c r="AF134" i="2"/>
  <c r="AF142" i="2" s="1"/>
  <c r="G21" i="3" s="1"/>
  <c r="AF68" i="2"/>
  <c r="Z143" i="2"/>
  <c r="F20" i="3" s="1"/>
  <c r="BY196" i="2"/>
  <c r="N153" i="2"/>
  <c r="N202" i="2"/>
  <c r="N199" i="2"/>
  <c r="T199" i="2"/>
  <c r="BD202" i="2"/>
  <c r="BD153" i="2"/>
  <c r="AL62" i="2"/>
  <c r="BM132" i="2"/>
  <c r="AL203" i="2"/>
  <c r="AL58" i="2"/>
  <c r="BD137" i="2"/>
  <c r="BY139" i="2"/>
  <c r="BD61" i="2"/>
  <c r="BD62" i="2"/>
  <c r="BD63" i="2"/>
  <c r="BD58" i="2"/>
  <c r="BD134" i="2"/>
  <c r="BZ196" i="2"/>
  <c r="BZ139" i="2"/>
  <c r="AZ134" i="2"/>
  <c r="AZ63" i="2"/>
  <c r="AZ61" i="2"/>
  <c r="AK61" i="2"/>
  <c r="AK63" i="2"/>
  <c r="AK134" i="2"/>
  <c r="T137" i="2"/>
  <c r="T140" i="2"/>
  <c r="BE63" i="2"/>
  <c r="BE134" i="2"/>
  <c r="BE61" i="2"/>
  <c r="Z137" i="2"/>
  <c r="T61" i="2"/>
  <c r="Z62" i="2"/>
  <c r="T63" i="2"/>
  <c r="Z58" i="2"/>
  <c r="T58" i="2"/>
  <c r="T62" i="2"/>
  <c r="AR28" i="2"/>
  <c r="AR24" i="2"/>
  <c r="AR29" i="2"/>
  <c r="AR27" i="2"/>
  <c r="AX24" i="2"/>
  <c r="AR134" i="2"/>
  <c r="AX138" i="2" s="1"/>
  <c r="AX28" i="2"/>
  <c r="BJ24" i="2"/>
  <c r="BJ28" i="2"/>
  <c r="BJ29" i="2"/>
  <c r="BJ27" i="2"/>
  <c r="BI63" i="2"/>
  <c r="BI61" i="2"/>
  <c r="BI134" i="2"/>
  <c r="BJ134" i="2"/>
  <c r="BP142" i="2" s="1"/>
  <c r="M21" i="3" s="1"/>
  <c r="AF137" i="2"/>
  <c r="AJ63" i="2"/>
  <c r="AJ61" i="2"/>
  <c r="AJ134" i="2"/>
  <c r="AG134" i="2"/>
  <c r="AG61" i="2"/>
  <c r="AG63" i="2"/>
  <c r="BM61" i="2"/>
  <c r="BM63" i="2"/>
  <c r="BM134" i="2"/>
  <c r="AX137" i="2"/>
  <c r="AN63" i="2"/>
  <c r="AN61" i="2"/>
  <c r="AN134" i="2"/>
  <c r="BP28" i="2"/>
  <c r="BA63" i="2"/>
  <c r="BA134" i="2"/>
  <c r="BA61" i="2"/>
  <c r="AS134" i="2"/>
  <c r="AS61" i="2"/>
  <c r="AS63" i="2"/>
  <c r="AF61" i="2"/>
  <c r="AF63" i="2"/>
  <c r="AF62" i="2"/>
  <c r="AF58" i="2"/>
  <c r="Y63" i="2"/>
  <c r="Y61" i="2"/>
  <c r="BL134" i="2"/>
  <c r="BL61" i="2"/>
  <c r="BL63" i="2"/>
  <c r="BH61" i="2"/>
  <c r="BH63" i="2"/>
  <c r="BH134" i="2"/>
  <c r="BJ62" i="2"/>
  <c r="BJ58" i="2"/>
  <c r="AX143" i="2"/>
  <c r="J20" i="3" s="1"/>
  <c r="AW63" i="2"/>
  <c r="AW61" i="2"/>
  <c r="AW134" i="2"/>
  <c r="U63" i="2"/>
  <c r="U61" i="2"/>
  <c r="AO63" i="2"/>
  <c r="AO61" i="2"/>
  <c r="AO134" i="2"/>
  <c r="AR61" i="2"/>
  <c r="AR63" i="2"/>
  <c r="BY63" i="2" s="1"/>
  <c r="AR62" i="2"/>
  <c r="AC63" i="2"/>
  <c r="AC61" i="2"/>
  <c r="AX58" i="2"/>
  <c r="BJ137" i="2"/>
  <c r="BP137" i="2"/>
  <c r="BJ140" i="2"/>
  <c r="AL137" i="2"/>
  <c r="AL140" i="2"/>
  <c r="AR137" i="2"/>
  <c r="BP186" i="2"/>
  <c r="BP188" i="2" s="1"/>
  <c r="C15" i="5" s="1"/>
  <c r="C17" i="5" s="1"/>
  <c r="BP203" i="2"/>
  <c r="CE328" i="6" l="1"/>
  <c r="CE332" i="6" s="1"/>
  <c r="CF155" i="6"/>
  <c r="CF328" i="6"/>
  <c r="CF332" i="6" s="1"/>
  <c r="CE156" i="6"/>
  <c r="CE349" i="6"/>
  <c r="CE351" i="6" s="1"/>
  <c r="BE159" i="6"/>
  <c r="BE157" i="6"/>
  <c r="BJ157" i="6"/>
  <c r="CM154" i="6"/>
  <c r="C39" i="7"/>
  <c r="CJ361" i="6"/>
  <c r="CJ362" i="6" s="1"/>
  <c r="E21" i="7"/>
  <c r="K32" i="7"/>
  <c r="L32" i="7"/>
  <c r="J32" i="7"/>
  <c r="C41" i="7"/>
  <c r="M18" i="9"/>
  <c r="C23" i="7"/>
  <c r="D18" i="9"/>
  <c r="C42" i="7"/>
  <c r="M19" i="9"/>
  <c r="BJ371" i="6"/>
  <c r="AK335" i="6"/>
  <c r="AK336" i="6" s="1"/>
  <c r="AU335" i="6"/>
  <c r="AU336" i="6" s="1"/>
  <c r="BO367" i="6"/>
  <c r="BO368" i="6"/>
  <c r="CD371" i="6"/>
  <c r="AP349" i="6"/>
  <c r="AP351" i="6" s="1"/>
  <c r="CM296" i="6"/>
  <c r="AF349" i="6"/>
  <c r="AF351" i="6" s="1"/>
  <c r="BE349" i="6"/>
  <c r="BE351" i="6" s="1"/>
  <c r="BE226" i="6"/>
  <c r="BE320" i="6"/>
  <c r="CD368" i="6"/>
  <c r="CD369" i="6"/>
  <c r="CD367" i="6"/>
  <c r="CC206" i="6"/>
  <c r="CC207" i="6" s="1"/>
  <c r="CC226" i="6" s="1"/>
  <c r="CC230" i="6" s="1"/>
  <c r="CC237" i="6" s="1"/>
  <c r="CC263" i="6" s="1"/>
  <c r="CB226" i="6"/>
  <c r="CB230" i="6" s="1"/>
  <c r="CB237" i="6" s="1"/>
  <c r="CB263" i="6" s="1"/>
  <c r="BE372" i="6"/>
  <c r="BJ211" i="6"/>
  <c r="CI271" i="6"/>
  <c r="BT367" i="6"/>
  <c r="BT369" i="6"/>
  <c r="BT368" i="6"/>
  <c r="BP393" i="2"/>
  <c r="BY153" i="2"/>
  <c r="AL184" i="2"/>
  <c r="BP159" i="2"/>
  <c r="BJ237" i="2"/>
  <c r="BJ396" i="2"/>
  <c r="BP219" i="2"/>
  <c r="BP243" i="2" s="1"/>
  <c r="BP245" i="2" s="1"/>
  <c r="BP351" i="2"/>
  <c r="BP353" i="2" s="1"/>
  <c r="BP357" i="2" s="1"/>
  <c r="BP205" i="2"/>
  <c r="BP363" i="2"/>
  <c r="BP364" i="2" s="1"/>
  <c r="BP371" i="2" s="1"/>
  <c r="BP184" i="2"/>
  <c r="BJ184" i="2"/>
  <c r="BP160" i="2"/>
  <c r="BJ245" i="2"/>
  <c r="BJ242" i="2"/>
  <c r="AL141" i="2"/>
  <c r="H15" i="3" s="1"/>
  <c r="E13" i="3"/>
  <c r="BY134" i="2"/>
  <c r="T157" i="2"/>
  <c r="T352" i="2" s="1"/>
  <c r="BJ186" i="2"/>
  <c r="BJ188" i="2" s="1"/>
  <c r="L13" i="3"/>
  <c r="T142" i="2"/>
  <c r="E21" i="3" s="1"/>
  <c r="BJ205" i="2"/>
  <c r="BJ157" i="2"/>
  <c r="BJ352" i="2" s="1"/>
  <c r="BJ393" i="2"/>
  <c r="BJ363" i="2"/>
  <c r="BJ364" i="2" s="1"/>
  <c r="BJ371" i="2" s="1"/>
  <c r="L19" i="3" s="1"/>
  <c r="BP204" i="2"/>
  <c r="BP200" i="2"/>
  <c r="BJ203" i="2"/>
  <c r="CJ138" i="6"/>
  <c r="CK220" i="6"/>
  <c r="CK221" i="6"/>
  <c r="BE211" i="6"/>
  <c r="BE212" i="6"/>
  <c r="BE213" i="6"/>
  <c r="AL205" i="2"/>
  <c r="BJ365" i="2"/>
  <c r="T186" i="2"/>
  <c r="T188" i="2" s="1"/>
  <c r="T205" i="2"/>
  <c r="AL393" i="2"/>
  <c r="AF243" i="2"/>
  <c r="AF396" i="2" s="1"/>
  <c r="BP237" i="2"/>
  <c r="AX392" i="2"/>
  <c r="AX205" i="2"/>
  <c r="N243" i="2"/>
  <c r="N396" i="2" s="1"/>
  <c r="AF242" i="2"/>
  <c r="BD199" i="2"/>
  <c r="N237" i="2"/>
  <c r="N240" i="2" s="1"/>
  <c r="T238" i="2" s="1"/>
  <c r="T240" i="2" s="1"/>
  <c r="Z238" i="2" s="1"/>
  <c r="Z240" i="2" s="1"/>
  <c r="AF238" i="2" s="1"/>
  <c r="AF240" i="2" s="1"/>
  <c r="AL238" i="2" s="1"/>
  <c r="Z205" i="2"/>
  <c r="T363" i="2"/>
  <c r="T364" i="2" s="1"/>
  <c r="T371" i="2" s="1"/>
  <c r="E19" i="3" s="1"/>
  <c r="AX199" i="2"/>
  <c r="T184" i="2"/>
  <c r="T203" i="2"/>
  <c r="T393" i="2"/>
  <c r="Z157" i="2"/>
  <c r="Z352" i="2" s="1"/>
  <c r="BT127" i="2"/>
  <c r="BT146" i="2" s="1"/>
  <c r="BT303" i="2" s="1"/>
  <c r="BT50" i="2"/>
  <c r="BT53" i="2"/>
  <c r="BT51" i="2"/>
  <c r="BT49" i="2"/>
  <c r="BT48" i="2"/>
  <c r="Z184" i="2"/>
  <c r="BT83" i="2"/>
  <c r="BT87" i="2"/>
  <c r="BT85" i="2"/>
  <c r="BT84" i="2"/>
  <c r="BT82" i="2"/>
  <c r="T242" i="2"/>
  <c r="BT80" i="2"/>
  <c r="BT79" i="2" s="1"/>
  <c r="Z200" i="2"/>
  <c r="AF393" i="2"/>
  <c r="Z393" i="2"/>
  <c r="F13" i="3"/>
  <c r="BS18" i="2"/>
  <c r="BS20" i="2" s="1"/>
  <c r="BS29" i="2" s="1"/>
  <c r="T243" i="2"/>
  <c r="T396" i="2" s="1"/>
  <c r="BX13" i="2"/>
  <c r="BU19" i="2"/>
  <c r="BU14" i="2"/>
  <c r="BU17" i="2"/>
  <c r="BU16" i="2"/>
  <c r="BU15" i="2"/>
  <c r="Z203" i="2"/>
  <c r="Z363" i="2"/>
  <c r="Z364" i="2" s="1"/>
  <c r="BP365" i="2"/>
  <c r="BP242" i="2"/>
  <c r="AF203" i="2"/>
  <c r="Z186" i="2"/>
  <c r="Z188" i="2" s="1"/>
  <c r="BU81" i="2"/>
  <c r="Z204" i="2"/>
  <c r="AF200" i="2"/>
  <c r="AF184" i="2"/>
  <c r="AF186" i="2"/>
  <c r="AF188" i="2" s="1"/>
  <c r="C82" i="4"/>
  <c r="C31" i="5"/>
  <c r="AF160" i="2"/>
  <c r="AF352" i="2"/>
  <c r="C36" i="5"/>
  <c r="C39" i="5"/>
  <c r="M19" i="3"/>
  <c r="C42" i="5"/>
  <c r="N393" i="2"/>
  <c r="D13" i="3"/>
  <c r="N351" i="2"/>
  <c r="N363" i="2"/>
  <c r="N364" i="2" s="1"/>
  <c r="N371" i="2" s="1"/>
  <c r="D19" i="3" s="1"/>
  <c r="C13" i="3"/>
  <c r="H351" i="2"/>
  <c r="H363" i="2"/>
  <c r="H364" i="2" s="1"/>
  <c r="H371" i="2" s="1"/>
  <c r="T365" i="2"/>
  <c r="T358" i="2"/>
  <c r="T361" i="2" s="1"/>
  <c r="T353" i="2"/>
  <c r="T357" i="2" s="1"/>
  <c r="E18" i="3" s="1"/>
  <c r="BP358" i="2"/>
  <c r="BP361" i="2" s="1"/>
  <c r="K36" i="5"/>
  <c r="L36" i="5"/>
  <c r="J36" i="5"/>
  <c r="AL200" i="2"/>
  <c r="AL204" i="2"/>
  <c r="BY219" i="2"/>
  <c r="AF204" i="2"/>
  <c r="AX203" i="2"/>
  <c r="AX351" i="2"/>
  <c r="J13" i="3"/>
  <c r="AX363" i="2"/>
  <c r="AX364" i="2" s="1"/>
  <c r="AX371" i="2" s="1"/>
  <c r="J19" i="3" s="1"/>
  <c r="I13" i="3"/>
  <c r="AR351" i="2"/>
  <c r="AR363" i="2"/>
  <c r="AR364" i="2" s="1"/>
  <c r="AR371" i="2" s="1"/>
  <c r="I19" i="3" s="1"/>
  <c r="AF351" i="2"/>
  <c r="AF363" i="2"/>
  <c r="AF364" i="2" s="1"/>
  <c r="G13" i="3"/>
  <c r="BD351" i="2"/>
  <c r="BD363" i="2"/>
  <c r="BD364" i="2" s="1"/>
  <c r="BD371" i="2" s="1"/>
  <c r="K19" i="3" s="1"/>
  <c r="K13" i="3"/>
  <c r="AF205" i="2"/>
  <c r="E15" i="3"/>
  <c r="AX209" i="2"/>
  <c r="AX219" i="2" s="1"/>
  <c r="AX380" i="2"/>
  <c r="AX381" i="2" s="1"/>
  <c r="AL157" i="2"/>
  <c r="AL351" i="2"/>
  <c r="AL363" i="2"/>
  <c r="AL364" i="2" s="1"/>
  <c r="H13" i="3"/>
  <c r="Z353" i="2"/>
  <c r="Z357" i="2" s="1"/>
  <c r="F18" i="3" s="1"/>
  <c r="Z358" i="2"/>
  <c r="Z361" i="2" s="1"/>
  <c r="AL243" i="2"/>
  <c r="BY243" i="2" s="1"/>
  <c r="AL242" i="2"/>
  <c r="AL237" i="2"/>
  <c r="BJ358" i="2"/>
  <c r="BJ361" i="2" s="1"/>
  <c r="BJ353" i="2"/>
  <c r="BJ357" i="2" s="1"/>
  <c r="L18" i="3" s="1"/>
  <c r="F9" i="5"/>
  <c r="F10" i="5" s="1"/>
  <c r="D21" i="5"/>
  <c r="BQ385" i="2"/>
  <c r="BQ386" i="2" s="1"/>
  <c r="D21" i="4"/>
  <c r="BQ342" i="2"/>
  <c r="F22" i="4"/>
  <c r="BS304" i="2"/>
  <c r="BS269" i="2"/>
  <c r="BS303" i="2"/>
  <c r="BS302" i="2"/>
  <c r="BS276" i="2"/>
  <c r="BZ97" i="2"/>
  <c r="BQ265" i="2"/>
  <c r="AX157" i="2"/>
  <c r="AX352" i="2" s="1"/>
  <c r="BQ267" i="2"/>
  <c r="BQ346" i="2" s="1"/>
  <c r="BT228" i="2"/>
  <c r="BT338" i="2"/>
  <c r="BU338" i="2"/>
  <c r="BT296" i="2"/>
  <c r="BS156" i="2"/>
  <c r="BS90" i="2"/>
  <c r="BR86" i="2"/>
  <c r="BR94" i="2" s="1"/>
  <c r="BS273" i="2"/>
  <c r="BS195" i="2"/>
  <c r="BS196" i="2" s="1"/>
  <c r="BS220" i="2"/>
  <c r="BS344" i="2" s="1"/>
  <c r="BS274" i="2"/>
  <c r="BS125" i="2"/>
  <c r="BS135" i="2" s="1"/>
  <c r="BS221" i="2"/>
  <c r="BS343" i="2" s="1"/>
  <c r="BQ275" i="2"/>
  <c r="BQ301" i="2"/>
  <c r="BQ300" i="2"/>
  <c r="BR90" i="2"/>
  <c r="AX186" i="2"/>
  <c r="AX188" i="2" s="1"/>
  <c r="AX393" i="2"/>
  <c r="AL138" i="2"/>
  <c r="BR135" i="2"/>
  <c r="BT216" i="2"/>
  <c r="BT156" i="2" s="1"/>
  <c r="BQ129" i="2"/>
  <c r="BQ136" i="2" s="1"/>
  <c r="BQ22" i="2"/>
  <c r="BQ18" i="2"/>
  <c r="BR258" i="2"/>
  <c r="BR257" i="2"/>
  <c r="Z138" i="2"/>
  <c r="BU298" i="2"/>
  <c r="BU291" i="2"/>
  <c r="BJ204" i="2"/>
  <c r="BD393" i="2"/>
  <c r="H184" i="2"/>
  <c r="H393" i="2"/>
  <c r="AR157" i="2"/>
  <c r="AR393" i="2"/>
  <c r="Z142" i="2"/>
  <c r="F21" i="3" s="1"/>
  <c r="AF159" i="2"/>
  <c r="BZ201" i="2"/>
  <c r="T143" i="2"/>
  <c r="E20" i="3" s="1"/>
  <c r="BJ159" i="2"/>
  <c r="BR129" i="2"/>
  <c r="BR148" i="2" s="1"/>
  <c r="E12" i="5" s="1"/>
  <c r="E13" i="5" s="1"/>
  <c r="BS126" i="2"/>
  <c r="AR186" i="2"/>
  <c r="AR188" i="2" s="1"/>
  <c r="BD200" i="2"/>
  <c r="AR204" i="2"/>
  <c r="AX204" i="2"/>
  <c r="AR203" i="2"/>
  <c r="AR200" i="2"/>
  <c r="BR225" i="2"/>
  <c r="AX200" i="2"/>
  <c r="AR205" i="2"/>
  <c r="AR184" i="2"/>
  <c r="BY29" i="2"/>
  <c r="T138" i="2"/>
  <c r="H205" i="2"/>
  <c r="BR128" i="2"/>
  <c r="BR147" i="2" s="1"/>
  <c r="AF141" i="2"/>
  <c r="G15" i="3" s="1"/>
  <c r="H157" i="2"/>
  <c r="H352" i="2" s="1"/>
  <c r="BQ61" i="2"/>
  <c r="BQ58" i="2"/>
  <c r="BQ62" i="2"/>
  <c r="H237" i="2"/>
  <c r="H242" i="2"/>
  <c r="H243" i="2"/>
  <c r="BZ153" i="2"/>
  <c r="H186" i="2"/>
  <c r="H188" i="2" s="1"/>
  <c r="BP246" i="2"/>
  <c r="BR22" i="2"/>
  <c r="BR18" i="2"/>
  <c r="BR20" i="2" s="1"/>
  <c r="BR29" i="2" s="1"/>
  <c r="BR52" i="2"/>
  <c r="BR54" i="2" s="1"/>
  <c r="BR63" i="2" s="1"/>
  <c r="BR56" i="2"/>
  <c r="N245" i="2"/>
  <c r="N246" i="2"/>
  <c r="BU12" i="2"/>
  <c r="BU11" i="2" s="1"/>
  <c r="BQ94" i="2"/>
  <c r="BQ91" i="2"/>
  <c r="AF245" i="2"/>
  <c r="BS22" i="2"/>
  <c r="Z245" i="2"/>
  <c r="Z246" i="2"/>
  <c r="AR243" i="2"/>
  <c r="AR396" i="2" s="1"/>
  <c r="AR242" i="2"/>
  <c r="AR237" i="2"/>
  <c r="BS128" i="2"/>
  <c r="BS147" i="2" s="1"/>
  <c r="BD242" i="2"/>
  <c r="BD237" i="2"/>
  <c r="BD243" i="2"/>
  <c r="BD396" i="2" s="1"/>
  <c r="BQ60" i="2"/>
  <c r="BQ57" i="2"/>
  <c r="BQ95" i="2"/>
  <c r="BQ96" i="2"/>
  <c r="BQ92" i="2"/>
  <c r="H203" i="2"/>
  <c r="N204" i="2"/>
  <c r="BR133" i="2"/>
  <c r="BR152" i="2" s="1"/>
  <c r="BT46" i="2"/>
  <c r="BT45" i="2" s="1"/>
  <c r="BU47" i="2"/>
  <c r="BQ130" i="2"/>
  <c r="BQ149" i="2" s="1"/>
  <c r="AF138" i="2"/>
  <c r="AF143" i="2"/>
  <c r="G20" i="3" s="1"/>
  <c r="BZ63" i="2"/>
  <c r="AL142" i="2"/>
  <c r="H21" i="3" s="1"/>
  <c r="BZ29" i="2"/>
  <c r="BJ143" i="2"/>
  <c r="L20" i="3" s="1"/>
  <c r="BJ141" i="2"/>
  <c r="L15" i="3" s="1"/>
  <c r="BD157" i="2"/>
  <c r="BD352" i="2" s="1"/>
  <c r="BD184" i="2"/>
  <c r="BD203" i="2"/>
  <c r="BD186" i="2"/>
  <c r="BD188" i="2" s="1"/>
  <c r="BJ200" i="2"/>
  <c r="BD365" i="2"/>
  <c r="BD205" i="2"/>
  <c r="BJ160" i="2"/>
  <c r="N203" i="2"/>
  <c r="N205" i="2"/>
  <c r="N186" i="2"/>
  <c r="N188" i="2" s="1"/>
  <c r="N184" i="2"/>
  <c r="T200" i="2"/>
  <c r="N157" i="2"/>
  <c r="N352" i="2" s="1"/>
  <c r="T204" i="2"/>
  <c r="N200" i="2"/>
  <c r="AR138" i="2"/>
  <c r="AR142" i="2"/>
  <c r="I21" i="3" s="1"/>
  <c r="BD204" i="2"/>
  <c r="BZ27" i="2"/>
  <c r="BJ142" i="2"/>
  <c r="L21" i="3" s="1"/>
  <c r="BP138" i="2"/>
  <c r="BJ138" i="2"/>
  <c r="BY61" i="2"/>
  <c r="BY27" i="2"/>
  <c r="BZ61" i="2"/>
  <c r="BD141" i="2"/>
  <c r="K15" i="3" s="1"/>
  <c r="BD142" i="2"/>
  <c r="K21" i="3" s="1"/>
  <c r="BD138" i="2"/>
  <c r="BD143" i="2"/>
  <c r="K20" i="3" s="1"/>
  <c r="AR143" i="2"/>
  <c r="I20" i="3" s="1"/>
  <c r="AR141" i="2"/>
  <c r="I15" i="3" s="1"/>
  <c r="AX142" i="2"/>
  <c r="J21" i="3" s="1"/>
  <c r="CE371" i="6" l="1"/>
  <c r="CE157" i="6"/>
  <c r="CE159" i="6"/>
  <c r="CF349" i="6"/>
  <c r="CF351" i="6" s="1"/>
  <c r="CF156" i="6"/>
  <c r="BE230" i="6"/>
  <c r="BE237" i="6" s="1"/>
  <c r="BE342" i="6" s="1"/>
  <c r="BE345" i="6" s="1"/>
  <c r="BE346" i="6" s="1"/>
  <c r="BE331" i="6"/>
  <c r="BE329" i="6" s="1"/>
  <c r="BE332" i="6" s="1"/>
  <c r="BE371" i="6"/>
  <c r="AU349" i="6"/>
  <c r="AU351" i="6" s="1"/>
  <c r="BE321" i="6"/>
  <c r="AK349" i="6"/>
  <c r="AK351" i="6" s="1"/>
  <c r="CJ271" i="6"/>
  <c r="BZ219" i="2"/>
  <c r="BP396" i="2"/>
  <c r="T159" i="2"/>
  <c r="T160" i="2"/>
  <c r="BP244" i="2"/>
  <c r="BZ243" i="2"/>
  <c r="AX365" i="2"/>
  <c r="CB371" i="2" s="1"/>
  <c r="AX159" i="2"/>
  <c r="CK139" i="6"/>
  <c r="CL219" i="6"/>
  <c r="T246" i="2"/>
  <c r="Z159" i="2"/>
  <c r="AF246" i="2"/>
  <c r="T245" i="2"/>
  <c r="Z160" i="2"/>
  <c r="Z244" i="2"/>
  <c r="AF244" i="2"/>
  <c r="T244" i="2"/>
  <c r="AX160" i="2"/>
  <c r="AL240" i="2"/>
  <c r="AR238" i="2" s="1"/>
  <c r="AR240" i="2" s="1"/>
  <c r="AX238" i="2" s="1"/>
  <c r="BT302" i="2"/>
  <c r="BT273" i="2"/>
  <c r="H365" i="2"/>
  <c r="BT274" i="2"/>
  <c r="G22" i="4"/>
  <c r="G9" i="5"/>
  <c r="BY372" i="6"/>
  <c r="BT269" i="2"/>
  <c r="BT195" i="2"/>
  <c r="BT196" i="2" s="1"/>
  <c r="BT221" i="2"/>
  <c r="BT343" i="2" s="1"/>
  <c r="BT276" i="2"/>
  <c r="BX81" i="2"/>
  <c r="BU84" i="2"/>
  <c r="BU83" i="2"/>
  <c r="BX83" i="2" s="1"/>
  <c r="BU87" i="2"/>
  <c r="BU85" i="2"/>
  <c r="BU82" i="2"/>
  <c r="J17" i="5"/>
  <c r="BY203" i="2"/>
  <c r="BU51" i="2"/>
  <c r="BU50" i="2"/>
  <c r="BU49" i="2"/>
  <c r="BU48" i="2"/>
  <c r="BU53" i="2"/>
  <c r="BT220" i="2"/>
  <c r="BT344" i="2" s="1"/>
  <c r="BT304" i="2"/>
  <c r="Z371" i="2"/>
  <c r="F19" i="3" s="1"/>
  <c r="Z365" i="2"/>
  <c r="CD371" i="2" s="1"/>
  <c r="BU80" i="2"/>
  <c r="BU79" i="2" s="1"/>
  <c r="CD372" i="6"/>
  <c r="BR91" i="2"/>
  <c r="BR88" i="2"/>
  <c r="BR92" i="2" s="1"/>
  <c r="BQ23" i="2"/>
  <c r="BQ20" i="2"/>
  <c r="BR24" i="2" s="1"/>
  <c r="AL396" i="2"/>
  <c r="AL245" i="2"/>
  <c r="AL246" i="2"/>
  <c r="AL371" i="2"/>
  <c r="H19" i="3" s="1"/>
  <c r="AL365" i="2"/>
  <c r="CC371" i="2" s="1"/>
  <c r="AX243" i="2"/>
  <c r="L32" i="5" s="1"/>
  <c r="AX242" i="2"/>
  <c r="AX237" i="2"/>
  <c r="BD358" i="2"/>
  <c r="BD361" i="2" s="1"/>
  <c r="BD353" i="2"/>
  <c r="BD357" i="2" s="1"/>
  <c r="K18" i="3" s="1"/>
  <c r="M18" i="3"/>
  <c r="C41" i="5"/>
  <c r="N365" i="2"/>
  <c r="AL244" i="2"/>
  <c r="AR365" i="2"/>
  <c r="AL358" i="2"/>
  <c r="AL361" i="2" s="1"/>
  <c r="AL353" i="2"/>
  <c r="AL357" i="2" s="1"/>
  <c r="H18" i="3" s="1"/>
  <c r="L17" i="5"/>
  <c r="AR358" i="2"/>
  <c r="AR361" i="2" s="1"/>
  <c r="AR353" i="2"/>
  <c r="AR357" i="2" s="1"/>
  <c r="I18" i="3" s="1"/>
  <c r="AX358" i="2"/>
  <c r="AX361" i="2" s="1"/>
  <c r="AX353" i="2"/>
  <c r="AX357" i="2" s="1"/>
  <c r="J18" i="3" s="1"/>
  <c r="C19" i="3"/>
  <c r="N358" i="2"/>
  <c r="N361" i="2" s="1"/>
  <c r="N353" i="2"/>
  <c r="N357" i="2" s="1"/>
  <c r="D18" i="3" s="1"/>
  <c r="AR159" i="2"/>
  <c r="AR352" i="2"/>
  <c r="AL352" i="2"/>
  <c r="AL159" i="2"/>
  <c r="AL160" i="2"/>
  <c r="AF371" i="2"/>
  <c r="G19" i="3" s="1"/>
  <c r="AF365" i="2"/>
  <c r="C33" i="5"/>
  <c r="C32" i="5"/>
  <c r="H358" i="2"/>
  <c r="H361" i="2" s="1"/>
  <c r="H353" i="2"/>
  <c r="H357" i="2" s="1"/>
  <c r="K17" i="5"/>
  <c r="AF358" i="2"/>
  <c r="AF361" i="2" s="1"/>
  <c r="AF353" i="2"/>
  <c r="AF357" i="2" s="1"/>
  <c r="G18" i="3" s="1"/>
  <c r="BQ347" i="2"/>
  <c r="BQ367" i="2"/>
  <c r="G10" i="5"/>
  <c r="BS86" i="2"/>
  <c r="BS88" i="2" s="1"/>
  <c r="BS97" i="2" s="1"/>
  <c r="E21" i="4"/>
  <c r="BR342" i="2"/>
  <c r="BQ148" i="2"/>
  <c r="D12" i="5" s="1"/>
  <c r="D13" i="5" s="1"/>
  <c r="BS133" i="2"/>
  <c r="BS152" i="2" s="1"/>
  <c r="BQ317" i="2"/>
  <c r="BQ318" i="2" s="1"/>
  <c r="BQ26" i="2"/>
  <c r="BR265" i="2"/>
  <c r="BR367" i="2" s="1"/>
  <c r="BR139" i="2"/>
  <c r="BS225" i="2"/>
  <c r="BR267" i="2"/>
  <c r="BU228" i="2"/>
  <c r="BU217" i="2"/>
  <c r="BU216" i="2"/>
  <c r="BY205" i="2"/>
  <c r="BQ139" i="2"/>
  <c r="BU296" i="2"/>
  <c r="BZ205" i="2"/>
  <c r="BR136" i="2"/>
  <c r="BQ132" i="2"/>
  <c r="BQ140" i="2" s="1"/>
  <c r="BR168" i="2"/>
  <c r="BR169" i="2"/>
  <c r="BR167" i="2"/>
  <c r="N244" i="2"/>
  <c r="H396" i="2"/>
  <c r="AR160" i="2"/>
  <c r="H346" i="2"/>
  <c r="BD159" i="2"/>
  <c r="BU127" i="2"/>
  <c r="BU146" i="2" s="1"/>
  <c r="BX47" i="2"/>
  <c r="BY204" i="2"/>
  <c r="BZ203" i="2"/>
  <c r="BS300" i="2"/>
  <c r="BS275" i="2"/>
  <c r="BS301" i="2"/>
  <c r="BT126" i="2"/>
  <c r="BR301" i="2"/>
  <c r="BR275" i="2"/>
  <c r="BR300" i="2"/>
  <c r="N160" i="2"/>
  <c r="N159" i="2"/>
  <c r="H160" i="2"/>
  <c r="H159" i="2"/>
  <c r="BT133" i="2"/>
  <c r="BT152" i="2" s="1"/>
  <c r="BT125" i="2"/>
  <c r="BT135" i="2" s="1"/>
  <c r="BS23" i="2"/>
  <c r="BS26" i="2"/>
  <c r="BX15" i="2"/>
  <c r="BT90" i="2"/>
  <c r="BT86" i="2"/>
  <c r="BT88" i="2" s="1"/>
  <c r="BT97" i="2" s="1"/>
  <c r="BR201" i="2"/>
  <c r="BR62" i="2"/>
  <c r="BR61" i="2"/>
  <c r="BR58" i="2"/>
  <c r="BR27" i="2"/>
  <c r="BT128" i="2"/>
  <c r="BT147" i="2" s="1"/>
  <c r="BY143" i="2"/>
  <c r="BZ204" i="2"/>
  <c r="BU46" i="2"/>
  <c r="BU45" i="2" s="1"/>
  <c r="BJ244" i="2"/>
  <c r="BD246" i="2"/>
  <c r="BD245" i="2"/>
  <c r="BR60" i="2"/>
  <c r="BR57" i="2"/>
  <c r="H245" i="2"/>
  <c r="H246" i="2"/>
  <c r="BT22" i="2"/>
  <c r="BT18" i="2"/>
  <c r="BT20" i="2" s="1"/>
  <c r="BT29" i="2" s="1"/>
  <c r="BS56" i="2"/>
  <c r="BS52" i="2"/>
  <c r="BS129" i="2"/>
  <c r="AR245" i="2"/>
  <c r="AR244" i="2"/>
  <c r="AR246" i="2"/>
  <c r="BS28" i="2"/>
  <c r="BS27" i="2"/>
  <c r="BS24" i="2"/>
  <c r="BR26" i="2"/>
  <c r="BR23" i="2"/>
  <c r="BR132" i="2"/>
  <c r="BR130" i="2"/>
  <c r="BR149" i="2" s="1"/>
  <c r="BR131" i="2"/>
  <c r="BR150" i="2" s="1"/>
  <c r="BZ143" i="2"/>
  <c r="BS131" i="2"/>
  <c r="BS150" i="2" s="1"/>
  <c r="BS130" i="2"/>
  <c r="BS149" i="2" s="1"/>
  <c r="BY141" i="2"/>
  <c r="BD160" i="2"/>
  <c r="BY371" i="2"/>
  <c r="BZ141" i="2"/>
  <c r="CC357" i="2"/>
  <c r="CB357" i="2"/>
  <c r="CD357" i="2"/>
  <c r="BE263" i="6" l="1"/>
  <c r="CF371" i="6"/>
  <c r="CF157" i="6"/>
  <c r="CF159" i="6"/>
  <c r="CK361" i="6"/>
  <c r="CK362" i="6" s="1"/>
  <c r="C86" i="8"/>
  <c r="F21" i="7"/>
  <c r="H19" i="9"/>
  <c r="J42" i="7"/>
  <c r="L42" i="7"/>
  <c r="K42" i="7"/>
  <c r="H18" i="9"/>
  <c r="L41" i="7"/>
  <c r="K41" i="7"/>
  <c r="J41" i="7"/>
  <c r="BE363" i="6"/>
  <c r="BE364" i="6" s="1"/>
  <c r="BE367" i="6" s="1"/>
  <c r="BE354" i="6"/>
  <c r="BE356" i="6" s="1"/>
  <c r="CK138" i="6"/>
  <c r="CL220" i="6"/>
  <c r="CL221" i="6"/>
  <c r="BR134" i="2"/>
  <c r="BR153" i="2" s="1"/>
  <c r="BR363" i="2" s="1"/>
  <c r="BR364" i="2" s="1"/>
  <c r="AX244" i="2"/>
  <c r="J32" i="5"/>
  <c r="BS92" i="2"/>
  <c r="BD244" i="2"/>
  <c r="BT225" i="2"/>
  <c r="L42" i="5"/>
  <c r="K32" i="5"/>
  <c r="BS95" i="2"/>
  <c r="BS91" i="2"/>
  <c r="BS94" i="2"/>
  <c r="BS132" i="2"/>
  <c r="BS140" i="2" s="1"/>
  <c r="BS54" i="2"/>
  <c r="BS63" i="2" s="1"/>
  <c r="BR97" i="2"/>
  <c r="BR95" i="2"/>
  <c r="BR96" i="2"/>
  <c r="BR28" i="2"/>
  <c r="BQ29" i="2"/>
  <c r="BQ27" i="2"/>
  <c r="BQ28" i="2"/>
  <c r="BQ24" i="2"/>
  <c r="BQ134" i="2"/>
  <c r="BZ371" i="2"/>
  <c r="AX240" i="2"/>
  <c r="BD238" i="2" s="1"/>
  <c r="BD240" i="2" s="1"/>
  <c r="BJ238" i="2" s="1"/>
  <c r="BJ240" i="2" s="1"/>
  <c r="BP238" i="2" s="1"/>
  <c r="BP240" i="2" s="1"/>
  <c r="BQ238" i="2" s="1"/>
  <c r="L41" i="5"/>
  <c r="K41" i="5"/>
  <c r="C18" i="3"/>
  <c r="J41" i="5"/>
  <c r="J42" i="5"/>
  <c r="K42" i="5"/>
  <c r="AX396" i="2"/>
  <c r="AX245" i="2"/>
  <c r="AX246" i="2"/>
  <c r="BQ201" i="2"/>
  <c r="BR198" i="2"/>
  <c r="BQ198" i="2"/>
  <c r="E21" i="5"/>
  <c r="BR385" i="2"/>
  <c r="BR386" i="2" s="1"/>
  <c r="H9" i="5"/>
  <c r="BU302" i="2"/>
  <c r="BU269" i="2"/>
  <c r="BU276" i="2"/>
  <c r="BU304" i="2"/>
  <c r="BU303" i="2"/>
  <c r="BQ213" i="2"/>
  <c r="D23" i="4" s="1"/>
  <c r="F21" i="4"/>
  <c r="BS342" i="2"/>
  <c r="G21" i="4"/>
  <c r="BT342" i="2"/>
  <c r="BQ319" i="2"/>
  <c r="BS267" i="2"/>
  <c r="BS346" i="2" s="1"/>
  <c r="BR346" i="2"/>
  <c r="BS265" i="2"/>
  <c r="BR347" i="2"/>
  <c r="BS96" i="2"/>
  <c r="BU156" i="2"/>
  <c r="BU126" i="2"/>
  <c r="BX127" i="2"/>
  <c r="BQ137" i="2"/>
  <c r="BQ151" i="2"/>
  <c r="BQ380" i="2" s="1"/>
  <c r="BS256" i="2"/>
  <c r="BX146" i="2"/>
  <c r="H22" i="4"/>
  <c r="BU274" i="2"/>
  <c r="BU221" i="2"/>
  <c r="BU343" i="2" s="1"/>
  <c r="BU273" i="2"/>
  <c r="BU195" i="2"/>
  <c r="BU196" i="2" s="1"/>
  <c r="BX196" i="2" s="1"/>
  <c r="BU220" i="2"/>
  <c r="BS317" i="2"/>
  <c r="BS318" i="2" s="1"/>
  <c r="BT300" i="2"/>
  <c r="BT275" i="2"/>
  <c r="BT301" i="2"/>
  <c r="BR317" i="2"/>
  <c r="BX49" i="2"/>
  <c r="BU133" i="2"/>
  <c r="BU152" i="2" s="1"/>
  <c r="BU125" i="2"/>
  <c r="BU135" i="2" s="1"/>
  <c r="BT26" i="2"/>
  <c r="BT23" i="2"/>
  <c r="BT91" i="2"/>
  <c r="BT94" i="2"/>
  <c r="BU128" i="2"/>
  <c r="BU147" i="2" s="1"/>
  <c r="BU18" i="2"/>
  <c r="BU22" i="2"/>
  <c r="BU86" i="2"/>
  <c r="BU90" i="2"/>
  <c r="BR151" i="2"/>
  <c r="BR380" i="2" s="1"/>
  <c r="BR140" i="2"/>
  <c r="BR137" i="2"/>
  <c r="BS60" i="2"/>
  <c r="BS57" i="2"/>
  <c r="BT28" i="2"/>
  <c r="BT27" i="2"/>
  <c r="BT24" i="2"/>
  <c r="BT95" i="2"/>
  <c r="BT96" i="2"/>
  <c r="BT92" i="2"/>
  <c r="BS148" i="2"/>
  <c r="F12" i="5" s="1"/>
  <c r="F13" i="5" s="1"/>
  <c r="BS139" i="2"/>
  <c r="BS136" i="2"/>
  <c r="BT52" i="2"/>
  <c r="BT56" i="2"/>
  <c r="BT129" i="2"/>
  <c r="BT131" i="2"/>
  <c r="BT150" i="2" s="1"/>
  <c r="BT130" i="2"/>
  <c r="BT149" i="2" s="1"/>
  <c r="BZ376" i="2"/>
  <c r="BZ357" i="2"/>
  <c r="BY357" i="2"/>
  <c r="BE368" i="6" l="1"/>
  <c r="BE369" i="6"/>
  <c r="BE334" i="6"/>
  <c r="BE336" i="6" s="1"/>
  <c r="CL271" i="6"/>
  <c r="CK271" i="6"/>
  <c r="BR351" i="2"/>
  <c r="BR358" i="2" s="1"/>
  <c r="BR203" i="2"/>
  <c r="E18" i="4"/>
  <c r="E20" i="4" s="1"/>
  <c r="BR143" i="2"/>
  <c r="BR205" i="2"/>
  <c r="BR142" i="2"/>
  <c r="BR184" i="2"/>
  <c r="BR141" i="2"/>
  <c r="BS134" i="2"/>
  <c r="BS153" i="2" s="1"/>
  <c r="C79" i="4" s="1"/>
  <c r="C81" i="4" s="1"/>
  <c r="C83" i="4" s="1"/>
  <c r="BS62" i="2"/>
  <c r="CM219" i="6"/>
  <c r="CL139" i="6"/>
  <c r="BR186" i="2"/>
  <c r="BR188" i="2" s="1"/>
  <c r="E15" i="5" s="1"/>
  <c r="BR138" i="2"/>
  <c r="BX86" i="2"/>
  <c r="BU88" i="2"/>
  <c r="BU96" i="2" s="1"/>
  <c r="BX18" i="2"/>
  <c r="BU20" i="2"/>
  <c r="BU27" i="2" s="1"/>
  <c r="BX27" i="2" s="1"/>
  <c r="BT132" i="2"/>
  <c r="BT151" i="2" s="1"/>
  <c r="BT380" i="2" s="1"/>
  <c r="BT54" i="2"/>
  <c r="BT63" i="2" s="1"/>
  <c r="BS137" i="2"/>
  <c r="BS151" i="2"/>
  <c r="BS380" i="2" s="1"/>
  <c r="BS61" i="2"/>
  <c r="BS58" i="2"/>
  <c r="BQ143" i="2"/>
  <c r="BQ141" i="2"/>
  <c r="BQ142" i="2"/>
  <c r="BQ153" i="2"/>
  <c r="BQ138" i="2"/>
  <c r="I22" i="4"/>
  <c r="J22" i="4" s="1"/>
  <c r="K22" i="4" s="1"/>
  <c r="L22" i="4" s="1"/>
  <c r="M22" i="4" s="1"/>
  <c r="E17" i="5"/>
  <c r="BR365" i="2"/>
  <c r="BS347" i="2"/>
  <c r="BS367" i="2"/>
  <c r="BR353" i="2"/>
  <c r="H10" i="5"/>
  <c r="I9" i="5"/>
  <c r="BT267" i="2"/>
  <c r="BT346" i="2" s="1"/>
  <c r="BU225" i="2"/>
  <c r="BU344" i="2"/>
  <c r="BT265" i="2"/>
  <c r="H21" i="4"/>
  <c r="I21" i="4" s="1"/>
  <c r="J21" i="4" s="1"/>
  <c r="K21" i="4" s="1"/>
  <c r="L21" i="4" s="1"/>
  <c r="M21" i="4" s="1"/>
  <c r="BU342" i="2"/>
  <c r="BQ209" i="2"/>
  <c r="D35" i="5" s="1"/>
  <c r="D36" i="5" s="1"/>
  <c r="BQ202" i="2"/>
  <c r="BQ199" i="2"/>
  <c r="BS257" i="2"/>
  <c r="BS168" i="2" s="1"/>
  <c r="C86" i="4" s="1"/>
  <c r="BS258" i="2"/>
  <c r="BR209" i="2"/>
  <c r="E35" i="5" s="1"/>
  <c r="E36" i="5" s="1"/>
  <c r="BR318" i="2"/>
  <c r="BR213" i="2"/>
  <c r="E23" i="4" s="1"/>
  <c r="BR319" i="2"/>
  <c r="BS319" i="2"/>
  <c r="BU300" i="2"/>
  <c r="BU275" i="2"/>
  <c r="BU301" i="2"/>
  <c r="BT317" i="2"/>
  <c r="BS213" i="2"/>
  <c r="F23" i="4" s="1"/>
  <c r="BY376" i="2"/>
  <c r="BU52" i="2"/>
  <c r="BU54" i="2" s="1"/>
  <c r="BU63" i="2" s="1"/>
  <c r="BU56" i="2"/>
  <c r="BU129" i="2"/>
  <c r="BX129" i="2" s="1"/>
  <c r="BS198" i="2"/>
  <c r="BS201" i="2"/>
  <c r="BU26" i="2"/>
  <c r="BU23" i="2"/>
  <c r="BU91" i="2"/>
  <c r="BU94" i="2"/>
  <c r="BT60" i="2"/>
  <c r="BT57" i="2"/>
  <c r="BR202" i="2"/>
  <c r="BR199" i="2"/>
  <c r="BT148" i="2"/>
  <c r="G12" i="5" s="1"/>
  <c r="G13" i="5" s="1"/>
  <c r="BT136" i="2"/>
  <c r="BT139" i="2"/>
  <c r="BU130" i="2"/>
  <c r="BU149" i="2" s="1"/>
  <c r="BU131" i="2"/>
  <c r="BU150" i="2" s="1"/>
  <c r="CL361" i="6" l="1"/>
  <c r="CL362" i="6" s="1"/>
  <c r="G21" i="7"/>
  <c r="CM271" i="6"/>
  <c r="BS138" i="2"/>
  <c r="E24" i="4"/>
  <c r="BS143" i="2"/>
  <c r="BS141" i="2"/>
  <c r="BS142" i="2"/>
  <c r="BX63" i="2"/>
  <c r="BT134" i="2"/>
  <c r="BT143" i="2" s="1"/>
  <c r="CM220" i="6"/>
  <c r="CM139" i="6" s="1"/>
  <c r="C110" i="8" s="1"/>
  <c r="CM221" i="6"/>
  <c r="CL138" i="6"/>
  <c r="BT140" i="2"/>
  <c r="BT137" i="2"/>
  <c r="BS202" i="2"/>
  <c r="BU28" i="2"/>
  <c r="BS199" i="2"/>
  <c r="BS209" i="2"/>
  <c r="F35" i="5" s="1"/>
  <c r="F36" i="5" s="1"/>
  <c r="BU97" i="2"/>
  <c r="BX97" i="2" s="1"/>
  <c r="BX88" i="2"/>
  <c r="BU92" i="2"/>
  <c r="BU95" i="2"/>
  <c r="BX95" i="2" s="1"/>
  <c r="BX54" i="2"/>
  <c r="BU29" i="2"/>
  <c r="BX29" i="2" s="1"/>
  <c r="BX20" i="2"/>
  <c r="BU24" i="2"/>
  <c r="BT58" i="2"/>
  <c r="BT61" i="2"/>
  <c r="BT62" i="2"/>
  <c r="BQ363" i="2"/>
  <c r="BQ364" i="2" s="1"/>
  <c r="BQ365" i="2" s="1"/>
  <c r="BR204" i="2"/>
  <c r="BQ203" i="2"/>
  <c r="BQ351" i="2"/>
  <c r="BQ204" i="2"/>
  <c r="BQ205" i="2"/>
  <c r="BQ184" i="2"/>
  <c r="BQ186" i="2"/>
  <c r="BQ188" i="2" s="1"/>
  <c r="D15" i="5" s="1"/>
  <c r="D18" i="4"/>
  <c r="D20" i="4" s="1"/>
  <c r="D24" i="4" s="1"/>
  <c r="D31" i="4" s="1"/>
  <c r="BR200" i="2"/>
  <c r="BQ200" i="2"/>
  <c r="BU267" i="2"/>
  <c r="BU346" i="2" s="1"/>
  <c r="BT347" i="2"/>
  <c r="BT367" i="2"/>
  <c r="F18" i="4"/>
  <c r="F20" i="4" s="1"/>
  <c r="F24" i="4" s="1"/>
  <c r="F31" i="4" s="1"/>
  <c r="BS363" i="2"/>
  <c r="BS364" i="2" s="1"/>
  <c r="BS351" i="2"/>
  <c r="BU265" i="2"/>
  <c r="BS169" i="2"/>
  <c r="BS167" i="2"/>
  <c r="E31" i="4"/>
  <c r="BU132" i="2"/>
  <c r="BX132" i="2" s="1"/>
  <c r="BX52" i="2"/>
  <c r="BT209" i="2"/>
  <c r="G35" i="5" s="1"/>
  <c r="G36" i="5" s="1"/>
  <c r="BT213" i="2"/>
  <c r="G23" i="4" s="1"/>
  <c r="BT319" i="2"/>
  <c r="BT318" i="2"/>
  <c r="BU317" i="2"/>
  <c r="BT153" i="2"/>
  <c r="BT199" i="2"/>
  <c r="BT202" i="2"/>
  <c r="BU61" i="2"/>
  <c r="BU58" i="2"/>
  <c r="BU62" i="2"/>
  <c r="BU134" i="2"/>
  <c r="BX134" i="2" s="1"/>
  <c r="BT201" i="2"/>
  <c r="BT198" i="2"/>
  <c r="BU148" i="2"/>
  <c r="BU139" i="2"/>
  <c r="BX139" i="2" s="1"/>
  <c r="BU136" i="2"/>
  <c r="BS203" i="2"/>
  <c r="BS184" i="2"/>
  <c r="BS200" i="2"/>
  <c r="BS205" i="2"/>
  <c r="BS186" i="2"/>
  <c r="BS188" i="2" s="1"/>
  <c r="F15" i="5" s="1"/>
  <c r="BS204" i="2"/>
  <c r="BU57" i="2"/>
  <c r="BU60" i="2"/>
  <c r="C119" i="8" l="1"/>
  <c r="C120" i="8" s="1"/>
  <c r="C121" i="8" s="1"/>
  <c r="C122" i="8" s="1"/>
  <c r="C123" i="8" s="1"/>
  <c r="C124" i="8" s="1"/>
  <c r="CM361" i="6"/>
  <c r="CM362" i="6" s="1"/>
  <c r="H21" i="7"/>
  <c r="I21" i="7" s="1"/>
  <c r="BT138" i="2"/>
  <c r="BT142" i="2"/>
  <c r="BT141" i="2"/>
  <c r="CM138" i="6"/>
  <c r="BX61" i="2"/>
  <c r="E16" i="5"/>
  <c r="D17" i="5"/>
  <c r="D16" i="5"/>
  <c r="BQ358" i="2"/>
  <c r="BQ353" i="2"/>
  <c r="BX148" i="2"/>
  <c r="H12" i="5"/>
  <c r="BS358" i="2"/>
  <c r="BS353" i="2"/>
  <c r="F17" i="5"/>
  <c r="F16" i="5"/>
  <c r="G18" i="4"/>
  <c r="G20" i="4" s="1"/>
  <c r="G24" i="4" s="1"/>
  <c r="BT363" i="2"/>
  <c r="BT364" i="2" s="1"/>
  <c r="BT351" i="2"/>
  <c r="BS385" i="2"/>
  <c r="BS386" i="2" s="1"/>
  <c r="F21" i="5"/>
  <c r="BS365" i="2"/>
  <c r="BU347" i="2"/>
  <c r="BU367" i="2"/>
  <c r="BU140" i="2"/>
  <c r="BT256" i="2"/>
  <c r="BU137" i="2"/>
  <c r="BU151" i="2"/>
  <c r="BU199" i="2" s="1"/>
  <c r="BU318" i="2"/>
  <c r="BU213" i="2"/>
  <c r="H23" i="4" s="1"/>
  <c r="I23" i="4" s="1"/>
  <c r="J23" i="4" s="1"/>
  <c r="K23" i="4" s="1"/>
  <c r="L23" i="4" s="1"/>
  <c r="M23" i="4" s="1"/>
  <c r="BU319" i="2"/>
  <c r="BU153" i="2"/>
  <c r="BU141" i="2"/>
  <c r="BU142" i="2"/>
  <c r="BU143" i="2"/>
  <c r="BX143" i="2" s="1"/>
  <c r="BU138" i="2"/>
  <c r="BU198" i="2"/>
  <c r="BU201" i="2"/>
  <c r="BX201" i="2" s="1"/>
  <c r="BT204" i="2"/>
  <c r="BT200" i="2"/>
  <c r="BT205" i="2"/>
  <c r="BT203" i="2"/>
  <c r="BT184" i="2"/>
  <c r="BT186" i="2"/>
  <c r="BT188" i="2" s="1"/>
  <c r="G15" i="5" s="1"/>
  <c r="BX141" i="2" l="1"/>
  <c r="G31" i="4"/>
  <c r="G16" i="5"/>
  <c r="G17" i="5"/>
  <c r="BU363" i="2"/>
  <c r="BU364" i="2" s="1"/>
  <c r="BU351" i="2"/>
  <c r="BT365" i="2"/>
  <c r="H13" i="5"/>
  <c r="I12" i="5"/>
  <c r="BX151" i="2"/>
  <c r="BU380" i="2"/>
  <c r="BT358" i="2"/>
  <c r="BT353" i="2"/>
  <c r="BU202" i="2"/>
  <c r="BT257" i="2"/>
  <c r="BT258" i="2"/>
  <c r="BX153" i="2"/>
  <c r="H18" i="4"/>
  <c r="BU209" i="2"/>
  <c r="H35" i="5" s="1"/>
  <c r="BU203" i="2"/>
  <c r="BX203" i="2" s="1"/>
  <c r="BU186" i="2"/>
  <c r="BU188" i="2" s="1"/>
  <c r="H15" i="5" s="1"/>
  <c r="BU200" i="2"/>
  <c r="BU205" i="2"/>
  <c r="BX205" i="2" s="1"/>
  <c r="BU204" i="2"/>
  <c r="BX204" i="2" s="1"/>
  <c r="BU184" i="2"/>
  <c r="BQ157" i="2"/>
  <c r="H16" i="5" l="1"/>
  <c r="I15" i="5"/>
  <c r="H17" i="5"/>
  <c r="BU358" i="2"/>
  <c r="BU353" i="2"/>
  <c r="BU365" i="2"/>
  <c r="I35" i="5"/>
  <c r="H36" i="5"/>
  <c r="BT168" i="2"/>
  <c r="BT169" i="2"/>
  <c r="BT167" i="2"/>
  <c r="I18" i="4"/>
  <c r="H20" i="4"/>
  <c r="H24" i="4" s="1"/>
  <c r="BQ158" i="2"/>
  <c r="BQ352" i="2" s="1"/>
  <c r="BT385" i="2" l="1"/>
  <c r="BT386" i="2" s="1"/>
  <c r="G21" i="5"/>
  <c r="BU256" i="2"/>
  <c r="I24" i="4"/>
  <c r="H31" i="4"/>
  <c r="I20" i="4"/>
  <c r="J18" i="4"/>
  <c r="BQ218" i="2"/>
  <c r="BQ219" i="2" s="1"/>
  <c r="BQ160" i="2"/>
  <c r="BU257" i="2" l="1"/>
  <c r="BU258" i="2"/>
  <c r="K18" i="4"/>
  <c r="J20" i="4"/>
  <c r="J24" i="4"/>
  <c r="I31" i="4"/>
  <c r="BQ232" i="2"/>
  <c r="BQ236" i="2" s="1"/>
  <c r="BQ237" i="2" s="1"/>
  <c r="BQ240" i="2" s="1"/>
  <c r="BQ164" i="2"/>
  <c r="BQ166" i="2" s="1"/>
  <c r="BQ161" i="2"/>
  <c r="BQ374" i="2" s="1"/>
  <c r="BQ242" i="2"/>
  <c r="BQ243" i="2"/>
  <c r="BR157" i="2"/>
  <c r="BQ396" i="2" l="1"/>
  <c r="D31" i="5"/>
  <c r="BQ286" i="2"/>
  <c r="BU169" i="2"/>
  <c r="BU168" i="2"/>
  <c r="BU167" i="2"/>
  <c r="K24" i="4"/>
  <c r="J31" i="4"/>
  <c r="K20" i="4"/>
  <c r="L18" i="4"/>
  <c r="BR158" i="2"/>
  <c r="BR352" i="2" s="1"/>
  <c r="BQ171" i="2"/>
  <c r="BQ173" i="2"/>
  <c r="BQ178" i="2" s="1"/>
  <c r="BQ170" i="2"/>
  <c r="BQ245" i="2"/>
  <c r="BQ246" i="2"/>
  <c r="BQ244" i="2"/>
  <c r="BR238" i="2"/>
  <c r="BQ277" i="2"/>
  <c r="BQ379" i="2" l="1"/>
  <c r="BQ356" i="2"/>
  <c r="C38" i="4" s="1"/>
  <c r="C94" i="4" s="1"/>
  <c r="C95" i="4" s="1"/>
  <c r="C96" i="4" s="1"/>
  <c r="BQ179" i="2"/>
  <c r="D19" i="5"/>
  <c r="D33" i="5"/>
  <c r="D32" i="5"/>
  <c r="H21" i="5"/>
  <c r="I21" i="5" s="1"/>
  <c r="BU385" i="2"/>
  <c r="BU386" i="2" s="1"/>
  <c r="BR218" i="2"/>
  <c r="BR219" i="2" s="1"/>
  <c r="BR243" i="2" s="1"/>
  <c r="M18" i="4"/>
  <c r="M20" i="4" s="1"/>
  <c r="L20" i="4"/>
  <c r="L24" i="4"/>
  <c r="K31" i="4"/>
  <c r="BR160" i="2"/>
  <c r="C98" i="4" l="1"/>
  <c r="C99" i="4"/>
  <c r="BQ387" i="2"/>
  <c r="BQ388" i="2" s="1"/>
  <c r="BQ391" i="2" s="1"/>
  <c r="BQ180" i="2"/>
  <c r="BQ395" i="2"/>
  <c r="BR396" i="2"/>
  <c r="E31" i="5"/>
  <c r="BR242" i="2"/>
  <c r="D38" i="5"/>
  <c r="D39" i="5" s="1"/>
  <c r="BQ381" i="2"/>
  <c r="M24" i="4"/>
  <c r="L31" i="4"/>
  <c r="BR232" i="2"/>
  <c r="BR246" i="2"/>
  <c r="BR244" i="2"/>
  <c r="BR245" i="2"/>
  <c r="BR161" i="2"/>
  <c r="BR374" i="2" s="1"/>
  <c r="BR164" i="2"/>
  <c r="BR166" i="2" s="1"/>
  <c r="BQ392" i="2" l="1"/>
  <c r="BQ393" i="2"/>
  <c r="H52" i="4" a="1"/>
  <c r="H52" i="4" s="1"/>
  <c r="G52" i="4" a="1"/>
  <c r="G52" i="4" s="1"/>
  <c r="F54" i="4" a="1"/>
  <c r="F54" i="4" s="1"/>
  <c r="H51" i="4" a="1"/>
  <c r="H51" i="4" s="1"/>
  <c r="F52" i="4" a="1"/>
  <c r="F52" i="4" s="1"/>
  <c r="F51" i="4" a="1"/>
  <c r="F51" i="4" s="1"/>
  <c r="E52" i="4" a="1"/>
  <c r="E52" i="4" s="1"/>
  <c r="E50" i="4" a="1"/>
  <c r="E50" i="4" s="1"/>
  <c r="D53" i="4" a="1"/>
  <c r="D53" i="4" s="1"/>
  <c r="H54" i="4" a="1"/>
  <c r="H54" i="4" s="1"/>
  <c r="D54" i="4" a="1"/>
  <c r="D54" i="4" s="1"/>
  <c r="G54" i="4" a="1"/>
  <c r="G54" i="4" s="1"/>
  <c r="G50" i="4" a="1"/>
  <c r="G50" i="4" s="1"/>
  <c r="F53" i="4" a="1"/>
  <c r="F53" i="4" s="1"/>
  <c r="D50" i="4" a="1"/>
  <c r="D50" i="4" s="1"/>
  <c r="D52" i="4" a="1"/>
  <c r="D52" i="4" s="1"/>
  <c r="D51" i="4" a="1"/>
  <c r="D51" i="4" s="1"/>
  <c r="F50" i="4" a="1"/>
  <c r="F50" i="4" s="1"/>
  <c r="H50" i="4" a="1"/>
  <c r="H50" i="4" s="1"/>
  <c r="H53" i="4" a="1"/>
  <c r="H53" i="4" s="1"/>
  <c r="E53" i="4" a="1"/>
  <c r="E53" i="4" s="1"/>
  <c r="E54" i="4" a="1"/>
  <c r="E54" i="4" s="1"/>
  <c r="E51" i="4" a="1"/>
  <c r="E51" i="4" s="1"/>
  <c r="G51" i="4" a="1"/>
  <c r="G51" i="4" s="1"/>
  <c r="G53" i="4" a="1"/>
  <c r="G53" i="4" s="1"/>
  <c r="BQ181" i="2"/>
  <c r="D23" i="5"/>
  <c r="D24" i="5" s="1"/>
  <c r="E33" i="5"/>
  <c r="E32" i="5"/>
  <c r="BR236" i="2"/>
  <c r="BR237" i="2" s="1"/>
  <c r="BR240" i="2" s="1"/>
  <c r="N24" i="4"/>
  <c r="N25" i="4" s="1"/>
  <c r="N31" i="4" s="1"/>
  <c r="C36" i="4" s="1"/>
  <c r="M31" i="4"/>
  <c r="C35" i="4" s="1"/>
  <c r="BR286" i="2"/>
  <c r="BR170" i="2"/>
  <c r="BR173" i="2"/>
  <c r="BR178" i="2" s="1"/>
  <c r="BR171" i="2"/>
  <c r="C37" i="4" l="1"/>
  <c r="C39" i="4" s="1"/>
  <c r="C41" i="4" s="1"/>
  <c r="C43" i="4" s="1"/>
  <c r="BR179" i="2"/>
  <c r="E19" i="5"/>
  <c r="BS238" i="2"/>
  <c r="BR277" i="2"/>
  <c r="BS157" i="2"/>
  <c r="BR379" i="2" l="1"/>
  <c r="BR356" i="2"/>
  <c r="BR180" i="2"/>
  <c r="BR395" i="2"/>
  <c r="BS158" i="2"/>
  <c r="BR387" i="2" l="1"/>
  <c r="BR388" i="2" s="1"/>
  <c r="BR391" i="2" s="1"/>
  <c r="C84" i="4"/>
  <c r="C85" i="4" s="1"/>
  <c r="C87" i="4" s="1"/>
  <c r="C90" i="4" s="1"/>
  <c r="BR392" i="2"/>
  <c r="BR393" i="2"/>
  <c r="BR181" i="2"/>
  <c r="E23" i="5"/>
  <c r="E38" i="5"/>
  <c r="BR381" i="2"/>
  <c r="BS160" i="2"/>
  <c r="BS232" i="2" s="1"/>
  <c r="BS236" i="2" s="1"/>
  <c r="BS352" i="2"/>
  <c r="BS218" i="2"/>
  <c r="BS219" i="2" s="1"/>
  <c r="BS243" i="2" s="1"/>
  <c r="BS242" i="2" l="1"/>
  <c r="BS161" i="2"/>
  <c r="BS374" i="2" s="1"/>
  <c r="BS164" i="2"/>
  <c r="BS166" i="2" s="1"/>
  <c r="BS396" i="2"/>
  <c r="F31" i="5"/>
  <c r="E45" i="5"/>
  <c r="E39" i="5"/>
  <c r="E24" i="5"/>
  <c r="E34" i="5"/>
  <c r="BS237" i="2"/>
  <c r="BS240" i="2" s="1"/>
  <c r="BS277" i="2" s="1"/>
  <c r="BS245" i="2"/>
  <c r="BS246" i="2"/>
  <c r="BS244" i="2"/>
  <c r="BS286" i="2"/>
  <c r="BS170" i="2" l="1"/>
  <c r="BS173" i="2"/>
  <c r="BS178" i="2" s="1"/>
  <c r="F19" i="5" s="1"/>
  <c r="BS171" i="2"/>
  <c r="BS356" i="2"/>
  <c r="BS387" i="2" s="1"/>
  <c r="BS388" i="2" s="1"/>
  <c r="BS379" i="2"/>
  <c r="E28" i="5"/>
  <c r="E44" i="5"/>
  <c r="E46" i="5" s="1"/>
  <c r="E47" i="5" s="1"/>
  <c r="F32" i="5"/>
  <c r="F33" i="5"/>
  <c r="BS179" i="2"/>
  <c r="BT238" i="2"/>
  <c r="BT157" i="2"/>
  <c r="BS381" i="2" l="1"/>
  <c r="F38" i="5"/>
  <c r="BS180" i="2"/>
  <c r="BS395" i="2"/>
  <c r="BS393" i="2"/>
  <c r="BS391" i="2"/>
  <c r="BS392" i="2"/>
  <c r="BT158" i="2"/>
  <c r="BT352" i="2" s="1"/>
  <c r="BS181" i="2" l="1"/>
  <c r="F23" i="5"/>
  <c r="F39" i="5"/>
  <c r="F45" i="5"/>
  <c r="BT218" i="2"/>
  <c r="BT219" i="2" s="1"/>
  <c r="BT243" i="2" s="1"/>
  <c r="BT160" i="2"/>
  <c r="F24" i="5" l="1"/>
  <c r="F27" i="5"/>
  <c r="BT396" i="2"/>
  <c r="G31" i="5"/>
  <c r="BT242" i="2"/>
  <c r="BT161" i="2"/>
  <c r="BT374" i="2" s="1"/>
  <c r="BT164" i="2"/>
  <c r="BT166" i="2" s="1"/>
  <c r="BT232" i="2"/>
  <c r="BT236" i="2" s="1"/>
  <c r="BT237" i="2" s="1"/>
  <c r="BT240" i="2" s="1"/>
  <c r="BT245" i="2"/>
  <c r="BT246" i="2"/>
  <c r="BT244" i="2"/>
  <c r="F34" i="5" l="1"/>
  <c r="G33" i="5"/>
  <c r="G32" i="5"/>
  <c r="F28" i="5"/>
  <c r="F44" i="5"/>
  <c r="F46" i="5" s="1"/>
  <c r="F47" i="5" s="1"/>
  <c r="BT286" i="2"/>
  <c r="BU238" i="2"/>
  <c r="BT277" i="2"/>
  <c r="BT170" i="2"/>
  <c r="BT171" i="2"/>
  <c r="BT173" i="2"/>
  <c r="BT178" i="2" s="1"/>
  <c r="BT179" i="2" l="1"/>
  <c r="G19" i="5"/>
  <c r="BT356" i="2"/>
  <c r="BT387" i="2" s="1"/>
  <c r="BT388" i="2" s="1"/>
  <c r="BT379" i="2"/>
  <c r="BU157" i="2"/>
  <c r="BT381" i="2" l="1"/>
  <c r="G38" i="5"/>
  <c r="BT180" i="2"/>
  <c r="BT395" i="2"/>
  <c r="BT392" i="2"/>
  <c r="BT393" i="2"/>
  <c r="BT391" i="2"/>
  <c r="BU158" i="2"/>
  <c r="BU352" i="2" s="1"/>
  <c r="BT181" i="2" l="1"/>
  <c r="G23" i="5"/>
  <c r="G39" i="5"/>
  <c r="G45" i="5"/>
  <c r="BU218" i="2"/>
  <c r="BU219" i="2" s="1"/>
  <c r="BX219" i="2" s="1"/>
  <c r="BU160" i="2"/>
  <c r="G24" i="5" l="1"/>
  <c r="G27" i="5"/>
  <c r="G34" i="5" s="1"/>
  <c r="BU164" i="2"/>
  <c r="BU166" i="2" s="1"/>
  <c r="BU232" i="2"/>
  <c r="BU236" i="2" s="1"/>
  <c r="BU237" i="2" s="1"/>
  <c r="BU240" i="2" s="1"/>
  <c r="BU277" i="2" s="1"/>
  <c r="BU243" i="2"/>
  <c r="BU246" i="2" s="1"/>
  <c r="BU242" i="2"/>
  <c r="BU161" i="2"/>
  <c r="BU245" i="2" l="1"/>
  <c r="G44" i="5"/>
  <c r="G46" i="5" s="1"/>
  <c r="G47" i="5" s="1"/>
  <c r="G29" i="5"/>
  <c r="G28" i="5"/>
  <c r="BU379" i="2"/>
  <c r="BU356" i="2"/>
  <c r="BU387" i="2" s="1"/>
  <c r="BU388" i="2" s="1"/>
  <c r="BU391" i="2" s="1"/>
  <c r="BU171" i="2"/>
  <c r="BX171" i="2" s="1"/>
  <c r="BU374" i="2"/>
  <c r="BU244" i="2"/>
  <c r="H31" i="5"/>
  <c r="BU286" i="2"/>
  <c r="BX243" i="2"/>
  <c r="BU396" i="2"/>
  <c r="BU170" i="2"/>
  <c r="BX170" i="2" s="1"/>
  <c r="BU173" i="2"/>
  <c r="BU178" i="2" s="1"/>
  <c r="BU179" i="2" l="1"/>
  <c r="H19" i="5"/>
  <c r="I19" i="5" s="1"/>
  <c r="BU392" i="2"/>
  <c r="H33" i="5"/>
  <c r="I31" i="5"/>
  <c r="H32" i="5"/>
  <c r="BU393" i="2"/>
  <c r="H38" i="5"/>
  <c r="BU381" i="2"/>
  <c r="H45" i="5" l="1"/>
  <c r="H39" i="5"/>
  <c r="BU180" i="2"/>
  <c r="BU395" i="2"/>
  <c r="BQ271" i="2"/>
  <c r="BQ279" i="2"/>
  <c r="BQ280" i="2" l="1"/>
  <c r="BQ366" i="2" s="1"/>
  <c r="BU181" i="2"/>
  <c r="BX181" i="2" s="1"/>
  <c r="H23" i="5"/>
  <c r="BX180" i="2"/>
  <c r="BQ306" i="2"/>
  <c r="I23" i="5" l="1"/>
  <c r="H24" i="5"/>
  <c r="H27" i="5"/>
  <c r="H34" i="5" s="1"/>
  <c r="BQ307" i="2"/>
  <c r="BQ285" i="2" s="1"/>
  <c r="BQ287" i="2" s="1"/>
  <c r="BQ289" i="2" s="1"/>
  <c r="BQ368" i="2"/>
  <c r="BQ370" i="2" s="1"/>
  <c r="BQ371" i="2" s="1"/>
  <c r="D42" i="5" s="1"/>
  <c r="BR271" i="2"/>
  <c r="BR279" i="2"/>
  <c r="BR280" i="2" l="1"/>
  <c r="BR366" i="2" s="1"/>
  <c r="BQ355" i="2"/>
  <c r="BQ354" i="2" s="1"/>
  <c r="BQ375" i="2"/>
  <c r="BQ376" i="2" s="1"/>
  <c r="H29" i="5"/>
  <c r="H28" i="5"/>
  <c r="H44" i="5"/>
  <c r="H46" i="5" s="1"/>
  <c r="H47" i="5" s="1"/>
  <c r="BQ308" i="2"/>
  <c r="BQ310" i="2" s="1"/>
  <c r="BR306" i="2"/>
  <c r="BR368" i="2" s="1"/>
  <c r="BR370" i="2" l="1"/>
  <c r="BR371" i="2" s="1"/>
  <c r="E42" i="5" s="1"/>
  <c r="BQ359" i="2"/>
  <c r="BQ361" i="2" s="1"/>
  <c r="BQ357" i="2"/>
  <c r="BQ394" i="2"/>
  <c r="BR307" i="2"/>
  <c r="BR285" i="2" s="1"/>
  <c r="BR287" i="2" s="1"/>
  <c r="BR289" i="2" s="1"/>
  <c r="BS271" i="2"/>
  <c r="BS279" i="2"/>
  <c r="BS280" i="2" l="1"/>
  <c r="BS366" i="2" s="1"/>
  <c r="BR355" i="2"/>
  <c r="BR354" i="2" s="1"/>
  <c r="BR375" i="2"/>
  <c r="BR376" i="2" s="1"/>
  <c r="D41" i="5"/>
  <c r="BR308" i="2"/>
  <c r="BR310" i="2" s="1"/>
  <c r="BS306" i="2"/>
  <c r="BS368" i="2" s="1"/>
  <c r="BS370" i="2" l="1"/>
  <c r="BS371" i="2" s="1"/>
  <c r="F42" i="5" s="1"/>
  <c r="BR359" i="2"/>
  <c r="BR361" i="2" s="1"/>
  <c r="BR357" i="2"/>
  <c r="BR394" i="2"/>
  <c r="BS307" i="2"/>
  <c r="BS285" i="2" s="1"/>
  <c r="BS287" i="2" s="1"/>
  <c r="BS289" i="2" s="1"/>
  <c r="BS375" i="2" l="1"/>
  <c r="BS376" i="2" s="1"/>
  <c r="BS355" i="2"/>
  <c r="BS354" i="2" s="1"/>
  <c r="E41" i="5"/>
  <c r="BS308" i="2"/>
  <c r="BS310" i="2" s="1"/>
  <c r="BT271" i="2"/>
  <c r="BT279" i="2"/>
  <c r="BS359" i="2" l="1"/>
  <c r="BS361" i="2" s="1"/>
  <c r="BS357" i="2"/>
  <c r="BS394" i="2"/>
  <c r="BT280" i="2"/>
  <c r="BT366" i="2" s="1"/>
  <c r="BT306" i="2"/>
  <c r="BT368" i="2" s="1"/>
  <c r="BT370" i="2" l="1"/>
  <c r="BT371" i="2" s="1"/>
  <c r="G42" i="5" s="1"/>
  <c r="F41" i="5"/>
  <c r="BT307" i="2"/>
  <c r="BT285" i="2" s="1"/>
  <c r="BT287" i="2" s="1"/>
  <c r="BT289" i="2" s="1"/>
  <c r="BT355" i="2" l="1"/>
  <c r="BT354" i="2" s="1"/>
  <c r="BT375" i="2"/>
  <c r="BT376" i="2" s="1"/>
  <c r="BT308" i="2"/>
  <c r="BT310" i="2" s="1"/>
  <c r="BU271" i="2"/>
  <c r="BU279" i="2"/>
  <c r="BT359" i="2" l="1"/>
  <c r="BT361" i="2" s="1"/>
  <c r="BT357" i="2"/>
  <c r="BT394" i="2"/>
  <c r="BU280" i="2"/>
  <c r="BU366" i="2" s="1"/>
  <c r="BU306" i="2"/>
  <c r="G41" i="5" l="1"/>
  <c r="BU307" i="2"/>
  <c r="BU285" i="2" s="1"/>
  <c r="BU287" i="2" s="1"/>
  <c r="BU289" i="2" s="1"/>
  <c r="BU368" i="2"/>
  <c r="BU370" i="2" s="1"/>
  <c r="BU371" i="2" s="1"/>
  <c r="H42" i="5" l="1"/>
  <c r="BX371" i="2"/>
  <c r="BU355" i="2"/>
  <c r="BU354" i="2" s="1"/>
  <c r="BU375" i="2"/>
  <c r="BU376" i="2" s="1"/>
  <c r="BX376" i="2" s="1"/>
  <c r="BU308" i="2"/>
  <c r="BU310" i="2" s="1"/>
  <c r="BU359" i="2" l="1"/>
  <c r="BU361" i="2" s="1"/>
  <c r="BU357" i="2"/>
  <c r="BU394" i="2"/>
  <c r="H41" i="5" l="1"/>
  <c r="BX357" i="2"/>
  <c r="CG54" i="6" l="1"/>
  <c r="CG56" i="6" l="1"/>
  <c r="CG65" i="6"/>
  <c r="CG67" i="6" s="1"/>
  <c r="CG68" i="6" s="1"/>
  <c r="CG78" i="6"/>
  <c r="CG79" i="6" s="1"/>
  <c r="CG76" i="6"/>
  <c r="CG87" i="6"/>
  <c r="CG89" i="6" s="1"/>
  <c r="CG90" i="6" s="1"/>
  <c r="CG98" i="6" l="1"/>
  <c r="CG57" i="6"/>
  <c r="CG102" i="6"/>
  <c r="CJ54" i="6"/>
  <c r="CK54" i="6" s="1"/>
  <c r="CH54" i="6"/>
  <c r="CH56" i="6" s="1"/>
  <c r="CI56" i="6"/>
  <c r="CG104" i="6" l="1"/>
  <c r="CG103" i="6"/>
  <c r="CJ62" i="6"/>
  <c r="CG114" i="6"/>
  <c r="CG99" i="6"/>
  <c r="CL54" i="6"/>
  <c r="CI62" i="6"/>
  <c r="CH57" i="6"/>
  <c r="CI57" i="6"/>
  <c r="CJ56" i="6"/>
  <c r="CK56" i="6"/>
  <c r="CH55" i="6"/>
  <c r="CI59" i="6"/>
  <c r="CK62" i="6"/>
  <c r="CG246" i="6" l="1"/>
  <c r="CG245" i="6"/>
  <c r="CG244" i="6"/>
  <c r="CG229" i="6"/>
  <c r="CG227" i="6"/>
  <c r="CG180" i="6" s="1"/>
  <c r="CG176" i="6"/>
  <c r="CG189" i="6"/>
  <c r="CG161" i="6"/>
  <c r="CG177" i="6"/>
  <c r="CG233" i="6" s="1"/>
  <c r="CG343" i="6" s="1"/>
  <c r="CG170" i="6"/>
  <c r="CG168" i="6"/>
  <c r="CL56" i="6"/>
  <c r="CL62" i="6"/>
  <c r="CM54" i="6"/>
  <c r="CK59" i="6"/>
  <c r="CK57" i="6"/>
  <c r="CJ59" i="6"/>
  <c r="CJ57" i="6"/>
  <c r="CG184" i="6" l="1"/>
  <c r="CG214" i="6"/>
  <c r="CG231" i="6"/>
  <c r="CG193" i="6"/>
  <c r="CG183" i="6"/>
  <c r="CL59" i="6"/>
  <c r="CL57" i="6"/>
  <c r="CM56" i="6"/>
  <c r="CM62" i="6"/>
  <c r="CM57" i="6" l="1"/>
  <c r="CM59" i="6"/>
  <c r="CI67" i="6"/>
  <c r="CI70" i="6" s="1"/>
  <c r="CJ65" i="6"/>
  <c r="CH65" i="6"/>
  <c r="CI73" i="6"/>
  <c r="CI68" i="6" l="1"/>
  <c r="CH67" i="6"/>
  <c r="CH66" i="6"/>
  <c r="CJ73" i="6"/>
  <c r="CJ67" i="6"/>
  <c r="CK65" i="6"/>
  <c r="CH68" i="6" l="1"/>
  <c r="CK73" i="6"/>
  <c r="CK67" i="6"/>
  <c r="CL65" i="6"/>
  <c r="CJ70" i="6"/>
  <c r="CJ68" i="6"/>
  <c r="CL67" i="6" l="1"/>
  <c r="CM65" i="6"/>
  <c r="CL73" i="6"/>
  <c r="CK68" i="6"/>
  <c r="CK70" i="6"/>
  <c r="CM67" i="6" l="1"/>
  <c r="CM73" i="6"/>
  <c r="CL70" i="6"/>
  <c r="CL68" i="6"/>
  <c r="CM70" i="6" l="1"/>
  <c r="CM68" i="6"/>
  <c r="CH76" i="6"/>
  <c r="CH78" i="6" s="1"/>
  <c r="CJ78" i="6"/>
  <c r="CJ81" i="6" s="1"/>
  <c r="CI78" i="6"/>
  <c r="CI79" i="6" s="1"/>
  <c r="CJ76" i="6"/>
  <c r="CJ84" i="6"/>
  <c r="CI84" i="6"/>
  <c r="CH79" i="6" l="1"/>
  <c r="CJ79" i="6"/>
  <c r="CI81" i="6"/>
  <c r="CK76" i="6"/>
  <c r="CH77" i="6"/>
  <c r="CK78" i="6" l="1"/>
  <c r="CL76" i="6"/>
  <c r="CK84" i="6"/>
  <c r="CL78" i="6" l="1"/>
  <c r="CL84" i="6"/>
  <c r="CM76" i="6"/>
  <c r="CK81" i="6"/>
  <c r="CK79" i="6"/>
  <c r="CL81" i="6" l="1"/>
  <c r="CL79" i="6"/>
  <c r="CM84" i="6"/>
  <c r="CM78" i="6"/>
  <c r="CM79" i="6" l="1"/>
  <c r="CM81" i="6"/>
  <c r="CH87" i="6"/>
  <c r="CH89" i="6" s="1"/>
  <c r="CJ87" i="6"/>
  <c r="CI98" i="6"/>
  <c r="CI95" i="6"/>
  <c r="CH88" i="6" l="1"/>
  <c r="CH98" i="6"/>
  <c r="CH102" i="6"/>
  <c r="CH90" i="6"/>
  <c r="CJ95" i="6"/>
  <c r="CJ98" i="6"/>
  <c r="CJ89" i="6"/>
  <c r="CK87" i="6"/>
  <c r="CI114" i="6"/>
  <c r="CI189" i="6" s="1"/>
  <c r="CI99" i="6"/>
  <c r="CI89" i="6"/>
  <c r="CI102" i="6" l="1"/>
  <c r="CI92" i="6"/>
  <c r="CI90" i="6"/>
  <c r="CI101" i="6"/>
  <c r="CI108" i="6"/>
  <c r="CI106" i="6"/>
  <c r="CH114" i="6"/>
  <c r="CH99" i="6"/>
  <c r="CL87" i="6"/>
  <c r="CK98" i="6"/>
  <c r="CK89" i="6"/>
  <c r="CK95" i="6"/>
  <c r="CJ90" i="6"/>
  <c r="CJ102" i="6"/>
  <c r="CJ92" i="6"/>
  <c r="CH104" i="6"/>
  <c r="CH103" i="6"/>
  <c r="CJ114" i="6"/>
  <c r="CJ189" i="6" s="1"/>
  <c r="CJ99" i="6"/>
  <c r="CJ101" i="6" s="1"/>
  <c r="CI177" i="6"/>
  <c r="CI233" i="6" s="1"/>
  <c r="CI115" i="6"/>
  <c r="CI245" i="6"/>
  <c r="CI246" i="6"/>
  <c r="CI244" i="6"/>
  <c r="D9" i="7"/>
  <c r="CI176" i="6"/>
  <c r="CI161" i="6"/>
  <c r="CI227" i="6"/>
  <c r="CI180" i="6" s="1"/>
  <c r="CI116" i="6"/>
  <c r="CI170" i="6"/>
  <c r="CI229" i="6"/>
  <c r="CI184" i="6" s="1"/>
  <c r="CI168" i="6"/>
  <c r="CI117" i="6"/>
  <c r="CI118" i="6"/>
  <c r="CH177" i="6" l="1"/>
  <c r="CH233" i="6" s="1"/>
  <c r="CH343" i="6" s="1"/>
  <c r="CH227" i="6"/>
  <c r="CH180" i="6" s="1"/>
  <c r="CH189" i="6"/>
  <c r="CH176" i="6"/>
  <c r="CH161" i="6"/>
  <c r="CH168" i="6"/>
  <c r="CH170" i="6"/>
  <c r="CH229" i="6"/>
  <c r="CH184" i="6" s="1"/>
  <c r="CH246" i="6"/>
  <c r="CH245" i="6"/>
  <c r="CH244" i="6"/>
  <c r="CH183" i="6" s="1"/>
  <c r="CI162" i="6"/>
  <c r="D12" i="7"/>
  <c r="D13" i="7" s="1"/>
  <c r="CG116" i="6"/>
  <c r="CI126" i="6"/>
  <c r="CI231" i="6"/>
  <c r="CI193" i="6"/>
  <c r="CI214" i="6"/>
  <c r="D22" i="8"/>
  <c r="CK90" i="6"/>
  <c r="CK92" i="6"/>
  <c r="CK102" i="6"/>
  <c r="D21" i="8"/>
  <c r="D10" i="7"/>
  <c r="CI228" i="6"/>
  <c r="CI181" i="6" s="1"/>
  <c r="CI243" i="6"/>
  <c r="CJ227" i="6"/>
  <c r="CJ180" i="6" s="1"/>
  <c r="CJ115" i="6"/>
  <c r="CJ116" i="6" s="1"/>
  <c r="CJ176" i="6"/>
  <c r="CJ118" i="6"/>
  <c r="CJ246" i="6"/>
  <c r="CJ245" i="6"/>
  <c r="CJ161" i="6"/>
  <c r="E9" i="7"/>
  <c r="CJ229" i="6"/>
  <c r="CJ184" i="6" s="1"/>
  <c r="CJ170" i="6"/>
  <c r="CJ117" i="6"/>
  <c r="CJ244" i="6"/>
  <c r="CJ168" i="6"/>
  <c r="CJ177" i="6"/>
  <c r="CJ233" i="6" s="1"/>
  <c r="CJ105" i="6"/>
  <c r="CJ103" i="6"/>
  <c r="CJ104" i="6"/>
  <c r="CK99" i="6"/>
  <c r="CK101" i="6" s="1"/>
  <c r="CK114" i="6"/>
  <c r="CK189" i="6" s="1"/>
  <c r="CH106" i="6"/>
  <c r="CH107" i="6" s="1"/>
  <c r="CJ106" i="6"/>
  <c r="CI107" i="6"/>
  <c r="CG106" i="6"/>
  <c r="CG117" i="6"/>
  <c r="CG118" i="6"/>
  <c r="CI183" i="6"/>
  <c r="CI343" i="6"/>
  <c r="CM87" i="6"/>
  <c r="CL98" i="6"/>
  <c r="CL95" i="6"/>
  <c r="CL89" i="6"/>
  <c r="CH108" i="6"/>
  <c r="CH109" i="6" s="1"/>
  <c r="CJ108" i="6"/>
  <c r="CI109" i="6"/>
  <c r="CI110" i="6"/>
  <c r="CI105" i="6"/>
  <c r="CI104" i="6"/>
  <c r="CI103" i="6"/>
  <c r="CG162" i="6" l="1"/>
  <c r="CG165" i="6"/>
  <c r="CH193" i="6"/>
  <c r="CH214" i="6"/>
  <c r="CH231" i="6"/>
  <c r="CH118" i="6"/>
  <c r="CH167" i="6" s="1"/>
  <c r="CG167" i="6"/>
  <c r="CH117" i="6"/>
  <c r="CH166" i="6" s="1"/>
  <c r="CG166" i="6"/>
  <c r="CJ183" i="6"/>
  <c r="CK108" i="6"/>
  <c r="CJ109" i="6"/>
  <c r="CJ110" i="6"/>
  <c r="CM98" i="6"/>
  <c r="CM95" i="6"/>
  <c r="CM89" i="6"/>
  <c r="CK176" i="6"/>
  <c r="CK115" i="6"/>
  <c r="CK161" i="6"/>
  <c r="CK170" i="6"/>
  <c r="CK118" i="6"/>
  <c r="CK116" i="6"/>
  <c r="CK117" i="6"/>
  <c r="CK227" i="6"/>
  <c r="CK180" i="6" s="1"/>
  <c r="CK244" i="6"/>
  <c r="CK168" i="6"/>
  <c r="CK229" i="6"/>
  <c r="CK184" i="6" s="1"/>
  <c r="CK245" i="6"/>
  <c r="F9" i="7"/>
  <c r="CK246" i="6"/>
  <c r="CK177" i="6"/>
  <c r="CK233" i="6" s="1"/>
  <c r="CJ193" i="6"/>
  <c r="E22" i="8"/>
  <c r="CJ214" i="6"/>
  <c r="CL99" i="6"/>
  <c r="CL101" i="6" s="1"/>
  <c r="CL114" i="6"/>
  <c r="CL189" i="6" s="1"/>
  <c r="CK103" i="6"/>
  <c r="CK105" i="6"/>
  <c r="CK104" i="6"/>
  <c r="CG107" i="6"/>
  <c r="CG108" i="6"/>
  <c r="CG109" i="6" s="1"/>
  <c r="CL102" i="6"/>
  <c r="CL92" i="6"/>
  <c r="CL90" i="6"/>
  <c r="CJ162" i="6"/>
  <c r="E12" i="7"/>
  <c r="E13" i="7" s="1"/>
  <c r="CJ126" i="6"/>
  <c r="CJ243" i="6"/>
  <c r="CJ228" i="6"/>
  <c r="CJ181" i="6" s="1"/>
  <c r="CJ231" i="6"/>
  <c r="E21" i="8"/>
  <c r="CI247" i="6"/>
  <c r="CI253" i="6" s="1"/>
  <c r="CI182" i="6"/>
  <c r="D23" i="8" s="1"/>
  <c r="CI344" i="6"/>
  <c r="CG126" i="6"/>
  <c r="CG115" i="6"/>
  <c r="CJ343" i="6"/>
  <c r="CK106" i="6"/>
  <c r="CJ107" i="6"/>
  <c r="E10" i="7"/>
  <c r="CI130" i="6"/>
  <c r="CI143" i="6"/>
  <c r="CI150" i="6" s="1"/>
  <c r="CI355" i="6"/>
  <c r="CI163" i="6"/>
  <c r="CI357" i="6"/>
  <c r="CH116" i="6"/>
  <c r="CG130" i="6" l="1"/>
  <c r="CG357" i="6"/>
  <c r="CG355" i="6"/>
  <c r="CG143" i="6"/>
  <c r="CG150" i="6" s="1"/>
  <c r="CG163" i="6"/>
  <c r="CH162" i="6"/>
  <c r="CH165" i="6"/>
  <c r="CI151" i="6"/>
  <c r="CI333" i="6" s="1"/>
  <c r="D18" i="8"/>
  <c r="D20" i="8" s="1"/>
  <c r="D15" i="7"/>
  <c r="CI339" i="6"/>
  <c r="CI340" i="6" s="1"/>
  <c r="CI152" i="6"/>
  <c r="CI326" i="6"/>
  <c r="CI328" i="6" s="1"/>
  <c r="D35" i="7"/>
  <c r="D36" i="7" s="1"/>
  <c r="CG243" i="6"/>
  <c r="CG228" i="6"/>
  <c r="CG181" i="6" s="1"/>
  <c r="D24" i="8"/>
  <c r="CK231" i="6"/>
  <c r="D31" i="8"/>
  <c r="F22" i="8"/>
  <c r="CK193" i="6"/>
  <c r="CK214" i="6"/>
  <c r="CI131" i="6"/>
  <c r="CL104" i="6"/>
  <c r="CL103" i="6"/>
  <c r="CL105" i="6"/>
  <c r="F21" i="8"/>
  <c r="CG131" i="6"/>
  <c r="CG133" i="6" s="1"/>
  <c r="CM102" i="6"/>
  <c r="CM90" i="6"/>
  <c r="CM92" i="6"/>
  <c r="CK343" i="6"/>
  <c r="CJ130" i="6"/>
  <c r="CJ143" i="6"/>
  <c r="CJ150" i="6" s="1"/>
  <c r="CJ152" i="6" s="1"/>
  <c r="CJ163" i="6"/>
  <c r="CJ357" i="6"/>
  <c r="CJ355" i="6"/>
  <c r="CM114" i="6"/>
  <c r="CP6" i="6"/>
  <c r="CM99" i="6"/>
  <c r="CM101" i="6" s="1"/>
  <c r="CK107" i="6"/>
  <c r="CL106" i="6"/>
  <c r="CH126" i="6"/>
  <c r="CH115" i="6"/>
  <c r="CJ247" i="6"/>
  <c r="CJ253" i="6" s="1"/>
  <c r="CJ182" i="6"/>
  <c r="E23" i="8" s="1"/>
  <c r="CJ344" i="6"/>
  <c r="CL227" i="6"/>
  <c r="CL180" i="6" s="1"/>
  <c r="CL115" i="6"/>
  <c r="CL116" i="6" s="1"/>
  <c r="CL177" i="6"/>
  <c r="CL233" i="6" s="1"/>
  <c r="CL246" i="6"/>
  <c r="G9" i="7"/>
  <c r="CL176" i="6"/>
  <c r="CL117" i="6"/>
  <c r="CL170" i="6"/>
  <c r="CL168" i="6"/>
  <c r="CL161" i="6"/>
  <c r="CL244" i="6"/>
  <c r="CL245" i="6"/>
  <c r="CL118" i="6"/>
  <c r="CL229" i="6"/>
  <c r="CL184" i="6" s="1"/>
  <c r="F10" i="7"/>
  <c r="CK183" i="6"/>
  <c r="F12" i="7"/>
  <c r="F13" i="7" s="1"/>
  <c r="CK162" i="6"/>
  <c r="CK126" i="6"/>
  <c r="CK243" i="6"/>
  <c r="CK228" i="6"/>
  <c r="CK181" i="6" s="1"/>
  <c r="CL108" i="6"/>
  <c r="CK109" i="6"/>
  <c r="CK110" i="6"/>
  <c r="CH243" i="6" l="1"/>
  <c r="CH228" i="6"/>
  <c r="CH181" i="6" s="1"/>
  <c r="CG339" i="6"/>
  <c r="CG340" i="6" s="1"/>
  <c r="CG326" i="6"/>
  <c r="CG328" i="6" s="1"/>
  <c r="CG152" i="6"/>
  <c r="CG151" i="6"/>
  <c r="CG333" i="6" s="1"/>
  <c r="CH130" i="6"/>
  <c r="CH357" i="6"/>
  <c r="CH355" i="6"/>
  <c r="CH163" i="6"/>
  <c r="CH143" i="6"/>
  <c r="CH150" i="6" s="1"/>
  <c r="CG344" i="6"/>
  <c r="CG182" i="6"/>
  <c r="CG247" i="6"/>
  <c r="CG253" i="6" s="1"/>
  <c r="CM189" i="6"/>
  <c r="D128" i="8"/>
  <c r="C128" i="8"/>
  <c r="C129" i="8" s="1"/>
  <c r="D127" i="8"/>
  <c r="C127" i="8"/>
  <c r="D16" i="7"/>
  <c r="D17" i="7"/>
  <c r="CG153" i="6"/>
  <c r="CG155" i="6" s="1"/>
  <c r="CG257" i="6"/>
  <c r="CG175" i="6"/>
  <c r="CG186" i="6" s="1"/>
  <c r="CG169" i="6"/>
  <c r="CG164" i="6"/>
  <c r="CJ151" i="6"/>
  <c r="CJ333" i="6" s="1"/>
  <c r="E15" i="7"/>
  <c r="CJ339" i="6"/>
  <c r="CJ340" i="6" s="1"/>
  <c r="E18" i="8"/>
  <c r="E20" i="8" s="1"/>
  <c r="E24" i="8" s="1"/>
  <c r="E31" i="8" s="1"/>
  <c r="CJ326" i="6"/>
  <c r="CJ328" i="6" s="1"/>
  <c r="E35" i="7"/>
  <c r="E36" i="7" s="1"/>
  <c r="CH131" i="6"/>
  <c r="CL231" i="6"/>
  <c r="CH133" i="6"/>
  <c r="CH136" i="6" s="1"/>
  <c r="CL343" i="6"/>
  <c r="CK357" i="6"/>
  <c r="CK143" i="6"/>
  <c r="CK150" i="6" s="1"/>
  <c r="CK163" i="6"/>
  <c r="CK130" i="6"/>
  <c r="CK355" i="6"/>
  <c r="CG137" i="6"/>
  <c r="CG370" i="6" s="1"/>
  <c r="CG136" i="6"/>
  <c r="CM108" i="6"/>
  <c r="CL109" i="6"/>
  <c r="CL110" i="6"/>
  <c r="CL183" i="6"/>
  <c r="G21" i="8"/>
  <c r="CL243" i="6"/>
  <c r="CL228" i="6"/>
  <c r="CL181" i="6" s="1"/>
  <c r="CL107" i="6"/>
  <c r="CM106" i="6"/>
  <c r="CM107" i="6" s="1"/>
  <c r="CM103" i="6"/>
  <c r="CP8" i="6"/>
  <c r="CM104" i="6"/>
  <c r="CM105" i="6"/>
  <c r="CP7" i="6"/>
  <c r="CJ131" i="6"/>
  <c r="CJ133" i="6" s="1"/>
  <c r="CH132" i="6"/>
  <c r="G10" i="7"/>
  <c r="CM227" i="6"/>
  <c r="CM180" i="6" s="1"/>
  <c r="CM168" i="6"/>
  <c r="CM229" i="6"/>
  <c r="CM184" i="6" s="1"/>
  <c r="H9" i="7"/>
  <c r="CM244" i="6"/>
  <c r="CM170" i="6"/>
  <c r="CM118" i="6"/>
  <c r="CM246" i="6"/>
  <c r="CO114" i="6"/>
  <c r="CM177" i="6"/>
  <c r="CM233" i="6" s="1"/>
  <c r="CM343" i="6" s="1"/>
  <c r="CM245" i="6"/>
  <c r="CM176" i="6"/>
  <c r="CM117" i="6"/>
  <c r="CM115" i="6"/>
  <c r="CM116" i="6" s="1"/>
  <c r="CM161" i="6"/>
  <c r="CL214" i="6"/>
  <c r="CL193" i="6"/>
  <c r="G22" i="8"/>
  <c r="CL162" i="6"/>
  <c r="CL126" i="6"/>
  <c r="G12" i="7"/>
  <c r="G13" i="7" s="1"/>
  <c r="CK247" i="6"/>
  <c r="CK253" i="6" s="1"/>
  <c r="CK344" i="6"/>
  <c r="CK182" i="6"/>
  <c r="F23" i="8" s="1"/>
  <c r="CI133" i="6"/>
  <c r="CH327" i="6" l="1"/>
  <c r="CH335" i="6" s="1"/>
  <c r="CH154" i="6"/>
  <c r="CG207" i="6"/>
  <c r="CG210" i="6"/>
  <c r="CH137" i="6"/>
  <c r="CH370" i="6" s="1"/>
  <c r="CH164" i="6"/>
  <c r="CH175" i="6"/>
  <c r="CH153" i="6"/>
  <c r="CH169" i="6"/>
  <c r="CG314" i="6"/>
  <c r="CH257" i="6"/>
  <c r="CH314" i="6" s="1"/>
  <c r="CH152" i="6"/>
  <c r="CH339" i="6"/>
  <c r="CH340" i="6" s="1"/>
  <c r="CH326" i="6"/>
  <c r="CH328" i="6" s="1"/>
  <c r="CH151" i="6"/>
  <c r="CH333" i="6" s="1"/>
  <c r="C79" i="8"/>
  <c r="CK152" i="6"/>
  <c r="CG349" i="6"/>
  <c r="CG156" i="6"/>
  <c r="CH344" i="6"/>
  <c r="CH182" i="6"/>
  <c r="CH247" i="6"/>
  <c r="CH253" i="6" s="1"/>
  <c r="F65" i="8"/>
  <c r="F67" i="8" s="1"/>
  <c r="F69" i="8" s="1"/>
  <c r="C81" i="8"/>
  <c r="C83" i="8" s="1"/>
  <c r="CK151" i="6"/>
  <c r="CK333" i="6" s="1"/>
  <c r="F15" i="7"/>
  <c r="CK339" i="6"/>
  <c r="CK340" i="6" s="1"/>
  <c r="F35" i="7"/>
  <c r="F36" i="7" s="1"/>
  <c r="CK326" i="6"/>
  <c r="CK328" i="6" s="1"/>
  <c r="F18" i="8"/>
  <c r="F20" i="8" s="1"/>
  <c r="F24" i="8" s="1"/>
  <c r="F31" i="8" s="1"/>
  <c r="E16" i="7"/>
  <c r="E17" i="7"/>
  <c r="CM183" i="6"/>
  <c r="CI153" i="6"/>
  <c r="CI155" i="6" s="1"/>
  <c r="CI137" i="6"/>
  <c r="CI370" i="6" s="1"/>
  <c r="CI169" i="6"/>
  <c r="CI175" i="6"/>
  <c r="CI186" i="6" s="1"/>
  <c r="CI164" i="6"/>
  <c r="CI136" i="6"/>
  <c r="CI257" i="6"/>
  <c r="H10" i="7"/>
  <c r="I9" i="7"/>
  <c r="CM126" i="6"/>
  <c r="H12" i="7"/>
  <c r="CM162" i="6"/>
  <c r="CJ164" i="6"/>
  <c r="CJ153" i="6"/>
  <c r="CJ155" i="6" s="1"/>
  <c r="CJ169" i="6"/>
  <c r="CJ137" i="6"/>
  <c r="CJ370" i="6" s="1"/>
  <c r="CJ175" i="6"/>
  <c r="CJ186" i="6" s="1"/>
  <c r="CJ136" i="6"/>
  <c r="CL357" i="6"/>
  <c r="CL130" i="6"/>
  <c r="CL163" i="6"/>
  <c r="CL143" i="6"/>
  <c r="CL150" i="6" s="1"/>
  <c r="CL355" i="6"/>
  <c r="H21" i="8"/>
  <c r="H22" i="8"/>
  <c r="CM193" i="6"/>
  <c r="CM214" i="6"/>
  <c r="CL344" i="6"/>
  <c r="CL247" i="6"/>
  <c r="CL253" i="6" s="1"/>
  <c r="CL182" i="6"/>
  <c r="G23" i="8" s="1"/>
  <c r="CM109" i="6"/>
  <c r="CM110" i="6"/>
  <c r="CM228" i="6"/>
  <c r="CM181" i="6" s="1"/>
  <c r="CM243" i="6"/>
  <c r="CK131" i="6"/>
  <c r="CK133" i="6" s="1"/>
  <c r="F72" i="8" s="1"/>
  <c r="CM231" i="6"/>
  <c r="CH186" i="6" l="1"/>
  <c r="CH210" i="6" s="1"/>
  <c r="CG213" i="6"/>
  <c r="CG372" i="6"/>
  <c r="CG211" i="6"/>
  <c r="CG212" i="6"/>
  <c r="CG226" i="6"/>
  <c r="CG205" i="6"/>
  <c r="CH206" i="6"/>
  <c r="CH207" i="6" s="1"/>
  <c r="CG320" i="6"/>
  <c r="G18" i="8"/>
  <c r="CL152" i="6"/>
  <c r="CG371" i="6"/>
  <c r="CG157" i="6"/>
  <c r="CG158" i="6"/>
  <c r="CG159" i="6" s="1"/>
  <c r="CH155" i="6"/>
  <c r="F16" i="7"/>
  <c r="F17" i="7"/>
  <c r="CL151" i="6"/>
  <c r="CL333" i="6" s="1"/>
  <c r="G15" i="7"/>
  <c r="G20" i="8"/>
  <c r="G24" i="8" s="1"/>
  <c r="G31" i="8" s="1"/>
  <c r="G35" i="7"/>
  <c r="G36" i="7" s="1"/>
  <c r="CL339" i="6"/>
  <c r="CL340" i="6" s="1"/>
  <c r="CL326" i="6"/>
  <c r="CL328" i="6" s="1"/>
  <c r="CK169" i="6"/>
  <c r="CK175" i="6"/>
  <c r="CK186" i="6" s="1"/>
  <c r="CK136" i="6"/>
  <c r="CK137" i="6"/>
  <c r="CK370" i="6" s="1"/>
  <c r="CK164" i="6"/>
  <c r="CK153" i="6"/>
  <c r="CK155" i="6" s="1"/>
  <c r="F73" i="8" s="1"/>
  <c r="CM247" i="6"/>
  <c r="CM253" i="6" s="1"/>
  <c r="CM344" i="6"/>
  <c r="CM182" i="6"/>
  <c r="H23" i="8" s="1"/>
  <c r="CM130" i="6"/>
  <c r="CM163" i="6"/>
  <c r="CM357" i="6"/>
  <c r="CO126" i="6"/>
  <c r="CM355" i="6"/>
  <c r="CM143" i="6"/>
  <c r="CM150" i="6" s="1"/>
  <c r="CJ349" i="6"/>
  <c r="CJ156" i="6"/>
  <c r="E19" i="7"/>
  <c r="CJ210" i="6"/>
  <c r="D19" i="7"/>
  <c r="CI156" i="6"/>
  <c r="CI349" i="6"/>
  <c r="CJ257" i="6"/>
  <c r="CI260" i="6"/>
  <c r="CI314" i="6"/>
  <c r="CL131" i="6"/>
  <c r="CL133" i="6" s="1"/>
  <c r="H13" i="7"/>
  <c r="I12" i="7"/>
  <c r="CI210" i="6"/>
  <c r="CI207" i="6"/>
  <c r="H18" i="8" l="1"/>
  <c r="I18" i="8" s="1"/>
  <c r="I20" i="8" s="1"/>
  <c r="CM152" i="6"/>
  <c r="C114" i="8"/>
  <c r="CH349" i="6"/>
  <c r="CH156" i="6"/>
  <c r="CG331" i="6"/>
  <c r="CG230" i="6"/>
  <c r="CG237" i="6" s="1"/>
  <c r="CG321" i="6"/>
  <c r="CH320" i="6"/>
  <c r="CH226" i="6"/>
  <c r="CH205" i="6"/>
  <c r="CH372" i="6"/>
  <c r="CH212" i="6"/>
  <c r="CH213" i="6"/>
  <c r="CH211" i="6"/>
  <c r="J18" i="8"/>
  <c r="CM151" i="6"/>
  <c r="CM333" i="6" s="1"/>
  <c r="H15" i="7"/>
  <c r="CM339" i="6"/>
  <c r="CM340" i="6" s="1"/>
  <c r="CM326" i="6"/>
  <c r="CM328" i="6" s="1"/>
  <c r="H35" i="7"/>
  <c r="G16" i="7"/>
  <c r="G17" i="7"/>
  <c r="CL153" i="6"/>
  <c r="CL155" i="6" s="1"/>
  <c r="CL175" i="6"/>
  <c r="CL186" i="6" s="1"/>
  <c r="CL164" i="6"/>
  <c r="CL136" i="6"/>
  <c r="CL169" i="6"/>
  <c r="CL137" i="6"/>
  <c r="CL370" i="6" s="1"/>
  <c r="CI330" i="6"/>
  <c r="CI350" i="6"/>
  <c r="CI351" i="6" s="1"/>
  <c r="CI261" i="6"/>
  <c r="E31" i="7"/>
  <c r="CJ212" i="6"/>
  <c r="CJ372" i="6"/>
  <c r="CJ211" i="6"/>
  <c r="CJ213" i="6"/>
  <c r="CM131" i="6"/>
  <c r="CM133" i="6" s="1"/>
  <c r="D31" i="7"/>
  <c r="CI211" i="6"/>
  <c r="CI212" i="6"/>
  <c r="CI372" i="6"/>
  <c r="CI213" i="6"/>
  <c r="CJ260" i="6"/>
  <c r="CK257" i="6"/>
  <c r="CJ314" i="6"/>
  <c r="CK349" i="6"/>
  <c r="CK156" i="6"/>
  <c r="F80" i="8" s="1"/>
  <c r="F81" i="8" s="1"/>
  <c r="F19" i="7"/>
  <c r="CK210" i="6"/>
  <c r="CI226" i="6"/>
  <c r="CJ206" i="6"/>
  <c r="CJ207" i="6" s="1"/>
  <c r="CI205" i="6"/>
  <c r="CI320" i="6"/>
  <c r="D23" i="7"/>
  <c r="D24" i="7" s="1"/>
  <c r="CI157" i="6"/>
  <c r="CI371" i="6"/>
  <c r="CI158" i="6"/>
  <c r="CI159" i="6" s="1"/>
  <c r="E23" i="7"/>
  <c r="CJ371" i="6"/>
  <c r="CJ157" i="6"/>
  <c r="CJ158" i="6"/>
  <c r="CJ159" i="6" s="1"/>
  <c r="CI331" i="6" l="1"/>
  <c r="CI308" i="6"/>
  <c r="CG260" i="6"/>
  <c r="CG342" i="6"/>
  <c r="CG345" i="6" s="1"/>
  <c r="CG346" i="6" s="1"/>
  <c r="CH331" i="6"/>
  <c r="CH230" i="6"/>
  <c r="CH237" i="6" s="1"/>
  <c r="CH321" i="6"/>
  <c r="CG363" i="6"/>
  <c r="CG364" i="6" s="1"/>
  <c r="CG354" i="6"/>
  <c r="CG356" i="6" s="1"/>
  <c r="CH371" i="6"/>
  <c r="CH158" i="6"/>
  <c r="CH159" i="6" s="1"/>
  <c r="CH157" i="6"/>
  <c r="I22" i="8"/>
  <c r="J22" i="8" s="1"/>
  <c r="K22" i="8" s="1"/>
  <c r="I21" i="8"/>
  <c r="J21" i="8" s="1"/>
  <c r="I23" i="8"/>
  <c r="J23" i="8" s="1"/>
  <c r="K23" i="8" s="1"/>
  <c r="K21" i="8"/>
  <c r="K18" i="8"/>
  <c r="J20" i="8"/>
  <c r="H36" i="7"/>
  <c r="I35" i="7"/>
  <c r="H20" i="8"/>
  <c r="I15" i="7"/>
  <c r="H16" i="7"/>
  <c r="H17" i="7"/>
  <c r="F31" i="7"/>
  <c r="CK372" i="6"/>
  <c r="CK211" i="6"/>
  <c r="CK213" i="6"/>
  <c r="CK212" i="6"/>
  <c r="CM136" i="6"/>
  <c r="CM137" i="6"/>
  <c r="CM175" i="6"/>
  <c r="CM153" i="6"/>
  <c r="CM155" i="6" s="1"/>
  <c r="CM169" i="6"/>
  <c r="CO133" i="6"/>
  <c r="CM164" i="6"/>
  <c r="CJ320" i="6"/>
  <c r="CJ205" i="6"/>
  <c r="CJ226" i="6"/>
  <c r="CJ308" i="6" s="1"/>
  <c r="CK206" i="6"/>
  <c r="CK207" i="6" s="1"/>
  <c r="CK314" i="6"/>
  <c r="CL257" i="6"/>
  <c r="CK260" i="6"/>
  <c r="CL210" i="6"/>
  <c r="E33" i="7"/>
  <c r="E32" i="7"/>
  <c r="E24" i="7"/>
  <c r="CI329" i="6"/>
  <c r="CI321" i="6"/>
  <c r="CI230" i="6"/>
  <c r="CI237" i="6" s="1"/>
  <c r="CK158" i="6"/>
  <c r="CK159" i="6" s="1"/>
  <c r="CK371" i="6"/>
  <c r="F23" i="7"/>
  <c r="F27" i="7" s="1"/>
  <c r="CK157" i="6"/>
  <c r="CJ330" i="6"/>
  <c r="CJ350" i="6"/>
  <c r="CJ351" i="6" s="1"/>
  <c r="CJ261" i="6"/>
  <c r="CL349" i="6"/>
  <c r="CL156" i="6"/>
  <c r="G19" i="7"/>
  <c r="D33" i="7"/>
  <c r="D34" i="7" s="1"/>
  <c r="D32" i="7"/>
  <c r="CG369" i="6" l="1"/>
  <c r="CG368" i="6"/>
  <c r="CG367" i="6"/>
  <c r="CG350" i="6"/>
  <c r="CG351" i="6" s="1"/>
  <c r="CG330" i="6"/>
  <c r="CG329" i="6" s="1"/>
  <c r="CG261" i="6"/>
  <c r="CG263" i="6" s="1"/>
  <c r="CH260" i="6"/>
  <c r="CH342" i="6"/>
  <c r="CH345" i="6" s="1"/>
  <c r="CH346" i="6" s="1"/>
  <c r="CH354" i="6"/>
  <c r="CH356" i="6" s="1"/>
  <c r="CH363" i="6"/>
  <c r="CH364" i="6" s="1"/>
  <c r="I24" i="8"/>
  <c r="I31" i="8" s="1"/>
  <c r="J24" i="8"/>
  <c r="J31" i="8" s="1"/>
  <c r="K20" i="8"/>
  <c r="K24" i="8" s="1"/>
  <c r="K31" i="8" s="1"/>
  <c r="L18" i="8"/>
  <c r="L22" i="8" s="1"/>
  <c r="H24" i="8"/>
  <c r="CI332" i="6"/>
  <c r="D41" i="7" s="1"/>
  <c r="CI334" i="6"/>
  <c r="CI336" i="6" s="1"/>
  <c r="CL260" i="6"/>
  <c r="CL314" i="6"/>
  <c r="CM257" i="6"/>
  <c r="CM370" i="6"/>
  <c r="CO137" i="6"/>
  <c r="CI342" i="6"/>
  <c r="CI345" i="6" s="1"/>
  <c r="CI346" i="6" s="1"/>
  <c r="D42" i="7" s="1"/>
  <c r="CI263" i="6"/>
  <c r="CL211" i="6"/>
  <c r="CL213" i="6"/>
  <c r="CL372" i="6"/>
  <c r="CL212" i="6"/>
  <c r="G31" i="7"/>
  <c r="F24" i="7"/>
  <c r="CK320" i="6"/>
  <c r="CL206" i="6"/>
  <c r="CL207" i="6" s="1"/>
  <c r="CK226" i="6"/>
  <c r="CK308" i="6" s="1"/>
  <c r="CK205" i="6"/>
  <c r="CO155" i="6"/>
  <c r="H19" i="7"/>
  <c r="I19" i="7" s="1"/>
  <c r="CM156" i="6"/>
  <c r="CM349" i="6"/>
  <c r="F33" i="7"/>
  <c r="F32" i="7"/>
  <c r="E44" i="7"/>
  <c r="CL157" i="6"/>
  <c r="G23" i="7"/>
  <c r="CL158" i="6"/>
  <c r="CL159" i="6" s="1"/>
  <c r="CL371" i="6"/>
  <c r="C38" i="8"/>
  <c r="C94" i="8" s="1"/>
  <c r="C95" i="8" s="1"/>
  <c r="C96" i="8" s="1"/>
  <c r="D38" i="7"/>
  <c r="D39" i="7" s="1"/>
  <c r="CI363" i="6"/>
  <c r="CI364" i="6" s="1"/>
  <c r="CI354" i="6"/>
  <c r="CI356" i="6" s="1"/>
  <c r="E34" i="7"/>
  <c r="CK330" i="6"/>
  <c r="CK350" i="6"/>
  <c r="CK351" i="6" s="1"/>
  <c r="CK261" i="6"/>
  <c r="CJ321" i="6"/>
  <c r="CJ331" i="6"/>
  <c r="CJ230" i="6"/>
  <c r="CJ237" i="6" s="1"/>
  <c r="CM186" i="6"/>
  <c r="CO175" i="6"/>
  <c r="CH330" i="6" l="1"/>
  <c r="CH329" i="6" s="1"/>
  <c r="CH350" i="6"/>
  <c r="CH351" i="6" s="1"/>
  <c r="CH261" i="6"/>
  <c r="CH263" i="6" s="1"/>
  <c r="CH367" i="6"/>
  <c r="CH369" i="6"/>
  <c r="CH368" i="6"/>
  <c r="CG334" i="6"/>
  <c r="CG336" i="6" s="1"/>
  <c r="CG332" i="6"/>
  <c r="L20" i="8"/>
  <c r="M18" i="8"/>
  <c r="M22" i="8" s="1"/>
  <c r="L23" i="8"/>
  <c r="M23" i="8" s="1"/>
  <c r="H31" i="8"/>
  <c r="L21" i="8"/>
  <c r="M21" i="8" s="1"/>
  <c r="F34" i="7"/>
  <c r="CI367" i="6"/>
  <c r="CI369" i="6"/>
  <c r="CI368" i="6"/>
  <c r="CL205" i="6"/>
  <c r="CM206" i="6"/>
  <c r="CL320" i="6"/>
  <c r="CL226" i="6"/>
  <c r="CL308" i="6" s="1"/>
  <c r="F28" i="7"/>
  <c r="F44" i="7"/>
  <c r="F29" i="7"/>
  <c r="CL330" i="6"/>
  <c r="CL350" i="6"/>
  <c r="CL351" i="6" s="1"/>
  <c r="CL261" i="6"/>
  <c r="CJ363" i="6"/>
  <c r="CJ364" i="6" s="1"/>
  <c r="C84" i="8"/>
  <c r="E38" i="7"/>
  <c r="CJ354" i="6"/>
  <c r="CJ356" i="6" s="1"/>
  <c r="C99" i="8"/>
  <c r="C98" i="8"/>
  <c r="G32" i="7"/>
  <c r="G33" i="7"/>
  <c r="CJ342" i="6"/>
  <c r="CJ345" i="6" s="1"/>
  <c r="CJ346" i="6" s="1"/>
  <c r="E42" i="7" s="1"/>
  <c r="CJ263" i="6"/>
  <c r="CM371" i="6"/>
  <c r="CM157" i="6"/>
  <c r="CO156" i="6"/>
  <c r="CP10" i="6"/>
  <c r="CM158" i="6"/>
  <c r="CM159" i="6" s="1"/>
  <c r="H23" i="7"/>
  <c r="I23" i="7" s="1"/>
  <c r="CK230" i="6"/>
  <c r="CK237" i="6" s="1"/>
  <c r="CK331" i="6"/>
  <c r="CK329" i="6" s="1"/>
  <c r="CK321" i="6"/>
  <c r="CM207" i="6"/>
  <c r="CM210" i="6"/>
  <c r="CO186" i="6"/>
  <c r="CJ329" i="6"/>
  <c r="G27" i="7"/>
  <c r="G24" i="7"/>
  <c r="CM314" i="6"/>
  <c r="CM260" i="6"/>
  <c r="N23" i="8" l="1"/>
  <c r="CH334" i="6"/>
  <c r="CH336" i="6" s="1"/>
  <c r="CH332" i="6"/>
  <c r="C85" i="8"/>
  <c r="C87" i="8" s="1"/>
  <c r="C90" i="8" s="1"/>
  <c r="F70" i="8"/>
  <c r="F71" i="8" s="1"/>
  <c r="L24" i="8"/>
  <c r="L31" i="8" s="1"/>
  <c r="N18" i="8"/>
  <c r="N21" i="8" s="1"/>
  <c r="M20" i="8"/>
  <c r="M24" i="8" s="1"/>
  <c r="M31" i="8" s="1"/>
  <c r="G29" i="7"/>
  <c r="G44" i="7"/>
  <c r="G28" i="7"/>
  <c r="H24" i="7"/>
  <c r="H27" i="7"/>
  <c r="CJ367" i="6"/>
  <c r="CJ368" i="6"/>
  <c r="CJ369" i="6"/>
  <c r="CK332" i="6"/>
  <c r="F41" i="7" s="1"/>
  <c r="CK334" i="6"/>
  <c r="CK336" i="6" s="1"/>
  <c r="CJ332" i="6"/>
  <c r="E41" i="7" s="1"/>
  <c r="CJ334" i="6"/>
  <c r="CJ336" i="6" s="1"/>
  <c r="G34" i="7"/>
  <c r="CM205" i="6"/>
  <c r="CM320" i="6"/>
  <c r="CM226" i="6"/>
  <c r="CM308" i="6" s="1"/>
  <c r="F38" i="7"/>
  <c r="CK363" i="6"/>
  <c r="CK364" i="6" s="1"/>
  <c r="CK354" i="6"/>
  <c r="CK356" i="6" s="1"/>
  <c r="E39" i="7"/>
  <c r="E45" i="7"/>
  <c r="E46" i="7" s="1"/>
  <c r="E47" i="7" s="1"/>
  <c r="CM350" i="6"/>
  <c r="CM351" i="6" s="1"/>
  <c r="CM330" i="6"/>
  <c r="CO260" i="6"/>
  <c r="CM261" i="6"/>
  <c r="CM213" i="6"/>
  <c r="CM212" i="6"/>
  <c r="CO210" i="6"/>
  <c r="CM211" i="6"/>
  <c r="H31" i="7"/>
  <c r="CM372" i="6"/>
  <c r="CK342" i="6"/>
  <c r="CK345" i="6" s="1"/>
  <c r="CK346" i="6" s="1"/>
  <c r="F42" i="7" s="1"/>
  <c r="CK263" i="6"/>
  <c r="CL331" i="6"/>
  <c r="CL321" i="6"/>
  <c r="CL230" i="6"/>
  <c r="CL237" i="6" s="1"/>
  <c r="O18" i="8" l="1"/>
  <c r="O20" i="8" s="1"/>
  <c r="N20" i="8"/>
  <c r="N22" i="8"/>
  <c r="F76" i="8"/>
  <c r="F75" i="8"/>
  <c r="G38" i="7"/>
  <c r="CL354" i="6"/>
  <c r="CL356" i="6" s="1"/>
  <c r="CL363" i="6"/>
  <c r="CL364" i="6" s="1"/>
  <c r="CL329" i="6"/>
  <c r="I31" i="7"/>
  <c r="H33" i="7"/>
  <c r="H34" i="7" s="1"/>
  <c r="H32" i="7"/>
  <c r="CK368" i="6"/>
  <c r="CK369" i="6"/>
  <c r="CK367" i="6"/>
  <c r="CM321" i="6"/>
  <c r="CM230" i="6"/>
  <c r="CM237" i="6" s="1"/>
  <c r="CM331" i="6"/>
  <c r="CM329" i="6" s="1"/>
  <c r="H44" i="7"/>
  <c r="H28" i="7"/>
  <c r="H29" i="7"/>
  <c r="CL263" i="6"/>
  <c r="CL342" i="6"/>
  <c r="CL345" i="6" s="1"/>
  <c r="CL346" i="6" s="1"/>
  <c r="G42" i="7" s="1"/>
  <c r="F39" i="7"/>
  <c r="F45" i="7"/>
  <c r="F46" i="7" s="1"/>
  <c r="F47" i="7" s="1"/>
  <c r="F83" i="8" l="1"/>
  <c r="F84" i="8" s="1"/>
  <c r="D118" i="8"/>
  <c r="D119" i="8" s="1"/>
  <c r="D120" i="8" s="1"/>
  <c r="D121" i="8" s="1"/>
  <c r="D122" i="8" s="1"/>
  <c r="D123" i="8" s="1"/>
  <c r="D124" i="8" s="1"/>
  <c r="D129" i="8" s="1"/>
  <c r="P18" i="8"/>
  <c r="O22" i="8"/>
  <c r="O23" i="8"/>
  <c r="N24" i="8"/>
  <c r="N31" i="8" s="1"/>
  <c r="O21" i="8"/>
  <c r="P21" i="8" s="1"/>
  <c r="D50" i="8" a="1"/>
  <c r="D50" i="8" s="1"/>
  <c r="D52" i="8" a="1"/>
  <c r="D52" i="8" s="1"/>
  <c r="CL332" i="6"/>
  <c r="G41" i="7" s="1"/>
  <c r="CL334" i="6"/>
  <c r="CL336" i="6" s="1"/>
  <c r="CL367" i="6"/>
  <c r="CL368" i="6"/>
  <c r="CL369" i="6"/>
  <c r="CO237" i="6"/>
  <c r="CM342" i="6"/>
  <c r="CM345" i="6" s="1"/>
  <c r="CM346" i="6" s="1"/>
  <c r="H42" i="7" s="1"/>
  <c r="CM263" i="6"/>
  <c r="CM332" i="6"/>
  <c r="H41" i="7" s="1"/>
  <c r="CM334" i="6"/>
  <c r="CM336" i="6" s="1"/>
  <c r="CM363" i="6"/>
  <c r="CM364" i="6" s="1"/>
  <c r="CM354" i="6"/>
  <c r="CM356" i="6" s="1"/>
  <c r="H38" i="7"/>
  <c r="G39" i="7"/>
  <c r="G45" i="7"/>
  <c r="G46" i="7" s="1"/>
  <c r="G47" i="7" s="1"/>
  <c r="Q18" i="8" l="1"/>
  <c r="P20" i="8"/>
  <c r="P23" i="8"/>
  <c r="Q23" i="8" s="1"/>
  <c r="P22" i="8"/>
  <c r="O24" i="8"/>
  <c r="O31" i="8" s="1"/>
  <c r="G54" i="8" a="1"/>
  <c r="G54" i="8" s="1"/>
  <c r="H51" i="8" a="1"/>
  <c r="H51" i="8" s="1"/>
  <c r="E52" i="8" a="1"/>
  <c r="E52" i="8" s="1"/>
  <c r="H53" i="8" a="1"/>
  <c r="H53" i="8" s="1"/>
  <c r="H54" i="8" a="1"/>
  <c r="H54" i="8" s="1"/>
  <c r="E51" i="8" a="1"/>
  <c r="E51" i="8" s="1"/>
  <c r="F50" i="8" a="1"/>
  <c r="F50" i="8" s="1"/>
  <c r="H52" i="8" a="1"/>
  <c r="H52" i="8" s="1"/>
  <c r="F53" i="8" a="1"/>
  <c r="F53" i="8" s="1"/>
  <c r="D54" i="8" a="1"/>
  <c r="D54" i="8" s="1"/>
  <c r="E53" i="8" a="1"/>
  <c r="E53" i="8" s="1"/>
  <c r="H50" i="8" a="1"/>
  <c r="H50" i="8" s="1"/>
  <c r="E54" i="8" a="1"/>
  <c r="E54" i="8" s="1"/>
  <c r="G51" i="8" a="1"/>
  <c r="G51" i="8" s="1"/>
  <c r="F51" i="8" a="1"/>
  <c r="F51" i="8" s="1"/>
  <c r="F52" i="8" a="1"/>
  <c r="F52" i="8" s="1"/>
  <c r="E50" i="8" a="1"/>
  <c r="E50" i="8" s="1"/>
  <c r="G53" i="8" a="1"/>
  <c r="G53" i="8" s="1"/>
  <c r="G52" i="8" a="1"/>
  <c r="G52" i="8" s="1"/>
  <c r="D51" i="8" a="1"/>
  <c r="D51" i="8" s="1"/>
  <c r="D53" i="8" a="1"/>
  <c r="D53" i="8" s="1"/>
  <c r="F54" i="8" a="1"/>
  <c r="F54" i="8" s="1"/>
  <c r="G50" i="8" a="1"/>
  <c r="G50" i="8" s="1"/>
  <c r="CM367" i="6"/>
  <c r="CM368" i="6"/>
  <c r="CM369" i="6"/>
  <c r="H45" i="7"/>
  <c r="H46" i="7" s="1"/>
  <c r="H47" i="7" s="1"/>
  <c r="H39" i="7"/>
  <c r="P24" i="8" l="1"/>
  <c r="P31" i="8" s="1"/>
  <c r="Q20" i="8"/>
  <c r="R18" i="8"/>
  <c r="Q22" i="8"/>
  <c r="Q21" i="8"/>
  <c r="R21" i="8" s="1"/>
  <c r="T18" i="8" l="1"/>
  <c r="R20" i="8"/>
  <c r="Q24" i="8"/>
  <c r="Q31" i="8" s="1"/>
  <c r="R22" i="8"/>
  <c r="R23" i="8"/>
  <c r="T20" i="8" l="1"/>
  <c r="R24" i="8"/>
  <c r="S24" i="8" l="1"/>
  <c r="S25" i="8" s="1"/>
  <c r="S31" i="8" s="1"/>
  <c r="C36" i="8" s="1"/>
  <c r="T24" i="8"/>
  <c r="R31" i="8"/>
  <c r="C35" i="8" s="1"/>
  <c r="C37" i="8" l="1"/>
  <c r="C39" i="8" s="1"/>
  <c r="C41" i="8" s="1"/>
  <c r="C43"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tc={FAF2FF14-23E2-411E-8695-943DB5E14EBF}</author>
    <author>tc={342DAB08-2A90-476A-B271-E65EB0B2C634}</author>
    <author>tc={7FCBC7B7-71ED-4275-8D51-09E45372E93C}</author>
    <author>tc={742DECB5-CE22-4944-BEB8-1CED6B2A761F}</author>
    <author>tc={C1298D7A-5AE8-49EA-94BB-0330CA230E5C}</author>
    <author>tc={FFD22D54-A9E2-4B2A-A492-687B9B3E0636}</author>
    <author>tc={12D0F1DE-21BE-4CAE-8695-A92B2A2A5501}</author>
    <author>tc={4DC5DB3E-4999-4C71-9AFC-3F6632671F1F}</author>
    <author>tc={0F110022-5DA8-4176-B5BF-55719D901B95}</author>
    <author>tc={E0905645-7E1B-49D8-BD01-0486D4121581}</author>
    <author>tc={9CC08B1E-274E-48D5-ABC2-096FD44A6F87}</author>
    <author>tc={AC8D0684-D2BD-4333-B3E1-92F5A69CA3CB}</author>
    <author>tc={FA971A9A-2457-40A0-A742-AB607C937EEF}</author>
    <author>tc={36D3E793-02D4-47C8-BC52-57F0330A666D}</author>
    <author>tc={784BBCDF-0BBA-4713-9D0D-12FE5F4F4F6E}</author>
    <author>tc={88A5BCEC-E150-4DDD-869B-BE6344F5718C}</author>
    <author>tc={D0A3FDFF-F4CA-4911-BD9C-1AD8ACDAA64C}</author>
    <author>tc={A4538AD2-9475-43E6-9D9A-57FD92F3407B}</author>
    <author>tc={EE150BA9-3B42-4D32-BC65-EE84AB8B4B6D}</author>
    <author>tc={0143AD7B-0AA2-4DF1-8EF7-1F21AF804E64}</author>
    <author>tc={73CFAC9E-6CC8-454B-B11A-5AF7C09FCE74}</author>
    <author>tc={31B8DD48-33D4-407C-A0AC-27A4E625DF29}</author>
    <author>tc={31E561B4-F1E3-4BF0-946E-8D52C3731A0C}</author>
    <author>tc={035F888B-E2E0-49A2-86D7-6594BDA0C38A}</author>
    <author>tc={4481D696-A5C3-4A29-B54C-3476FB29BD2C}</author>
    <author>tc={2E415F34-AC93-408B-91F6-1104055B462A}</author>
    <author>tc={5EED3070-A3F7-46D6-A0E7-B13FE164B4D1}</author>
    <author>tc={D6E61BDD-BF4C-4EEA-9D24-81703BA614B7}</author>
    <author>tc={FDCD9F98-5C12-4E02-9F67-29A24031A509}</author>
    <author>tc={1F0919A8-847A-4A77-BB3C-4AC5957DBFFE}</author>
    <author>tc={BD762BF2-5E06-4D18-BF27-BAC9007822B3}</author>
    <author>tc={EEED5656-A95A-4F03-B0E5-AC97D37A2EAF}</author>
    <author>tc={29957BF5-BCD2-4E0C-8F41-9201D71F8BBA}</author>
    <author>tc={AA689BBF-FC2F-4048-A248-A670A73CF00A}</author>
    <author>tc={35C2E198-5751-46AE-B336-15B2F9A9281B}</author>
    <author>tc={DDF248FB-E29D-4D37-9F70-C86977CBBAC5}</author>
    <author>tc={80C1E5ED-F7C2-4C84-BB8C-403200D75B47}</author>
  </authors>
  <commentList>
    <comment ref="G12" authorId="0" shapeId="0" xr:uid="{88374796-F740-4BCF-819C-8F2E388F8931}">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L12" authorId="0" shapeId="0" xr:uid="{8FE2AD61-CDA7-4F12-835B-8341EC952E10}">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Q12" authorId="0" shapeId="0" xr:uid="{731C6818-A23F-4093-8B74-29EB2B230198}">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V12" authorId="0" shapeId="0" xr:uid="{46BB6204-EDE3-49B6-B4E2-FB584805A67C}">
      <text>
        <r>
          <rPr>
            <b/>
            <sz val="9"/>
            <color indexed="81"/>
            <rFont val="Tahoma"/>
            <charset val="1"/>
          </rPr>
          <t>User:</t>
        </r>
        <r>
          <rPr>
            <sz val="9"/>
            <color indexed="81"/>
            <rFont val="Tahoma"/>
            <charset val="1"/>
          </rPr>
          <t xml:space="preserve">
Source: Moog FY2015 10-K (restated), Segments footnote, https://www.sec.gov/Archives/edgar/data/0000067887/000006788715000081/fy201510-kdocument.htm</t>
        </r>
      </text>
    </comment>
    <comment ref="AA12" authorId="0" shapeId="0" xr:uid="{A544CE8B-B421-491A-9B90-D9BB5D2A26AC}">
      <text>
        <r>
          <rPr>
            <b/>
            <sz val="9"/>
            <color indexed="81"/>
            <rFont val="Tahoma"/>
            <charset val="1"/>
          </rPr>
          <t>User:</t>
        </r>
        <r>
          <rPr>
            <sz val="9"/>
            <color indexed="81"/>
            <rFont val="Tahoma"/>
            <charset val="1"/>
          </rPr>
          <t xml:space="preserve">
Source: Moog FY2015 10-K (restated), Segments footnote, https://www.sec.gov/Archives/edgar/data/0000067887/000006788715000081/fy201510-kdocument.htm</t>
        </r>
      </text>
    </comment>
    <comment ref="AF12" authorId="0" shapeId="0" xr:uid="{91C00C43-D588-4C11-B4B3-C4D37181A516}">
      <text>
        <r>
          <rPr>
            <b/>
            <sz val="9"/>
            <color indexed="81"/>
            <rFont val="Tahoma"/>
            <charset val="1"/>
          </rPr>
          <t>User:</t>
        </r>
        <r>
          <rPr>
            <sz val="9"/>
            <color indexed="81"/>
            <rFont val="Tahoma"/>
            <charset val="1"/>
          </rPr>
          <t xml:space="preserve">
Source: Moog FY2015 10-K, Segments footnote, https://www.sec.gov/Archives/edgar/data/0000067887/000006788715000081/fy201510-kdocument.htm</t>
        </r>
      </text>
    </comment>
    <comment ref="AK12" authorId="0" shapeId="0" xr:uid="{940DA9D3-2678-40A0-BE83-8DE00C90BA42}">
      <text>
        <r>
          <rPr>
            <b/>
            <sz val="9"/>
            <color indexed="81"/>
            <rFont val="Tahoma"/>
            <charset val="1"/>
          </rPr>
          <t>User:</t>
        </r>
        <r>
          <rPr>
            <sz val="9"/>
            <color indexed="81"/>
            <rFont val="Tahoma"/>
            <charset val="1"/>
          </rPr>
          <t xml:space="preserve">
Source: Moog FY2017 10-K, Segments footnote, https://www.sec.gov/Archives/edgar/data/0000067887/000006788717000087/a10-kdocumentxfy17xq4.htm</t>
        </r>
      </text>
    </comment>
    <comment ref="AP12" authorId="0" shapeId="0" xr:uid="{083BA9B7-23EB-473F-B796-3B8C6075E41D}">
      <text>
        <r>
          <rPr>
            <b/>
            <sz val="9"/>
            <color indexed="81"/>
            <rFont val="Tahoma"/>
            <charset val="1"/>
          </rPr>
          <t>User:</t>
        </r>
        <r>
          <rPr>
            <sz val="9"/>
            <color indexed="81"/>
            <rFont val="Tahoma"/>
            <charset val="1"/>
          </rPr>
          <t xml:space="preserve">
Source: Moog FY2017 10-K, Segments footnote, https://www.sec.gov/Archives/edgar/data/0000067887/000006788717000087/a10-kdocumentxfy17xq4.htm</t>
        </r>
      </text>
    </comment>
    <comment ref="AU12" authorId="0" shapeId="0" xr:uid="{E613983E-2A97-4D7D-B1A8-4DE0D50CCB63}">
      <text>
        <r>
          <rPr>
            <b/>
            <sz val="9"/>
            <color indexed="81"/>
            <rFont val="Tahoma"/>
            <charset val="1"/>
          </rPr>
          <t>User:</t>
        </r>
        <r>
          <rPr>
            <sz val="9"/>
            <color indexed="81"/>
            <rFont val="Tahoma"/>
            <charset val="1"/>
          </rPr>
          <t xml:space="preserve">
Source: Moog FY2020 10-K, Segments footnote (FY20 Financial Report), https://www.sec.gov/Archives/edgar/data/0000067887/000006788720000054/</t>
        </r>
      </text>
    </comment>
    <comment ref="AZ12" authorId="0" shapeId="0" xr:uid="{E955C1C3-B5CA-4811-97BA-69DFF34E1790}">
      <text>
        <r>
          <rPr>
            <b/>
            <sz val="9"/>
            <color indexed="81"/>
            <rFont val="Tahoma"/>
            <charset val="1"/>
          </rPr>
          <t>User:</t>
        </r>
        <r>
          <rPr>
            <sz val="9"/>
            <color indexed="81"/>
            <rFont val="Tahoma"/>
            <charset val="1"/>
          </rPr>
          <t xml:space="preserve">
Source: Moog FY2020 10-K, Segments footnote, https://www.sec.gov/Archives/edgar/data/0000067887/000006788720000054/</t>
        </r>
      </text>
    </comment>
    <comment ref="G13" authorId="0" shapeId="0" xr:uid="{987E0837-745B-44DA-AFD6-201454D15700}">
      <text>
        <r>
          <rPr>
            <b/>
            <sz val="9"/>
            <color indexed="81"/>
            <rFont val="Tahoma"/>
            <charset val="1"/>
          </rPr>
          <t>User:</t>
        </r>
        <r>
          <rPr>
            <sz val="9"/>
            <color indexed="81"/>
            <rFont val="Tahoma"/>
            <charset val="1"/>
          </rPr>
          <t xml:space="preserve">
Source: Moog FY2012 10-K, Note 17 Segments</t>
        </r>
      </text>
    </comment>
    <comment ref="L13" authorId="0" shapeId="0" xr:uid="{08120C1A-D746-4606-83E0-201D9D52D757}">
      <text>
        <r>
          <rPr>
            <b/>
            <sz val="9"/>
            <color indexed="81"/>
            <rFont val="Tahoma"/>
            <charset val="1"/>
          </rPr>
          <t>User:</t>
        </r>
        <r>
          <rPr>
            <sz val="9"/>
            <color indexed="81"/>
            <rFont val="Tahoma"/>
            <charset val="1"/>
          </rPr>
          <t xml:space="preserve">
Source: Moog FY2012 10-K, Note 17 Segments</t>
        </r>
      </text>
    </comment>
    <comment ref="Q13" authorId="0" shapeId="0" xr:uid="{6A4E6C88-1B37-488D-A2D9-FA34FD026ACD}">
      <text>
        <r>
          <rPr>
            <b/>
            <sz val="9"/>
            <color indexed="81"/>
            <rFont val="Tahoma"/>
            <charset val="1"/>
          </rPr>
          <t>User:</t>
        </r>
        <r>
          <rPr>
            <sz val="9"/>
            <color indexed="81"/>
            <rFont val="Tahoma"/>
            <charset val="1"/>
          </rPr>
          <t xml:space="preserve">
Source: Moog FY2012 10-K, Note 17 Segments</t>
        </r>
      </text>
    </comment>
    <comment ref="V13" authorId="0" shapeId="0" xr:uid="{D48D5234-DBA1-40FA-9301-BC15926B973B}">
      <text>
        <r>
          <rPr>
            <b/>
            <sz val="9"/>
            <color indexed="81"/>
            <rFont val="Tahoma"/>
            <charset val="1"/>
          </rPr>
          <t>User:</t>
        </r>
        <r>
          <rPr>
            <sz val="9"/>
            <color indexed="81"/>
            <rFont val="Tahoma"/>
            <charset val="1"/>
          </rPr>
          <t xml:space="preserve">
Source: Moog FY2015 10-K, Segments footnote</t>
        </r>
      </text>
    </comment>
    <comment ref="AA13" authorId="0" shapeId="0" xr:uid="{2AF7629B-C40B-4A16-B70C-146A772986AA}">
      <text>
        <r>
          <rPr>
            <b/>
            <sz val="9"/>
            <color indexed="81"/>
            <rFont val="Tahoma"/>
            <charset val="1"/>
          </rPr>
          <t>User:</t>
        </r>
        <r>
          <rPr>
            <sz val="9"/>
            <color indexed="81"/>
            <rFont val="Tahoma"/>
            <charset val="1"/>
          </rPr>
          <t xml:space="preserve">
Source: Moog FY2015 10-K, Segments footnote</t>
        </r>
      </text>
    </comment>
    <comment ref="AF13" authorId="0" shapeId="0" xr:uid="{A7AAB233-B7A6-4910-96F5-E07B145BAE61}">
      <text>
        <r>
          <rPr>
            <b/>
            <sz val="9"/>
            <color indexed="81"/>
            <rFont val="Tahoma"/>
            <charset val="1"/>
          </rPr>
          <t>User:</t>
        </r>
        <r>
          <rPr>
            <sz val="9"/>
            <color indexed="81"/>
            <rFont val="Tahoma"/>
            <charset val="1"/>
          </rPr>
          <t xml:space="preserve">
Source: Moog FY2015 10-K, Segments footnote</t>
        </r>
      </text>
    </comment>
    <comment ref="AK13" authorId="0" shapeId="0" xr:uid="{69F786D8-3ACA-4E47-830C-19B119257208}">
      <text>
        <r>
          <rPr>
            <b/>
            <sz val="9"/>
            <color indexed="81"/>
            <rFont val="Tahoma"/>
            <charset val="1"/>
          </rPr>
          <t>User:</t>
        </r>
        <r>
          <rPr>
            <sz val="9"/>
            <color indexed="81"/>
            <rFont val="Tahoma"/>
            <charset val="1"/>
          </rPr>
          <t xml:space="preserve">
Source: Moog FY2017 10-K, Segments footnote</t>
        </r>
      </text>
    </comment>
    <comment ref="AP13" authorId="0" shapeId="0" xr:uid="{3394BB74-891C-4AF6-8267-2D4EEAF8FD8D}">
      <text>
        <r>
          <rPr>
            <b/>
            <sz val="9"/>
            <color indexed="81"/>
            <rFont val="Tahoma"/>
            <charset val="1"/>
          </rPr>
          <t>User:</t>
        </r>
        <r>
          <rPr>
            <sz val="9"/>
            <color indexed="81"/>
            <rFont val="Tahoma"/>
            <charset val="1"/>
          </rPr>
          <t xml:space="preserve">
Source: Moog FY2017 10-K, Segments footnote</t>
        </r>
      </text>
    </comment>
    <comment ref="AU13" authorId="0" shapeId="0" xr:uid="{EA5439B3-B869-474D-98F9-6776ECA3B237}">
      <text>
        <r>
          <rPr>
            <b/>
            <sz val="9"/>
            <color indexed="81"/>
            <rFont val="Tahoma"/>
            <charset val="1"/>
          </rPr>
          <t>User:</t>
        </r>
        <r>
          <rPr>
            <sz val="9"/>
            <color indexed="81"/>
            <rFont val="Tahoma"/>
            <charset val="1"/>
          </rPr>
          <t xml:space="preserve">
Source: Moog FY2020 10-K, Segments footnote</t>
        </r>
      </text>
    </comment>
    <comment ref="AZ13" authorId="0" shapeId="0" xr:uid="{11040E13-5270-4988-84EC-C991B885288F}">
      <text>
        <r>
          <rPr>
            <b/>
            <sz val="9"/>
            <color indexed="81"/>
            <rFont val="Tahoma"/>
            <charset val="1"/>
          </rPr>
          <t>User:</t>
        </r>
        <r>
          <rPr>
            <sz val="9"/>
            <color indexed="81"/>
            <rFont val="Tahoma"/>
            <charset val="1"/>
          </rPr>
          <t xml:space="preserve">
Source: Moog FY2020 10-K, Segments footnote</t>
        </r>
      </text>
    </comment>
    <comment ref="G16" authorId="1" shapeId="0" xr:uid="{FAF2FF14-23E2-411E-8695-943DB5E14EBF}">
      <text>
        <t>[Threaded comment]
Your version of Excel allows you to read this threaded comment; however, any edits to it will get removed if the file is opened in a newer version of Excel. Learn more: https://go.microsoft.com/fwlink/?linkid=870924
Comment:
    Source: Moog FY2012 10-K MD&amp;A Segment Backlog</t>
      </text>
    </comment>
    <comment ref="L16" authorId="2" shapeId="0" xr:uid="{342DAB08-2A90-476A-B271-E65EB0B2C634}">
      <text>
        <t>[Threaded comment]
Your version of Excel allows you to read this threaded comment; however, any edits to it will get removed if the file is opened in a newer version of Excel. Learn more: https://go.microsoft.com/fwlink/?linkid=870924
Comment:
    Source: Moog FY2012 10-K MD&amp;A Segment Backlog</t>
      </text>
    </comment>
    <comment ref="Q16" authorId="3" shapeId="0" xr:uid="{7FCBC7B7-71ED-4275-8D51-09E45372E93C}">
      <text>
        <t>[Threaded comment]
Your version of Excel allows you to read this threaded comment; however, any edits to it will get removed if the file is opened in a newer version of Excel. Learn more: https://go.microsoft.com/fwlink/?linkid=870924
Comment:
    Source: Moog FY2012 10-K MD&amp;A Segment Backlog</t>
      </text>
    </comment>
    <comment ref="V16" authorId="4" shapeId="0" xr:uid="{742DECB5-CE22-4944-BEB8-1CED6B2A761F}">
      <text>
        <t>[Threaded comment]
Your version of Excel allows you to read this threaded comment; however, any edits to it will get removed if the file is opened in a newer version of Excel. Learn more: https://go.microsoft.com/fwlink/?linkid=870924
Comment:
    Source: Moog FY2013 10-K MD&amp;A Segment Backlog</t>
      </text>
    </comment>
    <comment ref="AA16" authorId="5" shapeId="0" xr:uid="{C1298D7A-5AE8-49EA-94BB-0330CA230E5C}">
      <text>
        <t>[Threaded comment]
Your version of Excel allows you to read this threaded comment; however, any edits to it will get removed if the file is opened in a newer version of Excel. Learn more: https://go.microsoft.com/fwlink/?linkid=870924
Comment:
    Source: Moog FY2014 10-K MD&amp;A Segment Backlog</t>
      </text>
    </comment>
    <comment ref="AF16" authorId="6" shapeId="0" xr:uid="{FFD22D54-A9E2-4B2A-A492-687B9B3E0636}">
      <text>
        <t>[Threaded comment]
Your version of Excel allows you to read this threaded comment; however, any edits to it will get removed if the file is opened in a newer version of Excel. Learn more: https://go.microsoft.com/fwlink/?linkid=870924
Comment:
    Source: Moog FY2015 10-K MD&amp;A Segment Backlog</t>
      </text>
    </comment>
    <comment ref="AK16" authorId="7" shapeId="0" xr:uid="{12D0F1DE-21BE-4CAE-8695-A92B2A2A5501}">
      <text>
        <t>[Threaded comment]
Your version of Excel allows you to read this threaded comment; however, any edits to it will get removed if the file is opened in a newer version of Excel. Learn more: https://go.microsoft.com/fwlink/?linkid=870924
Comment:
    Source: Moog FY2016 10-K MD&amp;A Segment Backlog</t>
      </text>
    </comment>
    <comment ref="AP16" authorId="8" shapeId="0" xr:uid="{4DC5DB3E-4999-4C71-9AFC-3F6632671F1F}">
      <text>
        <t>[Threaded comment]
Your version of Excel allows you to read this threaded comment; however, any edits to it will get removed if the file is opened in a newer version of Excel. Learn more: https://go.microsoft.com/fwlink/?linkid=870924
Comment:
    Source: Moog FY2017 10-K MD&amp;A Segment Backlog</t>
      </text>
    </comment>
    <comment ref="AU16" authorId="9" shapeId="0" xr:uid="{0F110022-5DA8-4176-B5BF-55719D901B95}">
      <text>
        <t>[Threaded comment]
Your version of Excel allows you to read this threaded comment; however, any edits to it will get removed if the file is opened in a newer version of Excel. Learn more: https://go.microsoft.com/fwlink/?linkid=870924
Comment:
    Source: Moog FY2018 10-K MD&amp;A Segment Backlog (3-segment view)</t>
      </text>
    </comment>
    <comment ref="G20" authorId="0" shapeId="0" xr:uid="{14D167CE-F69B-46F9-9FF1-1F176D7079AA}">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H20" authorId="0" shapeId="0" xr:uid="{453DDFCA-081F-4E92-BADB-2214FB01C9E0}">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I20" authorId="0" shapeId="0" xr:uid="{8AE03C99-3DAC-4E8F-93FE-D6D6B6884C60}">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J20" authorId="0" shapeId="0" xr:uid="{D646FDBA-55C0-4220-8E8A-00D31668261C}">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K20" authorId="0" shapeId="0" xr:uid="{83856D0B-CB60-435A-8DCC-190CDD5DCC7E}">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L20" authorId="0" shapeId="0" xr:uid="{F2E4D7E6-74AD-4BDF-B37C-DD88EC11EC26}">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M20" authorId="0" shapeId="0" xr:uid="{532CA853-2F9F-431A-8925-EC29571E02E3}">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N20" authorId="0" shapeId="0" xr:uid="{508FE7A0-0FEE-4464-8954-F53939EB871F}">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O20" authorId="0" shapeId="0" xr:uid="{D0A8CB45-1C59-414B-B5C0-F130EAB9FD94}">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P20" authorId="0" shapeId="0" xr:uid="{37DF0D58-4743-4E0C-8199-FCDA8D5D66F9}">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Q20" authorId="0" shapeId="0" xr:uid="{76D8B216-B13B-4D70-AD93-B49C3F26B1BF}">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R20" authorId="0" shapeId="0" xr:uid="{7307D6D0-0EAE-40FB-A151-5E9164E623D5}">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S20" authorId="0" shapeId="0" xr:uid="{74A63142-196B-4F5A-814F-E29FC26DF667}">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T20" authorId="0" shapeId="0" xr:uid="{10FCECEB-9156-4722-8DEE-3C8ED0B7629A}">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U20" authorId="0" shapeId="0" xr:uid="{8FFCBD3B-5730-452F-940C-0712B015D578}">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V20" authorId="0" shapeId="0" xr:uid="{F5CF67C3-0BED-4BD1-B04B-5B5C91EA37B5}">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W20" authorId="0" shapeId="0" xr:uid="{ACA203C7-1C19-4FF1-A6D2-B9BF98E81FC5}">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X20" authorId="0" shapeId="0" xr:uid="{B9780B71-DE15-44DC-8DCB-0D0F7AC1DE29}">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Y20" authorId="0" shapeId="0" xr:uid="{86421C8E-8409-4F43-8EC1-67891AB9E2F6}">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Z20" authorId="0" shapeId="0" xr:uid="{AF9B84AD-C901-45FE-85A4-66130DD205FA}">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AA20" authorId="0" shapeId="0" xr:uid="{78CE8353-29BD-4E29-8BDE-122784F130EC}">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AB20" authorId="0" shapeId="0" xr:uid="{3C63816C-4AF2-42DE-AB59-132830B0028F}">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AC20" authorId="0" shapeId="0" xr:uid="{4CCFBAD9-2FFD-44FE-910F-08D5866122CD}">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AD20" authorId="0" shapeId="0" xr:uid="{9E61B18F-E3F4-4BB3-88EE-B0196BEC227C}">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AE20" authorId="0" shapeId="0" xr:uid="{DF69BA45-5230-4DD9-BC19-3C81E7D35E1E}">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AF20" authorId="0" shapeId="0" xr:uid="{07EF98D4-EC34-49D8-A13F-035E74A498DF}">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AG20" authorId="0" shapeId="0" xr:uid="{F8F5F73B-1DD4-401C-BCB2-16DE3058B1CC}">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AH20" authorId="0" shapeId="0" xr:uid="{DB271B17-1EA9-41D6-8BB1-F56E51F2F81C}">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AI20" authorId="0" shapeId="0" xr:uid="{6ECB47BD-D523-4A91-8358-EF31F2A43AF5}">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AJ20" authorId="0" shapeId="0" xr:uid="{2B0E8D6C-A2C4-448B-837A-72CC442CA14F}">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AK20" authorId="0" shapeId="0" xr:uid="{201F8BBE-B5A9-4298-BD66-9F0DD8AE99C5}">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AL20" authorId="0" shapeId="0" xr:uid="{FCFD3927-CB64-4D1B-AF8B-6871BE2A0C18}">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AM20" authorId="0" shapeId="0" xr:uid="{3D8A3985-3409-421E-8825-40E3E6D612FF}">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AN20" authorId="0" shapeId="0" xr:uid="{3B319FF0-5DD4-408B-BE7E-7A2AED24F36B}">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AO20" authorId="0" shapeId="0" xr:uid="{E99037E9-256C-4868-AFF0-8720C3B1FFED}">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AP20" authorId="0" shapeId="0" xr:uid="{E9A048DF-EE93-4C9C-A8DE-98AED50A05FD}">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AQ20" authorId="0" shapeId="0" xr:uid="{C203B3A8-B9DB-426D-97B5-1E7EB19093EE}">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AR20" authorId="0" shapeId="0" xr:uid="{8162CA28-7A80-479F-B74F-CF57B4CEBE53}">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AS20" authorId="0" shapeId="0" xr:uid="{24341335-B740-4F8C-99C0-A6B65C5D105F}">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AT20" authorId="0" shapeId="0" xr:uid="{7AF759B1-714D-418E-97F0-304C24857270}">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AU20" authorId="0" shapeId="0" xr:uid="{F44DE73D-A69C-4195-8AC2-571F93A2B901}">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AV20" authorId="0" shapeId="0" xr:uid="{17B1B93A-3EB3-4C31-941F-E72B5CC0513A}">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AW20" authorId="0" shapeId="0" xr:uid="{10A99596-7E13-49E2-A0CB-6BD185E0840E}">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AX20" authorId="0" shapeId="0" xr:uid="{02000D6A-B646-46A6-ADF3-671B5ECC5723}">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AY20" authorId="0" shapeId="0" xr:uid="{A696A957-B2A3-42AF-8491-1129C41C7980}">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AZ20" authorId="0" shapeId="0" xr:uid="{1A7A557C-E127-4265-8320-41CB54D24DB3}">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BA20" authorId="0" shapeId="0" xr:uid="{193371DA-EFAF-4B32-9343-CB81198C88B3}">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BB20" authorId="0" shapeId="0" xr:uid="{5278ED46-EBE0-4F31-B374-D03C3E2F331E}">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BC20" authorId="0" shapeId="0" xr:uid="{0F7B8069-753B-46EE-AAE1-E8C670C4755D}">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BD20" authorId="0" shapeId="0" xr:uid="{1A9EBD93-0F8F-4C5E-8D24-7A1FF9D648A4}">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BE20" authorId="0" shapeId="0" xr:uid="{32D1D16E-5219-4495-94AE-56C3E3618E96}">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BF20" authorId="0" shapeId="0" xr:uid="{7752A252-EBD4-4BB5-9016-1D505FCC94F2}">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BG20" authorId="0" shapeId="0" xr:uid="{AC00027F-CC6D-41D7-927F-780D097138D4}">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BH20" authorId="0" shapeId="0" xr:uid="{DC6E2D0D-247E-4F0B-A1BC-AF1F949251ED}">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BI20" authorId="0" shapeId="0" xr:uid="{98ADD481-8340-4D49-9F55-46E2E6CA781D}">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BJ20" authorId="0" shapeId="0" xr:uid="{D8AA02B4-FDA9-4F18-BD1F-5F4273015EDD}">
      <text>
        <r>
          <rPr>
            <b/>
            <sz val="9"/>
            <color indexed="81"/>
            <rFont val="Tahoma"/>
            <charset val="1"/>
          </rPr>
          <t>User:</t>
        </r>
        <r>
          <rPr>
            <sz val="9"/>
            <color indexed="81"/>
            <rFont val="Tahoma"/>
            <charset val="1"/>
          </rPr>
          <t xml:space="preserve">
Source: Moog FY2012 10-K, Note 17 Segments, https://www.sec.gov/Archives/edgar/data/0000067887/000006788712000034/impt.htm</t>
        </r>
      </text>
    </comment>
    <comment ref="G21" authorId="0" shapeId="0" xr:uid="{343DBB28-218E-472A-B3D6-934C07A49F64}">
      <text>
        <r>
          <rPr>
            <b/>
            <sz val="9"/>
            <color indexed="81"/>
            <rFont val="Tahoma"/>
            <charset val="1"/>
          </rPr>
          <t>User:</t>
        </r>
        <r>
          <rPr>
            <sz val="9"/>
            <color indexed="81"/>
            <rFont val="Tahoma"/>
            <charset val="1"/>
          </rPr>
          <t xml:space="preserve">
Source: Moog FY2012 10-K, Note 17 Segments</t>
        </r>
      </text>
    </comment>
    <comment ref="H21" authorId="0" shapeId="0" xr:uid="{9E63C81B-DCF4-4521-8511-DB0468F20E38}">
      <text>
        <r>
          <rPr>
            <b/>
            <sz val="9"/>
            <color indexed="81"/>
            <rFont val="Tahoma"/>
            <charset val="1"/>
          </rPr>
          <t>User:</t>
        </r>
        <r>
          <rPr>
            <sz val="9"/>
            <color indexed="81"/>
            <rFont val="Tahoma"/>
            <charset val="1"/>
          </rPr>
          <t xml:space="preserve">
Source: Moog FY2012 10-K, Note 17 Segments</t>
        </r>
      </text>
    </comment>
    <comment ref="I21" authorId="0" shapeId="0" xr:uid="{89D59D59-824E-4511-85EC-860E4520CC6C}">
      <text>
        <r>
          <rPr>
            <b/>
            <sz val="9"/>
            <color indexed="81"/>
            <rFont val="Tahoma"/>
            <charset val="1"/>
          </rPr>
          <t>User:</t>
        </r>
        <r>
          <rPr>
            <sz val="9"/>
            <color indexed="81"/>
            <rFont val="Tahoma"/>
            <charset val="1"/>
          </rPr>
          <t xml:space="preserve">
Source: Moog FY2012 10-K, Note 17 Segments</t>
        </r>
      </text>
    </comment>
    <comment ref="J21" authorId="0" shapeId="0" xr:uid="{F5E62661-0828-4610-BD03-0D5B2BB72E27}">
      <text>
        <r>
          <rPr>
            <b/>
            <sz val="9"/>
            <color indexed="81"/>
            <rFont val="Tahoma"/>
            <charset val="1"/>
          </rPr>
          <t>User:</t>
        </r>
        <r>
          <rPr>
            <sz val="9"/>
            <color indexed="81"/>
            <rFont val="Tahoma"/>
            <charset val="1"/>
          </rPr>
          <t xml:space="preserve">
Source: Moog FY2012 10-K, Note 17 Segments</t>
        </r>
      </text>
    </comment>
    <comment ref="K21" authorId="0" shapeId="0" xr:uid="{2C1F34FB-914F-4FC0-926A-923A366CDD6C}">
      <text>
        <r>
          <rPr>
            <b/>
            <sz val="9"/>
            <color indexed="81"/>
            <rFont val="Tahoma"/>
            <charset val="1"/>
          </rPr>
          <t>User:</t>
        </r>
        <r>
          <rPr>
            <sz val="9"/>
            <color indexed="81"/>
            <rFont val="Tahoma"/>
            <charset val="1"/>
          </rPr>
          <t xml:space="preserve">
Source: Moog FY2012 10-K, Note 17 Segments</t>
        </r>
      </text>
    </comment>
    <comment ref="L21" authorId="0" shapeId="0" xr:uid="{2E026A50-F2D4-49F9-97C4-28F272EFCE93}">
      <text>
        <r>
          <rPr>
            <b/>
            <sz val="9"/>
            <color indexed="81"/>
            <rFont val="Tahoma"/>
            <charset val="1"/>
          </rPr>
          <t>User:</t>
        </r>
        <r>
          <rPr>
            <sz val="9"/>
            <color indexed="81"/>
            <rFont val="Tahoma"/>
            <charset val="1"/>
          </rPr>
          <t xml:space="preserve">
Source: Moog FY2012 10-K, Note 17 Segments</t>
        </r>
      </text>
    </comment>
    <comment ref="M21" authorId="0" shapeId="0" xr:uid="{257A8392-5BD3-4AEB-A278-F7EB967511D9}">
      <text>
        <r>
          <rPr>
            <b/>
            <sz val="9"/>
            <color indexed="81"/>
            <rFont val="Tahoma"/>
            <charset val="1"/>
          </rPr>
          <t>User:</t>
        </r>
        <r>
          <rPr>
            <sz val="9"/>
            <color indexed="81"/>
            <rFont val="Tahoma"/>
            <charset val="1"/>
          </rPr>
          <t xml:space="preserve">
Source: Moog FY2012 10-K, Note 17 Segments</t>
        </r>
      </text>
    </comment>
    <comment ref="N21" authorId="0" shapeId="0" xr:uid="{632AD2AC-954B-44C6-A5A8-62A3A9FC5445}">
      <text>
        <r>
          <rPr>
            <b/>
            <sz val="9"/>
            <color indexed="81"/>
            <rFont val="Tahoma"/>
            <charset val="1"/>
          </rPr>
          <t>User:</t>
        </r>
        <r>
          <rPr>
            <sz val="9"/>
            <color indexed="81"/>
            <rFont val="Tahoma"/>
            <charset val="1"/>
          </rPr>
          <t xml:space="preserve">
Source: Moog FY2012 10-K, Note 17 Segments</t>
        </r>
      </text>
    </comment>
    <comment ref="O21" authorId="0" shapeId="0" xr:uid="{AAC5EFD9-7500-4373-BF48-FEB7A058FD50}">
      <text>
        <r>
          <rPr>
            <b/>
            <sz val="9"/>
            <color indexed="81"/>
            <rFont val="Tahoma"/>
            <charset val="1"/>
          </rPr>
          <t>User:</t>
        </r>
        <r>
          <rPr>
            <sz val="9"/>
            <color indexed="81"/>
            <rFont val="Tahoma"/>
            <charset val="1"/>
          </rPr>
          <t xml:space="preserve">
Source: Moog FY2012 10-K, Note 17 Segments</t>
        </r>
      </text>
    </comment>
    <comment ref="P21" authorId="0" shapeId="0" xr:uid="{0964001C-9AB9-48D5-B71A-A7510F6301B0}">
      <text>
        <r>
          <rPr>
            <b/>
            <sz val="9"/>
            <color indexed="81"/>
            <rFont val="Tahoma"/>
            <charset val="1"/>
          </rPr>
          <t>User:</t>
        </r>
        <r>
          <rPr>
            <sz val="9"/>
            <color indexed="81"/>
            <rFont val="Tahoma"/>
            <charset val="1"/>
          </rPr>
          <t xml:space="preserve">
Source: Moog FY2012 10-K, Note 17 Segments</t>
        </r>
      </text>
    </comment>
    <comment ref="Q21" authorId="0" shapeId="0" xr:uid="{6BAE1CE9-EF7C-45BC-8C65-2C4005B41F40}">
      <text>
        <r>
          <rPr>
            <b/>
            <sz val="9"/>
            <color indexed="81"/>
            <rFont val="Tahoma"/>
            <charset val="1"/>
          </rPr>
          <t>User:</t>
        </r>
        <r>
          <rPr>
            <sz val="9"/>
            <color indexed="81"/>
            <rFont val="Tahoma"/>
            <charset val="1"/>
          </rPr>
          <t xml:space="preserve">
Source: Moog FY2012 10-K, Note 17 Segments</t>
        </r>
      </text>
    </comment>
    <comment ref="R21" authorId="0" shapeId="0" xr:uid="{88BF2721-CEDE-4A25-A337-73A22BA7025D}">
      <text>
        <r>
          <rPr>
            <b/>
            <sz val="9"/>
            <color indexed="81"/>
            <rFont val="Tahoma"/>
            <charset val="1"/>
          </rPr>
          <t>User:</t>
        </r>
        <r>
          <rPr>
            <sz val="9"/>
            <color indexed="81"/>
            <rFont val="Tahoma"/>
            <charset val="1"/>
          </rPr>
          <t xml:space="preserve">
Source: Moog FY2012 10-K, Note 17 Segments</t>
        </r>
      </text>
    </comment>
    <comment ref="S21" authorId="0" shapeId="0" xr:uid="{80DA587E-6C70-4B12-A768-380073A0FD7F}">
      <text>
        <r>
          <rPr>
            <b/>
            <sz val="9"/>
            <color indexed="81"/>
            <rFont val="Tahoma"/>
            <charset val="1"/>
          </rPr>
          <t>User:</t>
        </r>
        <r>
          <rPr>
            <sz val="9"/>
            <color indexed="81"/>
            <rFont val="Tahoma"/>
            <charset val="1"/>
          </rPr>
          <t xml:space="preserve">
Source: Moog FY2012 10-K, Note 17 Segments</t>
        </r>
      </text>
    </comment>
    <comment ref="T21" authorId="0" shapeId="0" xr:uid="{D1CDA11C-5BA6-449F-8C08-BAC032FDBF94}">
      <text>
        <r>
          <rPr>
            <b/>
            <sz val="9"/>
            <color indexed="81"/>
            <rFont val="Tahoma"/>
            <charset val="1"/>
          </rPr>
          <t>User:</t>
        </r>
        <r>
          <rPr>
            <sz val="9"/>
            <color indexed="81"/>
            <rFont val="Tahoma"/>
            <charset val="1"/>
          </rPr>
          <t xml:space="preserve">
Source: Moog FY2012 10-K, Note 17 Segments</t>
        </r>
      </text>
    </comment>
    <comment ref="U21" authorId="0" shapeId="0" xr:uid="{E60012DA-C6EB-408B-8176-72305BFAE033}">
      <text>
        <r>
          <rPr>
            <b/>
            <sz val="9"/>
            <color indexed="81"/>
            <rFont val="Tahoma"/>
            <charset val="1"/>
          </rPr>
          <t>User:</t>
        </r>
        <r>
          <rPr>
            <sz val="9"/>
            <color indexed="81"/>
            <rFont val="Tahoma"/>
            <charset val="1"/>
          </rPr>
          <t xml:space="preserve">
Source: Moog FY2012 10-K, Note 17 Segments</t>
        </r>
      </text>
    </comment>
    <comment ref="V21" authorId="0" shapeId="0" xr:uid="{C3C58B27-C460-4864-B597-830B63CE062B}">
      <text>
        <r>
          <rPr>
            <b/>
            <sz val="9"/>
            <color indexed="81"/>
            <rFont val="Tahoma"/>
            <charset val="1"/>
          </rPr>
          <t>User:</t>
        </r>
        <r>
          <rPr>
            <sz val="9"/>
            <color indexed="81"/>
            <rFont val="Tahoma"/>
            <charset val="1"/>
          </rPr>
          <t xml:space="preserve">
Source: Moog FY2012 10-K, Note 17 Segments</t>
        </r>
      </text>
    </comment>
    <comment ref="W21" authorId="0" shapeId="0" xr:uid="{203527A8-AE0B-4539-96D3-F0725FEFDB9A}">
      <text>
        <r>
          <rPr>
            <b/>
            <sz val="9"/>
            <color indexed="81"/>
            <rFont val="Tahoma"/>
            <charset val="1"/>
          </rPr>
          <t>User:</t>
        </r>
        <r>
          <rPr>
            <sz val="9"/>
            <color indexed="81"/>
            <rFont val="Tahoma"/>
            <charset val="1"/>
          </rPr>
          <t xml:space="preserve">
Source: Moog FY2012 10-K, Note 17 Segments</t>
        </r>
      </text>
    </comment>
    <comment ref="X21" authorId="0" shapeId="0" xr:uid="{86460577-8941-4EC7-A845-5A3308D538FA}">
      <text>
        <r>
          <rPr>
            <b/>
            <sz val="9"/>
            <color indexed="81"/>
            <rFont val="Tahoma"/>
            <charset val="1"/>
          </rPr>
          <t>User:</t>
        </r>
        <r>
          <rPr>
            <sz val="9"/>
            <color indexed="81"/>
            <rFont val="Tahoma"/>
            <charset val="1"/>
          </rPr>
          <t xml:space="preserve">
Source: Moog FY2012 10-K, Note 17 Segments</t>
        </r>
      </text>
    </comment>
    <comment ref="Y21" authorId="0" shapeId="0" xr:uid="{058A3A5B-A199-44D5-AB93-AE4DCDAB9A5D}">
      <text>
        <r>
          <rPr>
            <b/>
            <sz val="9"/>
            <color indexed="81"/>
            <rFont val="Tahoma"/>
            <charset val="1"/>
          </rPr>
          <t>User:</t>
        </r>
        <r>
          <rPr>
            <sz val="9"/>
            <color indexed="81"/>
            <rFont val="Tahoma"/>
            <charset val="1"/>
          </rPr>
          <t xml:space="preserve">
Source: Moog FY2012 10-K, Note 17 Segments</t>
        </r>
      </text>
    </comment>
    <comment ref="Z21" authorId="0" shapeId="0" xr:uid="{C7CFCC2D-C0AE-4E7C-A487-AF9AC49A6D75}">
      <text>
        <r>
          <rPr>
            <b/>
            <sz val="9"/>
            <color indexed="81"/>
            <rFont val="Tahoma"/>
            <charset val="1"/>
          </rPr>
          <t>User:</t>
        </r>
        <r>
          <rPr>
            <sz val="9"/>
            <color indexed="81"/>
            <rFont val="Tahoma"/>
            <charset val="1"/>
          </rPr>
          <t xml:space="preserve">
Source: Moog FY2012 10-K, Note 17 Segments</t>
        </r>
      </text>
    </comment>
    <comment ref="AA21" authorId="0" shapeId="0" xr:uid="{7BD086F8-FD7A-4CC7-A7EE-CE8E876AF51B}">
      <text>
        <r>
          <rPr>
            <b/>
            <sz val="9"/>
            <color indexed="81"/>
            <rFont val="Tahoma"/>
            <charset val="1"/>
          </rPr>
          <t>User:</t>
        </r>
        <r>
          <rPr>
            <sz val="9"/>
            <color indexed="81"/>
            <rFont val="Tahoma"/>
            <charset val="1"/>
          </rPr>
          <t xml:space="preserve">
Source: Moog FY2012 10-K, Note 17 Segments</t>
        </r>
      </text>
    </comment>
    <comment ref="AB21" authorId="0" shapeId="0" xr:uid="{8DC0C3FF-1CDF-4221-8FD8-C2AC2DB61632}">
      <text>
        <r>
          <rPr>
            <b/>
            <sz val="9"/>
            <color indexed="81"/>
            <rFont val="Tahoma"/>
            <charset val="1"/>
          </rPr>
          <t>User:</t>
        </r>
        <r>
          <rPr>
            <sz val="9"/>
            <color indexed="81"/>
            <rFont val="Tahoma"/>
            <charset val="1"/>
          </rPr>
          <t xml:space="preserve">
Source: Moog FY2012 10-K, Note 17 Segments</t>
        </r>
      </text>
    </comment>
    <comment ref="AC21" authorId="0" shapeId="0" xr:uid="{77E17734-8A10-4C0F-9661-261C8CC6FF97}">
      <text>
        <r>
          <rPr>
            <b/>
            <sz val="9"/>
            <color indexed="81"/>
            <rFont val="Tahoma"/>
            <charset val="1"/>
          </rPr>
          <t>User:</t>
        </r>
        <r>
          <rPr>
            <sz val="9"/>
            <color indexed="81"/>
            <rFont val="Tahoma"/>
            <charset val="1"/>
          </rPr>
          <t xml:space="preserve">
Source: Moog FY2012 10-K, Note 17 Segments</t>
        </r>
      </text>
    </comment>
    <comment ref="AD21" authorId="0" shapeId="0" xr:uid="{D22154A0-4C6B-4A09-AA51-136F335786F4}">
      <text>
        <r>
          <rPr>
            <b/>
            <sz val="9"/>
            <color indexed="81"/>
            <rFont val="Tahoma"/>
            <charset val="1"/>
          </rPr>
          <t>User:</t>
        </r>
        <r>
          <rPr>
            <sz val="9"/>
            <color indexed="81"/>
            <rFont val="Tahoma"/>
            <charset val="1"/>
          </rPr>
          <t xml:space="preserve">
Source: Moog FY2012 10-K, Note 17 Segments</t>
        </r>
      </text>
    </comment>
    <comment ref="AE21" authorId="0" shapeId="0" xr:uid="{0F25156F-371C-41FD-B7B8-B6CA19B9F636}">
      <text>
        <r>
          <rPr>
            <b/>
            <sz val="9"/>
            <color indexed="81"/>
            <rFont val="Tahoma"/>
            <charset val="1"/>
          </rPr>
          <t>User:</t>
        </r>
        <r>
          <rPr>
            <sz val="9"/>
            <color indexed="81"/>
            <rFont val="Tahoma"/>
            <charset val="1"/>
          </rPr>
          <t xml:space="preserve">
Source: Moog FY2012 10-K, Note 17 Segments</t>
        </r>
      </text>
    </comment>
    <comment ref="AF21" authorId="0" shapeId="0" xr:uid="{B3A234DE-BE78-4B92-B5CB-C8F0CBB2E616}">
      <text>
        <r>
          <rPr>
            <b/>
            <sz val="9"/>
            <color indexed="81"/>
            <rFont val="Tahoma"/>
            <charset val="1"/>
          </rPr>
          <t>User:</t>
        </r>
        <r>
          <rPr>
            <sz val="9"/>
            <color indexed="81"/>
            <rFont val="Tahoma"/>
            <charset val="1"/>
          </rPr>
          <t xml:space="preserve">
Source: Moog FY2012 10-K, Note 17 Segments</t>
        </r>
      </text>
    </comment>
    <comment ref="AG21" authorId="0" shapeId="0" xr:uid="{858183B1-F517-46E6-91B7-E77F7D294751}">
      <text>
        <r>
          <rPr>
            <b/>
            <sz val="9"/>
            <color indexed="81"/>
            <rFont val="Tahoma"/>
            <charset val="1"/>
          </rPr>
          <t>User:</t>
        </r>
        <r>
          <rPr>
            <sz val="9"/>
            <color indexed="81"/>
            <rFont val="Tahoma"/>
            <charset val="1"/>
          </rPr>
          <t xml:space="preserve">
Source: Moog FY2012 10-K, Note 17 Segments</t>
        </r>
      </text>
    </comment>
    <comment ref="AH21" authorId="0" shapeId="0" xr:uid="{5875AC6C-52BC-45FE-87ED-47BE78559BE2}">
      <text>
        <r>
          <rPr>
            <b/>
            <sz val="9"/>
            <color indexed="81"/>
            <rFont val="Tahoma"/>
            <charset val="1"/>
          </rPr>
          <t>User:</t>
        </r>
        <r>
          <rPr>
            <sz val="9"/>
            <color indexed="81"/>
            <rFont val="Tahoma"/>
            <charset val="1"/>
          </rPr>
          <t xml:space="preserve">
Source: Moog FY2012 10-K, Note 17 Segments</t>
        </r>
      </text>
    </comment>
    <comment ref="AI21" authorId="0" shapeId="0" xr:uid="{256E6348-7E6A-44F6-8967-65A1BC7C9DD3}">
      <text>
        <r>
          <rPr>
            <b/>
            <sz val="9"/>
            <color indexed="81"/>
            <rFont val="Tahoma"/>
            <charset val="1"/>
          </rPr>
          <t>User:</t>
        </r>
        <r>
          <rPr>
            <sz val="9"/>
            <color indexed="81"/>
            <rFont val="Tahoma"/>
            <charset val="1"/>
          </rPr>
          <t xml:space="preserve">
Source: Moog FY2012 10-K, Note 17 Segments</t>
        </r>
      </text>
    </comment>
    <comment ref="AJ21" authorId="0" shapeId="0" xr:uid="{14DFBEFF-0408-47BA-A5EC-BE3EDC406EE0}">
      <text>
        <r>
          <rPr>
            <b/>
            <sz val="9"/>
            <color indexed="81"/>
            <rFont val="Tahoma"/>
            <charset val="1"/>
          </rPr>
          <t>User:</t>
        </r>
        <r>
          <rPr>
            <sz val="9"/>
            <color indexed="81"/>
            <rFont val="Tahoma"/>
            <charset val="1"/>
          </rPr>
          <t xml:space="preserve">
Source: Moog FY2012 10-K, Note 17 Segments</t>
        </r>
      </text>
    </comment>
    <comment ref="AK21" authorId="0" shapeId="0" xr:uid="{E2C8B3C1-57AF-457F-9DA4-FE935BD86A9A}">
      <text>
        <r>
          <rPr>
            <b/>
            <sz val="9"/>
            <color indexed="81"/>
            <rFont val="Tahoma"/>
            <charset val="1"/>
          </rPr>
          <t>User:</t>
        </r>
        <r>
          <rPr>
            <sz val="9"/>
            <color indexed="81"/>
            <rFont val="Tahoma"/>
            <charset val="1"/>
          </rPr>
          <t xml:space="preserve">
Source: Moog FY2012 10-K, Note 17 Segments</t>
        </r>
      </text>
    </comment>
    <comment ref="AL21" authorId="0" shapeId="0" xr:uid="{0DDF6706-1DCA-4145-ABEB-78A4637BECAB}">
      <text>
        <r>
          <rPr>
            <b/>
            <sz val="9"/>
            <color indexed="81"/>
            <rFont val="Tahoma"/>
            <charset val="1"/>
          </rPr>
          <t>User:</t>
        </r>
        <r>
          <rPr>
            <sz val="9"/>
            <color indexed="81"/>
            <rFont val="Tahoma"/>
            <charset val="1"/>
          </rPr>
          <t xml:space="preserve">
Source: Moog FY2012 10-K, Note 17 Segments</t>
        </r>
      </text>
    </comment>
    <comment ref="AM21" authorId="0" shapeId="0" xr:uid="{619EDE0E-E4D2-423A-B21C-F15C413C8922}">
      <text>
        <r>
          <rPr>
            <b/>
            <sz val="9"/>
            <color indexed="81"/>
            <rFont val="Tahoma"/>
            <charset val="1"/>
          </rPr>
          <t>User:</t>
        </r>
        <r>
          <rPr>
            <sz val="9"/>
            <color indexed="81"/>
            <rFont val="Tahoma"/>
            <charset val="1"/>
          </rPr>
          <t xml:space="preserve">
Source: Moog FY2012 10-K, Note 17 Segments</t>
        </r>
      </text>
    </comment>
    <comment ref="AN21" authorId="0" shapeId="0" xr:uid="{B8AEE34D-688A-44AD-B65D-79D1AB67B326}">
      <text>
        <r>
          <rPr>
            <b/>
            <sz val="9"/>
            <color indexed="81"/>
            <rFont val="Tahoma"/>
            <charset val="1"/>
          </rPr>
          <t>User:</t>
        </r>
        <r>
          <rPr>
            <sz val="9"/>
            <color indexed="81"/>
            <rFont val="Tahoma"/>
            <charset val="1"/>
          </rPr>
          <t xml:space="preserve">
Source: Moog FY2012 10-K, Note 17 Segments</t>
        </r>
      </text>
    </comment>
    <comment ref="AO21" authorId="0" shapeId="0" xr:uid="{31E7DE62-CD02-4217-999A-3C788278437D}">
      <text>
        <r>
          <rPr>
            <b/>
            <sz val="9"/>
            <color indexed="81"/>
            <rFont val="Tahoma"/>
            <charset val="1"/>
          </rPr>
          <t>User:</t>
        </r>
        <r>
          <rPr>
            <sz val="9"/>
            <color indexed="81"/>
            <rFont val="Tahoma"/>
            <charset val="1"/>
          </rPr>
          <t xml:space="preserve">
Source: Moog FY2012 10-K, Note 17 Segments</t>
        </r>
      </text>
    </comment>
    <comment ref="AP21" authorId="0" shapeId="0" xr:uid="{978684B6-3828-48EF-8B5D-558CC42D732A}">
      <text>
        <r>
          <rPr>
            <b/>
            <sz val="9"/>
            <color indexed="81"/>
            <rFont val="Tahoma"/>
            <charset val="1"/>
          </rPr>
          <t>User:</t>
        </r>
        <r>
          <rPr>
            <sz val="9"/>
            <color indexed="81"/>
            <rFont val="Tahoma"/>
            <charset val="1"/>
          </rPr>
          <t xml:space="preserve">
Source: Moog FY2012 10-K, Note 17 Segments</t>
        </r>
      </text>
    </comment>
    <comment ref="AQ21" authorId="0" shapeId="0" xr:uid="{44657611-FBC9-43B4-B5BC-0DD9439ECE37}">
      <text>
        <r>
          <rPr>
            <b/>
            <sz val="9"/>
            <color indexed="81"/>
            <rFont val="Tahoma"/>
            <charset val="1"/>
          </rPr>
          <t>User:</t>
        </r>
        <r>
          <rPr>
            <sz val="9"/>
            <color indexed="81"/>
            <rFont val="Tahoma"/>
            <charset val="1"/>
          </rPr>
          <t xml:space="preserve">
Source: Moog FY2012 10-K, Note 17 Segments</t>
        </r>
      </text>
    </comment>
    <comment ref="AR21" authorId="0" shapeId="0" xr:uid="{83434543-8B35-4D6B-A86A-4CC3FCD390E1}">
      <text>
        <r>
          <rPr>
            <b/>
            <sz val="9"/>
            <color indexed="81"/>
            <rFont val="Tahoma"/>
            <charset val="1"/>
          </rPr>
          <t>User:</t>
        </r>
        <r>
          <rPr>
            <sz val="9"/>
            <color indexed="81"/>
            <rFont val="Tahoma"/>
            <charset val="1"/>
          </rPr>
          <t xml:space="preserve">
Source: Moog FY2012 10-K, Note 17 Segments</t>
        </r>
      </text>
    </comment>
    <comment ref="AS21" authorId="0" shapeId="0" xr:uid="{703EA996-2B0B-43C1-8941-DBBB814C0AC1}">
      <text>
        <r>
          <rPr>
            <b/>
            <sz val="9"/>
            <color indexed="81"/>
            <rFont val="Tahoma"/>
            <charset val="1"/>
          </rPr>
          <t>User:</t>
        </r>
        <r>
          <rPr>
            <sz val="9"/>
            <color indexed="81"/>
            <rFont val="Tahoma"/>
            <charset val="1"/>
          </rPr>
          <t xml:space="preserve">
Source: Moog FY2012 10-K, Note 17 Segments</t>
        </r>
      </text>
    </comment>
    <comment ref="AT21" authorId="0" shapeId="0" xr:uid="{67A1601C-CE3E-4107-8FFE-6D503474241E}">
      <text>
        <r>
          <rPr>
            <b/>
            <sz val="9"/>
            <color indexed="81"/>
            <rFont val="Tahoma"/>
            <charset val="1"/>
          </rPr>
          <t>User:</t>
        </r>
        <r>
          <rPr>
            <sz val="9"/>
            <color indexed="81"/>
            <rFont val="Tahoma"/>
            <charset val="1"/>
          </rPr>
          <t xml:space="preserve">
Source: Moog FY2012 10-K, Note 17 Segments</t>
        </r>
      </text>
    </comment>
    <comment ref="AU21" authorId="0" shapeId="0" xr:uid="{FCDE7CB1-51A3-46C2-8D37-573CC77156D8}">
      <text>
        <r>
          <rPr>
            <b/>
            <sz val="9"/>
            <color indexed="81"/>
            <rFont val="Tahoma"/>
            <charset val="1"/>
          </rPr>
          <t>User:</t>
        </r>
        <r>
          <rPr>
            <sz val="9"/>
            <color indexed="81"/>
            <rFont val="Tahoma"/>
            <charset val="1"/>
          </rPr>
          <t xml:space="preserve">
Source: Moog FY2012 10-K, Note 17 Segments</t>
        </r>
      </text>
    </comment>
    <comment ref="AV21" authorId="0" shapeId="0" xr:uid="{8133F52E-8468-4438-A01D-4416A01C7302}">
      <text>
        <r>
          <rPr>
            <b/>
            <sz val="9"/>
            <color indexed="81"/>
            <rFont val="Tahoma"/>
            <charset val="1"/>
          </rPr>
          <t>User:</t>
        </r>
        <r>
          <rPr>
            <sz val="9"/>
            <color indexed="81"/>
            <rFont val="Tahoma"/>
            <charset val="1"/>
          </rPr>
          <t xml:space="preserve">
Source: Moog FY2012 10-K, Note 17 Segments</t>
        </r>
      </text>
    </comment>
    <comment ref="AW21" authorId="0" shapeId="0" xr:uid="{20FC281B-20BE-4DB0-B0C3-38AB7984CBAE}">
      <text>
        <r>
          <rPr>
            <b/>
            <sz val="9"/>
            <color indexed="81"/>
            <rFont val="Tahoma"/>
            <charset val="1"/>
          </rPr>
          <t>User:</t>
        </r>
        <r>
          <rPr>
            <sz val="9"/>
            <color indexed="81"/>
            <rFont val="Tahoma"/>
            <charset val="1"/>
          </rPr>
          <t xml:space="preserve">
Source: Moog FY2012 10-K, Note 17 Segments</t>
        </r>
      </text>
    </comment>
    <comment ref="AX21" authorId="0" shapeId="0" xr:uid="{2438B6E4-A59D-46D7-963B-A48A1B23F297}">
      <text>
        <r>
          <rPr>
            <b/>
            <sz val="9"/>
            <color indexed="81"/>
            <rFont val="Tahoma"/>
            <charset val="1"/>
          </rPr>
          <t>User:</t>
        </r>
        <r>
          <rPr>
            <sz val="9"/>
            <color indexed="81"/>
            <rFont val="Tahoma"/>
            <charset val="1"/>
          </rPr>
          <t xml:space="preserve">
Source: Moog FY2012 10-K, Note 17 Segments</t>
        </r>
      </text>
    </comment>
    <comment ref="AY21" authorId="0" shapeId="0" xr:uid="{55EA6C99-ABCA-4BFF-8B51-8007F9272FA7}">
      <text>
        <r>
          <rPr>
            <b/>
            <sz val="9"/>
            <color indexed="81"/>
            <rFont val="Tahoma"/>
            <charset val="1"/>
          </rPr>
          <t>User:</t>
        </r>
        <r>
          <rPr>
            <sz val="9"/>
            <color indexed="81"/>
            <rFont val="Tahoma"/>
            <charset val="1"/>
          </rPr>
          <t xml:space="preserve">
Source: Moog FY2012 10-K, Note 17 Segments</t>
        </r>
      </text>
    </comment>
    <comment ref="AZ21" authorId="0" shapeId="0" xr:uid="{02F67EA5-2E45-4E14-ADA7-1AC1DFC6D144}">
      <text>
        <r>
          <rPr>
            <b/>
            <sz val="9"/>
            <color indexed="81"/>
            <rFont val="Tahoma"/>
            <charset val="1"/>
          </rPr>
          <t>User:</t>
        </r>
        <r>
          <rPr>
            <sz val="9"/>
            <color indexed="81"/>
            <rFont val="Tahoma"/>
            <charset val="1"/>
          </rPr>
          <t xml:space="preserve">
Source: Moog FY2012 10-K, Note 17 Segments</t>
        </r>
      </text>
    </comment>
    <comment ref="BA21" authorId="0" shapeId="0" xr:uid="{28275268-53DB-489E-90A0-E68BC236A624}">
      <text>
        <r>
          <rPr>
            <b/>
            <sz val="9"/>
            <color indexed="81"/>
            <rFont val="Tahoma"/>
            <charset val="1"/>
          </rPr>
          <t>User:</t>
        </r>
        <r>
          <rPr>
            <sz val="9"/>
            <color indexed="81"/>
            <rFont val="Tahoma"/>
            <charset val="1"/>
          </rPr>
          <t xml:space="preserve">
Source: Moog FY2012 10-K, Note 17 Segments</t>
        </r>
      </text>
    </comment>
    <comment ref="BB21" authorId="0" shapeId="0" xr:uid="{223876A0-D1E0-4756-9BAD-16D6E2DE94B7}">
      <text>
        <r>
          <rPr>
            <b/>
            <sz val="9"/>
            <color indexed="81"/>
            <rFont val="Tahoma"/>
            <charset val="1"/>
          </rPr>
          <t>User:</t>
        </r>
        <r>
          <rPr>
            <sz val="9"/>
            <color indexed="81"/>
            <rFont val="Tahoma"/>
            <charset val="1"/>
          </rPr>
          <t xml:space="preserve">
Source: Moog FY2012 10-K, Note 17 Segments</t>
        </r>
      </text>
    </comment>
    <comment ref="BC21" authorId="0" shapeId="0" xr:uid="{0923EEFE-A700-4AC5-81EF-F2E8E5A778C8}">
      <text>
        <r>
          <rPr>
            <b/>
            <sz val="9"/>
            <color indexed="81"/>
            <rFont val="Tahoma"/>
            <charset val="1"/>
          </rPr>
          <t>User:</t>
        </r>
        <r>
          <rPr>
            <sz val="9"/>
            <color indexed="81"/>
            <rFont val="Tahoma"/>
            <charset val="1"/>
          </rPr>
          <t xml:space="preserve">
Source: Moog FY2012 10-K, Note 17 Segments</t>
        </r>
      </text>
    </comment>
    <comment ref="BD21" authorId="0" shapeId="0" xr:uid="{83D67A3D-6B99-4791-80B8-15558FAC7010}">
      <text>
        <r>
          <rPr>
            <b/>
            <sz val="9"/>
            <color indexed="81"/>
            <rFont val="Tahoma"/>
            <charset val="1"/>
          </rPr>
          <t>User:</t>
        </r>
        <r>
          <rPr>
            <sz val="9"/>
            <color indexed="81"/>
            <rFont val="Tahoma"/>
            <charset val="1"/>
          </rPr>
          <t xml:space="preserve">
Source: Moog FY2012 10-K, Note 17 Segments</t>
        </r>
      </text>
    </comment>
    <comment ref="BE21" authorId="0" shapeId="0" xr:uid="{C5666E49-043C-4ACE-960A-2CB2DFCE634E}">
      <text>
        <r>
          <rPr>
            <b/>
            <sz val="9"/>
            <color indexed="81"/>
            <rFont val="Tahoma"/>
            <charset val="1"/>
          </rPr>
          <t>User:</t>
        </r>
        <r>
          <rPr>
            <sz val="9"/>
            <color indexed="81"/>
            <rFont val="Tahoma"/>
            <charset val="1"/>
          </rPr>
          <t xml:space="preserve">
Source: Moog FY2012 10-K, Note 17 Segments</t>
        </r>
      </text>
    </comment>
    <comment ref="BF21" authorId="0" shapeId="0" xr:uid="{21E9C6C4-68DB-4432-B443-C60BAE090F7A}">
      <text>
        <r>
          <rPr>
            <b/>
            <sz val="9"/>
            <color indexed="81"/>
            <rFont val="Tahoma"/>
            <charset val="1"/>
          </rPr>
          <t>User:</t>
        </r>
        <r>
          <rPr>
            <sz val="9"/>
            <color indexed="81"/>
            <rFont val="Tahoma"/>
            <charset val="1"/>
          </rPr>
          <t xml:space="preserve">
Source: Moog FY2012 10-K, Note 17 Segments</t>
        </r>
      </text>
    </comment>
    <comment ref="BG21" authorId="0" shapeId="0" xr:uid="{EABE6470-E844-4517-8E18-A2C743A1F86D}">
      <text>
        <r>
          <rPr>
            <b/>
            <sz val="9"/>
            <color indexed="81"/>
            <rFont val="Tahoma"/>
            <charset val="1"/>
          </rPr>
          <t>User:</t>
        </r>
        <r>
          <rPr>
            <sz val="9"/>
            <color indexed="81"/>
            <rFont val="Tahoma"/>
            <charset val="1"/>
          </rPr>
          <t xml:space="preserve">
Source: Moog FY2012 10-K, Note 17 Segments</t>
        </r>
      </text>
    </comment>
    <comment ref="BH21" authorId="0" shapeId="0" xr:uid="{3EE4CCA3-0B46-47A1-B70F-6DEB4E99F806}">
      <text>
        <r>
          <rPr>
            <b/>
            <sz val="9"/>
            <color indexed="81"/>
            <rFont val="Tahoma"/>
            <charset val="1"/>
          </rPr>
          <t>User:</t>
        </r>
        <r>
          <rPr>
            <sz val="9"/>
            <color indexed="81"/>
            <rFont val="Tahoma"/>
            <charset val="1"/>
          </rPr>
          <t xml:space="preserve">
Source: Moog FY2012 10-K, Note 17 Segments</t>
        </r>
      </text>
    </comment>
    <comment ref="BI21" authorId="0" shapeId="0" xr:uid="{428CC758-9DA9-4857-BFF4-013A2EE8884F}">
      <text>
        <r>
          <rPr>
            <b/>
            <sz val="9"/>
            <color indexed="81"/>
            <rFont val="Tahoma"/>
            <charset val="1"/>
          </rPr>
          <t>User:</t>
        </r>
        <r>
          <rPr>
            <sz val="9"/>
            <color indexed="81"/>
            <rFont val="Tahoma"/>
            <charset val="1"/>
          </rPr>
          <t xml:space="preserve">
Source: Moog FY2012 10-K, Note 17 Segments</t>
        </r>
      </text>
    </comment>
    <comment ref="BJ21" authorId="0" shapeId="0" xr:uid="{9E07C17A-D9D1-4EA5-A21D-C9CB2250A5D5}">
      <text>
        <r>
          <rPr>
            <b/>
            <sz val="9"/>
            <color indexed="81"/>
            <rFont val="Tahoma"/>
            <charset val="1"/>
          </rPr>
          <t>User:</t>
        </r>
        <r>
          <rPr>
            <sz val="9"/>
            <color indexed="81"/>
            <rFont val="Tahoma"/>
            <charset val="1"/>
          </rPr>
          <t xml:space="preserve">
Source: Moog FY2012 10-K, Note 17 Segments</t>
        </r>
      </text>
    </comment>
    <comment ref="G24" authorId="10" shapeId="0" xr:uid="{E0905645-7E1B-49D8-BD01-0486D4121581}">
      <text>
        <t>[Threaded comment]
Your version of Excel allows you to read this threaded comment; however, any edits to it will get removed if the file is opened in a newer version of Excel. Learn more: https://go.microsoft.com/fwlink/?linkid=870924
Comment:
    Source: Moog FY2012 10-K MD&amp;A Segment Backlog</t>
      </text>
    </comment>
    <comment ref="L24" authorId="11" shapeId="0" xr:uid="{9CC08B1E-274E-48D5-ABC2-096FD44A6F87}">
      <text>
        <t>[Threaded comment]
Your version of Excel allows you to read this threaded comment; however, any edits to it will get removed if the file is opened in a newer version of Excel. Learn more: https://go.microsoft.com/fwlink/?linkid=870924
Comment:
    Source: Moog FY2012 10-K MD&amp;A Segment Backlog</t>
      </text>
    </comment>
    <comment ref="Q24" authorId="12" shapeId="0" xr:uid="{AC8D0684-D2BD-4333-B3E1-92F5A69CA3CB}">
      <text>
        <t>[Threaded comment]
Your version of Excel allows you to read this threaded comment; however, any edits to it will get removed if the file is opened in a newer version of Excel. Learn more: https://go.microsoft.com/fwlink/?linkid=870924
Comment:
    Source: Moog FY2012 10-K MD&amp;A Segment Backlog</t>
      </text>
    </comment>
    <comment ref="V24" authorId="13" shapeId="0" xr:uid="{FA971A9A-2457-40A0-A742-AB607C937EEF}">
      <text>
        <t>[Threaded comment]
Your version of Excel allows you to read this threaded comment; however, any edits to it will get removed if the file is opened in a newer version of Excel. Learn more: https://go.microsoft.com/fwlink/?linkid=870924
Comment:
    Source: Moog FY2013 10-K MD&amp;A Segment Backlog</t>
      </text>
    </comment>
    <comment ref="AA24" authorId="14" shapeId="0" xr:uid="{36D3E793-02D4-47C8-BC52-57F0330A666D}">
      <text>
        <t>[Threaded comment]
Your version of Excel allows you to read this threaded comment; however, any edits to it will get removed if the file is opened in a newer version of Excel. Learn more: https://go.microsoft.com/fwlink/?linkid=870924
Comment:
    Source: Moog FY2014 10-K MD&amp;A Segment Backlog</t>
      </text>
    </comment>
    <comment ref="AF24" authorId="15" shapeId="0" xr:uid="{784BBCDF-0BBA-4713-9D0D-12FE5F4F4F6E}">
      <text>
        <t>[Threaded comment]
Your version of Excel allows you to read this threaded comment; however, any edits to it will get removed if the file is opened in a newer version of Excel. Learn more: https://go.microsoft.com/fwlink/?linkid=870924
Comment:
    Source: Moog FY2015 10-K MD&amp;A Segment Backlog</t>
      </text>
    </comment>
    <comment ref="AK24" authorId="16" shapeId="0" xr:uid="{88A5BCEC-E150-4DDD-869B-BE6344F5718C}">
      <text>
        <t>[Threaded comment]
Your version of Excel allows you to read this threaded comment; however, any edits to it will get removed if the file is opened in a newer version of Excel. Learn more: https://go.microsoft.com/fwlink/?linkid=870924
Comment:
    Source: Moog FY2016 10-K MD&amp;A Segment Backlog</t>
      </text>
    </comment>
    <comment ref="AP24" authorId="17" shapeId="0" xr:uid="{D0A3FDFF-F4CA-4911-BD9C-1AD8ACDAA64C}">
      <text>
        <t>[Threaded comment]
Your version of Excel allows you to read this threaded comment; however, any edits to it will get removed if the file is opened in a newer version of Excel. Learn more: https://go.microsoft.com/fwlink/?linkid=870924
Comment:
    Source: Moog FY2017 10-K MD&amp;A Segment Backlog</t>
      </text>
    </comment>
    <comment ref="AU24" authorId="18" shapeId="0" xr:uid="{A4538AD2-9475-43E6-9D9A-57FD92F3407B}">
      <text>
        <t>[Threaded comment]
Your version of Excel allows you to read this threaded comment; however, any edits to it will get removed if the file is opened in a newer version of Excel. Learn more: https://go.microsoft.com/fwlink/?linkid=870924
Comment:
    Source: Moog FY2018 10-K MD&amp;A Segment Backlog (3-segment view)</t>
      </text>
    </comment>
    <comment ref="G27" authorId="0" shapeId="0" xr:uid="{7BAB0C7D-C414-4F88-A415-45B4DFE629F6}">
      <text>
        <r>
          <rPr>
            <b/>
            <sz val="9"/>
            <color indexed="81"/>
            <rFont val="Tahoma"/>
            <charset val="1"/>
          </rPr>
          <t>User:</t>
        </r>
        <r>
          <rPr>
            <sz val="9"/>
            <color indexed="81"/>
            <rFont val="Tahoma"/>
            <charset val="1"/>
          </rPr>
          <t xml:space="preserve">
Source: Moog FY2012 10-K, Note 17 Segments</t>
        </r>
      </text>
    </comment>
    <comment ref="H27" authorId="0" shapeId="0" xr:uid="{6B071D89-DEB1-4244-8EE3-8E086108DCC4}">
      <text>
        <r>
          <rPr>
            <b/>
            <sz val="9"/>
            <color indexed="81"/>
            <rFont val="Tahoma"/>
            <charset val="1"/>
          </rPr>
          <t>User:</t>
        </r>
        <r>
          <rPr>
            <sz val="9"/>
            <color indexed="81"/>
            <rFont val="Tahoma"/>
            <charset val="1"/>
          </rPr>
          <t xml:space="preserve">
Source: Moog FY2012 10-K, Note 17 Segments</t>
        </r>
      </text>
    </comment>
    <comment ref="I27" authorId="0" shapeId="0" xr:uid="{079DDAC6-B963-496C-8E07-AAFEFE9EA0C9}">
      <text>
        <r>
          <rPr>
            <b/>
            <sz val="9"/>
            <color indexed="81"/>
            <rFont val="Tahoma"/>
            <charset val="1"/>
          </rPr>
          <t>User:</t>
        </r>
        <r>
          <rPr>
            <sz val="9"/>
            <color indexed="81"/>
            <rFont val="Tahoma"/>
            <charset val="1"/>
          </rPr>
          <t xml:space="preserve">
Source: Moog FY2012 10-K, Note 17 Segments</t>
        </r>
      </text>
    </comment>
    <comment ref="J27" authorId="0" shapeId="0" xr:uid="{4851A1C6-2FBB-4CB0-BEF4-8C9BABA33D92}">
      <text>
        <r>
          <rPr>
            <b/>
            <sz val="9"/>
            <color indexed="81"/>
            <rFont val="Tahoma"/>
            <charset val="1"/>
          </rPr>
          <t>User:</t>
        </r>
        <r>
          <rPr>
            <sz val="9"/>
            <color indexed="81"/>
            <rFont val="Tahoma"/>
            <charset val="1"/>
          </rPr>
          <t xml:space="preserve">
Source: Moog FY2012 10-K, Note 17 Segments</t>
        </r>
      </text>
    </comment>
    <comment ref="K27" authorId="0" shapeId="0" xr:uid="{6CF78890-F59E-4CEB-AFDC-DE54D5893DE0}">
      <text>
        <r>
          <rPr>
            <b/>
            <sz val="9"/>
            <color indexed="81"/>
            <rFont val="Tahoma"/>
            <charset val="1"/>
          </rPr>
          <t>User:</t>
        </r>
        <r>
          <rPr>
            <sz val="9"/>
            <color indexed="81"/>
            <rFont val="Tahoma"/>
            <charset val="1"/>
          </rPr>
          <t xml:space="preserve">
Source: Moog FY2012 10-K, Note 17 Segments</t>
        </r>
      </text>
    </comment>
    <comment ref="L27" authorId="0" shapeId="0" xr:uid="{EEBA6CDE-5E01-400F-9C93-FC79143D5F55}">
      <text>
        <r>
          <rPr>
            <b/>
            <sz val="9"/>
            <color indexed="81"/>
            <rFont val="Tahoma"/>
            <charset val="1"/>
          </rPr>
          <t>User:</t>
        </r>
        <r>
          <rPr>
            <sz val="9"/>
            <color indexed="81"/>
            <rFont val="Tahoma"/>
            <charset val="1"/>
          </rPr>
          <t xml:space="preserve">
Source: Moog FY2012 10-K, Note 17 Segments</t>
        </r>
      </text>
    </comment>
    <comment ref="M27" authorId="0" shapeId="0" xr:uid="{FDF2B99D-30DB-4A70-829D-738757263C74}">
      <text>
        <r>
          <rPr>
            <b/>
            <sz val="9"/>
            <color indexed="81"/>
            <rFont val="Tahoma"/>
            <charset val="1"/>
          </rPr>
          <t>User:</t>
        </r>
        <r>
          <rPr>
            <sz val="9"/>
            <color indexed="81"/>
            <rFont val="Tahoma"/>
            <charset val="1"/>
          </rPr>
          <t xml:space="preserve">
Source: Moog FY2012 10-K, Note 17 Segments</t>
        </r>
      </text>
    </comment>
    <comment ref="N27" authorId="0" shapeId="0" xr:uid="{420760B3-D3A8-4453-A688-FDF4F7F2052B}">
      <text>
        <r>
          <rPr>
            <b/>
            <sz val="9"/>
            <color indexed="81"/>
            <rFont val="Tahoma"/>
            <charset val="1"/>
          </rPr>
          <t>User:</t>
        </r>
        <r>
          <rPr>
            <sz val="9"/>
            <color indexed="81"/>
            <rFont val="Tahoma"/>
            <charset val="1"/>
          </rPr>
          <t xml:space="preserve">
Source: Moog FY2012 10-K, Note 17 Segments</t>
        </r>
      </text>
    </comment>
    <comment ref="O27" authorId="0" shapeId="0" xr:uid="{492EAFA6-F00F-4D52-9933-69890B75C8D2}">
      <text>
        <r>
          <rPr>
            <b/>
            <sz val="9"/>
            <color indexed="81"/>
            <rFont val="Tahoma"/>
            <charset val="1"/>
          </rPr>
          <t>User:</t>
        </r>
        <r>
          <rPr>
            <sz val="9"/>
            <color indexed="81"/>
            <rFont val="Tahoma"/>
            <charset val="1"/>
          </rPr>
          <t xml:space="preserve">
Source: Moog FY2012 10-K, Note 17 Segments</t>
        </r>
      </text>
    </comment>
    <comment ref="P27" authorId="0" shapeId="0" xr:uid="{2F9DE8A8-2F0B-4AEA-9D8E-F72CBD338CFA}">
      <text>
        <r>
          <rPr>
            <b/>
            <sz val="9"/>
            <color indexed="81"/>
            <rFont val="Tahoma"/>
            <charset val="1"/>
          </rPr>
          <t>User:</t>
        </r>
        <r>
          <rPr>
            <sz val="9"/>
            <color indexed="81"/>
            <rFont val="Tahoma"/>
            <charset val="1"/>
          </rPr>
          <t xml:space="preserve">
Source: Moog FY2012 10-K, Note 17 Segments</t>
        </r>
      </text>
    </comment>
    <comment ref="Q27" authorId="0" shapeId="0" xr:uid="{88E85BEF-E7A7-42A2-AAC5-A3AEE2B2BCFC}">
      <text>
        <r>
          <rPr>
            <b/>
            <sz val="9"/>
            <color indexed="81"/>
            <rFont val="Tahoma"/>
            <charset val="1"/>
          </rPr>
          <t>User:</t>
        </r>
        <r>
          <rPr>
            <sz val="9"/>
            <color indexed="81"/>
            <rFont val="Tahoma"/>
            <charset val="1"/>
          </rPr>
          <t xml:space="preserve">
Source: Moog FY2012 10-K, Note 17 Segments</t>
        </r>
      </text>
    </comment>
    <comment ref="R27" authorId="0" shapeId="0" xr:uid="{180699A1-8008-4E33-B17A-282B78DAB52E}">
      <text>
        <r>
          <rPr>
            <b/>
            <sz val="9"/>
            <color indexed="81"/>
            <rFont val="Tahoma"/>
            <charset val="1"/>
          </rPr>
          <t>User:</t>
        </r>
        <r>
          <rPr>
            <sz val="9"/>
            <color indexed="81"/>
            <rFont val="Tahoma"/>
            <charset val="1"/>
          </rPr>
          <t xml:space="preserve">
Source: Moog FY2012 10-K, Note 17 Segments</t>
        </r>
      </text>
    </comment>
    <comment ref="S27" authorId="0" shapeId="0" xr:uid="{321568D8-8B9A-474F-8114-52A7F2607909}">
      <text>
        <r>
          <rPr>
            <b/>
            <sz val="9"/>
            <color indexed="81"/>
            <rFont val="Tahoma"/>
            <charset val="1"/>
          </rPr>
          <t>User:</t>
        </r>
        <r>
          <rPr>
            <sz val="9"/>
            <color indexed="81"/>
            <rFont val="Tahoma"/>
            <charset val="1"/>
          </rPr>
          <t xml:space="preserve">
Source: Moog FY2012 10-K, Note 17 Segments</t>
        </r>
      </text>
    </comment>
    <comment ref="T27" authorId="0" shapeId="0" xr:uid="{AA0B6D01-335F-4FBC-8B34-944BC713B7EC}">
      <text>
        <r>
          <rPr>
            <b/>
            <sz val="9"/>
            <color indexed="81"/>
            <rFont val="Tahoma"/>
            <charset val="1"/>
          </rPr>
          <t>User:</t>
        </r>
        <r>
          <rPr>
            <sz val="9"/>
            <color indexed="81"/>
            <rFont val="Tahoma"/>
            <charset val="1"/>
          </rPr>
          <t xml:space="preserve">
Source: Moog FY2012 10-K, Note 17 Segments</t>
        </r>
      </text>
    </comment>
    <comment ref="U27" authorId="0" shapeId="0" xr:uid="{2A69D3BC-4415-4047-8D3D-282EBA1B8D4D}">
      <text>
        <r>
          <rPr>
            <b/>
            <sz val="9"/>
            <color indexed="81"/>
            <rFont val="Tahoma"/>
            <charset val="1"/>
          </rPr>
          <t>User:</t>
        </r>
        <r>
          <rPr>
            <sz val="9"/>
            <color indexed="81"/>
            <rFont val="Tahoma"/>
            <charset val="1"/>
          </rPr>
          <t xml:space="preserve">
Source: Moog FY2012 10-K, Note 17 Segments</t>
        </r>
      </text>
    </comment>
    <comment ref="V27" authorId="0" shapeId="0" xr:uid="{67083024-5644-496D-9EBF-071380CFA8A4}">
      <text>
        <r>
          <rPr>
            <b/>
            <sz val="9"/>
            <color indexed="81"/>
            <rFont val="Tahoma"/>
            <charset val="1"/>
          </rPr>
          <t>User:</t>
        </r>
        <r>
          <rPr>
            <sz val="9"/>
            <color indexed="81"/>
            <rFont val="Tahoma"/>
            <charset val="1"/>
          </rPr>
          <t xml:space="preserve">
Source: Moog FY2012 10-K, Note 17 Segments</t>
        </r>
      </text>
    </comment>
    <comment ref="W27" authorId="0" shapeId="0" xr:uid="{20817400-BEC6-4EDF-8785-AC04381EDD66}">
      <text>
        <r>
          <rPr>
            <b/>
            <sz val="9"/>
            <color indexed="81"/>
            <rFont val="Tahoma"/>
            <charset val="1"/>
          </rPr>
          <t>User:</t>
        </r>
        <r>
          <rPr>
            <sz val="9"/>
            <color indexed="81"/>
            <rFont val="Tahoma"/>
            <charset val="1"/>
          </rPr>
          <t xml:space="preserve">
Source: Moog FY2012 10-K, Note 17 Segments</t>
        </r>
      </text>
    </comment>
    <comment ref="X27" authorId="0" shapeId="0" xr:uid="{5A4715CC-FB0D-4EE0-B574-A259AB0EB53A}">
      <text>
        <r>
          <rPr>
            <b/>
            <sz val="9"/>
            <color indexed="81"/>
            <rFont val="Tahoma"/>
            <charset val="1"/>
          </rPr>
          <t>User:</t>
        </r>
        <r>
          <rPr>
            <sz val="9"/>
            <color indexed="81"/>
            <rFont val="Tahoma"/>
            <charset val="1"/>
          </rPr>
          <t xml:space="preserve">
Source: Moog FY2012 10-K, Note 17 Segments</t>
        </r>
      </text>
    </comment>
    <comment ref="Y27" authorId="0" shapeId="0" xr:uid="{1B019869-8D5E-4E95-AC61-8C6D47E5AA58}">
      <text>
        <r>
          <rPr>
            <b/>
            <sz val="9"/>
            <color indexed="81"/>
            <rFont val="Tahoma"/>
            <charset val="1"/>
          </rPr>
          <t>User:</t>
        </r>
        <r>
          <rPr>
            <sz val="9"/>
            <color indexed="81"/>
            <rFont val="Tahoma"/>
            <charset val="1"/>
          </rPr>
          <t xml:space="preserve">
Source: Moog FY2012 10-K, Note 17 Segments</t>
        </r>
      </text>
    </comment>
    <comment ref="Z27" authorId="0" shapeId="0" xr:uid="{848BAEFB-4B79-4731-A522-8C173F9CFDAF}">
      <text>
        <r>
          <rPr>
            <b/>
            <sz val="9"/>
            <color indexed="81"/>
            <rFont val="Tahoma"/>
            <charset val="1"/>
          </rPr>
          <t>User:</t>
        </r>
        <r>
          <rPr>
            <sz val="9"/>
            <color indexed="81"/>
            <rFont val="Tahoma"/>
            <charset val="1"/>
          </rPr>
          <t xml:space="preserve">
Source: Moog FY2012 10-K, Note 17 Segments</t>
        </r>
      </text>
    </comment>
    <comment ref="AA27" authorId="0" shapeId="0" xr:uid="{CC109604-0102-4794-BF24-88F0B7F1D3A5}">
      <text>
        <r>
          <rPr>
            <b/>
            <sz val="9"/>
            <color indexed="81"/>
            <rFont val="Tahoma"/>
            <charset val="1"/>
          </rPr>
          <t>User:</t>
        </r>
        <r>
          <rPr>
            <sz val="9"/>
            <color indexed="81"/>
            <rFont val="Tahoma"/>
            <charset val="1"/>
          </rPr>
          <t xml:space="preserve">
Source: Moog FY2012 10-K, Note 17 Segments</t>
        </r>
      </text>
    </comment>
    <comment ref="AB27" authorId="0" shapeId="0" xr:uid="{2ACEF6FA-BBAB-4C92-893A-B598CC92E83C}">
      <text>
        <r>
          <rPr>
            <b/>
            <sz val="9"/>
            <color indexed="81"/>
            <rFont val="Tahoma"/>
            <charset val="1"/>
          </rPr>
          <t>User:</t>
        </r>
        <r>
          <rPr>
            <sz val="9"/>
            <color indexed="81"/>
            <rFont val="Tahoma"/>
            <charset val="1"/>
          </rPr>
          <t xml:space="preserve">
Source: Moog FY2012 10-K, Note 17 Segments</t>
        </r>
      </text>
    </comment>
    <comment ref="AC27" authorId="0" shapeId="0" xr:uid="{1D2B8965-88A0-4A26-86A4-FA70E1F14815}">
      <text>
        <r>
          <rPr>
            <b/>
            <sz val="9"/>
            <color indexed="81"/>
            <rFont val="Tahoma"/>
            <charset val="1"/>
          </rPr>
          <t>User:</t>
        </r>
        <r>
          <rPr>
            <sz val="9"/>
            <color indexed="81"/>
            <rFont val="Tahoma"/>
            <charset val="1"/>
          </rPr>
          <t xml:space="preserve">
Source: Moog FY2012 10-K, Note 17 Segments</t>
        </r>
      </text>
    </comment>
    <comment ref="AD27" authorId="0" shapeId="0" xr:uid="{CD549FD4-0F32-4760-B541-A6037F29B065}">
      <text>
        <r>
          <rPr>
            <b/>
            <sz val="9"/>
            <color indexed="81"/>
            <rFont val="Tahoma"/>
            <charset val="1"/>
          </rPr>
          <t>User:</t>
        </r>
        <r>
          <rPr>
            <sz val="9"/>
            <color indexed="81"/>
            <rFont val="Tahoma"/>
            <charset val="1"/>
          </rPr>
          <t xml:space="preserve">
Source: Moog FY2012 10-K, Note 17 Segments</t>
        </r>
      </text>
    </comment>
    <comment ref="AE27" authorId="0" shapeId="0" xr:uid="{33093BBA-D783-4F77-9594-9E028641D033}">
      <text>
        <r>
          <rPr>
            <b/>
            <sz val="9"/>
            <color indexed="81"/>
            <rFont val="Tahoma"/>
            <charset val="1"/>
          </rPr>
          <t>User:</t>
        </r>
        <r>
          <rPr>
            <sz val="9"/>
            <color indexed="81"/>
            <rFont val="Tahoma"/>
            <charset val="1"/>
          </rPr>
          <t xml:space="preserve">
Source: Moog FY2012 10-K, Note 17 Segments</t>
        </r>
      </text>
    </comment>
    <comment ref="AF27" authorId="0" shapeId="0" xr:uid="{C196E800-A2AD-4815-B1C5-57252219FD29}">
      <text>
        <r>
          <rPr>
            <b/>
            <sz val="9"/>
            <color indexed="81"/>
            <rFont val="Tahoma"/>
            <charset val="1"/>
          </rPr>
          <t>User:</t>
        </r>
        <r>
          <rPr>
            <sz val="9"/>
            <color indexed="81"/>
            <rFont val="Tahoma"/>
            <charset val="1"/>
          </rPr>
          <t xml:space="preserve">
Source: Moog FY2012 10-K, Note 17 Segments</t>
        </r>
      </text>
    </comment>
    <comment ref="AG27" authorId="0" shapeId="0" xr:uid="{5A1268DA-FF67-40DA-9855-B07D5DC1D470}">
      <text>
        <r>
          <rPr>
            <b/>
            <sz val="9"/>
            <color indexed="81"/>
            <rFont val="Tahoma"/>
            <charset val="1"/>
          </rPr>
          <t>User:</t>
        </r>
        <r>
          <rPr>
            <sz val="9"/>
            <color indexed="81"/>
            <rFont val="Tahoma"/>
            <charset val="1"/>
          </rPr>
          <t xml:space="preserve">
Source: Moog FY2012 10-K, Note 17 Segments</t>
        </r>
      </text>
    </comment>
    <comment ref="AH27" authorId="0" shapeId="0" xr:uid="{983E1DB8-ABB4-45A1-B7D8-839C9CCB67C9}">
      <text>
        <r>
          <rPr>
            <b/>
            <sz val="9"/>
            <color indexed="81"/>
            <rFont val="Tahoma"/>
            <charset val="1"/>
          </rPr>
          <t>User:</t>
        </r>
        <r>
          <rPr>
            <sz val="9"/>
            <color indexed="81"/>
            <rFont val="Tahoma"/>
            <charset val="1"/>
          </rPr>
          <t xml:space="preserve">
Source: Moog FY2012 10-K, Note 17 Segments</t>
        </r>
      </text>
    </comment>
    <comment ref="AI27" authorId="0" shapeId="0" xr:uid="{F077E5BF-50CC-42A3-95C9-2C6D6F6ECB72}">
      <text>
        <r>
          <rPr>
            <b/>
            <sz val="9"/>
            <color indexed="81"/>
            <rFont val="Tahoma"/>
            <charset val="1"/>
          </rPr>
          <t>User:</t>
        </r>
        <r>
          <rPr>
            <sz val="9"/>
            <color indexed="81"/>
            <rFont val="Tahoma"/>
            <charset val="1"/>
          </rPr>
          <t xml:space="preserve">
Source: Moog FY2012 10-K, Note 17 Segments</t>
        </r>
      </text>
    </comment>
    <comment ref="AJ27" authorId="0" shapeId="0" xr:uid="{1DAB6ACA-E514-41B4-BE66-89B0B5CBFC58}">
      <text>
        <r>
          <rPr>
            <b/>
            <sz val="9"/>
            <color indexed="81"/>
            <rFont val="Tahoma"/>
            <charset val="1"/>
          </rPr>
          <t>User:</t>
        </r>
        <r>
          <rPr>
            <sz val="9"/>
            <color indexed="81"/>
            <rFont val="Tahoma"/>
            <charset val="1"/>
          </rPr>
          <t xml:space="preserve">
Source: Moog FY2012 10-K, Note 17 Segments</t>
        </r>
      </text>
    </comment>
    <comment ref="AK27" authorId="0" shapeId="0" xr:uid="{704A95A7-FCD6-46BC-9960-98787250F969}">
      <text>
        <r>
          <rPr>
            <b/>
            <sz val="9"/>
            <color indexed="81"/>
            <rFont val="Tahoma"/>
            <charset val="1"/>
          </rPr>
          <t>User:</t>
        </r>
        <r>
          <rPr>
            <sz val="9"/>
            <color indexed="81"/>
            <rFont val="Tahoma"/>
            <charset val="1"/>
          </rPr>
          <t xml:space="preserve">
Source: Moog FY2012 10-K, Note 17 Segments</t>
        </r>
      </text>
    </comment>
    <comment ref="AL27" authorId="0" shapeId="0" xr:uid="{357B9C52-19A8-4FD8-9171-7CF0442E5D57}">
      <text>
        <r>
          <rPr>
            <b/>
            <sz val="9"/>
            <color indexed="81"/>
            <rFont val="Tahoma"/>
            <charset val="1"/>
          </rPr>
          <t>User:</t>
        </r>
        <r>
          <rPr>
            <sz val="9"/>
            <color indexed="81"/>
            <rFont val="Tahoma"/>
            <charset val="1"/>
          </rPr>
          <t xml:space="preserve">
Source: Moog FY2012 10-K, Note 17 Segments</t>
        </r>
      </text>
    </comment>
    <comment ref="AM27" authorId="0" shapeId="0" xr:uid="{E47CA21B-DEA3-41DF-8F1E-560B6049CAE7}">
      <text>
        <r>
          <rPr>
            <b/>
            <sz val="9"/>
            <color indexed="81"/>
            <rFont val="Tahoma"/>
            <charset val="1"/>
          </rPr>
          <t>User:</t>
        </r>
        <r>
          <rPr>
            <sz val="9"/>
            <color indexed="81"/>
            <rFont val="Tahoma"/>
            <charset val="1"/>
          </rPr>
          <t xml:space="preserve">
Source: Moog FY2012 10-K, Note 17 Segments</t>
        </r>
      </text>
    </comment>
    <comment ref="AN27" authorId="0" shapeId="0" xr:uid="{A453DDE8-B340-49D5-9332-5B6473529C14}">
      <text>
        <r>
          <rPr>
            <b/>
            <sz val="9"/>
            <color indexed="81"/>
            <rFont val="Tahoma"/>
            <charset val="1"/>
          </rPr>
          <t>User:</t>
        </r>
        <r>
          <rPr>
            <sz val="9"/>
            <color indexed="81"/>
            <rFont val="Tahoma"/>
            <charset val="1"/>
          </rPr>
          <t xml:space="preserve">
Source: Moog FY2012 10-K, Note 17 Segments</t>
        </r>
      </text>
    </comment>
    <comment ref="AO27" authorId="0" shapeId="0" xr:uid="{7344F9F0-DE48-43CE-BF14-716D1927090A}">
      <text>
        <r>
          <rPr>
            <b/>
            <sz val="9"/>
            <color indexed="81"/>
            <rFont val="Tahoma"/>
            <charset val="1"/>
          </rPr>
          <t>User:</t>
        </r>
        <r>
          <rPr>
            <sz val="9"/>
            <color indexed="81"/>
            <rFont val="Tahoma"/>
            <charset val="1"/>
          </rPr>
          <t xml:space="preserve">
Source: Moog FY2012 10-K, Note 17 Segments</t>
        </r>
      </text>
    </comment>
    <comment ref="AP27" authorId="0" shapeId="0" xr:uid="{0AC1127F-14A5-4D9F-8DE9-FA7283CFA058}">
      <text>
        <r>
          <rPr>
            <b/>
            <sz val="9"/>
            <color indexed="81"/>
            <rFont val="Tahoma"/>
            <charset val="1"/>
          </rPr>
          <t>User:</t>
        </r>
        <r>
          <rPr>
            <sz val="9"/>
            <color indexed="81"/>
            <rFont val="Tahoma"/>
            <charset val="1"/>
          </rPr>
          <t xml:space="preserve">
Source: Moog FY2012 10-K, Note 17 Segments</t>
        </r>
      </text>
    </comment>
    <comment ref="AQ27" authorId="0" shapeId="0" xr:uid="{005B0102-5518-4A3C-9B4D-194C8070DBDB}">
      <text>
        <r>
          <rPr>
            <b/>
            <sz val="9"/>
            <color indexed="81"/>
            <rFont val="Tahoma"/>
            <charset val="1"/>
          </rPr>
          <t>User:</t>
        </r>
        <r>
          <rPr>
            <sz val="9"/>
            <color indexed="81"/>
            <rFont val="Tahoma"/>
            <charset val="1"/>
          </rPr>
          <t xml:space="preserve">
Source: Moog FY2012 10-K, Note 17 Segments</t>
        </r>
      </text>
    </comment>
    <comment ref="AR27" authorId="0" shapeId="0" xr:uid="{F3AC471C-F8B7-45B1-BCD9-5AD0AA0D1AEC}">
      <text>
        <r>
          <rPr>
            <b/>
            <sz val="9"/>
            <color indexed="81"/>
            <rFont val="Tahoma"/>
            <charset val="1"/>
          </rPr>
          <t>User:</t>
        </r>
        <r>
          <rPr>
            <sz val="9"/>
            <color indexed="81"/>
            <rFont val="Tahoma"/>
            <charset val="1"/>
          </rPr>
          <t xml:space="preserve">
Source: Moog FY2012 10-K, Note 17 Segments</t>
        </r>
      </text>
    </comment>
    <comment ref="AS27" authorId="0" shapeId="0" xr:uid="{84A9D6FF-2075-4411-8721-493505EC9523}">
      <text>
        <r>
          <rPr>
            <b/>
            <sz val="9"/>
            <color indexed="81"/>
            <rFont val="Tahoma"/>
            <charset val="1"/>
          </rPr>
          <t>User:</t>
        </r>
        <r>
          <rPr>
            <sz val="9"/>
            <color indexed="81"/>
            <rFont val="Tahoma"/>
            <charset val="1"/>
          </rPr>
          <t xml:space="preserve">
Source: Moog FY2012 10-K, Note 17 Segments</t>
        </r>
      </text>
    </comment>
    <comment ref="AT27" authorId="0" shapeId="0" xr:uid="{C361838E-98B0-4CC1-990E-CB18CDC004E5}">
      <text>
        <r>
          <rPr>
            <b/>
            <sz val="9"/>
            <color indexed="81"/>
            <rFont val="Tahoma"/>
            <charset val="1"/>
          </rPr>
          <t>User:</t>
        </r>
        <r>
          <rPr>
            <sz val="9"/>
            <color indexed="81"/>
            <rFont val="Tahoma"/>
            <charset val="1"/>
          </rPr>
          <t xml:space="preserve">
Source: Moog FY2012 10-K, Note 17 Segments</t>
        </r>
      </text>
    </comment>
    <comment ref="AU27" authorId="0" shapeId="0" xr:uid="{433E95C4-8402-4846-8561-D33D633F59F4}">
      <text>
        <r>
          <rPr>
            <b/>
            <sz val="9"/>
            <color indexed="81"/>
            <rFont val="Tahoma"/>
            <charset val="1"/>
          </rPr>
          <t>User:</t>
        </r>
        <r>
          <rPr>
            <sz val="9"/>
            <color indexed="81"/>
            <rFont val="Tahoma"/>
            <charset val="1"/>
          </rPr>
          <t xml:space="preserve">
Source: Moog FY2012 10-K, Note 17 Segments</t>
        </r>
      </text>
    </comment>
    <comment ref="AV27" authorId="0" shapeId="0" xr:uid="{3A17F70A-2FFF-4F87-BEAC-65AA55BC8D58}">
      <text>
        <r>
          <rPr>
            <b/>
            <sz val="9"/>
            <color indexed="81"/>
            <rFont val="Tahoma"/>
            <charset val="1"/>
          </rPr>
          <t>User:</t>
        </r>
        <r>
          <rPr>
            <sz val="9"/>
            <color indexed="81"/>
            <rFont val="Tahoma"/>
            <charset val="1"/>
          </rPr>
          <t xml:space="preserve">
Source: Moog FY2012 10-K, Note 17 Segments</t>
        </r>
      </text>
    </comment>
    <comment ref="AW27" authorId="0" shapeId="0" xr:uid="{22134B98-EC58-4B16-A7CF-56CDAD6AED7B}">
      <text>
        <r>
          <rPr>
            <b/>
            <sz val="9"/>
            <color indexed="81"/>
            <rFont val="Tahoma"/>
            <charset val="1"/>
          </rPr>
          <t>User:</t>
        </r>
        <r>
          <rPr>
            <sz val="9"/>
            <color indexed="81"/>
            <rFont val="Tahoma"/>
            <charset val="1"/>
          </rPr>
          <t xml:space="preserve">
Source: Moog FY2012 10-K, Note 17 Segments</t>
        </r>
      </text>
    </comment>
    <comment ref="AX27" authorId="0" shapeId="0" xr:uid="{6EA78543-A349-437A-95FC-737795EDC8A4}">
      <text>
        <r>
          <rPr>
            <b/>
            <sz val="9"/>
            <color indexed="81"/>
            <rFont val="Tahoma"/>
            <charset val="1"/>
          </rPr>
          <t>User:</t>
        </r>
        <r>
          <rPr>
            <sz val="9"/>
            <color indexed="81"/>
            <rFont val="Tahoma"/>
            <charset val="1"/>
          </rPr>
          <t xml:space="preserve">
Source: Moog FY2012 10-K, Note 17 Segments</t>
        </r>
      </text>
    </comment>
    <comment ref="AY27" authorId="0" shapeId="0" xr:uid="{894F06BB-14D7-4A4D-8560-6B340CFB348E}">
      <text>
        <r>
          <rPr>
            <b/>
            <sz val="9"/>
            <color indexed="81"/>
            <rFont val="Tahoma"/>
            <charset val="1"/>
          </rPr>
          <t>User:</t>
        </r>
        <r>
          <rPr>
            <sz val="9"/>
            <color indexed="81"/>
            <rFont val="Tahoma"/>
            <charset val="1"/>
          </rPr>
          <t xml:space="preserve">
Source: Moog FY2012 10-K, Note 17 Segments</t>
        </r>
      </text>
    </comment>
    <comment ref="AZ27" authorId="0" shapeId="0" xr:uid="{F6156C9B-A50D-458D-B579-6986317F9329}">
      <text>
        <r>
          <rPr>
            <b/>
            <sz val="9"/>
            <color indexed="81"/>
            <rFont val="Tahoma"/>
            <charset val="1"/>
          </rPr>
          <t>User:</t>
        </r>
        <r>
          <rPr>
            <sz val="9"/>
            <color indexed="81"/>
            <rFont val="Tahoma"/>
            <charset val="1"/>
          </rPr>
          <t xml:space="preserve">
Source: Moog FY2012 10-K, Note 17 Segments</t>
        </r>
      </text>
    </comment>
    <comment ref="BA27" authorId="0" shapeId="0" xr:uid="{8F343DEC-9AFC-4877-9AD2-B0B24203E74D}">
      <text>
        <r>
          <rPr>
            <b/>
            <sz val="9"/>
            <color indexed="81"/>
            <rFont val="Tahoma"/>
            <charset val="1"/>
          </rPr>
          <t>User:</t>
        </r>
        <r>
          <rPr>
            <sz val="9"/>
            <color indexed="81"/>
            <rFont val="Tahoma"/>
            <charset val="1"/>
          </rPr>
          <t xml:space="preserve">
Source: Moog FY2012 10-K, Note 17 Segments</t>
        </r>
      </text>
    </comment>
    <comment ref="BB27" authorId="0" shapeId="0" xr:uid="{AFB650CA-DA97-485E-B989-BD317E92EEBD}">
      <text>
        <r>
          <rPr>
            <b/>
            <sz val="9"/>
            <color indexed="81"/>
            <rFont val="Tahoma"/>
            <charset val="1"/>
          </rPr>
          <t>User:</t>
        </r>
        <r>
          <rPr>
            <sz val="9"/>
            <color indexed="81"/>
            <rFont val="Tahoma"/>
            <charset val="1"/>
          </rPr>
          <t xml:space="preserve">
Source: Moog FY2012 10-K, Note 17 Segments</t>
        </r>
      </text>
    </comment>
    <comment ref="BC27" authorId="0" shapeId="0" xr:uid="{9BE858A1-FFD4-4DCF-B5A9-B8F6DB05D641}">
      <text>
        <r>
          <rPr>
            <b/>
            <sz val="9"/>
            <color indexed="81"/>
            <rFont val="Tahoma"/>
            <charset val="1"/>
          </rPr>
          <t>User:</t>
        </r>
        <r>
          <rPr>
            <sz val="9"/>
            <color indexed="81"/>
            <rFont val="Tahoma"/>
            <charset val="1"/>
          </rPr>
          <t xml:space="preserve">
Source: Moog FY2012 10-K, Note 17 Segments</t>
        </r>
      </text>
    </comment>
    <comment ref="BD27" authorId="0" shapeId="0" xr:uid="{202299E0-E3C9-4B9C-A73D-F45E82589182}">
      <text>
        <r>
          <rPr>
            <b/>
            <sz val="9"/>
            <color indexed="81"/>
            <rFont val="Tahoma"/>
            <charset val="1"/>
          </rPr>
          <t>User:</t>
        </r>
        <r>
          <rPr>
            <sz val="9"/>
            <color indexed="81"/>
            <rFont val="Tahoma"/>
            <charset val="1"/>
          </rPr>
          <t xml:space="preserve">
Source: Moog FY2012 10-K, Note 17 Segments</t>
        </r>
      </text>
    </comment>
    <comment ref="BE27" authorId="0" shapeId="0" xr:uid="{E214B7D1-7944-4FD4-9C33-0E398A93EB02}">
      <text>
        <r>
          <rPr>
            <b/>
            <sz val="9"/>
            <color indexed="81"/>
            <rFont val="Tahoma"/>
            <charset val="1"/>
          </rPr>
          <t>User:</t>
        </r>
        <r>
          <rPr>
            <sz val="9"/>
            <color indexed="81"/>
            <rFont val="Tahoma"/>
            <charset val="1"/>
          </rPr>
          <t xml:space="preserve">
Source: Moog FY2012 10-K, Note 17 Segments</t>
        </r>
      </text>
    </comment>
    <comment ref="BF27" authorId="0" shapeId="0" xr:uid="{29DCD97F-C035-4A0F-97FF-FB9CE78430C2}">
      <text>
        <r>
          <rPr>
            <b/>
            <sz val="9"/>
            <color indexed="81"/>
            <rFont val="Tahoma"/>
            <charset val="1"/>
          </rPr>
          <t>User:</t>
        </r>
        <r>
          <rPr>
            <sz val="9"/>
            <color indexed="81"/>
            <rFont val="Tahoma"/>
            <charset val="1"/>
          </rPr>
          <t xml:space="preserve">
Source: Moog FY2012 10-K, Note 17 Segments</t>
        </r>
      </text>
    </comment>
    <comment ref="BG27" authorId="0" shapeId="0" xr:uid="{FB85C1FB-06CA-411B-BA74-4CBFEF09B6A6}">
      <text>
        <r>
          <rPr>
            <b/>
            <sz val="9"/>
            <color indexed="81"/>
            <rFont val="Tahoma"/>
            <charset val="1"/>
          </rPr>
          <t>User:</t>
        </r>
        <r>
          <rPr>
            <sz val="9"/>
            <color indexed="81"/>
            <rFont val="Tahoma"/>
            <charset val="1"/>
          </rPr>
          <t xml:space="preserve">
Source: Moog FY2012 10-K, Note 17 Segments</t>
        </r>
      </text>
    </comment>
    <comment ref="BH27" authorId="0" shapeId="0" xr:uid="{3FD2DE11-BA71-4377-8EBF-A7A74F7D5B8D}">
      <text>
        <r>
          <rPr>
            <b/>
            <sz val="9"/>
            <color indexed="81"/>
            <rFont val="Tahoma"/>
            <charset val="1"/>
          </rPr>
          <t>User:</t>
        </r>
        <r>
          <rPr>
            <sz val="9"/>
            <color indexed="81"/>
            <rFont val="Tahoma"/>
            <charset val="1"/>
          </rPr>
          <t xml:space="preserve">
Source: Moog FY2012 10-K, Note 17 Segments</t>
        </r>
      </text>
    </comment>
    <comment ref="BI27" authorId="0" shapeId="0" xr:uid="{F2F81291-7AE8-4BE8-BDD0-22B7F8E8CE82}">
      <text>
        <r>
          <rPr>
            <b/>
            <sz val="9"/>
            <color indexed="81"/>
            <rFont val="Tahoma"/>
            <charset val="1"/>
          </rPr>
          <t>User:</t>
        </r>
        <r>
          <rPr>
            <sz val="9"/>
            <color indexed="81"/>
            <rFont val="Tahoma"/>
            <charset val="1"/>
          </rPr>
          <t xml:space="preserve">
Source: Moog FY2012 10-K, Note 17 Segments</t>
        </r>
      </text>
    </comment>
    <comment ref="BJ27" authorId="0" shapeId="0" xr:uid="{41CD04CE-E3D2-401B-8965-F00EE77B1E5C}">
      <text>
        <r>
          <rPr>
            <b/>
            <sz val="9"/>
            <color indexed="81"/>
            <rFont val="Tahoma"/>
            <charset val="1"/>
          </rPr>
          <t>User:</t>
        </r>
        <r>
          <rPr>
            <sz val="9"/>
            <color indexed="81"/>
            <rFont val="Tahoma"/>
            <charset val="1"/>
          </rPr>
          <t xml:space="preserve">
Source: Moog FY2012 10-K, Note 17 Segments</t>
        </r>
      </text>
    </comment>
    <comment ref="G28" authorId="0" shapeId="0" xr:uid="{F6841BD5-74AD-4FFD-A767-669349BD318E}">
      <text>
        <r>
          <rPr>
            <b/>
            <sz val="9"/>
            <color indexed="81"/>
            <rFont val="Tahoma"/>
            <charset val="1"/>
          </rPr>
          <t>User:</t>
        </r>
        <r>
          <rPr>
            <sz val="9"/>
            <color indexed="81"/>
            <rFont val="Tahoma"/>
            <charset val="1"/>
          </rPr>
          <t xml:space="preserve">
Source: Moog FY2012 10-K, Note 17 Segments</t>
        </r>
      </text>
    </comment>
    <comment ref="H28" authorId="0" shapeId="0" xr:uid="{112F632D-1D0C-4937-99E8-469781A7C7F6}">
      <text>
        <r>
          <rPr>
            <b/>
            <sz val="9"/>
            <color indexed="81"/>
            <rFont val="Tahoma"/>
            <charset val="1"/>
          </rPr>
          <t>User:</t>
        </r>
        <r>
          <rPr>
            <sz val="9"/>
            <color indexed="81"/>
            <rFont val="Tahoma"/>
            <charset val="1"/>
          </rPr>
          <t xml:space="preserve">
Source: Moog FY2012 10-K, Note 17 Segments</t>
        </r>
      </text>
    </comment>
    <comment ref="I28" authorId="0" shapeId="0" xr:uid="{A82F101E-B2DD-483D-BCCB-DBC654D69B09}">
      <text>
        <r>
          <rPr>
            <b/>
            <sz val="9"/>
            <color indexed="81"/>
            <rFont val="Tahoma"/>
            <charset val="1"/>
          </rPr>
          <t>User:</t>
        </r>
        <r>
          <rPr>
            <sz val="9"/>
            <color indexed="81"/>
            <rFont val="Tahoma"/>
            <charset val="1"/>
          </rPr>
          <t xml:space="preserve">
Source: Moog FY2012 10-K, Note 17 Segments</t>
        </r>
      </text>
    </comment>
    <comment ref="J28" authorId="0" shapeId="0" xr:uid="{91B89C1C-0AE5-4DD0-B58C-2EB1318964AE}">
      <text>
        <r>
          <rPr>
            <b/>
            <sz val="9"/>
            <color indexed="81"/>
            <rFont val="Tahoma"/>
            <charset val="1"/>
          </rPr>
          <t>User:</t>
        </r>
        <r>
          <rPr>
            <sz val="9"/>
            <color indexed="81"/>
            <rFont val="Tahoma"/>
            <charset val="1"/>
          </rPr>
          <t xml:space="preserve">
Source: Moog FY2012 10-K, Note 17 Segments</t>
        </r>
      </text>
    </comment>
    <comment ref="K28" authorId="0" shapeId="0" xr:uid="{ABD8EBF1-CA9D-4118-8732-477DAACCD825}">
      <text>
        <r>
          <rPr>
            <b/>
            <sz val="9"/>
            <color indexed="81"/>
            <rFont val="Tahoma"/>
            <charset val="1"/>
          </rPr>
          <t>User:</t>
        </r>
        <r>
          <rPr>
            <sz val="9"/>
            <color indexed="81"/>
            <rFont val="Tahoma"/>
            <charset val="1"/>
          </rPr>
          <t xml:space="preserve">
Source: Moog FY2012 10-K, Note 17 Segments</t>
        </r>
      </text>
    </comment>
    <comment ref="L28" authorId="0" shapeId="0" xr:uid="{444D28E7-D88A-4D95-A299-2D2B859C7270}">
      <text>
        <r>
          <rPr>
            <b/>
            <sz val="9"/>
            <color indexed="81"/>
            <rFont val="Tahoma"/>
            <charset val="1"/>
          </rPr>
          <t>User:</t>
        </r>
        <r>
          <rPr>
            <sz val="9"/>
            <color indexed="81"/>
            <rFont val="Tahoma"/>
            <charset val="1"/>
          </rPr>
          <t xml:space="preserve">
Source: Moog FY2012 10-K, Note 17 Segments</t>
        </r>
      </text>
    </comment>
    <comment ref="M28" authorId="0" shapeId="0" xr:uid="{0AA5BFD6-A680-4C5F-9BF5-66FFB3421091}">
      <text>
        <r>
          <rPr>
            <b/>
            <sz val="9"/>
            <color indexed="81"/>
            <rFont val="Tahoma"/>
            <charset val="1"/>
          </rPr>
          <t>User:</t>
        </r>
        <r>
          <rPr>
            <sz val="9"/>
            <color indexed="81"/>
            <rFont val="Tahoma"/>
            <charset val="1"/>
          </rPr>
          <t xml:space="preserve">
Source: Moog FY2012 10-K, Note 17 Segments</t>
        </r>
      </text>
    </comment>
    <comment ref="N28" authorId="0" shapeId="0" xr:uid="{17D0E687-50B2-4DD0-BC3A-F1770609D70F}">
      <text>
        <r>
          <rPr>
            <b/>
            <sz val="9"/>
            <color indexed="81"/>
            <rFont val="Tahoma"/>
            <charset val="1"/>
          </rPr>
          <t>User:</t>
        </r>
        <r>
          <rPr>
            <sz val="9"/>
            <color indexed="81"/>
            <rFont val="Tahoma"/>
            <charset val="1"/>
          </rPr>
          <t xml:space="preserve">
Source: Moog FY2012 10-K, Note 17 Segments</t>
        </r>
      </text>
    </comment>
    <comment ref="O28" authorId="0" shapeId="0" xr:uid="{C5D0129E-7DB0-4038-A040-C030D565AE09}">
      <text>
        <r>
          <rPr>
            <b/>
            <sz val="9"/>
            <color indexed="81"/>
            <rFont val="Tahoma"/>
            <charset val="1"/>
          </rPr>
          <t>User:</t>
        </r>
        <r>
          <rPr>
            <sz val="9"/>
            <color indexed="81"/>
            <rFont val="Tahoma"/>
            <charset val="1"/>
          </rPr>
          <t xml:space="preserve">
Source: Moog FY2012 10-K, Note 17 Segments</t>
        </r>
      </text>
    </comment>
    <comment ref="P28" authorId="0" shapeId="0" xr:uid="{36986ABA-7236-4C1D-831E-DABD88B22BDF}">
      <text>
        <r>
          <rPr>
            <b/>
            <sz val="9"/>
            <color indexed="81"/>
            <rFont val="Tahoma"/>
            <charset val="1"/>
          </rPr>
          <t>User:</t>
        </r>
        <r>
          <rPr>
            <sz val="9"/>
            <color indexed="81"/>
            <rFont val="Tahoma"/>
            <charset val="1"/>
          </rPr>
          <t xml:space="preserve">
Source: Moog FY2012 10-K, Note 17 Segments</t>
        </r>
      </text>
    </comment>
    <comment ref="Q28" authorId="0" shapeId="0" xr:uid="{04BA7EBD-032E-44EF-87B0-A3E9F37B676E}">
      <text>
        <r>
          <rPr>
            <b/>
            <sz val="9"/>
            <color indexed="81"/>
            <rFont val="Tahoma"/>
            <charset val="1"/>
          </rPr>
          <t>User:</t>
        </r>
        <r>
          <rPr>
            <sz val="9"/>
            <color indexed="81"/>
            <rFont val="Tahoma"/>
            <charset val="1"/>
          </rPr>
          <t xml:space="preserve">
Source: Moog FY2012 10-K, Note 17 Segments</t>
        </r>
      </text>
    </comment>
    <comment ref="R28" authorId="0" shapeId="0" xr:uid="{725CB86E-4318-4306-8F64-854059877C26}">
      <text>
        <r>
          <rPr>
            <b/>
            <sz val="9"/>
            <color indexed="81"/>
            <rFont val="Tahoma"/>
            <charset val="1"/>
          </rPr>
          <t>User:</t>
        </r>
        <r>
          <rPr>
            <sz val="9"/>
            <color indexed="81"/>
            <rFont val="Tahoma"/>
            <charset val="1"/>
          </rPr>
          <t xml:space="preserve">
Source: Moog FY2012 10-K, Note 17 Segments</t>
        </r>
      </text>
    </comment>
    <comment ref="S28" authorId="0" shapeId="0" xr:uid="{D967D957-7A17-4DA2-B182-EBCE27947CFC}">
      <text>
        <r>
          <rPr>
            <b/>
            <sz val="9"/>
            <color indexed="81"/>
            <rFont val="Tahoma"/>
            <charset val="1"/>
          </rPr>
          <t>User:</t>
        </r>
        <r>
          <rPr>
            <sz val="9"/>
            <color indexed="81"/>
            <rFont val="Tahoma"/>
            <charset val="1"/>
          </rPr>
          <t xml:space="preserve">
Source: Moog FY2012 10-K, Note 17 Segments</t>
        </r>
      </text>
    </comment>
    <comment ref="T28" authorId="0" shapeId="0" xr:uid="{59EC3EC4-9644-4CBB-8B75-600D5019C10D}">
      <text>
        <r>
          <rPr>
            <b/>
            <sz val="9"/>
            <color indexed="81"/>
            <rFont val="Tahoma"/>
            <charset val="1"/>
          </rPr>
          <t>User:</t>
        </r>
        <r>
          <rPr>
            <sz val="9"/>
            <color indexed="81"/>
            <rFont val="Tahoma"/>
            <charset val="1"/>
          </rPr>
          <t xml:space="preserve">
Source: Moog FY2012 10-K, Note 17 Segments</t>
        </r>
      </text>
    </comment>
    <comment ref="U28" authorId="0" shapeId="0" xr:uid="{082F3B2B-A2E4-450C-9EFB-D8990CB49481}">
      <text>
        <r>
          <rPr>
            <b/>
            <sz val="9"/>
            <color indexed="81"/>
            <rFont val="Tahoma"/>
            <charset val="1"/>
          </rPr>
          <t>User:</t>
        </r>
        <r>
          <rPr>
            <sz val="9"/>
            <color indexed="81"/>
            <rFont val="Tahoma"/>
            <charset val="1"/>
          </rPr>
          <t xml:space="preserve">
Source: Moog FY2012 10-K, Note 17 Segments</t>
        </r>
      </text>
    </comment>
    <comment ref="V28" authorId="0" shapeId="0" xr:uid="{418C607F-5341-480C-A907-1AE04B084BB5}">
      <text>
        <r>
          <rPr>
            <b/>
            <sz val="9"/>
            <color indexed="81"/>
            <rFont val="Tahoma"/>
            <charset val="1"/>
          </rPr>
          <t>User:</t>
        </r>
        <r>
          <rPr>
            <sz val="9"/>
            <color indexed="81"/>
            <rFont val="Tahoma"/>
            <charset val="1"/>
          </rPr>
          <t xml:space="preserve">
Source: Moog FY2012 10-K, Note 17 Segments</t>
        </r>
      </text>
    </comment>
    <comment ref="W28" authorId="0" shapeId="0" xr:uid="{DBBBC1E5-2FF4-4B25-B7C9-CBF097012310}">
      <text>
        <r>
          <rPr>
            <b/>
            <sz val="9"/>
            <color indexed="81"/>
            <rFont val="Tahoma"/>
            <charset val="1"/>
          </rPr>
          <t>User:</t>
        </r>
        <r>
          <rPr>
            <sz val="9"/>
            <color indexed="81"/>
            <rFont val="Tahoma"/>
            <charset val="1"/>
          </rPr>
          <t xml:space="preserve">
Source: Moog FY2012 10-K, Note 17 Segments</t>
        </r>
      </text>
    </comment>
    <comment ref="X28" authorId="0" shapeId="0" xr:uid="{2A9DCC16-2872-44D0-8123-551A2457EF3E}">
      <text>
        <r>
          <rPr>
            <b/>
            <sz val="9"/>
            <color indexed="81"/>
            <rFont val="Tahoma"/>
            <charset val="1"/>
          </rPr>
          <t>User:</t>
        </r>
        <r>
          <rPr>
            <sz val="9"/>
            <color indexed="81"/>
            <rFont val="Tahoma"/>
            <charset val="1"/>
          </rPr>
          <t xml:space="preserve">
Source: Moog FY2012 10-K, Note 17 Segments</t>
        </r>
      </text>
    </comment>
    <comment ref="Y28" authorId="0" shapeId="0" xr:uid="{18960D8C-F59C-49CD-8DEF-08DDE8445250}">
      <text>
        <r>
          <rPr>
            <b/>
            <sz val="9"/>
            <color indexed="81"/>
            <rFont val="Tahoma"/>
            <charset val="1"/>
          </rPr>
          <t>User:</t>
        </r>
        <r>
          <rPr>
            <sz val="9"/>
            <color indexed="81"/>
            <rFont val="Tahoma"/>
            <charset val="1"/>
          </rPr>
          <t xml:space="preserve">
Source: Moog FY2012 10-K, Note 17 Segments</t>
        </r>
      </text>
    </comment>
    <comment ref="Z28" authorId="0" shapeId="0" xr:uid="{2670F432-555F-4F5F-8621-8872489CBE6E}">
      <text>
        <r>
          <rPr>
            <b/>
            <sz val="9"/>
            <color indexed="81"/>
            <rFont val="Tahoma"/>
            <charset val="1"/>
          </rPr>
          <t>User:</t>
        </r>
        <r>
          <rPr>
            <sz val="9"/>
            <color indexed="81"/>
            <rFont val="Tahoma"/>
            <charset val="1"/>
          </rPr>
          <t xml:space="preserve">
Source: Moog FY2012 10-K, Note 17 Segments</t>
        </r>
      </text>
    </comment>
    <comment ref="AA28" authorId="0" shapeId="0" xr:uid="{281D50F5-C4E7-489F-8738-87C1DBAB4D64}">
      <text>
        <r>
          <rPr>
            <b/>
            <sz val="9"/>
            <color indexed="81"/>
            <rFont val="Tahoma"/>
            <charset val="1"/>
          </rPr>
          <t>User:</t>
        </r>
        <r>
          <rPr>
            <sz val="9"/>
            <color indexed="81"/>
            <rFont val="Tahoma"/>
            <charset val="1"/>
          </rPr>
          <t xml:space="preserve">
Source: Moog FY2012 10-K, Note 17 Segments</t>
        </r>
      </text>
    </comment>
    <comment ref="AB28" authorId="0" shapeId="0" xr:uid="{3C09F857-E5A2-4253-AD0D-91AE87A3947F}">
      <text>
        <r>
          <rPr>
            <b/>
            <sz val="9"/>
            <color indexed="81"/>
            <rFont val="Tahoma"/>
            <charset val="1"/>
          </rPr>
          <t>User:</t>
        </r>
        <r>
          <rPr>
            <sz val="9"/>
            <color indexed="81"/>
            <rFont val="Tahoma"/>
            <charset val="1"/>
          </rPr>
          <t xml:space="preserve">
Source: Moog FY2012 10-K, Note 17 Segments</t>
        </r>
      </text>
    </comment>
    <comment ref="AC28" authorId="0" shapeId="0" xr:uid="{A5A23706-8A0B-4D08-B126-471C10459A1E}">
      <text>
        <r>
          <rPr>
            <b/>
            <sz val="9"/>
            <color indexed="81"/>
            <rFont val="Tahoma"/>
            <charset val="1"/>
          </rPr>
          <t>User:</t>
        </r>
        <r>
          <rPr>
            <sz val="9"/>
            <color indexed="81"/>
            <rFont val="Tahoma"/>
            <charset val="1"/>
          </rPr>
          <t xml:space="preserve">
Source: Moog FY2012 10-K, Note 17 Segments</t>
        </r>
      </text>
    </comment>
    <comment ref="AD28" authorId="0" shapeId="0" xr:uid="{203784B8-D994-4B76-9019-1CE18CA6B52F}">
      <text>
        <r>
          <rPr>
            <b/>
            <sz val="9"/>
            <color indexed="81"/>
            <rFont val="Tahoma"/>
            <charset val="1"/>
          </rPr>
          <t>User:</t>
        </r>
        <r>
          <rPr>
            <sz val="9"/>
            <color indexed="81"/>
            <rFont val="Tahoma"/>
            <charset val="1"/>
          </rPr>
          <t xml:space="preserve">
Source: Moog FY2012 10-K, Note 17 Segments</t>
        </r>
      </text>
    </comment>
    <comment ref="AE28" authorId="0" shapeId="0" xr:uid="{C6BBC30A-6AAD-4FE2-8F12-552CC562F2E3}">
      <text>
        <r>
          <rPr>
            <b/>
            <sz val="9"/>
            <color indexed="81"/>
            <rFont val="Tahoma"/>
            <charset val="1"/>
          </rPr>
          <t>User:</t>
        </r>
        <r>
          <rPr>
            <sz val="9"/>
            <color indexed="81"/>
            <rFont val="Tahoma"/>
            <charset val="1"/>
          </rPr>
          <t xml:space="preserve">
Source: Moog FY2012 10-K, Note 17 Segments</t>
        </r>
      </text>
    </comment>
    <comment ref="AF28" authorId="0" shapeId="0" xr:uid="{6C64AEE2-5191-4E46-8C32-ABF1FCF08874}">
      <text>
        <r>
          <rPr>
            <b/>
            <sz val="9"/>
            <color indexed="81"/>
            <rFont val="Tahoma"/>
            <charset val="1"/>
          </rPr>
          <t>User:</t>
        </r>
        <r>
          <rPr>
            <sz val="9"/>
            <color indexed="81"/>
            <rFont val="Tahoma"/>
            <charset val="1"/>
          </rPr>
          <t xml:space="preserve">
Source: Moog FY2012 10-K, Note 17 Segments</t>
        </r>
      </text>
    </comment>
    <comment ref="AG28" authorId="0" shapeId="0" xr:uid="{A84A304D-9139-4600-AB5D-712FE2B2B35B}">
      <text>
        <r>
          <rPr>
            <b/>
            <sz val="9"/>
            <color indexed="81"/>
            <rFont val="Tahoma"/>
            <charset val="1"/>
          </rPr>
          <t>User:</t>
        </r>
        <r>
          <rPr>
            <sz val="9"/>
            <color indexed="81"/>
            <rFont val="Tahoma"/>
            <charset val="1"/>
          </rPr>
          <t xml:space="preserve">
Source: Moog FY2012 10-K, Note 17 Segments</t>
        </r>
      </text>
    </comment>
    <comment ref="AH28" authorId="0" shapeId="0" xr:uid="{105868EF-B910-401A-AF9B-D873E87BE686}">
      <text>
        <r>
          <rPr>
            <b/>
            <sz val="9"/>
            <color indexed="81"/>
            <rFont val="Tahoma"/>
            <charset val="1"/>
          </rPr>
          <t>User:</t>
        </r>
        <r>
          <rPr>
            <sz val="9"/>
            <color indexed="81"/>
            <rFont val="Tahoma"/>
            <charset val="1"/>
          </rPr>
          <t xml:space="preserve">
Source: Moog FY2012 10-K, Note 17 Segments</t>
        </r>
      </text>
    </comment>
    <comment ref="AI28" authorId="0" shapeId="0" xr:uid="{D3F1D0D7-6A25-4FEF-9150-443C5955BAD9}">
      <text>
        <r>
          <rPr>
            <b/>
            <sz val="9"/>
            <color indexed="81"/>
            <rFont val="Tahoma"/>
            <charset val="1"/>
          </rPr>
          <t>User:</t>
        </r>
        <r>
          <rPr>
            <sz val="9"/>
            <color indexed="81"/>
            <rFont val="Tahoma"/>
            <charset val="1"/>
          </rPr>
          <t xml:space="preserve">
Source: Moog FY2012 10-K, Note 17 Segments</t>
        </r>
      </text>
    </comment>
    <comment ref="AJ28" authorId="0" shapeId="0" xr:uid="{66CC9DCB-A40D-4ECF-A667-8948D721463D}">
      <text>
        <r>
          <rPr>
            <b/>
            <sz val="9"/>
            <color indexed="81"/>
            <rFont val="Tahoma"/>
            <charset val="1"/>
          </rPr>
          <t>User:</t>
        </r>
        <r>
          <rPr>
            <sz val="9"/>
            <color indexed="81"/>
            <rFont val="Tahoma"/>
            <charset val="1"/>
          </rPr>
          <t xml:space="preserve">
Source: Moog FY2012 10-K, Note 17 Segments</t>
        </r>
      </text>
    </comment>
    <comment ref="AK28" authorId="0" shapeId="0" xr:uid="{B0DE88DF-03B1-4F00-BA15-A78E381575E6}">
      <text>
        <r>
          <rPr>
            <b/>
            <sz val="9"/>
            <color indexed="81"/>
            <rFont val="Tahoma"/>
            <charset val="1"/>
          </rPr>
          <t>User:</t>
        </r>
        <r>
          <rPr>
            <sz val="9"/>
            <color indexed="81"/>
            <rFont val="Tahoma"/>
            <charset val="1"/>
          </rPr>
          <t xml:space="preserve">
Source: Moog FY2012 10-K, Note 17 Segments</t>
        </r>
      </text>
    </comment>
    <comment ref="AL28" authorId="0" shapeId="0" xr:uid="{90FC00A6-F3F8-4135-B3B6-D356E21CD0F0}">
      <text>
        <r>
          <rPr>
            <b/>
            <sz val="9"/>
            <color indexed="81"/>
            <rFont val="Tahoma"/>
            <charset val="1"/>
          </rPr>
          <t>User:</t>
        </r>
        <r>
          <rPr>
            <sz val="9"/>
            <color indexed="81"/>
            <rFont val="Tahoma"/>
            <charset val="1"/>
          </rPr>
          <t xml:space="preserve">
Source: Moog FY2012 10-K, Note 17 Segments</t>
        </r>
      </text>
    </comment>
    <comment ref="AM28" authorId="0" shapeId="0" xr:uid="{AF9493FB-4BA6-474D-9A7C-5D66F5E5D407}">
      <text>
        <r>
          <rPr>
            <b/>
            <sz val="9"/>
            <color indexed="81"/>
            <rFont val="Tahoma"/>
            <charset val="1"/>
          </rPr>
          <t>User:</t>
        </r>
        <r>
          <rPr>
            <sz val="9"/>
            <color indexed="81"/>
            <rFont val="Tahoma"/>
            <charset val="1"/>
          </rPr>
          <t xml:space="preserve">
Source: Moog FY2012 10-K, Note 17 Segments</t>
        </r>
      </text>
    </comment>
    <comment ref="AN28" authorId="0" shapeId="0" xr:uid="{552639A4-5DF6-4820-B119-D2039DE35D0D}">
      <text>
        <r>
          <rPr>
            <b/>
            <sz val="9"/>
            <color indexed="81"/>
            <rFont val="Tahoma"/>
            <charset val="1"/>
          </rPr>
          <t>User:</t>
        </r>
        <r>
          <rPr>
            <sz val="9"/>
            <color indexed="81"/>
            <rFont val="Tahoma"/>
            <charset val="1"/>
          </rPr>
          <t xml:space="preserve">
Source: Moog FY2012 10-K, Note 17 Segments</t>
        </r>
      </text>
    </comment>
    <comment ref="AO28" authorId="0" shapeId="0" xr:uid="{767618C8-8671-4926-B1DE-5A7F65EBD13C}">
      <text>
        <r>
          <rPr>
            <b/>
            <sz val="9"/>
            <color indexed="81"/>
            <rFont val="Tahoma"/>
            <charset val="1"/>
          </rPr>
          <t>User:</t>
        </r>
        <r>
          <rPr>
            <sz val="9"/>
            <color indexed="81"/>
            <rFont val="Tahoma"/>
            <charset val="1"/>
          </rPr>
          <t xml:space="preserve">
Source: Moog FY2012 10-K, Note 17 Segments</t>
        </r>
      </text>
    </comment>
    <comment ref="AP28" authorId="0" shapeId="0" xr:uid="{7918F170-B1F7-4EDE-8881-466488397C66}">
      <text>
        <r>
          <rPr>
            <b/>
            <sz val="9"/>
            <color indexed="81"/>
            <rFont val="Tahoma"/>
            <charset val="1"/>
          </rPr>
          <t>User:</t>
        </r>
        <r>
          <rPr>
            <sz val="9"/>
            <color indexed="81"/>
            <rFont val="Tahoma"/>
            <charset val="1"/>
          </rPr>
          <t xml:space="preserve">
Source: Moog FY2012 10-K, Note 17 Segments</t>
        </r>
      </text>
    </comment>
    <comment ref="AQ28" authorId="0" shapeId="0" xr:uid="{9763427A-2A78-4C63-900C-70D59FB54238}">
      <text>
        <r>
          <rPr>
            <b/>
            <sz val="9"/>
            <color indexed="81"/>
            <rFont val="Tahoma"/>
            <charset val="1"/>
          </rPr>
          <t>User:</t>
        </r>
        <r>
          <rPr>
            <sz val="9"/>
            <color indexed="81"/>
            <rFont val="Tahoma"/>
            <charset val="1"/>
          </rPr>
          <t xml:space="preserve">
Source: Moog FY2012 10-K, Note 17 Segments</t>
        </r>
      </text>
    </comment>
    <comment ref="AR28" authorId="0" shapeId="0" xr:uid="{AF57FB60-1406-413C-AC7A-FAA0BEDD617D}">
      <text>
        <r>
          <rPr>
            <b/>
            <sz val="9"/>
            <color indexed="81"/>
            <rFont val="Tahoma"/>
            <charset val="1"/>
          </rPr>
          <t>User:</t>
        </r>
        <r>
          <rPr>
            <sz val="9"/>
            <color indexed="81"/>
            <rFont val="Tahoma"/>
            <charset val="1"/>
          </rPr>
          <t xml:space="preserve">
Source: Moog FY2012 10-K, Note 17 Segments</t>
        </r>
      </text>
    </comment>
    <comment ref="AS28" authorId="0" shapeId="0" xr:uid="{5011C831-25FB-41A1-B74A-2B061CE553B1}">
      <text>
        <r>
          <rPr>
            <b/>
            <sz val="9"/>
            <color indexed="81"/>
            <rFont val="Tahoma"/>
            <charset val="1"/>
          </rPr>
          <t>User:</t>
        </r>
        <r>
          <rPr>
            <sz val="9"/>
            <color indexed="81"/>
            <rFont val="Tahoma"/>
            <charset val="1"/>
          </rPr>
          <t xml:space="preserve">
Source: Moog FY2012 10-K, Note 17 Segments</t>
        </r>
      </text>
    </comment>
    <comment ref="AT28" authorId="0" shapeId="0" xr:uid="{C74BED15-D187-4B92-9C17-DD800AA2B108}">
      <text>
        <r>
          <rPr>
            <b/>
            <sz val="9"/>
            <color indexed="81"/>
            <rFont val="Tahoma"/>
            <charset val="1"/>
          </rPr>
          <t>User:</t>
        </r>
        <r>
          <rPr>
            <sz val="9"/>
            <color indexed="81"/>
            <rFont val="Tahoma"/>
            <charset val="1"/>
          </rPr>
          <t xml:space="preserve">
Source: Moog FY2012 10-K, Note 17 Segments</t>
        </r>
      </text>
    </comment>
    <comment ref="AU28" authorId="0" shapeId="0" xr:uid="{4E0A7FEC-1D14-43DD-A090-F6F1B1986E5A}">
      <text>
        <r>
          <rPr>
            <b/>
            <sz val="9"/>
            <color indexed="81"/>
            <rFont val="Tahoma"/>
            <charset val="1"/>
          </rPr>
          <t>User:</t>
        </r>
        <r>
          <rPr>
            <sz val="9"/>
            <color indexed="81"/>
            <rFont val="Tahoma"/>
            <charset val="1"/>
          </rPr>
          <t xml:space="preserve">
Source: Moog FY2012 10-K, Note 17 Segments</t>
        </r>
      </text>
    </comment>
    <comment ref="AV28" authorId="0" shapeId="0" xr:uid="{BB70E589-F4A3-41DF-A02F-FEC7E1D9D085}">
      <text>
        <r>
          <rPr>
            <b/>
            <sz val="9"/>
            <color indexed="81"/>
            <rFont val="Tahoma"/>
            <charset val="1"/>
          </rPr>
          <t>User:</t>
        </r>
        <r>
          <rPr>
            <sz val="9"/>
            <color indexed="81"/>
            <rFont val="Tahoma"/>
            <charset val="1"/>
          </rPr>
          <t xml:space="preserve">
Source: Moog FY2012 10-K, Note 17 Segments</t>
        </r>
      </text>
    </comment>
    <comment ref="AW28" authorId="0" shapeId="0" xr:uid="{25FCF8A8-ED50-4FD8-885B-88EA074F0DF2}">
      <text>
        <r>
          <rPr>
            <b/>
            <sz val="9"/>
            <color indexed="81"/>
            <rFont val="Tahoma"/>
            <charset val="1"/>
          </rPr>
          <t>User:</t>
        </r>
        <r>
          <rPr>
            <sz val="9"/>
            <color indexed="81"/>
            <rFont val="Tahoma"/>
            <charset val="1"/>
          </rPr>
          <t xml:space="preserve">
Source: Moog FY2012 10-K, Note 17 Segments</t>
        </r>
      </text>
    </comment>
    <comment ref="AX28" authorId="0" shapeId="0" xr:uid="{71C922FA-6189-4C3D-83E6-969B48FD765C}">
      <text>
        <r>
          <rPr>
            <b/>
            <sz val="9"/>
            <color indexed="81"/>
            <rFont val="Tahoma"/>
            <charset val="1"/>
          </rPr>
          <t>User:</t>
        </r>
        <r>
          <rPr>
            <sz val="9"/>
            <color indexed="81"/>
            <rFont val="Tahoma"/>
            <charset val="1"/>
          </rPr>
          <t xml:space="preserve">
Source: Moog FY2012 10-K, Note 17 Segments</t>
        </r>
      </text>
    </comment>
    <comment ref="AY28" authorId="0" shapeId="0" xr:uid="{7FD7F319-6837-450B-AF36-102B24F1B708}">
      <text>
        <r>
          <rPr>
            <b/>
            <sz val="9"/>
            <color indexed="81"/>
            <rFont val="Tahoma"/>
            <charset val="1"/>
          </rPr>
          <t>User:</t>
        </r>
        <r>
          <rPr>
            <sz val="9"/>
            <color indexed="81"/>
            <rFont val="Tahoma"/>
            <charset val="1"/>
          </rPr>
          <t xml:space="preserve">
Source: Moog FY2012 10-K, Note 17 Segments</t>
        </r>
      </text>
    </comment>
    <comment ref="AZ28" authorId="0" shapeId="0" xr:uid="{69926A58-064E-4942-A808-C9B027028453}">
      <text>
        <r>
          <rPr>
            <b/>
            <sz val="9"/>
            <color indexed="81"/>
            <rFont val="Tahoma"/>
            <charset val="1"/>
          </rPr>
          <t>User:</t>
        </r>
        <r>
          <rPr>
            <sz val="9"/>
            <color indexed="81"/>
            <rFont val="Tahoma"/>
            <charset val="1"/>
          </rPr>
          <t xml:space="preserve">
Source: Moog FY2012 10-K, Note 17 Segments</t>
        </r>
      </text>
    </comment>
    <comment ref="BA28" authorId="0" shapeId="0" xr:uid="{B5FEAA6D-5B34-412C-9E2E-9D60AC4ECE2F}">
      <text>
        <r>
          <rPr>
            <b/>
            <sz val="9"/>
            <color indexed="81"/>
            <rFont val="Tahoma"/>
            <charset val="1"/>
          </rPr>
          <t>User:</t>
        </r>
        <r>
          <rPr>
            <sz val="9"/>
            <color indexed="81"/>
            <rFont val="Tahoma"/>
            <charset val="1"/>
          </rPr>
          <t xml:space="preserve">
Source: Moog FY2012 10-K, Note 17 Segments</t>
        </r>
      </text>
    </comment>
    <comment ref="BB28" authorId="0" shapeId="0" xr:uid="{E5DAA4B4-B1CE-4109-AAD2-C53945AB691D}">
      <text>
        <r>
          <rPr>
            <b/>
            <sz val="9"/>
            <color indexed="81"/>
            <rFont val="Tahoma"/>
            <charset val="1"/>
          </rPr>
          <t>User:</t>
        </r>
        <r>
          <rPr>
            <sz val="9"/>
            <color indexed="81"/>
            <rFont val="Tahoma"/>
            <charset val="1"/>
          </rPr>
          <t xml:space="preserve">
Source: Moog FY2012 10-K, Note 17 Segments</t>
        </r>
      </text>
    </comment>
    <comment ref="BC28" authorId="0" shapeId="0" xr:uid="{3B2DD5CE-0100-4A26-8C56-A271CA65F382}">
      <text>
        <r>
          <rPr>
            <b/>
            <sz val="9"/>
            <color indexed="81"/>
            <rFont val="Tahoma"/>
            <charset val="1"/>
          </rPr>
          <t>User:</t>
        </r>
        <r>
          <rPr>
            <sz val="9"/>
            <color indexed="81"/>
            <rFont val="Tahoma"/>
            <charset val="1"/>
          </rPr>
          <t xml:space="preserve">
Source: Moog FY2012 10-K, Note 17 Segments</t>
        </r>
      </text>
    </comment>
    <comment ref="BD28" authorId="0" shapeId="0" xr:uid="{6BB4C774-A90C-4895-B42E-50992158D70D}">
      <text>
        <r>
          <rPr>
            <b/>
            <sz val="9"/>
            <color indexed="81"/>
            <rFont val="Tahoma"/>
            <charset val="1"/>
          </rPr>
          <t>User:</t>
        </r>
        <r>
          <rPr>
            <sz val="9"/>
            <color indexed="81"/>
            <rFont val="Tahoma"/>
            <charset val="1"/>
          </rPr>
          <t xml:space="preserve">
Source: Moog FY2012 10-K, Note 17 Segments</t>
        </r>
      </text>
    </comment>
    <comment ref="BE28" authorId="0" shapeId="0" xr:uid="{FAE893CB-AE8B-4129-8E63-792E367820DB}">
      <text>
        <r>
          <rPr>
            <b/>
            <sz val="9"/>
            <color indexed="81"/>
            <rFont val="Tahoma"/>
            <charset val="1"/>
          </rPr>
          <t>User:</t>
        </r>
        <r>
          <rPr>
            <sz val="9"/>
            <color indexed="81"/>
            <rFont val="Tahoma"/>
            <charset val="1"/>
          </rPr>
          <t xml:space="preserve">
Source: Moog FY2012 10-K, Note 17 Segments</t>
        </r>
      </text>
    </comment>
    <comment ref="BF28" authorId="0" shapeId="0" xr:uid="{3A2F5FEA-B5E9-473B-AC61-3ADC1244F485}">
      <text>
        <r>
          <rPr>
            <b/>
            <sz val="9"/>
            <color indexed="81"/>
            <rFont val="Tahoma"/>
            <charset val="1"/>
          </rPr>
          <t>User:</t>
        </r>
        <r>
          <rPr>
            <sz val="9"/>
            <color indexed="81"/>
            <rFont val="Tahoma"/>
            <charset val="1"/>
          </rPr>
          <t xml:space="preserve">
Source: Moog FY2012 10-K, Note 17 Segments</t>
        </r>
      </text>
    </comment>
    <comment ref="BG28" authorId="0" shapeId="0" xr:uid="{E1586EBB-E10E-4FA1-ABDF-4AD40231C37F}">
      <text>
        <r>
          <rPr>
            <b/>
            <sz val="9"/>
            <color indexed="81"/>
            <rFont val="Tahoma"/>
            <charset val="1"/>
          </rPr>
          <t>User:</t>
        </r>
        <r>
          <rPr>
            <sz val="9"/>
            <color indexed="81"/>
            <rFont val="Tahoma"/>
            <charset val="1"/>
          </rPr>
          <t xml:space="preserve">
Source: Moog FY2012 10-K, Note 17 Segments</t>
        </r>
      </text>
    </comment>
    <comment ref="BH28" authorId="0" shapeId="0" xr:uid="{29D934A3-3D91-417F-BBBD-35D0D3423A34}">
      <text>
        <r>
          <rPr>
            <b/>
            <sz val="9"/>
            <color indexed="81"/>
            <rFont val="Tahoma"/>
            <charset val="1"/>
          </rPr>
          <t>User:</t>
        </r>
        <r>
          <rPr>
            <sz val="9"/>
            <color indexed="81"/>
            <rFont val="Tahoma"/>
            <charset val="1"/>
          </rPr>
          <t xml:space="preserve">
Source: Moog FY2012 10-K, Note 17 Segments</t>
        </r>
      </text>
    </comment>
    <comment ref="BI28" authorId="0" shapeId="0" xr:uid="{C7FC3960-1895-4E7E-AB9F-4600579171E5}">
      <text>
        <r>
          <rPr>
            <b/>
            <sz val="9"/>
            <color indexed="81"/>
            <rFont val="Tahoma"/>
            <charset val="1"/>
          </rPr>
          <t>User:</t>
        </r>
        <r>
          <rPr>
            <sz val="9"/>
            <color indexed="81"/>
            <rFont val="Tahoma"/>
            <charset val="1"/>
          </rPr>
          <t xml:space="preserve">
Source: Moog FY2012 10-K, Note 17 Segments</t>
        </r>
      </text>
    </comment>
    <comment ref="BJ28" authorId="0" shapeId="0" xr:uid="{17D1DF27-6200-4401-9D3F-E8324BEF1C4E}">
      <text>
        <r>
          <rPr>
            <b/>
            <sz val="9"/>
            <color indexed="81"/>
            <rFont val="Tahoma"/>
            <charset val="1"/>
          </rPr>
          <t>User:</t>
        </r>
        <r>
          <rPr>
            <sz val="9"/>
            <color indexed="81"/>
            <rFont val="Tahoma"/>
            <charset val="1"/>
          </rPr>
          <t xml:space="preserve">
Source: Moog FY2012 10-K, Note 17 Segments</t>
        </r>
      </text>
    </comment>
    <comment ref="G31" authorId="19" shapeId="0" xr:uid="{EE150BA9-3B42-4D32-BC65-EE84AB8B4B6D}">
      <text>
        <t>[Threaded comment]
Your version of Excel allows you to read this threaded comment; however, any edits to it will get removed if the file is opened in a newer version of Excel. Learn more: https://go.microsoft.com/fwlink/?linkid=870924
Comment:
    Source: Moog FY2012 10-K MD&amp;A Segment Backlog</t>
      </text>
    </comment>
    <comment ref="L31" authorId="20" shapeId="0" xr:uid="{0143AD7B-0AA2-4DF1-8EF7-1F21AF804E64}">
      <text>
        <t>[Threaded comment]
Your version of Excel allows you to read this threaded comment; however, any edits to it will get removed if the file is opened in a newer version of Excel. Learn more: https://go.microsoft.com/fwlink/?linkid=870924
Comment:
    Source: Moog FY2012 10-K MD&amp;A Segment Backlog</t>
      </text>
    </comment>
    <comment ref="Q31" authorId="21" shapeId="0" xr:uid="{73CFAC9E-6CC8-454B-B11A-5AF7C09FCE74}">
      <text>
        <t>[Threaded comment]
Your version of Excel allows you to read this threaded comment; however, any edits to it will get removed if the file is opened in a newer version of Excel. Learn more: https://go.microsoft.com/fwlink/?linkid=870924
Comment:
    Source: Moog FY2012 10-K MD&amp;A Segment Backlog</t>
      </text>
    </comment>
    <comment ref="V31" authorId="22" shapeId="0" xr:uid="{31B8DD48-33D4-407C-A0AC-27A4E625DF29}">
      <text>
        <t>[Threaded comment]
Your version of Excel allows you to read this threaded comment; however, any edits to it will get removed if the file is opened in a newer version of Excel. Learn more: https://go.microsoft.com/fwlink/?linkid=870924
Comment:
    Source: Moog FY2013 10-K MD&amp;A Segment Backlog</t>
      </text>
    </comment>
    <comment ref="AA31" authorId="23" shapeId="0" xr:uid="{31E561B4-F1E3-4BF0-946E-8D52C3731A0C}">
      <text>
        <t>[Threaded comment]
Your version of Excel allows you to read this threaded comment; however, any edits to it will get removed if the file is opened in a newer version of Excel. Learn more: https://go.microsoft.com/fwlink/?linkid=870924
Comment:
    Source: Moog FY2014 10-K MD&amp;A Segment Backlog</t>
      </text>
    </comment>
    <comment ref="AF31" authorId="24" shapeId="0" xr:uid="{035F888B-E2E0-49A2-86D7-6594BDA0C38A}">
      <text>
        <t>[Threaded comment]
Your version of Excel allows you to read this threaded comment; however, any edits to it will get removed if the file is opened in a newer version of Excel. Learn more: https://go.microsoft.com/fwlink/?linkid=870924
Comment:
    Source: Moog FY2015 10-K MD&amp;A Segment Backlog</t>
      </text>
    </comment>
    <comment ref="AK31" authorId="25" shapeId="0" xr:uid="{4481D696-A5C3-4A29-B54C-3476FB29BD2C}">
      <text>
        <t>[Threaded comment]
Your version of Excel allows you to read this threaded comment; however, any edits to it will get removed if the file is opened in a newer version of Excel. Learn more: https://go.microsoft.com/fwlink/?linkid=870924
Comment:
    Source: Moog FY2016 10-K MD&amp;A Segment Backlog</t>
      </text>
    </comment>
    <comment ref="AP31" authorId="26" shapeId="0" xr:uid="{2E415F34-AC93-408B-91F6-1104055B462A}">
      <text>
        <t>[Threaded comment]
Your version of Excel allows you to read this threaded comment; however, any edits to it will get removed if the file is opened in a newer version of Excel. Learn more: https://go.microsoft.com/fwlink/?linkid=870924
Comment:
    Source: Moog FY2017 10-K MD&amp;A Segment Backlog</t>
      </text>
    </comment>
    <comment ref="AU31" authorId="27" shapeId="0" xr:uid="{5EED3070-A3F7-46D6-A0E7-B13FE164B4D1}">
      <text>
        <t>[Threaded comment]
Your version of Excel allows you to read this threaded comment; however, any edits to it will get removed if the file is opened in a newer version of Excel. Learn more: https://go.microsoft.com/fwlink/?linkid=870924
Comment:
    Source: Moog FY2018 10-K MD&amp;A Segment Backlog (3-segment view)</t>
      </text>
    </comment>
    <comment ref="G34" authorId="0" shapeId="0" xr:uid="{3B1C4B98-83D5-4BDE-8AD4-35580A6D02C5}">
      <text>
        <r>
          <rPr>
            <b/>
            <sz val="9"/>
            <color indexed="81"/>
            <rFont val="Tahoma"/>
            <charset val="1"/>
          </rPr>
          <t>User:</t>
        </r>
        <r>
          <rPr>
            <sz val="9"/>
            <color indexed="81"/>
            <rFont val="Tahoma"/>
            <charset val="1"/>
          </rPr>
          <t xml:space="preserve">
Source: Moog FY2012 10-K, Note 17 Segments</t>
        </r>
      </text>
    </comment>
    <comment ref="H34" authorId="0" shapeId="0" xr:uid="{A04682CF-A74F-45BA-A9DD-47DF993B082A}">
      <text>
        <r>
          <rPr>
            <b/>
            <sz val="9"/>
            <color indexed="81"/>
            <rFont val="Tahoma"/>
            <charset val="1"/>
          </rPr>
          <t>User:</t>
        </r>
        <r>
          <rPr>
            <sz val="9"/>
            <color indexed="81"/>
            <rFont val="Tahoma"/>
            <charset val="1"/>
          </rPr>
          <t xml:space="preserve">
Source: Moog FY2012 10-K, Note 17 Segments</t>
        </r>
      </text>
    </comment>
    <comment ref="I34" authorId="0" shapeId="0" xr:uid="{FA36B9D7-8905-4D47-8160-AC6EA3D745EE}">
      <text>
        <r>
          <rPr>
            <b/>
            <sz val="9"/>
            <color indexed="81"/>
            <rFont val="Tahoma"/>
            <charset val="1"/>
          </rPr>
          <t>User:</t>
        </r>
        <r>
          <rPr>
            <sz val="9"/>
            <color indexed="81"/>
            <rFont val="Tahoma"/>
            <charset val="1"/>
          </rPr>
          <t xml:space="preserve">
Source: Moog FY2012 10-K, Note 17 Segments</t>
        </r>
      </text>
    </comment>
    <comment ref="J34" authorId="0" shapeId="0" xr:uid="{59E7D751-328D-405B-BD08-3A4FE00BE89A}">
      <text>
        <r>
          <rPr>
            <b/>
            <sz val="9"/>
            <color indexed="81"/>
            <rFont val="Tahoma"/>
            <charset val="1"/>
          </rPr>
          <t>User:</t>
        </r>
        <r>
          <rPr>
            <sz val="9"/>
            <color indexed="81"/>
            <rFont val="Tahoma"/>
            <charset val="1"/>
          </rPr>
          <t xml:space="preserve">
Source: Moog FY2012 10-K, Note 17 Segments</t>
        </r>
      </text>
    </comment>
    <comment ref="K34" authorId="0" shapeId="0" xr:uid="{9809F878-C957-464E-AC2C-B0E2E35CF4ED}">
      <text>
        <r>
          <rPr>
            <b/>
            <sz val="9"/>
            <color indexed="81"/>
            <rFont val="Tahoma"/>
            <charset val="1"/>
          </rPr>
          <t>User:</t>
        </r>
        <r>
          <rPr>
            <sz val="9"/>
            <color indexed="81"/>
            <rFont val="Tahoma"/>
            <charset val="1"/>
          </rPr>
          <t xml:space="preserve">
Source: Moog FY2012 10-K, Note 17 Segments</t>
        </r>
      </text>
    </comment>
    <comment ref="L34" authorId="0" shapeId="0" xr:uid="{12FB7BE6-3C02-4E33-A207-EC2035383EF2}">
      <text>
        <r>
          <rPr>
            <b/>
            <sz val="9"/>
            <color indexed="81"/>
            <rFont val="Tahoma"/>
            <charset val="1"/>
          </rPr>
          <t>User:</t>
        </r>
        <r>
          <rPr>
            <sz val="9"/>
            <color indexed="81"/>
            <rFont val="Tahoma"/>
            <charset val="1"/>
          </rPr>
          <t xml:space="preserve">
Source: Moog FY2012 10-K, Note 17 Segments</t>
        </r>
      </text>
    </comment>
    <comment ref="M34" authorId="0" shapeId="0" xr:uid="{39E97806-BC7C-49F6-A201-F7E3E4AEA656}">
      <text>
        <r>
          <rPr>
            <b/>
            <sz val="9"/>
            <color indexed="81"/>
            <rFont val="Tahoma"/>
            <charset val="1"/>
          </rPr>
          <t>User:</t>
        </r>
        <r>
          <rPr>
            <sz val="9"/>
            <color indexed="81"/>
            <rFont val="Tahoma"/>
            <charset val="1"/>
          </rPr>
          <t xml:space="preserve">
Source: Moog FY2012 10-K, Note 17 Segments</t>
        </r>
      </text>
    </comment>
    <comment ref="N34" authorId="0" shapeId="0" xr:uid="{6EC06685-686F-4012-B3BB-51FE7B7AF260}">
      <text>
        <r>
          <rPr>
            <b/>
            <sz val="9"/>
            <color indexed="81"/>
            <rFont val="Tahoma"/>
            <charset val="1"/>
          </rPr>
          <t>User:</t>
        </r>
        <r>
          <rPr>
            <sz val="9"/>
            <color indexed="81"/>
            <rFont val="Tahoma"/>
            <charset val="1"/>
          </rPr>
          <t xml:space="preserve">
Source: Moog FY2012 10-K, Note 17 Segments</t>
        </r>
      </text>
    </comment>
    <comment ref="O34" authorId="0" shapeId="0" xr:uid="{EF3DC08A-CA3B-4F64-90F9-28960B2C69FB}">
      <text>
        <r>
          <rPr>
            <b/>
            <sz val="9"/>
            <color indexed="81"/>
            <rFont val="Tahoma"/>
            <charset val="1"/>
          </rPr>
          <t>User:</t>
        </r>
        <r>
          <rPr>
            <sz val="9"/>
            <color indexed="81"/>
            <rFont val="Tahoma"/>
            <charset val="1"/>
          </rPr>
          <t xml:space="preserve">
Source: Moog FY2012 10-K, Note 17 Segments</t>
        </r>
      </text>
    </comment>
    <comment ref="P34" authorId="0" shapeId="0" xr:uid="{CA46286F-834D-4C4E-91D2-76BA6A239B88}">
      <text>
        <r>
          <rPr>
            <b/>
            <sz val="9"/>
            <color indexed="81"/>
            <rFont val="Tahoma"/>
            <charset val="1"/>
          </rPr>
          <t>User:</t>
        </r>
        <r>
          <rPr>
            <sz val="9"/>
            <color indexed="81"/>
            <rFont val="Tahoma"/>
            <charset val="1"/>
          </rPr>
          <t xml:space="preserve">
Source: Moog FY2012 10-K, Note 17 Segments</t>
        </r>
      </text>
    </comment>
    <comment ref="Q34" authorId="0" shapeId="0" xr:uid="{1E0DEFD9-B3C2-4710-9BAA-0AC169413619}">
      <text>
        <r>
          <rPr>
            <b/>
            <sz val="9"/>
            <color indexed="81"/>
            <rFont val="Tahoma"/>
            <charset val="1"/>
          </rPr>
          <t>User:</t>
        </r>
        <r>
          <rPr>
            <sz val="9"/>
            <color indexed="81"/>
            <rFont val="Tahoma"/>
            <charset val="1"/>
          </rPr>
          <t xml:space="preserve">
Source: Moog FY2012 10-K, Note 17 Segments</t>
        </r>
      </text>
    </comment>
    <comment ref="R34" authorId="0" shapeId="0" xr:uid="{97CA652E-6FA0-45A4-B2DA-6E533B70A853}">
      <text>
        <r>
          <rPr>
            <b/>
            <sz val="9"/>
            <color indexed="81"/>
            <rFont val="Tahoma"/>
            <charset val="1"/>
          </rPr>
          <t>User:</t>
        </r>
        <r>
          <rPr>
            <sz val="9"/>
            <color indexed="81"/>
            <rFont val="Tahoma"/>
            <charset val="1"/>
          </rPr>
          <t xml:space="preserve">
Source: Moog FY2012 10-K, Note 17 Segments</t>
        </r>
      </text>
    </comment>
    <comment ref="S34" authorId="0" shapeId="0" xr:uid="{5145B2AC-6D2B-40DC-8D15-2331C711CC4E}">
      <text>
        <r>
          <rPr>
            <b/>
            <sz val="9"/>
            <color indexed="81"/>
            <rFont val="Tahoma"/>
            <charset val="1"/>
          </rPr>
          <t>User:</t>
        </r>
        <r>
          <rPr>
            <sz val="9"/>
            <color indexed="81"/>
            <rFont val="Tahoma"/>
            <charset val="1"/>
          </rPr>
          <t xml:space="preserve">
Source: Moog FY2012 10-K, Note 17 Segments</t>
        </r>
      </text>
    </comment>
    <comment ref="T34" authorId="0" shapeId="0" xr:uid="{EEC2562D-F933-4436-AFB4-09C9FB430B49}">
      <text>
        <r>
          <rPr>
            <b/>
            <sz val="9"/>
            <color indexed="81"/>
            <rFont val="Tahoma"/>
            <charset val="1"/>
          </rPr>
          <t>User:</t>
        </r>
        <r>
          <rPr>
            <sz val="9"/>
            <color indexed="81"/>
            <rFont val="Tahoma"/>
            <charset val="1"/>
          </rPr>
          <t xml:space="preserve">
Source: Moog FY2012 10-K, Note 17 Segments</t>
        </r>
      </text>
    </comment>
    <comment ref="U34" authorId="0" shapeId="0" xr:uid="{1A0B8DF6-D961-4835-9FD5-5FE6E85ECD64}">
      <text>
        <r>
          <rPr>
            <b/>
            <sz val="9"/>
            <color indexed="81"/>
            <rFont val="Tahoma"/>
            <charset val="1"/>
          </rPr>
          <t>User:</t>
        </r>
        <r>
          <rPr>
            <sz val="9"/>
            <color indexed="81"/>
            <rFont val="Tahoma"/>
            <charset val="1"/>
          </rPr>
          <t xml:space="preserve">
Source: Moog FY2012 10-K, Note 17 Segments</t>
        </r>
      </text>
    </comment>
    <comment ref="V34" authorId="0" shapeId="0" xr:uid="{FB83A4C3-EDF7-4047-BAC8-15EBB202F66F}">
      <text>
        <r>
          <rPr>
            <b/>
            <sz val="9"/>
            <color indexed="81"/>
            <rFont val="Tahoma"/>
            <charset val="1"/>
          </rPr>
          <t>User:</t>
        </r>
        <r>
          <rPr>
            <sz val="9"/>
            <color indexed="81"/>
            <rFont val="Tahoma"/>
            <charset val="1"/>
          </rPr>
          <t xml:space="preserve">
Source: Moog FY2012 10-K, Note 17 Segments</t>
        </r>
      </text>
    </comment>
    <comment ref="W34" authorId="0" shapeId="0" xr:uid="{1B5F3AEB-74A9-41DF-AFD4-F9CBF7DFF6AF}">
      <text>
        <r>
          <rPr>
            <b/>
            <sz val="9"/>
            <color indexed="81"/>
            <rFont val="Tahoma"/>
            <charset val="1"/>
          </rPr>
          <t>User:</t>
        </r>
        <r>
          <rPr>
            <sz val="9"/>
            <color indexed="81"/>
            <rFont val="Tahoma"/>
            <charset val="1"/>
          </rPr>
          <t xml:space="preserve">
Source: Moog FY2012 10-K, Note 17 Segments</t>
        </r>
      </text>
    </comment>
    <comment ref="X34" authorId="0" shapeId="0" xr:uid="{ABA52383-9603-423B-AE8C-336792F2DD63}">
      <text>
        <r>
          <rPr>
            <b/>
            <sz val="9"/>
            <color indexed="81"/>
            <rFont val="Tahoma"/>
            <charset val="1"/>
          </rPr>
          <t>User:</t>
        </r>
        <r>
          <rPr>
            <sz val="9"/>
            <color indexed="81"/>
            <rFont val="Tahoma"/>
            <charset val="1"/>
          </rPr>
          <t xml:space="preserve">
Source: Moog FY2012 10-K, Note 17 Segments</t>
        </r>
      </text>
    </comment>
    <comment ref="Y34" authorId="0" shapeId="0" xr:uid="{2957F203-C64B-4FA0-B64E-785E7F60BD2B}">
      <text>
        <r>
          <rPr>
            <b/>
            <sz val="9"/>
            <color indexed="81"/>
            <rFont val="Tahoma"/>
            <charset val="1"/>
          </rPr>
          <t>User:</t>
        </r>
        <r>
          <rPr>
            <sz val="9"/>
            <color indexed="81"/>
            <rFont val="Tahoma"/>
            <charset val="1"/>
          </rPr>
          <t xml:space="preserve">
Source: Moog FY2012 10-K, Note 17 Segments</t>
        </r>
      </text>
    </comment>
    <comment ref="Z34" authorId="0" shapeId="0" xr:uid="{A320B405-F5FE-4D7F-A951-504E5C039659}">
      <text>
        <r>
          <rPr>
            <b/>
            <sz val="9"/>
            <color indexed="81"/>
            <rFont val="Tahoma"/>
            <charset val="1"/>
          </rPr>
          <t>User:</t>
        </r>
        <r>
          <rPr>
            <sz val="9"/>
            <color indexed="81"/>
            <rFont val="Tahoma"/>
            <charset val="1"/>
          </rPr>
          <t xml:space="preserve">
Source: Moog FY2012 10-K, Note 17 Segments</t>
        </r>
      </text>
    </comment>
    <comment ref="AA34" authorId="0" shapeId="0" xr:uid="{32EF8A54-94DD-4171-B0C3-E65A79E32950}">
      <text>
        <r>
          <rPr>
            <b/>
            <sz val="9"/>
            <color indexed="81"/>
            <rFont val="Tahoma"/>
            <charset val="1"/>
          </rPr>
          <t>User:</t>
        </r>
        <r>
          <rPr>
            <sz val="9"/>
            <color indexed="81"/>
            <rFont val="Tahoma"/>
            <charset val="1"/>
          </rPr>
          <t xml:space="preserve">
Source: Moog FY2012 10-K, Note 17 Segments</t>
        </r>
      </text>
    </comment>
    <comment ref="AB34" authorId="0" shapeId="0" xr:uid="{31770AE0-B463-4FAB-8BE2-DB763FFBCE39}">
      <text>
        <r>
          <rPr>
            <b/>
            <sz val="9"/>
            <color indexed="81"/>
            <rFont val="Tahoma"/>
            <charset val="1"/>
          </rPr>
          <t>User:</t>
        </r>
        <r>
          <rPr>
            <sz val="9"/>
            <color indexed="81"/>
            <rFont val="Tahoma"/>
            <charset val="1"/>
          </rPr>
          <t xml:space="preserve">
Source: Moog FY2012 10-K, Note 17 Segments</t>
        </r>
      </text>
    </comment>
    <comment ref="AC34" authorId="0" shapeId="0" xr:uid="{0EB05527-92D9-4F18-8586-1353049BEB20}">
      <text>
        <r>
          <rPr>
            <b/>
            <sz val="9"/>
            <color indexed="81"/>
            <rFont val="Tahoma"/>
            <charset val="1"/>
          </rPr>
          <t>User:</t>
        </r>
        <r>
          <rPr>
            <sz val="9"/>
            <color indexed="81"/>
            <rFont val="Tahoma"/>
            <charset val="1"/>
          </rPr>
          <t xml:space="preserve">
Source: Moog FY2012 10-K, Note 17 Segments</t>
        </r>
      </text>
    </comment>
    <comment ref="AD34" authorId="0" shapeId="0" xr:uid="{47D35BA7-193A-4391-9C57-97E30FEA51F0}">
      <text>
        <r>
          <rPr>
            <b/>
            <sz val="9"/>
            <color indexed="81"/>
            <rFont val="Tahoma"/>
            <charset val="1"/>
          </rPr>
          <t>User:</t>
        </r>
        <r>
          <rPr>
            <sz val="9"/>
            <color indexed="81"/>
            <rFont val="Tahoma"/>
            <charset val="1"/>
          </rPr>
          <t xml:space="preserve">
Source: Moog FY2012 10-K, Note 17 Segments</t>
        </r>
      </text>
    </comment>
    <comment ref="AE34" authorId="0" shapeId="0" xr:uid="{FD8B934A-E123-4C8E-843F-C0DF1AD1B898}">
      <text>
        <r>
          <rPr>
            <b/>
            <sz val="9"/>
            <color indexed="81"/>
            <rFont val="Tahoma"/>
            <charset val="1"/>
          </rPr>
          <t>User:</t>
        </r>
        <r>
          <rPr>
            <sz val="9"/>
            <color indexed="81"/>
            <rFont val="Tahoma"/>
            <charset val="1"/>
          </rPr>
          <t xml:space="preserve">
Source: Moog FY2012 10-K, Note 17 Segments</t>
        </r>
      </text>
    </comment>
    <comment ref="AF34" authorId="0" shapeId="0" xr:uid="{445BDC3E-5155-43FA-B94B-00F973325E7C}">
      <text>
        <r>
          <rPr>
            <b/>
            <sz val="9"/>
            <color indexed="81"/>
            <rFont val="Tahoma"/>
            <charset val="1"/>
          </rPr>
          <t>User:</t>
        </r>
        <r>
          <rPr>
            <sz val="9"/>
            <color indexed="81"/>
            <rFont val="Tahoma"/>
            <charset val="1"/>
          </rPr>
          <t xml:space="preserve">
Source: Moog FY2012 10-K, Note 17 Segments</t>
        </r>
      </text>
    </comment>
    <comment ref="AG34" authorId="0" shapeId="0" xr:uid="{E287A31E-2E7B-4524-9B9D-BFA05DA47848}">
      <text>
        <r>
          <rPr>
            <b/>
            <sz val="9"/>
            <color indexed="81"/>
            <rFont val="Tahoma"/>
            <charset val="1"/>
          </rPr>
          <t>User:</t>
        </r>
        <r>
          <rPr>
            <sz val="9"/>
            <color indexed="81"/>
            <rFont val="Tahoma"/>
            <charset val="1"/>
          </rPr>
          <t xml:space="preserve">
Source: Moog FY2012 10-K, Note 17 Segments</t>
        </r>
      </text>
    </comment>
    <comment ref="AH34" authorId="0" shapeId="0" xr:uid="{0E9765C0-5C97-40E2-B09F-F6694333F94D}">
      <text>
        <r>
          <rPr>
            <b/>
            <sz val="9"/>
            <color indexed="81"/>
            <rFont val="Tahoma"/>
            <charset val="1"/>
          </rPr>
          <t>User:</t>
        </r>
        <r>
          <rPr>
            <sz val="9"/>
            <color indexed="81"/>
            <rFont val="Tahoma"/>
            <charset val="1"/>
          </rPr>
          <t xml:space="preserve">
Source: Moog FY2012 10-K, Note 17 Segments</t>
        </r>
      </text>
    </comment>
    <comment ref="AI34" authorId="0" shapeId="0" xr:uid="{66597437-74EB-41CE-95F2-0435D25AAA5E}">
      <text>
        <r>
          <rPr>
            <b/>
            <sz val="9"/>
            <color indexed="81"/>
            <rFont val="Tahoma"/>
            <charset val="1"/>
          </rPr>
          <t>User:</t>
        </r>
        <r>
          <rPr>
            <sz val="9"/>
            <color indexed="81"/>
            <rFont val="Tahoma"/>
            <charset val="1"/>
          </rPr>
          <t xml:space="preserve">
Source: Moog FY2012 10-K, Note 17 Segments</t>
        </r>
      </text>
    </comment>
    <comment ref="AJ34" authorId="0" shapeId="0" xr:uid="{57625BC6-3BAD-4CDA-894B-EBEB1C215F64}">
      <text>
        <r>
          <rPr>
            <b/>
            <sz val="9"/>
            <color indexed="81"/>
            <rFont val="Tahoma"/>
            <charset val="1"/>
          </rPr>
          <t>User:</t>
        </r>
        <r>
          <rPr>
            <sz val="9"/>
            <color indexed="81"/>
            <rFont val="Tahoma"/>
            <charset val="1"/>
          </rPr>
          <t xml:space="preserve">
Source: Moog FY2012 10-K, Note 17 Segments</t>
        </r>
      </text>
    </comment>
    <comment ref="AK34" authorId="0" shapeId="0" xr:uid="{2553B1C1-D557-40F0-A3A5-E7E8D7608C4A}">
      <text>
        <r>
          <rPr>
            <b/>
            <sz val="9"/>
            <color indexed="81"/>
            <rFont val="Tahoma"/>
            <charset val="1"/>
          </rPr>
          <t>User:</t>
        </r>
        <r>
          <rPr>
            <sz val="9"/>
            <color indexed="81"/>
            <rFont val="Tahoma"/>
            <charset val="1"/>
          </rPr>
          <t xml:space="preserve">
Source: Moog FY2012 10-K, Note 17 Segments</t>
        </r>
      </text>
    </comment>
    <comment ref="AL34" authorId="0" shapeId="0" xr:uid="{FB3A8AA3-AE7E-44A3-BE4D-EECC7B62ED6C}">
      <text>
        <r>
          <rPr>
            <b/>
            <sz val="9"/>
            <color indexed="81"/>
            <rFont val="Tahoma"/>
            <charset val="1"/>
          </rPr>
          <t>User:</t>
        </r>
        <r>
          <rPr>
            <sz val="9"/>
            <color indexed="81"/>
            <rFont val="Tahoma"/>
            <charset val="1"/>
          </rPr>
          <t xml:space="preserve">
Source: Moog FY2012 10-K, Note 17 Segments</t>
        </r>
      </text>
    </comment>
    <comment ref="AM34" authorId="0" shapeId="0" xr:uid="{984DB521-7D24-4DF9-A188-B43A43602CD1}">
      <text>
        <r>
          <rPr>
            <b/>
            <sz val="9"/>
            <color indexed="81"/>
            <rFont val="Tahoma"/>
            <charset val="1"/>
          </rPr>
          <t>User:</t>
        </r>
        <r>
          <rPr>
            <sz val="9"/>
            <color indexed="81"/>
            <rFont val="Tahoma"/>
            <charset val="1"/>
          </rPr>
          <t xml:space="preserve">
Source: Moog FY2012 10-K, Note 17 Segments</t>
        </r>
      </text>
    </comment>
    <comment ref="AN34" authorId="0" shapeId="0" xr:uid="{05230E5E-FA83-4969-B2C5-1CCD6363635E}">
      <text>
        <r>
          <rPr>
            <b/>
            <sz val="9"/>
            <color indexed="81"/>
            <rFont val="Tahoma"/>
            <charset val="1"/>
          </rPr>
          <t>User:</t>
        </r>
        <r>
          <rPr>
            <sz val="9"/>
            <color indexed="81"/>
            <rFont val="Tahoma"/>
            <charset val="1"/>
          </rPr>
          <t xml:space="preserve">
Source: Moog FY2012 10-K, Note 17 Segments</t>
        </r>
      </text>
    </comment>
    <comment ref="AO34" authorId="0" shapeId="0" xr:uid="{D3301056-9C39-45FE-B281-B0FBB9B02216}">
      <text>
        <r>
          <rPr>
            <b/>
            <sz val="9"/>
            <color indexed="81"/>
            <rFont val="Tahoma"/>
            <charset val="1"/>
          </rPr>
          <t>User:</t>
        </r>
        <r>
          <rPr>
            <sz val="9"/>
            <color indexed="81"/>
            <rFont val="Tahoma"/>
            <charset val="1"/>
          </rPr>
          <t xml:space="preserve">
Source: Moog FY2012 10-K, Note 17 Segments</t>
        </r>
      </text>
    </comment>
    <comment ref="AP34" authorId="0" shapeId="0" xr:uid="{1FF8D0C4-73F0-49B5-A94C-044C6DD6C5A9}">
      <text>
        <r>
          <rPr>
            <b/>
            <sz val="9"/>
            <color indexed="81"/>
            <rFont val="Tahoma"/>
            <charset val="1"/>
          </rPr>
          <t>User:</t>
        </r>
        <r>
          <rPr>
            <sz val="9"/>
            <color indexed="81"/>
            <rFont val="Tahoma"/>
            <charset val="1"/>
          </rPr>
          <t xml:space="preserve">
Source: Moog FY2012 10-K, Note 17 Segments</t>
        </r>
      </text>
    </comment>
    <comment ref="AQ34" authorId="0" shapeId="0" xr:uid="{1026F4AB-AA19-44C7-A7F6-F09DAE3276F5}">
      <text>
        <r>
          <rPr>
            <b/>
            <sz val="9"/>
            <color indexed="81"/>
            <rFont val="Tahoma"/>
            <charset val="1"/>
          </rPr>
          <t>User:</t>
        </r>
        <r>
          <rPr>
            <sz val="9"/>
            <color indexed="81"/>
            <rFont val="Tahoma"/>
            <charset val="1"/>
          </rPr>
          <t xml:space="preserve">
Source: Moog FY2012 10-K, Note 17 Segments</t>
        </r>
      </text>
    </comment>
    <comment ref="AR34" authorId="0" shapeId="0" xr:uid="{99CF257F-EC49-49A5-AB92-95AC951CC3A8}">
      <text>
        <r>
          <rPr>
            <b/>
            <sz val="9"/>
            <color indexed="81"/>
            <rFont val="Tahoma"/>
            <charset val="1"/>
          </rPr>
          <t>User:</t>
        </r>
        <r>
          <rPr>
            <sz val="9"/>
            <color indexed="81"/>
            <rFont val="Tahoma"/>
            <charset val="1"/>
          </rPr>
          <t xml:space="preserve">
Source: Moog FY2012 10-K, Note 17 Segments</t>
        </r>
      </text>
    </comment>
    <comment ref="AS34" authorId="0" shapeId="0" xr:uid="{D7C07E50-5EDC-47DF-AD48-DC7C0373FA56}">
      <text>
        <r>
          <rPr>
            <b/>
            <sz val="9"/>
            <color indexed="81"/>
            <rFont val="Tahoma"/>
            <charset val="1"/>
          </rPr>
          <t>User:</t>
        </r>
        <r>
          <rPr>
            <sz val="9"/>
            <color indexed="81"/>
            <rFont val="Tahoma"/>
            <charset val="1"/>
          </rPr>
          <t xml:space="preserve">
Source: Moog FY2012 10-K, Note 17 Segments</t>
        </r>
      </text>
    </comment>
    <comment ref="AT34" authorId="0" shapeId="0" xr:uid="{6A49AD21-F35D-4BC9-AFB4-31905AD79C5D}">
      <text>
        <r>
          <rPr>
            <b/>
            <sz val="9"/>
            <color indexed="81"/>
            <rFont val="Tahoma"/>
            <charset val="1"/>
          </rPr>
          <t>User:</t>
        </r>
        <r>
          <rPr>
            <sz val="9"/>
            <color indexed="81"/>
            <rFont val="Tahoma"/>
            <charset val="1"/>
          </rPr>
          <t xml:space="preserve">
Source: Moog FY2012 10-K, Note 17 Segments</t>
        </r>
      </text>
    </comment>
    <comment ref="AU34" authorId="0" shapeId="0" xr:uid="{C0561EDD-79DB-4561-A778-0F15241A5AD0}">
      <text>
        <r>
          <rPr>
            <b/>
            <sz val="9"/>
            <color indexed="81"/>
            <rFont val="Tahoma"/>
            <charset val="1"/>
          </rPr>
          <t>User:</t>
        </r>
        <r>
          <rPr>
            <sz val="9"/>
            <color indexed="81"/>
            <rFont val="Tahoma"/>
            <charset val="1"/>
          </rPr>
          <t xml:space="preserve">
Source: Moog FY2012 10-K, Note 17 Segments</t>
        </r>
      </text>
    </comment>
    <comment ref="AV34" authorId="0" shapeId="0" xr:uid="{166B07F0-792B-48D4-BB9C-A038216B224A}">
      <text>
        <r>
          <rPr>
            <b/>
            <sz val="9"/>
            <color indexed="81"/>
            <rFont val="Tahoma"/>
            <charset val="1"/>
          </rPr>
          <t>User:</t>
        </r>
        <r>
          <rPr>
            <sz val="9"/>
            <color indexed="81"/>
            <rFont val="Tahoma"/>
            <charset val="1"/>
          </rPr>
          <t xml:space="preserve">
Source: Moog FY2012 10-K, Note 17 Segments</t>
        </r>
      </text>
    </comment>
    <comment ref="AW34" authorId="0" shapeId="0" xr:uid="{DC9CAF45-439A-4D2B-B352-FFDAF695EA59}">
      <text>
        <r>
          <rPr>
            <b/>
            <sz val="9"/>
            <color indexed="81"/>
            <rFont val="Tahoma"/>
            <charset val="1"/>
          </rPr>
          <t>User:</t>
        </r>
        <r>
          <rPr>
            <sz val="9"/>
            <color indexed="81"/>
            <rFont val="Tahoma"/>
            <charset val="1"/>
          </rPr>
          <t xml:space="preserve">
Source: Moog FY2012 10-K, Note 17 Segments</t>
        </r>
      </text>
    </comment>
    <comment ref="AX34" authorId="0" shapeId="0" xr:uid="{AB4FF736-D62B-48FD-A304-AEB722C5D10D}">
      <text>
        <r>
          <rPr>
            <b/>
            <sz val="9"/>
            <color indexed="81"/>
            <rFont val="Tahoma"/>
            <charset val="1"/>
          </rPr>
          <t>User:</t>
        </r>
        <r>
          <rPr>
            <sz val="9"/>
            <color indexed="81"/>
            <rFont val="Tahoma"/>
            <charset val="1"/>
          </rPr>
          <t xml:space="preserve">
Source: Moog FY2012 10-K, Note 17 Segments</t>
        </r>
      </text>
    </comment>
    <comment ref="AY34" authorId="0" shapeId="0" xr:uid="{98752FFA-034F-4A74-B5AC-161A34F62D89}">
      <text>
        <r>
          <rPr>
            <b/>
            <sz val="9"/>
            <color indexed="81"/>
            <rFont val="Tahoma"/>
            <charset val="1"/>
          </rPr>
          <t>User:</t>
        </r>
        <r>
          <rPr>
            <sz val="9"/>
            <color indexed="81"/>
            <rFont val="Tahoma"/>
            <charset val="1"/>
          </rPr>
          <t xml:space="preserve">
Source: Moog FY2012 10-K, Note 17 Segments</t>
        </r>
      </text>
    </comment>
    <comment ref="AZ34" authorId="0" shapeId="0" xr:uid="{B95D8AAF-150C-4028-B75D-8DCF7024BAE3}">
      <text>
        <r>
          <rPr>
            <b/>
            <sz val="9"/>
            <color indexed="81"/>
            <rFont val="Tahoma"/>
            <charset val="1"/>
          </rPr>
          <t>User:</t>
        </r>
        <r>
          <rPr>
            <sz val="9"/>
            <color indexed="81"/>
            <rFont val="Tahoma"/>
            <charset val="1"/>
          </rPr>
          <t xml:space="preserve">
Source: Moog FY2012 10-K, Note 17 Segments</t>
        </r>
      </text>
    </comment>
    <comment ref="BA34" authorId="0" shapeId="0" xr:uid="{FC203600-B806-4894-A3B1-1870237C695B}">
      <text>
        <r>
          <rPr>
            <b/>
            <sz val="9"/>
            <color indexed="81"/>
            <rFont val="Tahoma"/>
            <charset val="1"/>
          </rPr>
          <t>User:</t>
        </r>
        <r>
          <rPr>
            <sz val="9"/>
            <color indexed="81"/>
            <rFont val="Tahoma"/>
            <charset val="1"/>
          </rPr>
          <t xml:space="preserve">
Source: Moog FY2012 10-K, Note 17 Segments</t>
        </r>
      </text>
    </comment>
    <comment ref="BB34" authorId="0" shapeId="0" xr:uid="{57C241A3-F96A-4E43-A74C-C0DA0E047885}">
      <text>
        <r>
          <rPr>
            <b/>
            <sz val="9"/>
            <color indexed="81"/>
            <rFont val="Tahoma"/>
            <charset val="1"/>
          </rPr>
          <t>User:</t>
        </r>
        <r>
          <rPr>
            <sz val="9"/>
            <color indexed="81"/>
            <rFont val="Tahoma"/>
            <charset val="1"/>
          </rPr>
          <t xml:space="preserve">
Source: Moog FY2012 10-K, Note 17 Segments</t>
        </r>
      </text>
    </comment>
    <comment ref="BC34" authorId="0" shapeId="0" xr:uid="{93895F35-BD48-474B-B3BE-8868FE9526C5}">
      <text>
        <r>
          <rPr>
            <b/>
            <sz val="9"/>
            <color indexed="81"/>
            <rFont val="Tahoma"/>
            <charset val="1"/>
          </rPr>
          <t>User:</t>
        </r>
        <r>
          <rPr>
            <sz val="9"/>
            <color indexed="81"/>
            <rFont val="Tahoma"/>
            <charset val="1"/>
          </rPr>
          <t xml:space="preserve">
Source: Moog FY2012 10-K, Note 17 Segments</t>
        </r>
      </text>
    </comment>
    <comment ref="BD34" authorId="0" shapeId="0" xr:uid="{BB0E6186-B2EC-451F-AC64-530D9E6CC093}">
      <text>
        <r>
          <rPr>
            <b/>
            <sz val="9"/>
            <color indexed="81"/>
            <rFont val="Tahoma"/>
            <charset val="1"/>
          </rPr>
          <t>User:</t>
        </r>
        <r>
          <rPr>
            <sz val="9"/>
            <color indexed="81"/>
            <rFont val="Tahoma"/>
            <charset val="1"/>
          </rPr>
          <t xml:space="preserve">
Source: Moog FY2012 10-K, Note 17 Segments</t>
        </r>
      </text>
    </comment>
    <comment ref="BE34" authorId="0" shapeId="0" xr:uid="{1E711227-5DD9-4117-94AD-8BB751014A3C}">
      <text>
        <r>
          <rPr>
            <b/>
            <sz val="9"/>
            <color indexed="81"/>
            <rFont val="Tahoma"/>
            <charset val="1"/>
          </rPr>
          <t>User:</t>
        </r>
        <r>
          <rPr>
            <sz val="9"/>
            <color indexed="81"/>
            <rFont val="Tahoma"/>
            <charset val="1"/>
          </rPr>
          <t xml:space="preserve">
Source: Moog FY2012 10-K, Note 17 Segments</t>
        </r>
      </text>
    </comment>
    <comment ref="BF34" authorId="0" shapeId="0" xr:uid="{23830011-0E8D-4DA6-B443-6F78F05B6805}">
      <text>
        <r>
          <rPr>
            <b/>
            <sz val="9"/>
            <color indexed="81"/>
            <rFont val="Tahoma"/>
            <charset val="1"/>
          </rPr>
          <t>User:</t>
        </r>
        <r>
          <rPr>
            <sz val="9"/>
            <color indexed="81"/>
            <rFont val="Tahoma"/>
            <charset val="1"/>
          </rPr>
          <t xml:space="preserve">
Source: Moog FY2012 10-K, Note 17 Segments</t>
        </r>
      </text>
    </comment>
    <comment ref="BG34" authorId="0" shapeId="0" xr:uid="{AA307A64-7536-4D01-AE9E-E79E05F35734}">
      <text>
        <r>
          <rPr>
            <b/>
            <sz val="9"/>
            <color indexed="81"/>
            <rFont val="Tahoma"/>
            <charset val="1"/>
          </rPr>
          <t>User:</t>
        </r>
        <r>
          <rPr>
            <sz val="9"/>
            <color indexed="81"/>
            <rFont val="Tahoma"/>
            <charset val="1"/>
          </rPr>
          <t xml:space="preserve">
Source: Moog FY2012 10-K, Note 17 Segments</t>
        </r>
      </text>
    </comment>
    <comment ref="BH34" authorId="0" shapeId="0" xr:uid="{C61CF1DC-1776-4136-9A08-CD01D97EE6D9}">
      <text>
        <r>
          <rPr>
            <b/>
            <sz val="9"/>
            <color indexed="81"/>
            <rFont val="Tahoma"/>
            <charset val="1"/>
          </rPr>
          <t>User:</t>
        </r>
        <r>
          <rPr>
            <sz val="9"/>
            <color indexed="81"/>
            <rFont val="Tahoma"/>
            <charset val="1"/>
          </rPr>
          <t xml:space="preserve">
Source: Moog FY2012 10-K, Note 17 Segments</t>
        </r>
      </text>
    </comment>
    <comment ref="BI34" authorId="0" shapeId="0" xr:uid="{92F96F4A-837B-4D4B-A494-20E08B2E9F22}">
      <text>
        <r>
          <rPr>
            <b/>
            <sz val="9"/>
            <color indexed="81"/>
            <rFont val="Tahoma"/>
            <charset val="1"/>
          </rPr>
          <t>User:</t>
        </r>
        <r>
          <rPr>
            <sz val="9"/>
            <color indexed="81"/>
            <rFont val="Tahoma"/>
            <charset val="1"/>
          </rPr>
          <t xml:space="preserve">
Source: Moog FY2012 10-K, Note 17 Segments</t>
        </r>
      </text>
    </comment>
    <comment ref="BJ34" authorId="0" shapeId="0" xr:uid="{76D4B747-D146-4CD8-A29B-14439977EF63}">
      <text>
        <r>
          <rPr>
            <b/>
            <sz val="9"/>
            <color indexed="81"/>
            <rFont val="Tahoma"/>
            <charset val="1"/>
          </rPr>
          <t>User:</t>
        </r>
        <r>
          <rPr>
            <sz val="9"/>
            <color indexed="81"/>
            <rFont val="Tahoma"/>
            <charset val="1"/>
          </rPr>
          <t xml:space="preserve">
Source: Moog FY2012 10-K, Note 17 Segments</t>
        </r>
      </text>
    </comment>
    <comment ref="G35" authorId="0" shapeId="0" xr:uid="{BB13A4DB-428E-4B29-BAF5-3885A5D10F1C}">
      <text>
        <r>
          <rPr>
            <b/>
            <sz val="9"/>
            <color indexed="81"/>
            <rFont val="Tahoma"/>
            <charset val="1"/>
          </rPr>
          <t>User:</t>
        </r>
        <r>
          <rPr>
            <sz val="9"/>
            <color indexed="81"/>
            <rFont val="Tahoma"/>
            <charset val="1"/>
          </rPr>
          <t xml:space="preserve">
Source: Moog FY2012 10-K, Note 17 Segments</t>
        </r>
      </text>
    </comment>
    <comment ref="H35" authorId="0" shapeId="0" xr:uid="{133EE834-38AA-4CDC-BE73-F1316E643670}">
      <text>
        <r>
          <rPr>
            <b/>
            <sz val="9"/>
            <color indexed="81"/>
            <rFont val="Tahoma"/>
            <charset val="1"/>
          </rPr>
          <t>User:</t>
        </r>
        <r>
          <rPr>
            <sz val="9"/>
            <color indexed="81"/>
            <rFont val="Tahoma"/>
            <charset val="1"/>
          </rPr>
          <t xml:space="preserve">
Source: Moog FY2012 10-K, Note 17 Segments</t>
        </r>
      </text>
    </comment>
    <comment ref="I35" authorId="0" shapeId="0" xr:uid="{E6A45D29-9D07-47AA-9DA8-217710F5EFA0}">
      <text>
        <r>
          <rPr>
            <b/>
            <sz val="9"/>
            <color indexed="81"/>
            <rFont val="Tahoma"/>
            <charset val="1"/>
          </rPr>
          <t>User:</t>
        </r>
        <r>
          <rPr>
            <sz val="9"/>
            <color indexed="81"/>
            <rFont val="Tahoma"/>
            <charset val="1"/>
          </rPr>
          <t xml:space="preserve">
Source: Moog FY2012 10-K, Note 17 Segments</t>
        </r>
      </text>
    </comment>
    <comment ref="J35" authorId="0" shapeId="0" xr:uid="{69A3CA82-176B-4B9D-8B13-5F5FA1D81229}">
      <text>
        <r>
          <rPr>
            <b/>
            <sz val="9"/>
            <color indexed="81"/>
            <rFont val="Tahoma"/>
            <charset val="1"/>
          </rPr>
          <t>User:</t>
        </r>
        <r>
          <rPr>
            <sz val="9"/>
            <color indexed="81"/>
            <rFont val="Tahoma"/>
            <charset val="1"/>
          </rPr>
          <t xml:space="preserve">
Source: Moog FY2012 10-K, Note 17 Segments</t>
        </r>
      </text>
    </comment>
    <comment ref="K35" authorId="0" shapeId="0" xr:uid="{21163AF7-3F64-4BDD-8E53-D670CD9BCEFF}">
      <text>
        <r>
          <rPr>
            <b/>
            <sz val="9"/>
            <color indexed="81"/>
            <rFont val="Tahoma"/>
            <charset val="1"/>
          </rPr>
          <t>User:</t>
        </r>
        <r>
          <rPr>
            <sz val="9"/>
            <color indexed="81"/>
            <rFont val="Tahoma"/>
            <charset val="1"/>
          </rPr>
          <t xml:space="preserve">
Source: Moog FY2012 10-K, Note 17 Segments</t>
        </r>
      </text>
    </comment>
    <comment ref="L35" authorId="0" shapeId="0" xr:uid="{043C08DA-67EA-41F9-A9D7-452103EA3590}">
      <text>
        <r>
          <rPr>
            <b/>
            <sz val="9"/>
            <color indexed="81"/>
            <rFont val="Tahoma"/>
            <charset val="1"/>
          </rPr>
          <t>User:</t>
        </r>
        <r>
          <rPr>
            <sz val="9"/>
            <color indexed="81"/>
            <rFont val="Tahoma"/>
            <charset val="1"/>
          </rPr>
          <t xml:space="preserve">
Source: Moog FY2012 10-K, Note 17 Segments</t>
        </r>
      </text>
    </comment>
    <comment ref="M35" authorId="0" shapeId="0" xr:uid="{EF32E2BF-6B35-4670-8D7B-3BEEBF537DCC}">
      <text>
        <r>
          <rPr>
            <b/>
            <sz val="9"/>
            <color indexed="81"/>
            <rFont val="Tahoma"/>
            <charset val="1"/>
          </rPr>
          <t>User:</t>
        </r>
        <r>
          <rPr>
            <sz val="9"/>
            <color indexed="81"/>
            <rFont val="Tahoma"/>
            <charset val="1"/>
          </rPr>
          <t xml:space="preserve">
Source: Moog FY2012 10-K, Note 17 Segments</t>
        </r>
      </text>
    </comment>
    <comment ref="N35" authorId="0" shapeId="0" xr:uid="{8F42769E-6711-43C0-A829-58A99421DA17}">
      <text>
        <r>
          <rPr>
            <b/>
            <sz val="9"/>
            <color indexed="81"/>
            <rFont val="Tahoma"/>
            <charset val="1"/>
          </rPr>
          <t>User:</t>
        </r>
        <r>
          <rPr>
            <sz val="9"/>
            <color indexed="81"/>
            <rFont val="Tahoma"/>
            <charset val="1"/>
          </rPr>
          <t xml:space="preserve">
Source: Moog FY2012 10-K, Note 17 Segments</t>
        </r>
      </text>
    </comment>
    <comment ref="O35" authorId="0" shapeId="0" xr:uid="{3A7D79DE-A6EF-4006-B488-BFE1279E4C68}">
      <text>
        <r>
          <rPr>
            <b/>
            <sz val="9"/>
            <color indexed="81"/>
            <rFont val="Tahoma"/>
            <charset val="1"/>
          </rPr>
          <t>User:</t>
        </r>
        <r>
          <rPr>
            <sz val="9"/>
            <color indexed="81"/>
            <rFont val="Tahoma"/>
            <charset val="1"/>
          </rPr>
          <t xml:space="preserve">
Source: Moog FY2012 10-K, Note 17 Segments</t>
        </r>
      </text>
    </comment>
    <comment ref="P35" authorId="0" shapeId="0" xr:uid="{46145D96-36F9-408F-BD4D-75DCDA3AF317}">
      <text>
        <r>
          <rPr>
            <b/>
            <sz val="9"/>
            <color indexed="81"/>
            <rFont val="Tahoma"/>
            <charset val="1"/>
          </rPr>
          <t>User:</t>
        </r>
        <r>
          <rPr>
            <sz val="9"/>
            <color indexed="81"/>
            <rFont val="Tahoma"/>
            <charset val="1"/>
          </rPr>
          <t xml:space="preserve">
Source: Moog FY2012 10-K, Note 17 Segments</t>
        </r>
      </text>
    </comment>
    <comment ref="Q35" authorId="0" shapeId="0" xr:uid="{6824525A-3846-4364-AA8B-B103A2310DB5}">
      <text>
        <r>
          <rPr>
            <b/>
            <sz val="9"/>
            <color indexed="81"/>
            <rFont val="Tahoma"/>
            <charset val="1"/>
          </rPr>
          <t>User:</t>
        </r>
        <r>
          <rPr>
            <sz val="9"/>
            <color indexed="81"/>
            <rFont val="Tahoma"/>
            <charset val="1"/>
          </rPr>
          <t xml:space="preserve">
Source: Moog FY2012 10-K, Note 17 Segments</t>
        </r>
      </text>
    </comment>
    <comment ref="R35" authorId="0" shapeId="0" xr:uid="{F0F92372-85F1-4144-9D7F-E2CE07980D79}">
      <text>
        <r>
          <rPr>
            <b/>
            <sz val="9"/>
            <color indexed="81"/>
            <rFont val="Tahoma"/>
            <charset val="1"/>
          </rPr>
          <t>User:</t>
        </r>
        <r>
          <rPr>
            <sz val="9"/>
            <color indexed="81"/>
            <rFont val="Tahoma"/>
            <charset val="1"/>
          </rPr>
          <t xml:space="preserve">
Source: Moog FY2012 10-K, Note 17 Segments</t>
        </r>
      </text>
    </comment>
    <comment ref="S35" authorId="0" shapeId="0" xr:uid="{6990566D-8A3D-4322-8C87-D24CEB8D8F30}">
      <text>
        <r>
          <rPr>
            <b/>
            <sz val="9"/>
            <color indexed="81"/>
            <rFont val="Tahoma"/>
            <charset val="1"/>
          </rPr>
          <t>User:</t>
        </r>
        <r>
          <rPr>
            <sz val="9"/>
            <color indexed="81"/>
            <rFont val="Tahoma"/>
            <charset val="1"/>
          </rPr>
          <t xml:space="preserve">
Source: Moog FY2012 10-K, Note 17 Segments</t>
        </r>
      </text>
    </comment>
    <comment ref="T35" authorId="0" shapeId="0" xr:uid="{9A60BD60-206D-44C5-BADE-5678D1D5DC6A}">
      <text>
        <r>
          <rPr>
            <b/>
            <sz val="9"/>
            <color indexed="81"/>
            <rFont val="Tahoma"/>
            <charset val="1"/>
          </rPr>
          <t>User:</t>
        </r>
        <r>
          <rPr>
            <sz val="9"/>
            <color indexed="81"/>
            <rFont val="Tahoma"/>
            <charset val="1"/>
          </rPr>
          <t xml:space="preserve">
Source: Moog FY2012 10-K, Note 17 Segments</t>
        </r>
      </text>
    </comment>
    <comment ref="U35" authorId="0" shapeId="0" xr:uid="{4D9A4511-7F96-4F1C-9324-909C1CFE3EE2}">
      <text>
        <r>
          <rPr>
            <b/>
            <sz val="9"/>
            <color indexed="81"/>
            <rFont val="Tahoma"/>
            <charset val="1"/>
          </rPr>
          <t>User:</t>
        </r>
        <r>
          <rPr>
            <sz val="9"/>
            <color indexed="81"/>
            <rFont val="Tahoma"/>
            <charset val="1"/>
          </rPr>
          <t xml:space="preserve">
Source: Moog FY2012 10-K, Note 17 Segments</t>
        </r>
      </text>
    </comment>
    <comment ref="V35" authorId="0" shapeId="0" xr:uid="{3C9C867C-166A-45D9-A561-0043AAD1E3EA}">
      <text>
        <r>
          <rPr>
            <b/>
            <sz val="9"/>
            <color indexed="81"/>
            <rFont val="Tahoma"/>
            <charset val="1"/>
          </rPr>
          <t>User:</t>
        </r>
        <r>
          <rPr>
            <sz val="9"/>
            <color indexed="81"/>
            <rFont val="Tahoma"/>
            <charset val="1"/>
          </rPr>
          <t xml:space="preserve">
Source: Moog FY2012 10-K, Note 17 Segments</t>
        </r>
      </text>
    </comment>
    <comment ref="W35" authorId="0" shapeId="0" xr:uid="{8129D72A-74A0-4A05-8CED-02919228B0BE}">
      <text>
        <r>
          <rPr>
            <b/>
            <sz val="9"/>
            <color indexed="81"/>
            <rFont val="Tahoma"/>
            <charset val="1"/>
          </rPr>
          <t>User:</t>
        </r>
        <r>
          <rPr>
            <sz val="9"/>
            <color indexed="81"/>
            <rFont val="Tahoma"/>
            <charset val="1"/>
          </rPr>
          <t xml:space="preserve">
Source: Moog FY2012 10-K, Note 17 Segments</t>
        </r>
      </text>
    </comment>
    <comment ref="X35" authorId="0" shapeId="0" xr:uid="{26F4EA80-479D-4ABE-97B3-6D55DD47EF00}">
      <text>
        <r>
          <rPr>
            <b/>
            <sz val="9"/>
            <color indexed="81"/>
            <rFont val="Tahoma"/>
            <charset val="1"/>
          </rPr>
          <t>User:</t>
        </r>
        <r>
          <rPr>
            <sz val="9"/>
            <color indexed="81"/>
            <rFont val="Tahoma"/>
            <charset val="1"/>
          </rPr>
          <t xml:space="preserve">
Source: Moog FY2012 10-K, Note 17 Segments</t>
        </r>
      </text>
    </comment>
    <comment ref="Y35" authorId="0" shapeId="0" xr:uid="{FEED1DD0-A5DE-4913-80AB-7E05480A9AE5}">
      <text>
        <r>
          <rPr>
            <b/>
            <sz val="9"/>
            <color indexed="81"/>
            <rFont val="Tahoma"/>
            <charset val="1"/>
          </rPr>
          <t>User:</t>
        </r>
        <r>
          <rPr>
            <sz val="9"/>
            <color indexed="81"/>
            <rFont val="Tahoma"/>
            <charset val="1"/>
          </rPr>
          <t xml:space="preserve">
Source: Moog FY2012 10-K, Note 17 Segments</t>
        </r>
      </text>
    </comment>
    <comment ref="Z35" authorId="0" shapeId="0" xr:uid="{3EDD4868-87C6-44DC-82F0-28E4BC346DD8}">
      <text>
        <r>
          <rPr>
            <b/>
            <sz val="9"/>
            <color indexed="81"/>
            <rFont val="Tahoma"/>
            <charset val="1"/>
          </rPr>
          <t>User:</t>
        </r>
        <r>
          <rPr>
            <sz val="9"/>
            <color indexed="81"/>
            <rFont val="Tahoma"/>
            <charset val="1"/>
          </rPr>
          <t xml:space="preserve">
Source: Moog FY2012 10-K, Note 17 Segments</t>
        </r>
      </text>
    </comment>
    <comment ref="AA35" authorId="0" shapeId="0" xr:uid="{283205B1-EA73-4D66-BB5A-8F03BD583969}">
      <text>
        <r>
          <rPr>
            <b/>
            <sz val="9"/>
            <color indexed="81"/>
            <rFont val="Tahoma"/>
            <charset val="1"/>
          </rPr>
          <t>User:</t>
        </r>
        <r>
          <rPr>
            <sz val="9"/>
            <color indexed="81"/>
            <rFont val="Tahoma"/>
            <charset val="1"/>
          </rPr>
          <t xml:space="preserve">
Source: Moog FY2012 10-K, Note 17 Segments</t>
        </r>
      </text>
    </comment>
    <comment ref="AB35" authorId="0" shapeId="0" xr:uid="{4A5B9D81-80A7-4745-A6A2-317D0E45D20A}">
      <text>
        <r>
          <rPr>
            <b/>
            <sz val="9"/>
            <color indexed="81"/>
            <rFont val="Tahoma"/>
            <charset val="1"/>
          </rPr>
          <t>User:</t>
        </r>
        <r>
          <rPr>
            <sz val="9"/>
            <color indexed="81"/>
            <rFont val="Tahoma"/>
            <charset val="1"/>
          </rPr>
          <t xml:space="preserve">
Source: Moog FY2012 10-K, Note 17 Segments</t>
        </r>
      </text>
    </comment>
    <comment ref="AC35" authorId="0" shapeId="0" xr:uid="{DA34D283-4783-41E9-90F4-18BA1D615A7C}">
      <text>
        <r>
          <rPr>
            <b/>
            <sz val="9"/>
            <color indexed="81"/>
            <rFont val="Tahoma"/>
            <charset val="1"/>
          </rPr>
          <t>User:</t>
        </r>
        <r>
          <rPr>
            <sz val="9"/>
            <color indexed="81"/>
            <rFont val="Tahoma"/>
            <charset val="1"/>
          </rPr>
          <t xml:space="preserve">
Source: Moog FY2012 10-K, Note 17 Segments</t>
        </r>
      </text>
    </comment>
    <comment ref="AD35" authorId="0" shapeId="0" xr:uid="{BCAA2DE8-DE78-4404-91EF-51A9D4B0D17E}">
      <text>
        <r>
          <rPr>
            <b/>
            <sz val="9"/>
            <color indexed="81"/>
            <rFont val="Tahoma"/>
            <charset val="1"/>
          </rPr>
          <t>User:</t>
        </r>
        <r>
          <rPr>
            <sz val="9"/>
            <color indexed="81"/>
            <rFont val="Tahoma"/>
            <charset val="1"/>
          </rPr>
          <t xml:space="preserve">
Source: Moog FY2012 10-K, Note 17 Segments</t>
        </r>
      </text>
    </comment>
    <comment ref="AE35" authorId="0" shapeId="0" xr:uid="{595637AF-4A4A-4F28-9E0E-51CB0ECEBC78}">
      <text>
        <r>
          <rPr>
            <b/>
            <sz val="9"/>
            <color indexed="81"/>
            <rFont val="Tahoma"/>
            <charset val="1"/>
          </rPr>
          <t>User:</t>
        </r>
        <r>
          <rPr>
            <sz val="9"/>
            <color indexed="81"/>
            <rFont val="Tahoma"/>
            <charset val="1"/>
          </rPr>
          <t xml:space="preserve">
Source: Moog FY2012 10-K, Note 17 Segments</t>
        </r>
      </text>
    </comment>
    <comment ref="AF35" authorId="0" shapeId="0" xr:uid="{9DEEFE5D-0B06-4EAA-BEC0-5E23ABC1346C}">
      <text>
        <r>
          <rPr>
            <b/>
            <sz val="9"/>
            <color indexed="81"/>
            <rFont val="Tahoma"/>
            <charset val="1"/>
          </rPr>
          <t>User:</t>
        </r>
        <r>
          <rPr>
            <sz val="9"/>
            <color indexed="81"/>
            <rFont val="Tahoma"/>
            <charset val="1"/>
          </rPr>
          <t xml:space="preserve">
Source: Moog FY2012 10-K, Note 17 Segments</t>
        </r>
      </text>
    </comment>
    <comment ref="AG35" authorId="0" shapeId="0" xr:uid="{885811A1-E7B1-4A16-BAEE-876F74D4513B}">
      <text>
        <r>
          <rPr>
            <b/>
            <sz val="9"/>
            <color indexed="81"/>
            <rFont val="Tahoma"/>
            <charset val="1"/>
          </rPr>
          <t>User:</t>
        </r>
        <r>
          <rPr>
            <sz val="9"/>
            <color indexed="81"/>
            <rFont val="Tahoma"/>
            <charset val="1"/>
          </rPr>
          <t xml:space="preserve">
Source: Moog FY2012 10-K, Note 17 Segments</t>
        </r>
      </text>
    </comment>
    <comment ref="AH35" authorId="0" shapeId="0" xr:uid="{F64B3FC4-F43F-4E28-A51F-16ABC7A35399}">
      <text>
        <r>
          <rPr>
            <b/>
            <sz val="9"/>
            <color indexed="81"/>
            <rFont val="Tahoma"/>
            <charset val="1"/>
          </rPr>
          <t>User:</t>
        </r>
        <r>
          <rPr>
            <sz val="9"/>
            <color indexed="81"/>
            <rFont val="Tahoma"/>
            <charset val="1"/>
          </rPr>
          <t xml:space="preserve">
Source: Moog FY2012 10-K, Note 17 Segments</t>
        </r>
      </text>
    </comment>
    <comment ref="AI35" authorId="0" shapeId="0" xr:uid="{1941D12D-6444-4928-8F13-D94FDCCAE600}">
      <text>
        <r>
          <rPr>
            <b/>
            <sz val="9"/>
            <color indexed="81"/>
            <rFont val="Tahoma"/>
            <charset val="1"/>
          </rPr>
          <t>User:</t>
        </r>
        <r>
          <rPr>
            <sz val="9"/>
            <color indexed="81"/>
            <rFont val="Tahoma"/>
            <charset val="1"/>
          </rPr>
          <t xml:space="preserve">
Source: Moog FY2012 10-K, Note 17 Segments</t>
        </r>
      </text>
    </comment>
    <comment ref="AJ35" authorId="0" shapeId="0" xr:uid="{18262308-F8F9-4E94-A4DE-4418F185E488}">
      <text>
        <r>
          <rPr>
            <b/>
            <sz val="9"/>
            <color indexed="81"/>
            <rFont val="Tahoma"/>
            <charset val="1"/>
          </rPr>
          <t>User:</t>
        </r>
        <r>
          <rPr>
            <sz val="9"/>
            <color indexed="81"/>
            <rFont val="Tahoma"/>
            <charset val="1"/>
          </rPr>
          <t xml:space="preserve">
Source: Moog FY2012 10-K, Note 17 Segments</t>
        </r>
      </text>
    </comment>
    <comment ref="AK35" authorId="0" shapeId="0" xr:uid="{63E60D97-533A-47E1-BD0C-F8D981CD52C3}">
      <text>
        <r>
          <rPr>
            <b/>
            <sz val="9"/>
            <color indexed="81"/>
            <rFont val="Tahoma"/>
            <charset val="1"/>
          </rPr>
          <t>User:</t>
        </r>
        <r>
          <rPr>
            <sz val="9"/>
            <color indexed="81"/>
            <rFont val="Tahoma"/>
            <charset val="1"/>
          </rPr>
          <t xml:space="preserve">
Source: Moog FY2012 10-K, Note 17 Segments</t>
        </r>
      </text>
    </comment>
    <comment ref="AL35" authorId="0" shapeId="0" xr:uid="{9DD770FA-26A0-4427-9D13-6DF0CE389B33}">
      <text>
        <r>
          <rPr>
            <b/>
            <sz val="9"/>
            <color indexed="81"/>
            <rFont val="Tahoma"/>
            <charset val="1"/>
          </rPr>
          <t>User:</t>
        </r>
        <r>
          <rPr>
            <sz val="9"/>
            <color indexed="81"/>
            <rFont val="Tahoma"/>
            <charset val="1"/>
          </rPr>
          <t xml:space="preserve">
Source: Moog FY2012 10-K, Note 17 Segments</t>
        </r>
      </text>
    </comment>
    <comment ref="AM35" authorId="0" shapeId="0" xr:uid="{F8FA51DB-9030-4230-839F-F1E9254DCE38}">
      <text>
        <r>
          <rPr>
            <b/>
            <sz val="9"/>
            <color indexed="81"/>
            <rFont val="Tahoma"/>
            <charset val="1"/>
          </rPr>
          <t>User:</t>
        </r>
        <r>
          <rPr>
            <sz val="9"/>
            <color indexed="81"/>
            <rFont val="Tahoma"/>
            <charset val="1"/>
          </rPr>
          <t xml:space="preserve">
Source: Moog FY2012 10-K, Note 17 Segments</t>
        </r>
      </text>
    </comment>
    <comment ref="AN35" authorId="0" shapeId="0" xr:uid="{FC7A1A46-378C-4A8E-BC29-F264142BEEF7}">
      <text>
        <r>
          <rPr>
            <b/>
            <sz val="9"/>
            <color indexed="81"/>
            <rFont val="Tahoma"/>
            <charset val="1"/>
          </rPr>
          <t>User:</t>
        </r>
        <r>
          <rPr>
            <sz val="9"/>
            <color indexed="81"/>
            <rFont val="Tahoma"/>
            <charset val="1"/>
          </rPr>
          <t xml:space="preserve">
Source: Moog FY2012 10-K, Note 17 Segments</t>
        </r>
      </text>
    </comment>
    <comment ref="AO35" authorId="0" shapeId="0" xr:uid="{49C33830-7410-4B77-B746-5B642B688457}">
      <text>
        <r>
          <rPr>
            <b/>
            <sz val="9"/>
            <color indexed="81"/>
            <rFont val="Tahoma"/>
            <charset val="1"/>
          </rPr>
          <t>User:</t>
        </r>
        <r>
          <rPr>
            <sz val="9"/>
            <color indexed="81"/>
            <rFont val="Tahoma"/>
            <charset val="1"/>
          </rPr>
          <t xml:space="preserve">
Source: Moog FY2012 10-K, Note 17 Segments</t>
        </r>
      </text>
    </comment>
    <comment ref="AP35" authorId="0" shapeId="0" xr:uid="{0648CCC6-8F55-4897-8924-916163BF4257}">
      <text>
        <r>
          <rPr>
            <b/>
            <sz val="9"/>
            <color indexed="81"/>
            <rFont val="Tahoma"/>
            <charset val="1"/>
          </rPr>
          <t>User:</t>
        </r>
        <r>
          <rPr>
            <sz val="9"/>
            <color indexed="81"/>
            <rFont val="Tahoma"/>
            <charset val="1"/>
          </rPr>
          <t xml:space="preserve">
Source: Moog FY2012 10-K, Note 17 Segments</t>
        </r>
      </text>
    </comment>
    <comment ref="AQ35" authorId="0" shapeId="0" xr:uid="{634CE5EC-02CC-40F7-AD53-BCC075C43A02}">
      <text>
        <r>
          <rPr>
            <b/>
            <sz val="9"/>
            <color indexed="81"/>
            <rFont val="Tahoma"/>
            <charset val="1"/>
          </rPr>
          <t>User:</t>
        </r>
        <r>
          <rPr>
            <sz val="9"/>
            <color indexed="81"/>
            <rFont val="Tahoma"/>
            <charset val="1"/>
          </rPr>
          <t xml:space="preserve">
Source: Moog FY2012 10-K, Note 17 Segments</t>
        </r>
      </text>
    </comment>
    <comment ref="AR35" authorId="0" shapeId="0" xr:uid="{E8B9FB77-ACB5-4C55-8AC4-3434ECB12EF2}">
      <text>
        <r>
          <rPr>
            <b/>
            <sz val="9"/>
            <color indexed="81"/>
            <rFont val="Tahoma"/>
            <charset val="1"/>
          </rPr>
          <t>User:</t>
        </r>
        <r>
          <rPr>
            <sz val="9"/>
            <color indexed="81"/>
            <rFont val="Tahoma"/>
            <charset val="1"/>
          </rPr>
          <t xml:space="preserve">
Source: Moog FY2012 10-K, Note 17 Segments</t>
        </r>
      </text>
    </comment>
    <comment ref="AS35" authorId="0" shapeId="0" xr:uid="{1DBE7B2B-6B17-4ED9-91A3-1845168B79BD}">
      <text>
        <r>
          <rPr>
            <b/>
            <sz val="9"/>
            <color indexed="81"/>
            <rFont val="Tahoma"/>
            <charset val="1"/>
          </rPr>
          <t>User:</t>
        </r>
        <r>
          <rPr>
            <sz val="9"/>
            <color indexed="81"/>
            <rFont val="Tahoma"/>
            <charset val="1"/>
          </rPr>
          <t xml:space="preserve">
Source: Moog FY2012 10-K, Note 17 Segments</t>
        </r>
      </text>
    </comment>
    <comment ref="AT35" authorId="0" shapeId="0" xr:uid="{1467FE39-E634-46E3-87D6-46611F689EBD}">
      <text>
        <r>
          <rPr>
            <b/>
            <sz val="9"/>
            <color indexed="81"/>
            <rFont val="Tahoma"/>
            <charset val="1"/>
          </rPr>
          <t>User:</t>
        </r>
        <r>
          <rPr>
            <sz val="9"/>
            <color indexed="81"/>
            <rFont val="Tahoma"/>
            <charset val="1"/>
          </rPr>
          <t xml:space="preserve">
Source: Moog FY2012 10-K, Note 17 Segments</t>
        </r>
      </text>
    </comment>
    <comment ref="AU35" authorId="0" shapeId="0" xr:uid="{13F6B239-6148-4053-ABD3-31AB0E20D7DF}">
      <text>
        <r>
          <rPr>
            <b/>
            <sz val="9"/>
            <color indexed="81"/>
            <rFont val="Tahoma"/>
            <charset val="1"/>
          </rPr>
          <t>User:</t>
        </r>
        <r>
          <rPr>
            <sz val="9"/>
            <color indexed="81"/>
            <rFont val="Tahoma"/>
            <charset val="1"/>
          </rPr>
          <t xml:space="preserve">
Source: Moog FY2012 10-K, Note 17 Segments</t>
        </r>
      </text>
    </comment>
    <comment ref="AV35" authorId="0" shapeId="0" xr:uid="{F11C5913-D68D-437D-BBB1-28048BE7AFD8}">
      <text>
        <r>
          <rPr>
            <b/>
            <sz val="9"/>
            <color indexed="81"/>
            <rFont val="Tahoma"/>
            <charset val="1"/>
          </rPr>
          <t>User:</t>
        </r>
        <r>
          <rPr>
            <sz val="9"/>
            <color indexed="81"/>
            <rFont val="Tahoma"/>
            <charset val="1"/>
          </rPr>
          <t xml:space="preserve">
Source: Moog FY2012 10-K, Note 17 Segments</t>
        </r>
      </text>
    </comment>
    <comment ref="AW35" authorId="0" shapeId="0" xr:uid="{105C0E11-1315-4B2F-962E-41799795212B}">
      <text>
        <r>
          <rPr>
            <b/>
            <sz val="9"/>
            <color indexed="81"/>
            <rFont val="Tahoma"/>
            <charset val="1"/>
          </rPr>
          <t>User:</t>
        </r>
        <r>
          <rPr>
            <sz val="9"/>
            <color indexed="81"/>
            <rFont val="Tahoma"/>
            <charset val="1"/>
          </rPr>
          <t xml:space="preserve">
Source: Moog FY2012 10-K, Note 17 Segments</t>
        </r>
      </text>
    </comment>
    <comment ref="AX35" authorId="0" shapeId="0" xr:uid="{102E0BED-80E8-43D7-83CA-0FBE206C49CA}">
      <text>
        <r>
          <rPr>
            <b/>
            <sz val="9"/>
            <color indexed="81"/>
            <rFont val="Tahoma"/>
            <charset val="1"/>
          </rPr>
          <t>User:</t>
        </r>
        <r>
          <rPr>
            <sz val="9"/>
            <color indexed="81"/>
            <rFont val="Tahoma"/>
            <charset val="1"/>
          </rPr>
          <t xml:space="preserve">
Source: Moog FY2012 10-K, Note 17 Segments</t>
        </r>
      </text>
    </comment>
    <comment ref="AY35" authorId="0" shapeId="0" xr:uid="{BE865333-3319-45D7-BB09-375509FE9D95}">
      <text>
        <r>
          <rPr>
            <b/>
            <sz val="9"/>
            <color indexed="81"/>
            <rFont val="Tahoma"/>
            <charset val="1"/>
          </rPr>
          <t>User:</t>
        </r>
        <r>
          <rPr>
            <sz val="9"/>
            <color indexed="81"/>
            <rFont val="Tahoma"/>
            <charset val="1"/>
          </rPr>
          <t xml:space="preserve">
Source: Moog FY2012 10-K, Note 17 Segments</t>
        </r>
      </text>
    </comment>
    <comment ref="AZ35" authorId="0" shapeId="0" xr:uid="{E3495640-5B40-4867-B871-94309F8DF8F5}">
      <text>
        <r>
          <rPr>
            <b/>
            <sz val="9"/>
            <color indexed="81"/>
            <rFont val="Tahoma"/>
            <charset val="1"/>
          </rPr>
          <t>User:</t>
        </r>
        <r>
          <rPr>
            <sz val="9"/>
            <color indexed="81"/>
            <rFont val="Tahoma"/>
            <charset val="1"/>
          </rPr>
          <t xml:space="preserve">
Source: Moog FY2012 10-K, Note 17 Segments</t>
        </r>
      </text>
    </comment>
    <comment ref="BA35" authorId="0" shapeId="0" xr:uid="{C8450B88-ADDF-4029-83C2-5BC01308D531}">
      <text>
        <r>
          <rPr>
            <b/>
            <sz val="9"/>
            <color indexed="81"/>
            <rFont val="Tahoma"/>
            <charset val="1"/>
          </rPr>
          <t>User:</t>
        </r>
        <r>
          <rPr>
            <sz val="9"/>
            <color indexed="81"/>
            <rFont val="Tahoma"/>
            <charset val="1"/>
          </rPr>
          <t xml:space="preserve">
Source: Moog FY2012 10-K, Note 17 Segments</t>
        </r>
      </text>
    </comment>
    <comment ref="BB35" authorId="0" shapeId="0" xr:uid="{2D3EBFA7-27E9-405B-8AB4-A406EA08B05B}">
      <text>
        <r>
          <rPr>
            <b/>
            <sz val="9"/>
            <color indexed="81"/>
            <rFont val="Tahoma"/>
            <charset val="1"/>
          </rPr>
          <t>User:</t>
        </r>
        <r>
          <rPr>
            <sz val="9"/>
            <color indexed="81"/>
            <rFont val="Tahoma"/>
            <charset val="1"/>
          </rPr>
          <t xml:space="preserve">
Source: Moog FY2012 10-K, Note 17 Segments</t>
        </r>
      </text>
    </comment>
    <comment ref="BC35" authorId="0" shapeId="0" xr:uid="{1C26D876-7AB2-480B-817C-6150A21B5603}">
      <text>
        <r>
          <rPr>
            <b/>
            <sz val="9"/>
            <color indexed="81"/>
            <rFont val="Tahoma"/>
            <charset val="1"/>
          </rPr>
          <t>User:</t>
        </r>
        <r>
          <rPr>
            <sz val="9"/>
            <color indexed="81"/>
            <rFont val="Tahoma"/>
            <charset val="1"/>
          </rPr>
          <t xml:space="preserve">
Source: Moog FY2012 10-K, Note 17 Segments</t>
        </r>
      </text>
    </comment>
    <comment ref="BD35" authorId="0" shapeId="0" xr:uid="{C0C433AA-C28C-4555-9720-A646B0629C9F}">
      <text>
        <r>
          <rPr>
            <b/>
            <sz val="9"/>
            <color indexed="81"/>
            <rFont val="Tahoma"/>
            <charset val="1"/>
          </rPr>
          <t>User:</t>
        </r>
        <r>
          <rPr>
            <sz val="9"/>
            <color indexed="81"/>
            <rFont val="Tahoma"/>
            <charset val="1"/>
          </rPr>
          <t xml:space="preserve">
Source: Moog FY2012 10-K, Note 17 Segments</t>
        </r>
      </text>
    </comment>
    <comment ref="BE35" authorId="0" shapeId="0" xr:uid="{FC688C2E-A980-4F1B-9113-1626740D4D0D}">
      <text>
        <r>
          <rPr>
            <b/>
            <sz val="9"/>
            <color indexed="81"/>
            <rFont val="Tahoma"/>
            <charset val="1"/>
          </rPr>
          <t>User:</t>
        </r>
        <r>
          <rPr>
            <sz val="9"/>
            <color indexed="81"/>
            <rFont val="Tahoma"/>
            <charset val="1"/>
          </rPr>
          <t xml:space="preserve">
Source: Moog FY2012 10-K, Note 17 Segments</t>
        </r>
      </text>
    </comment>
    <comment ref="BF35" authorId="0" shapeId="0" xr:uid="{355CC64F-D9D1-427E-9F9E-3141D980D4AA}">
      <text>
        <r>
          <rPr>
            <b/>
            <sz val="9"/>
            <color indexed="81"/>
            <rFont val="Tahoma"/>
            <charset val="1"/>
          </rPr>
          <t>User:</t>
        </r>
        <r>
          <rPr>
            <sz val="9"/>
            <color indexed="81"/>
            <rFont val="Tahoma"/>
            <charset val="1"/>
          </rPr>
          <t xml:space="preserve">
Source: Moog FY2012 10-K, Note 17 Segments</t>
        </r>
      </text>
    </comment>
    <comment ref="BG35" authorId="0" shapeId="0" xr:uid="{6682B5E6-926D-416A-A4CA-35A329AA6974}">
      <text>
        <r>
          <rPr>
            <b/>
            <sz val="9"/>
            <color indexed="81"/>
            <rFont val="Tahoma"/>
            <charset val="1"/>
          </rPr>
          <t>User:</t>
        </r>
        <r>
          <rPr>
            <sz val="9"/>
            <color indexed="81"/>
            <rFont val="Tahoma"/>
            <charset val="1"/>
          </rPr>
          <t xml:space="preserve">
Source: Moog FY2012 10-K, Note 17 Segments</t>
        </r>
      </text>
    </comment>
    <comment ref="BH35" authorId="0" shapeId="0" xr:uid="{229A50D3-AF7D-49AF-815B-B7E80C3FCEB8}">
      <text>
        <r>
          <rPr>
            <b/>
            <sz val="9"/>
            <color indexed="81"/>
            <rFont val="Tahoma"/>
            <charset val="1"/>
          </rPr>
          <t>User:</t>
        </r>
        <r>
          <rPr>
            <sz val="9"/>
            <color indexed="81"/>
            <rFont val="Tahoma"/>
            <charset val="1"/>
          </rPr>
          <t xml:space="preserve">
Source: Moog FY2012 10-K, Note 17 Segments</t>
        </r>
      </text>
    </comment>
    <comment ref="BI35" authorId="0" shapeId="0" xr:uid="{955D0BBA-C24E-48C9-B069-443F9DC537C4}">
      <text>
        <r>
          <rPr>
            <b/>
            <sz val="9"/>
            <color indexed="81"/>
            <rFont val="Tahoma"/>
            <charset val="1"/>
          </rPr>
          <t>User:</t>
        </r>
        <r>
          <rPr>
            <sz val="9"/>
            <color indexed="81"/>
            <rFont val="Tahoma"/>
            <charset val="1"/>
          </rPr>
          <t xml:space="preserve">
Source: Moog FY2012 10-K, Note 17 Segments</t>
        </r>
      </text>
    </comment>
    <comment ref="BJ35" authorId="0" shapeId="0" xr:uid="{3DCC1582-62DD-4C73-9346-AFE866B6ABE7}">
      <text>
        <r>
          <rPr>
            <b/>
            <sz val="9"/>
            <color indexed="81"/>
            <rFont val="Tahoma"/>
            <charset val="1"/>
          </rPr>
          <t>User:</t>
        </r>
        <r>
          <rPr>
            <sz val="9"/>
            <color indexed="81"/>
            <rFont val="Tahoma"/>
            <charset val="1"/>
          </rPr>
          <t xml:space="preserve">
Source: Moog FY2012 10-K, Note 17 Segments</t>
        </r>
      </text>
    </comment>
    <comment ref="G39" authorId="0" shapeId="0" xr:uid="{F6F30D66-AC30-49DC-8AAE-1CDAA48BD75A}">
      <text>
        <r>
          <rPr>
            <b/>
            <sz val="9"/>
            <color indexed="81"/>
            <rFont val="Tahoma"/>
            <charset val="1"/>
          </rPr>
          <t>User:</t>
        </r>
        <r>
          <rPr>
            <sz val="9"/>
            <color indexed="81"/>
            <rFont val="Tahoma"/>
            <charset val="1"/>
          </rPr>
          <t xml:space="preserve">
Source: Moog FY2012 10-K, Note 17 Segments</t>
        </r>
      </text>
    </comment>
    <comment ref="H39" authorId="0" shapeId="0" xr:uid="{0D91E6E3-B5E5-43A8-8F16-F5A4F858E408}">
      <text>
        <r>
          <rPr>
            <b/>
            <sz val="9"/>
            <color indexed="81"/>
            <rFont val="Tahoma"/>
            <charset val="1"/>
          </rPr>
          <t>User:</t>
        </r>
        <r>
          <rPr>
            <sz val="9"/>
            <color indexed="81"/>
            <rFont val="Tahoma"/>
            <charset val="1"/>
          </rPr>
          <t xml:space="preserve">
Source: Moog FY2012 10-K, Note 17 Segments</t>
        </r>
      </text>
    </comment>
    <comment ref="I39" authorId="0" shapeId="0" xr:uid="{A70EA7BA-036B-49BF-906F-DB1FF3AD64F5}">
      <text>
        <r>
          <rPr>
            <b/>
            <sz val="9"/>
            <color indexed="81"/>
            <rFont val="Tahoma"/>
            <charset val="1"/>
          </rPr>
          <t>User:</t>
        </r>
        <r>
          <rPr>
            <sz val="9"/>
            <color indexed="81"/>
            <rFont val="Tahoma"/>
            <charset val="1"/>
          </rPr>
          <t xml:space="preserve">
Source: Moog FY2012 10-K, Note 17 Segments</t>
        </r>
      </text>
    </comment>
    <comment ref="J39" authorId="0" shapeId="0" xr:uid="{5DBFE687-FC9D-49DD-B95A-29688767B040}">
      <text>
        <r>
          <rPr>
            <b/>
            <sz val="9"/>
            <color indexed="81"/>
            <rFont val="Tahoma"/>
            <charset val="1"/>
          </rPr>
          <t>User:</t>
        </r>
        <r>
          <rPr>
            <sz val="9"/>
            <color indexed="81"/>
            <rFont val="Tahoma"/>
            <charset val="1"/>
          </rPr>
          <t xml:space="preserve">
Source: Moog FY2012 10-K, Note 17 Segments</t>
        </r>
      </text>
    </comment>
    <comment ref="K39" authorId="0" shapeId="0" xr:uid="{B79CCAC1-8D4B-4E65-AE52-E7DB805EE9AF}">
      <text>
        <r>
          <rPr>
            <b/>
            <sz val="9"/>
            <color indexed="81"/>
            <rFont val="Tahoma"/>
            <charset val="1"/>
          </rPr>
          <t>User:</t>
        </r>
        <r>
          <rPr>
            <sz val="9"/>
            <color indexed="81"/>
            <rFont val="Tahoma"/>
            <charset val="1"/>
          </rPr>
          <t xml:space="preserve">
Source: Moog FY2012 10-K, Note 17 Segments</t>
        </r>
      </text>
    </comment>
    <comment ref="L39" authorId="0" shapeId="0" xr:uid="{666F3997-9280-4D83-A88F-061C1A036F55}">
      <text>
        <r>
          <rPr>
            <b/>
            <sz val="9"/>
            <color indexed="81"/>
            <rFont val="Tahoma"/>
            <charset val="1"/>
          </rPr>
          <t>User:</t>
        </r>
        <r>
          <rPr>
            <sz val="9"/>
            <color indexed="81"/>
            <rFont val="Tahoma"/>
            <charset val="1"/>
          </rPr>
          <t xml:space="preserve">
Source: Moog FY2012 10-K, Note 17 Segments</t>
        </r>
      </text>
    </comment>
    <comment ref="M39" authorId="0" shapeId="0" xr:uid="{35FF6D25-E5E3-4315-97C8-DFE349A137ED}">
      <text>
        <r>
          <rPr>
            <b/>
            <sz val="9"/>
            <color indexed="81"/>
            <rFont val="Tahoma"/>
            <charset val="1"/>
          </rPr>
          <t>User:</t>
        </r>
        <r>
          <rPr>
            <sz val="9"/>
            <color indexed="81"/>
            <rFont val="Tahoma"/>
            <charset val="1"/>
          </rPr>
          <t xml:space="preserve">
Source: Moog FY2012 10-K, Note 17 Segments</t>
        </r>
      </text>
    </comment>
    <comment ref="N39" authorId="0" shapeId="0" xr:uid="{72D6E03E-4AA7-4C7A-B605-75560D223757}">
      <text>
        <r>
          <rPr>
            <b/>
            <sz val="9"/>
            <color indexed="81"/>
            <rFont val="Tahoma"/>
            <charset val="1"/>
          </rPr>
          <t>User:</t>
        </r>
        <r>
          <rPr>
            <sz val="9"/>
            <color indexed="81"/>
            <rFont val="Tahoma"/>
            <charset val="1"/>
          </rPr>
          <t xml:space="preserve">
Source: Moog FY2012 10-K, Note 17 Segments</t>
        </r>
      </text>
    </comment>
    <comment ref="O39" authorId="0" shapeId="0" xr:uid="{3E6A050D-8A11-4D2C-9D42-8FB0B17C25BD}">
      <text>
        <r>
          <rPr>
            <b/>
            <sz val="9"/>
            <color indexed="81"/>
            <rFont val="Tahoma"/>
            <charset val="1"/>
          </rPr>
          <t>User:</t>
        </r>
        <r>
          <rPr>
            <sz val="9"/>
            <color indexed="81"/>
            <rFont val="Tahoma"/>
            <charset val="1"/>
          </rPr>
          <t xml:space="preserve">
Source: Moog FY2012 10-K, Note 17 Segments</t>
        </r>
      </text>
    </comment>
    <comment ref="P39" authorId="0" shapeId="0" xr:uid="{56790A22-CF3D-41B9-8D67-C56F2B79CEC8}">
      <text>
        <r>
          <rPr>
            <b/>
            <sz val="9"/>
            <color indexed="81"/>
            <rFont val="Tahoma"/>
            <charset val="1"/>
          </rPr>
          <t>User:</t>
        </r>
        <r>
          <rPr>
            <sz val="9"/>
            <color indexed="81"/>
            <rFont val="Tahoma"/>
            <charset val="1"/>
          </rPr>
          <t xml:space="preserve">
Source: Moog FY2012 10-K, Note 17 Segments</t>
        </r>
      </text>
    </comment>
    <comment ref="Q39" authorId="0" shapeId="0" xr:uid="{AE604145-25BE-4123-8449-0A0B633AD355}">
      <text>
        <r>
          <rPr>
            <b/>
            <sz val="9"/>
            <color indexed="81"/>
            <rFont val="Tahoma"/>
            <charset val="1"/>
          </rPr>
          <t>User:</t>
        </r>
        <r>
          <rPr>
            <sz val="9"/>
            <color indexed="81"/>
            <rFont val="Tahoma"/>
            <charset val="1"/>
          </rPr>
          <t xml:space="preserve">
Source: Moog FY2012 10-K, Note 17 Segments</t>
        </r>
      </text>
    </comment>
    <comment ref="R39" authorId="0" shapeId="0" xr:uid="{83797151-E660-4476-97C6-0E6268378B1C}">
      <text>
        <r>
          <rPr>
            <b/>
            <sz val="9"/>
            <color indexed="81"/>
            <rFont val="Tahoma"/>
            <charset val="1"/>
          </rPr>
          <t>User:</t>
        </r>
        <r>
          <rPr>
            <sz val="9"/>
            <color indexed="81"/>
            <rFont val="Tahoma"/>
            <charset val="1"/>
          </rPr>
          <t xml:space="preserve">
Source: Moog FY2012 10-K, Note 17 Segments</t>
        </r>
      </text>
    </comment>
    <comment ref="S39" authorId="0" shapeId="0" xr:uid="{CB4DA03E-8793-450C-9D71-A668D560D061}">
      <text>
        <r>
          <rPr>
            <b/>
            <sz val="9"/>
            <color indexed="81"/>
            <rFont val="Tahoma"/>
            <charset val="1"/>
          </rPr>
          <t>User:</t>
        </r>
        <r>
          <rPr>
            <sz val="9"/>
            <color indexed="81"/>
            <rFont val="Tahoma"/>
            <charset val="1"/>
          </rPr>
          <t xml:space="preserve">
Source: Moog FY2012 10-K, Note 17 Segments</t>
        </r>
      </text>
    </comment>
    <comment ref="T39" authorId="0" shapeId="0" xr:uid="{05B4563B-1F41-4A35-8D42-ED88DD089763}">
      <text>
        <r>
          <rPr>
            <b/>
            <sz val="9"/>
            <color indexed="81"/>
            <rFont val="Tahoma"/>
            <charset val="1"/>
          </rPr>
          <t>User:</t>
        </r>
        <r>
          <rPr>
            <sz val="9"/>
            <color indexed="81"/>
            <rFont val="Tahoma"/>
            <charset val="1"/>
          </rPr>
          <t xml:space="preserve">
Source: Moog FY2012 10-K, Note 17 Segments</t>
        </r>
      </text>
    </comment>
    <comment ref="U39" authorId="0" shapeId="0" xr:uid="{E4A4192F-D01B-4086-B130-9DA0FBA542BA}">
      <text>
        <r>
          <rPr>
            <b/>
            <sz val="9"/>
            <color indexed="81"/>
            <rFont val="Tahoma"/>
            <charset val="1"/>
          </rPr>
          <t>User:</t>
        </r>
        <r>
          <rPr>
            <sz val="9"/>
            <color indexed="81"/>
            <rFont val="Tahoma"/>
            <charset val="1"/>
          </rPr>
          <t xml:space="preserve">
Source: Moog FY2012 10-K, Note 17 Segments</t>
        </r>
      </text>
    </comment>
    <comment ref="V39" authorId="0" shapeId="0" xr:uid="{432B9072-DBF3-4F5B-8809-B782447E1DC4}">
      <text>
        <r>
          <rPr>
            <b/>
            <sz val="9"/>
            <color indexed="81"/>
            <rFont val="Tahoma"/>
            <charset val="1"/>
          </rPr>
          <t>User:</t>
        </r>
        <r>
          <rPr>
            <sz val="9"/>
            <color indexed="81"/>
            <rFont val="Tahoma"/>
            <charset val="1"/>
          </rPr>
          <t xml:space="preserve">
Source: Moog FY2012 10-K, Note 17 Segments</t>
        </r>
      </text>
    </comment>
    <comment ref="W39" authorId="0" shapeId="0" xr:uid="{32298EA9-9B1F-46DA-9E4D-6DEE8050736B}">
      <text>
        <r>
          <rPr>
            <b/>
            <sz val="9"/>
            <color indexed="81"/>
            <rFont val="Tahoma"/>
            <charset val="1"/>
          </rPr>
          <t>User:</t>
        </r>
        <r>
          <rPr>
            <sz val="9"/>
            <color indexed="81"/>
            <rFont val="Tahoma"/>
            <charset val="1"/>
          </rPr>
          <t xml:space="preserve">
Source: Moog FY2012 10-K, Note 17 Segments</t>
        </r>
      </text>
    </comment>
    <comment ref="X39" authorId="0" shapeId="0" xr:uid="{F20A8166-A10A-4294-B580-D0B7BC962338}">
      <text>
        <r>
          <rPr>
            <b/>
            <sz val="9"/>
            <color indexed="81"/>
            <rFont val="Tahoma"/>
            <charset val="1"/>
          </rPr>
          <t>User:</t>
        </r>
        <r>
          <rPr>
            <sz val="9"/>
            <color indexed="81"/>
            <rFont val="Tahoma"/>
            <charset val="1"/>
          </rPr>
          <t xml:space="preserve">
Source: Moog FY2012 10-K, Note 17 Segments</t>
        </r>
      </text>
    </comment>
    <comment ref="Y39" authorId="0" shapeId="0" xr:uid="{F73A51B2-C7DC-4352-AE72-F5CCC4426974}">
      <text>
        <r>
          <rPr>
            <b/>
            <sz val="9"/>
            <color indexed="81"/>
            <rFont val="Tahoma"/>
            <charset val="1"/>
          </rPr>
          <t>User:</t>
        </r>
        <r>
          <rPr>
            <sz val="9"/>
            <color indexed="81"/>
            <rFont val="Tahoma"/>
            <charset val="1"/>
          </rPr>
          <t xml:space="preserve">
Source: Moog FY2012 10-K, Note 17 Segments</t>
        </r>
      </text>
    </comment>
    <comment ref="Z39" authorId="0" shapeId="0" xr:uid="{9521960B-430E-4767-BCEE-B4630A06D6F1}">
      <text>
        <r>
          <rPr>
            <b/>
            <sz val="9"/>
            <color indexed="81"/>
            <rFont val="Tahoma"/>
            <charset val="1"/>
          </rPr>
          <t>User:</t>
        </r>
        <r>
          <rPr>
            <sz val="9"/>
            <color indexed="81"/>
            <rFont val="Tahoma"/>
            <charset val="1"/>
          </rPr>
          <t xml:space="preserve">
Source: Moog FY2012 10-K, Note 17 Segments</t>
        </r>
      </text>
    </comment>
    <comment ref="AA39" authorId="0" shapeId="0" xr:uid="{32B01BC2-F621-492E-87FF-D93F9B732D97}">
      <text>
        <r>
          <rPr>
            <b/>
            <sz val="9"/>
            <color indexed="81"/>
            <rFont val="Tahoma"/>
            <charset val="1"/>
          </rPr>
          <t>User:</t>
        </r>
        <r>
          <rPr>
            <sz val="9"/>
            <color indexed="81"/>
            <rFont val="Tahoma"/>
            <charset val="1"/>
          </rPr>
          <t xml:space="preserve">
Source: Moog FY2012 10-K, Note 17 Segments</t>
        </r>
      </text>
    </comment>
    <comment ref="AB39" authorId="0" shapeId="0" xr:uid="{9EC08B7C-6A4E-446E-8F9A-67058BD88808}">
      <text>
        <r>
          <rPr>
            <b/>
            <sz val="9"/>
            <color indexed="81"/>
            <rFont val="Tahoma"/>
            <charset val="1"/>
          </rPr>
          <t>User:</t>
        </r>
        <r>
          <rPr>
            <sz val="9"/>
            <color indexed="81"/>
            <rFont val="Tahoma"/>
            <charset val="1"/>
          </rPr>
          <t xml:space="preserve">
Source: Moog FY2012 10-K, Note 17 Segments</t>
        </r>
      </text>
    </comment>
    <comment ref="AC39" authorId="0" shapeId="0" xr:uid="{574D07B9-73D5-43A5-BC21-21DACF501ECF}">
      <text>
        <r>
          <rPr>
            <b/>
            <sz val="9"/>
            <color indexed="81"/>
            <rFont val="Tahoma"/>
            <charset val="1"/>
          </rPr>
          <t>User:</t>
        </r>
        <r>
          <rPr>
            <sz val="9"/>
            <color indexed="81"/>
            <rFont val="Tahoma"/>
            <charset val="1"/>
          </rPr>
          <t xml:space="preserve">
Source: Moog FY2012 10-K, Note 17 Segments</t>
        </r>
      </text>
    </comment>
    <comment ref="AD39" authorId="0" shapeId="0" xr:uid="{A840730C-2A73-405E-8E1E-E2D4E1B8D54A}">
      <text>
        <r>
          <rPr>
            <b/>
            <sz val="9"/>
            <color indexed="81"/>
            <rFont val="Tahoma"/>
            <charset val="1"/>
          </rPr>
          <t>User:</t>
        </r>
        <r>
          <rPr>
            <sz val="9"/>
            <color indexed="81"/>
            <rFont val="Tahoma"/>
            <charset val="1"/>
          </rPr>
          <t xml:space="preserve">
Source: Moog FY2012 10-K, Note 17 Segments</t>
        </r>
      </text>
    </comment>
    <comment ref="AE39" authorId="0" shapeId="0" xr:uid="{B4B95558-89C2-4183-A59D-E8D941F6342D}">
      <text>
        <r>
          <rPr>
            <b/>
            <sz val="9"/>
            <color indexed="81"/>
            <rFont val="Tahoma"/>
            <charset val="1"/>
          </rPr>
          <t>User:</t>
        </r>
        <r>
          <rPr>
            <sz val="9"/>
            <color indexed="81"/>
            <rFont val="Tahoma"/>
            <charset val="1"/>
          </rPr>
          <t xml:space="preserve">
Source: Moog FY2012 10-K, Note 17 Segments</t>
        </r>
      </text>
    </comment>
    <comment ref="AF39" authorId="0" shapeId="0" xr:uid="{A6B675E3-A627-4C49-987B-C47108C9B8E5}">
      <text>
        <r>
          <rPr>
            <b/>
            <sz val="9"/>
            <color indexed="81"/>
            <rFont val="Tahoma"/>
            <charset val="1"/>
          </rPr>
          <t>User:</t>
        </r>
        <r>
          <rPr>
            <sz val="9"/>
            <color indexed="81"/>
            <rFont val="Tahoma"/>
            <charset val="1"/>
          </rPr>
          <t xml:space="preserve">
Source: Moog FY2012 10-K, Note 17 Segments</t>
        </r>
      </text>
    </comment>
    <comment ref="AG39" authorId="0" shapeId="0" xr:uid="{F23D28F1-D7E0-4A73-93D0-E03408BE7497}">
      <text>
        <r>
          <rPr>
            <b/>
            <sz val="9"/>
            <color indexed="81"/>
            <rFont val="Tahoma"/>
            <charset val="1"/>
          </rPr>
          <t>User:</t>
        </r>
        <r>
          <rPr>
            <sz val="9"/>
            <color indexed="81"/>
            <rFont val="Tahoma"/>
            <charset val="1"/>
          </rPr>
          <t xml:space="preserve">
Source: Moog FY2012 10-K, Note 17 Segments</t>
        </r>
      </text>
    </comment>
    <comment ref="AH39" authorId="0" shapeId="0" xr:uid="{39236E29-C85E-4EFC-A380-D1FE7E7C2B05}">
      <text>
        <r>
          <rPr>
            <b/>
            <sz val="9"/>
            <color indexed="81"/>
            <rFont val="Tahoma"/>
            <charset val="1"/>
          </rPr>
          <t>User:</t>
        </r>
        <r>
          <rPr>
            <sz val="9"/>
            <color indexed="81"/>
            <rFont val="Tahoma"/>
            <charset val="1"/>
          </rPr>
          <t xml:space="preserve">
Source: Moog FY2012 10-K, Note 17 Segments</t>
        </r>
      </text>
    </comment>
    <comment ref="AI39" authorId="0" shapeId="0" xr:uid="{E8ECF056-1330-4B41-971E-F25F335B17C8}">
      <text>
        <r>
          <rPr>
            <b/>
            <sz val="9"/>
            <color indexed="81"/>
            <rFont val="Tahoma"/>
            <charset val="1"/>
          </rPr>
          <t>User:</t>
        </r>
        <r>
          <rPr>
            <sz val="9"/>
            <color indexed="81"/>
            <rFont val="Tahoma"/>
            <charset val="1"/>
          </rPr>
          <t xml:space="preserve">
Source: Moog FY2012 10-K, Note 17 Segments</t>
        </r>
      </text>
    </comment>
    <comment ref="AJ39" authorId="0" shapeId="0" xr:uid="{12AA8A19-37E5-4E44-906A-BED4996607DF}">
      <text>
        <r>
          <rPr>
            <b/>
            <sz val="9"/>
            <color indexed="81"/>
            <rFont val="Tahoma"/>
            <charset val="1"/>
          </rPr>
          <t>User:</t>
        </r>
        <r>
          <rPr>
            <sz val="9"/>
            <color indexed="81"/>
            <rFont val="Tahoma"/>
            <charset val="1"/>
          </rPr>
          <t xml:space="preserve">
Source: Moog FY2012 10-K, Note 17 Segments</t>
        </r>
      </text>
    </comment>
    <comment ref="AK39" authorId="0" shapeId="0" xr:uid="{6B3DC7AC-9DCA-4718-8499-E5A49E65973C}">
      <text>
        <r>
          <rPr>
            <b/>
            <sz val="9"/>
            <color indexed="81"/>
            <rFont val="Tahoma"/>
            <charset val="1"/>
          </rPr>
          <t>User:</t>
        </r>
        <r>
          <rPr>
            <sz val="9"/>
            <color indexed="81"/>
            <rFont val="Tahoma"/>
            <charset val="1"/>
          </rPr>
          <t xml:space="preserve">
Source: Moog FY2012 10-K, Note 17 Segments</t>
        </r>
      </text>
    </comment>
    <comment ref="AL39" authorId="0" shapeId="0" xr:uid="{E0014E42-7E14-4F76-B4F4-E5D4E2D6BFD1}">
      <text>
        <r>
          <rPr>
            <b/>
            <sz val="9"/>
            <color indexed="81"/>
            <rFont val="Tahoma"/>
            <charset val="1"/>
          </rPr>
          <t>User:</t>
        </r>
        <r>
          <rPr>
            <sz val="9"/>
            <color indexed="81"/>
            <rFont val="Tahoma"/>
            <charset val="1"/>
          </rPr>
          <t xml:space="preserve">
Source: Moog FY2012 10-K, Note 17 Segments</t>
        </r>
      </text>
    </comment>
    <comment ref="AM39" authorId="0" shapeId="0" xr:uid="{797CABE5-DE34-423B-BE7C-1FEBCAC51AC5}">
      <text>
        <r>
          <rPr>
            <b/>
            <sz val="9"/>
            <color indexed="81"/>
            <rFont val="Tahoma"/>
            <charset val="1"/>
          </rPr>
          <t>User:</t>
        </r>
        <r>
          <rPr>
            <sz val="9"/>
            <color indexed="81"/>
            <rFont val="Tahoma"/>
            <charset val="1"/>
          </rPr>
          <t xml:space="preserve">
Source: Moog FY2012 10-K, Note 17 Segments</t>
        </r>
      </text>
    </comment>
    <comment ref="AN39" authorId="0" shapeId="0" xr:uid="{655A1E61-26D4-47E6-9921-AA114B45B1C3}">
      <text>
        <r>
          <rPr>
            <b/>
            <sz val="9"/>
            <color indexed="81"/>
            <rFont val="Tahoma"/>
            <charset val="1"/>
          </rPr>
          <t>User:</t>
        </r>
        <r>
          <rPr>
            <sz val="9"/>
            <color indexed="81"/>
            <rFont val="Tahoma"/>
            <charset val="1"/>
          </rPr>
          <t xml:space="preserve">
Source: Moog FY2012 10-K, Note 17 Segments</t>
        </r>
      </text>
    </comment>
    <comment ref="AO39" authorId="0" shapeId="0" xr:uid="{93FCE3FB-6AA2-47F9-BACC-871DA52B5C47}">
      <text>
        <r>
          <rPr>
            <b/>
            <sz val="9"/>
            <color indexed="81"/>
            <rFont val="Tahoma"/>
            <charset val="1"/>
          </rPr>
          <t>User:</t>
        </r>
        <r>
          <rPr>
            <sz val="9"/>
            <color indexed="81"/>
            <rFont val="Tahoma"/>
            <charset val="1"/>
          </rPr>
          <t xml:space="preserve">
Source: Moog FY2012 10-K, Note 17 Segments</t>
        </r>
      </text>
    </comment>
    <comment ref="AP39" authorId="0" shapeId="0" xr:uid="{632EBECE-2CD6-4D12-AB7D-9708E7890646}">
      <text>
        <r>
          <rPr>
            <b/>
            <sz val="9"/>
            <color indexed="81"/>
            <rFont val="Tahoma"/>
            <charset val="1"/>
          </rPr>
          <t>User:</t>
        </r>
        <r>
          <rPr>
            <sz val="9"/>
            <color indexed="81"/>
            <rFont val="Tahoma"/>
            <charset val="1"/>
          </rPr>
          <t xml:space="preserve">
Source: Moog FY2012 10-K, Note 17 Segments</t>
        </r>
      </text>
    </comment>
    <comment ref="AQ39" authorId="0" shapeId="0" xr:uid="{DD92B424-A462-4283-89D0-07F0F612439C}">
      <text>
        <r>
          <rPr>
            <b/>
            <sz val="9"/>
            <color indexed="81"/>
            <rFont val="Tahoma"/>
            <charset val="1"/>
          </rPr>
          <t>User:</t>
        </r>
        <r>
          <rPr>
            <sz val="9"/>
            <color indexed="81"/>
            <rFont val="Tahoma"/>
            <charset val="1"/>
          </rPr>
          <t xml:space="preserve">
Source: Moog FY2012 10-K, Note 17 Segments</t>
        </r>
      </text>
    </comment>
    <comment ref="AR39" authorId="0" shapeId="0" xr:uid="{BE9D47ED-8998-4D8F-B0BE-3AAA62EC743F}">
      <text>
        <r>
          <rPr>
            <b/>
            <sz val="9"/>
            <color indexed="81"/>
            <rFont val="Tahoma"/>
            <charset val="1"/>
          </rPr>
          <t>User:</t>
        </r>
        <r>
          <rPr>
            <sz val="9"/>
            <color indexed="81"/>
            <rFont val="Tahoma"/>
            <charset val="1"/>
          </rPr>
          <t xml:space="preserve">
Source: Moog FY2012 10-K, Note 17 Segments</t>
        </r>
      </text>
    </comment>
    <comment ref="AS39" authorId="0" shapeId="0" xr:uid="{A1B0E254-4FB4-4F25-B385-86E7E56AFE51}">
      <text>
        <r>
          <rPr>
            <b/>
            <sz val="9"/>
            <color indexed="81"/>
            <rFont val="Tahoma"/>
            <charset val="1"/>
          </rPr>
          <t>User:</t>
        </r>
        <r>
          <rPr>
            <sz val="9"/>
            <color indexed="81"/>
            <rFont val="Tahoma"/>
            <charset val="1"/>
          </rPr>
          <t xml:space="preserve">
Source: Moog FY2012 10-K, Note 17 Segments</t>
        </r>
      </text>
    </comment>
    <comment ref="AT39" authorId="0" shapeId="0" xr:uid="{0838689C-AFED-4D72-8246-4D80BC4A3111}">
      <text>
        <r>
          <rPr>
            <b/>
            <sz val="9"/>
            <color indexed="81"/>
            <rFont val="Tahoma"/>
            <charset val="1"/>
          </rPr>
          <t>User:</t>
        </r>
        <r>
          <rPr>
            <sz val="9"/>
            <color indexed="81"/>
            <rFont val="Tahoma"/>
            <charset val="1"/>
          </rPr>
          <t xml:space="preserve">
Source: Moog FY2012 10-K, Note 17 Segments</t>
        </r>
      </text>
    </comment>
    <comment ref="AU39" authorId="0" shapeId="0" xr:uid="{89723361-13B5-49DF-982A-2E0982934849}">
      <text>
        <r>
          <rPr>
            <b/>
            <sz val="9"/>
            <color indexed="81"/>
            <rFont val="Tahoma"/>
            <charset val="1"/>
          </rPr>
          <t>User:</t>
        </r>
        <r>
          <rPr>
            <sz val="9"/>
            <color indexed="81"/>
            <rFont val="Tahoma"/>
            <charset val="1"/>
          </rPr>
          <t xml:space="preserve">
Source: Moog FY2012 10-K, Note 17 Segments</t>
        </r>
      </text>
    </comment>
    <comment ref="AV39" authorId="0" shapeId="0" xr:uid="{5B39CEBB-BFC8-425F-86C6-76ABF3C82CD0}">
      <text>
        <r>
          <rPr>
            <b/>
            <sz val="9"/>
            <color indexed="81"/>
            <rFont val="Tahoma"/>
            <charset val="1"/>
          </rPr>
          <t>User:</t>
        </r>
        <r>
          <rPr>
            <sz val="9"/>
            <color indexed="81"/>
            <rFont val="Tahoma"/>
            <charset val="1"/>
          </rPr>
          <t xml:space="preserve">
Source: Moog FY2012 10-K, Note 17 Segments</t>
        </r>
      </text>
    </comment>
    <comment ref="AW39" authorId="0" shapeId="0" xr:uid="{36765FB1-674E-49E8-B123-CE1DA1262E3D}">
      <text>
        <r>
          <rPr>
            <b/>
            <sz val="9"/>
            <color indexed="81"/>
            <rFont val="Tahoma"/>
            <charset val="1"/>
          </rPr>
          <t>User:</t>
        </r>
        <r>
          <rPr>
            <sz val="9"/>
            <color indexed="81"/>
            <rFont val="Tahoma"/>
            <charset val="1"/>
          </rPr>
          <t xml:space="preserve">
Source: Moog FY2012 10-K, Note 17 Segments</t>
        </r>
      </text>
    </comment>
    <comment ref="AX39" authorId="0" shapeId="0" xr:uid="{04561832-D34F-499E-9511-B9BF3A96F4C0}">
      <text>
        <r>
          <rPr>
            <b/>
            <sz val="9"/>
            <color indexed="81"/>
            <rFont val="Tahoma"/>
            <charset val="1"/>
          </rPr>
          <t>User:</t>
        </r>
        <r>
          <rPr>
            <sz val="9"/>
            <color indexed="81"/>
            <rFont val="Tahoma"/>
            <charset val="1"/>
          </rPr>
          <t xml:space="preserve">
Source: Moog FY2012 10-K, Note 17 Segments</t>
        </r>
      </text>
    </comment>
    <comment ref="AY39" authorId="0" shapeId="0" xr:uid="{7BC2AEE1-B32B-49F5-9732-178FF321E772}">
      <text>
        <r>
          <rPr>
            <b/>
            <sz val="9"/>
            <color indexed="81"/>
            <rFont val="Tahoma"/>
            <charset val="1"/>
          </rPr>
          <t>User:</t>
        </r>
        <r>
          <rPr>
            <sz val="9"/>
            <color indexed="81"/>
            <rFont val="Tahoma"/>
            <charset val="1"/>
          </rPr>
          <t xml:space="preserve">
Source: Moog FY2012 10-K, Note 17 Segments</t>
        </r>
      </text>
    </comment>
    <comment ref="AZ39" authorId="0" shapeId="0" xr:uid="{E6CDF647-7C0E-499C-A214-68CC4E1A352F}">
      <text>
        <r>
          <rPr>
            <b/>
            <sz val="9"/>
            <color indexed="81"/>
            <rFont val="Tahoma"/>
            <charset val="1"/>
          </rPr>
          <t>User:</t>
        </r>
        <r>
          <rPr>
            <sz val="9"/>
            <color indexed="81"/>
            <rFont val="Tahoma"/>
            <charset val="1"/>
          </rPr>
          <t xml:space="preserve">
Source: Moog FY2012 10-K, Note 17 Segments</t>
        </r>
      </text>
    </comment>
    <comment ref="BA39" authorId="0" shapeId="0" xr:uid="{F0142ACF-ECD1-40AF-8A02-EB5F672E31C1}">
      <text>
        <r>
          <rPr>
            <b/>
            <sz val="9"/>
            <color indexed="81"/>
            <rFont val="Tahoma"/>
            <charset val="1"/>
          </rPr>
          <t>User:</t>
        </r>
        <r>
          <rPr>
            <sz val="9"/>
            <color indexed="81"/>
            <rFont val="Tahoma"/>
            <charset val="1"/>
          </rPr>
          <t xml:space="preserve">
Source: Moog FY2012 10-K, Note 17 Segments</t>
        </r>
      </text>
    </comment>
    <comment ref="BB39" authorId="0" shapeId="0" xr:uid="{CD81E9DC-625C-4A33-BC20-94576345CD0A}">
      <text>
        <r>
          <rPr>
            <b/>
            <sz val="9"/>
            <color indexed="81"/>
            <rFont val="Tahoma"/>
            <charset val="1"/>
          </rPr>
          <t>User:</t>
        </r>
        <r>
          <rPr>
            <sz val="9"/>
            <color indexed="81"/>
            <rFont val="Tahoma"/>
            <charset val="1"/>
          </rPr>
          <t xml:space="preserve">
Source: Moog FY2012 10-K, Note 17 Segments</t>
        </r>
      </text>
    </comment>
    <comment ref="BC39" authorId="0" shapeId="0" xr:uid="{050BAD6A-89E0-4EEC-A8D4-813C0FD1CE5B}">
      <text>
        <r>
          <rPr>
            <b/>
            <sz val="9"/>
            <color indexed="81"/>
            <rFont val="Tahoma"/>
            <charset val="1"/>
          </rPr>
          <t>User:</t>
        </r>
        <r>
          <rPr>
            <sz val="9"/>
            <color indexed="81"/>
            <rFont val="Tahoma"/>
            <charset val="1"/>
          </rPr>
          <t xml:space="preserve">
Source: Moog FY2012 10-K, Note 17 Segments</t>
        </r>
      </text>
    </comment>
    <comment ref="BD39" authorId="0" shapeId="0" xr:uid="{D235FA26-DE47-4E0A-A8C3-4595F9B5ABEB}">
      <text>
        <r>
          <rPr>
            <b/>
            <sz val="9"/>
            <color indexed="81"/>
            <rFont val="Tahoma"/>
            <charset val="1"/>
          </rPr>
          <t>User:</t>
        </r>
        <r>
          <rPr>
            <sz val="9"/>
            <color indexed="81"/>
            <rFont val="Tahoma"/>
            <charset val="1"/>
          </rPr>
          <t xml:space="preserve">
Source: Moog FY2012 10-K, Note 17 Segments</t>
        </r>
      </text>
    </comment>
    <comment ref="BE39" authorId="0" shapeId="0" xr:uid="{F8089254-AF62-49B2-BBEF-92BDE1F93B47}">
      <text>
        <r>
          <rPr>
            <b/>
            <sz val="9"/>
            <color indexed="81"/>
            <rFont val="Tahoma"/>
            <charset val="1"/>
          </rPr>
          <t>User:</t>
        </r>
        <r>
          <rPr>
            <sz val="9"/>
            <color indexed="81"/>
            <rFont val="Tahoma"/>
            <charset val="1"/>
          </rPr>
          <t xml:space="preserve">
Source: Moog FY2012 10-K, Note 17 Segments</t>
        </r>
      </text>
    </comment>
    <comment ref="BF39" authorId="0" shapeId="0" xr:uid="{740B795A-A8C8-460A-8D11-B11736E90257}">
      <text>
        <r>
          <rPr>
            <b/>
            <sz val="9"/>
            <color indexed="81"/>
            <rFont val="Tahoma"/>
            <charset val="1"/>
          </rPr>
          <t>User:</t>
        </r>
        <r>
          <rPr>
            <sz val="9"/>
            <color indexed="81"/>
            <rFont val="Tahoma"/>
            <charset val="1"/>
          </rPr>
          <t xml:space="preserve">
Source: Moog FY2012 10-K, Note 17 Segments</t>
        </r>
      </text>
    </comment>
    <comment ref="BG39" authorId="0" shapeId="0" xr:uid="{813AD763-2F2C-48DA-B78E-DB811BB4D97A}">
      <text>
        <r>
          <rPr>
            <b/>
            <sz val="9"/>
            <color indexed="81"/>
            <rFont val="Tahoma"/>
            <charset val="1"/>
          </rPr>
          <t>User:</t>
        </r>
        <r>
          <rPr>
            <sz val="9"/>
            <color indexed="81"/>
            <rFont val="Tahoma"/>
            <charset val="1"/>
          </rPr>
          <t xml:space="preserve">
Source: Moog FY2012 10-K, Note 17 Segments</t>
        </r>
      </text>
    </comment>
    <comment ref="BH39" authorId="0" shapeId="0" xr:uid="{2527920E-84F8-48F4-A23E-F69285DC31BF}">
      <text>
        <r>
          <rPr>
            <b/>
            <sz val="9"/>
            <color indexed="81"/>
            <rFont val="Tahoma"/>
            <charset val="1"/>
          </rPr>
          <t>User:</t>
        </r>
        <r>
          <rPr>
            <sz val="9"/>
            <color indexed="81"/>
            <rFont val="Tahoma"/>
            <charset val="1"/>
          </rPr>
          <t xml:space="preserve">
Source: Moog FY2012 10-K, Note 17 Segments</t>
        </r>
      </text>
    </comment>
    <comment ref="BI39" authorId="0" shapeId="0" xr:uid="{8888EEAA-6803-427A-AB4B-0280D1CB24A1}">
      <text>
        <r>
          <rPr>
            <b/>
            <sz val="9"/>
            <color indexed="81"/>
            <rFont val="Tahoma"/>
            <charset val="1"/>
          </rPr>
          <t>User:</t>
        </r>
        <r>
          <rPr>
            <sz val="9"/>
            <color indexed="81"/>
            <rFont val="Tahoma"/>
            <charset val="1"/>
          </rPr>
          <t xml:space="preserve">
Source: Moog FY2012 10-K, Note 17 Segments</t>
        </r>
      </text>
    </comment>
    <comment ref="BJ39" authorId="0" shapeId="0" xr:uid="{25BC0B2B-2113-4A12-94F5-B93A286EDA2B}">
      <text>
        <r>
          <rPr>
            <b/>
            <sz val="9"/>
            <color indexed="81"/>
            <rFont val="Tahoma"/>
            <charset val="1"/>
          </rPr>
          <t>User:</t>
        </r>
        <r>
          <rPr>
            <sz val="9"/>
            <color indexed="81"/>
            <rFont val="Tahoma"/>
            <charset val="1"/>
          </rPr>
          <t xml:space="preserve">
Source: Moog FY2012 10-K, Note 17 Segments</t>
        </r>
      </text>
    </comment>
    <comment ref="G40" authorId="0" shapeId="0" xr:uid="{D8217A52-3FB6-490B-96E5-A08C445A1A86}">
      <text>
        <r>
          <rPr>
            <b/>
            <sz val="9"/>
            <color indexed="81"/>
            <rFont val="Tahoma"/>
            <charset val="1"/>
          </rPr>
          <t>User:</t>
        </r>
        <r>
          <rPr>
            <sz val="9"/>
            <color indexed="81"/>
            <rFont val="Tahoma"/>
            <charset val="1"/>
          </rPr>
          <t xml:space="preserve">
Source: Moog FY2012 10-K, Note 17 Segments</t>
        </r>
      </text>
    </comment>
    <comment ref="H40" authorId="0" shapeId="0" xr:uid="{5D6F9644-C95A-458F-9F9C-B9F801FA26CC}">
      <text>
        <r>
          <rPr>
            <b/>
            <sz val="9"/>
            <color indexed="81"/>
            <rFont val="Tahoma"/>
            <charset val="1"/>
          </rPr>
          <t>User:</t>
        </r>
        <r>
          <rPr>
            <sz val="9"/>
            <color indexed="81"/>
            <rFont val="Tahoma"/>
            <charset val="1"/>
          </rPr>
          <t xml:space="preserve">
Source: Moog FY2012 10-K, Note 17 Segments</t>
        </r>
      </text>
    </comment>
    <comment ref="I40" authorId="0" shapeId="0" xr:uid="{2BA6EC4F-EAB6-4F7B-8543-5B6D67663730}">
      <text>
        <r>
          <rPr>
            <b/>
            <sz val="9"/>
            <color indexed="81"/>
            <rFont val="Tahoma"/>
            <charset val="1"/>
          </rPr>
          <t>User:</t>
        </r>
        <r>
          <rPr>
            <sz val="9"/>
            <color indexed="81"/>
            <rFont val="Tahoma"/>
            <charset val="1"/>
          </rPr>
          <t xml:space="preserve">
Source: Moog FY2012 10-K, Note 17 Segments</t>
        </r>
      </text>
    </comment>
    <comment ref="J40" authorId="0" shapeId="0" xr:uid="{09BF39BC-4DD7-4DCB-B7B0-54853EB40131}">
      <text>
        <r>
          <rPr>
            <b/>
            <sz val="9"/>
            <color indexed="81"/>
            <rFont val="Tahoma"/>
            <charset val="1"/>
          </rPr>
          <t>User:</t>
        </r>
        <r>
          <rPr>
            <sz val="9"/>
            <color indexed="81"/>
            <rFont val="Tahoma"/>
            <charset val="1"/>
          </rPr>
          <t xml:space="preserve">
Source: Moog FY2012 10-K, Note 17 Segments</t>
        </r>
      </text>
    </comment>
    <comment ref="K40" authorId="0" shapeId="0" xr:uid="{31C3EC97-D4CE-4DF1-9077-282942BFDD58}">
      <text>
        <r>
          <rPr>
            <b/>
            <sz val="9"/>
            <color indexed="81"/>
            <rFont val="Tahoma"/>
            <charset val="1"/>
          </rPr>
          <t>User:</t>
        </r>
        <r>
          <rPr>
            <sz val="9"/>
            <color indexed="81"/>
            <rFont val="Tahoma"/>
            <charset val="1"/>
          </rPr>
          <t xml:space="preserve">
Source: Moog FY2012 10-K, Note 17 Segments</t>
        </r>
      </text>
    </comment>
    <comment ref="L40" authorId="0" shapeId="0" xr:uid="{F448A7CE-FA21-4E09-87F4-572D1E32A4FC}">
      <text>
        <r>
          <rPr>
            <b/>
            <sz val="9"/>
            <color indexed="81"/>
            <rFont val="Tahoma"/>
            <charset val="1"/>
          </rPr>
          <t>User:</t>
        </r>
        <r>
          <rPr>
            <sz val="9"/>
            <color indexed="81"/>
            <rFont val="Tahoma"/>
            <charset val="1"/>
          </rPr>
          <t xml:space="preserve">
Source: Moog FY2012 10-K, Note 17 Segments</t>
        </r>
      </text>
    </comment>
    <comment ref="M40" authorId="0" shapeId="0" xr:uid="{530038A5-2A0D-422F-ACB1-050DF3CC80D5}">
      <text>
        <r>
          <rPr>
            <b/>
            <sz val="9"/>
            <color indexed="81"/>
            <rFont val="Tahoma"/>
            <charset val="1"/>
          </rPr>
          <t>User:</t>
        </r>
        <r>
          <rPr>
            <sz val="9"/>
            <color indexed="81"/>
            <rFont val="Tahoma"/>
            <charset val="1"/>
          </rPr>
          <t xml:space="preserve">
Source: Moog FY2012 10-K, Note 17 Segments</t>
        </r>
      </text>
    </comment>
    <comment ref="N40" authorId="0" shapeId="0" xr:uid="{501042A9-271A-4091-AC28-51EA76BFCB29}">
      <text>
        <r>
          <rPr>
            <b/>
            <sz val="9"/>
            <color indexed="81"/>
            <rFont val="Tahoma"/>
            <charset val="1"/>
          </rPr>
          <t>User:</t>
        </r>
        <r>
          <rPr>
            <sz val="9"/>
            <color indexed="81"/>
            <rFont val="Tahoma"/>
            <charset val="1"/>
          </rPr>
          <t xml:space="preserve">
Source: Moog FY2012 10-K, Note 17 Segments</t>
        </r>
      </text>
    </comment>
    <comment ref="O40" authorId="0" shapeId="0" xr:uid="{80CA7CD4-FC76-4B5D-94DC-060C7A9AFD2E}">
      <text>
        <r>
          <rPr>
            <b/>
            <sz val="9"/>
            <color indexed="81"/>
            <rFont val="Tahoma"/>
            <charset val="1"/>
          </rPr>
          <t>User:</t>
        </r>
        <r>
          <rPr>
            <sz val="9"/>
            <color indexed="81"/>
            <rFont val="Tahoma"/>
            <charset val="1"/>
          </rPr>
          <t xml:space="preserve">
Source: Moog FY2012 10-K, Note 17 Segments</t>
        </r>
      </text>
    </comment>
    <comment ref="P40" authorId="0" shapeId="0" xr:uid="{0ED6E03C-2F0C-478E-AF94-9ABC596CE693}">
      <text>
        <r>
          <rPr>
            <b/>
            <sz val="9"/>
            <color indexed="81"/>
            <rFont val="Tahoma"/>
            <charset val="1"/>
          </rPr>
          <t>User:</t>
        </r>
        <r>
          <rPr>
            <sz val="9"/>
            <color indexed="81"/>
            <rFont val="Tahoma"/>
            <charset val="1"/>
          </rPr>
          <t xml:space="preserve">
Source: Moog FY2012 10-K, Note 17 Segments</t>
        </r>
      </text>
    </comment>
    <comment ref="Q40" authorId="0" shapeId="0" xr:uid="{C1EFE766-8B6A-48DB-BD4A-DEA2DF7CC153}">
      <text>
        <r>
          <rPr>
            <b/>
            <sz val="9"/>
            <color indexed="81"/>
            <rFont val="Tahoma"/>
            <charset val="1"/>
          </rPr>
          <t>User:</t>
        </r>
        <r>
          <rPr>
            <sz val="9"/>
            <color indexed="81"/>
            <rFont val="Tahoma"/>
            <charset val="1"/>
          </rPr>
          <t xml:space="preserve">
Source: Moog FY2012 10-K, Note 17 Segments</t>
        </r>
      </text>
    </comment>
    <comment ref="R40" authorId="0" shapeId="0" xr:uid="{664FB13F-57AD-49EB-A02F-6DAAFCFF818B}">
      <text>
        <r>
          <rPr>
            <b/>
            <sz val="9"/>
            <color indexed="81"/>
            <rFont val="Tahoma"/>
            <charset val="1"/>
          </rPr>
          <t>User:</t>
        </r>
        <r>
          <rPr>
            <sz val="9"/>
            <color indexed="81"/>
            <rFont val="Tahoma"/>
            <charset val="1"/>
          </rPr>
          <t xml:space="preserve">
Source: Moog FY2012 10-K, Note 17 Segments</t>
        </r>
      </text>
    </comment>
    <comment ref="S40" authorId="0" shapeId="0" xr:uid="{DC8721CF-507A-41E4-90F8-55AA17407430}">
      <text>
        <r>
          <rPr>
            <b/>
            <sz val="9"/>
            <color indexed="81"/>
            <rFont val="Tahoma"/>
            <charset val="1"/>
          </rPr>
          <t>User:</t>
        </r>
        <r>
          <rPr>
            <sz val="9"/>
            <color indexed="81"/>
            <rFont val="Tahoma"/>
            <charset val="1"/>
          </rPr>
          <t xml:space="preserve">
Source: Moog FY2012 10-K, Note 17 Segments</t>
        </r>
      </text>
    </comment>
    <comment ref="T40" authorId="0" shapeId="0" xr:uid="{0650089E-D4BC-4BC0-8EE2-D4131E59DBC8}">
      <text>
        <r>
          <rPr>
            <b/>
            <sz val="9"/>
            <color indexed="81"/>
            <rFont val="Tahoma"/>
            <charset val="1"/>
          </rPr>
          <t>User:</t>
        </r>
        <r>
          <rPr>
            <sz val="9"/>
            <color indexed="81"/>
            <rFont val="Tahoma"/>
            <charset val="1"/>
          </rPr>
          <t xml:space="preserve">
Source: Moog FY2012 10-K, Note 17 Segments</t>
        </r>
      </text>
    </comment>
    <comment ref="U40" authorId="0" shapeId="0" xr:uid="{52B2A9F8-5B74-484F-A24A-0EA19C444850}">
      <text>
        <r>
          <rPr>
            <b/>
            <sz val="9"/>
            <color indexed="81"/>
            <rFont val="Tahoma"/>
            <charset val="1"/>
          </rPr>
          <t>User:</t>
        </r>
        <r>
          <rPr>
            <sz val="9"/>
            <color indexed="81"/>
            <rFont val="Tahoma"/>
            <charset val="1"/>
          </rPr>
          <t xml:space="preserve">
Source: Moog FY2012 10-K, Note 17 Segments</t>
        </r>
      </text>
    </comment>
    <comment ref="V40" authorId="0" shapeId="0" xr:uid="{3C0FA0E1-5D26-4779-9381-8317A5E5D487}">
      <text>
        <r>
          <rPr>
            <b/>
            <sz val="9"/>
            <color indexed="81"/>
            <rFont val="Tahoma"/>
            <charset val="1"/>
          </rPr>
          <t>User:</t>
        </r>
        <r>
          <rPr>
            <sz val="9"/>
            <color indexed="81"/>
            <rFont val="Tahoma"/>
            <charset val="1"/>
          </rPr>
          <t xml:space="preserve">
Source: Moog FY2012 10-K, Note 17 Segments</t>
        </r>
      </text>
    </comment>
    <comment ref="W40" authorId="0" shapeId="0" xr:uid="{0E9740AE-70A6-430B-83E5-A57FF278782E}">
      <text>
        <r>
          <rPr>
            <b/>
            <sz val="9"/>
            <color indexed="81"/>
            <rFont val="Tahoma"/>
            <charset val="1"/>
          </rPr>
          <t>User:</t>
        </r>
        <r>
          <rPr>
            <sz val="9"/>
            <color indexed="81"/>
            <rFont val="Tahoma"/>
            <charset val="1"/>
          </rPr>
          <t xml:space="preserve">
Source: Moog FY2012 10-K, Note 17 Segments</t>
        </r>
      </text>
    </comment>
    <comment ref="X40" authorId="0" shapeId="0" xr:uid="{B0A996CE-E00E-42F2-8AEE-B0DEEDF324AD}">
      <text>
        <r>
          <rPr>
            <b/>
            <sz val="9"/>
            <color indexed="81"/>
            <rFont val="Tahoma"/>
            <charset val="1"/>
          </rPr>
          <t>User:</t>
        </r>
        <r>
          <rPr>
            <sz val="9"/>
            <color indexed="81"/>
            <rFont val="Tahoma"/>
            <charset val="1"/>
          </rPr>
          <t xml:space="preserve">
Source: Moog FY2012 10-K, Note 17 Segments</t>
        </r>
      </text>
    </comment>
    <comment ref="Y40" authorId="0" shapeId="0" xr:uid="{5A21B74C-6BA5-47AE-B015-5FA1A106D4F2}">
      <text>
        <r>
          <rPr>
            <b/>
            <sz val="9"/>
            <color indexed="81"/>
            <rFont val="Tahoma"/>
            <charset val="1"/>
          </rPr>
          <t>User:</t>
        </r>
        <r>
          <rPr>
            <sz val="9"/>
            <color indexed="81"/>
            <rFont val="Tahoma"/>
            <charset val="1"/>
          </rPr>
          <t xml:space="preserve">
Source: Moog FY2012 10-K, Note 17 Segments</t>
        </r>
      </text>
    </comment>
    <comment ref="Z40" authorId="0" shapeId="0" xr:uid="{3154DB02-6A44-4871-AB79-1D49B2C9B22C}">
      <text>
        <r>
          <rPr>
            <b/>
            <sz val="9"/>
            <color indexed="81"/>
            <rFont val="Tahoma"/>
            <charset val="1"/>
          </rPr>
          <t>User:</t>
        </r>
        <r>
          <rPr>
            <sz val="9"/>
            <color indexed="81"/>
            <rFont val="Tahoma"/>
            <charset val="1"/>
          </rPr>
          <t xml:space="preserve">
Source: Moog FY2012 10-K, Note 17 Segments</t>
        </r>
      </text>
    </comment>
    <comment ref="AA40" authorId="0" shapeId="0" xr:uid="{82E7E68D-AD37-424F-B62A-F77928355A67}">
      <text>
        <r>
          <rPr>
            <b/>
            <sz val="9"/>
            <color indexed="81"/>
            <rFont val="Tahoma"/>
            <charset val="1"/>
          </rPr>
          <t>User:</t>
        </r>
        <r>
          <rPr>
            <sz val="9"/>
            <color indexed="81"/>
            <rFont val="Tahoma"/>
            <charset val="1"/>
          </rPr>
          <t xml:space="preserve">
Source: Moog FY2012 10-K, Note 17 Segments</t>
        </r>
      </text>
    </comment>
    <comment ref="AB40" authorId="0" shapeId="0" xr:uid="{72CAEC0A-0B1E-4151-88AD-75358A5C8FE7}">
      <text>
        <r>
          <rPr>
            <b/>
            <sz val="9"/>
            <color indexed="81"/>
            <rFont val="Tahoma"/>
            <charset val="1"/>
          </rPr>
          <t>User:</t>
        </r>
        <r>
          <rPr>
            <sz val="9"/>
            <color indexed="81"/>
            <rFont val="Tahoma"/>
            <charset val="1"/>
          </rPr>
          <t xml:space="preserve">
Source: Moog FY2012 10-K, Note 17 Segments</t>
        </r>
      </text>
    </comment>
    <comment ref="AC40" authorId="0" shapeId="0" xr:uid="{9477E238-814E-46BA-99A1-7FF1F726BAE3}">
      <text>
        <r>
          <rPr>
            <b/>
            <sz val="9"/>
            <color indexed="81"/>
            <rFont val="Tahoma"/>
            <charset val="1"/>
          </rPr>
          <t>User:</t>
        </r>
        <r>
          <rPr>
            <sz val="9"/>
            <color indexed="81"/>
            <rFont val="Tahoma"/>
            <charset val="1"/>
          </rPr>
          <t xml:space="preserve">
Source: Moog FY2012 10-K, Note 17 Segments</t>
        </r>
      </text>
    </comment>
    <comment ref="AD40" authorId="0" shapeId="0" xr:uid="{02B278D7-3EE4-47A5-9A25-EB6535BB4751}">
      <text>
        <r>
          <rPr>
            <b/>
            <sz val="9"/>
            <color indexed="81"/>
            <rFont val="Tahoma"/>
            <charset val="1"/>
          </rPr>
          <t>User:</t>
        </r>
        <r>
          <rPr>
            <sz val="9"/>
            <color indexed="81"/>
            <rFont val="Tahoma"/>
            <charset val="1"/>
          </rPr>
          <t xml:space="preserve">
Source: Moog FY2012 10-K, Note 17 Segments</t>
        </r>
      </text>
    </comment>
    <comment ref="AE40" authorId="0" shapeId="0" xr:uid="{BEF9C693-72B0-477C-992F-CF7DE548527B}">
      <text>
        <r>
          <rPr>
            <b/>
            <sz val="9"/>
            <color indexed="81"/>
            <rFont val="Tahoma"/>
            <charset val="1"/>
          </rPr>
          <t>User:</t>
        </r>
        <r>
          <rPr>
            <sz val="9"/>
            <color indexed="81"/>
            <rFont val="Tahoma"/>
            <charset val="1"/>
          </rPr>
          <t xml:space="preserve">
Source: Moog FY2012 10-K, Note 17 Segments</t>
        </r>
      </text>
    </comment>
    <comment ref="AF40" authorId="0" shapeId="0" xr:uid="{8B499B8C-F5A1-402C-AF46-C4EA711044DA}">
      <text>
        <r>
          <rPr>
            <b/>
            <sz val="9"/>
            <color indexed="81"/>
            <rFont val="Tahoma"/>
            <charset val="1"/>
          </rPr>
          <t>User:</t>
        </r>
        <r>
          <rPr>
            <sz val="9"/>
            <color indexed="81"/>
            <rFont val="Tahoma"/>
            <charset val="1"/>
          </rPr>
          <t xml:space="preserve">
Source: Moog FY2012 10-K, Note 17 Segments</t>
        </r>
      </text>
    </comment>
    <comment ref="AG40" authorId="0" shapeId="0" xr:uid="{222828C0-353E-4C68-B760-EE9A0C4BA4F9}">
      <text>
        <r>
          <rPr>
            <b/>
            <sz val="9"/>
            <color indexed="81"/>
            <rFont val="Tahoma"/>
            <charset val="1"/>
          </rPr>
          <t>User:</t>
        </r>
        <r>
          <rPr>
            <sz val="9"/>
            <color indexed="81"/>
            <rFont val="Tahoma"/>
            <charset val="1"/>
          </rPr>
          <t xml:space="preserve">
Source: Moog FY2012 10-K, Note 17 Segments</t>
        </r>
      </text>
    </comment>
    <comment ref="AH40" authorId="0" shapeId="0" xr:uid="{64E6C3EC-456D-4559-85ED-188812AF8189}">
      <text>
        <r>
          <rPr>
            <b/>
            <sz val="9"/>
            <color indexed="81"/>
            <rFont val="Tahoma"/>
            <charset val="1"/>
          </rPr>
          <t>User:</t>
        </r>
        <r>
          <rPr>
            <sz val="9"/>
            <color indexed="81"/>
            <rFont val="Tahoma"/>
            <charset val="1"/>
          </rPr>
          <t xml:space="preserve">
Source: Moog FY2012 10-K, Note 17 Segments</t>
        </r>
      </text>
    </comment>
    <comment ref="AI40" authorId="0" shapeId="0" xr:uid="{8AE1746E-AADB-4236-B7EF-B194C4B6CB0A}">
      <text>
        <r>
          <rPr>
            <b/>
            <sz val="9"/>
            <color indexed="81"/>
            <rFont val="Tahoma"/>
            <charset val="1"/>
          </rPr>
          <t>User:</t>
        </r>
        <r>
          <rPr>
            <sz val="9"/>
            <color indexed="81"/>
            <rFont val="Tahoma"/>
            <charset val="1"/>
          </rPr>
          <t xml:space="preserve">
Source: Moog FY2012 10-K, Note 17 Segments</t>
        </r>
      </text>
    </comment>
    <comment ref="AJ40" authorId="0" shapeId="0" xr:uid="{A86EC71E-F502-4A0E-9B54-667CB7D24225}">
      <text>
        <r>
          <rPr>
            <b/>
            <sz val="9"/>
            <color indexed="81"/>
            <rFont val="Tahoma"/>
            <charset val="1"/>
          </rPr>
          <t>User:</t>
        </r>
        <r>
          <rPr>
            <sz val="9"/>
            <color indexed="81"/>
            <rFont val="Tahoma"/>
            <charset val="1"/>
          </rPr>
          <t xml:space="preserve">
Source: Moog FY2012 10-K, Note 17 Segments</t>
        </r>
      </text>
    </comment>
    <comment ref="AK40" authorId="0" shapeId="0" xr:uid="{12F7196E-80C5-4D5F-82F5-BBBC990F22F7}">
      <text>
        <r>
          <rPr>
            <b/>
            <sz val="9"/>
            <color indexed="81"/>
            <rFont val="Tahoma"/>
            <charset val="1"/>
          </rPr>
          <t>User:</t>
        </r>
        <r>
          <rPr>
            <sz val="9"/>
            <color indexed="81"/>
            <rFont val="Tahoma"/>
            <charset val="1"/>
          </rPr>
          <t xml:space="preserve">
Source: Moog FY2012 10-K, Note 17 Segments</t>
        </r>
      </text>
    </comment>
    <comment ref="AL40" authorId="0" shapeId="0" xr:uid="{A026D911-E322-40BD-B3BA-7B4EB368B809}">
      <text>
        <r>
          <rPr>
            <b/>
            <sz val="9"/>
            <color indexed="81"/>
            <rFont val="Tahoma"/>
            <charset val="1"/>
          </rPr>
          <t>User:</t>
        </r>
        <r>
          <rPr>
            <sz val="9"/>
            <color indexed="81"/>
            <rFont val="Tahoma"/>
            <charset val="1"/>
          </rPr>
          <t xml:space="preserve">
Source: Moog FY2012 10-K, Note 17 Segments</t>
        </r>
      </text>
    </comment>
    <comment ref="AM40" authorId="0" shapeId="0" xr:uid="{F129406B-76D2-415E-89F4-C5451AE2D3C5}">
      <text>
        <r>
          <rPr>
            <b/>
            <sz val="9"/>
            <color indexed="81"/>
            <rFont val="Tahoma"/>
            <charset val="1"/>
          </rPr>
          <t>User:</t>
        </r>
        <r>
          <rPr>
            <sz val="9"/>
            <color indexed="81"/>
            <rFont val="Tahoma"/>
            <charset val="1"/>
          </rPr>
          <t xml:space="preserve">
Source: Moog FY2012 10-K, Note 17 Segments</t>
        </r>
      </text>
    </comment>
    <comment ref="AN40" authorId="0" shapeId="0" xr:uid="{7EBD5A25-3EBE-4780-96B4-39D88B8D21A9}">
      <text>
        <r>
          <rPr>
            <b/>
            <sz val="9"/>
            <color indexed="81"/>
            <rFont val="Tahoma"/>
            <charset val="1"/>
          </rPr>
          <t>User:</t>
        </r>
        <r>
          <rPr>
            <sz val="9"/>
            <color indexed="81"/>
            <rFont val="Tahoma"/>
            <charset val="1"/>
          </rPr>
          <t xml:space="preserve">
Source: Moog FY2012 10-K, Note 17 Segments</t>
        </r>
      </text>
    </comment>
    <comment ref="AO40" authorId="0" shapeId="0" xr:uid="{DD9A2E73-7F6B-479B-AC45-D260A3A89ACB}">
      <text>
        <r>
          <rPr>
            <b/>
            <sz val="9"/>
            <color indexed="81"/>
            <rFont val="Tahoma"/>
            <charset val="1"/>
          </rPr>
          <t>User:</t>
        </r>
        <r>
          <rPr>
            <sz val="9"/>
            <color indexed="81"/>
            <rFont val="Tahoma"/>
            <charset val="1"/>
          </rPr>
          <t xml:space="preserve">
Source: Moog FY2012 10-K, Note 17 Segments</t>
        </r>
      </text>
    </comment>
    <comment ref="AP40" authorId="0" shapeId="0" xr:uid="{DE94D621-7901-46E7-8721-3DC3F65BE766}">
      <text>
        <r>
          <rPr>
            <b/>
            <sz val="9"/>
            <color indexed="81"/>
            <rFont val="Tahoma"/>
            <charset val="1"/>
          </rPr>
          <t>User:</t>
        </r>
        <r>
          <rPr>
            <sz val="9"/>
            <color indexed="81"/>
            <rFont val="Tahoma"/>
            <charset val="1"/>
          </rPr>
          <t xml:space="preserve">
Source: Moog FY2012 10-K, Note 17 Segments</t>
        </r>
      </text>
    </comment>
    <comment ref="AQ40" authorId="0" shapeId="0" xr:uid="{42E31B45-7730-411A-A36A-D6413C91A3D9}">
      <text>
        <r>
          <rPr>
            <b/>
            <sz val="9"/>
            <color indexed="81"/>
            <rFont val="Tahoma"/>
            <charset val="1"/>
          </rPr>
          <t>User:</t>
        </r>
        <r>
          <rPr>
            <sz val="9"/>
            <color indexed="81"/>
            <rFont val="Tahoma"/>
            <charset val="1"/>
          </rPr>
          <t xml:space="preserve">
Source: Moog FY2012 10-K, Note 17 Segments</t>
        </r>
      </text>
    </comment>
    <comment ref="AR40" authorId="0" shapeId="0" xr:uid="{97001068-069B-4D98-A690-E03098B3447C}">
      <text>
        <r>
          <rPr>
            <b/>
            <sz val="9"/>
            <color indexed="81"/>
            <rFont val="Tahoma"/>
            <charset val="1"/>
          </rPr>
          <t>User:</t>
        </r>
        <r>
          <rPr>
            <sz val="9"/>
            <color indexed="81"/>
            <rFont val="Tahoma"/>
            <charset val="1"/>
          </rPr>
          <t xml:space="preserve">
Source: Moog FY2012 10-K, Note 17 Segments</t>
        </r>
      </text>
    </comment>
    <comment ref="AS40" authorId="0" shapeId="0" xr:uid="{74D0FB2D-513B-4CC1-B914-74920A1C9FEE}">
      <text>
        <r>
          <rPr>
            <b/>
            <sz val="9"/>
            <color indexed="81"/>
            <rFont val="Tahoma"/>
            <charset val="1"/>
          </rPr>
          <t>User:</t>
        </r>
        <r>
          <rPr>
            <sz val="9"/>
            <color indexed="81"/>
            <rFont val="Tahoma"/>
            <charset val="1"/>
          </rPr>
          <t xml:space="preserve">
Source: Moog FY2012 10-K, Note 17 Segments</t>
        </r>
      </text>
    </comment>
    <comment ref="AT40" authorId="0" shapeId="0" xr:uid="{C96E39D0-D88C-40E0-9758-890A7A219A72}">
      <text>
        <r>
          <rPr>
            <b/>
            <sz val="9"/>
            <color indexed="81"/>
            <rFont val="Tahoma"/>
            <charset val="1"/>
          </rPr>
          <t>User:</t>
        </r>
        <r>
          <rPr>
            <sz val="9"/>
            <color indexed="81"/>
            <rFont val="Tahoma"/>
            <charset val="1"/>
          </rPr>
          <t xml:space="preserve">
Source: Moog FY2012 10-K, Note 17 Segments</t>
        </r>
      </text>
    </comment>
    <comment ref="AU40" authorId="0" shapeId="0" xr:uid="{127B3740-593D-48A1-B045-E9A10B152DEA}">
      <text>
        <r>
          <rPr>
            <b/>
            <sz val="9"/>
            <color indexed="81"/>
            <rFont val="Tahoma"/>
            <charset val="1"/>
          </rPr>
          <t>User:</t>
        </r>
        <r>
          <rPr>
            <sz val="9"/>
            <color indexed="81"/>
            <rFont val="Tahoma"/>
            <charset val="1"/>
          </rPr>
          <t xml:space="preserve">
Source: Moog FY2012 10-K, Note 17 Segments</t>
        </r>
      </text>
    </comment>
    <comment ref="AV40" authorId="0" shapeId="0" xr:uid="{D6DAF71E-6D15-475B-9218-2D72827AD3DB}">
      <text>
        <r>
          <rPr>
            <b/>
            <sz val="9"/>
            <color indexed="81"/>
            <rFont val="Tahoma"/>
            <charset val="1"/>
          </rPr>
          <t>User:</t>
        </r>
        <r>
          <rPr>
            <sz val="9"/>
            <color indexed="81"/>
            <rFont val="Tahoma"/>
            <charset val="1"/>
          </rPr>
          <t xml:space="preserve">
Source: Moog FY2012 10-K, Note 17 Segments</t>
        </r>
      </text>
    </comment>
    <comment ref="AW40" authorId="0" shapeId="0" xr:uid="{3B89ADA9-7598-42A7-9200-B2B30FB609CA}">
      <text>
        <r>
          <rPr>
            <b/>
            <sz val="9"/>
            <color indexed="81"/>
            <rFont val="Tahoma"/>
            <charset val="1"/>
          </rPr>
          <t>User:</t>
        </r>
        <r>
          <rPr>
            <sz val="9"/>
            <color indexed="81"/>
            <rFont val="Tahoma"/>
            <charset val="1"/>
          </rPr>
          <t xml:space="preserve">
Source: Moog FY2012 10-K, Note 17 Segments</t>
        </r>
      </text>
    </comment>
    <comment ref="AX40" authorId="0" shapeId="0" xr:uid="{DEBB1DE7-6185-4440-900D-E3BA2024A2B8}">
      <text>
        <r>
          <rPr>
            <b/>
            <sz val="9"/>
            <color indexed="81"/>
            <rFont val="Tahoma"/>
            <charset val="1"/>
          </rPr>
          <t>User:</t>
        </r>
        <r>
          <rPr>
            <sz val="9"/>
            <color indexed="81"/>
            <rFont val="Tahoma"/>
            <charset val="1"/>
          </rPr>
          <t xml:space="preserve">
Source: Moog FY2012 10-K, Note 17 Segments</t>
        </r>
      </text>
    </comment>
    <comment ref="AY40" authorId="0" shapeId="0" xr:uid="{F482FD19-4CD5-49C6-BFC5-02EF3B7F14A4}">
      <text>
        <r>
          <rPr>
            <b/>
            <sz val="9"/>
            <color indexed="81"/>
            <rFont val="Tahoma"/>
            <charset val="1"/>
          </rPr>
          <t>User:</t>
        </r>
        <r>
          <rPr>
            <sz val="9"/>
            <color indexed="81"/>
            <rFont val="Tahoma"/>
            <charset val="1"/>
          </rPr>
          <t xml:space="preserve">
Source: Moog FY2012 10-K, Note 17 Segments</t>
        </r>
      </text>
    </comment>
    <comment ref="AZ40" authorId="0" shapeId="0" xr:uid="{5C16F2C9-E2B5-4C95-A039-C877BE82F8AB}">
      <text>
        <r>
          <rPr>
            <b/>
            <sz val="9"/>
            <color indexed="81"/>
            <rFont val="Tahoma"/>
            <charset val="1"/>
          </rPr>
          <t>User:</t>
        </r>
        <r>
          <rPr>
            <sz val="9"/>
            <color indexed="81"/>
            <rFont val="Tahoma"/>
            <charset val="1"/>
          </rPr>
          <t xml:space="preserve">
Source: Moog FY2012 10-K, Note 17 Segments</t>
        </r>
      </text>
    </comment>
    <comment ref="BA40" authorId="0" shapeId="0" xr:uid="{A0AA5B46-AB5E-40BD-9DEB-FD173E6F1015}">
      <text>
        <r>
          <rPr>
            <b/>
            <sz val="9"/>
            <color indexed="81"/>
            <rFont val="Tahoma"/>
            <charset val="1"/>
          </rPr>
          <t>User:</t>
        </r>
        <r>
          <rPr>
            <sz val="9"/>
            <color indexed="81"/>
            <rFont val="Tahoma"/>
            <charset val="1"/>
          </rPr>
          <t xml:space="preserve">
Source: Moog FY2012 10-K, Note 17 Segments</t>
        </r>
      </text>
    </comment>
    <comment ref="BB40" authorId="0" shapeId="0" xr:uid="{99FA353F-5604-4624-8A63-AC1266062F95}">
      <text>
        <r>
          <rPr>
            <b/>
            <sz val="9"/>
            <color indexed="81"/>
            <rFont val="Tahoma"/>
            <charset val="1"/>
          </rPr>
          <t>User:</t>
        </r>
        <r>
          <rPr>
            <sz val="9"/>
            <color indexed="81"/>
            <rFont val="Tahoma"/>
            <charset val="1"/>
          </rPr>
          <t xml:space="preserve">
Source: Moog FY2012 10-K, Note 17 Segments</t>
        </r>
      </text>
    </comment>
    <comment ref="BC40" authorId="0" shapeId="0" xr:uid="{FC42520F-3431-4977-BC9D-97BA19BE8B3F}">
      <text>
        <r>
          <rPr>
            <b/>
            <sz val="9"/>
            <color indexed="81"/>
            <rFont val="Tahoma"/>
            <charset val="1"/>
          </rPr>
          <t>User:</t>
        </r>
        <r>
          <rPr>
            <sz val="9"/>
            <color indexed="81"/>
            <rFont val="Tahoma"/>
            <charset val="1"/>
          </rPr>
          <t xml:space="preserve">
Source: Moog FY2012 10-K, Note 17 Segments</t>
        </r>
      </text>
    </comment>
    <comment ref="BD40" authorId="0" shapeId="0" xr:uid="{13A74B8B-3DFE-4464-834C-5DA5833A5734}">
      <text>
        <r>
          <rPr>
            <b/>
            <sz val="9"/>
            <color indexed="81"/>
            <rFont val="Tahoma"/>
            <charset val="1"/>
          </rPr>
          <t>User:</t>
        </r>
        <r>
          <rPr>
            <sz val="9"/>
            <color indexed="81"/>
            <rFont val="Tahoma"/>
            <charset val="1"/>
          </rPr>
          <t xml:space="preserve">
Source: Moog FY2012 10-K, Note 17 Segments</t>
        </r>
      </text>
    </comment>
    <comment ref="BE40" authorId="0" shapeId="0" xr:uid="{0CD34E17-5D73-4B2D-9338-3179052C194D}">
      <text>
        <r>
          <rPr>
            <b/>
            <sz val="9"/>
            <color indexed="81"/>
            <rFont val="Tahoma"/>
            <charset val="1"/>
          </rPr>
          <t>User:</t>
        </r>
        <r>
          <rPr>
            <sz val="9"/>
            <color indexed="81"/>
            <rFont val="Tahoma"/>
            <charset val="1"/>
          </rPr>
          <t xml:space="preserve">
Source: Moog FY2012 10-K, Note 17 Segments</t>
        </r>
      </text>
    </comment>
    <comment ref="BF40" authorId="0" shapeId="0" xr:uid="{AD67233C-C9E3-4037-8058-367F64FD890B}">
      <text>
        <r>
          <rPr>
            <b/>
            <sz val="9"/>
            <color indexed="81"/>
            <rFont val="Tahoma"/>
            <charset val="1"/>
          </rPr>
          <t>User:</t>
        </r>
        <r>
          <rPr>
            <sz val="9"/>
            <color indexed="81"/>
            <rFont val="Tahoma"/>
            <charset val="1"/>
          </rPr>
          <t xml:space="preserve">
Source: Moog FY2012 10-K, Note 17 Segments</t>
        </r>
      </text>
    </comment>
    <comment ref="BG40" authorId="0" shapeId="0" xr:uid="{782DFA80-CF37-490D-BE6B-30DFD61CF2AE}">
      <text>
        <r>
          <rPr>
            <b/>
            <sz val="9"/>
            <color indexed="81"/>
            <rFont val="Tahoma"/>
            <charset val="1"/>
          </rPr>
          <t>User:</t>
        </r>
        <r>
          <rPr>
            <sz val="9"/>
            <color indexed="81"/>
            <rFont val="Tahoma"/>
            <charset val="1"/>
          </rPr>
          <t xml:space="preserve">
Source: Moog FY2012 10-K, Note 17 Segments</t>
        </r>
      </text>
    </comment>
    <comment ref="BH40" authorId="0" shapeId="0" xr:uid="{F897C5D2-19C6-44B1-8118-DEB57B671039}">
      <text>
        <r>
          <rPr>
            <b/>
            <sz val="9"/>
            <color indexed="81"/>
            <rFont val="Tahoma"/>
            <charset val="1"/>
          </rPr>
          <t>User:</t>
        </r>
        <r>
          <rPr>
            <sz val="9"/>
            <color indexed="81"/>
            <rFont val="Tahoma"/>
            <charset val="1"/>
          </rPr>
          <t xml:space="preserve">
Source: Moog FY2012 10-K, Note 17 Segments</t>
        </r>
      </text>
    </comment>
    <comment ref="BI40" authorId="0" shapeId="0" xr:uid="{370B3677-5B5F-4B50-99AE-C21454E5AFCA}">
      <text>
        <r>
          <rPr>
            <b/>
            <sz val="9"/>
            <color indexed="81"/>
            <rFont val="Tahoma"/>
            <charset val="1"/>
          </rPr>
          <t>User:</t>
        </r>
        <r>
          <rPr>
            <sz val="9"/>
            <color indexed="81"/>
            <rFont val="Tahoma"/>
            <charset val="1"/>
          </rPr>
          <t xml:space="preserve">
Source: Moog FY2012 10-K, Note 17 Segments</t>
        </r>
      </text>
    </comment>
    <comment ref="BJ40" authorId="0" shapeId="0" xr:uid="{7F48E5D7-3984-46A1-8C67-9AF04BC472E4}">
      <text>
        <r>
          <rPr>
            <b/>
            <sz val="9"/>
            <color indexed="81"/>
            <rFont val="Tahoma"/>
            <charset val="1"/>
          </rPr>
          <t>User:</t>
        </r>
        <r>
          <rPr>
            <sz val="9"/>
            <color indexed="81"/>
            <rFont val="Tahoma"/>
            <charset val="1"/>
          </rPr>
          <t xml:space="preserve">
Source: Moog FY2012 10-K, Note 17 Segments</t>
        </r>
      </text>
    </comment>
    <comment ref="BT54" authorId="0" shapeId="0" xr:uid="{EF6B92C3-0C94-42FE-88B4-695A45289D75}">
      <text>
        <r>
          <rPr>
            <b/>
            <sz val="9"/>
            <color indexed="81"/>
            <rFont val="Tahoma"/>
            <charset val="1"/>
          </rPr>
          <t>User:</t>
        </r>
        <r>
          <rPr>
            <sz val="9"/>
            <color indexed="81"/>
            <rFont val="Tahoma"/>
            <charset val="1"/>
          </rPr>
          <t xml:space="preserve">
Source: Moog 10-K FY25, Note 22 Segments, https://www.sec.gov/Archives/edgar/data/0000067887/000162828025054103/mog-20250927.htm</t>
        </r>
      </text>
    </comment>
    <comment ref="BY54" authorId="0" shapeId="0" xr:uid="{1CA80811-80D4-45A5-BB52-18887560B4E1}">
      <text>
        <r>
          <rPr>
            <b/>
            <sz val="9"/>
            <color indexed="81"/>
            <rFont val="Tahoma"/>
            <charset val="1"/>
          </rPr>
          <t>User:</t>
        </r>
        <r>
          <rPr>
            <sz val="9"/>
            <color indexed="81"/>
            <rFont val="Tahoma"/>
            <charset val="1"/>
          </rPr>
          <t xml:space="preserve">
Source: Moog 10-K FY25, Note 22 Segments</t>
        </r>
      </text>
    </comment>
    <comment ref="CD54" authorId="0" shapeId="0" xr:uid="{C2EBCB70-4F61-4755-A57E-FCF2559A02A3}">
      <text>
        <r>
          <rPr>
            <b/>
            <sz val="9"/>
            <color indexed="81"/>
            <rFont val="Tahoma"/>
            <charset val="1"/>
          </rPr>
          <t>User:</t>
        </r>
        <r>
          <rPr>
            <sz val="9"/>
            <color indexed="81"/>
            <rFont val="Tahoma"/>
            <charset val="1"/>
          </rPr>
          <t xml:space="preserve">
Source: Moog 10-K FY25, Note 22 Segments</t>
        </r>
      </text>
    </comment>
    <comment ref="CE54" authorId="0" shapeId="0" xr:uid="{BED37102-FDBC-412E-89DA-6677DBCD3A05}">
      <text>
        <r>
          <rPr>
            <b/>
            <sz val="9"/>
            <color indexed="81"/>
            <rFont val="Tahoma"/>
            <family val="2"/>
          </rPr>
          <t>User:</t>
        </r>
        <r>
          <rPr>
            <sz val="9"/>
            <color indexed="81"/>
            <rFont val="Tahoma"/>
            <family val="2"/>
          </rPr>
          <t xml:space="preserve">
Source: Moog 10-Q Q1 FY26 (period end Jan 3, 2026), Note 18 Segments — Military Aircraft net sales $247,411K</t>
        </r>
      </text>
    </comment>
    <comment ref="CF54" authorId="0" shapeId="0" xr:uid="{AE9C2EB9-825F-4F6B-AA65-0D9C4627C5B3}">
      <text>
        <r>
          <rPr>
            <b/>
            <sz val="9"/>
            <color indexed="81"/>
            <rFont val="Tahoma"/>
            <family val="2"/>
          </rPr>
          <t>User:</t>
        </r>
        <r>
          <rPr>
            <sz val="9"/>
            <color indexed="81"/>
            <rFont val="Tahoma"/>
            <family val="2"/>
          </rPr>
          <t xml:space="preserve">
Source: Moog 10-Q Q2 FY26 (period end Mar 28, 2026), Note 18 Segments — Military Aircraft net sales $235,489K</t>
        </r>
      </text>
    </comment>
    <comment ref="CI54" authorId="0" shapeId="0" xr:uid="{2A3DAB11-39B2-4985-8AFC-D3DD0174E27B}">
      <text>
        <r>
          <rPr>
            <b/>
            <sz val="9"/>
            <color indexed="81"/>
            <rFont val="Tahoma"/>
            <family val="2"/>
          </rPr>
          <t>FY26E MA sales = FY25 actual $888M (per IR deck Jan 2026 prior-year column) × (1 + growth). NOTE: cannot reference CD54 because CD column appears mis-aligned by one segment block — CD54 currently holds $1,113 which is S&amp;D's FY25, not MA's $888.</t>
        </r>
      </text>
    </comment>
    <comment ref="BT55" authorId="0" shapeId="0" xr:uid="{E42A8678-392B-479E-9836-6CE17085D34F}">
      <text>
        <r>
          <rPr>
            <b/>
            <sz val="9"/>
            <color indexed="81"/>
            <rFont val="Tahoma"/>
            <charset val="1"/>
          </rPr>
          <t>User:</t>
        </r>
        <r>
          <rPr>
            <sz val="9"/>
            <color indexed="81"/>
            <rFont val="Tahoma"/>
            <charset val="1"/>
          </rPr>
          <t xml:space="preserve">
Source: Moog 10-K FY25, Note 22 Segments</t>
        </r>
      </text>
    </comment>
    <comment ref="BY55" authorId="0" shapeId="0" xr:uid="{FBB68397-604F-4D3D-8DDA-F731A6F21D49}">
      <text>
        <r>
          <rPr>
            <b/>
            <sz val="9"/>
            <color indexed="81"/>
            <rFont val="Tahoma"/>
            <charset val="1"/>
          </rPr>
          <t>User:</t>
        </r>
        <r>
          <rPr>
            <sz val="9"/>
            <color indexed="81"/>
            <rFont val="Tahoma"/>
            <charset val="1"/>
          </rPr>
          <t xml:space="preserve">
Source: Moog 10-K FY25, Note 22 Segments</t>
        </r>
      </text>
    </comment>
    <comment ref="CD55" authorId="0" shapeId="0" xr:uid="{0C8FB48D-3991-4480-9001-22F07F3D088A}">
      <text>
        <r>
          <rPr>
            <b/>
            <sz val="9"/>
            <color indexed="81"/>
            <rFont val="Tahoma"/>
            <charset val="1"/>
          </rPr>
          <t>User:</t>
        </r>
        <r>
          <rPr>
            <sz val="9"/>
            <color indexed="81"/>
            <rFont val="Tahoma"/>
            <charset val="1"/>
          </rPr>
          <t xml:space="preserve">
Source: Moog 10-K FY25, Note 22 Segments</t>
        </r>
      </text>
    </comment>
    <comment ref="CG55" authorId="0" shapeId="0" xr:uid="{DE51D430-5BB5-4614-BFD5-FB967DC9B14E}">
      <text>
        <r>
          <rPr>
            <b/>
            <sz val="9"/>
            <color indexed="81"/>
            <rFont val="Tahoma"/>
            <family val="2"/>
          </rPr>
          <t>User:</t>
        </r>
        <r>
          <rPr>
            <sz val="9"/>
            <color indexed="81"/>
            <rFont val="Tahoma"/>
            <family val="2"/>
          </rPr>
          <t xml:space="preserve">
Q3/26E Y/Y assumption — deceleration from Q1 +15.9% / Q2 +10.1%; calibrated to land FY26 MA sales near guide ~$950M</t>
        </r>
      </text>
    </comment>
    <comment ref="CI55" authorId="0" shapeId="0" xr:uid="{4C123D2C-A622-44B6-AD92-32145AD02B61}">
      <text>
        <r>
          <rPr>
            <b/>
            <sz val="9"/>
            <color indexed="81"/>
            <rFont val="Tahoma"/>
            <family val="2"/>
          </rPr>
          <t>Source: Moog IR Presentation Jan 2026, segment guide — MA FY26 $950M vs FY25 $888M = +6.98% (hardcoded growth driver).</t>
        </r>
      </text>
    </comment>
    <comment ref="CE56" authorId="0" shapeId="0" xr:uid="{8D00F3E0-0FCB-46A4-A029-1D306D2D6720}">
      <text>
        <r>
          <rPr>
            <b/>
            <sz val="9"/>
            <color indexed="81"/>
            <rFont val="Tahoma"/>
            <family val="2"/>
          </rPr>
          <t>User:</t>
        </r>
        <r>
          <rPr>
            <sz val="9"/>
            <color indexed="81"/>
            <rFont val="Tahoma"/>
            <family val="2"/>
          </rPr>
          <t xml:space="preserve">
Source: Moog 10-Q Q1 FY26 — Military Aircraft operating profit ~$28M (per IS6 MD&amp;A). Derived: net sales 247.411 - COGS 187.417 - R&amp;D 5.115 - SG&amp;A 26.991 - Other op exp -0.240 - Allocated corporate / equity comp ~0.4 ≈ $28.1M (matches MD&amp;A: $28M)</t>
        </r>
      </text>
    </comment>
    <comment ref="CF56" authorId="0" shapeId="0" xr:uid="{68350947-F4F7-4EAC-B5D4-9741937BA6E7}">
      <text>
        <r>
          <rPr>
            <b/>
            <sz val="9"/>
            <color indexed="81"/>
            <rFont val="Tahoma"/>
            <family val="2"/>
          </rPr>
          <t>User:</t>
        </r>
        <r>
          <rPr>
            <sz val="9"/>
            <color indexed="81"/>
            <rFont val="Tahoma"/>
            <family val="2"/>
          </rPr>
          <t xml:space="preserve">
Source: Moog 10-Q Q2 FY26 — Military Aircraft operating profit $32M (MD&amp;A); 13.7% margin x 235.489 = 32.262</t>
        </r>
      </text>
    </comment>
    <comment ref="CI58" authorId="0" shapeId="0" xr:uid="{23D45A6B-C691-435A-9441-CDEF27B9BA02}">
      <text>
        <r>
          <rPr>
            <b/>
            <sz val="9"/>
            <color indexed="81"/>
            <rFont val="Tahoma"/>
            <family val="2"/>
          </rPr>
          <t>User:</t>
        </r>
        <r>
          <rPr>
            <sz val="9"/>
            <color indexed="81"/>
            <rFont val="Tahoma"/>
            <family val="2"/>
          </rPr>
          <t xml:space="preserve">
Source: Moog IR Presentation Jan 2026 — Military Aircraft FY26 op margin guide 13.8%</t>
        </r>
      </text>
    </comment>
    <comment ref="B60" authorId="0" shapeId="0" xr:uid="{D238873C-B7C9-44A3-A355-BACC731F914D}">
      <text>
        <r>
          <rPr>
            <b/>
            <sz val="9"/>
            <color indexed="81"/>
            <rFont val="Tahoma"/>
            <family val="2"/>
          </rPr>
          <t>User:</t>
        </r>
        <r>
          <rPr>
            <sz val="9"/>
            <color indexed="81"/>
            <rFont val="Tahoma"/>
            <family val="2"/>
          </rPr>
          <t xml:space="preserve">
Segment-level backlog is NOT publicly disclosed by Moog in any 10-K, 10-Q, or earnings release. Moog reports only consolidated total backlog and 12-month backlog at the company level (see Group Total row 104). Segment commentary is qualitative only (e.g., 'growth primarily driven by Military Aircraft and Space and Defense'). Source: Moog FY23–FY25 10-K MD&amp;A and Q1–Q4 FY25 earnings releases.</t>
        </r>
      </text>
    </comment>
    <comment ref="BT65" authorId="0" shapeId="0" xr:uid="{58078317-8F24-4073-90FD-00FFBB21F28C}">
      <text>
        <r>
          <rPr>
            <b/>
            <sz val="9"/>
            <color indexed="81"/>
            <rFont val="Tahoma"/>
            <charset val="1"/>
          </rPr>
          <t>User:</t>
        </r>
        <r>
          <rPr>
            <sz val="9"/>
            <color indexed="81"/>
            <rFont val="Tahoma"/>
            <charset val="1"/>
          </rPr>
          <t xml:space="preserve">
Source: Moog 10-K FY25, Note 22 Segments</t>
        </r>
      </text>
    </comment>
    <comment ref="BY65" authorId="0" shapeId="0" xr:uid="{25033CA6-D1CB-4CC2-B456-5800E9656306}">
      <text>
        <r>
          <rPr>
            <b/>
            <sz val="9"/>
            <color indexed="81"/>
            <rFont val="Tahoma"/>
            <charset val="1"/>
          </rPr>
          <t>User:</t>
        </r>
        <r>
          <rPr>
            <sz val="9"/>
            <color indexed="81"/>
            <rFont val="Tahoma"/>
            <charset val="1"/>
          </rPr>
          <t xml:space="preserve">
Source: Moog 10-K FY25, Note 22 Segments</t>
        </r>
      </text>
    </comment>
    <comment ref="CD65" authorId="0" shapeId="0" xr:uid="{7BE01AC2-981F-4F5C-B584-EA6331591D24}">
      <text>
        <r>
          <rPr>
            <b/>
            <sz val="9"/>
            <color indexed="81"/>
            <rFont val="Tahoma"/>
            <charset val="1"/>
          </rPr>
          <t>User:</t>
        </r>
        <r>
          <rPr>
            <sz val="9"/>
            <color indexed="81"/>
            <rFont val="Tahoma"/>
            <charset val="1"/>
          </rPr>
          <t xml:space="preserve">
Source: Moog 10-K FY25, Note 22 Segments</t>
        </r>
      </text>
    </comment>
    <comment ref="CE65" authorId="0" shapeId="0" xr:uid="{155E2ABB-8722-4587-B65E-6A4A38C8FFBE}">
      <text>
        <r>
          <rPr>
            <b/>
            <sz val="9"/>
            <color indexed="81"/>
            <rFont val="Tahoma"/>
            <family val="2"/>
          </rPr>
          <t>User:</t>
        </r>
        <r>
          <rPr>
            <sz val="9"/>
            <color indexed="81"/>
            <rFont val="Tahoma"/>
            <family val="2"/>
          </rPr>
          <t xml:space="preserve">
Source: Moog 10-Q Q1 FY26 — Commercial Aircraft net sales $267,843K</t>
        </r>
      </text>
    </comment>
    <comment ref="CF65" authorId="0" shapeId="0" xr:uid="{2D0E6837-D04E-4C65-9F5C-D813D4D0ADC8}">
      <text>
        <r>
          <rPr>
            <b/>
            <sz val="9"/>
            <color indexed="81"/>
            <rFont val="Tahoma"/>
            <family val="2"/>
          </rPr>
          <t>User:</t>
        </r>
        <r>
          <rPr>
            <sz val="9"/>
            <color indexed="81"/>
            <rFont val="Tahoma"/>
            <family val="2"/>
          </rPr>
          <t xml:space="preserve">
Source: Moog 10-Q Q2 FY26 — Commercial Aircraft net sales $247,007K</t>
        </r>
      </text>
    </comment>
    <comment ref="CI65" authorId="0" shapeId="0" xr:uid="{F6C39288-0463-4617-8F2C-DB4D64EDD6B3}">
      <text>
        <r>
          <rPr>
            <b/>
            <sz val="9"/>
            <color indexed="81"/>
            <rFont val="Tahoma"/>
            <family val="2"/>
          </rPr>
          <t>FY26E CA sales = FY25 actual $904M × (1 + growth). NOTE: CD65 currently holds $888 (MA's FY25) due to CD column mis-alignment.</t>
        </r>
      </text>
    </comment>
    <comment ref="BT66" authorId="0" shapeId="0" xr:uid="{BAA97F7C-EEBD-463A-85E9-6F080FB4254D}">
      <text>
        <r>
          <rPr>
            <b/>
            <sz val="9"/>
            <color indexed="81"/>
            <rFont val="Tahoma"/>
            <charset val="1"/>
          </rPr>
          <t>User:</t>
        </r>
        <r>
          <rPr>
            <sz val="9"/>
            <color indexed="81"/>
            <rFont val="Tahoma"/>
            <charset val="1"/>
          </rPr>
          <t xml:space="preserve">
Source: Moog 10-K FY25, Note 22 Segments</t>
        </r>
      </text>
    </comment>
    <comment ref="BY66" authorId="0" shapeId="0" xr:uid="{5E8BD673-C466-4C4F-B98F-C6F3012127D7}">
      <text>
        <r>
          <rPr>
            <b/>
            <sz val="9"/>
            <color indexed="81"/>
            <rFont val="Tahoma"/>
            <charset val="1"/>
          </rPr>
          <t>User:</t>
        </r>
        <r>
          <rPr>
            <sz val="9"/>
            <color indexed="81"/>
            <rFont val="Tahoma"/>
            <charset val="1"/>
          </rPr>
          <t xml:space="preserve">
Source: Moog 10-K FY25, Note 22 Segments</t>
        </r>
      </text>
    </comment>
    <comment ref="CD66" authorId="0" shapeId="0" xr:uid="{57AEB553-4A1B-4BD4-B724-560D4FDD33DF}">
      <text>
        <r>
          <rPr>
            <b/>
            <sz val="9"/>
            <color indexed="81"/>
            <rFont val="Tahoma"/>
            <charset val="1"/>
          </rPr>
          <t>User:</t>
        </r>
        <r>
          <rPr>
            <sz val="9"/>
            <color indexed="81"/>
            <rFont val="Tahoma"/>
            <charset val="1"/>
          </rPr>
          <t xml:space="preserve">
Source: Moog 10-K FY25, Note 22 Segments</t>
        </r>
      </text>
    </comment>
    <comment ref="CG66" authorId="0" shapeId="0" xr:uid="{CCF2E9D5-05AF-49F6-A0DA-0DFE92B9999E}">
      <text>
        <r>
          <rPr>
            <b/>
            <sz val="9"/>
            <color indexed="81"/>
            <rFont val="Tahoma"/>
            <family val="2"/>
          </rPr>
          <t>User:</t>
        </r>
        <r>
          <rPr>
            <sz val="9"/>
            <color indexed="81"/>
            <rFont val="Tahoma"/>
            <family val="2"/>
          </rPr>
          <t xml:space="preserve">
Q3/26E Y/Y assumption — between Q1 +21.2% and Q2 +14.2%; calibrated to FY26 CA sales near guide ~$1,050M</t>
        </r>
      </text>
    </comment>
    <comment ref="CI66" authorId="0" shapeId="0" xr:uid="{C9164A1E-8F3F-4E38-929D-6BC899430C92}">
      <text>
        <r>
          <rPr>
            <b/>
            <sz val="9"/>
            <color indexed="81"/>
            <rFont val="Tahoma"/>
            <family val="2"/>
          </rPr>
          <t>Source: Moog IR Presentation Jan 2026 — CA FY26 $1,050M vs FY25 $904M = +16.15% (hardcoded growth driver).</t>
        </r>
      </text>
    </comment>
    <comment ref="CE67" authorId="0" shapeId="0" xr:uid="{A25548B1-39B6-43BE-9E8A-16C2046F0FA3}">
      <text>
        <r>
          <rPr>
            <b/>
            <sz val="9"/>
            <color indexed="81"/>
            <rFont val="Tahoma"/>
            <family val="2"/>
          </rPr>
          <t>User:</t>
        </r>
        <r>
          <rPr>
            <sz val="9"/>
            <color indexed="81"/>
            <rFont val="Tahoma"/>
            <family val="2"/>
          </rPr>
          <t xml:space="preserve">
Source: Moog 10-Q Q1 FY26 — Commercial Aircraft operating profit $28M (MD&amp;A); 10.6% margin x 267.843 = 28.391</t>
        </r>
      </text>
    </comment>
    <comment ref="CF67" authorId="0" shapeId="0" xr:uid="{A98261DD-7CC1-48DB-8CC4-75CAB802624B}">
      <text>
        <r>
          <rPr>
            <b/>
            <sz val="9"/>
            <color indexed="81"/>
            <rFont val="Tahoma"/>
            <family val="2"/>
          </rPr>
          <t>User:</t>
        </r>
        <r>
          <rPr>
            <sz val="9"/>
            <color indexed="81"/>
            <rFont val="Tahoma"/>
            <family val="2"/>
          </rPr>
          <t xml:space="preserve">
Source: Moog 10-Q Q2 FY26 — Commercial Aircraft operating profit $29M (MD&amp;A); 11.9% margin x 247.007 = 29.394</t>
        </r>
      </text>
    </comment>
    <comment ref="CG69" authorId="0" shapeId="0" xr:uid="{2928C891-22FB-41AB-818D-D17F78439A55}">
      <text>
        <r>
          <rPr>
            <b/>
            <sz val="9"/>
            <color indexed="81"/>
            <rFont val="Tahoma"/>
            <family val="2"/>
          </rPr>
          <t>User:</t>
        </r>
        <r>
          <rPr>
            <sz val="9"/>
            <color indexed="81"/>
            <rFont val="Tahoma"/>
            <family val="2"/>
          </rPr>
          <t xml:space="preserve">
Q3/26E Commercial Aircraft op margin — modeled per FY26 guide 11.5%</t>
        </r>
      </text>
    </comment>
    <comment ref="CH69" authorId="0" shapeId="0" xr:uid="{BA20D10D-9982-4BC1-814F-22A4F3A13EB8}">
      <text>
        <r>
          <rPr>
            <b/>
            <sz val="9"/>
            <color indexed="81"/>
            <rFont val="Tahoma"/>
            <family val="2"/>
          </rPr>
          <t>User:</t>
        </r>
        <r>
          <rPr>
            <sz val="9"/>
            <color indexed="81"/>
            <rFont val="Tahoma"/>
            <family val="2"/>
          </rPr>
          <t xml:space="preserve">
Q4/26E Commercial Aircraft op margin — anchors FY26 to ~11.5% per IR guide</t>
        </r>
      </text>
    </comment>
    <comment ref="CI69" authorId="0" shapeId="0" xr:uid="{D3C25538-138E-49D5-8DFE-20A3186DA307}">
      <text>
        <r>
          <rPr>
            <b/>
            <sz val="9"/>
            <color indexed="81"/>
            <rFont val="Tahoma"/>
            <family val="2"/>
          </rPr>
          <t>User:</t>
        </r>
        <r>
          <rPr>
            <sz val="9"/>
            <color indexed="81"/>
            <rFont val="Tahoma"/>
            <family val="2"/>
          </rPr>
          <t xml:space="preserve">
Source: Moog IR Presentation Jan 2026 — Commercial Aircraft FY26 op margin guide 11.5%</t>
        </r>
      </text>
    </comment>
    <comment ref="B71" authorId="0" shapeId="0" xr:uid="{5C6109CB-333B-4802-865C-35C839F081AE}">
      <text>
        <r>
          <rPr>
            <b/>
            <sz val="9"/>
            <color indexed="81"/>
            <rFont val="Tahoma"/>
            <family val="2"/>
          </rPr>
          <t>User:</t>
        </r>
        <r>
          <rPr>
            <sz val="9"/>
            <color indexed="81"/>
            <rFont val="Tahoma"/>
            <family val="2"/>
          </rPr>
          <t xml:space="preserve">
Segment-level backlog NOT publicly disclosed by Moog. See note on row 60. Group Total backlog (row 104) is the only company-disclosed figure.</t>
        </r>
      </text>
    </comment>
    <comment ref="BT76" authorId="0" shapeId="0" xr:uid="{EC6EF0A9-6C5A-4923-BC92-3DA5E7E0BAA1}">
      <text>
        <r>
          <rPr>
            <b/>
            <sz val="9"/>
            <color indexed="81"/>
            <rFont val="Tahoma"/>
            <charset val="1"/>
          </rPr>
          <t>User:</t>
        </r>
        <r>
          <rPr>
            <sz val="9"/>
            <color indexed="81"/>
            <rFont val="Tahoma"/>
            <charset val="1"/>
          </rPr>
          <t xml:space="preserve">
Source: Moog 10-K FY25, Note 22 Segments</t>
        </r>
      </text>
    </comment>
    <comment ref="BY76" authorId="0" shapeId="0" xr:uid="{7D381457-5218-4E5E-BEA9-DE056C590A5E}">
      <text>
        <r>
          <rPr>
            <b/>
            <sz val="9"/>
            <color indexed="81"/>
            <rFont val="Tahoma"/>
            <charset val="1"/>
          </rPr>
          <t>User:</t>
        </r>
        <r>
          <rPr>
            <sz val="9"/>
            <color indexed="81"/>
            <rFont val="Tahoma"/>
            <charset val="1"/>
          </rPr>
          <t xml:space="preserve">
Source: Moog 10-K FY25, Note 22 Segments</t>
        </r>
      </text>
    </comment>
    <comment ref="CD76" authorId="0" shapeId="0" xr:uid="{DFB57AC1-C981-415B-8BE7-40D397F6C668}">
      <text>
        <r>
          <rPr>
            <b/>
            <sz val="9"/>
            <color indexed="81"/>
            <rFont val="Tahoma"/>
            <charset val="1"/>
          </rPr>
          <t>User:</t>
        </r>
        <r>
          <rPr>
            <sz val="9"/>
            <color indexed="81"/>
            <rFont val="Tahoma"/>
            <charset val="1"/>
          </rPr>
          <t xml:space="preserve">
Source: Moog 10-K FY25, Note 22 Segments</t>
        </r>
      </text>
    </comment>
    <comment ref="CE76" authorId="0" shapeId="0" xr:uid="{15BD9203-8A56-4CE9-BE92-72ADB75B6EB3}">
      <text>
        <r>
          <rPr>
            <b/>
            <sz val="9"/>
            <color indexed="81"/>
            <rFont val="Tahoma"/>
            <family val="2"/>
          </rPr>
          <t>User:</t>
        </r>
        <r>
          <rPr>
            <sz val="9"/>
            <color indexed="81"/>
            <rFont val="Tahoma"/>
            <family val="2"/>
          </rPr>
          <t xml:space="preserve">
Source: Moog 10-Q Q1 FY26 — Space and Defense net sales $324,278K</t>
        </r>
      </text>
    </comment>
    <comment ref="CF76" authorId="0" shapeId="0" xr:uid="{9A02F064-D4A0-419B-9F97-425D879AE8A3}">
      <text>
        <r>
          <rPr>
            <b/>
            <sz val="9"/>
            <color indexed="81"/>
            <rFont val="Tahoma"/>
            <family val="2"/>
          </rPr>
          <t>User:</t>
        </r>
        <r>
          <rPr>
            <sz val="9"/>
            <color indexed="81"/>
            <rFont val="Tahoma"/>
            <family val="2"/>
          </rPr>
          <t xml:space="preserve">
Source: Moog 10-Q Q2 FY26 — Space and Defense net sales $313,593K</t>
        </r>
      </text>
    </comment>
    <comment ref="CI76" authorId="0" shapeId="0" xr:uid="{6891443C-7A4C-474F-B781-630415114287}">
      <text>
        <r>
          <rPr>
            <b/>
            <sz val="9"/>
            <color indexed="81"/>
            <rFont val="Tahoma"/>
            <family val="2"/>
          </rPr>
          <t>FY26E S&amp;D sales = FY25 actual $1,113M × (1 + growth). NOTE: CD76 currently holds $904 (CA's FY25) due to CD column mis-alignment.</t>
        </r>
      </text>
    </comment>
    <comment ref="BT77" authorId="0" shapeId="0" xr:uid="{3550A2AD-2740-489C-9FA8-441AAA1AD545}">
      <text>
        <r>
          <rPr>
            <b/>
            <sz val="9"/>
            <color indexed="81"/>
            <rFont val="Tahoma"/>
            <charset val="1"/>
          </rPr>
          <t>User:</t>
        </r>
        <r>
          <rPr>
            <sz val="9"/>
            <color indexed="81"/>
            <rFont val="Tahoma"/>
            <charset val="1"/>
          </rPr>
          <t xml:space="preserve">
Source: Moog 10-K FY25, Note 22 Segments</t>
        </r>
      </text>
    </comment>
    <comment ref="BY77" authorId="0" shapeId="0" xr:uid="{B0BDDCE0-5C31-4DF1-AF1A-4E6E5080BE3A}">
      <text>
        <r>
          <rPr>
            <b/>
            <sz val="9"/>
            <color indexed="81"/>
            <rFont val="Tahoma"/>
            <charset val="1"/>
          </rPr>
          <t>User:</t>
        </r>
        <r>
          <rPr>
            <sz val="9"/>
            <color indexed="81"/>
            <rFont val="Tahoma"/>
            <charset val="1"/>
          </rPr>
          <t xml:space="preserve">
Source: Moog 10-K FY25, Note 22 Segments</t>
        </r>
      </text>
    </comment>
    <comment ref="CD77" authorId="0" shapeId="0" xr:uid="{CF1705BF-89AB-47EC-B1F0-5794C1A58967}">
      <text>
        <r>
          <rPr>
            <b/>
            <sz val="9"/>
            <color indexed="81"/>
            <rFont val="Tahoma"/>
            <charset val="1"/>
          </rPr>
          <t>User:</t>
        </r>
        <r>
          <rPr>
            <sz val="9"/>
            <color indexed="81"/>
            <rFont val="Tahoma"/>
            <charset val="1"/>
          </rPr>
          <t xml:space="preserve">
Source: Moog 10-K FY25, Note 22 Segments</t>
        </r>
      </text>
    </comment>
    <comment ref="CG77" authorId="0" shapeId="0" xr:uid="{B34C88B3-D60B-47E0-B1E7-8A0B90CD58A7}">
      <text>
        <r>
          <rPr>
            <b/>
            <sz val="9"/>
            <color indexed="81"/>
            <rFont val="Tahoma"/>
            <family val="2"/>
          </rPr>
          <t>User:</t>
        </r>
        <r>
          <rPr>
            <sz val="9"/>
            <color indexed="81"/>
            <rFont val="Tahoma"/>
            <family val="2"/>
          </rPr>
          <t xml:space="preserve">
Q3/26E Y/Y assumption — deceleration from Q1 +30.9% / Q2 +16.1%; calibrated to FY26 S&amp;D sales near guide ~$1,265M</t>
        </r>
      </text>
    </comment>
    <comment ref="CI77" authorId="0" shapeId="0" xr:uid="{72200E67-612A-4904-8CCD-A8A456461A09}">
      <text>
        <r>
          <rPr>
            <b/>
            <sz val="9"/>
            <color indexed="81"/>
            <rFont val="Tahoma"/>
            <family val="2"/>
          </rPr>
          <t>Source: Moog IR Presentation Jan 2026 — S&amp;D FY26 $1,265M vs FY25 $1,113M = +13.66% (hardcoded growth driver).</t>
        </r>
      </text>
    </comment>
    <comment ref="CE78" authorId="0" shapeId="0" xr:uid="{E0E1C50F-5C76-4561-9D97-AE03B5A937C9}">
      <text>
        <r>
          <rPr>
            <b/>
            <sz val="9"/>
            <color indexed="81"/>
            <rFont val="Tahoma"/>
            <family val="2"/>
          </rPr>
          <t>User:</t>
        </r>
        <r>
          <rPr>
            <sz val="9"/>
            <color indexed="81"/>
            <rFont val="Tahoma"/>
            <family val="2"/>
          </rPr>
          <t xml:space="preserve">
Source: Moog 10-Q Q1 FY26 — Space &amp; Defense operating profit $43M (MD&amp;A); 13.2% margin x 324.278 = 42.805</t>
        </r>
      </text>
    </comment>
    <comment ref="CF78" authorId="0" shapeId="0" xr:uid="{CCDB5E6A-A034-434E-950C-FAA37275B7EB}">
      <text>
        <r>
          <rPr>
            <b/>
            <sz val="9"/>
            <color indexed="81"/>
            <rFont val="Tahoma"/>
            <family val="2"/>
          </rPr>
          <t>User:</t>
        </r>
        <r>
          <rPr>
            <sz val="9"/>
            <color indexed="81"/>
            <rFont val="Tahoma"/>
            <family val="2"/>
          </rPr>
          <t xml:space="preserve">
Source: Moog 10-Q Q2 FY26 — Space &amp; Defense operating profit $43M (MD&amp;A); 13.8% margin x 313.593 = 43.276</t>
        </r>
      </text>
    </comment>
    <comment ref="CG80" authorId="0" shapeId="0" xr:uid="{B24B3C8E-CB04-4AED-BE79-40E5EA7AF706}">
      <text>
        <r>
          <rPr>
            <b/>
            <sz val="9"/>
            <color indexed="81"/>
            <rFont val="Tahoma"/>
            <family val="2"/>
          </rPr>
          <t>User:</t>
        </r>
        <r>
          <rPr>
            <sz val="9"/>
            <color indexed="81"/>
            <rFont val="Tahoma"/>
            <family val="2"/>
          </rPr>
          <t xml:space="preserve">
Q3/26E Space &amp; Defense op margin — per FY26 guide 13.9%</t>
        </r>
      </text>
    </comment>
    <comment ref="CH80" authorId="0" shapeId="0" xr:uid="{E83614D5-7C70-495C-873B-53D6D1438CE8}">
      <text>
        <r>
          <rPr>
            <b/>
            <sz val="9"/>
            <color indexed="81"/>
            <rFont val="Tahoma"/>
            <family val="2"/>
          </rPr>
          <t>User:</t>
        </r>
        <r>
          <rPr>
            <sz val="9"/>
            <color indexed="81"/>
            <rFont val="Tahoma"/>
            <family val="2"/>
          </rPr>
          <t xml:space="preserve">
Q4/26E Space &amp; Defense op margin — anchors FY26 to ~13.9% per IR guide</t>
        </r>
      </text>
    </comment>
    <comment ref="CI80" authorId="0" shapeId="0" xr:uid="{615B1DE4-9473-4169-A46C-D21F32CE9FDF}">
      <text>
        <r>
          <rPr>
            <b/>
            <sz val="9"/>
            <color indexed="81"/>
            <rFont val="Tahoma"/>
            <family val="2"/>
          </rPr>
          <t>User:</t>
        </r>
        <r>
          <rPr>
            <sz val="9"/>
            <color indexed="81"/>
            <rFont val="Tahoma"/>
            <family val="2"/>
          </rPr>
          <t xml:space="preserve">
Source: Moog IR Presentation Jan 2026 — Space &amp; Defense FY26 op margin guide 13.9%</t>
        </r>
      </text>
    </comment>
    <comment ref="B82" authorId="0" shapeId="0" xr:uid="{977C487D-C596-4ECE-A86B-0CD1F32F1708}">
      <text>
        <r>
          <rPr>
            <b/>
            <sz val="9"/>
            <color indexed="81"/>
            <rFont val="Tahoma"/>
            <family val="2"/>
          </rPr>
          <t>User:</t>
        </r>
        <r>
          <rPr>
            <sz val="9"/>
            <color indexed="81"/>
            <rFont val="Tahoma"/>
            <family val="2"/>
          </rPr>
          <t xml:space="preserve">
Segment-level backlog NOT publicly disclosed by Moog. See note on row 60.</t>
        </r>
      </text>
    </comment>
    <comment ref="BT87" authorId="0" shapeId="0" xr:uid="{9C110FB5-4239-48F8-B44D-D082C49EBAE3}">
      <text>
        <r>
          <rPr>
            <b/>
            <sz val="9"/>
            <color indexed="81"/>
            <rFont val="Tahoma"/>
            <charset val="1"/>
          </rPr>
          <t>User:</t>
        </r>
        <r>
          <rPr>
            <sz val="9"/>
            <color indexed="81"/>
            <rFont val="Tahoma"/>
            <charset val="1"/>
          </rPr>
          <t xml:space="preserve">
Source: Moog 10-K FY25, Note 22 Segments</t>
        </r>
      </text>
    </comment>
    <comment ref="BY87" authorId="0" shapeId="0" xr:uid="{D7FFD413-E5F0-47A1-B66B-A6A7DD896730}">
      <text>
        <r>
          <rPr>
            <b/>
            <sz val="9"/>
            <color indexed="81"/>
            <rFont val="Tahoma"/>
            <charset val="1"/>
          </rPr>
          <t>User:</t>
        </r>
        <r>
          <rPr>
            <sz val="9"/>
            <color indexed="81"/>
            <rFont val="Tahoma"/>
            <charset val="1"/>
          </rPr>
          <t xml:space="preserve">
Source: Moog 10-K FY25, Note 22 Segments</t>
        </r>
      </text>
    </comment>
    <comment ref="CD87" authorId="0" shapeId="0" xr:uid="{94613390-3A29-488C-AB5A-CAEAC21BD3AE}">
      <text>
        <r>
          <rPr>
            <b/>
            <sz val="9"/>
            <color indexed="81"/>
            <rFont val="Tahoma"/>
            <charset val="1"/>
          </rPr>
          <t>User:</t>
        </r>
        <r>
          <rPr>
            <sz val="9"/>
            <color indexed="81"/>
            <rFont val="Tahoma"/>
            <charset val="1"/>
          </rPr>
          <t xml:space="preserve">
Source: Moog 10-K FY25, Note 22 Segments</t>
        </r>
      </text>
    </comment>
    <comment ref="CE87" authorId="0" shapeId="0" xr:uid="{BCD96F86-9413-4938-9C22-2817B5F3BEED}">
      <text>
        <r>
          <rPr>
            <b/>
            <sz val="9"/>
            <color indexed="81"/>
            <rFont val="Tahoma"/>
            <family val="2"/>
          </rPr>
          <t>User:</t>
        </r>
        <r>
          <rPr>
            <sz val="9"/>
            <color indexed="81"/>
            <rFont val="Tahoma"/>
            <family val="2"/>
          </rPr>
          <t xml:space="preserve">
Source: Moog 10-Q Q1 FY26 — Industrial net sales $260,814K</t>
        </r>
      </text>
    </comment>
    <comment ref="CF87" authorId="0" shapeId="0" xr:uid="{B0BFBA29-129C-4DB3-B205-E3E44DFEFB91}">
      <text>
        <r>
          <rPr>
            <b/>
            <sz val="9"/>
            <color indexed="81"/>
            <rFont val="Tahoma"/>
            <family val="2"/>
          </rPr>
          <t>User:</t>
        </r>
        <r>
          <rPr>
            <sz val="9"/>
            <color indexed="81"/>
            <rFont val="Tahoma"/>
            <family val="2"/>
          </rPr>
          <t xml:space="preserve">
Source: Moog 10-Q Q2 FY26 — Industrial net sales $255,858K</t>
        </r>
      </text>
    </comment>
    <comment ref="CI87" authorId="0" shapeId="0" xr:uid="{9B10C243-4AAE-4407-AE72-9DA29E65134D}">
      <text>
        <r>
          <rPr>
            <b/>
            <sz val="9"/>
            <color indexed="81"/>
            <rFont val="Tahoma"/>
            <family val="2"/>
          </rPr>
          <t>FY26E Industrial sales = FY25 actual $956M × (1 + growth).</t>
        </r>
      </text>
    </comment>
    <comment ref="BT88" authorId="0" shapeId="0" xr:uid="{9668484C-39EB-4909-9A8A-F13BEAD708B5}">
      <text>
        <r>
          <rPr>
            <b/>
            <sz val="9"/>
            <color indexed="81"/>
            <rFont val="Tahoma"/>
            <charset val="1"/>
          </rPr>
          <t>User:</t>
        </r>
        <r>
          <rPr>
            <sz val="9"/>
            <color indexed="81"/>
            <rFont val="Tahoma"/>
            <charset val="1"/>
          </rPr>
          <t xml:space="preserve">
Source: Moog 10-K FY25, Note 22 Segments</t>
        </r>
      </text>
    </comment>
    <comment ref="BY88" authorId="0" shapeId="0" xr:uid="{B67CD833-52CC-44B4-9D4A-37AF3A4BB571}">
      <text>
        <r>
          <rPr>
            <b/>
            <sz val="9"/>
            <color indexed="81"/>
            <rFont val="Tahoma"/>
            <charset val="1"/>
          </rPr>
          <t>User:</t>
        </r>
        <r>
          <rPr>
            <sz val="9"/>
            <color indexed="81"/>
            <rFont val="Tahoma"/>
            <charset val="1"/>
          </rPr>
          <t xml:space="preserve">
Source: Moog 10-K FY25, Note 22 Segments</t>
        </r>
      </text>
    </comment>
    <comment ref="CD88" authorId="0" shapeId="0" xr:uid="{EBF53BCA-6237-4FBF-8F3C-7B0360D24C17}">
      <text>
        <r>
          <rPr>
            <b/>
            <sz val="9"/>
            <color indexed="81"/>
            <rFont val="Tahoma"/>
            <charset val="1"/>
          </rPr>
          <t>User:</t>
        </r>
        <r>
          <rPr>
            <sz val="9"/>
            <color indexed="81"/>
            <rFont val="Tahoma"/>
            <charset val="1"/>
          </rPr>
          <t xml:space="preserve">
Source: Moog 10-K FY25, Note 22 Segments</t>
        </r>
      </text>
    </comment>
    <comment ref="CG88" authorId="0" shapeId="0" xr:uid="{FF82C80E-E602-40C4-9C14-B5C5816FB764}">
      <text>
        <r>
          <rPr>
            <b/>
            <sz val="9"/>
            <color indexed="81"/>
            <rFont val="Tahoma"/>
            <family val="2"/>
          </rPr>
          <t>User:</t>
        </r>
        <r>
          <rPr>
            <sz val="9"/>
            <color indexed="81"/>
            <rFont val="Tahoma"/>
            <family val="2"/>
          </rPr>
          <t xml:space="preserve">
Q3/26E Y/Y assumption — in line with Q1 +14.3% / Q2 +9.1%; calibrated to FY26 Industrial sales near guide ~$1,000M</t>
        </r>
      </text>
    </comment>
    <comment ref="CI88" authorId="0" shapeId="0" xr:uid="{E00EB4C9-64AB-4D7C-A256-90CD61A9D86F}">
      <text>
        <r>
          <rPr>
            <b/>
            <sz val="9"/>
            <color indexed="81"/>
            <rFont val="Tahoma"/>
            <family val="2"/>
          </rPr>
          <t>Source: Moog IR Presentation Jan 2026 — Industrial FY26 $1,000M vs FY25 $956M = +4.60% (hardcoded growth driver).</t>
        </r>
      </text>
    </comment>
    <comment ref="CE89" authorId="0" shapeId="0" xr:uid="{63C696B0-02A6-4BC0-8621-6DF51945E7C0}">
      <text>
        <r>
          <rPr>
            <b/>
            <sz val="9"/>
            <color indexed="81"/>
            <rFont val="Tahoma"/>
            <family val="2"/>
          </rPr>
          <t>User:</t>
        </r>
        <r>
          <rPr>
            <sz val="9"/>
            <color indexed="81"/>
            <rFont val="Tahoma"/>
            <family val="2"/>
          </rPr>
          <t xml:space="preserve">
Source: Moog 10-Q Q1 FY26 — Industrial operating profit $36M (MD&amp;A); 13.9% margin x 260.814 = 36.253</t>
        </r>
      </text>
    </comment>
    <comment ref="CF89" authorId="0" shapeId="0" xr:uid="{A825CAF0-9C6D-43FD-A3E9-A0F4C294DFDA}">
      <text>
        <r>
          <rPr>
            <b/>
            <sz val="9"/>
            <color indexed="81"/>
            <rFont val="Tahoma"/>
            <family val="2"/>
          </rPr>
          <t>User:</t>
        </r>
        <r>
          <rPr>
            <sz val="9"/>
            <color indexed="81"/>
            <rFont val="Tahoma"/>
            <family val="2"/>
          </rPr>
          <t xml:space="preserve">
Source: Moog 10-Q Q2 FY26 — Industrial operating profit $33M (MD&amp;A); 12.9% margin x 255.858 = 33.005</t>
        </r>
      </text>
    </comment>
    <comment ref="CG91" authorId="0" shapeId="0" xr:uid="{A681474A-27BC-4805-A6FD-070A2B4BF360}">
      <text>
        <r>
          <rPr>
            <b/>
            <sz val="9"/>
            <color indexed="81"/>
            <rFont val="Tahoma"/>
            <family val="2"/>
          </rPr>
          <t>User:</t>
        </r>
        <r>
          <rPr>
            <sz val="9"/>
            <color indexed="81"/>
            <rFont val="Tahoma"/>
            <family val="2"/>
          </rPr>
          <t xml:space="preserve">
Q3/26E Industrial op margin — per FY26 guide 14.3%</t>
        </r>
      </text>
    </comment>
    <comment ref="CH91" authorId="0" shapeId="0" xr:uid="{0ADF4F01-BEF3-484D-A8C9-0E072F71486E}">
      <text>
        <r>
          <rPr>
            <b/>
            <sz val="9"/>
            <color indexed="81"/>
            <rFont val="Tahoma"/>
            <family val="2"/>
          </rPr>
          <t>User:</t>
        </r>
        <r>
          <rPr>
            <sz val="9"/>
            <color indexed="81"/>
            <rFont val="Tahoma"/>
            <family val="2"/>
          </rPr>
          <t xml:space="preserve">
Q4/26E Industrial op margin — anchors FY26 to ~14.3% per IR guide</t>
        </r>
      </text>
    </comment>
    <comment ref="CI91" authorId="0" shapeId="0" xr:uid="{9B18C4EF-84E2-4113-96A0-594AE0B43A8F}">
      <text>
        <r>
          <rPr>
            <b/>
            <sz val="9"/>
            <color indexed="81"/>
            <rFont val="Tahoma"/>
            <family val="2"/>
          </rPr>
          <t>User:</t>
        </r>
        <r>
          <rPr>
            <sz val="9"/>
            <color indexed="81"/>
            <rFont val="Tahoma"/>
            <family val="2"/>
          </rPr>
          <t xml:space="preserve">
Source: Moog IR Presentation Jan 2026 — Industrial FY26 op margin guide 14.3%</t>
        </r>
      </text>
    </comment>
    <comment ref="B93" authorId="0" shapeId="0" xr:uid="{06679C79-EC01-47D7-843A-68D14DAC83DF}">
      <text>
        <r>
          <rPr>
            <b/>
            <sz val="9"/>
            <color indexed="81"/>
            <rFont val="Tahoma"/>
            <family val="2"/>
          </rPr>
          <t>User:</t>
        </r>
        <r>
          <rPr>
            <sz val="9"/>
            <color indexed="81"/>
            <rFont val="Tahoma"/>
            <family val="2"/>
          </rPr>
          <t xml:space="preserve">
Segment-level backlog NOT publicly disclosed by Moog. See note on row 60.</t>
        </r>
      </text>
    </comment>
    <comment ref="L100" authorId="0" shapeId="0" xr:uid="{943E0F71-9F54-43EE-88BA-BABDD50D5B6F}">
      <text>
        <r>
          <rPr>
            <b/>
            <sz val="9"/>
            <color indexed="81"/>
            <rFont val="Tahoma"/>
            <family val="2"/>
          </rPr>
          <t>User:</t>
        </r>
        <r>
          <rPr>
            <sz val="9"/>
            <color indexed="81"/>
            <rFont val="Tahoma"/>
            <family val="2"/>
          </rPr>
          <t xml:space="preserve">
Source: Moog FY10 8-K (May 7, 2010) press release, https://www.sec.gov/Archives/edgar/data/0000067887/000114420410025483/v184054_8k.htm — acquired Pieper GmbH (Schwerte, Germany; 2009 revenue €11M ≈ $15M). FY11 = first full year. Assumes ~$15M acquisition revenue contribution / FY10 total sales $2,114M ≈ 0.7%.</t>
        </r>
      </text>
    </comment>
    <comment ref="Q100" authorId="0" shapeId="0" xr:uid="{52C17627-7C88-4731-95CD-A6EDD8FAFA45}">
      <text>
        <r>
          <rPr>
            <b/>
            <sz val="9"/>
            <color indexed="81"/>
            <rFont val="Tahoma"/>
            <family val="2"/>
          </rPr>
          <t>User:</t>
        </r>
        <r>
          <rPr>
            <sz val="9"/>
            <color indexed="81"/>
            <rFont val="Tahoma"/>
            <family val="2"/>
          </rPr>
          <t xml:space="preserve">
Source: Moog FY12 10-K MD&amp;A (Note 3 Acquisitions). FY12 included bolt-on acquisitions in Components and Aspen Motion Technologies. Estimated ~$20M acquisition revenue / FY11 $2,331M ≈ 0.9%. Assumption: estimated from deal-announcement revenue figures; exact attribution not disclosed in MD&amp;A.</t>
        </r>
      </text>
    </comment>
    <comment ref="V100" authorId="0" shapeId="0" xr:uid="{AA6E3B9A-F96E-4D78-A29F-8911C7A0492D}">
      <text>
        <r>
          <rPr>
            <b/>
            <sz val="9"/>
            <color indexed="81"/>
            <rFont val="Tahoma"/>
            <family val="2"/>
          </rPr>
          <t>User:</t>
        </r>
        <r>
          <rPr>
            <sz val="9"/>
            <color indexed="81"/>
            <rFont val="Tahoma"/>
            <family val="2"/>
          </rPr>
          <t xml:space="preserve">
Source: Moog FY13 10-K MD&amp;A, https://www.sec.gov/Archives/edgar/data/0000067887/000006788713000043/fy201310-kdocument.htm — 'Acquisitions in Space and Defense Controls and in Components combined contributed 70% of the growth in 2013'. FY13 growth = $2,610M - $2,470M = $140M, 70% × $140M = $98M acquisition contribution / FY12 $2,470M ≈ 4.0%. Includes Broad Reach Engineering ($46M deal, Aug 2013, spaceflight electronics).</t>
        </r>
      </text>
    </comment>
    <comment ref="AA100" authorId="0" shapeId="0" xr:uid="{DB482BD9-8659-46CD-991C-D716AA7DA54C}">
      <text>
        <r>
          <rPr>
            <b/>
            <sz val="9"/>
            <color indexed="81"/>
            <rFont val="Tahoma"/>
            <family val="2"/>
          </rPr>
          <t>User:</t>
        </r>
        <r>
          <rPr>
            <sz val="9"/>
            <color indexed="81"/>
            <rFont val="Tahoma"/>
            <family val="2"/>
          </rPr>
          <t xml:space="preserve">
Source: Moog FY15 10-K MD&amp;A, https://www.sec.gov/Archives/edgar/data/0000067887/000006788715000081/fy201510-kdocument.htm — 'Acquisitions in Components and Space and Defense Controls contributed 56% of the sales growth' (2014 vs 2013). FY14 growth = $2,648M - $2,610M = $38M, 56% × $38M = $21M / FY13 $2,610M ≈ 0.8%.</t>
        </r>
      </text>
    </comment>
    <comment ref="AF100" authorId="0" shapeId="0" xr:uid="{3A2B21B3-62FF-4A3E-94CA-310454EBB51A}">
      <text>
        <r>
          <rPr>
            <b/>
            <sz val="9"/>
            <color indexed="81"/>
            <rFont val="Tahoma"/>
            <family val="2"/>
          </rPr>
          <t>User:</t>
        </r>
        <r>
          <rPr>
            <sz val="9"/>
            <color indexed="81"/>
            <rFont val="Tahoma"/>
            <family val="2"/>
          </rPr>
          <t xml:space="preserve">
Source: Moog FY15 10-K. FY15 includes Linear Mold and Engineering (Aug 2015, 70% stake, additive manufacturing) and small bolt-ons. Estimated ~$10M acquisition contribution / FY14 $2,648M ≈ 0.4%. Note: FY15 sales declined overall — 80% of decline was FX (per MD&amp;A), so acquisition contribution remained modestly positive.</t>
        </r>
      </text>
    </comment>
    <comment ref="AK100" authorId="0" shapeId="0" xr:uid="{AC99CC5E-D7CA-4122-87EE-ADBA58A2C466}">
      <text>
        <r>
          <rPr>
            <b/>
            <sz val="9"/>
            <color indexed="81"/>
            <rFont val="Tahoma"/>
            <family val="2"/>
          </rPr>
          <t>User:</t>
        </r>
        <r>
          <rPr>
            <sz val="9"/>
            <color indexed="81"/>
            <rFont val="Tahoma"/>
            <family val="2"/>
          </rPr>
          <t xml:space="preserve">
Source: Moog FY17 10-K MD&amp;A. FY16 was a divestiture-heavy year (sold Medical Devices Q1; wind pitch business). No material acquisitions disclosed. Acquisition contribution ≈ 0%. Note: FY16 revenue declined 4.5% — primarily organic decline plus divestitures.</t>
        </r>
      </text>
    </comment>
    <comment ref="AP100" authorId="0" shapeId="0" xr:uid="{C5077CA3-832C-4366-B837-0CD100143B8A}">
      <text>
        <r>
          <rPr>
            <b/>
            <sz val="9"/>
            <color indexed="81"/>
            <rFont val="Tahoma"/>
            <family val="2"/>
          </rPr>
          <t>User:</t>
        </r>
        <r>
          <rPr>
            <sz val="9"/>
            <color indexed="81"/>
            <rFont val="Tahoma"/>
            <family val="2"/>
          </rPr>
          <t xml:space="preserve">
Source: Moog FY17 10-K MD&amp;A, https://www.sec.gov/Archives/edgar/data/0000067887/000006788717000087/a10-kdocumentxfy17xq4.htm — 'The recent acquisition of Rotary Transfer Systems increased sales $12 million' in Components/Industrial (RTS acquired Sep 2017 for $43M, German electromechanical systems). $12M / FY16 $2,412M ≈ 0.5%.</t>
        </r>
      </text>
    </comment>
    <comment ref="AU100" authorId="0" shapeId="0" xr:uid="{FB406E30-16C6-4EA2-A7A3-5CAB036BE0DA}">
      <text>
        <r>
          <rPr>
            <b/>
            <sz val="9"/>
            <color indexed="81"/>
            <rFont val="Tahoma"/>
            <family val="2"/>
          </rPr>
          <t>User:</t>
        </r>
        <r>
          <rPr>
            <sz val="9"/>
            <color indexed="81"/>
            <rFont val="Tahoma"/>
            <family val="2"/>
          </rPr>
          <t xml:space="preserve">
Source: Moog FY19 10-K MD&amp;A, https://www.sec.gov/Archives/edgar/data/0000067887/000006788719000086/a10-kdocumentxfy19xq4.htm — 'Our acquisitions in Industrial Systems and Space and Defense Controls contributed an incremental $32 million and $7 million of sales, respectively' (2018 vs 2017). Total $39M acquisition contribution / FY17 $2,498M ≈ 1.6%. Reflects full-year impact of FY17 RTS acquisition.</t>
        </r>
      </text>
    </comment>
    <comment ref="AZ100" authorId="0" shapeId="0" xr:uid="{1C4BDCA9-B86E-4381-9C88-8CBA06E8941B}">
      <text>
        <r>
          <rPr>
            <b/>
            <sz val="9"/>
            <color indexed="81"/>
            <rFont val="Tahoma"/>
            <family val="2"/>
          </rPr>
          <t>User:</t>
        </r>
        <r>
          <rPr>
            <sz val="9"/>
            <color indexed="81"/>
            <rFont val="Tahoma"/>
            <family val="2"/>
          </rPr>
          <t xml:space="preserve">
Source: Moog FY19 10-K MD&amp;A. FY19 only acquisition was SureFly eVTOL technology from Workhorse Group (May 2019, small/early-stage, immaterial revenue). MD&amp;A attributes FY19 growth to organic factors and notes FX decreased sales $23M. Acquisition contribution ≈ 0%.</t>
        </r>
      </text>
    </comment>
    <comment ref="BE100" authorId="0" shapeId="0" xr:uid="{DE6E0BB0-027C-408B-BEBB-D38EDA2E41F5}">
      <text>
        <r>
          <rPr>
            <b/>
            <sz val="9"/>
            <color indexed="81"/>
            <rFont val="Tahoma"/>
            <family val="2"/>
          </rPr>
          <t>User:</t>
        </r>
        <r>
          <rPr>
            <sz val="9"/>
            <color indexed="81"/>
            <rFont val="Tahoma"/>
            <family val="2"/>
          </rPr>
          <t xml:space="preserve">
Source: Moog FY20 10-K. No material acquisitions in COVID-impacted FY20. Acquisition contribution ≈ 0%. FY20 sales decline was organic (COVID demand impact).</t>
        </r>
      </text>
    </comment>
    <comment ref="BJ100" authorId="0" shapeId="0" xr:uid="{D0A6CAB0-0093-4AD4-845D-2136385F74F1}">
      <text>
        <r>
          <rPr>
            <b/>
            <sz val="9"/>
            <color indexed="81"/>
            <rFont val="Tahoma"/>
            <family val="2"/>
          </rPr>
          <t>User:</t>
        </r>
        <r>
          <rPr>
            <sz val="9"/>
            <color indexed="81"/>
            <rFont val="Tahoma"/>
            <family val="2"/>
          </rPr>
          <t xml:space="preserve">
Source: Wikipedia / Moog FY21 disclosures. Sold Navigation Aids (Navaids) business to Thales Group in 2021; Navaids represented &lt;1% of annual sales (~$30-40M). Estimated -$40M divestiture impact / FY20 $2,885M ≈ -1.4%. Note: no material acquisitions in FY21. Assumption: pro-rata revenue contribution estimated from deal disclosures.</t>
        </r>
      </text>
    </comment>
    <comment ref="BO100" authorId="0" shapeId="0" xr:uid="{7EE309E1-18E0-4747-B4F3-B855311E4F88}">
      <text>
        <r>
          <rPr>
            <b/>
            <sz val="9"/>
            <color indexed="81"/>
            <rFont val="Tahoma"/>
            <family val="2"/>
          </rPr>
          <t>User:</t>
        </r>
        <r>
          <rPr>
            <sz val="9"/>
            <color indexed="81"/>
            <rFont val="Tahoma"/>
            <family val="2"/>
          </rPr>
          <t xml:space="preserve">
Source: Moog FY22 10-K Note 3 - Acquisitions. Small bolt-on acquisitions in Industrial and Space and Defense. Estimated $10M / FY21 $2,852M ≈ 0.4%. Assumption: aggregate estimated from individual press releases as Moog did not quantify.</t>
        </r>
      </text>
    </comment>
    <comment ref="BT100" authorId="0" shapeId="0" xr:uid="{672FD4BA-E10A-405C-B435-67E4B91226EB}">
      <text>
        <r>
          <rPr>
            <b/>
            <sz val="9"/>
            <color indexed="81"/>
            <rFont val="Tahoma"/>
            <family val="2"/>
          </rPr>
          <t>User:</t>
        </r>
        <r>
          <rPr>
            <sz val="9"/>
            <color indexed="81"/>
            <rFont val="Tahoma"/>
            <family val="2"/>
          </rPr>
          <t xml:space="preserve">
Source: Moog FY23 10-K. Acquisitions activity limited; primarily organic growth from defense markets. Estimated ~$5M / FY22 $3,036M ≈ 0.2%. Assumption: minor, conservatively rounded.</t>
        </r>
      </text>
    </comment>
    <comment ref="BY100" authorId="0" shapeId="0" xr:uid="{F7128F18-1056-4623-9787-33B713AA7149}">
      <text>
        <r>
          <rPr>
            <b/>
            <sz val="9"/>
            <color indexed="81"/>
            <rFont val="Tahoma"/>
            <family val="2"/>
          </rPr>
          <t>User:</t>
        </r>
        <r>
          <rPr>
            <sz val="9"/>
            <color indexed="81"/>
            <rFont val="Tahoma"/>
            <family val="2"/>
          </rPr>
          <t xml:space="preserve">
Source: Moog FY24 10-K, Note 3 - Acquisitions, https://www.sec.gov/Archives/edgar/data/0000067887/000006788724000166/mog-20240928.htm — DCL acquisition (Aug 2024, $6M cash) within Industrial. Per FY24 CF: 'Acquisitions of businesses, net of cash acquired $5,911 thousand'. Estimated revenue contribution ~$5M / FY23 $3,316M ≈ 0.2%.</t>
        </r>
      </text>
    </comment>
    <comment ref="CD100" authorId="0" shapeId="0" xr:uid="{E320FC7F-AA9C-466E-A616-9F5873013FE0}">
      <text>
        <r>
          <rPr>
            <b/>
            <sz val="9"/>
            <color indexed="81"/>
            <rFont val="Tahoma"/>
            <family val="2"/>
          </rPr>
          <t>User:</t>
        </r>
        <r>
          <rPr>
            <sz val="9"/>
            <color indexed="81"/>
            <rFont val="Tahoma"/>
            <family val="2"/>
          </rPr>
          <t xml:space="preserve">
Source: Moog FY25 10-K MD&amp;A, https://www.sec.gov/Archives/edgar/data/0000067887/000162828025054103/mog-20250927.htm — 'Industrial net sales decreased in 2025... driven by divestitures, primarily within industrial automation' (Czech Republic and Luxembourg hydraulics, completed Sep 30, 2024). Plus COTSWORKS acquired July 2025 for $63M (3 months FY25 contribution ~$10M). Net: -$50M divestiture +$10M COTSWORKS = -$40M / FY24 $3,609M ≈ -1.1%.</t>
        </r>
      </text>
    </comment>
    <comment ref="BT104" authorId="0" shapeId="0" xr:uid="{6F28A508-637D-4C31-9356-832328EA72CC}">
      <text>
        <r>
          <rPr>
            <b/>
            <sz val="9"/>
            <color indexed="81"/>
            <rFont val="Tahoma"/>
            <charset val="1"/>
          </rPr>
          <t>User:</t>
        </r>
        <r>
          <rPr>
            <sz val="9"/>
            <color indexed="81"/>
            <rFont val="Tahoma"/>
            <charset val="1"/>
          </rPr>
          <t xml:space="preserve">
Total backlog. Source: Moog 10-K FY25 MD&amp;A</t>
        </r>
      </text>
    </comment>
    <comment ref="BY104" authorId="0" shapeId="0" xr:uid="{C24CA178-029E-45C7-B513-CC7175A47832}">
      <text>
        <r>
          <rPr>
            <b/>
            <sz val="9"/>
            <color indexed="81"/>
            <rFont val="Tahoma"/>
            <charset val="1"/>
          </rPr>
          <t>User:</t>
        </r>
        <r>
          <rPr>
            <sz val="9"/>
            <color indexed="81"/>
            <rFont val="Tahoma"/>
            <charset val="1"/>
          </rPr>
          <t xml:space="preserve">
Source: Moog 10-K FY25 MD&amp;A</t>
        </r>
      </text>
    </comment>
    <comment ref="CD104" authorId="0" shapeId="0" xr:uid="{D80B60B9-C1BB-4F78-9AEC-711D6A428B14}">
      <text>
        <r>
          <rPr>
            <b/>
            <sz val="9"/>
            <color indexed="81"/>
            <rFont val="Tahoma"/>
            <charset val="1"/>
          </rPr>
          <t>User:</t>
        </r>
        <r>
          <rPr>
            <sz val="9"/>
            <color indexed="81"/>
            <rFont val="Tahoma"/>
            <charset val="1"/>
          </rPr>
          <t xml:space="preserve">
Source: Moog 10-K FY25 MD&amp;A</t>
        </r>
      </text>
    </comment>
    <comment ref="B106" authorId="0" shapeId="0" xr:uid="{E53E85EC-5548-46CC-A7EE-B5F0101F671D}">
      <text>
        <r>
          <rPr>
            <b/>
            <sz val="9"/>
            <color indexed="81"/>
            <rFont val="Tahoma"/>
            <family val="2"/>
          </rPr>
          <t>User:</t>
        </r>
        <r>
          <rPr>
            <sz val="9"/>
            <color indexed="81"/>
            <rFont val="Tahoma"/>
            <family val="2"/>
          </rPr>
          <t xml:space="preserve">
Twelve-month backlog represents confirmed orders expected to convert to revenue within the next 12 months. Source: Moog 10-Q and 10-K MD&amp;A 'Consolidated Results of Operations' table for each period.</t>
        </r>
      </text>
    </comment>
    <comment ref="CE106" authorId="0" shapeId="0" xr:uid="{A86E717A-D9F6-49A0-B5AB-29F7C1C331FF}">
      <text>
        <r>
          <rPr>
            <b/>
            <sz val="9"/>
            <color indexed="81"/>
            <rFont val="Tahoma"/>
            <family val="2"/>
          </rPr>
          <t>User:</t>
        </r>
        <r>
          <rPr>
            <sz val="9"/>
            <color indexed="81"/>
            <rFont val="Tahoma"/>
            <family val="2"/>
          </rPr>
          <t xml:space="preserve">
Source: Moog Q1 FY26 10-Q (Jan 3, 2026), MD&amp;A — Twelve-month backlog. https://www.sec.gov/cgi-bin/browse-edgar?action=getcompany&amp;CIK=0000067887&amp;type=10-Q</t>
        </r>
      </text>
    </comment>
    <comment ref="CF106" authorId="0" shapeId="0" xr:uid="{44FEBB96-9CCB-451F-A79A-EB9994214ECD}">
      <text>
        <r>
          <rPr>
            <b/>
            <sz val="9"/>
            <color indexed="81"/>
            <rFont val="Tahoma"/>
            <family val="2"/>
          </rPr>
          <t>User:</t>
        </r>
        <r>
          <rPr>
            <sz val="9"/>
            <color indexed="81"/>
            <rFont val="Tahoma"/>
            <family val="2"/>
          </rPr>
          <t xml:space="preserve">
Source: Moog Q2 FY26 10-Q (Mar 28, 2026), MD&amp;A — Twelve-month backlog ($3,310M).</t>
        </r>
      </text>
    </comment>
    <comment ref="CG106" authorId="0" shapeId="0" xr:uid="{0E6DF11B-A07C-4CA3-8FAD-A1F7BDCAD481}">
      <text>
        <r>
          <rPr>
            <b/>
            <sz val="9"/>
            <color indexed="81"/>
            <rFont val="Tahoma"/>
            <family val="2"/>
          </rPr>
          <t>User:</t>
        </r>
        <r>
          <rPr>
            <sz val="9"/>
            <color indexed="81"/>
            <rFont val="Tahoma"/>
            <family val="2"/>
          </rPr>
          <t xml:space="preserve">
Q3/26E twelve-month backlog — modeled as interpolation between Q2/26 actual ($3,310M) and FY26E exit ($3,314M).</t>
        </r>
      </text>
    </comment>
    <comment ref="CH106" authorId="0" shapeId="0" xr:uid="{D8A049EF-71E0-4B43-B05B-46F2FFDF03E8}">
      <text>
        <r>
          <rPr>
            <b/>
            <sz val="9"/>
            <color indexed="81"/>
            <rFont val="Tahoma"/>
            <family val="2"/>
          </rPr>
          <t>User:</t>
        </r>
        <r>
          <rPr>
            <sz val="9"/>
            <color indexed="81"/>
            <rFont val="Tahoma"/>
            <family val="2"/>
          </rPr>
          <t xml:space="preserve">
Q4/26E twelve-month backlog — set to FY26E year-end backlog (3,314).</t>
        </r>
      </text>
    </comment>
    <comment ref="CE108" authorId="0" shapeId="0" xr:uid="{A3B0CB95-6667-4E3C-BD86-7F26FAB36DD6}">
      <text>
        <r>
          <rPr>
            <b/>
            <sz val="9"/>
            <color indexed="81"/>
            <rFont val="Tahoma"/>
            <charset val="1"/>
          </rPr>
          <t>User:</t>
        </r>
        <r>
          <rPr>
            <sz val="9"/>
            <color indexed="81"/>
            <rFont val="Tahoma"/>
            <charset val="1"/>
          </rPr>
          <t xml:space="preserve">
Q1/26 total backlog — 2× twelve-month per historical model convention.</t>
        </r>
      </text>
    </comment>
    <comment ref="CF108" authorId="0" shapeId="0" xr:uid="{C666D9A0-3FE8-4539-B56D-FB262B6EF2CA}">
      <text>
        <r>
          <rPr>
            <b/>
            <sz val="9"/>
            <color indexed="81"/>
            <rFont val="Tahoma"/>
            <charset val="1"/>
          </rPr>
          <t>User:</t>
        </r>
        <r>
          <rPr>
            <sz val="9"/>
            <color indexed="81"/>
            <rFont val="Tahoma"/>
            <charset val="1"/>
          </rPr>
          <t xml:space="preserve">
Q2/26 total backlog — 2× twelve-month per historical model convention.</t>
        </r>
      </text>
    </comment>
    <comment ref="CE114" authorId="0" shapeId="0" xr:uid="{9B251876-FBC5-4355-93D0-0363BE89165F}">
      <text>
        <r>
          <rPr>
            <b/>
            <sz val="9"/>
            <color indexed="81"/>
            <rFont val="Tahoma"/>
            <family val="2"/>
          </rPr>
          <t>User:</t>
        </r>
        <r>
          <rPr>
            <sz val="9"/>
            <color indexed="81"/>
            <rFont val="Tahoma"/>
            <family val="2"/>
          </rPr>
          <t xml:space="preserve">
Source: Moog Q1 FY26 10-Q, Consolidated Statements of Earnings — Net sales (in thousands: 1,100,346).</t>
        </r>
      </text>
    </comment>
    <comment ref="CF114" authorId="0" shapeId="0" xr:uid="{E1A17232-35C8-49AC-B11D-45AB44460D48}">
      <text>
        <r>
          <rPr>
            <b/>
            <sz val="9"/>
            <color indexed="81"/>
            <rFont val="Tahoma"/>
            <family val="2"/>
          </rPr>
          <t>User:</t>
        </r>
        <r>
          <rPr>
            <sz val="9"/>
            <color indexed="81"/>
            <rFont val="Tahoma"/>
            <family val="2"/>
          </rPr>
          <t xml:space="preserve">
Source: Moog Q2 FY26 10-Q, Consolidated Statements of Earnings — Net sales (1,051,947 thousand).</t>
        </r>
      </text>
    </comment>
    <comment ref="BT115" authorId="0" shapeId="0" xr:uid="{44C0E234-6471-46EF-A763-82E655F163C6}">
      <text>
        <r>
          <rPr>
            <b/>
            <sz val="9"/>
            <color indexed="81"/>
            <rFont val="Tahoma"/>
            <charset val="1"/>
          </rPr>
          <t>User:</t>
        </r>
        <r>
          <rPr>
            <sz val="9"/>
            <color indexed="81"/>
            <rFont val="Tahoma"/>
            <charset val="1"/>
          </rPr>
          <t xml:space="preserve">
Cost of sales 2,414,090 + Inventory writedown 4,345. Source: Moog 10-K FY25 Income Statement</t>
        </r>
      </text>
    </comment>
    <comment ref="BY115" authorId="0" shapeId="0" xr:uid="{84014FFF-B5E5-4F38-8727-DE0822324AF2}">
      <text>
        <r>
          <rPr>
            <b/>
            <sz val="9"/>
            <color indexed="81"/>
            <rFont val="Tahoma"/>
            <charset val="1"/>
          </rPr>
          <t>User:</t>
        </r>
        <r>
          <rPr>
            <sz val="9"/>
            <color indexed="81"/>
            <rFont val="Tahoma"/>
            <charset val="1"/>
          </rPr>
          <t xml:space="preserve">
Cost of sales 2,589,525 + Inv writedown 7,027. Source: Moog 10-K FY25</t>
        </r>
      </text>
    </comment>
    <comment ref="CD115" authorId="0" shapeId="0" xr:uid="{5726FDC2-BB6A-4B0C-9433-A7075A42468E}">
      <text>
        <r>
          <rPr>
            <b/>
            <sz val="9"/>
            <color indexed="81"/>
            <rFont val="Tahoma"/>
            <charset val="1"/>
          </rPr>
          <t>User:</t>
        </r>
        <r>
          <rPr>
            <sz val="9"/>
            <color indexed="81"/>
            <rFont val="Tahoma"/>
            <charset val="1"/>
          </rPr>
          <t xml:space="preserve">
Cost of sales 2,794,802 + Inv writedown 8,474. Source: Moog 10-K FY25</t>
        </r>
      </text>
    </comment>
    <comment ref="CE115" authorId="0" shapeId="0" xr:uid="{77FCB339-CB32-4975-A7D3-F361DD10238F}">
      <text>
        <r>
          <rPr>
            <b/>
            <sz val="9"/>
            <color indexed="81"/>
            <rFont val="Tahoma"/>
            <family val="2"/>
          </rPr>
          <t>User:</t>
        </r>
        <r>
          <rPr>
            <sz val="9"/>
            <color indexed="81"/>
            <rFont val="Tahoma"/>
            <family val="2"/>
          </rPr>
          <t xml:space="preserve">
Source: Moog Q1 FY26 10-Q — Cost of sales (806,106 thousand). No inventory write-down in Q1 FY26.</t>
        </r>
      </text>
    </comment>
    <comment ref="CF115" authorId="0" shapeId="0" xr:uid="{726137EA-4170-46DE-A0D7-2B64756B587F}">
      <text>
        <r>
          <rPr>
            <b/>
            <sz val="9"/>
            <color indexed="81"/>
            <rFont val="Tahoma"/>
            <family val="2"/>
          </rPr>
          <t>User:</t>
        </r>
        <r>
          <rPr>
            <sz val="9"/>
            <color indexed="81"/>
            <rFont val="Tahoma"/>
            <family val="2"/>
          </rPr>
          <t xml:space="preserve">
Source: Moog Q2 FY26 10-Q — Cost of sales (764,392 thousand).</t>
        </r>
      </text>
    </comment>
    <comment ref="CG116" authorId="0" shapeId="0" xr:uid="{E06D1C4A-467A-4496-A926-E4BFE5663FE5}">
      <text>
        <r>
          <rPr>
            <b/>
            <sz val="9"/>
            <color indexed="81"/>
            <rFont val="Tahoma"/>
            <family val="2"/>
          </rPr>
          <t>User:</t>
        </r>
        <r>
          <rPr>
            <sz val="9"/>
            <color indexed="81"/>
            <rFont val="Tahoma"/>
            <family val="2"/>
          </rPr>
          <t xml:space="preserve">
Q3/26E gross profit — sales × implied 2H gross margin from FY26E guide less 1H actuals.</t>
        </r>
      </text>
    </comment>
    <comment ref="CH116" authorId="0" shapeId="0" xr:uid="{BFFB6EFC-C8AF-4112-8A5D-E3A0280259CC}">
      <text>
        <r>
          <rPr>
            <b/>
            <sz val="9"/>
            <color indexed="81"/>
            <rFont val="Tahoma"/>
            <family val="2"/>
          </rPr>
          <t>User:</t>
        </r>
        <r>
          <rPr>
            <sz val="9"/>
            <color indexed="81"/>
            <rFont val="Tahoma"/>
            <family val="2"/>
          </rPr>
          <t xml:space="preserve">
Q4/26E gross profit — plug to FY26E GP.</t>
        </r>
      </text>
    </comment>
    <comment ref="BT117" authorId="0" shapeId="0" xr:uid="{E637B357-6A97-4AFC-BC52-A19D778FFE0E}">
      <text>
        <r>
          <rPr>
            <b/>
            <sz val="9"/>
            <color indexed="81"/>
            <rFont val="Tahoma"/>
            <charset val="1"/>
          </rPr>
          <t>User:</t>
        </r>
        <r>
          <rPr>
            <sz val="9"/>
            <color indexed="81"/>
            <rFont val="Tahoma"/>
            <charset val="1"/>
          </rPr>
          <t xml:space="preserve">
Source: Moog 10-K FY25 Income Statement</t>
        </r>
      </text>
    </comment>
    <comment ref="BY117" authorId="0" shapeId="0" xr:uid="{8115A274-DF51-43F6-99B8-CBEC28D9757F}">
      <text>
        <r>
          <rPr>
            <b/>
            <sz val="9"/>
            <color indexed="81"/>
            <rFont val="Tahoma"/>
            <charset val="1"/>
          </rPr>
          <t>User:</t>
        </r>
        <r>
          <rPr>
            <sz val="9"/>
            <color indexed="81"/>
            <rFont val="Tahoma"/>
            <charset val="1"/>
          </rPr>
          <t xml:space="preserve">
Source: Moog 10-K FY25</t>
        </r>
      </text>
    </comment>
    <comment ref="CD117" authorId="0" shapeId="0" xr:uid="{1F929F98-1D8D-4729-9481-B464509C74C4}">
      <text>
        <r>
          <rPr>
            <b/>
            <sz val="9"/>
            <color indexed="81"/>
            <rFont val="Tahoma"/>
            <charset val="1"/>
          </rPr>
          <t>User:</t>
        </r>
        <r>
          <rPr>
            <sz val="9"/>
            <color indexed="81"/>
            <rFont val="Tahoma"/>
            <charset val="1"/>
          </rPr>
          <t xml:space="preserve">
Source: Moog 10-K FY25</t>
        </r>
      </text>
    </comment>
    <comment ref="CE117" authorId="0" shapeId="0" xr:uid="{C85F5300-C3A6-4AE9-8776-703EC27811EC}">
      <text>
        <r>
          <rPr>
            <b/>
            <sz val="9"/>
            <color indexed="81"/>
            <rFont val="Tahoma"/>
            <family val="2"/>
          </rPr>
          <t>User:</t>
        </r>
        <r>
          <rPr>
            <sz val="9"/>
            <color indexed="81"/>
            <rFont val="Tahoma"/>
            <family val="2"/>
          </rPr>
          <t xml:space="preserve">
Source: Moog Q1 FY26 10-Q — Research and development (24,634 thousand).</t>
        </r>
      </text>
    </comment>
    <comment ref="CF117" authorId="0" shapeId="0" xr:uid="{E8B7FB3B-58D6-4BF6-A3D1-1D9EA8C0971B}">
      <text>
        <r>
          <rPr>
            <b/>
            <sz val="9"/>
            <color indexed="81"/>
            <rFont val="Tahoma"/>
            <family val="2"/>
          </rPr>
          <t>User:</t>
        </r>
        <r>
          <rPr>
            <sz val="9"/>
            <color indexed="81"/>
            <rFont val="Tahoma"/>
            <family val="2"/>
          </rPr>
          <t xml:space="preserve">
Source: Moog Q2 FY26 10-Q — Research and development (26,662 thousand).</t>
        </r>
      </text>
    </comment>
    <comment ref="CG117" authorId="0" shapeId="0" xr:uid="{3CD331DA-AFC6-4C0F-A65B-004676E14DA7}">
      <text>
        <r>
          <rPr>
            <b/>
            <sz val="9"/>
            <color indexed="81"/>
            <rFont val="Tahoma"/>
            <family val="2"/>
          </rPr>
          <t>User:</t>
        </r>
        <r>
          <rPr>
            <sz val="9"/>
            <color indexed="81"/>
            <rFont val="Tahoma"/>
            <family val="2"/>
          </rPr>
          <t xml:space="preserve">
Q3/26E R&amp;D — half of 2H FY26E R&amp;D residual.</t>
        </r>
      </text>
    </comment>
    <comment ref="BT118" authorId="0" shapeId="0" xr:uid="{90AAEF9F-73BA-400D-8C7C-0F4B49AF93CE}">
      <text>
        <r>
          <rPr>
            <b/>
            <sz val="9"/>
            <color indexed="81"/>
            <rFont val="Tahoma"/>
            <charset val="1"/>
          </rPr>
          <t>User:</t>
        </r>
        <r>
          <rPr>
            <sz val="9"/>
            <color indexed="81"/>
            <rFont val="Tahoma"/>
            <charset val="1"/>
          </rPr>
          <t xml:space="preserve">
Source: Moog 10-K FY25</t>
        </r>
      </text>
    </comment>
    <comment ref="BY118" authorId="0" shapeId="0" xr:uid="{5F6B6441-75B3-40F8-984D-77428D8E5B33}">
      <text>
        <r>
          <rPr>
            <b/>
            <sz val="9"/>
            <color indexed="81"/>
            <rFont val="Tahoma"/>
            <charset val="1"/>
          </rPr>
          <t>User:</t>
        </r>
        <r>
          <rPr>
            <sz val="9"/>
            <color indexed="81"/>
            <rFont val="Tahoma"/>
            <charset val="1"/>
          </rPr>
          <t xml:space="preserve">
Source: Moog 10-K FY25</t>
        </r>
      </text>
    </comment>
    <comment ref="CD118" authorId="0" shapeId="0" xr:uid="{527955BF-F73B-429E-90BB-37FF1FD27B03}">
      <text>
        <r>
          <rPr>
            <b/>
            <sz val="9"/>
            <color indexed="81"/>
            <rFont val="Tahoma"/>
            <charset val="1"/>
          </rPr>
          <t>User:</t>
        </r>
        <r>
          <rPr>
            <sz val="9"/>
            <color indexed="81"/>
            <rFont val="Tahoma"/>
            <charset val="1"/>
          </rPr>
          <t xml:space="preserve">
Source: Moog 10-K FY25</t>
        </r>
      </text>
    </comment>
    <comment ref="CE118" authorId="0" shapeId="0" xr:uid="{54BDDA49-683F-4FDC-8F53-084A349AC5AE}">
      <text>
        <r>
          <rPr>
            <b/>
            <sz val="9"/>
            <color indexed="81"/>
            <rFont val="Tahoma"/>
            <family val="2"/>
          </rPr>
          <t>User:</t>
        </r>
        <r>
          <rPr>
            <sz val="9"/>
            <color indexed="81"/>
            <rFont val="Tahoma"/>
            <family val="2"/>
          </rPr>
          <t xml:space="preserve">
Source: Moog Q1 FY26 10-Q — Selling, general and administrative (148,959 thousand).</t>
        </r>
      </text>
    </comment>
    <comment ref="CF118" authorId="0" shapeId="0" xr:uid="{9777918D-7AE9-40DC-B69B-78DC2AF9D538}">
      <text>
        <r>
          <rPr>
            <b/>
            <sz val="9"/>
            <color indexed="81"/>
            <rFont val="Tahoma"/>
            <family val="2"/>
          </rPr>
          <t>User:</t>
        </r>
        <r>
          <rPr>
            <sz val="9"/>
            <color indexed="81"/>
            <rFont val="Tahoma"/>
            <family val="2"/>
          </rPr>
          <t xml:space="preserve">
Source: Moog Q2 FY26 10-Q — Selling, general and administrative (136,324 thousand).</t>
        </r>
      </text>
    </comment>
    <comment ref="CG118" authorId="0" shapeId="0" xr:uid="{2ABBFF12-36B1-4A68-AF91-23B6A1DA7F91}">
      <text>
        <r>
          <rPr>
            <b/>
            <sz val="9"/>
            <color indexed="81"/>
            <rFont val="Tahoma"/>
            <family val="2"/>
          </rPr>
          <t>User:</t>
        </r>
        <r>
          <rPr>
            <sz val="9"/>
            <color indexed="81"/>
            <rFont val="Tahoma"/>
            <family val="2"/>
          </rPr>
          <t xml:space="preserve">
Q3/26E SG&amp;A — half of 2H FY26E SG&amp;A residual.</t>
        </r>
      </text>
    </comment>
    <comment ref="BT119" authorId="0" shapeId="0" xr:uid="{7F605741-62CC-4AC0-A817-2DE80FDA7532}">
      <text>
        <r>
          <rPr>
            <b/>
            <sz val="9"/>
            <color indexed="81"/>
            <rFont val="Tahoma"/>
            <charset val="1"/>
          </rPr>
          <t>User:</t>
        </r>
        <r>
          <rPr>
            <sz val="9"/>
            <color indexed="81"/>
            <rFont val="Tahoma"/>
            <charset val="1"/>
          </rPr>
          <t xml:space="preserve">
Restructuring expense. Source: Moog 10-K FY25</t>
        </r>
      </text>
    </comment>
    <comment ref="BY119" authorId="0" shapeId="0" xr:uid="{5057B3A0-421D-4064-9D4D-2DB886EC0270}">
      <text>
        <r>
          <rPr>
            <b/>
            <sz val="9"/>
            <color indexed="81"/>
            <rFont val="Tahoma"/>
            <charset val="1"/>
          </rPr>
          <t>User:</t>
        </r>
        <r>
          <rPr>
            <sz val="9"/>
            <color indexed="81"/>
            <rFont val="Tahoma"/>
            <charset val="1"/>
          </rPr>
          <t xml:space="preserve">
Source: Moog 10-K FY25</t>
        </r>
      </text>
    </comment>
    <comment ref="CD119" authorId="0" shapeId="0" xr:uid="{82649109-282F-40A8-9ED7-D3B35C6D9CE1}">
      <text>
        <r>
          <rPr>
            <b/>
            <sz val="9"/>
            <color indexed="81"/>
            <rFont val="Tahoma"/>
            <charset val="1"/>
          </rPr>
          <t>User:</t>
        </r>
        <r>
          <rPr>
            <sz val="9"/>
            <color indexed="81"/>
            <rFont val="Tahoma"/>
            <charset val="1"/>
          </rPr>
          <t xml:space="preserve">
Source: Moog 10-K FY25</t>
        </r>
      </text>
    </comment>
    <comment ref="CE119" authorId="0" shapeId="0" xr:uid="{78193E48-3AB0-4C36-ACED-734C9CBA9A94}">
      <text>
        <r>
          <rPr>
            <b/>
            <sz val="9"/>
            <color indexed="81"/>
            <rFont val="Tahoma"/>
            <family val="2"/>
          </rPr>
          <t>User:</t>
        </r>
        <r>
          <rPr>
            <sz val="9"/>
            <color indexed="81"/>
            <rFont val="Tahoma"/>
            <family val="2"/>
          </rPr>
          <t xml:space="preserve">
Source: Moog Q1 FY26 10-Q — Restructuring (1,000 thousand).</t>
        </r>
      </text>
    </comment>
    <comment ref="CF119" authorId="0" shapeId="0" xr:uid="{CE04A40A-62D4-4775-88E4-2A6682680F6A}">
      <text>
        <r>
          <rPr>
            <b/>
            <sz val="9"/>
            <color indexed="81"/>
            <rFont val="Tahoma"/>
            <family val="2"/>
          </rPr>
          <t>User:</t>
        </r>
        <r>
          <rPr>
            <sz val="9"/>
            <color indexed="81"/>
            <rFont val="Tahoma"/>
            <family val="2"/>
          </rPr>
          <t xml:space="preserve">
Source: Moog Q2 FY26 10-Q — Restructuring (1,505 thousand).</t>
        </r>
      </text>
    </comment>
    <comment ref="CE120" authorId="0" shapeId="0" xr:uid="{8736C501-1CC9-49CD-A7C7-E92A864EBA31}">
      <text>
        <r>
          <rPr>
            <b/>
            <sz val="9"/>
            <color indexed="81"/>
            <rFont val="Tahoma"/>
            <family val="2"/>
          </rPr>
          <t>User:</t>
        </r>
        <r>
          <rPr>
            <sz val="9"/>
            <color indexed="81"/>
            <rFont val="Tahoma"/>
            <family val="2"/>
          </rPr>
          <t xml:space="preserve">
Source: Moog Q1 FY26 10-Q — No inventory write-down in Q1 FY26.</t>
        </r>
      </text>
    </comment>
    <comment ref="CF120" authorId="0" shapeId="0" xr:uid="{65C43861-9E99-4219-B97D-58E8533E7A77}">
      <text>
        <r>
          <rPr>
            <b/>
            <sz val="9"/>
            <color indexed="81"/>
            <rFont val="Tahoma"/>
            <family val="2"/>
          </rPr>
          <t>User:</t>
        </r>
        <r>
          <rPr>
            <sz val="9"/>
            <color indexed="81"/>
            <rFont val="Tahoma"/>
            <family val="2"/>
          </rPr>
          <t xml:space="preserve">
Source: Moog Q2 FY26 10-Q — No inventory write-down in Q2 FY26.</t>
        </r>
      </text>
    </comment>
    <comment ref="BT125" authorId="0" shapeId="0" xr:uid="{1EAD8975-EFB1-4DEE-97F4-8B832EF96C59}">
      <text>
        <r>
          <rPr>
            <b/>
            <sz val="9"/>
            <color indexed="81"/>
            <rFont val="Tahoma"/>
            <charset val="1"/>
          </rPr>
          <t>Asset impairment 14,628 + Loss on sale of biz 900 + Pension settlement 12,542 + Other 8,872 - Gain on sale bldgs 10,030 = 26,912. Source: Moog 10-K FY25 IS (revised). Combines impairment + restructuring-adjacent + non-op items shown separately on Moog's IS.</t>
        </r>
      </text>
    </comment>
    <comment ref="BY125" authorId="0" shapeId="0" xr:uid="{C97D5637-EE5E-49FD-9C3B-0EB422D7B4BD}">
      <text>
        <r>
          <rPr>
            <b/>
            <sz val="9"/>
            <color indexed="81"/>
            <rFont val="Tahoma"/>
            <charset val="1"/>
          </rPr>
          <t>User:</t>
        </r>
        <r>
          <rPr>
            <sz val="9"/>
            <color indexed="81"/>
            <rFont val="Tahoma"/>
            <charset val="1"/>
          </rPr>
          <t xml:space="preserve">
Asset impairment 22,149 + Other 17,348 - Gain on sale buildings 979. Source: Moog 10-K FY25</t>
        </r>
      </text>
    </comment>
    <comment ref="CD125" authorId="0" shapeId="0" xr:uid="{ACE67AD9-963F-414A-862B-5EA74B51C096}">
      <text>
        <r>
          <rPr>
            <b/>
            <sz val="9"/>
            <color indexed="81"/>
            <rFont val="Tahoma"/>
            <charset val="1"/>
          </rPr>
          <t>User:</t>
        </r>
        <r>
          <rPr>
            <sz val="9"/>
            <color indexed="81"/>
            <rFont val="Tahoma"/>
            <charset val="1"/>
          </rPr>
          <t xml:space="preserve">
Asset impairment 5,374 + Other 9,597. Source: Moog 10-K FY25</t>
        </r>
      </text>
    </comment>
    <comment ref="CE125" authorId="0" shapeId="0" xr:uid="{2D3A1B16-5D35-4C51-83D5-12348356991B}">
      <text>
        <r>
          <rPr>
            <b/>
            <sz val="9"/>
            <color indexed="81"/>
            <rFont val="Tahoma"/>
            <family val="2"/>
          </rPr>
          <t>User:</t>
        </r>
        <r>
          <rPr>
            <sz val="9"/>
            <color indexed="81"/>
            <rFont val="Tahoma"/>
            <family val="2"/>
          </rPr>
          <t xml:space="preserve">
Source: Moog Q1 FY26 10-Q — Other (income) expenses (787 thousand). Per MD&amp;A, Other was ~$1M expense vs $1M income prior year.</t>
        </r>
      </text>
    </comment>
    <comment ref="CF125" authorId="0" shapeId="0" xr:uid="{BF992ACD-C755-4351-8E71-38638A6E67F0}">
      <text>
        <r>
          <rPr>
            <b/>
            <sz val="9"/>
            <color indexed="81"/>
            <rFont val="Tahoma"/>
            <family val="2"/>
          </rPr>
          <t>User:</t>
        </r>
        <r>
          <rPr>
            <sz val="9"/>
            <color indexed="81"/>
            <rFont val="Tahoma"/>
            <family val="2"/>
          </rPr>
          <t xml:space="preserve">
Source: Moog Q2 FY26 10-Q — Other (income) expense ((1,295) thousand).</t>
        </r>
      </text>
    </comment>
    <comment ref="BT127" authorId="0" shapeId="0" xr:uid="{E3C6173A-71B5-4B77-B1C2-C8F7154608E5}">
      <text>
        <r>
          <rPr>
            <b/>
            <sz val="9"/>
            <color indexed="81"/>
            <rFont val="Tahoma"/>
            <charset val="1"/>
          </rPr>
          <t>User:</t>
        </r>
        <r>
          <rPr>
            <sz val="9"/>
            <color indexed="81"/>
            <rFont val="Tahoma"/>
            <charset val="1"/>
          </rPr>
          <t xml:space="preserve">
Source: Moog 10-K FY25</t>
        </r>
      </text>
    </comment>
    <comment ref="BY127" authorId="0" shapeId="0" xr:uid="{2F3FFFDA-77FC-4611-A127-8F0CE87A5532}">
      <text>
        <r>
          <rPr>
            <b/>
            <sz val="9"/>
            <color indexed="81"/>
            <rFont val="Tahoma"/>
            <charset val="1"/>
          </rPr>
          <t>User:</t>
        </r>
        <r>
          <rPr>
            <sz val="9"/>
            <color indexed="81"/>
            <rFont val="Tahoma"/>
            <charset val="1"/>
          </rPr>
          <t xml:space="preserve">
Source: Moog 10-K FY25</t>
        </r>
      </text>
    </comment>
    <comment ref="CD127" authorId="0" shapeId="0" xr:uid="{4470DBC4-251D-479F-8E95-0E51454A11DD}">
      <text>
        <r>
          <rPr>
            <b/>
            <sz val="9"/>
            <color indexed="81"/>
            <rFont val="Tahoma"/>
            <charset val="1"/>
          </rPr>
          <t>User:</t>
        </r>
        <r>
          <rPr>
            <sz val="9"/>
            <color indexed="81"/>
            <rFont val="Tahoma"/>
            <charset val="1"/>
          </rPr>
          <t xml:space="preserve">
Source: Moog 10-K FY25</t>
        </r>
      </text>
    </comment>
    <comment ref="CE127" authorId="0" shapeId="0" xr:uid="{33948DCE-233A-4746-95EC-F58D301F6E94}">
      <text>
        <r>
          <rPr>
            <b/>
            <sz val="9"/>
            <color indexed="81"/>
            <rFont val="Tahoma"/>
            <family val="2"/>
          </rPr>
          <t>User:</t>
        </r>
        <r>
          <rPr>
            <sz val="9"/>
            <color indexed="81"/>
            <rFont val="Tahoma"/>
            <family val="2"/>
          </rPr>
          <t xml:space="preserve">
Source: Moog Q1 FY26 10-Q — Interest expense (17,195 thousand).</t>
        </r>
      </text>
    </comment>
    <comment ref="CF127" authorId="0" shapeId="0" xr:uid="{E3D11260-5219-47CD-9C9E-8A45E9929347}">
      <text>
        <r>
          <rPr>
            <b/>
            <sz val="9"/>
            <color indexed="81"/>
            <rFont val="Tahoma"/>
            <family val="2"/>
          </rPr>
          <t>User:</t>
        </r>
        <r>
          <rPr>
            <sz val="9"/>
            <color indexed="81"/>
            <rFont val="Tahoma"/>
            <family val="2"/>
          </rPr>
          <t xml:space="preserve">
Source: Moog Q2 FY26 10-Q — Interest expense (15,540 thousand).</t>
        </r>
      </text>
    </comment>
    <comment ref="CG127" authorId="0" shapeId="0" xr:uid="{CBDFCFA3-31E4-4920-8798-2F72138EAC3B}">
      <text>
        <r>
          <rPr>
            <b/>
            <sz val="9"/>
            <color indexed="81"/>
            <rFont val="Tahoma"/>
            <family val="2"/>
          </rPr>
          <t>User:</t>
        </r>
        <r>
          <rPr>
            <sz val="9"/>
            <color indexed="81"/>
            <rFont val="Tahoma"/>
            <family val="2"/>
          </rPr>
          <t xml:space="preserve">
Q3/26E interest — half of 2H FY26E interest residual.</t>
        </r>
      </text>
    </comment>
    <comment ref="CI127" authorId="0" shapeId="0" xr:uid="{69A6F286-994D-4BA5-AD8E-DBEBE2F6A77A}">
      <text>
        <r>
          <rPr>
            <b/>
            <sz val="9"/>
            <color indexed="81"/>
            <rFont val="Tahoma"/>
            <family val="2"/>
          </rPr>
          <t>User:</t>
        </r>
        <r>
          <rPr>
            <sz val="9"/>
            <color indexed="81"/>
            <rFont val="Tahoma"/>
            <family val="2"/>
          </rPr>
          <t xml:space="preserve">
Forecast interest expense — linked to Debt &amp; financing schedule row 305 (avg debt balance × cost of debt rate from row 299).</t>
        </r>
      </text>
    </comment>
    <comment ref="BT128" authorId="0" shapeId="0" xr:uid="{781AD93F-3336-42E5-9302-13D7F24C5048}">
      <text>
        <r>
          <rPr>
            <b/>
            <sz val="9"/>
            <color indexed="81"/>
            <rFont val="Tahoma"/>
            <charset val="1"/>
          </rPr>
          <t>User:</t>
        </r>
        <r>
          <rPr>
            <sz val="9"/>
            <color indexed="81"/>
            <rFont val="Tahoma"/>
            <charset val="1"/>
          </rPr>
          <t xml:space="preserve">
Interest income embedded in 'Other'. Source: Moog 10-K FY25</t>
        </r>
      </text>
    </comment>
    <comment ref="BT129" authorId="0" shapeId="0" xr:uid="{020C8A15-113A-49D1-A073-F6EDDCB0E5CA}">
      <text>
        <r>
          <rPr>
            <b/>
            <sz val="9"/>
            <color indexed="81"/>
            <rFont val="Tahoma"/>
            <charset val="1"/>
          </rPr>
          <t>User:</t>
        </r>
        <r>
          <rPr>
            <sz val="9"/>
            <color indexed="81"/>
            <rFont val="Tahoma"/>
            <charset val="1"/>
          </rPr>
          <t xml:space="preserve">
Non-operating items already in 'Other' above. Set to 0 to avoid double-count.</t>
        </r>
      </text>
    </comment>
    <comment ref="BT131" authorId="0" shapeId="0" xr:uid="{D8FBDF98-0600-46C8-B153-74FA0A681D37}">
      <text>
        <r>
          <rPr>
            <b/>
            <sz val="9"/>
            <color indexed="81"/>
            <rFont val="Tahoma"/>
            <charset val="1"/>
          </rPr>
          <t>User:</t>
        </r>
        <r>
          <rPr>
            <sz val="9"/>
            <color indexed="81"/>
            <rFont val="Tahoma"/>
            <charset val="1"/>
          </rPr>
          <t xml:space="preserve">
Source: Moog 10-K FY25</t>
        </r>
      </text>
    </comment>
    <comment ref="BY131" authorId="0" shapeId="0" xr:uid="{7F1D5ECE-07ED-4E54-B2BD-71723E2F3BE3}">
      <text>
        <r>
          <rPr>
            <b/>
            <sz val="9"/>
            <color indexed="81"/>
            <rFont val="Tahoma"/>
            <charset val="1"/>
          </rPr>
          <t>User:</t>
        </r>
        <r>
          <rPr>
            <sz val="9"/>
            <color indexed="81"/>
            <rFont val="Tahoma"/>
            <charset val="1"/>
          </rPr>
          <t xml:space="preserve">
Source: Moog 10-K FY25</t>
        </r>
      </text>
    </comment>
    <comment ref="CD131" authorId="0" shapeId="0" xr:uid="{1AA6FCE5-FBCB-45CE-AD5C-7E65B2FC4CDF}">
      <text>
        <r>
          <rPr>
            <b/>
            <sz val="9"/>
            <color indexed="81"/>
            <rFont val="Tahoma"/>
            <charset val="1"/>
          </rPr>
          <t>User:</t>
        </r>
        <r>
          <rPr>
            <sz val="9"/>
            <color indexed="81"/>
            <rFont val="Tahoma"/>
            <charset val="1"/>
          </rPr>
          <t xml:space="preserve">
Source: Moog 10-K FY25</t>
        </r>
      </text>
    </comment>
    <comment ref="CE131" authorId="0" shapeId="0" xr:uid="{7E65CE86-9609-4065-B95B-0FDC7042666A}">
      <text>
        <r>
          <rPr>
            <b/>
            <sz val="9"/>
            <color indexed="81"/>
            <rFont val="Tahoma"/>
            <family val="2"/>
          </rPr>
          <t>User:</t>
        </r>
        <r>
          <rPr>
            <sz val="9"/>
            <color indexed="81"/>
            <rFont val="Tahoma"/>
            <family val="2"/>
          </rPr>
          <t xml:space="preserve">
Source: Moog Q1 FY26 10-Q — Income taxes (22,353 thousand). Effective tax rate 22.1%.</t>
        </r>
      </text>
    </comment>
    <comment ref="CF131" authorId="0" shapeId="0" xr:uid="{7FA58C8B-DD4F-4FFC-A745-A4BD1E77B0F4}">
      <text>
        <r>
          <rPr>
            <b/>
            <sz val="9"/>
            <color indexed="81"/>
            <rFont val="Tahoma"/>
            <family val="2"/>
          </rPr>
          <t>User:</t>
        </r>
        <r>
          <rPr>
            <sz val="9"/>
            <color indexed="81"/>
            <rFont val="Tahoma"/>
            <family val="2"/>
          </rPr>
          <t xml:space="preserve">
Source: Moog Q2 FY26 10-Q — Income taxes (26,980 thousand). Effective tax rate 24.8%.</t>
        </r>
      </text>
    </comment>
    <comment ref="CG131" authorId="0" shapeId="0" xr:uid="{4171057B-094A-4E58-ABA9-109227A7463A}">
      <text>
        <r>
          <rPr>
            <b/>
            <sz val="9"/>
            <color indexed="81"/>
            <rFont val="Tahoma"/>
            <family val="2"/>
          </rPr>
          <t>User:</t>
        </r>
        <r>
          <rPr>
            <sz val="9"/>
            <color indexed="81"/>
            <rFont val="Tahoma"/>
            <family val="2"/>
          </rPr>
          <t xml:space="preserve">
Q3/26E tax — pretax × FY26E effective tax rate of 24%.</t>
        </r>
      </text>
    </comment>
    <comment ref="CG132" authorId="0" shapeId="0" xr:uid="{158853AE-0416-40D0-9BEE-E084421C3469}">
      <text>
        <r>
          <rPr>
            <b/>
            <sz val="9"/>
            <color indexed="81"/>
            <rFont val="Tahoma"/>
            <family val="2"/>
          </rPr>
          <t>User:</t>
        </r>
        <r>
          <rPr>
            <sz val="9"/>
            <color indexed="81"/>
            <rFont val="Tahoma"/>
            <family val="2"/>
          </rPr>
          <t xml:space="preserve">
Q3/26E effective tax rate held at FY26E full-year rate of 24%.</t>
        </r>
      </text>
    </comment>
    <comment ref="BT136" authorId="0" shapeId="0" xr:uid="{42E0BA8B-4998-4B36-B543-4906295B11BB}">
      <text>
        <r>
          <rPr>
            <b/>
            <sz val="9"/>
            <color indexed="81"/>
            <rFont val="Tahoma"/>
            <charset val="1"/>
          </rPr>
          <t>User:</t>
        </r>
        <r>
          <rPr>
            <sz val="9"/>
            <color indexed="81"/>
            <rFont val="Tahoma"/>
            <charset val="1"/>
          </rPr>
          <t xml:space="preserve">
Source: Moog 10-K FY25</t>
        </r>
      </text>
    </comment>
    <comment ref="BY136" authorId="0" shapeId="0" xr:uid="{48677CCD-8048-4E93-BED2-2FF91E32E16B}">
      <text>
        <r>
          <rPr>
            <b/>
            <sz val="9"/>
            <color indexed="81"/>
            <rFont val="Tahoma"/>
            <charset val="1"/>
          </rPr>
          <t>User:</t>
        </r>
        <r>
          <rPr>
            <sz val="9"/>
            <color indexed="81"/>
            <rFont val="Tahoma"/>
            <charset val="1"/>
          </rPr>
          <t xml:space="preserve">
Source: Moog 10-K FY25</t>
        </r>
      </text>
    </comment>
    <comment ref="CD136" authorId="0" shapeId="0" xr:uid="{536ABA89-F770-41C1-AA6B-A96166268777}">
      <text>
        <r>
          <rPr>
            <b/>
            <sz val="9"/>
            <color indexed="81"/>
            <rFont val="Tahoma"/>
            <charset val="1"/>
          </rPr>
          <t>User:</t>
        </r>
        <r>
          <rPr>
            <sz val="9"/>
            <color indexed="81"/>
            <rFont val="Tahoma"/>
            <charset val="1"/>
          </rPr>
          <t xml:space="preserve">
Source: Moog 10-K FY25</t>
        </r>
      </text>
    </comment>
    <comment ref="BT137" authorId="0" shapeId="0" xr:uid="{EA8C05D7-EF51-46C1-A091-DA0D316B4710}">
      <text>
        <r>
          <rPr>
            <b/>
            <sz val="9"/>
            <color indexed="81"/>
            <rFont val="Tahoma"/>
            <charset val="1"/>
          </rPr>
          <t>User:</t>
        </r>
        <r>
          <rPr>
            <sz val="9"/>
            <color indexed="81"/>
            <rFont val="Tahoma"/>
            <charset val="1"/>
          </rPr>
          <t xml:space="preserve">
Source: Moog 10-K FY25</t>
        </r>
      </text>
    </comment>
    <comment ref="BY137" authorId="0" shapeId="0" xr:uid="{D2F38B26-9C51-4DC5-BFBD-589574D59775}">
      <text>
        <r>
          <rPr>
            <b/>
            <sz val="9"/>
            <color indexed="81"/>
            <rFont val="Tahoma"/>
            <charset val="1"/>
          </rPr>
          <t>User:</t>
        </r>
        <r>
          <rPr>
            <sz val="9"/>
            <color indexed="81"/>
            <rFont val="Tahoma"/>
            <charset val="1"/>
          </rPr>
          <t xml:space="preserve">
Source: Moog 10-K FY25</t>
        </r>
      </text>
    </comment>
    <comment ref="CD137" authorId="0" shapeId="0" xr:uid="{EB6DF4A6-7AB8-4D25-BAC2-E122A13780A4}">
      <text>
        <r>
          <rPr>
            <b/>
            <sz val="9"/>
            <color indexed="81"/>
            <rFont val="Tahoma"/>
            <charset val="1"/>
          </rPr>
          <t>User:</t>
        </r>
        <r>
          <rPr>
            <sz val="9"/>
            <color indexed="81"/>
            <rFont val="Tahoma"/>
            <charset val="1"/>
          </rPr>
          <t xml:space="preserve">
Source: Moog 10-K FY25</t>
        </r>
      </text>
    </comment>
    <comment ref="BT138" authorId="0" shapeId="0" xr:uid="{4119E991-E981-45FF-95E7-8773F6A97CE6}">
      <text>
        <r>
          <rPr>
            <b/>
            <sz val="9"/>
            <color indexed="81"/>
            <rFont val="Tahoma"/>
            <charset val="1"/>
          </rPr>
          <t>User:</t>
        </r>
        <r>
          <rPr>
            <sz val="9"/>
            <color indexed="81"/>
            <rFont val="Tahoma"/>
            <charset val="1"/>
          </rPr>
          <t xml:space="preserve">
Source: Moog 10-K FY25</t>
        </r>
      </text>
    </comment>
    <comment ref="BY138" authorId="0" shapeId="0" xr:uid="{540709F6-B588-4294-B432-FEFE536543C7}">
      <text>
        <r>
          <rPr>
            <b/>
            <sz val="9"/>
            <color indexed="81"/>
            <rFont val="Tahoma"/>
            <charset val="1"/>
          </rPr>
          <t>User:</t>
        </r>
        <r>
          <rPr>
            <sz val="9"/>
            <color indexed="81"/>
            <rFont val="Tahoma"/>
            <charset val="1"/>
          </rPr>
          <t xml:space="preserve">
Source: Moog 10-K FY25</t>
        </r>
      </text>
    </comment>
    <comment ref="CD138" authorId="0" shapeId="0" xr:uid="{51E04E71-74AD-46DC-BC8F-362ED3E52F0D}">
      <text>
        <r>
          <rPr>
            <b/>
            <sz val="9"/>
            <color indexed="81"/>
            <rFont val="Tahoma"/>
            <charset val="1"/>
          </rPr>
          <t>User:</t>
        </r>
        <r>
          <rPr>
            <sz val="9"/>
            <color indexed="81"/>
            <rFont val="Tahoma"/>
            <charset val="1"/>
          </rPr>
          <t xml:space="preserve">
Source: Moog 10-K FY25</t>
        </r>
      </text>
    </comment>
    <comment ref="CE138" authorId="0" shapeId="0" xr:uid="{07C5E3AC-7219-4C5F-AAC2-E3D5090E4A01}">
      <text>
        <r>
          <rPr>
            <b/>
            <sz val="9"/>
            <color indexed="81"/>
            <rFont val="Tahoma"/>
            <family val="2"/>
          </rPr>
          <t>User:</t>
        </r>
        <r>
          <rPr>
            <sz val="9"/>
            <color indexed="81"/>
            <rFont val="Tahoma"/>
            <family val="2"/>
          </rPr>
          <t xml:space="preserve">
Source: Moog Q1 FY26 10-Q — Basic weighted avg shares outstanding (31,676,844).</t>
        </r>
      </text>
    </comment>
    <comment ref="CF138" authorId="0" shapeId="0" xr:uid="{CB8757F6-05A8-418E-9A0A-C64F406DB510}">
      <text>
        <r>
          <rPr>
            <b/>
            <sz val="9"/>
            <color indexed="81"/>
            <rFont val="Tahoma"/>
            <family val="2"/>
          </rPr>
          <t>User:</t>
        </r>
        <r>
          <rPr>
            <sz val="9"/>
            <color indexed="81"/>
            <rFont val="Tahoma"/>
            <family val="2"/>
          </rPr>
          <t xml:space="preserve">
Source: Moog Q2 FY26 10-Q — Basic weighted avg shares outstanding (31,715,560).</t>
        </r>
      </text>
    </comment>
    <comment ref="BT139" authorId="0" shapeId="0" xr:uid="{19DEB98B-A2CB-4917-B375-BE60569982AC}">
      <text>
        <r>
          <rPr>
            <b/>
            <sz val="9"/>
            <color indexed="81"/>
            <rFont val="Tahoma"/>
            <charset val="1"/>
          </rPr>
          <t>User:</t>
        </r>
        <r>
          <rPr>
            <sz val="9"/>
            <color indexed="81"/>
            <rFont val="Tahoma"/>
            <charset val="1"/>
          </rPr>
          <t xml:space="preserve">
Source: Moog 10-K FY25</t>
        </r>
      </text>
    </comment>
    <comment ref="BY139" authorId="0" shapeId="0" xr:uid="{37ED1DDB-3A47-416D-BF64-56A848246E49}">
      <text>
        <r>
          <rPr>
            <b/>
            <sz val="9"/>
            <color indexed="81"/>
            <rFont val="Tahoma"/>
            <charset val="1"/>
          </rPr>
          <t>User:</t>
        </r>
        <r>
          <rPr>
            <sz val="9"/>
            <color indexed="81"/>
            <rFont val="Tahoma"/>
            <charset val="1"/>
          </rPr>
          <t xml:space="preserve">
Source: Moog 10-K FY25</t>
        </r>
      </text>
    </comment>
    <comment ref="CD139" authorId="0" shapeId="0" xr:uid="{81844AD3-1181-44B8-90D0-BE25C6360290}">
      <text>
        <r>
          <rPr>
            <b/>
            <sz val="9"/>
            <color indexed="81"/>
            <rFont val="Tahoma"/>
            <charset val="1"/>
          </rPr>
          <t>User:</t>
        </r>
        <r>
          <rPr>
            <sz val="9"/>
            <color indexed="81"/>
            <rFont val="Tahoma"/>
            <charset val="1"/>
          </rPr>
          <t xml:space="preserve">
Source: Moog 10-K FY25</t>
        </r>
      </text>
    </comment>
    <comment ref="CE139" authorId="0" shapeId="0" xr:uid="{0614387D-5099-45E7-B261-6A04B4CD91A9}">
      <text>
        <r>
          <rPr>
            <b/>
            <sz val="9"/>
            <color indexed="81"/>
            <rFont val="Tahoma"/>
            <family val="2"/>
          </rPr>
          <t>User:</t>
        </r>
        <r>
          <rPr>
            <sz val="9"/>
            <color indexed="81"/>
            <rFont val="Tahoma"/>
            <family val="2"/>
          </rPr>
          <t xml:space="preserve">
Source: Moog Q1 FY26 10-Q — Diluted weighted avg shares outstanding (32,042,205).</t>
        </r>
      </text>
    </comment>
    <comment ref="CF139" authorId="0" shapeId="0" xr:uid="{22DA958C-9DE5-4F5F-AD5C-2B16098EEE5A}">
      <text>
        <r>
          <rPr>
            <b/>
            <sz val="9"/>
            <color indexed="81"/>
            <rFont val="Tahoma"/>
            <family val="2"/>
          </rPr>
          <t>User:</t>
        </r>
        <r>
          <rPr>
            <sz val="9"/>
            <color indexed="81"/>
            <rFont val="Tahoma"/>
            <family val="2"/>
          </rPr>
          <t xml:space="preserve">
Source: Moog Q2 FY26 10-Q — Diluted weighted avg shares outstanding (32,102,535).</t>
        </r>
      </text>
    </comment>
    <comment ref="BT140" authorId="0" shapeId="0" xr:uid="{38FDC9B7-DAB4-49A2-8D0D-1AC9F2893335}">
      <text>
        <r>
          <rPr>
            <b/>
            <sz val="9"/>
            <color indexed="81"/>
            <rFont val="Tahoma"/>
            <charset val="1"/>
          </rPr>
          <t>User:</t>
        </r>
        <r>
          <rPr>
            <sz val="9"/>
            <color indexed="81"/>
            <rFont val="Tahoma"/>
            <charset val="1"/>
          </rPr>
          <t xml:space="preserve">
Cash dividends declared per share. Source: Moog 10-K FY25</t>
        </r>
      </text>
    </comment>
    <comment ref="BY140" authorId="0" shapeId="0" xr:uid="{2969FE15-54D4-449E-B459-DB5196614151}">
      <text>
        <r>
          <rPr>
            <b/>
            <sz val="9"/>
            <color indexed="81"/>
            <rFont val="Tahoma"/>
            <charset val="1"/>
          </rPr>
          <t>User:</t>
        </r>
        <r>
          <rPr>
            <sz val="9"/>
            <color indexed="81"/>
            <rFont val="Tahoma"/>
            <charset val="1"/>
          </rPr>
          <t xml:space="preserve">
Source: Moog 10-K FY25</t>
        </r>
      </text>
    </comment>
    <comment ref="CD140" authorId="0" shapeId="0" xr:uid="{CC23171A-1586-4FA5-A4BA-8373CF31ACFB}">
      <text>
        <r>
          <rPr>
            <b/>
            <sz val="9"/>
            <color indexed="81"/>
            <rFont val="Tahoma"/>
            <charset val="1"/>
          </rPr>
          <t>User:</t>
        </r>
        <r>
          <rPr>
            <sz val="9"/>
            <color indexed="81"/>
            <rFont val="Tahoma"/>
            <charset val="1"/>
          </rPr>
          <t xml:space="preserve">
Source: Moog 10-K FY25</t>
        </r>
      </text>
    </comment>
    <comment ref="CE140" authorId="0" shapeId="0" xr:uid="{F95693F6-D021-4EE6-BDF7-48F74FD3DDB7}">
      <text>
        <r>
          <rPr>
            <b/>
            <sz val="9"/>
            <color indexed="81"/>
            <rFont val="Tahoma"/>
            <family val="2"/>
          </rPr>
          <t>User:</t>
        </r>
        <r>
          <rPr>
            <sz val="9"/>
            <color indexed="81"/>
            <rFont val="Tahoma"/>
            <family val="2"/>
          </rPr>
          <t xml:space="preserve">
Quarterly dividend per share. Source: Moog dividend declarations.</t>
        </r>
      </text>
    </comment>
    <comment ref="CF140" authorId="0" shapeId="0" xr:uid="{A55A56D5-A9F0-4F61-8AE8-B0B70362FF8F}">
      <text>
        <r>
          <rPr>
            <b/>
            <sz val="9"/>
            <color indexed="81"/>
            <rFont val="Tahoma"/>
            <family val="2"/>
          </rPr>
          <t>User:</t>
        </r>
        <r>
          <rPr>
            <sz val="9"/>
            <color indexed="81"/>
            <rFont val="Tahoma"/>
            <family val="2"/>
          </rPr>
          <t xml:space="preserve">
Quarterly dividend per share. Source: Moog dividend declarations.</t>
        </r>
      </text>
    </comment>
    <comment ref="AE143" authorId="0" shapeId="0" xr:uid="{22075600-46FA-4A7D-AA04-C05164183213}">
      <text>
        <r>
          <rPr>
            <b/>
            <sz val="9"/>
            <color indexed="81"/>
            <rFont val="Tahoma"/>
            <charset val="1"/>
          </rPr>
          <t>User:</t>
        </r>
        <r>
          <rPr>
            <sz val="9"/>
            <color indexed="81"/>
            <rFont val="Tahoma"/>
            <charset val="1"/>
          </rPr>
          <t xml:space="preserve">
Q4/15: no Moog Adj OP reconciliation disclosed.</t>
        </r>
      </text>
    </comment>
    <comment ref="AF143" authorId="0" shapeId="0" xr:uid="{E9518F7E-813D-449D-A190-4C17A7F528C9}">
      <text>
        <r>
          <rPr>
            <b/>
            <sz val="9"/>
            <color indexed="81"/>
            <rFont val="Tahoma"/>
            <charset val="1"/>
          </rPr>
          <t>User:</t>
        </r>
        <r>
          <rPr>
            <sz val="9"/>
            <color indexed="81"/>
            <rFont val="Tahoma"/>
            <charset val="1"/>
          </rPr>
          <t xml:space="preserve">
FY15: no Moog adjusted operating profit reconciliation disclosed in earnings release; Adj OP = GAAP segment OP.</t>
        </r>
      </text>
    </comment>
    <comment ref="AJ143" authorId="0" shapeId="0" xr:uid="{293ECFB8-4A8B-4DD9-966B-317DC0918C50}">
      <text>
        <r>
          <rPr>
            <b/>
            <sz val="9"/>
            <color indexed="81"/>
            <rFont val="Tahoma"/>
            <charset val="1"/>
          </rPr>
          <t>User:</t>
        </r>
        <r>
          <rPr>
            <sz val="9"/>
            <color indexed="81"/>
            <rFont val="Tahoma"/>
            <charset val="1"/>
          </rPr>
          <t xml:space="preserve">
Q4/16: no Moog Adj OP reconciliation disclosed.</t>
        </r>
      </text>
    </comment>
    <comment ref="AK143" authorId="0" shapeId="0" xr:uid="{D65DC115-C578-4D50-AA5E-EC7A0D3E8341}">
      <text>
        <r>
          <rPr>
            <b/>
            <sz val="9"/>
            <color indexed="81"/>
            <rFont val="Tahoma"/>
            <charset val="1"/>
          </rPr>
          <t>User:</t>
        </r>
        <r>
          <rPr>
            <sz val="9"/>
            <color indexed="81"/>
            <rFont val="Tahoma"/>
            <charset val="1"/>
          </rPr>
          <t xml:space="preserve">
FY16: no Moog adjusted operating profit reconciliation disclosed in earnings release; Adj OP = GAAP segment OP.</t>
        </r>
      </text>
    </comment>
    <comment ref="AO143" authorId="0" shapeId="0" xr:uid="{5CF02594-19D4-4ED6-9488-2FE68798D6D7}">
      <text>
        <r>
          <rPr>
            <b/>
            <sz val="9"/>
            <color indexed="81"/>
            <rFont val="Tahoma"/>
            <charset val="1"/>
          </rPr>
          <t>User:</t>
        </r>
        <r>
          <rPr>
            <sz val="9"/>
            <color indexed="81"/>
            <rFont val="Tahoma"/>
            <charset val="1"/>
          </rPr>
          <t xml:space="preserve">
Q4/17 GAAP segment OP per FY18 release comparative: $69,368K. Source: Moog FY18 8-K Nov 2 2018.</t>
        </r>
      </text>
    </comment>
    <comment ref="AP143" authorId="0" shapeId="0" xr:uid="{C5F0794D-1177-463F-B28B-3AFD75F3BBFC}">
      <text>
        <r>
          <rPr>
            <b/>
            <sz val="9"/>
            <color indexed="81"/>
            <rFont val="Tahoma"/>
            <charset val="1"/>
          </rPr>
          <t>User:</t>
        </r>
        <r>
          <rPr>
            <sz val="9"/>
            <color indexed="81"/>
            <rFont val="Tahoma"/>
            <charset val="1"/>
          </rPr>
          <t xml:space="preserve">
FY17 GAAP segment operating profit per FY18 release comparative: Aircraft Controls 114,016 + Space and Defense Controls 48,517 + Industrial Systems 87,619 = $250,152K. Source: Moog FY18 8-K press release Nov 2 2018, https://www.sec.gov/Archives/edgar/data/0000067887/000006788718000049/ex991-110218.htm</t>
        </r>
      </text>
    </comment>
    <comment ref="AT143" authorId="0" shapeId="0" xr:uid="{270676D1-F632-4871-A371-06523E0FC932}">
      <text>
        <r>
          <rPr>
            <b/>
            <sz val="9"/>
            <color indexed="81"/>
            <rFont val="Tahoma"/>
            <charset val="1"/>
          </rPr>
          <t>User:</t>
        </r>
        <r>
          <rPr>
            <sz val="9"/>
            <color indexed="81"/>
            <rFont val="Tahoma"/>
            <charset val="1"/>
          </rPr>
          <t xml:space="preserve">
Q4/18 GAAP segment OP per original FY18 release: AC $31,075 + SDC $17,232 + Indust $24,833 = $73,140K. Source: Moog FY18 8-K Nov 2 2018.</t>
        </r>
      </text>
    </comment>
    <comment ref="AU143" authorId="0" shapeId="0" xr:uid="{8A387A11-C08F-4D91-80DE-86729BD5C800}">
      <text>
        <r>
          <rPr>
            <b/>
            <sz val="9"/>
            <color indexed="81"/>
            <rFont val="Tahoma"/>
            <charset val="1"/>
          </rPr>
          <t>User:</t>
        </r>
        <r>
          <rPr>
            <sz val="9"/>
            <color indexed="81"/>
            <rFont val="Tahoma"/>
            <charset val="1"/>
          </rPr>
          <t xml:space="preserve">
FY18 GAAP segment operating profit per original FY18 release: Aircraft Controls 128,665 + Space and Defense Controls 66,875 + Industrial Systems 62,312 = $257,852K. Source: Moog FY18 8-K press release Nov 2 2018, https://www.sec.gov/Archives/edgar/data/0000067887/000006788718000049/ex991-110218.htm</t>
        </r>
      </text>
    </comment>
    <comment ref="AY143" authorId="0" shapeId="0" xr:uid="{6FDD6C4A-4CF2-474D-BE07-4649E3083323}">
      <text>
        <r>
          <rPr>
            <b/>
            <sz val="9"/>
            <color indexed="81"/>
            <rFont val="Tahoma"/>
            <charset val="1"/>
          </rPr>
          <t>User:</t>
        </r>
        <r>
          <rPr>
            <sz val="9"/>
            <color indexed="81"/>
            <rFont val="Tahoma"/>
            <charset val="1"/>
          </rPr>
          <t xml:space="preserve">
Q4/19 GAAP segment OP: AC + SDC + Industrial = $79,799K. Source: Moog FY19 8-K press release Nov 1 2019, https://www.sec.gov/Archives/edgar/data/0000067887/000006788719000082/ex991-110119.htm</t>
        </r>
      </text>
    </comment>
    <comment ref="AZ143" authorId="0" shapeId="0" xr:uid="{AA676886-E1A7-4D21-944F-D9543E0562C6}">
      <text>
        <r>
          <rPr>
            <b/>
            <sz val="9"/>
            <color indexed="81"/>
            <rFont val="Tahoma"/>
            <charset val="1"/>
          </rPr>
          <t>User:</t>
        </r>
        <r>
          <rPr>
            <sz val="9"/>
            <color indexed="81"/>
            <rFont val="Tahoma"/>
            <charset val="1"/>
          </rPr>
          <t xml:space="preserve">
FY19 GAAP segment operating profit per FY19 release: Aircraft Controls 154,896 + Space and Defense Controls 56,795 + Industrial Systems 109,451 = $321,142K (restated under ASU 2017-07 pension presentation). Source: Moog FY19 8-K press release Nov 1 2019, https://www.sec.gov/Archives/edgar/data/0000067887/000006788719000082/ex991-110119.htm</t>
        </r>
      </text>
    </comment>
    <comment ref="BD143" authorId="0" shapeId="0" xr:uid="{59AAFD80-E3F5-4FCC-9691-2A879560303A}">
      <text>
        <r>
          <rPr>
            <b/>
            <sz val="9"/>
            <color indexed="81"/>
            <rFont val="Tahoma"/>
            <charset val="1"/>
          </rPr>
          <t>User:</t>
        </r>
        <r>
          <rPr>
            <sz val="9"/>
            <color indexed="81"/>
            <rFont val="Tahoma"/>
            <charset val="1"/>
          </rPr>
          <t xml:space="preserve">
Q4/20 GAAP segment OP per FY20 release: $43,421K (6.1% margin). Source: Moog FY20 8-K press release Nov 6 2020, https://www.sec.gov/Archives/edgar/data/0000067887/000006788720000051/ex991-110620.htm</t>
        </r>
      </text>
    </comment>
    <comment ref="BE143" authorId="0" shapeId="0" xr:uid="{3152D65E-22CA-4646-8815-E1EE193413A9}">
      <text>
        <r>
          <rPr>
            <b/>
            <sz val="9"/>
            <color indexed="81"/>
            <rFont val="Tahoma"/>
            <charset val="1"/>
          </rPr>
          <t>User:</t>
        </r>
        <r>
          <rPr>
            <sz val="9"/>
            <color indexed="81"/>
            <rFont val="Tahoma"/>
            <charset val="1"/>
          </rPr>
          <t xml:space="preserve">
FY20 GAAP segment operating profit per FY20 release: Aircraft Controls 34,670 + Space and Defense Controls 101,667 + Industrial Systems 80,025 = $216,362K (7.5% margin). Source: Moog FY20 8-K press release Nov 6 2020, https://www.sec.gov/Archives/edgar/data/0000067887/000006788720000051/ex991-110620.htm</t>
        </r>
      </text>
    </comment>
    <comment ref="BI143" authorId="0" shapeId="0" xr:uid="{D6A7D136-9C5A-4C0B-AB73-BDA710369798}">
      <text>
        <r>
          <rPr>
            <b/>
            <sz val="9"/>
            <color indexed="81"/>
            <rFont val="Tahoma"/>
            <charset val="1"/>
          </rPr>
          <t>User:</t>
        </r>
        <r>
          <rPr>
            <sz val="9"/>
            <color indexed="81"/>
            <rFont val="Tahoma"/>
            <charset val="1"/>
          </rPr>
          <t xml:space="preserve">
Q4/21 GAAP segment OP: AC $26,193 + SDC $17,296 + Indust $19,233 = $62,722K. Source: Moog FY22 8-K Nov 4 2022.</t>
        </r>
      </text>
    </comment>
    <comment ref="BJ143" authorId="0" shapeId="0" xr:uid="{E88591E7-D1BF-4460-90A5-4D4E4A791537}">
      <text>
        <r>
          <rPr>
            <b/>
            <sz val="9"/>
            <color indexed="81"/>
            <rFont val="Tahoma"/>
            <charset val="1"/>
          </rPr>
          <t>User:</t>
        </r>
        <r>
          <rPr>
            <sz val="9"/>
            <color indexed="81"/>
            <rFont val="Tahoma"/>
            <charset val="1"/>
          </rPr>
          <t xml:space="preserve">
GAAP segment operating profit FY21: Aircraft Controls $96,678 + Space &amp; Defense Controls $88,333 + Industrial Systems $85,948 = $270,959K. Source: Moog FY22 8-K press release Nov 4 2022 (comparative period), https://www.sec.gov/Archives/edgar/data/0000067887/000006788722000079/ex991-110422.htm</t>
        </r>
      </text>
    </comment>
    <comment ref="BN143" authorId="0" shapeId="0" xr:uid="{8ABABE29-A3AA-452D-8EC2-FAB7BEDBB789}">
      <text>
        <r>
          <rPr>
            <b/>
            <sz val="9"/>
            <color indexed="81"/>
            <rFont val="Tahoma"/>
            <charset val="1"/>
          </rPr>
          <t>User:</t>
        </r>
        <r>
          <rPr>
            <sz val="9"/>
            <color indexed="81"/>
            <rFont val="Tahoma"/>
            <charset val="1"/>
          </rPr>
          <t xml:space="preserve">
Q4/22 GAAP segment OP: AC $34,811 + SDC $16,102 + Indust $14,986 = $65,899K. Source: Moog FY22 8-K Nov 4 2022.</t>
        </r>
      </text>
    </comment>
    <comment ref="BO143" authorId="0" shapeId="0" xr:uid="{97EC76D5-86A1-4A8B-B6A2-EA8A3EF15ACC}">
      <text>
        <r>
          <rPr>
            <b/>
            <sz val="9"/>
            <color indexed="81"/>
            <rFont val="Tahoma"/>
            <charset val="1"/>
          </rPr>
          <t>User:</t>
        </r>
        <r>
          <rPr>
            <sz val="9"/>
            <color indexed="81"/>
            <rFont val="Tahoma"/>
            <charset val="1"/>
          </rPr>
          <t xml:space="preserve">
GAAP segment operating profit FY22: Aircraft Controls $123,620 + Space &amp; Defense Controls $86,844 + Industrial Systems $72,384 = $282,848K. Source: Moog FY22 8-K press release Nov 4 2022, https://www.sec.gov/Archives/edgar/data/0000067887/000006788722000079/ex991-110422.htm</t>
        </r>
      </text>
    </comment>
    <comment ref="BS143" authorId="0" shapeId="0" xr:uid="{18EE6FCF-3001-4541-8790-4C326065FA0A}">
      <text>
        <r>
          <rPr>
            <b/>
            <sz val="9"/>
            <color indexed="81"/>
            <rFont val="Tahoma"/>
            <charset val="1"/>
          </rPr>
          <t>User:</t>
        </r>
        <r>
          <rPr>
            <sz val="9"/>
            <color indexed="81"/>
            <rFont val="Tahoma"/>
            <charset val="1"/>
          </rPr>
          <t xml:space="preserve">
Q4/23 GAAP segment OP: AC $45,335 + SDC $29,563 + Indust $12,982 = $87,880K. Source: Moog FY23 8-K Nov 3 2023.</t>
        </r>
      </text>
    </comment>
    <comment ref="BT143" authorId="0" shapeId="0" xr:uid="{4B91CFE3-D846-4C73-B072-A38A73F0BA91}">
      <text>
        <r>
          <rPr>
            <b/>
            <sz val="9"/>
            <color indexed="81"/>
            <rFont val="Tahoma"/>
            <charset val="1"/>
          </rPr>
          <t>User:</t>
        </r>
        <r>
          <rPr>
            <sz val="9"/>
            <color indexed="81"/>
            <rFont val="Tahoma"/>
            <charset val="1"/>
          </rPr>
          <t xml:space="preserve">
GAAP segment operating profit FY23: Aircraft Controls $144,803 + Space &amp; Defense Controls $95,949 + Industrial Systems $102,165 = $342,917K. Source: Moog FY23 8-K press release Nov 3 2023, https://www.sec.gov/Archives/edgar/data/0000067887/000006788723000096/ex991-110323.htm</t>
        </r>
      </text>
    </comment>
    <comment ref="BY143" authorId="0" shapeId="0" xr:uid="{C460322E-1232-43CD-9F96-9C83E090905B}">
      <text>
        <r>
          <rPr>
            <b/>
            <sz val="9"/>
            <color indexed="81"/>
            <rFont val="Tahoma"/>
            <family val="2"/>
          </rPr>
          <t>User:</t>
        </r>
        <r>
          <rPr>
            <sz val="9"/>
            <color indexed="81"/>
            <rFont val="Tahoma"/>
            <family val="2"/>
          </rPr>
          <t xml:space="preserve">
GAAP Total operating profit (segment basis) FY24 = $404.465M (revised). Source: Moog Q4 FY25 8-K, p.6 (showing revised FY24 comparable).</t>
        </r>
      </text>
    </comment>
    <comment ref="BZ143" authorId="0" shapeId="0" xr:uid="{A389048D-6EBB-4330-ABC5-E1180E033A60}">
      <text>
        <r>
          <rPr>
            <b/>
            <sz val="9"/>
            <color indexed="81"/>
            <rFont val="Tahoma"/>
            <charset val="1"/>
          </rPr>
          <t>User:</t>
        </r>
        <r>
          <rPr>
            <sz val="9"/>
            <color indexed="81"/>
            <rFont val="Tahoma"/>
            <charset val="1"/>
          </rPr>
          <t xml:space="preserve">
Q1 FY25 GAAP segment operating profit: $101,157K. Source: Moog Q1 FY25 8-K press release Jan 24 2025, https://www.sec.gov/Archives/edgar/data/0000067887/000006788725000007/ex991-12425.htm</t>
        </r>
      </text>
    </comment>
    <comment ref="CA143" authorId="0" shapeId="0" xr:uid="{71D29B79-189E-40FD-AE5F-B5CAD14EB275}">
      <text>
        <r>
          <rPr>
            <b/>
            <sz val="9"/>
            <color indexed="81"/>
            <rFont val="Tahoma"/>
            <charset val="1"/>
          </rPr>
          <t>User:</t>
        </r>
        <r>
          <rPr>
            <sz val="9"/>
            <color indexed="81"/>
            <rFont val="Tahoma"/>
            <charset val="1"/>
          </rPr>
          <t xml:space="preserve">
Q2 FY25 GAAP segment operating profit: $109,307K. Source: Moog Q2 FY25 8-K press release Apr 25 2025, https://www.sec.gov/Archives/edgar/data/0000067887/000006788725000032/ex991-42525.htm</t>
        </r>
      </text>
    </comment>
    <comment ref="CB143" authorId="0" shapeId="0" xr:uid="{5E73B1E7-43BC-4232-B021-A340295D70C7}">
      <text>
        <r>
          <rPr>
            <b/>
            <sz val="9"/>
            <color indexed="81"/>
            <rFont val="Tahoma"/>
            <charset val="1"/>
          </rPr>
          <t>User:</t>
        </r>
        <r>
          <rPr>
            <sz val="9"/>
            <color indexed="81"/>
            <rFont val="Tahoma"/>
            <charset val="1"/>
          </rPr>
          <t xml:space="preserve">
Q3 FY25 GAAP segment operating profit: $111,867K. Source: Moog Q3 FY25 8-K press release Jul 25 2025, https://www.sec.gov/Archives/edgar/data/0000067887/000006788725000047/ex991-72525.htm</t>
        </r>
      </text>
    </comment>
    <comment ref="CC143" authorId="0" shapeId="0" xr:uid="{A1D06C97-F28E-4BED-9FA6-19C673EC082B}">
      <text>
        <r>
          <rPr>
            <b/>
            <sz val="9"/>
            <color indexed="81"/>
            <rFont val="Tahoma"/>
            <family val="2"/>
          </rPr>
          <t>User:</t>
        </r>
        <r>
          <rPr>
            <sz val="9"/>
            <color indexed="81"/>
            <rFont val="Tahoma"/>
            <family val="2"/>
          </rPr>
          <t xml:space="preserve">
GAAP Total operating profit (segment basis) Q4 FY25 = $125.040M. Source: Moog Q4 FY25 8-K, p.6.</t>
        </r>
      </text>
    </comment>
    <comment ref="CD143" authorId="0" shapeId="0" xr:uid="{59E84140-04A7-4881-8F4D-4CF4A5B28587}">
      <text>
        <r>
          <rPr>
            <b/>
            <sz val="9"/>
            <color indexed="81"/>
            <rFont val="Tahoma"/>
            <family val="2"/>
          </rPr>
          <t>User:</t>
        </r>
        <r>
          <rPr>
            <sz val="9"/>
            <color indexed="81"/>
            <rFont val="Tahoma"/>
            <family val="2"/>
          </rPr>
          <t xml:space="preserve">
GAAP Total operating profit (segment basis) FY25 = $449.606M. Source: Moog 8-K Q4 FY25 earnings release, Nov 21, 2025, p.6 "Consolidated Sales and Operating Profit" table. https://www.moog.com/content/dam/moog/literature/Corporate/Investors/press-releases-pdf/2025/q4/Moog-Reports-Record-Fourth-Quarter-2025-Sales.pdf</t>
        </r>
      </text>
    </comment>
    <comment ref="BY144" authorId="0" shapeId="0" xr:uid="{49F6F31D-EDA5-4543-B3C8-28031F95BC66}">
      <text>
        <r>
          <rPr>
            <b/>
            <sz val="9"/>
            <color indexed="81"/>
            <rFont val="Tahoma"/>
            <family val="2"/>
          </rPr>
          <t>User:</t>
        </r>
        <r>
          <rPr>
            <sz val="9"/>
            <color indexed="81"/>
            <rFont val="Tahoma"/>
            <family val="2"/>
          </rPr>
          <t xml:space="preserve">
Program terminations FY24 (MilAir). Source: Moog Q4 FY25 8-K, p.7.</t>
        </r>
      </text>
    </comment>
    <comment ref="CC144" authorId="0" shapeId="0" xr:uid="{0CA83430-C035-4147-AE1A-FC8F21865287}">
      <text>
        <r>
          <rPr>
            <b/>
            <sz val="9"/>
            <color indexed="81"/>
            <rFont val="Tahoma"/>
            <family val="2"/>
          </rPr>
          <t>User:</t>
        </r>
        <r>
          <rPr>
            <sz val="9"/>
            <color indexed="81"/>
            <rFont val="Tahoma"/>
            <family val="2"/>
          </rPr>
          <t xml:space="preserve">
Program terminations Q4 FY25 (MilAir segment, net release). Source: Moog Q4 FY25 8-K, p.7.</t>
        </r>
      </text>
    </comment>
    <comment ref="CD144" authorId="0" shapeId="0" xr:uid="{0ADEC1B0-0558-43A5-A242-C0D112996FCC}">
      <text>
        <r>
          <rPr>
            <b/>
            <sz val="9"/>
            <color indexed="81"/>
            <rFont val="Tahoma"/>
            <family val="2"/>
          </rPr>
          <t>User:</t>
        </r>
        <r>
          <rPr>
            <sz val="9"/>
            <color indexed="81"/>
            <rFont val="Tahoma"/>
            <family val="2"/>
          </rPr>
          <t xml:space="preserve">
Program terminations adjustment FY25. Source: Moog Q4 FY25 8-K, p.7 Reconciliation table.</t>
        </r>
      </text>
    </comment>
    <comment ref="CE144" authorId="0" shapeId="0" xr:uid="{C1F51198-2DC2-4A91-813D-459E40EC0D54}">
      <text>
        <r>
          <rPr>
            <b/>
            <sz val="9"/>
            <color indexed="81"/>
            <rFont val="Tahoma"/>
            <family val="2"/>
          </rPr>
          <t>Q1/26 Program terminations — estimated minor charge. Total Q1 non-GAAP adjustments back-solved from Moog-reported adj EPS $2.57.</t>
        </r>
      </text>
    </comment>
    <comment ref="CF144" authorId="0" shapeId="0" xr:uid="{59F32D62-0888-4480-BC41-EDA46EC0FE98}">
      <text>
        <r>
          <rPr>
            <b/>
            <sz val="9"/>
            <color indexed="81"/>
            <rFont val="Tahoma"/>
            <family val="2"/>
          </rPr>
          <t>User:</t>
        </r>
        <r>
          <rPr>
            <sz val="9"/>
            <color indexed="81"/>
            <rFont val="Tahoma"/>
            <family val="2"/>
          </rPr>
          <t xml:space="preserve">
Q2/26 Program terminations — estimated. Total Q2 pre-tax adjustments back-solved from Moog-reported adj EPS.</t>
        </r>
      </text>
    </comment>
    <comment ref="BY145" authorId="0" shapeId="0" xr:uid="{E66D94BD-834C-4903-B583-FAFE0C198892}">
      <text>
        <r>
          <rPr>
            <b/>
            <sz val="9"/>
            <color indexed="81"/>
            <rFont val="Tahoma"/>
            <family val="2"/>
          </rPr>
          <t>User:</t>
        </r>
        <r>
          <rPr>
            <sz val="9"/>
            <color indexed="81"/>
            <rFont val="Tahoma"/>
            <family val="2"/>
          </rPr>
          <t xml:space="preserve">
Simplification initiatives FY24 = S&amp;D 6.336 + MilAir 4.067 + ComAir 0.649 + Ind 32.241. Source: Moog Q4 FY25 8-K, p.7.</t>
        </r>
      </text>
    </comment>
    <comment ref="CC145" authorId="0" shapeId="0" xr:uid="{A185306D-C5B8-4D9E-9B01-5EAD47522426}">
      <text>
        <r>
          <rPr>
            <b/>
            <sz val="9"/>
            <color indexed="81"/>
            <rFont val="Tahoma"/>
            <family val="2"/>
          </rPr>
          <t>User:</t>
        </r>
        <r>
          <rPr>
            <sz val="9"/>
            <color indexed="81"/>
            <rFont val="Tahoma"/>
            <family val="2"/>
          </rPr>
          <t xml:space="preserve">
Simplification initiatives Q4 FY25 = S&amp;D 2.092 + Ind 3.084. Source: Moog Q4 FY25 8-K, p.7.</t>
        </r>
      </text>
    </comment>
    <comment ref="CD145" authorId="0" shapeId="0" xr:uid="{CD365AB2-3A67-40F4-A844-DC45B03DB1D2}">
      <text>
        <r>
          <rPr>
            <b/>
            <sz val="9"/>
            <color indexed="81"/>
            <rFont val="Tahoma"/>
            <family val="2"/>
          </rPr>
          <t>User:</t>
        </r>
        <r>
          <rPr>
            <sz val="9"/>
            <color indexed="81"/>
            <rFont val="Tahoma"/>
            <family val="2"/>
          </rPr>
          <t xml:space="preserve">
Simplification initiatives FY25 = S&amp;D 4.566 + MilAir 0.591 + ComAir 0 + Ind 18.223. Source: Moog Q4 FY25 8-K, p.7.</t>
        </r>
      </text>
    </comment>
    <comment ref="CE145" authorId="0" shapeId="0" xr:uid="{56B19BE4-0929-4383-A3BA-614D5EEC0262}">
      <text>
        <r>
          <rPr>
            <b/>
            <sz val="9"/>
            <color indexed="81"/>
            <rFont val="Tahoma"/>
            <family val="2"/>
          </rPr>
          <t>Q1/26 Simplification initiatives — estimated. Total back-solved from Moog-reported adj EPS $2.57 (Q1 FY26 8-K).</t>
        </r>
      </text>
    </comment>
    <comment ref="CF145" authorId="0" shapeId="0" xr:uid="{94250111-CEA8-4606-B754-45687ED62652}">
      <text>
        <r>
          <rPr>
            <b/>
            <sz val="9"/>
            <color indexed="81"/>
            <rFont val="Tahoma"/>
            <family val="2"/>
          </rPr>
          <t>User:</t>
        </r>
        <r>
          <rPr>
            <sz val="9"/>
            <color indexed="81"/>
            <rFont val="Tahoma"/>
            <family val="2"/>
          </rPr>
          <t xml:space="preserve">
Q2/26 Simplification initiatives — estimated.</t>
        </r>
      </text>
    </comment>
    <comment ref="CC146" authorId="0" shapeId="0" xr:uid="{53CEC964-5E78-4C3D-89B1-657A76DC5EF4}">
      <text>
        <r>
          <rPr>
            <b/>
            <sz val="9"/>
            <color indexed="81"/>
            <rFont val="Tahoma"/>
            <family val="2"/>
          </rPr>
          <t>User:</t>
        </r>
        <r>
          <rPr>
            <sz val="9"/>
            <color indexed="81"/>
            <rFont val="Tahoma"/>
            <family val="2"/>
          </rPr>
          <t xml:space="preserve">
Dispute resolution Q4 FY25 (S&amp;D segment). Source: Moog Q4 FY25 8-K, p.7.</t>
        </r>
      </text>
    </comment>
    <comment ref="CD146" authorId="0" shapeId="0" xr:uid="{59CAD4A1-FA37-4492-9D5D-38072F421A46}">
      <text>
        <r>
          <rPr>
            <b/>
            <sz val="9"/>
            <color indexed="81"/>
            <rFont val="Tahoma"/>
            <family val="2"/>
          </rPr>
          <t>User:</t>
        </r>
        <r>
          <rPr>
            <sz val="9"/>
            <color indexed="81"/>
            <rFont val="Tahoma"/>
            <family val="2"/>
          </rPr>
          <t xml:space="preserve">
Dispute resolution charges FY25 (S&amp;D segment). Source: Moog Q4 FY25 8-K, p.7.</t>
        </r>
      </text>
    </comment>
    <comment ref="CE146" authorId="0" shapeId="0" xr:uid="{3D23933A-4DB6-4302-AB2F-95D5DDA72E45}">
      <text>
        <r>
          <rPr>
            <b/>
            <sz val="9"/>
            <color indexed="81"/>
            <rFont val="Tahoma"/>
            <family val="2"/>
          </rPr>
          <t>Q1/26 Dispute resolution — estimated.</t>
        </r>
      </text>
    </comment>
    <comment ref="CF146" authorId="0" shapeId="0" xr:uid="{4809B7F3-A8A8-4F50-938C-F9D79A17114C}">
      <text>
        <r>
          <rPr>
            <b/>
            <sz val="9"/>
            <color indexed="81"/>
            <rFont val="Tahoma"/>
            <family val="2"/>
          </rPr>
          <t>User:</t>
        </r>
        <r>
          <rPr>
            <sz val="9"/>
            <color indexed="81"/>
            <rFont val="Tahoma"/>
            <family val="2"/>
          </rPr>
          <t xml:space="preserve">
Q2/26 Dispute resolution — estimated.</t>
        </r>
      </text>
    </comment>
    <comment ref="BY147" authorId="0" shapeId="0" xr:uid="{E2D7CBB1-DD55-4EC6-B3F1-DA409468482F}">
      <text>
        <r>
          <rPr>
            <b/>
            <sz val="9"/>
            <color indexed="81"/>
            <rFont val="Tahoma"/>
            <family val="2"/>
          </rPr>
          <t>User:</t>
        </r>
        <r>
          <rPr>
            <sz val="9"/>
            <color indexed="81"/>
            <rFont val="Tahoma"/>
            <family val="2"/>
          </rPr>
          <t xml:space="preserve">
Investment losses FY24 (MilAir). Source: Moog Q4 FY25 8-K, p.7.</t>
        </r>
      </text>
    </comment>
    <comment ref="CD147" authorId="0" shapeId="0" xr:uid="{CF36B4FF-67BA-46E0-B1D1-13387D9B940F}">
      <text>
        <r>
          <rPr>
            <b/>
            <sz val="9"/>
            <color indexed="81"/>
            <rFont val="Tahoma"/>
            <family val="2"/>
          </rPr>
          <t>User:</t>
        </r>
        <r>
          <rPr>
            <sz val="9"/>
            <color indexed="81"/>
            <rFont val="Tahoma"/>
            <family val="2"/>
          </rPr>
          <t xml:space="preserve">
Investment losses FY25 (Industrial segment). Source: Moog Q4 FY25 8-K, p.7.</t>
        </r>
      </text>
    </comment>
    <comment ref="CE147" authorId="0" shapeId="0" xr:uid="{F6BDCE74-76F3-4CD3-9D28-8C1A6123AB43}">
      <text>
        <r>
          <rPr>
            <b/>
            <sz val="9"/>
            <color indexed="81"/>
            <rFont val="Tahoma"/>
            <family val="2"/>
          </rPr>
          <t>User:</t>
        </r>
        <r>
          <rPr>
            <sz val="9"/>
            <color indexed="81"/>
            <rFont val="Tahoma"/>
            <family val="2"/>
          </rPr>
          <t xml:space="preserve">
Q1/26 Investment losses — not material in Q1.</t>
        </r>
      </text>
    </comment>
    <comment ref="CF147" authorId="0" shapeId="0" xr:uid="{259A3E19-5785-4E8C-9914-B2E236EE63D6}">
      <text>
        <r>
          <rPr>
            <b/>
            <sz val="9"/>
            <color indexed="81"/>
            <rFont val="Tahoma"/>
            <family val="2"/>
          </rPr>
          <t>User:</t>
        </r>
        <r>
          <rPr>
            <sz val="9"/>
            <color indexed="81"/>
            <rFont val="Tahoma"/>
            <family val="2"/>
          </rPr>
          <t xml:space="preserve">
Q2/26 Investment losses — not material.</t>
        </r>
      </text>
    </comment>
    <comment ref="BY148" authorId="0" shapeId="0" xr:uid="{B3795A14-66F7-4C7F-A4E5-9C4DA35E9758}">
      <text>
        <r>
          <rPr>
            <b/>
            <sz val="9"/>
            <color indexed="81"/>
            <rFont val="Tahoma"/>
            <family val="2"/>
          </rPr>
          <t>User:</t>
        </r>
        <r>
          <rPr>
            <sz val="9"/>
            <color indexed="81"/>
            <rFont val="Tahoma"/>
            <family val="2"/>
          </rPr>
          <t xml:space="preserve">
Acquisition integration FY24 (ComAir, net benefit). Source: Moog Q4 FY25 8-K, p.7.</t>
        </r>
      </text>
    </comment>
    <comment ref="CC148" authorId="0" shapeId="0" xr:uid="{50EF9AD8-401D-4306-B7B5-F74BF3A7A350}">
      <text>
        <r>
          <rPr>
            <b/>
            <sz val="9"/>
            <color indexed="81"/>
            <rFont val="Tahoma"/>
            <family val="2"/>
          </rPr>
          <t>User:</t>
        </r>
        <r>
          <rPr>
            <sz val="9"/>
            <color indexed="81"/>
            <rFont val="Tahoma"/>
            <family val="2"/>
          </rPr>
          <t xml:space="preserve">
Acquisition integration Q4 FY25 (S&amp;D segment). Source: Moog Q4 FY25 8-K, p.7.</t>
        </r>
      </text>
    </comment>
    <comment ref="CD148" authorId="0" shapeId="0" xr:uid="{BF44D408-8C64-4B90-A262-C2185BC62440}">
      <text>
        <r>
          <rPr>
            <b/>
            <sz val="9"/>
            <color indexed="81"/>
            <rFont val="Tahoma"/>
            <family val="2"/>
          </rPr>
          <t>User:</t>
        </r>
        <r>
          <rPr>
            <sz val="9"/>
            <color indexed="81"/>
            <rFont val="Tahoma"/>
            <family val="2"/>
          </rPr>
          <t xml:space="preserve">
Acquisition integration FY25 (S&amp;D segment). Source: Moog Q4 FY25 8-K, p.7.</t>
        </r>
      </text>
    </comment>
    <comment ref="CE148" authorId="0" shapeId="0" xr:uid="{569EDBAC-1765-484F-8E3C-A3B4E8E8BD29}">
      <text>
        <r>
          <rPr>
            <b/>
            <sz val="9"/>
            <color indexed="81"/>
            <rFont val="Tahoma"/>
            <family val="2"/>
          </rPr>
          <t>User:</t>
        </r>
        <r>
          <rPr>
            <sz val="9"/>
            <color indexed="81"/>
            <rFont val="Tahoma"/>
            <family val="2"/>
          </rPr>
          <t xml:space="preserve">
Q1/26 Acquisition integration — estimated.</t>
        </r>
      </text>
    </comment>
    <comment ref="CF148" authorId="0" shapeId="0" xr:uid="{E621FAFC-3E57-4E3C-A2D1-A50C949ED314}">
      <text>
        <r>
          <rPr>
            <b/>
            <sz val="9"/>
            <color indexed="81"/>
            <rFont val="Tahoma"/>
            <family val="2"/>
          </rPr>
          <t>User:</t>
        </r>
        <r>
          <rPr>
            <sz val="9"/>
            <color indexed="81"/>
            <rFont val="Tahoma"/>
            <family val="2"/>
          </rPr>
          <t xml:space="preserve">
Q2/26 Acquisition integration.</t>
        </r>
      </text>
    </comment>
    <comment ref="AO149" authorId="0" shapeId="0" xr:uid="{E0309029-E92B-4C1B-A865-62EDBF17726C}">
      <text>
        <r>
          <rPr>
            <b/>
            <sz val="9"/>
            <color indexed="81"/>
            <rFont val="Tahoma"/>
            <charset val="1"/>
          </rPr>
          <t>User:</t>
        </r>
        <r>
          <rPr>
            <sz val="9"/>
            <color indexed="81"/>
            <rFont val="Tahoma"/>
            <charset val="1"/>
          </rPr>
          <t xml:space="preserve">
Q4/17: no Moog OP adjustments. Source: Moog FY18 8-K Nov 2 2018.</t>
        </r>
      </text>
    </comment>
    <comment ref="AP149" authorId="0" shapeId="0" xr:uid="{1762B74E-7A18-4FBF-AEFA-8263E751E42C}">
      <text>
        <r>
          <rPr>
            <b/>
            <sz val="9"/>
            <color indexed="81"/>
            <rFont val="Tahoma"/>
            <charset val="1"/>
          </rPr>
          <t>User:</t>
        </r>
        <r>
          <rPr>
            <sz val="9"/>
            <color indexed="81"/>
            <rFont val="Tahoma"/>
            <charset val="1"/>
          </rPr>
          <t xml:space="preserve">
FY17: no Moog operating profit adjustments disclosed (Adj OP = GAAP). Source: Moog FY18 8-K Nov 2 2018.</t>
        </r>
      </text>
    </comment>
    <comment ref="AT149" authorId="0" shapeId="0" xr:uid="{D9E6B502-3273-4EDB-B966-F61AC00AAAD7}">
      <text>
        <r>
          <rPr>
            <b/>
            <sz val="9"/>
            <color indexed="81"/>
            <rFont val="Tahoma"/>
            <charset val="1"/>
          </rPr>
          <t>User:</t>
        </r>
        <r>
          <rPr>
            <sz val="9"/>
            <color indexed="81"/>
            <rFont val="Tahoma"/>
            <charset val="1"/>
          </rPr>
          <t xml:space="preserve">
Q4/18 OP adjustments: Wind pitch controls restructuring + inv writedown - wind product sale = $4,446K. Source: Moog FY18 8-K Nov 2 2018.</t>
        </r>
      </text>
    </comment>
    <comment ref="AU149" authorId="0" shapeId="0" xr:uid="{15B23AE3-3E29-4E06-B00B-3C1D84DE3980}">
      <text>
        <r>
          <rPr>
            <b/>
            <sz val="9"/>
            <color indexed="81"/>
            <rFont val="Tahoma"/>
            <charset val="1"/>
          </rPr>
          <t>User:</t>
        </r>
        <r>
          <rPr>
            <sz val="9"/>
            <color indexed="81"/>
            <rFont val="Tahoma"/>
            <charset val="1"/>
          </rPr>
          <t xml:space="preserve">
FY18 OP adjustments: Wind pitch controls restructuring $26,984 + Inventory write-down $12,198 - Wind product sale ($2,500) = $36,682K. Source: Moog FY18 8-K Nov 2 2018.</t>
        </r>
      </text>
    </comment>
    <comment ref="AY149" authorId="0" shapeId="0" xr:uid="{261130A0-CEFF-4A56-9E60-564EC6028E2A}">
      <text>
        <r>
          <rPr>
            <b/>
            <sz val="9"/>
            <color indexed="81"/>
            <rFont val="Tahoma"/>
            <charset val="1"/>
          </rPr>
          <t>User:</t>
        </r>
        <r>
          <rPr>
            <sz val="9"/>
            <color indexed="81"/>
            <rFont val="Tahoma"/>
            <charset val="1"/>
          </rPr>
          <t xml:space="preserve">
Q4/19: no Moog OP adjustments. Source: Moog FY19 8-K Nov 1 2019.</t>
        </r>
      </text>
    </comment>
    <comment ref="AZ149" authorId="0" shapeId="0" xr:uid="{9EA1822E-FA4C-44D1-A555-5146112506DC}">
      <text>
        <r>
          <rPr>
            <b/>
            <sz val="9"/>
            <color indexed="81"/>
            <rFont val="Tahoma"/>
            <charset val="1"/>
          </rPr>
          <t>User:</t>
        </r>
        <r>
          <rPr>
            <sz val="9"/>
            <color indexed="81"/>
            <rFont val="Tahoma"/>
            <charset val="1"/>
          </rPr>
          <t xml:space="preserve">
FY19: no Moog operating profit adjustments disclosed (Adj OP = GAAP segment OP $321,142). Source: Moog FY19 8-K Nov 1 2019.</t>
        </r>
      </text>
    </comment>
    <comment ref="BD149" authorId="0" shapeId="0" xr:uid="{F975276E-3EE9-4498-ABE1-16348549618B}">
      <text>
        <r>
          <rPr>
            <b/>
            <sz val="9"/>
            <color indexed="81"/>
            <rFont val="Tahoma"/>
            <charset val="1"/>
          </rPr>
          <t>User:</t>
        </r>
        <r>
          <rPr>
            <sz val="9"/>
            <color indexed="81"/>
            <rFont val="Tahoma"/>
            <charset val="1"/>
          </rPr>
          <t xml:space="preserve">
Q4/20 OP adjustments: COVID-19 charges (inventory write-down, asset impairment, restructuring) across Aircraft Controls + Industrial = $15,275K. Adj OP $58,696 (8.3%). Source: Moog FY20 8-K Nov 6 2020.</t>
        </r>
      </text>
    </comment>
    <comment ref="BE149" authorId="0" shapeId="0" xr:uid="{3C86FA0E-9BB5-4732-950F-D7A5D1C730A2}">
      <text>
        <r>
          <rPr>
            <b/>
            <sz val="9"/>
            <color indexed="81"/>
            <rFont val="Tahoma"/>
            <charset val="1"/>
          </rPr>
          <t>User:</t>
        </r>
        <r>
          <rPr>
            <sz val="9"/>
            <color indexed="81"/>
            <rFont val="Tahoma"/>
            <charset val="1"/>
          </rPr>
          <t xml:space="preserve">
FY20 OP adjustments: COVID-19 pandemic charges across segments (inventory write-down, long-lived asset impairment, restructuring): Aircraft Controls $57,050 + Space and Defense $526 + Industrial $13,671 = $71,247K to reach Adj OP $287,609 (10.0% margin). Source: Moog FY20 8-K Nov 6 2020.</t>
        </r>
      </text>
    </comment>
    <comment ref="BI149" authorId="0" shapeId="0" xr:uid="{374AAB92-B956-47B2-B273-E55D1FEFEBFB}">
      <text>
        <r>
          <rPr>
            <b/>
            <sz val="9"/>
            <color indexed="81"/>
            <rFont val="Tahoma"/>
            <charset val="1"/>
          </rPr>
          <t>User:</t>
        </r>
        <r>
          <rPr>
            <sz val="9"/>
            <color indexed="81"/>
            <rFont val="Tahoma"/>
            <charset val="1"/>
          </rPr>
          <t xml:space="preserve">
Q4/21 OP adjustments aggregated. Source: Moog FY22 8-K Nov 4 2022.</t>
        </r>
      </text>
    </comment>
    <comment ref="BJ149" authorId="0" shapeId="0" xr:uid="{A2957E5A-2A13-46FE-B0D8-A5872117FBA7}">
      <text>
        <r>
          <rPr>
            <b/>
            <sz val="9"/>
            <color indexed="81"/>
            <rFont val="Tahoma"/>
            <charset val="1"/>
          </rPr>
          <t>User:</t>
        </r>
        <r>
          <rPr>
            <sz val="9"/>
            <color indexed="81"/>
            <rFont val="Tahoma"/>
            <charset val="1"/>
          </rPr>
          <t xml:space="preserve">
FY21 OP adjustments aggregated: Other charges $5,368 (COVID-19 impacts: inventory write-down, asset impairment, restructuring) + Pension curtailment gain ($5,830) reclassified + Sale of business $1,536 + sundry. Net adjustment to bridge to Adj OP $277,863K. Source: Moog FY22 8-K Nov 4 2022.</t>
        </r>
      </text>
    </comment>
    <comment ref="BN149" authorId="0" shapeId="0" xr:uid="{56DE156B-A7BD-4079-8F68-F3DF9A6608C1}">
      <text>
        <r>
          <rPr>
            <b/>
            <sz val="9"/>
            <color indexed="81"/>
            <rFont val="Tahoma"/>
            <charset val="1"/>
          </rPr>
          <t>User:</t>
        </r>
        <r>
          <rPr>
            <sz val="9"/>
            <color indexed="81"/>
            <rFont val="Tahoma"/>
            <charset val="1"/>
          </rPr>
          <t xml:space="preserve">
Q4/22 OP adjustments aggregated: Loss on sale of biz (Indust $15,379 + S&amp;D $4,112) + Gain on sale of bldg ($9,075) + Other charges $3,457 = $13,873K. Source: Moog FY22 8-K Nov 4 2022.</t>
        </r>
      </text>
    </comment>
    <comment ref="BO149" authorId="0" shapeId="0" xr:uid="{8FF80C24-FCF2-46D7-BC2C-D02A1C42AA46}">
      <text>
        <r>
          <rPr>
            <b/>
            <sz val="9"/>
            <color indexed="81"/>
            <rFont val="Tahoma"/>
            <charset val="1"/>
          </rPr>
          <t>User:</t>
        </r>
        <r>
          <rPr>
            <sz val="9"/>
            <color indexed="81"/>
            <rFont val="Tahoma"/>
            <charset val="1"/>
          </rPr>
          <t xml:space="preserve">
FY22 OP adjustments aggregated: Loss on sale of businesses (Industrial $15,379 + S&amp;D $4,112 - AC $16,146 gain) + Gain on sale of building ($9,075) + Other charges $31,160 (Russia/Ukraine related write-downs, restructuring, portfolio shaping). Net = $25,431K. Source: Moog FY22 8-K Nov 4 2022.</t>
        </r>
      </text>
    </comment>
    <comment ref="BS149" authorId="0" shapeId="0" xr:uid="{2FA895C3-8A7D-468D-A8FA-5E070AB16900}">
      <text>
        <r>
          <rPr>
            <b/>
            <sz val="9"/>
            <color indexed="81"/>
            <rFont val="Tahoma"/>
            <charset val="1"/>
          </rPr>
          <t>User:</t>
        </r>
        <r>
          <rPr>
            <sz val="9"/>
            <color indexed="81"/>
            <rFont val="Tahoma"/>
            <charset val="1"/>
          </rPr>
          <t xml:space="preserve">
Q4/23 OP adjustments aggregated: Inventory write-down $4,345 + Asset impairment $12,974 + Loss on sale of biz $900 + Restructuring &amp; other $3,260 = $21,479K. Source: Moog FY23 8-K Nov 3 2023.</t>
        </r>
      </text>
    </comment>
    <comment ref="BT149" authorId="0" shapeId="0" xr:uid="{7B9A724C-64EB-443A-84FB-94DF9975E700}">
      <text>
        <r>
          <rPr>
            <b/>
            <sz val="9"/>
            <color indexed="81"/>
            <rFont val="Tahoma"/>
            <charset val="1"/>
          </rPr>
          <t>User:</t>
        </r>
        <r>
          <rPr>
            <sz val="9"/>
            <color indexed="81"/>
            <rFont val="Tahoma"/>
            <charset val="1"/>
          </rPr>
          <t xml:space="preserve">
FY23 OP adjustments aggregated: Inventory write-down $4,345 + Asset impairment $14,628 + Loss on sale of biz $900 + Gain on sale of buildings ($10,030) + Restructuring &amp; other $9,046 = $18,889K. Source: Moog FY23 8-K Nov 3 2023.</t>
        </r>
      </text>
    </comment>
    <comment ref="BY149" authorId="0" shapeId="0" xr:uid="{1E62CE47-914B-4D1C-874C-31F67DE36B76}">
      <text>
        <r>
          <rPr>
            <b/>
            <sz val="9"/>
            <color indexed="81"/>
            <rFont val="Tahoma"/>
            <family val="2"/>
          </rPr>
          <t>User:</t>
        </r>
        <r>
          <rPr>
            <sz val="9"/>
            <color indexed="81"/>
            <rFont val="Tahoma"/>
            <family val="2"/>
          </rPr>
          <t xml:space="preserve">
Other charges FY24 = S&amp;D 2.305 + ComAir 1.000. Source: Moog Q4 FY25 8-K, p.7.</t>
        </r>
      </text>
    </comment>
    <comment ref="BZ149" authorId="0" shapeId="0" xr:uid="{A0061D87-E5A6-4C3B-AFEB-A65D18515A66}">
      <text>
        <r>
          <rPr>
            <b/>
            <sz val="9"/>
            <color indexed="81"/>
            <rFont val="Tahoma"/>
            <charset val="1"/>
          </rPr>
          <t>User:</t>
        </r>
        <r>
          <rPr>
            <sz val="9"/>
            <color indexed="81"/>
            <rFont val="Tahoma"/>
            <charset val="1"/>
          </rPr>
          <t xml:space="preserve">
Q1 FY25 aggregated OP adjustments: Restructuring &amp; other charges $6,056K. Source: Moog Q1 FY25 8-K Jan 24 2025.</t>
        </r>
      </text>
    </comment>
    <comment ref="CA149" authorId="0" shapeId="0" xr:uid="{C9E288F8-E9CA-487B-9C07-EFDFC3631D3F}">
      <text>
        <r>
          <rPr>
            <b/>
            <sz val="9"/>
            <color indexed="81"/>
            <rFont val="Tahoma"/>
            <charset val="1"/>
          </rPr>
          <t>User:</t>
        </r>
        <r>
          <rPr>
            <sz val="9"/>
            <color indexed="81"/>
            <rFont val="Tahoma"/>
            <charset val="1"/>
          </rPr>
          <t xml:space="preserve">
Q2 FY25 aggregated OP adjustments: Restructuring &amp; other charges $7,343K. Source: Moog Q2 FY25 8-K Apr 25 2025.</t>
        </r>
      </text>
    </comment>
    <comment ref="CB149" authorId="0" shapeId="0" xr:uid="{7E639A85-80EE-429D-8888-AE8EC4901D8E}">
      <text>
        <r>
          <rPr>
            <b/>
            <sz val="9"/>
            <color indexed="81"/>
            <rFont val="Tahoma"/>
            <charset val="1"/>
          </rPr>
          <t>User:</t>
        </r>
        <r>
          <rPr>
            <sz val="9"/>
            <color indexed="81"/>
            <rFont val="Tahoma"/>
            <charset val="1"/>
          </rPr>
          <t xml:space="preserve">
Q3 FY25 aggregated OP adjustments: $19,813K (includes program termination, simplification initiatives, dispute resolution). Source: Moog Q3 FY25 8-K Jul 25 2025.</t>
        </r>
      </text>
    </comment>
    <comment ref="CC149" authorId="0" shapeId="0" xr:uid="{5AC9A594-312A-479E-B8B7-3BF3C74F19F9}">
      <text>
        <r>
          <rPr>
            <b/>
            <sz val="9"/>
            <color indexed="81"/>
            <rFont val="Tahoma"/>
            <family val="2"/>
          </rPr>
          <t>User:</t>
        </r>
        <r>
          <rPr>
            <sz val="9"/>
            <color indexed="81"/>
            <rFont val="Tahoma"/>
            <family val="2"/>
          </rPr>
          <t xml:space="preserve">
Other charges Q4 FY25 = S&amp;D 0.062 + MilAir 0.449 + Ind 0.062. Source: Moog Q4 FY25 8-K, p.7.</t>
        </r>
      </text>
    </comment>
    <comment ref="CD149" authorId="0" shapeId="0" xr:uid="{F23A0612-2A19-4C6E-A220-7F5BB33CEE8C}">
      <text>
        <r>
          <rPr>
            <b/>
            <sz val="9"/>
            <color indexed="81"/>
            <rFont val="Tahoma"/>
            <family val="2"/>
          </rPr>
          <t>User:</t>
        </r>
        <r>
          <rPr>
            <sz val="9"/>
            <color indexed="81"/>
            <rFont val="Tahoma"/>
            <family val="2"/>
          </rPr>
          <t xml:space="preserve">
Other charges FY25 = S&amp;D 0.062 + MilAir 2.449 + Ind 0.062. Source: Moog Q4 FY25 8-K, p.7.</t>
        </r>
      </text>
    </comment>
    <comment ref="CE149" authorId="0" shapeId="0" xr:uid="{770F5656-0402-4F14-AB31-9BD0D9987507}">
      <text>
        <r>
          <rPr>
            <b/>
            <sz val="9"/>
            <color indexed="81"/>
            <rFont val="Tahoma"/>
            <family val="2"/>
          </rPr>
          <t>User:</t>
        </r>
        <r>
          <rPr>
            <sz val="9"/>
            <color indexed="81"/>
            <rFont val="Tahoma"/>
            <family val="2"/>
          </rPr>
          <t xml:space="preserve">
Q1/26 Other charges — estimated. Total Q1 pre-tax adjustments ~$3.9M, back-solved from Moog-reported Q1/26 adj diluted EPS $2.57 (Q1 FY26 8-K, Jan 30 2026).</t>
        </r>
      </text>
    </comment>
    <comment ref="CF149" authorId="0" shapeId="0" xr:uid="{DB47FAEB-7A89-430F-AC2E-E5891E43C805}">
      <text>
        <r>
          <rPr>
            <b/>
            <sz val="9"/>
            <color indexed="81"/>
            <rFont val="Tahoma"/>
            <family val="2"/>
          </rPr>
          <t>User:</t>
        </r>
        <r>
          <rPr>
            <sz val="9"/>
            <color indexed="81"/>
            <rFont val="Tahoma"/>
            <family val="2"/>
          </rPr>
          <t xml:space="preserve">
Q2/26 Other charges.</t>
        </r>
      </text>
    </comment>
    <comment ref="AF151" authorId="0" shapeId="0" xr:uid="{6A4CE1CA-E466-497F-AFEE-8A5D7B4AAA9B}">
      <text>
        <r>
          <rPr>
            <b/>
            <sz val="12"/>
            <color indexed="81"/>
            <rFont val="Tahoma"/>
            <family val="2"/>
          </rPr>
          <t>User:</t>
        </r>
        <r>
          <rPr>
            <sz val="12"/>
            <color indexed="81"/>
            <rFont val="Tahoma"/>
            <family val="2"/>
          </rPr>
          <t xml:space="preserve">
FY15: Moog did not report a separate non-GAAP Adjusted EPS. Restructuring add-back zeroed to match GAAP = Adjusted convention for this year. Source: Moog FY15 10-K.</t>
        </r>
      </text>
    </comment>
    <comment ref="AK151" authorId="0" shapeId="0" xr:uid="{7A4BB7A4-E028-4E1D-917D-66BF4A4B5E33}">
      <text>
        <r>
          <rPr>
            <b/>
            <sz val="12"/>
            <color indexed="81"/>
            <rFont val="Tahoma"/>
            <family val="2"/>
          </rPr>
          <t>User:</t>
        </r>
        <r>
          <rPr>
            <sz val="12"/>
            <color indexed="81"/>
            <rFont val="Tahoma"/>
            <family val="2"/>
          </rPr>
          <t xml:space="preserve">
FY15: Moog did not report a separate non-GAAP Adjusted EPS. Restructuring add-back zeroed to match GAAP = Adjusted convention for this year. Source: Moog FY15 10-K.</t>
        </r>
      </text>
    </comment>
    <comment ref="AP151" authorId="0" shapeId="0" xr:uid="{5EEEC06B-41E5-49E3-A1F0-446103AD71DF}">
      <text>
        <r>
          <rPr>
            <b/>
            <sz val="9"/>
            <color indexed="81"/>
            <rFont val="Tahoma"/>
            <family val="2"/>
          </rPr>
          <t>User:</t>
        </r>
        <r>
          <rPr>
            <sz val="9"/>
            <color indexed="81"/>
            <rFont val="Tahoma"/>
            <family val="2"/>
          </rPr>
          <t xml:space="preserve">
FY15: Moog did not report a separate non-GAAP Adjusted EPS. Restructuring add-back zeroed to match GAAP = Adjusted convention for this year. Source: Moog FY15 10-K.</t>
        </r>
      </text>
    </comment>
    <comment ref="AU151" authorId="0" shapeId="0" xr:uid="{E1EA5C47-2421-4014-ABA7-F0A00A15BAF8}">
      <text>
        <r>
          <rPr>
            <b/>
            <sz val="9"/>
            <color indexed="81"/>
            <rFont val="Tahoma"/>
            <family val="2"/>
          </rPr>
          <t>User:</t>
        </r>
        <r>
          <rPr>
            <sz val="9"/>
            <color indexed="81"/>
            <rFont val="Tahoma"/>
            <family val="2"/>
          </rPr>
          <t xml:space="preserve">
FY15: Moog did not report a separate non-GAAP Adjusted EPS. Restructuring add-back zeroed to match GAAP = Adjusted convention for this year. Source: Moog FY15 10-K.</t>
        </r>
      </text>
    </comment>
    <comment ref="AZ151" authorId="0" shapeId="0" xr:uid="{97F35E5A-4D60-403C-BD8F-E21470619559}">
      <text>
        <r>
          <rPr>
            <b/>
            <sz val="9"/>
            <color indexed="81"/>
            <rFont val="Tahoma"/>
            <family val="2"/>
          </rPr>
          <t>User:</t>
        </r>
        <r>
          <rPr>
            <sz val="9"/>
            <color indexed="81"/>
            <rFont val="Tahoma"/>
            <family val="2"/>
          </rPr>
          <t xml:space="preserve">
FY15: Moog did not report a separate non-GAAP Adjusted EPS. Restructuring add-back zeroed to match GAAP = Adjusted convention for this year. Source: Moog FY15 10-K.</t>
        </r>
      </text>
    </comment>
    <comment ref="BE151" authorId="0" shapeId="0" xr:uid="{BB0A8768-1441-4DEE-A62B-2AA26E9F21F9}">
      <text>
        <r>
          <rPr>
            <b/>
            <sz val="9"/>
            <color indexed="81"/>
            <rFont val="Tahoma"/>
            <family val="2"/>
          </rPr>
          <t>User:</t>
        </r>
        <r>
          <rPr>
            <sz val="9"/>
            <color indexed="81"/>
            <rFont val="Tahoma"/>
            <family val="2"/>
          </rPr>
          <t xml:space="preserve">
FY15: Moog did not report a separate non-GAAP Adjusted EPS. Restructuring add-back zeroed to match GAAP = Adjusted convention for this year. Source: Moog FY15 10-K.</t>
        </r>
      </text>
    </comment>
    <comment ref="BZ151" authorId="0" shapeId="0" xr:uid="{8A2A79BF-9275-4E2A-9752-242226151EF4}">
      <text>
        <r>
          <rPr>
            <b/>
            <sz val="9"/>
            <color indexed="81"/>
            <rFont val="Tahoma"/>
            <family val="2"/>
          </rPr>
          <t>User:</t>
        </r>
        <r>
          <rPr>
            <sz val="9"/>
            <color indexed="81"/>
            <rFont val="Tahoma"/>
            <family val="2"/>
          </rPr>
          <t xml:space="preserve">
FY15: Moog did not report a separate non-GAAP Adjusted EPS. Restructuring add-back zeroed to match GAAP = Adjusted convention for this year. Source: Moog FY15 10-K.</t>
        </r>
      </text>
    </comment>
    <comment ref="CA151" authorId="0" shapeId="0" xr:uid="{CB32F311-6260-4CEB-846A-08FB91BE5C4E}">
      <text>
        <r>
          <rPr>
            <b/>
            <sz val="9"/>
            <color indexed="81"/>
            <rFont val="Tahoma"/>
            <family val="2"/>
          </rPr>
          <t>User:</t>
        </r>
        <r>
          <rPr>
            <sz val="9"/>
            <color indexed="81"/>
            <rFont val="Tahoma"/>
            <family val="2"/>
          </rPr>
          <t xml:space="preserve">
FY15: Moog did not report a separate non-GAAP Adjusted EPS. Restructuring add-back zeroed to match GAAP = Adjusted convention for this year. Source: Moog FY15 10-K.</t>
        </r>
      </text>
    </comment>
    <comment ref="CB151" authorId="0" shapeId="0" xr:uid="{B365041F-9F3F-4684-B810-9FAE93B93AA4}">
      <text>
        <r>
          <rPr>
            <b/>
            <sz val="9"/>
            <color indexed="81"/>
            <rFont val="Tahoma"/>
            <family val="2"/>
          </rPr>
          <t>User:</t>
        </r>
        <r>
          <rPr>
            <sz val="9"/>
            <color indexed="81"/>
            <rFont val="Tahoma"/>
            <family val="2"/>
          </rPr>
          <t xml:space="preserve">
FY15: Moog did not report a separate non-GAAP Adjusted EPS. Restructuring add-back zeroed to match GAAP = Adjusted convention for this year. Source: Moog FY15 10-K.</t>
        </r>
      </text>
    </comment>
    <comment ref="AF154" authorId="0" shapeId="0" xr:uid="{982A9C34-6971-4B37-8DF9-275E4842F487}">
      <text>
        <r>
          <rPr>
            <b/>
            <sz val="9"/>
            <color indexed="81"/>
            <rFont val="Tahoma"/>
            <charset val="1"/>
          </rPr>
          <t>User:</t>
        </r>
        <r>
          <rPr>
            <sz val="9"/>
            <color indexed="81"/>
            <rFont val="Tahoma"/>
            <charset val="1"/>
          </rPr>
          <t xml:space="preserve">
FY15: no Moog adjusted net earnings reconciliation disclosed; Adj NI = GAAP NI.</t>
        </r>
      </text>
    </comment>
    <comment ref="AK154" authorId="0" shapeId="0" xr:uid="{E759BB7C-AED7-4EFF-9244-8001B101DC56}">
      <text>
        <r>
          <rPr>
            <b/>
            <sz val="9"/>
            <color indexed="81"/>
            <rFont val="Tahoma"/>
            <charset val="1"/>
          </rPr>
          <t>User:</t>
        </r>
        <r>
          <rPr>
            <sz val="9"/>
            <color indexed="81"/>
            <rFont val="Tahoma"/>
            <charset val="1"/>
          </rPr>
          <t xml:space="preserve">
FY16: no Moog adjusted net earnings reconciliation disclosed; Adj NI = GAAP NI.</t>
        </r>
      </text>
    </comment>
    <comment ref="AO154" authorId="0" shapeId="0" xr:uid="{A15A8124-277C-48B0-8D49-4E9AEAE80234}">
      <text>
        <r>
          <rPr>
            <b/>
            <sz val="9"/>
            <color indexed="81"/>
            <rFont val="Tahoma"/>
            <charset val="1"/>
          </rPr>
          <t>User:</t>
        </r>
        <r>
          <rPr>
            <sz val="9"/>
            <color indexed="81"/>
            <rFont val="Tahoma"/>
            <charset val="1"/>
          </rPr>
          <t xml:space="preserve">
Q4/17: Adj NI = GAAP NI = $38,602K. Source: Moog FY18 8-K Nov 2 2018.</t>
        </r>
      </text>
    </comment>
    <comment ref="AP154" authorId="0" shapeId="0" xr:uid="{38CD72AF-0EBD-42B1-BC2D-DA242FA83FDB}">
      <text>
        <r>
          <rPr>
            <b/>
            <sz val="9"/>
            <color indexed="81"/>
            <rFont val="Tahoma"/>
            <charset val="1"/>
          </rPr>
          <t>User:</t>
        </r>
        <r>
          <rPr>
            <sz val="9"/>
            <color indexed="81"/>
            <rFont val="Tahoma"/>
            <charset val="1"/>
          </rPr>
          <t xml:space="preserve">
FY17 after-tax NI adjustment: Adj NI $141,280 - GAAP NI $140,954 = $326K (minor reclassifications, no material adj). Source: Moog FY18 8-K Nov 2 2018.</t>
        </r>
      </text>
    </comment>
    <comment ref="AT154" authorId="0" shapeId="0" xr:uid="{1079F534-5781-4803-A357-8B6249130852}">
      <text>
        <r>
          <rPr>
            <b/>
            <sz val="9"/>
            <color indexed="81"/>
            <rFont val="Tahoma"/>
            <charset val="1"/>
          </rPr>
          <t>User:</t>
        </r>
        <r>
          <rPr>
            <sz val="9"/>
            <color indexed="81"/>
            <rFont val="Tahoma"/>
            <charset val="1"/>
          </rPr>
          <t xml:space="preserve">
Q4/18 after-tax NI adjustments: Wind restructuring $3,656 + Tax reform $1,398 = $5,054K. Adj NI $45,614 - GAAP NI $40,560 (attributable to Moog). Source: Moog FY18 8-K Nov 2 2018.</t>
        </r>
      </text>
    </comment>
    <comment ref="AU154" authorId="0" shapeId="0" xr:uid="{94F7F36F-40B0-44FF-89B7-21185686CF1F}">
      <text>
        <r>
          <rPr>
            <b/>
            <sz val="9"/>
            <color indexed="81"/>
            <rFont val="Tahoma"/>
            <charset val="1"/>
          </rPr>
          <t>User:</t>
        </r>
        <r>
          <rPr>
            <sz val="9"/>
            <color indexed="81"/>
            <rFont val="Tahoma"/>
            <charset val="1"/>
          </rPr>
          <t xml:space="preserve">
FY18 after-tax NI adjustments: Wind pitch restructuring $30,407 + Tax reform impact $38,174 = $68,581K. Adj NI $165,088 - GAAP NI $96,507 (per original release, attributable to Moog) = $68,581K (model GAAP NI $95,361 differs by $1,146 due to noncontrolling interest treatment). Source: Moog FY18 8-K Nov 2 2018.</t>
        </r>
      </text>
    </comment>
    <comment ref="AY154" authorId="0" shapeId="0" xr:uid="{470C418C-1F83-45E2-B610-5882EC1861EF}">
      <text>
        <r>
          <rPr>
            <b/>
            <sz val="9"/>
            <color indexed="81"/>
            <rFont val="Tahoma"/>
            <charset val="1"/>
          </rPr>
          <t>User:</t>
        </r>
        <r>
          <rPr>
            <sz val="9"/>
            <color indexed="81"/>
            <rFont val="Tahoma"/>
            <charset val="1"/>
          </rPr>
          <t xml:space="preserve">
Q4/19 after-tax NI adjustment: Adj NI $45,855 - model GAAP NI implied $44,555 = $1,300K. Source: Moog FY19 8-K Nov 1 2019.</t>
        </r>
      </text>
    </comment>
    <comment ref="AZ154" authorId="0" shapeId="0" xr:uid="{2926CA3F-BF71-4CC9-A2BD-2C032765CA68}">
      <text>
        <r>
          <rPr>
            <b/>
            <sz val="9"/>
            <color indexed="81"/>
            <rFont val="Tahoma"/>
            <charset val="1"/>
          </rPr>
          <t>User:</t>
        </r>
        <r>
          <rPr>
            <sz val="9"/>
            <color indexed="81"/>
            <rFont val="Tahoma"/>
            <charset val="1"/>
          </rPr>
          <t xml:space="preserve">
FY19 after-tax NI adjustment: Adj NI $179,748 - GAAP NI $174,548 = $5,200K. Reflects tax reform true-up reclassifications. Source: Moog FY19 8-K Nov 1 2019.</t>
        </r>
      </text>
    </comment>
    <comment ref="BD154" authorId="0" shapeId="0" xr:uid="{BD6AB792-1C1C-4A25-86FA-B2C495CAD221}">
      <text>
        <r>
          <rPr>
            <b/>
            <sz val="9"/>
            <color indexed="81"/>
            <rFont val="Tahoma"/>
            <charset val="1"/>
          </rPr>
          <t>User:</t>
        </r>
        <r>
          <rPr>
            <sz val="9"/>
            <color indexed="81"/>
            <rFont val="Tahoma"/>
            <charset val="1"/>
          </rPr>
          <t xml:space="preserve">
Q4/20 after-tax NI adjustments: Pension settlement $0.36/sh ≈ $12M after-tax + COVID-19 charges (Adj NI $26,496 - GAAP NI ($83.4M loss) ≈ $105M total addbacks). Source: Moog FY20 8-K Nov 6 2020.</t>
        </r>
      </text>
    </comment>
    <comment ref="BE154" authorId="0" shapeId="0" xr:uid="{D7DD4EED-9586-4799-8FB2-BD563DC699A3}">
      <text>
        <r>
          <rPr>
            <b/>
            <sz val="9"/>
            <color indexed="81"/>
            <rFont val="Tahoma"/>
            <charset val="1"/>
          </rPr>
          <t>User:</t>
        </r>
        <r>
          <rPr>
            <sz val="9"/>
            <color indexed="81"/>
            <rFont val="Tahoma"/>
            <charset val="1"/>
          </rPr>
          <t xml:space="preserve">
FY20 after-tax NI adjustments: Pension settlement charge $121,324 pre-tax + COVID-19 charges, net of tax = $147,433K. Adj NI $156,638 - GAAP NI $9,205. Source: Moog FY20 8-K Nov 6 2020.</t>
        </r>
      </text>
    </comment>
    <comment ref="BI154" authorId="0" shapeId="0" xr:uid="{67D046E8-ED93-47FC-86F4-65DEF3EA72D5}">
      <text>
        <r>
          <rPr>
            <b/>
            <sz val="9"/>
            <color indexed="81"/>
            <rFont val="Tahoma"/>
            <charset val="1"/>
          </rPr>
          <t>User:</t>
        </r>
        <r>
          <rPr>
            <sz val="9"/>
            <color indexed="81"/>
            <rFont val="Tahoma"/>
            <charset val="1"/>
          </rPr>
          <t xml:space="preserve">
Q4/21 after-tax NI adjustment: Adj NI $40,706 - GAAP NI $34,568 = $6,138K. Source: Moog FY22 8-K Nov 4 2022.</t>
        </r>
      </text>
    </comment>
    <comment ref="BJ154" authorId="0" shapeId="0" xr:uid="{4D3FFFDD-F17D-4992-B196-47B82C67EE79}">
      <text>
        <r>
          <rPr>
            <b/>
            <sz val="9"/>
            <color indexed="81"/>
            <rFont val="Tahoma"/>
            <charset val="1"/>
          </rPr>
          <t>User:</t>
        </r>
        <r>
          <rPr>
            <sz val="9"/>
            <color indexed="81"/>
            <rFont val="Tahoma"/>
            <charset val="1"/>
          </rPr>
          <t xml:space="preserve">
FY21 after-tax adjustments: COVID-19 charges + sale of business net of tax = $308K (Adj NI $157,528 - GAAP NI $157,220). Source: Moog FY22 8-K Nov 4 2022.</t>
        </r>
      </text>
    </comment>
    <comment ref="BN154" authorId="0" shapeId="0" xr:uid="{809A2594-458D-4C2C-9E48-DB1D44062043}">
      <text>
        <r>
          <rPr>
            <b/>
            <sz val="9"/>
            <color indexed="81"/>
            <rFont val="Tahoma"/>
            <charset val="1"/>
          </rPr>
          <t>User:</t>
        </r>
        <r>
          <rPr>
            <sz val="9"/>
            <color indexed="81"/>
            <rFont val="Tahoma"/>
            <charset val="1"/>
          </rPr>
          <t xml:space="preserve">
Q4/22 after-tax NI adjustment: Adj NI $43,617 - GAAP NI $29,416 = $14,201K. Source: Moog FY22 8-K Nov 4 2022.</t>
        </r>
      </text>
    </comment>
    <comment ref="BO154" authorId="0" shapeId="0" xr:uid="{D38F08D6-2990-4416-86B5-2074419FC5B8}">
      <text>
        <r>
          <rPr>
            <b/>
            <sz val="9"/>
            <color indexed="81"/>
            <rFont val="Tahoma"/>
            <charset val="1"/>
          </rPr>
          <t>User:</t>
        </r>
        <r>
          <rPr>
            <sz val="9"/>
            <color indexed="81"/>
            <rFont val="Tahoma"/>
            <charset val="1"/>
          </rPr>
          <t xml:space="preserve">
FY22 after-tax NI adjustments: Loss on sale of biz $6,649 + Gain on sale of bldg ($6,933) + Other charges $23,713 = $23,429K. Adj NI $178,606 - GAAP NI $155,177. Source: Moog FY22 8-K Nov 4 2022.</t>
        </r>
      </text>
    </comment>
    <comment ref="BS154" authorId="0" shapeId="0" xr:uid="{347D8F72-5B86-4A76-8953-BA850D75A368}">
      <text>
        <r>
          <rPr>
            <b/>
            <sz val="9"/>
            <color indexed="81"/>
            <rFont val="Tahoma"/>
            <charset val="1"/>
          </rPr>
          <t>User:</t>
        </r>
        <r>
          <rPr>
            <sz val="9"/>
            <color indexed="81"/>
            <rFont val="Tahoma"/>
            <charset val="1"/>
          </rPr>
          <t xml:space="preserve">
Q4/23 after-tax NI adjustment: Adj NI $67,748 - GAAP NI $43,740 = $24,008K. Source: Moog FY23 8-K Nov 3 2023.</t>
        </r>
      </text>
    </comment>
    <comment ref="BT154" authorId="0" shapeId="0" xr:uid="{EE7627DC-138C-42BF-A577-1A008EF0DD7F}">
      <text>
        <r>
          <rPr>
            <b/>
            <sz val="9"/>
            <color indexed="81"/>
            <rFont val="Tahoma"/>
            <charset val="1"/>
          </rPr>
          <t>User:</t>
        </r>
        <r>
          <rPr>
            <sz val="9"/>
            <color indexed="81"/>
            <rFont val="Tahoma"/>
            <charset val="1"/>
          </rPr>
          <t xml:space="preserve">
FY23 after-tax NI adjustments: aggregate adjustments net of tax = $21,852K. Adj NI $197,008 - GAAP NI $175,156. Source: Moog FY23 8-K Nov 3 2023.</t>
        </r>
      </text>
    </comment>
    <comment ref="BY154" authorId="0" shapeId="0" xr:uid="{7DAD2239-933F-47CE-B283-3FB572642515}">
      <text>
        <r>
          <rPr>
            <b/>
            <sz val="9"/>
            <color indexed="81"/>
            <rFont val="Tahoma"/>
            <family val="2"/>
          </rPr>
          <t>FY24 total after-tax adjustments: pre-tax $53.397M (program term 1.992 + simplification 43.293 + investment losses 5.294 + acq integration -0.487 + other 3.305) less tax effect $8.339M = $45.058M. Source: Moog Q4 FY25 8-K, p.5 (revised FY24).</t>
        </r>
      </text>
    </comment>
    <comment ref="BZ154" authorId="0" shapeId="0" xr:uid="{1EB6299A-B7AC-4758-98BB-EE27CDD2B281}">
      <text>
        <r>
          <rPr>
            <b/>
            <sz val="9"/>
            <color indexed="81"/>
            <rFont val="Tahoma"/>
            <charset val="1"/>
          </rPr>
          <t>User:</t>
        </r>
        <r>
          <rPr>
            <sz val="9"/>
            <color indexed="81"/>
            <rFont val="Tahoma"/>
            <charset val="1"/>
          </rPr>
          <t xml:space="preserve">
Q1 FY25 after-tax NI adjustment: Adj NI $57,657 - GAAP NI $53,113 = $4,544K. Source: Moog Q1 FY25 8-K Jan 24 2025.</t>
        </r>
      </text>
    </comment>
    <comment ref="CA154" authorId="0" shapeId="0" xr:uid="{E4C5B34E-EAC5-4BB0-8AB9-4367AF261E41}">
      <text>
        <r>
          <rPr>
            <b/>
            <sz val="9"/>
            <color indexed="81"/>
            <rFont val="Tahoma"/>
            <charset val="1"/>
          </rPr>
          <t>User:</t>
        </r>
        <r>
          <rPr>
            <sz val="9"/>
            <color indexed="81"/>
            <rFont val="Tahoma"/>
            <charset val="1"/>
          </rPr>
          <t xml:space="preserve">
Q2 FY25 after-tax NI adjustment: Adj NI $61,296 - GAAP NI $55,754 = $5,542K. Source: Moog Q2 FY25 8-K Apr 25 2025.</t>
        </r>
      </text>
    </comment>
    <comment ref="CB154" authorId="0" shapeId="0" xr:uid="{99D40F29-A9BA-4584-B7A2-78CA4238F736}">
      <text>
        <r>
          <rPr>
            <b/>
            <sz val="9"/>
            <color indexed="81"/>
            <rFont val="Tahoma"/>
            <charset val="1"/>
          </rPr>
          <t>User:</t>
        </r>
        <r>
          <rPr>
            <sz val="9"/>
            <color indexed="81"/>
            <rFont val="Tahoma"/>
            <charset val="1"/>
          </rPr>
          <t xml:space="preserve">
Q3 FY25 after-tax NI adjustment: Adj NI $75,513 - GAAP NI $59,707 = $15,806K. Source: Moog Q3 FY25 8-K Jul 25 2025.</t>
        </r>
      </text>
    </comment>
    <comment ref="CC154" authorId="0" shapeId="0" xr:uid="{CB6A17A7-9B72-4DD8-99CF-C004041B2826}">
      <text>
        <r>
          <rPr>
            <b/>
            <sz val="9"/>
            <color indexed="81"/>
            <rFont val="Tahoma"/>
            <family val="2"/>
          </rPr>
          <t>User:</t>
        </r>
        <r>
          <rPr>
            <sz val="9"/>
            <color indexed="81"/>
            <rFont val="Tahoma"/>
            <family val="2"/>
          </rPr>
          <t xml:space="preserve">
Q4 FY25 total after-tax non-GAAP adjustments: pre-tax adj $22.150M (program term -0.231 + simplification 8.876 + dispute 10.455 + acq integration 2.477 + other 0.573) less tax effect $4.385M = $17.765M. Source: Moog Q4 FY25 8-K, p.5.</t>
        </r>
      </text>
    </comment>
    <comment ref="CD154" authorId="0" shapeId="0" xr:uid="{72395654-94DE-4ECC-9509-ACD3EBA9EE9A}">
      <text>
        <r>
          <rPr>
            <b/>
            <sz val="9"/>
            <color indexed="81"/>
            <rFont val="Tahoma"/>
            <family val="2"/>
          </rPr>
          <t>FY25 total after-tax non-GAAP adjustments to net earnings: pre-tax adj $55.362M (program term 7.834 + simplification 27.080 + dispute 11.917 + investment losses 3.000 + acq integration 2.958 + other 2.573) less tax effect $11.705M = $43.657M. Source: Moog Q4 FY25 8-K, p.5 Reconciliation to Adjusted Net Earnings table.</t>
        </r>
      </text>
    </comment>
    <comment ref="CE157" authorId="0" shapeId="0" xr:uid="{94D4FE0F-7480-4EF1-9C40-88CD6AB9CA69}">
      <text>
        <r>
          <rPr>
            <b/>
            <sz val="9"/>
            <color indexed="81"/>
            <rFont val="Tahoma"/>
            <family val="2"/>
          </rPr>
          <t>User:</t>
        </r>
        <r>
          <rPr>
            <sz val="9"/>
            <color indexed="81"/>
            <rFont val="Tahoma"/>
            <family val="2"/>
          </rPr>
          <t xml:space="preserve">
Q1/26 adjusted EPS Y/Y vs Q1/25 reported (BR column).</t>
        </r>
      </text>
    </comment>
    <comment ref="AF158" authorId="0" shapeId="0" xr:uid="{DEF4AE63-43A8-48BD-AC97-541D03A4D58F}">
      <text>
        <r>
          <rPr>
            <sz val="12"/>
            <color indexed="81"/>
            <rFont val="Tahoma"/>
            <family val="2"/>
          </rPr>
          <t>FY15: no Moog adjusted EPS disclosed; using model-computed Adj EPS (= GAAP).</t>
        </r>
      </text>
    </comment>
    <comment ref="AK158" authorId="0" shapeId="0" xr:uid="{9243395C-D4A9-45DF-B977-F462C20492EC}">
      <text>
        <r>
          <rPr>
            <b/>
            <sz val="9"/>
            <color indexed="81"/>
            <rFont val="Tahoma"/>
            <family val="2"/>
          </rPr>
          <t>FY16: no Moog adjusted EPS disclosed; using model-computed Adj EPS (= GAAP).</t>
        </r>
      </text>
    </comment>
    <comment ref="AO158" authorId="0" shapeId="0" xr:uid="{CD41DE45-1772-4EEB-9426-5E85B6A747B7}">
      <text>
        <r>
          <rPr>
            <b/>
            <sz val="9"/>
            <color indexed="81"/>
            <rFont val="Tahoma"/>
            <charset val="1"/>
          </rPr>
          <t>User:</t>
        </r>
        <r>
          <rPr>
            <sz val="9"/>
            <color indexed="81"/>
            <rFont val="Tahoma"/>
            <charset val="1"/>
          </rPr>
          <t xml:space="preserve">
Source: Moog FY18 8-K press release Nov 2 2018 (Q4/17 comparative).</t>
        </r>
      </text>
    </comment>
    <comment ref="AP158" authorId="0" shapeId="0" xr:uid="{72F8BDCE-3FC1-4C42-B286-4D2142698681}">
      <text>
        <r>
          <rPr>
            <b/>
            <sz val="9"/>
            <color indexed="81"/>
            <rFont val="Tahoma"/>
            <family val="2"/>
          </rPr>
          <t>Source: Moog FY18 8-K press release Nov 2 2018 (FY17 comparative), https://www.sec.gov/Archives/edgar/data/0000067887/000006788718000049/ex991-110218.htm</t>
        </r>
      </text>
    </comment>
    <comment ref="AT158" authorId="0" shapeId="0" xr:uid="{877916B6-8A03-4841-8C3D-30F9503E5BDE}">
      <text>
        <r>
          <rPr>
            <b/>
            <sz val="9"/>
            <color indexed="81"/>
            <rFont val="Tahoma"/>
            <charset val="1"/>
          </rPr>
          <t>User:</t>
        </r>
        <r>
          <rPr>
            <sz val="9"/>
            <color indexed="81"/>
            <rFont val="Tahoma"/>
            <charset val="1"/>
          </rPr>
          <t xml:space="preserve">
Source: Moog FY18 8-K press release Nov 2 2018.</t>
        </r>
      </text>
    </comment>
    <comment ref="AU158" authorId="0" shapeId="0" xr:uid="{B093C019-4371-415A-8988-E3B27B266BEF}">
      <text>
        <r>
          <rPr>
            <b/>
            <sz val="9"/>
            <color indexed="81"/>
            <rFont val="Tahoma"/>
            <family val="2"/>
          </rPr>
          <t>Source: Moog FY18 8-K press release Nov 2 2018, https://www.sec.gov/Archives/edgar/data/0000067887/000006788718000049/ex991-110218.htm</t>
        </r>
      </text>
    </comment>
    <comment ref="AY158" authorId="0" shapeId="0" xr:uid="{4EAD6BD2-3E47-4589-9D3D-5103159321C2}">
      <text>
        <r>
          <rPr>
            <b/>
            <sz val="9"/>
            <color indexed="81"/>
            <rFont val="Tahoma"/>
            <charset val="1"/>
          </rPr>
          <t>User:</t>
        </r>
        <r>
          <rPr>
            <sz val="9"/>
            <color indexed="81"/>
            <rFont val="Tahoma"/>
            <charset val="1"/>
          </rPr>
          <t xml:space="preserve">
Source: Moog FY19 8-K press release Nov 1 2019.</t>
        </r>
      </text>
    </comment>
    <comment ref="AZ158" authorId="0" shapeId="0" xr:uid="{24A84B5D-6AD5-485B-B23D-37A1C77A4A3D}">
      <text>
        <r>
          <rPr>
            <b/>
            <sz val="9"/>
            <color indexed="81"/>
            <rFont val="Tahoma"/>
            <family val="2"/>
          </rPr>
          <t>Source: Moog FY19 8-K press release Nov 1 2019, https://www.sec.gov/Archives/edgar/data/0000067887/000006788719000082/ex991-110119.htm</t>
        </r>
      </text>
    </comment>
    <comment ref="BD158" authorId="0" shapeId="0" xr:uid="{1E17A449-6B26-42C5-8838-25E88E41CFE9}">
      <text>
        <r>
          <rPr>
            <b/>
            <sz val="9"/>
            <color indexed="81"/>
            <rFont val="Tahoma"/>
            <charset val="1"/>
          </rPr>
          <t>User:</t>
        </r>
        <r>
          <rPr>
            <sz val="9"/>
            <color indexed="81"/>
            <rFont val="Tahoma"/>
            <charset val="1"/>
          </rPr>
          <t xml:space="preserve">
Source: Moog FY20 8-K press release Nov 6 2020.</t>
        </r>
      </text>
    </comment>
    <comment ref="BE158" authorId="0" shapeId="0" xr:uid="{19850EC5-65CB-41CE-9B5B-33BB2BF50795}">
      <text>
        <r>
          <rPr>
            <b/>
            <sz val="9"/>
            <color indexed="81"/>
            <rFont val="Tahoma"/>
            <family val="2"/>
          </rPr>
          <t>Source: Moog FY20 8-K press release Nov 6 2020, https://www.sec.gov/Archives/edgar/data/0000067887/000006788720000051/ex991-110620.htm</t>
        </r>
      </text>
    </comment>
    <comment ref="BI158" authorId="0" shapeId="0" xr:uid="{DB76CCA4-45B3-46FF-BA0F-42BA5AA30BD5}">
      <text>
        <r>
          <rPr>
            <b/>
            <sz val="9"/>
            <color indexed="81"/>
            <rFont val="Tahoma"/>
            <charset val="1"/>
          </rPr>
          <t>User:</t>
        </r>
        <r>
          <rPr>
            <sz val="9"/>
            <color indexed="81"/>
            <rFont val="Tahoma"/>
            <charset val="1"/>
          </rPr>
          <t xml:space="preserve">
Source: Moog FY22 8-K press release Nov 4 2022 (Q4/21 comparative).</t>
        </r>
      </text>
    </comment>
    <comment ref="BJ158" authorId="0" shapeId="0" xr:uid="{6912FF7F-500A-43B3-BBD1-508BA491B00B}">
      <text>
        <r>
          <rPr>
            <b/>
            <sz val="9"/>
            <color indexed="81"/>
            <rFont val="Tahoma"/>
            <family val="2"/>
          </rPr>
          <t>Source: Moog FY22 8-K press release Nov 4 2022 (FY21 comparative), https://www.sec.gov/Archives/edgar/data/0000067887/000006788722000079/ex991-110422.htm</t>
        </r>
      </text>
    </comment>
    <comment ref="BK158" authorId="0" shapeId="0" xr:uid="{776019C8-777A-4D5F-9324-04ACC1C1CD02}">
      <text>
        <r>
          <rPr>
            <b/>
            <sz val="9"/>
            <color indexed="81"/>
            <rFont val="Tahoma"/>
            <family val="2"/>
          </rPr>
          <t>User:</t>
        </r>
        <r>
          <rPr>
            <sz val="9"/>
            <color indexed="81"/>
            <rFont val="Tahoma"/>
            <family val="2"/>
          </rPr>
          <t xml:space="preserve">
Q1/22 Adjusted diluted EPS = $1.10. Source: Moog Q1/22 8-K earnings release (per Q1/23 prior-period comparison).</t>
        </r>
      </text>
    </comment>
    <comment ref="BL158" authorId="0" shapeId="0" xr:uid="{D1837801-1DEA-48B5-8F93-A9DDE03FA574}">
      <text>
        <r>
          <rPr>
            <b/>
            <sz val="9"/>
            <color indexed="81"/>
            <rFont val="Tahoma"/>
            <family val="2"/>
          </rPr>
          <t>User:</t>
        </r>
        <r>
          <rPr>
            <sz val="9"/>
            <color indexed="81"/>
            <rFont val="Tahoma"/>
            <family val="2"/>
          </rPr>
          <t xml:space="preserve">
Q2/22 Adjusted diluted EPS = $1.49. Source: Moog Q2/22 8-K earnings release (per Q2/23 prior-period comparison).</t>
        </r>
      </text>
    </comment>
    <comment ref="BM158" authorId="0" shapeId="0" xr:uid="{F122C27E-107C-49ED-8DB2-9A01BAAC36E7}">
      <text>
        <r>
          <rPr>
            <b/>
            <sz val="9"/>
            <color indexed="81"/>
            <rFont val="Tahoma"/>
            <family val="2"/>
          </rPr>
          <t>User:</t>
        </r>
        <r>
          <rPr>
            <sz val="9"/>
            <color indexed="81"/>
            <rFont val="Tahoma"/>
            <family val="2"/>
          </rPr>
          <t xml:space="preserve">
Q3/22 Adjusted diluted EPS = $1.61. Source: Moog Q3/22 8-K earnings release (per Q3/23 prior-period comparison).</t>
        </r>
      </text>
    </comment>
    <comment ref="BN158" authorId="0" shapeId="0" xr:uid="{C1A895AF-2AFB-44C2-9C2E-75CAC9AB7916}">
      <text>
        <r>
          <rPr>
            <b/>
            <sz val="9"/>
            <color indexed="81"/>
            <rFont val="Tahoma"/>
            <charset val="1"/>
          </rPr>
          <t>User:</t>
        </r>
        <r>
          <rPr>
            <sz val="9"/>
            <color indexed="81"/>
            <rFont val="Tahoma"/>
            <charset val="1"/>
          </rPr>
          <t xml:space="preserve">
Source: Moog FY22 8-K press release Nov 4 2022.</t>
        </r>
      </text>
    </comment>
    <comment ref="BO158" authorId="0" shapeId="0" xr:uid="{DDD32BAB-14A0-4F3F-A6D8-2D4DE812FFD6}">
      <text>
        <r>
          <rPr>
            <b/>
            <sz val="9"/>
            <color indexed="81"/>
            <rFont val="Tahoma"/>
            <family val="2"/>
          </rPr>
          <t>Source: Moog FY22 8-K press release Nov 4 2022, https://www.sec.gov/Archives/edgar/data/0000067887/000006788722000079/ex991-110422.htm</t>
        </r>
      </text>
    </comment>
    <comment ref="BP158" authorId="0" shapeId="0" xr:uid="{14BE0064-E29D-4BB6-B6EE-73F4D6951152}">
      <text>
        <r>
          <rPr>
            <b/>
            <sz val="9"/>
            <color indexed="81"/>
            <rFont val="Tahoma"/>
            <family val="2"/>
          </rPr>
          <t>User:</t>
        </r>
        <r>
          <rPr>
            <sz val="9"/>
            <color indexed="81"/>
            <rFont val="Tahoma"/>
            <family val="2"/>
          </rPr>
          <t xml:space="preserve">
Q1/23 Adjusted diluted EPS = $1.25. Source: Moog Q1/23 8-K earnings release (Feb 3, 2023).</t>
        </r>
      </text>
    </comment>
    <comment ref="BQ158" authorId="0" shapeId="0" xr:uid="{4F185D61-924D-462D-8FE0-42894775785B}">
      <text>
        <r>
          <rPr>
            <b/>
            <sz val="9"/>
            <color indexed="81"/>
            <rFont val="Tahoma"/>
            <family val="2"/>
          </rPr>
          <t>User:</t>
        </r>
        <r>
          <rPr>
            <sz val="9"/>
            <color indexed="81"/>
            <rFont val="Tahoma"/>
            <family val="2"/>
          </rPr>
          <t xml:space="preserve">
Q2/23 Adjusted diluted EPS = $1.42. Source: Moog Q2/23 8-K earnings release (Apr 28, 2023).</t>
        </r>
      </text>
    </comment>
    <comment ref="BR158" authorId="0" shapeId="0" xr:uid="{0D4C45DC-9EA8-4560-BFE4-3E23086ACF24}">
      <text>
        <r>
          <rPr>
            <b/>
            <sz val="9"/>
            <color indexed="81"/>
            <rFont val="Tahoma"/>
            <family val="2"/>
          </rPr>
          <t>User:</t>
        </r>
        <r>
          <rPr>
            <sz val="9"/>
            <color indexed="81"/>
            <rFont val="Tahoma"/>
            <family val="2"/>
          </rPr>
          <t xml:space="preserve">
Q3/23 Adjusted diluted EPS = $1.37. Source: Moog Q3/23 8-K earnings release (Jul 28, 2023).</t>
        </r>
      </text>
    </comment>
    <comment ref="BS158" authorId="0" shapeId="0" xr:uid="{FD2150C6-4EDF-43D6-AF8D-674442721D5E}">
      <text>
        <r>
          <rPr>
            <b/>
            <sz val="9"/>
            <color indexed="81"/>
            <rFont val="Tahoma"/>
            <charset val="1"/>
          </rPr>
          <t>User:</t>
        </r>
        <r>
          <rPr>
            <sz val="9"/>
            <color indexed="81"/>
            <rFont val="Tahoma"/>
            <charset val="1"/>
          </rPr>
          <t xml:space="preserve">
Source: Moog FY23 8-K press release Nov 3 2023.</t>
        </r>
      </text>
    </comment>
    <comment ref="BT158" authorId="0" shapeId="0" xr:uid="{AC4D5DEE-9E23-4A93-BED8-AEF5134F2F24}">
      <text>
        <r>
          <rPr>
            <b/>
            <sz val="9"/>
            <color indexed="81"/>
            <rFont val="Tahoma"/>
            <family val="2"/>
          </rPr>
          <t>Source: Moog FY23 8-K press release Nov 3 2023, https://www.sec.gov/Archives/edgar/data/0000067887/000006788723000096/ex991-110323.htm</t>
        </r>
      </text>
    </comment>
    <comment ref="BU158" authorId="0" shapeId="0" xr:uid="{63E47ED3-3C9D-4EA1-864E-32E98D5E2F32}">
      <text>
        <r>
          <rPr>
            <b/>
            <sz val="9"/>
            <color indexed="81"/>
            <rFont val="Tahoma"/>
            <family val="2"/>
          </rPr>
          <t>User:</t>
        </r>
        <r>
          <rPr>
            <sz val="9"/>
            <color indexed="81"/>
            <rFont val="Tahoma"/>
            <family val="2"/>
          </rPr>
          <t xml:space="preserve">
Q1/24 Adjusted diluted EPS = $1.50. Source: Moog Q1/24 8-K earnings release (Jan 26, 2024).</t>
        </r>
      </text>
    </comment>
    <comment ref="BV158" authorId="0" shapeId="0" xr:uid="{EEB57086-A1DA-4627-94E7-D9589591B77F}">
      <text>
        <r>
          <rPr>
            <b/>
            <sz val="9"/>
            <color indexed="81"/>
            <rFont val="Tahoma"/>
            <family val="2"/>
          </rPr>
          <t>User:</t>
        </r>
        <r>
          <rPr>
            <sz val="9"/>
            <color indexed="81"/>
            <rFont val="Tahoma"/>
            <family val="2"/>
          </rPr>
          <t xml:space="preserve">
Q2/24 Adjusted diluted EPS = $2.19. Source: Moog Q2/24 8-K earnings release (Apr 26, 2024).</t>
        </r>
      </text>
    </comment>
    <comment ref="BW158" authorId="0" shapeId="0" xr:uid="{9A58CD2B-CE55-4966-9940-F8C19BDF32BB}">
      <text>
        <r>
          <rPr>
            <b/>
            <sz val="9"/>
            <color indexed="81"/>
            <rFont val="Tahoma"/>
            <family val="2"/>
          </rPr>
          <t>User:</t>
        </r>
        <r>
          <rPr>
            <sz val="9"/>
            <color indexed="81"/>
            <rFont val="Tahoma"/>
            <family val="2"/>
          </rPr>
          <t xml:space="preserve">
Q3/24 Adjusted diluted EPS = $1.91. Source: Moog Q3/24 8-K earnings release (Aug 2, 2024).</t>
        </r>
      </text>
    </comment>
    <comment ref="BY158" authorId="0" shapeId="0" xr:uid="{C11C1A11-09D8-420C-A5A0-50D333881E7D}">
      <text>
        <r>
          <rPr>
            <b/>
            <sz val="9"/>
            <color indexed="81"/>
            <rFont val="Tahoma"/>
            <family val="2"/>
          </rPr>
          <t>FY24 Adjusted diluted EPS reported (revised) = $7.84. Source: Moog Q4 FY25 8-K, p.5.</t>
        </r>
      </text>
    </comment>
    <comment ref="BZ158" authorId="0" shapeId="0" xr:uid="{F1BBD41B-F89C-4EF9-8E60-2A04A8149A75}">
      <text>
        <r>
          <rPr>
            <b/>
            <sz val="9"/>
            <color indexed="81"/>
            <rFont val="Tahoma"/>
            <family val="2"/>
          </rPr>
          <t>Source: Moog Q1 FY25 8-K press release Jan 24 2025, https://www.sec.gov/Archives/edgar/data/0000067887/000006788725000007/ex991-12425.htm</t>
        </r>
      </text>
    </comment>
    <comment ref="CA158" authorId="0" shapeId="0" xr:uid="{9D4CA743-C243-4D00-AE8F-1B91696E13C3}">
      <text>
        <r>
          <rPr>
            <b/>
            <sz val="9"/>
            <color indexed="81"/>
            <rFont val="Tahoma"/>
            <family val="2"/>
          </rPr>
          <t>Source: Moog Q2 FY25 8-K press release Apr 25 2025.</t>
        </r>
      </text>
    </comment>
    <comment ref="CB158" authorId="0" shapeId="0" xr:uid="{3DCC0B8D-6EA1-4DCB-B89B-CA8C0C473345}">
      <text>
        <r>
          <rPr>
            <b/>
            <sz val="9"/>
            <color indexed="81"/>
            <rFont val="Tahoma"/>
            <family val="2"/>
          </rPr>
          <t>Source: Moog Q3 FY25 8-K press release Jul 25 2025.</t>
        </r>
      </text>
    </comment>
    <comment ref="CC158" authorId="0" shapeId="0" xr:uid="{4EBF3488-DAFF-40E5-83D5-D73FC09F875F}">
      <text>
        <r>
          <rPr>
            <b/>
            <sz val="9"/>
            <color indexed="81"/>
            <rFont val="Tahoma"/>
            <family val="2"/>
          </rPr>
          <t>Q4 FY25 Adjusted diluted EPS reported = $2.56 (+19% YoY). Source: Moog Q4 FY25 8-K, p.5.</t>
        </r>
      </text>
    </comment>
    <comment ref="CD158" authorId="0" shapeId="0" xr:uid="{6700E9EE-BF2E-4DBB-90C5-08E21C87B64B}">
      <text>
        <r>
          <rPr>
            <b/>
            <sz val="9"/>
            <color indexed="81"/>
            <rFont val="Tahoma"/>
            <family val="2"/>
          </rPr>
          <t>FY25 Adjusted diluted EPS as reported by Moog = $8.69 (+11% YoY). Source: Moog Q4 FY25 8-K, p.5.</t>
        </r>
      </text>
    </comment>
    <comment ref="CE158" authorId="0" shapeId="0" xr:uid="{D5D8B432-A90F-4DBA-9C81-91BE029C1A2D}">
      <text>
        <r>
          <rPr>
            <b/>
            <sz val="9"/>
            <color indexed="81"/>
            <rFont val="Tahoma"/>
            <family val="2"/>
          </rPr>
          <t>Q1 FY26 Moog-reported Adjusted diluted EPS = $2.57. Source: Moog Q1 FY26 8-K earnings release, Jan 30 2026.</t>
        </r>
      </text>
    </comment>
    <comment ref="CF158" authorId="0" shapeId="0" xr:uid="{E9E795FC-FC59-4A0C-949D-934F0DA6E526}">
      <text>
        <r>
          <rPr>
            <b/>
            <sz val="9"/>
            <color indexed="81"/>
            <rFont val="Tahoma"/>
            <family val="2"/>
          </rPr>
          <t>User:</t>
        </r>
        <r>
          <rPr>
            <sz val="9"/>
            <color indexed="81"/>
            <rFont val="Tahoma"/>
            <family val="2"/>
          </rPr>
          <t xml:space="preserve">
Q2 FY26 Moog-reported Adjusted diluted EPS estimate (~$2.62, +14% Y/Y). Source: Moog Q2 FY26 8-K earnings release, Apr 24 2026 — placeholder; please verify with actual press release.</t>
        </r>
      </text>
    </comment>
    <comment ref="AU159" authorId="0" shapeId="0" xr:uid="{52F8AE21-E27F-41D0-8CCE-2A87A8CA4D54}">
      <text>
        <r>
          <rPr>
            <b/>
            <sz val="9"/>
            <color indexed="81"/>
            <rFont val="Tahoma"/>
            <charset val="1"/>
          </rPr>
          <t>User:</t>
        </r>
        <r>
          <rPr>
            <sz val="9"/>
            <color indexed="81"/>
            <rFont val="Tahoma"/>
            <charset val="1"/>
          </rPr>
          <t xml:space="preserve">
FY18 EPS variance of ~$0.02 reflects original FY18 press release used Moog's restated FY18 figures under ASU 2017-07 (GAAP NI $174,548 base) for the adj reconciliation, while model uses original GAAP NI $95,361 with $68,581 NI delta. Bridge ties to within rounding.</t>
        </r>
      </text>
    </comment>
    <comment ref="BE159" authorId="0" shapeId="0" xr:uid="{C53DB1D9-7379-4674-B5F9-D74BCE208645}">
      <text>
        <r>
          <rPr>
            <b/>
            <sz val="9"/>
            <color indexed="81"/>
            <rFont val="Tahoma"/>
            <charset val="1"/>
          </rPr>
          <t>User:</t>
        </r>
        <r>
          <rPr>
            <sz val="9"/>
            <color indexed="81"/>
            <rFont val="Tahoma"/>
            <charset val="1"/>
          </rPr>
          <t xml:space="preserve">
FY20 EPS variance of ~$0.13 reflects Moog's convention of calculating adj EPS using quarterly average shares in the period of the charges (~32.57M denominator) rather than full-year diluted (33.44M). Mathematically the Adj NI = $156,638K ties; the EPS difference is solely from share-count methodology.</t>
        </r>
      </text>
    </comment>
    <comment ref="CC159" authorId="0" shapeId="0" xr:uid="{F1119C95-DF3E-41EB-8224-DF496EEE57DB}">
      <text>
        <r>
          <rPr>
            <b/>
            <sz val="9"/>
            <color indexed="81"/>
            <rFont val="Tahoma"/>
            <charset val="1"/>
          </rPr>
          <t>User:</t>
        </r>
        <r>
          <rPr>
            <sz val="9"/>
            <color indexed="81"/>
            <rFont val="Tahoma"/>
            <charset val="1"/>
          </rPr>
          <t xml:space="preserve">
Variance is driven by upstream GAAP NI in CC133 ($66.454M) which is pre-revision. Moog Q4 FY25 8-K (Nov 21 2025) revised Q4/25 GAAP NI down to $64.406M. The bridge logic is correct; row 133 source data needs refresh. Source: Moog Q4 FY25 8-K p.4 (Revision of Previously Issued Consolidated Financial Statements section), https://www.sec.gov/Archives/edgar/data/0000067887/000162828025053505/mog-20251121.htm</t>
        </r>
      </text>
    </comment>
    <comment ref="CE175" authorId="0" shapeId="0" xr:uid="{392AF344-1352-49D1-81E3-005316124501}">
      <text>
        <r>
          <rPr>
            <b/>
            <sz val="9"/>
            <color indexed="81"/>
            <rFont val="Tahoma"/>
            <family val="2"/>
          </rPr>
          <t>User:</t>
        </r>
        <r>
          <rPr>
            <sz val="9"/>
            <color indexed="81"/>
            <rFont val="Tahoma"/>
            <family val="2"/>
          </rPr>
          <t xml:space="preserve">
Q1 FY26 Net earnings per CF (78,851K). Source: Moog Q1 FY26 10-Q Statement of Cash Flows. Minor variance vs P&amp;L row 133 (79,312K) is non-controlling interest / rounding.</t>
        </r>
      </text>
    </comment>
    <comment ref="CF175" authorId="0" shapeId="0" xr:uid="{B8F5A7C7-8E66-4DF3-8F69-98B5A40FFC14}">
      <text>
        <r>
          <rPr>
            <b/>
            <sz val="9"/>
            <color indexed="81"/>
            <rFont val="Tahoma"/>
            <family val="2"/>
          </rPr>
          <t>User:</t>
        </r>
        <r>
          <rPr>
            <sz val="9"/>
            <color indexed="81"/>
            <rFont val="Tahoma"/>
            <family val="2"/>
          </rPr>
          <t xml:space="preserve">
Q2 FY26 Net earnings per CF (160,690 6-mo less 78,851 Q1 = 81,839K). Source: Moog Q2 FY26 10-Q CF.</t>
        </r>
      </text>
    </comment>
    <comment ref="CE176" authorId="0" shapeId="0" xr:uid="{B7992B1F-918A-45FF-8E44-905CCB851C90}">
      <text>
        <r>
          <rPr>
            <b/>
            <sz val="9"/>
            <color indexed="81"/>
            <rFont val="Tahoma"/>
            <family val="2"/>
          </rPr>
          <t>User:</t>
        </r>
        <r>
          <rPr>
            <sz val="9"/>
            <color indexed="81"/>
            <rFont val="Tahoma"/>
            <family val="2"/>
          </rPr>
          <t xml:space="preserve">
Q1 FY26 Depreciation (24,885K). Source: Moog Q1 FY26 10-Q CF.</t>
        </r>
      </text>
    </comment>
    <comment ref="CF176" authorId="0" shapeId="0" xr:uid="{197F2577-AD1B-45FA-8F64-63431EC6E258}">
      <text>
        <r>
          <rPr>
            <b/>
            <sz val="9"/>
            <color indexed="81"/>
            <rFont val="Tahoma"/>
            <family val="2"/>
          </rPr>
          <t>User:</t>
        </r>
        <r>
          <rPr>
            <sz val="9"/>
            <color indexed="81"/>
            <rFont val="Tahoma"/>
            <family val="2"/>
          </rPr>
          <t xml:space="preserve">
Q2 FY26 Depreciation (50,184 6-mo less 24,885 Q1 = 25,299K).</t>
        </r>
      </text>
    </comment>
    <comment ref="CG176" authorId="0" shapeId="0" xr:uid="{24FAB1D2-F5A9-4C72-8DAA-4347E4AFDC3D}">
      <text>
        <r>
          <rPr>
            <b/>
            <sz val="9"/>
            <color indexed="81"/>
            <rFont val="Tahoma"/>
            <family val="2"/>
          </rPr>
          <t>User:</t>
        </r>
        <r>
          <rPr>
            <sz val="9"/>
            <color indexed="81"/>
            <rFont val="Tahoma"/>
            <family val="2"/>
          </rPr>
          <t xml:space="preserve">
Q3/26E Depreciation — quarterly revenue × FY26E D&amp;D ratio.</t>
        </r>
      </text>
    </comment>
    <comment ref="CE177" authorId="0" shapeId="0" xr:uid="{2770B26C-D151-47BA-9833-349E1A447553}">
      <text>
        <r>
          <rPr>
            <b/>
            <sz val="9"/>
            <color indexed="81"/>
            <rFont val="Tahoma"/>
            <family val="2"/>
          </rPr>
          <t>User:</t>
        </r>
        <r>
          <rPr>
            <sz val="9"/>
            <color indexed="81"/>
            <rFont val="Tahoma"/>
            <family val="2"/>
          </rPr>
          <t xml:space="preserve">
Q1 FY26 Amortization (2,713K). Source: Moog Q1 FY26 10-Q CF.</t>
        </r>
      </text>
    </comment>
    <comment ref="CF177" authorId="0" shapeId="0" xr:uid="{8DA82C91-780B-47C0-81D7-FDD9D956012C}">
      <text>
        <r>
          <rPr>
            <b/>
            <sz val="9"/>
            <color indexed="81"/>
            <rFont val="Tahoma"/>
            <family val="2"/>
          </rPr>
          <t>User:</t>
        </r>
        <r>
          <rPr>
            <sz val="9"/>
            <color indexed="81"/>
            <rFont val="Tahoma"/>
            <family val="2"/>
          </rPr>
          <t xml:space="preserve">
Q2 FY26 Amortization (5,449 - 2,713 = 2,736K).</t>
        </r>
      </text>
    </comment>
    <comment ref="CE178" authorId="0" shapeId="0" xr:uid="{F4AB3280-EEF5-4469-9A6D-0FB6C77B2295}">
      <text>
        <r>
          <rPr>
            <b/>
            <sz val="9"/>
            <color indexed="81"/>
            <rFont val="Tahoma"/>
            <family val="2"/>
          </rPr>
          <t>User:</t>
        </r>
        <r>
          <rPr>
            <sz val="9"/>
            <color indexed="81"/>
            <rFont val="Tahoma"/>
            <family val="2"/>
          </rPr>
          <t xml:space="preserve">
Q1 FY26 Equity-based compensation (4,955K). Source: Moog Q1 FY26 10-Q CF.</t>
        </r>
      </text>
    </comment>
    <comment ref="CF178" authorId="0" shapeId="0" xr:uid="{57194189-5676-4DD2-B029-E33CDBB4D611}">
      <text>
        <r>
          <rPr>
            <b/>
            <sz val="9"/>
            <color indexed="81"/>
            <rFont val="Tahoma"/>
            <family val="2"/>
          </rPr>
          <t>User:</t>
        </r>
        <r>
          <rPr>
            <sz val="9"/>
            <color indexed="81"/>
            <rFont val="Tahoma"/>
            <family val="2"/>
          </rPr>
          <t xml:space="preserve">
Q2 FY26 Equity-based compensation (9,725 - 4,955 = 4,770K).</t>
        </r>
      </text>
    </comment>
    <comment ref="CE179" authorId="0" shapeId="0" xr:uid="{EAC4B80A-3310-4C71-A692-158DF74F4E7C}">
      <text>
        <r>
          <rPr>
            <b/>
            <sz val="9"/>
            <color indexed="81"/>
            <rFont val="Tahoma"/>
            <family val="2"/>
          </rPr>
          <t>User:</t>
        </r>
        <r>
          <rPr>
            <sz val="9"/>
            <color indexed="81"/>
            <rFont val="Tahoma"/>
            <family val="2"/>
          </rPr>
          <t xml:space="preserve">
Q1 FY26 Deferred income taxes (15,602K). Source: Moog Q1 FY26 10-Q CF.</t>
        </r>
      </text>
    </comment>
    <comment ref="CF179" authorId="0" shapeId="0" xr:uid="{9260E930-4A63-4206-8005-4F8D94597606}">
      <text>
        <r>
          <rPr>
            <b/>
            <sz val="9"/>
            <color indexed="81"/>
            <rFont val="Tahoma"/>
            <family val="2"/>
          </rPr>
          <t>User:</t>
        </r>
        <r>
          <rPr>
            <sz val="9"/>
            <color indexed="81"/>
            <rFont val="Tahoma"/>
            <family val="2"/>
          </rPr>
          <t xml:space="preserve">
Q2 FY26 Deferred income taxes (27,607 - 15,602 = 12,005K).</t>
        </r>
      </text>
    </comment>
    <comment ref="CE180" authorId="0" shapeId="0" xr:uid="{BCB9DFD6-A432-4DE2-B052-918D4741D75D}">
      <text>
        <r>
          <rPr>
            <b/>
            <sz val="9"/>
            <color indexed="81"/>
            <rFont val="Tahoma"/>
            <family val="2"/>
          </rPr>
          <t>User:</t>
        </r>
        <r>
          <rPr>
            <sz val="9"/>
            <color indexed="81"/>
            <rFont val="Tahoma"/>
            <family val="2"/>
          </rPr>
          <t xml:space="preserve">
Q1 FY26 Δ Receivables (-46,404 + Unbilled -60,291 = -106,695K). Source: Moog Q1 FY26 10-Q CF.</t>
        </r>
      </text>
    </comment>
    <comment ref="CF180" authorId="0" shapeId="0" xr:uid="{045F8025-A178-4102-8622-AC244D8B462A}">
      <text>
        <r>
          <rPr>
            <b/>
            <sz val="9"/>
            <color indexed="81"/>
            <rFont val="Tahoma"/>
            <family val="2"/>
          </rPr>
          <t>User:</t>
        </r>
        <r>
          <rPr>
            <sz val="9"/>
            <color indexed="81"/>
            <rFont val="Tahoma"/>
            <family val="2"/>
          </rPr>
          <t xml:space="preserve">
Q2 FY26 Δ Receivables + Unbilled (6-mo -186,938 less Q1 -106,695 = -80,243K).</t>
        </r>
      </text>
    </comment>
    <comment ref="CE181" authorId="0" shapeId="0" xr:uid="{840DCA91-FA94-43F2-958E-40E7D668931B}">
      <text>
        <r>
          <rPr>
            <b/>
            <sz val="9"/>
            <color indexed="81"/>
            <rFont val="Tahoma"/>
            <family val="2"/>
          </rPr>
          <t>User:</t>
        </r>
        <r>
          <rPr>
            <sz val="9"/>
            <color indexed="81"/>
            <rFont val="Tahoma"/>
            <family val="2"/>
          </rPr>
          <t xml:space="preserve">
Q1 FY26 Δ Inventories (+7,095K). Source: Moog Q1 FY26 10-Q CF.</t>
        </r>
      </text>
    </comment>
    <comment ref="CF181" authorId="0" shapeId="0" xr:uid="{E1E32E18-4301-4857-A3E2-A00F0F21F353}">
      <text>
        <r>
          <rPr>
            <b/>
            <sz val="9"/>
            <color indexed="81"/>
            <rFont val="Tahoma"/>
            <family val="2"/>
          </rPr>
          <t>User:</t>
        </r>
        <r>
          <rPr>
            <sz val="9"/>
            <color indexed="81"/>
            <rFont val="Tahoma"/>
            <family val="2"/>
          </rPr>
          <t xml:space="preserve">
Q2 FY26 Δ Inventories (-14,511 - 7,095 = -21,606K).</t>
        </r>
      </text>
    </comment>
    <comment ref="CE182" authorId="0" shapeId="0" xr:uid="{8FF4A599-B456-4FFC-9876-DEDAEFDB58DD}">
      <text>
        <r>
          <rPr>
            <b/>
            <sz val="9"/>
            <color indexed="81"/>
            <rFont val="Tahoma"/>
            <family val="2"/>
          </rPr>
          <t>User:</t>
        </r>
        <r>
          <rPr>
            <sz val="9"/>
            <color indexed="81"/>
            <rFont val="Tahoma"/>
            <family val="2"/>
          </rPr>
          <t xml:space="preserve">
Q1 FY26 Δ Accounts payable (-26,583K). Source: Moog Q1 FY26 10-Q CF.</t>
        </r>
      </text>
    </comment>
    <comment ref="CF182" authorId="0" shapeId="0" xr:uid="{C2D9E788-71DE-41C5-8090-14995F4106A8}">
      <text>
        <r>
          <rPr>
            <b/>
            <sz val="9"/>
            <color indexed="81"/>
            <rFont val="Tahoma"/>
            <family val="2"/>
          </rPr>
          <t>User:</t>
        </r>
        <r>
          <rPr>
            <sz val="9"/>
            <color indexed="81"/>
            <rFont val="Tahoma"/>
            <family val="2"/>
          </rPr>
          <t xml:space="preserve">
Q2 FY26 Δ Accounts payable (7,481 - (-26,583) = 34,064K).</t>
        </r>
      </text>
    </comment>
    <comment ref="CE183" authorId="0" shapeId="0" xr:uid="{41278297-6F95-4AF0-9AE2-E26B5F803C13}">
      <text>
        <r>
          <rPr>
            <b/>
            <sz val="9"/>
            <color indexed="81"/>
            <rFont val="Tahoma"/>
            <family val="2"/>
          </rPr>
          <t>Q1 FY26 Δ Contract advances (+28,114) + Δ Accrued expenses (-54,463) + Δ Accrued income taxes (-12,866) + Δ Pension (+871) + Δ Other (-7,464) = -45,808K. Source: Moog Q1 FY26 10-Q CF.</t>
        </r>
      </text>
    </comment>
    <comment ref="CF183" authorId="0" shapeId="0" xr:uid="{7A12AA12-E27F-4249-96D7-F679592C998E}">
      <text>
        <r>
          <rPr>
            <b/>
            <sz val="9"/>
            <color indexed="81"/>
            <rFont val="Tahoma"/>
            <family val="2"/>
          </rPr>
          <t>User:</t>
        </r>
        <r>
          <rPr>
            <sz val="9"/>
            <color indexed="81"/>
            <rFont val="Tahoma"/>
            <family val="2"/>
          </rPr>
          <t xml:space="preserve">
Q2 FY26 Δ Contract advances + Accrued exp + Accrued tax + Pension + Other (6-mo 25.356 less Q1 -45.808 = 71.164).</t>
        </r>
      </text>
    </comment>
    <comment ref="CE184" authorId="0" shapeId="0" xr:uid="{66AD6AAA-BD4E-4FC9-996F-93929BE1FEF0}">
      <text>
        <r>
          <rPr>
            <b/>
            <sz val="9"/>
            <color indexed="81"/>
            <rFont val="Tahoma"/>
            <family val="2"/>
          </rPr>
          <t>User:</t>
        </r>
        <r>
          <rPr>
            <sz val="9"/>
            <color indexed="81"/>
            <rFont val="Tahoma"/>
            <family val="2"/>
          </rPr>
          <t xml:space="preserve">
Q1 FY26 other non-cash items — absorbed in row 185.</t>
        </r>
      </text>
    </comment>
    <comment ref="CE185" authorId="0" shapeId="0" xr:uid="{DB0AA2AB-205D-436B-91B7-4BDFB37810FE}">
      <text>
        <r>
          <rPr>
            <b/>
            <sz val="9"/>
            <color indexed="81"/>
            <rFont val="Tahoma"/>
            <family val="2"/>
          </rPr>
          <t>User:</t>
        </r>
        <r>
          <rPr>
            <sz val="9"/>
            <color indexed="81"/>
            <rFont val="Tahoma"/>
            <family val="2"/>
          </rPr>
          <t xml:space="preserve">
Q1 FY26 Other operating items (217K). Source: Moog Q1 FY26 10-Q CF.</t>
        </r>
      </text>
    </comment>
    <comment ref="CF185" authorId="0" shapeId="0" xr:uid="{0ADC7B4C-C423-44E4-BBDF-622D13D90B7E}">
      <text>
        <r>
          <rPr>
            <b/>
            <sz val="9"/>
            <color indexed="81"/>
            <rFont val="Tahoma"/>
            <family val="2"/>
          </rPr>
          <t>User:</t>
        </r>
        <r>
          <rPr>
            <sz val="9"/>
            <color indexed="81"/>
            <rFont val="Tahoma"/>
            <family val="2"/>
          </rPr>
          <t xml:space="preserve">
Q2 FY26 Other CF items (6-mo -217 less Q1 +217 = -434K).</t>
        </r>
      </text>
    </comment>
    <comment ref="CE189" authorId="0" shapeId="0" xr:uid="{ABB68816-1199-47F5-B2AA-EF76E725DC0D}">
      <text>
        <r>
          <rPr>
            <b/>
            <sz val="9"/>
            <color indexed="81"/>
            <rFont val="Tahoma"/>
            <family val="2"/>
          </rPr>
          <t>User:</t>
        </r>
        <r>
          <rPr>
            <sz val="9"/>
            <color indexed="81"/>
            <rFont val="Tahoma"/>
            <family val="2"/>
          </rPr>
          <t xml:space="preserve">
Q1 FY26 Capex (34,380K). Source: Moog Q1 FY26 10-Q CF.</t>
        </r>
      </text>
    </comment>
    <comment ref="CF189" authorId="0" shapeId="0" xr:uid="{9729DB93-213F-4B35-811A-1A35AAF2DEC5}">
      <text>
        <r>
          <rPr>
            <b/>
            <sz val="9"/>
            <color indexed="81"/>
            <rFont val="Tahoma"/>
            <family val="2"/>
          </rPr>
          <t>User:</t>
        </r>
        <r>
          <rPr>
            <sz val="9"/>
            <color indexed="81"/>
            <rFont val="Tahoma"/>
            <family val="2"/>
          </rPr>
          <t xml:space="preserve">
Q2 FY26 Capex (-66,178 6-mo - (-34,380) Q1 = -31,798K).</t>
        </r>
      </text>
    </comment>
    <comment ref="CG189" authorId="0" shapeId="0" xr:uid="{EBC084A5-15EE-4A0C-8224-9CB4A44FDD2A}">
      <text>
        <r>
          <rPr>
            <b/>
            <sz val="9"/>
            <color indexed="81"/>
            <rFont val="Tahoma"/>
            <family val="2"/>
          </rPr>
          <t>User:</t>
        </r>
        <r>
          <rPr>
            <sz val="9"/>
            <color indexed="81"/>
            <rFont val="Tahoma"/>
            <family val="2"/>
          </rPr>
          <t xml:space="preserve">
Q3/26E Capex — quarterly revenue × FY26E capex ratio.</t>
        </r>
      </text>
    </comment>
    <comment ref="CI189" authorId="0" shapeId="0" xr:uid="{19FE928E-3EAB-44EC-871E-6AFB44E2A3F5}">
      <text>
        <r>
          <rPr>
            <b/>
            <sz val="9"/>
            <color indexed="81"/>
            <rFont val="Tahoma"/>
            <family val="2"/>
          </rPr>
          <t>User:</t>
        </r>
        <r>
          <rPr>
            <sz val="9"/>
            <color indexed="81"/>
            <rFont val="Tahoma"/>
            <family val="2"/>
          </rPr>
          <t xml:space="preserve">
FY26E Capex = Revenue × capex ratio from forecast schedule row 278 (PP&amp;E capex % of revenue). Hardcoded driver in row 278.</t>
        </r>
      </text>
    </comment>
    <comment ref="CE191" authorId="0" shapeId="0" xr:uid="{60D7901C-8B86-4497-B0A1-E1D005677ACA}">
      <text>
        <r>
          <rPr>
            <b/>
            <sz val="9"/>
            <color indexed="81"/>
            <rFont val="Tahoma"/>
            <family val="2"/>
          </rPr>
          <t>User:</t>
        </r>
        <r>
          <rPr>
            <sz val="9"/>
            <color indexed="81"/>
            <rFont val="Tahoma"/>
            <family val="2"/>
          </rPr>
          <t xml:space="preserve">
Q1 FY26 Net proceeds from buildings sold (3,065K). Source: Moog Q1 FY26 10-Q CF.</t>
        </r>
      </text>
    </comment>
    <comment ref="BO192" authorId="0" shapeId="0" xr:uid="{E662EA20-72AA-4A09-9561-4D2DE68DB4C9}">
      <text>
        <r>
          <rPr>
            <b/>
            <sz val="9"/>
            <color indexed="81"/>
            <rFont val="Tahoma"/>
            <family val="2"/>
          </rPr>
          <t>User:</t>
        </r>
        <r>
          <rPr>
            <sz val="9"/>
            <color indexed="81"/>
            <rFont val="Tahoma"/>
            <family val="2"/>
          </rPr>
          <t xml:space="preserve">
Source: Moog FY24 10-K (Sep 28, 2024), Consolidated Statements of Cash Flows, SEC EDGAR https://www.sec.gov/Archives/edgar/data/0000067887/000006788724000166/mog-20240928.htm. FY22 'Other investing transactions' per 10-K = ($4,573). Corrected from prior $(2.668) to tie FY22 investing CF to 10-K ($85.224M outflow).</t>
        </r>
      </text>
    </comment>
    <comment ref="CF192" authorId="0" shapeId="0" xr:uid="{A05C4920-0AFD-4C4A-B53E-0DDFFC7D7A1F}">
      <text>
        <r>
          <rPr>
            <b/>
            <sz val="9"/>
            <color indexed="81"/>
            <rFont val="Tahoma"/>
            <family val="2"/>
          </rPr>
          <t>User:</t>
        </r>
        <r>
          <rPr>
            <sz val="9"/>
            <color indexed="81"/>
            <rFont val="Tahoma"/>
            <family val="2"/>
          </rPr>
          <t xml:space="preserve">
Q2 FY26 Other investing (-458 - (-156) = -302K).</t>
        </r>
      </text>
    </comment>
    <comment ref="CE196" authorId="0" shapeId="0" xr:uid="{3824F056-8105-448D-B93A-4F4EFB78BF64}">
      <text>
        <r>
          <rPr>
            <b/>
            <sz val="9"/>
            <color indexed="81"/>
            <rFont val="Tahoma"/>
            <family val="2"/>
          </rPr>
          <t>User:</t>
        </r>
        <r>
          <rPr>
            <sz val="9"/>
            <color indexed="81"/>
            <rFont val="Tahoma"/>
            <family val="2"/>
          </rPr>
          <t xml:space="preserve">
Q1 FY26 Net revolver activity (Proceeds 372,900K - Payments 261,900K = +111,000K). Source: Moog Q1 FY26 10-Q CF.</t>
        </r>
      </text>
    </comment>
    <comment ref="CF196" authorId="0" shapeId="0" xr:uid="{8562E2EE-09B5-4C98-B1B4-B27776305749}">
      <text>
        <r>
          <rPr>
            <b/>
            <sz val="9"/>
            <color indexed="81"/>
            <rFont val="Tahoma"/>
            <family val="2"/>
          </rPr>
          <t>User:</t>
        </r>
        <r>
          <rPr>
            <sz val="9"/>
            <color indexed="81"/>
            <rFont val="Tahoma"/>
            <family val="2"/>
          </rPr>
          <t xml:space="preserve">
Q2 FY26 Net revolver activity (6-mo: 869,400-1,064,400 = -195,000 net; less Q1 +111,000 = -306,000K). Note: in Q2 Moog issued $500M senior notes, allowing $306M revolver paydown.</t>
        </r>
      </text>
    </comment>
    <comment ref="CG196" authorId="0" shapeId="0" xr:uid="{E5090B82-F12C-4817-905E-3511D2937E25}">
      <text>
        <r>
          <rPr>
            <b/>
            <sz val="9"/>
            <color indexed="81"/>
            <rFont val="Tahoma"/>
            <family val="2"/>
          </rPr>
          <t>User:</t>
        </r>
        <r>
          <rPr>
            <sz val="9"/>
            <color indexed="81"/>
            <rFont val="Tahoma"/>
            <family val="2"/>
          </rPr>
          <t xml:space="preserve">
Q3/26E Net revolver / lease pmts — modest paydown placeholder.</t>
        </r>
      </text>
    </comment>
    <comment ref="CE197" authorId="0" shapeId="0" xr:uid="{95891AA0-3771-441B-AA91-80EB59E98FB4}">
      <text>
        <r>
          <rPr>
            <b/>
            <sz val="9"/>
            <color indexed="81"/>
            <rFont val="Tahoma"/>
            <family val="2"/>
          </rPr>
          <t>User:</t>
        </r>
        <r>
          <rPr>
            <sz val="9"/>
            <color indexed="81"/>
            <rFont val="Tahoma"/>
            <family val="2"/>
          </rPr>
          <t xml:space="preserve">
Q1 FY26 Finance lease payments (-4,308K). Source: Moog Q1 FY26 10-Q CF.</t>
        </r>
      </text>
    </comment>
    <comment ref="CF197" authorId="0" shapeId="0" xr:uid="{8A57823C-98CF-4E03-8D73-4523C43F2FB8}">
      <text>
        <r>
          <rPr>
            <b/>
            <sz val="9"/>
            <color indexed="81"/>
            <rFont val="Tahoma"/>
            <family val="2"/>
          </rPr>
          <t>User:</t>
        </r>
        <r>
          <rPr>
            <sz val="9"/>
            <color indexed="81"/>
            <rFont val="Tahoma"/>
            <family val="2"/>
          </rPr>
          <t xml:space="preserve">
Q2 FY26 Finance lease payments (-8,013 - (-4,308) = -3,705K).</t>
        </r>
      </text>
    </comment>
    <comment ref="CE198" authorId="0" shapeId="0" xr:uid="{4218A16C-6DF7-45CB-BF16-AF45C3666671}">
      <text>
        <r>
          <rPr>
            <b/>
            <sz val="9"/>
            <color indexed="81"/>
            <rFont val="Tahoma"/>
            <family val="2"/>
          </rPr>
          <t>User:</t>
        </r>
        <r>
          <rPr>
            <sz val="9"/>
            <color indexed="81"/>
            <rFont val="Tahoma"/>
            <family val="2"/>
          </rPr>
          <t xml:space="preserve">
Q1 FY26 Dividends paid (-9,193K). Source: Moog Q1 FY26 10-Q CF.</t>
        </r>
      </text>
    </comment>
    <comment ref="CF198" authorId="0" shapeId="0" xr:uid="{60AB29FF-3332-4050-9BAC-12A7634FBACC}">
      <text>
        <r>
          <rPr>
            <b/>
            <sz val="9"/>
            <color indexed="81"/>
            <rFont val="Tahoma"/>
            <family val="2"/>
          </rPr>
          <t>User:</t>
        </r>
        <r>
          <rPr>
            <sz val="9"/>
            <color indexed="81"/>
            <rFont val="Tahoma"/>
            <family val="2"/>
          </rPr>
          <t xml:space="preserve">
Q2 FY26 Dividends paid (-18,706 - (-9,193) = -9,513K).</t>
        </r>
      </text>
    </comment>
    <comment ref="CG198" authorId="0" shapeId="0" xr:uid="{7E840188-1D06-44CC-80D7-41507D7CFDF8}">
      <text>
        <r>
          <rPr>
            <b/>
            <sz val="9"/>
            <color indexed="81"/>
            <rFont val="Tahoma"/>
            <family val="2"/>
          </rPr>
          <t>User:</t>
        </r>
        <r>
          <rPr>
            <sz val="9"/>
            <color indexed="81"/>
            <rFont val="Tahoma"/>
            <family val="2"/>
          </rPr>
          <t xml:space="preserve">
Q3/26E Dividends — ~$9.5M per quarterly run-rate.</t>
        </r>
      </text>
    </comment>
    <comment ref="CH198" authorId="0" shapeId="0" xr:uid="{28FDB5DA-F69F-42F0-8886-AD85508C6609}">
      <text>
        <r>
          <rPr>
            <b/>
            <sz val="9"/>
            <color indexed="81"/>
            <rFont val="Tahoma"/>
            <family val="2"/>
          </rPr>
          <t>User:</t>
        </r>
        <r>
          <rPr>
            <sz val="9"/>
            <color indexed="81"/>
            <rFont val="Tahoma"/>
            <family val="2"/>
          </rPr>
          <t xml:space="preserve">
Q4/26E Dividends — plug to FY26E total ($40M).</t>
        </r>
      </text>
    </comment>
    <comment ref="CE199" authorId="0" shapeId="0" xr:uid="{126317CA-BB31-4D2C-86BA-DC14C4136BED}">
      <text>
        <r>
          <rPr>
            <b/>
            <sz val="9"/>
            <color indexed="81"/>
            <rFont val="Tahoma"/>
            <family val="2"/>
          </rPr>
          <t>User:</t>
        </r>
        <r>
          <rPr>
            <sz val="9"/>
            <color indexed="81"/>
            <rFont val="Tahoma"/>
            <family val="2"/>
          </rPr>
          <t xml:space="preserve">
Q1 FY26 Net buybacks (Treasury -37,847 + Proceeds 8,090 + SECT -6,914 + Proceeds 27,233 - $26,090K outflow; alt simplified: -37,847+8,090 = -29,757; with SECT net +20,319 = -9,438. Used -17,528 mid-point with treasury net + SECT net). Source: Moog Q1 FY26 10-Q CF.</t>
        </r>
      </text>
    </comment>
    <comment ref="CF199" authorId="0" shapeId="0" xr:uid="{AA62F33D-2B87-4FD0-B974-F0F3E4C78ED6}">
      <text>
        <r>
          <rPr>
            <b/>
            <sz val="9"/>
            <color indexed="81"/>
            <rFont val="Tahoma"/>
            <family val="2"/>
          </rPr>
          <t>Q2 FY26 Net buybacks plug — (treasury net + SECT net + plug to tie ending cash to 10-Q $308,232K). Source: Moog Q2 FY26 10-Q CF.</t>
        </r>
      </text>
    </comment>
    <comment ref="CG199" authorId="0" shapeId="0" xr:uid="{F84C45AD-7AB7-4340-B9A1-1E4DDC4304B7}">
      <text>
        <r>
          <rPr>
            <b/>
            <sz val="9"/>
            <color indexed="81"/>
            <rFont val="Tahoma"/>
            <family val="2"/>
          </rPr>
          <t>User:</t>
        </r>
        <r>
          <rPr>
            <sz val="9"/>
            <color indexed="81"/>
            <rFont val="Tahoma"/>
            <family val="2"/>
          </rPr>
          <t xml:space="preserve">
Q3/26E Net buyback — 1/4 of FY26E -$150M total share repo.</t>
        </r>
      </text>
    </comment>
    <comment ref="CE200" authorId="0" shapeId="0" xr:uid="{8CEAE01F-F972-41AA-8814-9F9ECF84F8F8}">
      <text>
        <r>
          <rPr>
            <b/>
            <sz val="9"/>
            <color indexed="81"/>
            <rFont val="Tahoma"/>
            <family val="2"/>
          </rPr>
          <t>User:</t>
        </r>
        <r>
          <rPr>
            <sz val="9"/>
            <color indexed="81"/>
            <rFont val="Tahoma"/>
            <family val="2"/>
          </rPr>
          <t xml:space="preserve">
Q1 FY26 Proceeds from sale of treasury stock.</t>
        </r>
      </text>
    </comment>
    <comment ref="CF200" authorId="0" shapeId="0" xr:uid="{9F1FEFD5-CD70-4A9B-AE48-E68D426FDCF2}">
      <text>
        <r>
          <rPr>
            <b/>
            <sz val="9"/>
            <color indexed="81"/>
            <rFont val="Tahoma"/>
            <family val="2"/>
          </rPr>
          <t>User:</t>
        </r>
        <r>
          <rPr>
            <sz val="9"/>
            <color indexed="81"/>
            <rFont val="Tahoma"/>
            <family val="2"/>
          </rPr>
          <t xml:space="preserve">
Q2 FY26 Sale of treasury (8,476 - 8,090 = 386K).</t>
        </r>
      </text>
    </comment>
    <comment ref="L201" authorId="0" shapeId="0" xr:uid="{3C25AB87-1F50-4A07-A570-1D38E6B44BF4}">
      <text>
        <r>
          <rPr>
            <b/>
            <sz val="9"/>
            <color indexed="81"/>
            <rFont val="Tahoma"/>
            <family val="2"/>
          </rPr>
          <t>User:</t>
        </r>
        <r>
          <rPr>
            <sz val="9"/>
            <color indexed="81"/>
            <rFont val="Tahoma"/>
            <family val="2"/>
          </rPr>
          <t xml:space="preserve">
CF-to-BS reconciliation plug. The original 'Other financing' line was understated by ~$148M (FY11). Plug captures unmodeled financing activity (treasury stock detail, SECT/SERP trust activity, etc.) so CF end cash (row 205) ties to BS cash (row 224, sourced from FY11 10-K).</t>
        </r>
      </text>
    </comment>
    <comment ref="Q201" authorId="0" shapeId="0" xr:uid="{B19054EA-594F-41EB-B495-AFCFFCA5CC15}">
      <text>
        <r>
          <rPr>
            <b/>
            <sz val="9"/>
            <color indexed="81"/>
            <rFont val="Tahoma"/>
            <family val="2"/>
          </rPr>
          <t>User:</t>
        </r>
        <r>
          <rPr>
            <sz val="9"/>
            <color indexed="81"/>
            <rFont val="Tahoma"/>
            <family val="2"/>
          </rPr>
          <t xml:space="preserve">
CF-to-BS reconciliation plug for FY12. Captures unmodeled financing activity so CF end cash ties to BS cash $148.841M (FY13 10-K).</t>
        </r>
      </text>
    </comment>
    <comment ref="V201" authorId="0" shapeId="0" xr:uid="{56965D74-921C-475D-8D0E-2660A350F2AC}">
      <text>
        <r>
          <rPr>
            <b/>
            <sz val="9"/>
            <color indexed="81"/>
            <rFont val="Tahoma"/>
            <family val="2"/>
          </rPr>
          <t>User:</t>
        </r>
        <r>
          <rPr>
            <sz val="9"/>
            <color indexed="81"/>
            <rFont val="Tahoma"/>
            <family val="2"/>
          </rPr>
          <t xml:space="preserve">
CF-to-BS reconciliation plug for FY13. Captures unmodeled financing activity so CF end cash ties to BS cash $157.090M (FY13 10-K).</t>
        </r>
      </text>
    </comment>
    <comment ref="AA201" authorId="0" shapeId="0" xr:uid="{B850729C-02F9-45AF-A910-4790A3445CEE}">
      <text>
        <r>
          <rPr>
            <b/>
            <sz val="9"/>
            <color indexed="81"/>
            <rFont val="Tahoma"/>
            <family val="2"/>
          </rPr>
          <t>User:</t>
        </r>
        <r>
          <rPr>
            <sz val="9"/>
            <color indexed="81"/>
            <rFont val="Tahoma"/>
            <family val="2"/>
          </rPr>
          <t xml:space="preserve">
CF-to-BS reconciliation plug for FY14. Captures unmodeled financing activity so CF end cash ties to BS cash $231.292M (FY15 10-K).</t>
        </r>
      </text>
    </comment>
    <comment ref="AF201" authorId="0" shapeId="0" xr:uid="{E4748076-C293-42C5-80B6-DD8A7FB6B89F}">
      <text>
        <r>
          <rPr>
            <b/>
            <sz val="9"/>
            <color indexed="81"/>
            <rFont val="Tahoma"/>
            <family val="2"/>
          </rPr>
          <t>User:</t>
        </r>
        <r>
          <rPr>
            <sz val="9"/>
            <color indexed="81"/>
            <rFont val="Tahoma"/>
            <family val="2"/>
          </rPr>
          <t xml:space="preserve">
CF-to-BS reconciliation plug for FY15. Captures unmodeled financing activity so CF end cash ties to BS cash $309.853M (FY15 10-K).</t>
        </r>
      </text>
    </comment>
    <comment ref="AK201" authorId="0" shapeId="0" xr:uid="{AA9E8898-6676-4C50-B0ED-A0BF445F4C9B}">
      <text>
        <r>
          <rPr>
            <b/>
            <sz val="9"/>
            <color indexed="81"/>
            <rFont val="Tahoma"/>
            <family val="2"/>
          </rPr>
          <t>User:</t>
        </r>
        <r>
          <rPr>
            <sz val="9"/>
            <color indexed="81"/>
            <rFont val="Tahoma"/>
            <family val="2"/>
          </rPr>
          <t xml:space="preserve">
CF-to-BS reconciliation plug for FY16. Captures unmodeled financing activity so CF end cash ties to BS cash $325.128M (FY17 10-K).</t>
        </r>
      </text>
    </comment>
    <comment ref="AP201" authorId="0" shapeId="0" xr:uid="{03C7DB90-CE6C-4BA1-B474-F038654D58C8}">
      <text>
        <r>
          <rPr>
            <b/>
            <sz val="9"/>
            <color indexed="81"/>
            <rFont val="Tahoma"/>
            <family val="2"/>
          </rPr>
          <t>User:</t>
        </r>
        <r>
          <rPr>
            <sz val="9"/>
            <color indexed="81"/>
            <rFont val="Tahoma"/>
            <family val="2"/>
          </rPr>
          <t xml:space="preserve">
CF-to-BS reconciliation plug for FY17. Captures unmodeled financing activity so CF end cash ties to BS cash $368.073M (FY17 10-K).</t>
        </r>
      </text>
    </comment>
    <comment ref="AU201" authorId="0" shapeId="0" xr:uid="{0ED0ECA5-3078-42BC-A64B-251E5206F25F}">
      <text>
        <r>
          <rPr>
            <b/>
            <sz val="9"/>
            <color indexed="81"/>
            <rFont val="Tahoma"/>
            <family val="2"/>
          </rPr>
          <t>User:</t>
        </r>
        <r>
          <rPr>
            <sz val="9"/>
            <color indexed="81"/>
            <rFont val="Tahoma"/>
            <family val="2"/>
          </rPr>
          <t xml:space="preserve">
CF-to-BS reconciliation plug for FY18. Captures unmodeled financing activity so CF end cash ties to BS cash $127.706M (cash $125.584M + restricted $2.122M per FY19 10-K).</t>
        </r>
      </text>
    </comment>
    <comment ref="AZ201" authorId="0" shapeId="0" xr:uid="{6C152C9C-5CB9-4DAB-BD9D-3FD1500664B6}">
      <text>
        <r>
          <rPr>
            <b/>
            <sz val="9"/>
            <color indexed="81"/>
            <rFont val="Tahoma"/>
            <family val="2"/>
          </rPr>
          <t>User:</t>
        </r>
        <r>
          <rPr>
            <sz val="9"/>
            <color indexed="81"/>
            <rFont val="Tahoma"/>
            <family val="2"/>
          </rPr>
          <t xml:space="preserve">
CF-to-BS reconciliation plug for FY19. Captures unmodeled financing activity so CF end cash ties to BS cash $89.702M (FY19 10-K).</t>
        </r>
      </text>
    </comment>
    <comment ref="CF201" authorId="0" shapeId="0" xr:uid="{AA120F0F-4F35-4529-BCDB-8E6340C68930}">
      <text>
        <r>
          <rPr>
            <b/>
            <sz val="9"/>
            <color indexed="81"/>
            <rFont val="Tahoma"/>
            <family val="2"/>
          </rPr>
          <t>User:</t>
        </r>
        <r>
          <rPr>
            <sz val="9"/>
            <color indexed="81"/>
            <rFont val="Tahoma"/>
            <family val="2"/>
          </rPr>
          <t xml:space="preserve">
Q2 FY26 Other financing (-3,116 - (-339) = -2,777K).</t>
        </r>
      </text>
    </comment>
    <comment ref="CF203" authorId="0" shapeId="0" xr:uid="{74999E91-1E7F-4BEA-8CF0-6A1774C02D44}">
      <text>
        <r>
          <rPr>
            <b/>
            <sz val="9"/>
            <color indexed="81"/>
            <rFont val="Tahoma"/>
            <family val="2"/>
          </rPr>
          <t>User:</t>
        </r>
        <r>
          <rPr>
            <sz val="9"/>
            <color indexed="81"/>
            <rFont val="Tahoma"/>
            <family val="2"/>
          </rPr>
          <t xml:space="preserve">
Q2 FY26 Proceeds from senior notes (492,221K, net of issuance costs). Source: Moog Q2 FY26 10-Q CF.</t>
        </r>
      </text>
    </comment>
    <comment ref="CE204" authorId="0" shapeId="0" xr:uid="{2DD3A192-5EAF-4DC5-913F-FB3326179C04}">
      <text>
        <r>
          <rPr>
            <b/>
            <sz val="9"/>
            <color indexed="81"/>
            <rFont val="Tahoma"/>
            <family val="2"/>
          </rPr>
          <t>User:</t>
        </r>
        <r>
          <rPr>
            <sz val="9"/>
            <color indexed="81"/>
            <rFont val="Tahoma"/>
            <family val="2"/>
          </rPr>
          <t xml:space="preserve">
Q1 FY26 Effect of FX (98K). Source: Moog Q1 FY26 10-Q CF.</t>
        </r>
      </text>
    </comment>
    <comment ref="CF204" authorId="0" shapeId="0" xr:uid="{EF5B04C4-1BFB-4B53-9E2B-5656517FA2A4}">
      <text>
        <r>
          <rPr>
            <b/>
            <sz val="9"/>
            <color indexed="81"/>
            <rFont val="Tahoma"/>
            <family val="2"/>
          </rPr>
          <t>User:</t>
        </r>
        <r>
          <rPr>
            <sz val="9"/>
            <color indexed="81"/>
            <rFont val="Tahoma"/>
            <family val="2"/>
          </rPr>
          <t xml:space="preserve">
Q2 FY26 Effect of FX (21 - 98 = -77K).</t>
        </r>
      </text>
    </comment>
    <comment ref="CE205" authorId="0" shapeId="0" xr:uid="{D2C3CDD4-2D77-4810-8D1F-6F423AC81D15}">
      <text>
        <r>
          <rPr>
            <b/>
            <sz val="9"/>
            <color indexed="81"/>
            <rFont val="Tahoma"/>
            <family val="2"/>
          </rPr>
          <t>User:</t>
        </r>
        <r>
          <rPr>
            <sz val="9"/>
            <color indexed="81"/>
            <rFont val="Tahoma"/>
            <family val="2"/>
          </rPr>
          <t xml:space="preserve">
Q1 FY26 Net change in cash (+11,581K). Source: Moog Q1 FY26 10-Q CF.</t>
        </r>
      </text>
    </comment>
    <comment ref="CF205" authorId="0" shapeId="0" xr:uid="{527BAE20-7954-465C-AA7A-AE3A9AA18BBB}">
      <text>
        <r>
          <rPr>
            <b/>
            <sz val="9"/>
            <color indexed="81"/>
            <rFont val="Tahoma"/>
            <family val="2"/>
          </rPr>
          <t>User:</t>
        </r>
        <r>
          <rPr>
            <sz val="9"/>
            <color indexed="81"/>
            <rFont val="Tahoma"/>
            <family val="2"/>
          </rPr>
          <t xml:space="preserve">
Q2 FY26 Net change in cash (246,019 - 11,581 = 234,438K). Q2 spike driven by $492M senior notes issuance.</t>
        </r>
      </text>
    </comment>
    <comment ref="CE206" authorId="0" shapeId="0" xr:uid="{E8978E4E-4E55-4E78-BA73-08FC884A69A2}">
      <text>
        <r>
          <rPr>
            <b/>
            <sz val="9"/>
            <color indexed="81"/>
            <rFont val="Tahoma"/>
            <family val="2"/>
          </rPr>
          <t>User:</t>
        </r>
        <r>
          <rPr>
            <sz val="9"/>
            <color indexed="81"/>
            <rFont val="Tahoma"/>
            <family val="2"/>
          </rPr>
          <t xml:space="preserve">
Q1 FY26 Cash beginning of period (62,213K = FY25 ending). Source: Moog Q1 FY26 10-Q CF.</t>
        </r>
      </text>
    </comment>
    <comment ref="CF206" authorId="0" shapeId="0" xr:uid="{1AC2F39E-9400-48CE-A9EA-2BB4F7B6FC19}">
      <text>
        <r>
          <rPr>
            <b/>
            <sz val="9"/>
            <color indexed="81"/>
            <rFont val="Tahoma"/>
            <family val="2"/>
          </rPr>
          <t>User:</t>
        </r>
        <r>
          <rPr>
            <sz val="9"/>
            <color indexed="81"/>
            <rFont val="Tahoma"/>
            <family val="2"/>
          </rPr>
          <t xml:space="preserve">
Q2 FY26 Cash beginning = Q1/26 ending.</t>
        </r>
      </text>
    </comment>
    <comment ref="CI216" authorId="0" shapeId="0" xr:uid="{182FAA27-91BA-4672-A128-D3E5D8656505}">
      <text>
        <r>
          <rPr>
            <b/>
            <sz val="9"/>
            <color indexed="81"/>
            <rFont val="Tahoma"/>
            <family val="2"/>
          </rPr>
          <t>User:</t>
        </r>
        <r>
          <rPr>
            <sz val="9"/>
            <color indexed="81"/>
            <rFont val="Tahoma"/>
            <family val="2"/>
          </rPr>
          <t xml:space="preserve">
FY26E starting average buyback price = $310. Approximates Moog (MOG.A) trading range as of May 25, 2026 (~$303-319). Source: Investing.com / NYSE quote. Subsequent years inflated 7% annually.</t>
        </r>
      </text>
    </comment>
    <comment ref="G226" authorId="0" shapeId="0" xr:uid="{3B8C4E90-0646-4F35-8FF9-9B662193CE99}">
      <text>
        <r>
          <rPr>
            <b/>
            <sz val="9"/>
            <color indexed="81"/>
            <rFont val="Tahoma"/>
            <family val="2"/>
          </rPr>
          <t>User:</t>
        </r>
        <r>
          <rPr>
            <sz val="9"/>
            <color indexed="81"/>
            <rFont val="Tahoma"/>
            <family val="2"/>
          </rPr>
          <t xml:space="preserve">
Source: Moog FY11 10-K (Oct 1, 2011), SEC EDGAR https://www.sec.gov/Archives/edgar/data/0000067887/000119312511325967/d223401d10k.htm — FY10 BS cash &amp; cash equivalents $112,421 thousand.</t>
        </r>
      </text>
    </comment>
    <comment ref="L226" authorId="0" shapeId="0" xr:uid="{82A179E0-5569-4C57-B847-13677C7DCB1F}">
      <text>
        <r>
          <rPr>
            <b/>
            <sz val="9"/>
            <color indexed="81"/>
            <rFont val="Tahoma"/>
            <family val="2"/>
          </rPr>
          <t>User:</t>
        </r>
        <r>
          <rPr>
            <sz val="9"/>
            <color indexed="81"/>
            <rFont val="Tahoma"/>
            <family val="2"/>
          </rPr>
          <t xml:space="preserve">
Source: Moog FY11 10-K (Oct 1, 2011), SEC EDGAR https://www.sec.gov/Archives/edgar/data/0000067887/000119312511325967/d223401d10k.htm — FY11 BS cash &amp; cash equivalents $113,679 thousand.</t>
        </r>
      </text>
    </comment>
    <comment ref="Q226" authorId="0" shapeId="0" xr:uid="{8F2D74DF-80B2-469A-8EDB-C2C69279A84C}">
      <text>
        <r>
          <rPr>
            <b/>
            <sz val="9"/>
            <color indexed="81"/>
            <rFont val="Tahoma"/>
            <family val="2"/>
          </rPr>
          <t>User:</t>
        </r>
        <r>
          <rPr>
            <sz val="9"/>
            <color indexed="81"/>
            <rFont val="Tahoma"/>
            <family val="2"/>
          </rPr>
          <t xml:space="preserve">
Source: Moog FY13 10-K (Sep 28, 2013), SEC EDGAR https://www.sec.gov/Archives/edgar/data/0000067887/000006788713000043/Financial_Report.xlsx — FY12 BS cash &amp; cash equivalents $148,841 thousand.</t>
        </r>
      </text>
    </comment>
    <comment ref="V226" authorId="0" shapeId="0" xr:uid="{32E90F41-ADA4-4501-8C79-53BC4F3D56B4}">
      <text>
        <r>
          <rPr>
            <b/>
            <sz val="9"/>
            <color indexed="81"/>
            <rFont val="Tahoma"/>
            <family val="2"/>
          </rPr>
          <t>User:</t>
        </r>
        <r>
          <rPr>
            <sz val="9"/>
            <color indexed="81"/>
            <rFont val="Tahoma"/>
            <family val="2"/>
          </rPr>
          <t xml:space="preserve">
Source: Moog FY13 10-K (Sep 28, 2013), SEC EDGAR https://www.sec.gov/Archives/edgar/data/0000067887/000006788713000043/Financial_Report.xlsx — FY13 BS cash &amp; cash equivalents $157,090 thousand.</t>
        </r>
      </text>
    </comment>
    <comment ref="AA226" authorId="0" shapeId="0" xr:uid="{AA6032B6-8E5A-4F9C-9851-B99AD4D6BC00}">
      <text>
        <r>
          <rPr>
            <b/>
            <sz val="9"/>
            <color indexed="81"/>
            <rFont val="Tahoma"/>
            <family val="2"/>
          </rPr>
          <t>User:</t>
        </r>
        <r>
          <rPr>
            <sz val="9"/>
            <color indexed="81"/>
            <rFont val="Tahoma"/>
            <family val="2"/>
          </rPr>
          <t xml:space="preserve">
Source: Moog FY15 10-K (Oct 3, 2015), SEC EDGAR https://www.sec.gov/Archives/edgar/data/0000067887/000006788715000081/Financial_Report.xlsx — FY14 BS cash &amp; cash equivalents $231,292 thousand.</t>
        </r>
      </text>
    </comment>
    <comment ref="AF226" authorId="0" shapeId="0" xr:uid="{2B669C2B-6E4B-45BE-8BE5-43C5BE3F0421}">
      <text>
        <r>
          <rPr>
            <b/>
            <sz val="9"/>
            <color indexed="81"/>
            <rFont val="Tahoma"/>
            <family val="2"/>
          </rPr>
          <t>User:</t>
        </r>
        <r>
          <rPr>
            <sz val="9"/>
            <color indexed="81"/>
            <rFont val="Tahoma"/>
            <family val="2"/>
          </rPr>
          <t xml:space="preserve">
Source: Moog FY15 10-K (Oct 3, 2015), SEC EDGAR https://www.sec.gov/Archives/edgar/data/0000067887/000006788715000081/Financial_Report.xlsx — FY15 BS cash &amp; cash equivalents $309,853 thousand.</t>
        </r>
      </text>
    </comment>
    <comment ref="AK226" authorId="0" shapeId="0" xr:uid="{0C0B2A2B-4039-4860-A881-27BDB1EEDD38}">
      <text>
        <r>
          <rPr>
            <b/>
            <sz val="9"/>
            <color indexed="81"/>
            <rFont val="Tahoma"/>
            <family val="2"/>
          </rPr>
          <t>User:</t>
        </r>
        <r>
          <rPr>
            <sz val="9"/>
            <color indexed="81"/>
            <rFont val="Tahoma"/>
            <family val="2"/>
          </rPr>
          <t xml:space="preserve">
Source: Moog FY17 10-K (Sep 30, 2017), SEC EDGAR https://www.sec.gov/Archives/edgar/data/0000067887/000006788717000087/a10-kdocumentxfy17xq4.htm — FY16 BS cash &amp; cash equivalents $325,128 thousand.</t>
        </r>
      </text>
    </comment>
    <comment ref="AP226" authorId="0" shapeId="0" xr:uid="{C9C24A3E-0A79-4867-999D-815857E6BE4C}">
      <text>
        <r>
          <rPr>
            <b/>
            <sz val="9"/>
            <color indexed="81"/>
            <rFont val="Tahoma"/>
            <family val="2"/>
          </rPr>
          <t>User:</t>
        </r>
        <r>
          <rPr>
            <sz val="9"/>
            <color indexed="81"/>
            <rFont val="Tahoma"/>
            <family val="2"/>
          </rPr>
          <t xml:space="preserve">
Source: Moog FY17 10-K (Sep 30, 2017), SEC EDGAR https://www.sec.gov/Archives/edgar/data/0000067887/000006788717000087/a10-kdocumentxfy17xq4.htm — FY17 BS cash &amp; cash equivalents $368,073 thousand.</t>
        </r>
      </text>
    </comment>
    <comment ref="AU226" authorId="0" shapeId="0" xr:uid="{E0AAFEFD-EFF5-44B6-9AE6-1C7A062834DB}">
      <text>
        <r>
          <rPr>
            <b/>
            <sz val="9"/>
            <color indexed="81"/>
            <rFont val="Tahoma"/>
            <family val="2"/>
          </rPr>
          <t>Source: Moog FY19 10-K (Sep 28, 2019), SEC EDGAR https://www.sec.gov/Archives/edgar/data/0000067887/000006788719000086/a10-kdocumentxfy19xq4.htm — FY18 cash &amp; cash equivalents $125,584 thousand + restricted cash $2,122 thousand = $127,706 thousand. Combined here for consistency with FY20+ where the CF reconciliation cash includes restricted cash.</t>
        </r>
      </text>
    </comment>
    <comment ref="AZ226" authorId="0" shapeId="0" xr:uid="{EE867F91-5E14-411E-BF64-9A2A5317BE56}">
      <text>
        <r>
          <rPr>
            <b/>
            <sz val="9"/>
            <color indexed="81"/>
            <rFont val="Tahoma"/>
            <family val="2"/>
          </rPr>
          <t>Source: Moog FY19 10-K (Sep 28, 2019), SEC EDGAR https://www.sec.gov/Archives/edgar/data/0000067887/000006788719000086/a10-kdocumentxfy19xq4.htm — FY19 BS cash &amp; cash equivalents $89,702 thousand. Note: $2,846 thousand of restricted cash is captured in row 227 (Prepaid &amp; other current assets) per legacy model convention.</t>
        </r>
      </text>
    </comment>
    <comment ref="BX226" authorId="0" shapeId="0" xr:uid="{2AD97AF2-8236-4A88-97C9-4C85B44C23C0}">
      <text>
        <r>
          <rPr>
            <b/>
            <sz val="9"/>
            <color indexed="81"/>
            <rFont val="Tahoma"/>
            <family val="2"/>
          </rPr>
          <t>User:</t>
        </r>
        <r>
          <rPr>
            <sz val="9"/>
            <color indexed="81"/>
            <rFont val="Tahoma"/>
            <family val="2"/>
          </rPr>
          <t xml:space="preserve">
Q4/24 BS cash = year-end BS face cash ($61.817M), which excludes $2.720M of held-for-sale cash. The held-for-sale cash is captured in BX227/BY227 (Prepaid &amp; other CA) with an offsetting entry in BX244/BY244 (Other accrued liab). Total CF reconciliation cash = BX205 = $64.537M.</t>
        </r>
      </text>
    </comment>
    <comment ref="CE226" authorId="0" shapeId="0" xr:uid="{B6962964-1786-4AB6-9FC7-1787BEDBFCAC}">
      <text>
        <r>
          <rPr>
            <b/>
            <sz val="9"/>
            <color indexed="81"/>
            <rFont val="Tahoma"/>
            <family val="2"/>
          </rPr>
          <t>User:</t>
        </r>
        <r>
          <rPr>
            <sz val="9"/>
            <color indexed="81"/>
            <rFont val="Tahoma"/>
            <family val="2"/>
          </rPr>
          <t xml:space="preserve">
Q1/26 Cash + Restricted cash (73,359 + 435). Source: Moog Q1 FY26 10-Q BS.</t>
        </r>
      </text>
    </comment>
    <comment ref="CF226" authorId="0" shapeId="0" xr:uid="{2A4F827C-865C-4CBD-A1B4-44905BD23A78}">
      <text>
        <r>
          <rPr>
            <b/>
            <sz val="9"/>
            <color indexed="81"/>
            <rFont val="Tahoma"/>
            <family val="2"/>
          </rPr>
          <t>User:</t>
        </r>
        <r>
          <rPr>
            <sz val="9"/>
            <color indexed="81"/>
            <rFont val="Tahoma"/>
            <family val="2"/>
          </rPr>
          <t xml:space="preserve">
Q2/26 Cash + Restricted cash (307,553 + 679). Source: Moog Q2 FY26 10-Q BS.</t>
        </r>
      </text>
    </comment>
    <comment ref="G227" authorId="0" shapeId="0" xr:uid="{37BE91ED-B7A7-419C-BEEB-E5800DD8EDC6}">
      <text>
        <r>
          <rPr>
            <b/>
            <sz val="9"/>
            <color indexed="81"/>
            <rFont val="Tahoma"/>
            <family val="2"/>
          </rPr>
          <t>User:</t>
        </r>
        <r>
          <rPr>
            <sz val="9"/>
            <color indexed="81"/>
            <rFont val="Tahoma"/>
            <family val="2"/>
          </rPr>
          <t xml:space="preserve">
Source: Moog FY11 10-K (Oct 1, 2011), SEC EDGAR https://www.sec.gov/Archives/edgar/data/0000067887/000119312511325967/d223401d10k.htm — FY10 BS Receivables $619,861 thousand.</t>
        </r>
      </text>
    </comment>
    <comment ref="L227" authorId="0" shapeId="0" xr:uid="{DAAC59C2-FB20-4149-A3AB-F0F06A19D87D}">
      <text>
        <r>
          <rPr>
            <b/>
            <sz val="9"/>
            <color indexed="81"/>
            <rFont val="Tahoma"/>
            <family val="2"/>
          </rPr>
          <t>User:</t>
        </r>
        <r>
          <rPr>
            <sz val="9"/>
            <color indexed="81"/>
            <rFont val="Tahoma"/>
            <family val="2"/>
          </rPr>
          <t xml:space="preserve">
Source: Moog FY11 10-K (Oct 1, 2011), SEC EDGAR https://www.sec.gov/Archives/edgar/data/0000067887/000119312511325967/d223401d10k.htm — FY11 BS Receivables $655,805 thousand.</t>
        </r>
      </text>
    </comment>
    <comment ref="Q227" authorId="0" shapeId="0" xr:uid="{A77D9FDD-A03B-4832-AEC8-102C9CD6805A}">
      <text>
        <r>
          <rPr>
            <b/>
            <sz val="9"/>
            <color indexed="81"/>
            <rFont val="Tahoma"/>
            <family val="2"/>
          </rPr>
          <t>User:</t>
        </r>
        <r>
          <rPr>
            <sz val="9"/>
            <color indexed="81"/>
            <rFont val="Tahoma"/>
            <family val="2"/>
          </rPr>
          <t xml:space="preserve">
Source: Moog FY13 10-K (Sep 28, 2013), SEC EDGAR https://www.sec.gov/Archives/edgar/data/0000067887/000006788713000043/Financial_Report.xlsx — FY12 BS Receivables $744,551 thousand.</t>
        </r>
      </text>
    </comment>
    <comment ref="V227" authorId="0" shapeId="0" xr:uid="{FDD1FE6D-A215-4E75-A1EE-85FD61D34215}">
      <text>
        <r>
          <rPr>
            <b/>
            <sz val="9"/>
            <color indexed="81"/>
            <rFont val="Tahoma"/>
            <family val="2"/>
          </rPr>
          <t>User:</t>
        </r>
        <r>
          <rPr>
            <sz val="9"/>
            <color indexed="81"/>
            <rFont val="Tahoma"/>
            <family val="2"/>
          </rPr>
          <t xml:space="preserve">
Source: Moog FY13 10-K (Sep 28, 2013), SEC EDGAR https://www.sec.gov/Archives/edgar/data/0000067887/000006788713000043/Financial_Report.xlsx — FY13 BS Receivables $811,376 thousand.</t>
        </r>
      </text>
    </comment>
    <comment ref="AA227" authorId="0" shapeId="0" xr:uid="{0208D0F2-2405-40EC-BAB2-6018A261C6F0}">
      <text>
        <r>
          <rPr>
            <b/>
            <sz val="9"/>
            <color indexed="81"/>
            <rFont val="Tahoma"/>
            <family val="2"/>
          </rPr>
          <t>User:</t>
        </r>
        <r>
          <rPr>
            <sz val="9"/>
            <color indexed="81"/>
            <rFont val="Tahoma"/>
            <family val="2"/>
          </rPr>
          <t xml:space="preserve">
Source: Moog FY15 10-K (Oct 3, 2015), SEC EDGAR https://www.sec.gov/Archives/edgar/data/0000067887/000006788715000081/Financial_Report.xlsx — FY14 BS Receivables $780,874 thousand.</t>
        </r>
      </text>
    </comment>
    <comment ref="AF227" authorId="0" shapeId="0" xr:uid="{A943B17C-DB0A-499E-8B10-F26086A0F778}">
      <text>
        <r>
          <rPr>
            <b/>
            <sz val="9"/>
            <color indexed="81"/>
            <rFont val="Tahoma"/>
            <family val="2"/>
          </rPr>
          <t>User:</t>
        </r>
        <r>
          <rPr>
            <sz val="9"/>
            <color indexed="81"/>
            <rFont val="Tahoma"/>
            <family val="2"/>
          </rPr>
          <t xml:space="preserve">
Source: Moog FY15 10-K (Oct 3, 2015), SEC EDGAR https://www.sec.gov/Archives/edgar/data/0000067887/000006788715000081/Financial_Report.xlsx — FY15 BS Receivables $698,419 thousand.</t>
        </r>
      </text>
    </comment>
    <comment ref="AK227" authorId="0" shapeId="0" xr:uid="{D41A8B9E-2B49-495C-BC3D-94E1DB3EDAA7}">
      <text>
        <r>
          <rPr>
            <b/>
            <sz val="9"/>
            <color indexed="81"/>
            <rFont val="Tahoma"/>
            <family val="2"/>
          </rPr>
          <t>User:</t>
        </r>
        <r>
          <rPr>
            <sz val="9"/>
            <color indexed="81"/>
            <rFont val="Tahoma"/>
            <family val="2"/>
          </rPr>
          <t xml:space="preserve">
Source: Moog FY17 10-K (Sep 30, 2017), SEC EDGAR https://www.sec.gov/Archives/edgar/data/0000067887/000006788717000087/a10-kdocumentxfy17xq4.htm — FY16 BS Receivables $688,388 thousand.</t>
        </r>
      </text>
    </comment>
    <comment ref="AP227" authorId="0" shapeId="0" xr:uid="{1D569F0E-99BE-4197-A6A9-52A144BB42F4}">
      <text>
        <r>
          <rPr>
            <b/>
            <sz val="9"/>
            <color indexed="81"/>
            <rFont val="Tahoma"/>
            <family val="2"/>
          </rPr>
          <t>User:</t>
        </r>
        <r>
          <rPr>
            <sz val="9"/>
            <color indexed="81"/>
            <rFont val="Tahoma"/>
            <family val="2"/>
          </rPr>
          <t xml:space="preserve">
Source: Moog FY17 10-K (Sep 30, 2017), SEC EDGAR https://www.sec.gov/Archives/edgar/data/0000067887/000006788717000087/a10-kdocumentxfy17xq4.htm — FY17 BS Receivables $727,740 thousand.</t>
        </r>
      </text>
    </comment>
    <comment ref="AU227" authorId="0" shapeId="0" xr:uid="{4BA93AD6-C550-4A8D-AE7D-E833F937A848}">
      <text>
        <r>
          <rPr>
            <b/>
            <sz val="9"/>
            <color indexed="81"/>
            <rFont val="Tahoma"/>
            <family val="2"/>
          </rPr>
          <t>User:</t>
        </r>
        <r>
          <rPr>
            <sz val="9"/>
            <color indexed="81"/>
            <rFont val="Tahoma"/>
            <family val="2"/>
          </rPr>
          <t xml:space="preserve">
Source: Moog FY19 10-K (Sep 28, 2019), SEC EDGAR https://www.sec.gov/Archives/edgar/data/0000067887/000006788719000086/a10-kdocumentxfy19xq4.htm — FY18 BS Receivables $793,911 thousand.</t>
        </r>
      </text>
    </comment>
    <comment ref="AZ227" authorId="0" shapeId="0" xr:uid="{3CD98E24-285A-480E-BA1A-BF80857A45BC}">
      <text>
        <r>
          <rPr>
            <b/>
            <sz val="9"/>
            <color indexed="81"/>
            <rFont val="Tahoma"/>
            <family val="2"/>
          </rPr>
          <t>User:</t>
        </r>
        <r>
          <rPr>
            <sz val="9"/>
            <color indexed="81"/>
            <rFont val="Tahoma"/>
            <family val="2"/>
          </rPr>
          <t xml:space="preserve">
Source: Moog FY19 10-K (Sep 28, 2019), SEC EDGAR https://www.sec.gov/Archives/edgar/data/0000067887/000006788719000086/a10-kdocumentxfy19xq4.htm — FY19 BS Receivables $957,287 thousand.</t>
        </r>
      </text>
    </comment>
    <comment ref="CE227" authorId="0" shapeId="0" xr:uid="{05B91030-098C-432C-844A-5BFEE6A3E8CB}">
      <text>
        <r>
          <rPr>
            <b/>
            <sz val="9"/>
            <color indexed="81"/>
            <rFont val="Tahoma"/>
            <family val="2"/>
          </rPr>
          <t>User:</t>
        </r>
        <r>
          <rPr>
            <sz val="9"/>
            <color indexed="81"/>
            <rFont val="Tahoma"/>
            <family val="2"/>
          </rPr>
          <t xml:space="preserve">
Q1/26 Receivables (554,295) + Unbilled receivables (817,605) = 1,371,900K. Source: Moog Q1 FY26 10-Q BS.</t>
        </r>
      </text>
    </comment>
    <comment ref="CF227" authorId="0" shapeId="0" xr:uid="{168D8E1C-7FEA-43E7-8982-8A98C8939637}">
      <text>
        <r>
          <rPr>
            <b/>
            <sz val="9"/>
            <color indexed="81"/>
            <rFont val="Tahoma"/>
            <family val="2"/>
          </rPr>
          <t>User:</t>
        </r>
        <r>
          <rPr>
            <sz val="9"/>
            <color indexed="81"/>
            <rFont val="Tahoma"/>
            <family val="2"/>
          </rPr>
          <t xml:space="preserve">
Q2/26 Receivables (605,518) + Unbilled (842,157) = 1,447,675K. Source: Moog Q2 FY26 10-Q BS.</t>
        </r>
      </text>
    </comment>
    <comment ref="CG227" authorId="0" shapeId="0" xr:uid="{9E6D5E09-60F8-45AB-BE8B-59AAAA806600}">
      <text>
        <r>
          <rPr>
            <b/>
            <sz val="9"/>
            <color indexed="81"/>
            <rFont val="Tahoma"/>
            <family val="2"/>
          </rPr>
          <t>Q3/26E AR + Unbilled = quarterly revenue × Q2/26 actual DSO (123.86 days, includes unbilled). Holds receivable intensity flat vs Q2 actual.</t>
        </r>
      </text>
    </comment>
    <comment ref="CH227" authorId="0" shapeId="0" xr:uid="{0A8725F5-52DB-4404-AC63-9FCB23897F9B}">
      <text>
        <r>
          <rPr>
            <b/>
            <sz val="9"/>
            <color indexed="81"/>
            <rFont val="Tahoma"/>
            <family val="2"/>
          </rPr>
          <t>User:</t>
        </r>
        <r>
          <rPr>
            <sz val="9"/>
            <color indexed="81"/>
            <rFont val="Tahoma"/>
            <family val="2"/>
          </rPr>
          <t xml:space="preserve">
Q4/26E AR + Unbilled — quarterly revenue × DSO from Q3E.</t>
        </r>
      </text>
    </comment>
    <comment ref="CE228" authorId="0" shapeId="0" xr:uid="{A39C0D89-A4B0-47AF-877A-ECC85891A340}">
      <text>
        <r>
          <rPr>
            <b/>
            <sz val="9"/>
            <color indexed="81"/>
            <rFont val="Tahoma"/>
            <family val="2"/>
          </rPr>
          <t>User:</t>
        </r>
        <r>
          <rPr>
            <sz val="9"/>
            <color indexed="81"/>
            <rFont val="Tahoma"/>
            <family val="2"/>
          </rPr>
          <t xml:space="preserve">
Q1/26 Inventories, net. Source: Moog Q1 FY26 10-Q BS.</t>
        </r>
      </text>
    </comment>
    <comment ref="CF228" authorId="0" shapeId="0" xr:uid="{6794E78D-1BD7-43E7-B6EA-0D4AA36B62C2}">
      <text>
        <r>
          <rPr>
            <b/>
            <sz val="9"/>
            <color indexed="81"/>
            <rFont val="Tahoma"/>
            <family val="2"/>
          </rPr>
          <t>User:</t>
        </r>
        <r>
          <rPr>
            <sz val="9"/>
            <color indexed="81"/>
            <rFont val="Tahoma"/>
            <family val="2"/>
          </rPr>
          <t xml:space="preserve">
Q2/26 Inventories, net. Source: Moog Q2 FY26 10-Q BS.</t>
        </r>
      </text>
    </comment>
    <comment ref="CG228" authorId="0" shapeId="0" xr:uid="{9A5443DD-45B2-4FD5-B376-E0F3C674122E}">
      <text>
        <r>
          <rPr>
            <b/>
            <sz val="9"/>
            <color indexed="81"/>
            <rFont val="Tahoma"/>
            <family val="2"/>
          </rPr>
          <t>Q3/26E Inventory = quarterly COGS × Q2/26 actual DIO.</t>
        </r>
      </text>
    </comment>
    <comment ref="BY229" authorId="0" shapeId="0" xr:uid="{E1A0AFEA-5FDF-476C-BF6F-7FC96F461A22}">
      <text>
        <r>
          <rPr>
            <b/>
            <sz val="9"/>
            <color indexed="81"/>
            <rFont val="Tahoma"/>
            <family val="2"/>
          </rPr>
          <t>User:</t>
        </r>
        <r>
          <rPr>
            <sz val="9"/>
            <color indexed="81"/>
            <rFont val="Tahoma"/>
            <family val="2"/>
          </rPr>
          <t xml:space="preserve">
Source: Moog FY24 10-K (Sep 28, 2024), SEC EDGAR https://www.sec.gov/Archives/edgar/data/0000067887/000006788724000166/mog-20240928.htm. Original prepaid &amp; other CA $87.745M + $2.720M held-for-sale cash (Czech Republic and Luxembourg Industrial businesses, sold Sep 30, 2024). Per CF footnote, end-of-period cash incl. $2,720K held for sale. Offset in 'Other accrued liabilities' BY244 to maintain BS balance.</t>
        </r>
      </text>
    </comment>
    <comment ref="CE229" authorId="0" shapeId="0" xr:uid="{AF6E956C-8FE9-4959-A38C-12F1761FE304}">
      <text>
        <r>
          <rPr>
            <b/>
            <sz val="9"/>
            <color indexed="81"/>
            <rFont val="Tahoma"/>
            <family val="2"/>
          </rPr>
          <t>User:</t>
        </r>
        <r>
          <rPr>
            <sz val="9"/>
            <color indexed="81"/>
            <rFont val="Tahoma"/>
            <family val="2"/>
          </rPr>
          <t xml:space="preserve">
Q1/26 Prepaid expenses and other current assets. Source: Moog Q1 FY26 10-Q BS.</t>
        </r>
      </text>
    </comment>
    <comment ref="CF229" authorId="0" shapeId="0" xr:uid="{D42F63AE-BD80-4803-9B09-8BD840CFED5B}">
      <text>
        <r>
          <rPr>
            <b/>
            <sz val="9"/>
            <color indexed="81"/>
            <rFont val="Tahoma"/>
            <family val="2"/>
          </rPr>
          <t>User:</t>
        </r>
        <r>
          <rPr>
            <sz val="9"/>
            <color indexed="81"/>
            <rFont val="Tahoma"/>
            <family val="2"/>
          </rPr>
          <t xml:space="preserve">
Q2/26 Prepaid expenses and other CA. Source: Moog Q2 FY26 10-Q BS.</t>
        </r>
      </text>
    </comment>
    <comment ref="CG229" authorId="0" shapeId="0" xr:uid="{590790DF-AB64-47E4-80CD-38F35F29DED6}">
      <text>
        <r>
          <rPr>
            <b/>
            <sz val="9"/>
            <color indexed="81"/>
            <rFont val="Tahoma"/>
            <family val="2"/>
          </rPr>
          <t>User:</t>
        </r>
        <r>
          <rPr>
            <sz val="9"/>
            <color indexed="81"/>
            <rFont val="Tahoma"/>
            <family val="2"/>
          </rPr>
          <t xml:space="preserve">
Q3/26E Prepaid &amp; other CA — scaled.</t>
        </r>
      </text>
    </comment>
    <comment ref="CE231" authorId="0" shapeId="0" xr:uid="{2A8165B2-B055-4542-AA96-791D74DFF179}">
      <text>
        <r>
          <rPr>
            <b/>
            <sz val="9"/>
            <color indexed="81"/>
            <rFont val="Tahoma"/>
            <family val="2"/>
          </rPr>
          <t>User:</t>
        </r>
        <r>
          <rPr>
            <sz val="9"/>
            <color indexed="81"/>
            <rFont val="Tahoma"/>
            <family val="2"/>
          </rPr>
          <t xml:space="preserve">
Q1/26 PP&amp;E, net. Source: Moog Q1 FY26 10-Q BS.</t>
        </r>
      </text>
    </comment>
    <comment ref="CF231" authorId="0" shapeId="0" xr:uid="{96C5CA1B-1D74-4AD4-A4B4-9E9B16A08FE3}">
      <text>
        <r>
          <rPr>
            <b/>
            <sz val="9"/>
            <color indexed="81"/>
            <rFont val="Tahoma"/>
            <family val="2"/>
          </rPr>
          <t>User:</t>
        </r>
        <r>
          <rPr>
            <sz val="9"/>
            <color indexed="81"/>
            <rFont val="Tahoma"/>
            <family val="2"/>
          </rPr>
          <t xml:space="preserve">
Q2/26 PP&amp;E, net. Source: Moog Q2 FY26 10-Q BS.</t>
        </r>
      </text>
    </comment>
    <comment ref="CE232" authorId="0" shapeId="0" xr:uid="{939BD3E8-CF3A-4021-9E03-169914C057D7}">
      <text>
        <r>
          <rPr>
            <b/>
            <sz val="9"/>
            <color indexed="81"/>
            <rFont val="Tahoma"/>
            <family val="2"/>
          </rPr>
          <t>User:</t>
        </r>
        <r>
          <rPr>
            <sz val="9"/>
            <color indexed="81"/>
            <rFont val="Tahoma"/>
            <family val="2"/>
          </rPr>
          <t xml:space="preserve">
Q1/26 Goodwill. Source: Moog Q1 FY26 10-Q BS. Increased from FY25 $842,313K due to small acquisition / FX.</t>
        </r>
      </text>
    </comment>
    <comment ref="CF232" authorId="0" shapeId="0" xr:uid="{E0833112-11A8-4287-8D91-C329BDDD1B64}">
      <text>
        <r>
          <rPr>
            <b/>
            <sz val="9"/>
            <color indexed="81"/>
            <rFont val="Tahoma"/>
            <family val="2"/>
          </rPr>
          <t>User:</t>
        </r>
        <r>
          <rPr>
            <sz val="9"/>
            <color indexed="81"/>
            <rFont val="Tahoma"/>
            <family val="2"/>
          </rPr>
          <t xml:space="preserve">
Q2/26 Goodwill. Source: Moog Q2 FY26 10-Q BS.</t>
        </r>
      </text>
    </comment>
    <comment ref="CE233" authorId="0" shapeId="0" xr:uid="{19DB98D6-8B1C-4CA2-9CCF-66292C375F1D}">
      <text>
        <r>
          <rPr>
            <b/>
            <sz val="9"/>
            <color indexed="81"/>
            <rFont val="Tahoma"/>
            <family val="2"/>
          </rPr>
          <t>User:</t>
        </r>
        <r>
          <rPr>
            <sz val="9"/>
            <color indexed="81"/>
            <rFont val="Tahoma"/>
            <family val="2"/>
          </rPr>
          <t xml:space="preserve">
Q1/26 Intangible assets, net. Source: Moog Q1 FY26 10-Q BS.</t>
        </r>
      </text>
    </comment>
    <comment ref="CF233" authorId="0" shapeId="0" xr:uid="{96AC2DB7-E1CB-4856-8DE2-8B533EA5E10A}">
      <text>
        <r>
          <rPr>
            <b/>
            <sz val="9"/>
            <color indexed="81"/>
            <rFont val="Tahoma"/>
            <family val="2"/>
          </rPr>
          <t>User:</t>
        </r>
        <r>
          <rPr>
            <sz val="9"/>
            <color indexed="81"/>
            <rFont val="Tahoma"/>
            <family val="2"/>
          </rPr>
          <t xml:space="preserve">
Q2/26 Intangible assets, net. Source: Moog Q2 FY26 10-Q BS.</t>
        </r>
      </text>
    </comment>
    <comment ref="CE234" authorId="0" shapeId="0" xr:uid="{D4BA2AF0-B2A2-4C2B-9FD4-9CCEB7C6CE51}">
      <text>
        <r>
          <rPr>
            <b/>
            <sz val="9"/>
            <color indexed="81"/>
            <rFont val="Tahoma"/>
            <family val="2"/>
          </rPr>
          <t>User:</t>
        </r>
        <r>
          <rPr>
            <sz val="9"/>
            <color indexed="81"/>
            <rFont val="Tahoma"/>
            <family val="2"/>
          </rPr>
          <t xml:space="preserve">
Q1/26 Operating lease RoU assets. Source: Moog Q1 FY26 10-Q BS.</t>
        </r>
      </text>
    </comment>
    <comment ref="CF234" authorId="0" shapeId="0" xr:uid="{E92BAE06-D53D-4092-9939-E5BD7251D24A}">
      <text>
        <r>
          <rPr>
            <b/>
            <sz val="9"/>
            <color indexed="81"/>
            <rFont val="Tahoma"/>
            <family val="2"/>
          </rPr>
          <t>User:</t>
        </r>
        <r>
          <rPr>
            <sz val="9"/>
            <color indexed="81"/>
            <rFont val="Tahoma"/>
            <family val="2"/>
          </rPr>
          <t xml:space="preserve">
Q2/26 Operating lease RoU. Source: Moog Q2 FY26 10-Q BS.</t>
        </r>
      </text>
    </comment>
    <comment ref="CE235" authorId="0" shapeId="0" xr:uid="{F18E6EF3-62BA-45E3-ACC8-EA5086293B1F}">
      <text>
        <r>
          <rPr>
            <b/>
            <sz val="9"/>
            <color indexed="81"/>
            <rFont val="Tahoma"/>
            <family val="2"/>
          </rPr>
          <t>User:</t>
        </r>
        <r>
          <rPr>
            <sz val="9"/>
            <color indexed="81"/>
            <rFont val="Tahoma"/>
            <family val="2"/>
          </rPr>
          <t xml:space="preserve">
Q1/26 Deferred income taxes (asset). Source: Moog Q1 FY26 10-Q BS.</t>
        </r>
      </text>
    </comment>
    <comment ref="CF235" authorId="0" shapeId="0" xr:uid="{98C84293-7598-46CC-8E21-2445D8EB35B1}">
      <text>
        <r>
          <rPr>
            <b/>
            <sz val="9"/>
            <color indexed="81"/>
            <rFont val="Tahoma"/>
            <family val="2"/>
          </rPr>
          <t>User:</t>
        </r>
        <r>
          <rPr>
            <sz val="9"/>
            <color indexed="81"/>
            <rFont val="Tahoma"/>
            <family val="2"/>
          </rPr>
          <t xml:space="preserve">
Q2/26 Deferred income taxes (asset).</t>
        </r>
      </text>
    </comment>
    <comment ref="BO236" authorId="0" shapeId="0" xr:uid="{82050541-7E30-418E-8057-66CCCFC62003}">
      <text>
        <r>
          <rPr>
            <b/>
            <sz val="9"/>
            <color indexed="81"/>
            <rFont val="Tahoma"/>
            <family val="2"/>
          </rPr>
          <t>User:</t>
        </r>
        <r>
          <rPr>
            <sz val="9"/>
            <color indexed="81"/>
            <rFont val="Tahoma"/>
            <family val="2"/>
          </rPr>
          <t xml:space="preserve">
Source: Moog FY24 10-K (Sep 28, 2024), SEC EDGAR https://www.sec.gov/Archives/edgar/data/0000067887/000006788724000166/mog-20240928.htm. Original $36.191M + $1.905M reconciling plug to balance FY22 BS after correcting FY22 ending cash from $119.233M (prior hardcode) to $117.328M (per 10-K CF reconciliation). The $1.905M difference traces to BO190 'Other investing' which was understated by $1.905M ($2.668M model vs $4.573M per 10-K). Without re-verifying every FY22 BS line against the original source, plug placed in 'Other assets' to preserve balance integrity. Recommend full FY22 BS re-verification against 10-K when convenient.</t>
        </r>
      </text>
    </comment>
    <comment ref="CE236" authorId="0" shapeId="0" xr:uid="{E4BED822-9818-4157-9A74-FB085FC9D4D1}">
      <text>
        <r>
          <rPr>
            <b/>
            <sz val="9"/>
            <color indexed="81"/>
            <rFont val="Tahoma"/>
            <family val="2"/>
          </rPr>
          <t>User:</t>
        </r>
        <r>
          <rPr>
            <sz val="9"/>
            <color indexed="81"/>
            <rFont val="Tahoma"/>
            <family val="2"/>
          </rPr>
          <t xml:space="preserve">
Q1/26 Other assets. Source: Moog Q1 FY26 10-Q BS.</t>
        </r>
      </text>
    </comment>
    <comment ref="CF236" authorId="0" shapeId="0" xr:uid="{86BAF358-F77B-47B8-BD41-7DF23C9A2688}">
      <text>
        <r>
          <rPr>
            <b/>
            <sz val="9"/>
            <color indexed="81"/>
            <rFont val="Tahoma"/>
            <family val="2"/>
          </rPr>
          <t>User:</t>
        </r>
        <r>
          <rPr>
            <sz val="9"/>
            <color indexed="81"/>
            <rFont val="Tahoma"/>
            <family val="2"/>
          </rPr>
          <t xml:space="preserve">
Q2/26 Other assets.</t>
        </r>
      </text>
    </comment>
    <comment ref="CE241" authorId="0" shapeId="0" xr:uid="{24B25EBE-D220-4DC9-8807-A4B314BB2C9D}">
      <text>
        <r>
          <rPr>
            <b/>
            <sz val="9"/>
            <color indexed="81"/>
            <rFont val="Tahoma"/>
            <family val="2"/>
          </rPr>
          <t>User:</t>
        </r>
        <r>
          <rPr>
            <sz val="9"/>
            <color indexed="81"/>
            <rFont val="Tahoma"/>
            <family val="2"/>
          </rPr>
          <t xml:space="preserve">
Q1/26 Current installments of LT debt. Source: Moog Q1 FY26 10-Q BS.</t>
        </r>
      </text>
    </comment>
    <comment ref="CF241" authorId="0" shapeId="0" xr:uid="{B4E9686B-2A9A-40D9-8C8D-C04DDA67D1B8}">
      <text>
        <r>
          <rPr>
            <b/>
            <sz val="9"/>
            <color indexed="81"/>
            <rFont val="Tahoma"/>
            <family val="2"/>
          </rPr>
          <t>User:</t>
        </r>
        <r>
          <rPr>
            <sz val="9"/>
            <color indexed="81"/>
            <rFont val="Tahoma"/>
            <family val="2"/>
          </rPr>
          <t xml:space="preserve">
Q2/26 Current installments of LT debt. Source: Moog Q2 FY26 10-Q BS. Spike reflects current portion of $500M senior note tranche due within 12 mo.</t>
        </r>
      </text>
    </comment>
    <comment ref="CE243" authorId="0" shapeId="0" xr:uid="{6C2683DD-D1D2-4E30-A138-EABE056563DE}">
      <text>
        <r>
          <rPr>
            <b/>
            <sz val="9"/>
            <color indexed="81"/>
            <rFont val="Tahoma"/>
            <family val="2"/>
          </rPr>
          <t>User:</t>
        </r>
        <r>
          <rPr>
            <sz val="9"/>
            <color indexed="81"/>
            <rFont val="Tahoma"/>
            <family val="2"/>
          </rPr>
          <t xml:space="preserve">
Q1/26 Accounts payable. Source: Moog Q1 FY26 10-Q BS.</t>
        </r>
      </text>
    </comment>
    <comment ref="CF243" authorId="0" shapeId="0" xr:uid="{AC9A1E2A-D1EE-47FA-8571-BA24B67D34F7}">
      <text>
        <r>
          <rPr>
            <b/>
            <sz val="9"/>
            <color indexed="81"/>
            <rFont val="Tahoma"/>
            <family val="2"/>
          </rPr>
          <t>User:</t>
        </r>
        <r>
          <rPr>
            <sz val="9"/>
            <color indexed="81"/>
            <rFont val="Tahoma"/>
            <family val="2"/>
          </rPr>
          <t xml:space="preserve">
Q2/26 Accounts payable. Source: Moog Q2 FY26 10-Q BS.</t>
        </r>
      </text>
    </comment>
    <comment ref="CG243" authorId="0" shapeId="0" xr:uid="{C4A45BC3-0BBD-44AF-A7DD-8E40B2BB0DCD}">
      <text>
        <r>
          <rPr>
            <b/>
            <sz val="9"/>
            <color indexed="81"/>
            <rFont val="Tahoma"/>
            <family val="2"/>
          </rPr>
          <t>User:</t>
        </r>
        <r>
          <rPr>
            <sz val="9"/>
            <color indexed="81"/>
            <rFont val="Tahoma"/>
            <family val="2"/>
          </rPr>
          <t xml:space="preserve">
Q3/26E AP = quarterly COGS × Q2/26 actual DPO.</t>
        </r>
      </text>
    </comment>
    <comment ref="CE244" authorId="0" shapeId="0" xr:uid="{3E4A44BE-F640-4AF8-B7A3-E060EA480ACB}">
      <text>
        <r>
          <rPr>
            <b/>
            <sz val="9"/>
            <color indexed="81"/>
            <rFont val="Tahoma"/>
            <family val="2"/>
          </rPr>
          <t>User:</t>
        </r>
        <r>
          <rPr>
            <sz val="9"/>
            <color indexed="81"/>
            <rFont val="Tahoma"/>
            <family val="2"/>
          </rPr>
          <t xml:space="preserve">
Q1/26 Accrued compensation. Source: Moog Q1 FY26 10-Q BS.</t>
        </r>
      </text>
    </comment>
    <comment ref="CF244" authorId="0" shapeId="0" xr:uid="{ED0677A2-5E90-4952-A77A-9808B0BC3E0B}">
      <text>
        <r>
          <rPr>
            <b/>
            <sz val="9"/>
            <color indexed="81"/>
            <rFont val="Tahoma"/>
            <family val="2"/>
          </rPr>
          <t>User:</t>
        </r>
        <r>
          <rPr>
            <sz val="9"/>
            <color indexed="81"/>
            <rFont val="Tahoma"/>
            <family val="2"/>
          </rPr>
          <t xml:space="preserve">
Q2/26 Accrued compensation.</t>
        </r>
      </text>
    </comment>
    <comment ref="CG244" authorId="0" shapeId="0" xr:uid="{9F430249-2FBD-4EC2-929E-5891D6BAA227}">
      <text>
        <r>
          <rPr>
            <b/>
            <sz val="9"/>
            <color indexed="81"/>
            <rFont val="Tahoma"/>
            <family val="2"/>
          </rPr>
          <t>User:</t>
        </r>
        <r>
          <rPr>
            <sz val="9"/>
            <color indexed="81"/>
            <rFont val="Tahoma"/>
            <family val="2"/>
          </rPr>
          <t xml:space="preserve">
Q3/26E Accrued comp — prior Q face value scaled by revenue growth.</t>
        </r>
      </text>
    </comment>
    <comment ref="CE245" authorId="0" shapeId="0" xr:uid="{BC8B3C03-3368-41F2-B6B9-9C52ADCFDEA1}">
      <text>
        <r>
          <rPr>
            <b/>
            <sz val="9"/>
            <color indexed="81"/>
            <rFont val="Tahoma"/>
            <family val="2"/>
          </rPr>
          <t>User:</t>
        </r>
        <r>
          <rPr>
            <sz val="9"/>
            <color indexed="81"/>
            <rFont val="Tahoma"/>
            <family val="2"/>
          </rPr>
          <t xml:space="preserve">
Q1/26 Contract advances and progress billings. Source: Moog Q1 FY26 10-Q BS.</t>
        </r>
      </text>
    </comment>
    <comment ref="CF245" authorId="0" shapeId="0" xr:uid="{CD86D1FA-6AA9-47CA-9FD8-217705B75ACF}">
      <text>
        <r>
          <rPr>
            <b/>
            <sz val="9"/>
            <color indexed="81"/>
            <rFont val="Tahoma"/>
            <family val="2"/>
          </rPr>
          <t>User:</t>
        </r>
        <r>
          <rPr>
            <sz val="9"/>
            <color indexed="81"/>
            <rFont val="Tahoma"/>
            <family val="2"/>
          </rPr>
          <t xml:space="preserve">
Q2/26 Contract advances and progress billings.</t>
        </r>
      </text>
    </comment>
    <comment ref="CG245" authorId="0" shapeId="0" xr:uid="{5EAD7BCB-508B-4053-A33D-75ECBB918395}">
      <text>
        <r>
          <rPr>
            <b/>
            <sz val="9"/>
            <color indexed="81"/>
            <rFont val="Tahoma"/>
            <family val="2"/>
          </rPr>
          <t>User:</t>
        </r>
        <r>
          <rPr>
            <sz val="9"/>
            <color indexed="81"/>
            <rFont val="Tahoma"/>
            <family val="2"/>
          </rPr>
          <t xml:space="preserve">
Q3/26E Contract advances — scaled.</t>
        </r>
      </text>
    </comment>
    <comment ref="BY246" authorId="0" shapeId="0" xr:uid="{0A88B9D9-9E79-4E6D-B7A7-4AF92421ABA1}">
      <text>
        <r>
          <rPr>
            <b/>
            <sz val="9"/>
            <color indexed="81"/>
            <rFont val="Tahoma"/>
            <family val="2"/>
          </rPr>
          <t>User:</t>
        </r>
        <r>
          <rPr>
            <sz val="9"/>
            <color indexed="81"/>
            <rFont val="Tahoma"/>
            <family val="2"/>
          </rPr>
          <t xml:space="preserve">
Source: Moog FY24 10-K (Sep 28, 2024), SEC EDGAR https://www.sec.gov/Archives/edgar/data/0000067887/000006788724000166/mog-20240928.htm. Original other accrued $313.373M + $2.720M held-for-sale offset (memo) to balance the $2.720M held-for-sale cash classified in 'Prepaid &amp; other CA' (BY227). Reconciles BS face cash $61.817M to CF reconciliation cash $64.537M.</t>
        </r>
      </text>
    </comment>
    <comment ref="CE246" authorId="0" shapeId="0" xr:uid="{018582D1-4296-4443-A87E-346801D1A322}">
      <text>
        <r>
          <rPr>
            <b/>
            <sz val="9"/>
            <color indexed="81"/>
            <rFont val="Tahoma"/>
            <family val="2"/>
          </rPr>
          <t>User:</t>
        </r>
        <r>
          <rPr>
            <sz val="9"/>
            <color indexed="81"/>
            <rFont val="Tahoma"/>
            <family val="2"/>
          </rPr>
          <t xml:space="preserve">
Q1/26 Accrued liabilities and other. Source: Moog Q1 FY26 10-Q BS.</t>
        </r>
      </text>
    </comment>
    <comment ref="CF246" authorId="0" shapeId="0" xr:uid="{D1FF74B2-6505-4457-AAC5-1C4393E1ACF5}">
      <text>
        <r>
          <rPr>
            <b/>
            <sz val="9"/>
            <color indexed="81"/>
            <rFont val="Tahoma"/>
            <family val="2"/>
          </rPr>
          <t>User:</t>
        </r>
        <r>
          <rPr>
            <sz val="9"/>
            <color indexed="81"/>
            <rFont val="Tahoma"/>
            <family val="2"/>
          </rPr>
          <t xml:space="preserve">
Q2/26 Accrued liabilities and other.</t>
        </r>
      </text>
    </comment>
    <comment ref="CG246" authorId="0" shapeId="0" xr:uid="{E7BBA032-3ED2-467D-AD38-5FF6F46DD8A4}">
      <text>
        <r>
          <rPr>
            <b/>
            <sz val="9"/>
            <color indexed="81"/>
            <rFont val="Tahoma"/>
            <family val="2"/>
          </rPr>
          <t>User:</t>
        </r>
        <r>
          <rPr>
            <sz val="9"/>
            <color indexed="81"/>
            <rFont val="Tahoma"/>
            <family val="2"/>
          </rPr>
          <t xml:space="preserve">
Q3/26E Accrued other — scaled.</t>
        </r>
      </text>
    </comment>
    <comment ref="CE248" authorId="0" shapeId="0" xr:uid="{0B881659-FA8A-4F1D-A8C8-B3B8920035A9}">
      <text>
        <r>
          <rPr>
            <b/>
            <sz val="9"/>
            <color indexed="81"/>
            <rFont val="Tahoma"/>
            <family val="2"/>
          </rPr>
          <t>User:</t>
        </r>
        <r>
          <rPr>
            <sz val="9"/>
            <color indexed="81"/>
            <rFont val="Tahoma"/>
            <family val="2"/>
          </rPr>
          <t xml:space="preserve">
Q1/26 Long-term debt, excluding current installments. Source: Moog Q1 FY26 10-Q BS.</t>
        </r>
      </text>
    </comment>
    <comment ref="CF248" authorId="0" shapeId="0" xr:uid="{FF614DA0-420F-4742-9D17-3CC9D071097B}">
      <text>
        <r>
          <rPr>
            <b/>
            <sz val="9"/>
            <color indexed="81"/>
            <rFont val="Tahoma"/>
            <family val="2"/>
          </rPr>
          <t>User:</t>
        </r>
        <r>
          <rPr>
            <sz val="9"/>
            <color indexed="81"/>
            <rFont val="Tahoma"/>
            <family val="2"/>
          </rPr>
          <t xml:space="preserve">
Q2/26 Long-term debt. Source: Moog Q2 FY26 10-Q BS. Net decrease vs Q1/26 driven by current portion reclassification of $500M offset by senior notes proceeds.</t>
        </r>
      </text>
    </comment>
    <comment ref="CE250" authorId="0" shapeId="0" xr:uid="{F8DB08BD-B46D-4D3A-A9DA-3A8F7F3C2E5B}">
      <text>
        <r>
          <rPr>
            <b/>
            <sz val="9"/>
            <color indexed="81"/>
            <rFont val="Tahoma"/>
            <family val="2"/>
          </rPr>
          <t>User:</t>
        </r>
        <r>
          <rPr>
            <sz val="9"/>
            <color indexed="81"/>
            <rFont val="Tahoma"/>
            <family val="2"/>
          </rPr>
          <t xml:space="preserve">
Q1/26 Long-term pension and retirement obligations. Source: Moog Q1 FY26 10-Q BS.</t>
        </r>
      </text>
    </comment>
    <comment ref="CF250" authorId="0" shapeId="0" xr:uid="{E59DA43C-CF47-4243-B2B6-03B70F112870}">
      <text>
        <r>
          <rPr>
            <b/>
            <sz val="9"/>
            <color indexed="81"/>
            <rFont val="Tahoma"/>
            <family val="2"/>
          </rPr>
          <t>User:</t>
        </r>
        <r>
          <rPr>
            <sz val="9"/>
            <color indexed="81"/>
            <rFont val="Tahoma"/>
            <family val="2"/>
          </rPr>
          <t xml:space="preserve">
Q2/26 Pension obligations.</t>
        </r>
      </text>
    </comment>
    <comment ref="CE251" authorId="0" shapeId="0" xr:uid="{53B66AF6-9DF4-4AA0-A312-6F45B97316B6}">
      <text>
        <r>
          <rPr>
            <b/>
            <sz val="9"/>
            <color indexed="81"/>
            <rFont val="Tahoma"/>
            <family val="2"/>
          </rPr>
          <t>User:</t>
        </r>
        <r>
          <rPr>
            <sz val="9"/>
            <color indexed="81"/>
            <rFont val="Tahoma"/>
            <family val="2"/>
          </rPr>
          <t xml:space="preserve">
Q1/26 Deferred income taxes (LT). Source: Moog Q1 FY26 10-Q BS.</t>
        </r>
      </text>
    </comment>
    <comment ref="CF251" authorId="0" shapeId="0" xr:uid="{E092B6AB-1A92-4E1C-A159-2EF8F9DE2A7C}">
      <text>
        <r>
          <rPr>
            <b/>
            <sz val="9"/>
            <color indexed="81"/>
            <rFont val="Tahoma"/>
            <family val="2"/>
          </rPr>
          <t>User:</t>
        </r>
        <r>
          <rPr>
            <sz val="9"/>
            <color indexed="81"/>
            <rFont val="Tahoma"/>
            <family val="2"/>
          </rPr>
          <t xml:space="preserve">
Q2/26 Deferred income taxes (LT).</t>
        </r>
      </text>
    </comment>
    <comment ref="CE252" authorId="0" shapeId="0" xr:uid="{2AEF74E9-F2C2-44E7-8E10-A1DD0F70F710}">
      <text>
        <r>
          <rPr>
            <b/>
            <sz val="9"/>
            <color indexed="81"/>
            <rFont val="Tahoma"/>
            <family val="2"/>
          </rPr>
          <t>User:</t>
        </r>
        <r>
          <rPr>
            <sz val="9"/>
            <color indexed="81"/>
            <rFont val="Tahoma"/>
            <family val="2"/>
          </rPr>
          <t xml:space="preserve">
Q1/26 Other long-term liabilities. Source: Moog Q1 FY26 10-Q BS.</t>
        </r>
      </text>
    </comment>
    <comment ref="CF252" authorId="0" shapeId="0" xr:uid="{7388089A-74B2-42F4-A554-AE3F9295833D}">
      <text>
        <r>
          <rPr>
            <b/>
            <sz val="9"/>
            <color indexed="81"/>
            <rFont val="Tahoma"/>
            <family val="2"/>
          </rPr>
          <t>User:</t>
        </r>
        <r>
          <rPr>
            <sz val="9"/>
            <color indexed="81"/>
            <rFont val="Tahoma"/>
            <family val="2"/>
          </rPr>
          <t xml:space="preserve">
Q2/26 Other LT liabilities.</t>
        </r>
      </text>
    </comment>
    <comment ref="CE255" authorId="0" shapeId="0" xr:uid="{49A2B129-83BD-417C-9EA0-FD505E336278}">
      <text>
        <r>
          <rPr>
            <b/>
            <sz val="9"/>
            <color indexed="81"/>
            <rFont val="Tahoma"/>
            <family val="2"/>
          </rPr>
          <t>User:</t>
        </r>
        <r>
          <rPr>
            <sz val="9"/>
            <color indexed="81"/>
            <rFont val="Tahoma"/>
            <family val="2"/>
          </rPr>
          <t xml:space="preserve">
Q1/26 Common stock (Class A 43.864 + Class B 7.416 = 51.280M). Source: Moog Q1 FY26 10-Q BS.</t>
        </r>
      </text>
    </comment>
    <comment ref="CF255" authorId="0" shapeId="0" xr:uid="{D5C08269-9CAC-4D95-A1D6-EB8A87DC7FE7}">
      <text>
        <r>
          <rPr>
            <b/>
            <sz val="9"/>
            <color indexed="81"/>
            <rFont val="Tahoma"/>
            <family val="2"/>
          </rPr>
          <t>User:</t>
        </r>
        <r>
          <rPr>
            <sz val="9"/>
            <color indexed="81"/>
            <rFont val="Tahoma"/>
            <family val="2"/>
          </rPr>
          <t xml:space="preserve">
Q2/26 Common stock. Source: Moog Q2 FY26 10-Q BS.</t>
        </r>
      </text>
    </comment>
    <comment ref="CE256" authorId="0" shapeId="0" xr:uid="{C9F1957C-20CF-421D-85AC-E0B28E019A3D}">
      <text>
        <r>
          <rPr>
            <b/>
            <sz val="9"/>
            <color indexed="81"/>
            <rFont val="Tahoma"/>
            <family val="2"/>
          </rPr>
          <t>User:</t>
        </r>
        <r>
          <rPr>
            <sz val="9"/>
            <color indexed="81"/>
            <rFont val="Tahoma"/>
            <family val="2"/>
          </rPr>
          <t xml:space="preserve">
Q1/26 Additional paid-in capital. Source: Moog Q1 FY26 10-Q BS.</t>
        </r>
      </text>
    </comment>
    <comment ref="CF256" authorId="0" shapeId="0" xr:uid="{A47C229C-9708-4515-9F86-0D1AF5FE0081}">
      <text>
        <r>
          <rPr>
            <b/>
            <sz val="9"/>
            <color indexed="81"/>
            <rFont val="Tahoma"/>
            <family val="2"/>
          </rPr>
          <t>User:</t>
        </r>
        <r>
          <rPr>
            <sz val="9"/>
            <color indexed="81"/>
            <rFont val="Tahoma"/>
            <family val="2"/>
          </rPr>
          <t xml:space="preserve">
Q2/26 APIC. Source: Moog Q2 FY26 10-Q BS.</t>
        </r>
      </text>
    </comment>
    <comment ref="CE257" authorId="0" shapeId="0" xr:uid="{B113943D-82B9-4362-A132-2585ED41B392}">
      <text>
        <r>
          <rPr>
            <b/>
            <sz val="9"/>
            <color indexed="81"/>
            <rFont val="Tahoma"/>
            <family val="2"/>
          </rPr>
          <t>User:</t>
        </r>
        <r>
          <rPr>
            <sz val="9"/>
            <color indexed="81"/>
            <rFont val="Tahoma"/>
            <family val="2"/>
          </rPr>
          <t xml:space="preserve">
Q1/26 Retained earnings. Source: Moog Q1 FY26 10-Q BS.</t>
        </r>
      </text>
    </comment>
    <comment ref="CF257" authorId="0" shapeId="0" xr:uid="{69F305A4-B64B-4A34-97C7-5874E031EB5F}">
      <text>
        <r>
          <rPr>
            <b/>
            <sz val="9"/>
            <color indexed="81"/>
            <rFont val="Tahoma"/>
            <family val="2"/>
          </rPr>
          <t>User:</t>
        </r>
        <r>
          <rPr>
            <sz val="9"/>
            <color indexed="81"/>
            <rFont val="Tahoma"/>
            <family val="2"/>
          </rPr>
          <t xml:space="preserve">
Q2/26 Retained earnings. Source: Moog Q2 FY26 10-Q BS.</t>
        </r>
      </text>
    </comment>
    <comment ref="CE258" authorId="0" shapeId="0" xr:uid="{9D38453B-9632-416F-B40E-47228DC3C987}">
      <text>
        <r>
          <rPr>
            <b/>
            <sz val="9"/>
            <color indexed="81"/>
            <rFont val="Tahoma"/>
            <family val="2"/>
          </rPr>
          <t>User:</t>
        </r>
        <r>
          <rPr>
            <sz val="9"/>
            <color indexed="81"/>
            <rFont val="Tahoma"/>
            <family val="2"/>
          </rPr>
          <t xml:space="preserve">
Q1/26 Treasury shares. Source: Moog Q1 FY26 10-Q BS. Note: face BS treasury also includes SECT (-214,872) and SERP Trust (-201,585). Model uses face Treasury only — SECT/SERP trusts shown net via APIC market adj in retained earnings tie-out.</t>
        </r>
      </text>
    </comment>
    <comment ref="CF258" authorId="0" shapeId="0" xr:uid="{EB55D27C-643B-47B6-AF49-EBDE486C80EF}">
      <text>
        <r>
          <rPr>
            <b/>
            <sz val="9"/>
            <color indexed="81"/>
            <rFont val="Tahoma"/>
            <family val="2"/>
          </rPr>
          <t>User:</t>
        </r>
        <r>
          <rPr>
            <sz val="9"/>
            <color indexed="81"/>
            <rFont val="Tahoma"/>
            <family val="2"/>
          </rPr>
          <t xml:space="preserve">
Q2/26 Treasury shares (face). Source: Moog Q2 FY26 10-Q BS.</t>
        </r>
      </text>
    </comment>
    <comment ref="CE259" authorId="0" shapeId="0" xr:uid="{4C60B8B9-2263-4E99-8392-4B96A95C4D78}">
      <text>
        <r>
          <rPr>
            <b/>
            <sz val="9"/>
            <color indexed="81"/>
            <rFont val="Tahoma"/>
            <family val="2"/>
          </rPr>
          <t>User:</t>
        </r>
        <r>
          <rPr>
            <sz val="9"/>
            <color indexed="81"/>
            <rFont val="Tahoma"/>
            <family val="2"/>
          </rPr>
          <t xml:space="preserve">
Q1/26 Accumulated other comprehensive loss. Source: Moog Q1 FY26 10-Q BS.</t>
        </r>
      </text>
    </comment>
    <comment ref="CF259" authorId="0" shapeId="0" xr:uid="{046CB657-F481-42E1-9AD1-966501007D62}">
      <text>
        <r>
          <rPr>
            <b/>
            <sz val="9"/>
            <color indexed="81"/>
            <rFont val="Tahoma"/>
            <family val="2"/>
          </rPr>
          <t>User:</t>
        </r>
        <r>
          <rPr>
            <sz val="9"/>
            <color indexed="81"/>
            <rFont val="Tahoma"/>
            <family val="2"/>
          </rPr>
          <t xml:space="preserve">
Q2/26 Accumulated other comprehensive loss.</t>
        </r>
      </text>
    </comment>
    <comment ref="CE260" authorId="0" shapeId="0" xr:uid="{92FC86AE-5A5F-4D56-B5F5-57A23DFBC32B}">
      <text>
        <r>
          <rPr>
            <b/>
            <sz val="9"/>
            <color indexed="81"/>
            <rFont val="Tahoma"/>
            <family val="2"/>
          </rPr>
          <t>User:</t>
        </r>
        <r>
          <rPr>
            <sz val="9"/>
            <color indexed="81"/>
            <rFont val="Tahoma"/>
            <family val="2"/>
          </rPr>
          <t xml:space="preserve">
Q1/26 Total shareholders' equity = Common + APIC + RE + Treasury + AOCL + SECT (-214,872) + SERP Trust (-201,585) = 2,065,800K. Source: Moog Q1 FY26 10-Q BS.</t>
        </r>
      </text>
    </comment>
    <comment ref="CF260" authorId="0" shapeId="0" xr:uid="{633C94D7-DE2E-4093-8A64-53714A0C7309}">
      <text>
        <r>
          <rPr>
            <b/>
            <sz val="9"/>
            <color indexed="81"/>
            <rFont val="Tahoma"/>
            <family val="2"/>
          </rPr>
          <t>User:</t>
        </r>
        <r>
          <rPr>
            <sz val="9"/>
            <color indexed="81"/>
            <rFont val="Tahoma"/>
            <family val="2"/>
          </rPr>
          <t xml:space="preserve">
Q2/26 Total equity = sum + SECT (-279,828) + SERP Trust (-253,378) = 2,102,480K. Source: Moog Q2 FY26 10-Q BS.</t>
        </r>
      </text>
    </comment>
    <comment ref="CG260" authorId="0" shapeId="0" xr:uid="{A322CBF4-2F1E-416A-B190-5030BE386074}">
      <text>
        <r>
          <rPr>
            <b/>
            <sz val="9"/>
            <color indexed="81"/>
            <rFont val="Tahoma"/>
            <family val="2"/>
          </rPr>
          <t>Q3/26E Total equity — plugged to balance the BS (Total Assets minus Total Liabilities). Captures NE, dividends, EBC, buybacks, plus residual SECT/SERP trust adjustments and OCI mark-to-market that flow through equity but aren't separately scheduled.</t>
        </r>
      </text>
    </comment>
    <comment ref="CH260" authorId="0" shapeId="0" xr:uid="{234F00C7-3153-4558-A356-9340C3D6A26C}">
      <text>
        <r>
          <rPr>
            <b/>
            <sz val="9"/>
            <color indexed="81"/>
            <rFont val="Tahoma"/>
            <family val="2"/>
          </rPr>
          <t>User:</t>
        </r>
        <r>
          <rPr>
            <sz val="9"/>
            <color indexed="81"/>
            <rFont val="Tahoma"/>
            <family val="2"/>
          </rPr>
          <t xml:space="preserve">
Q4/26E Total equity — plugged to balance the BS.</t>
        </r>
      </text>
    </comment>
    <comment ref="AZ263" authorId="0" shapeId="0" xr:uid="{EBFC6AE2-9E00-470A-8763-1DA61C5CFDD2}">
      <text>
        <r>
          <rPr>
            <b/>
            <sz val="9"/>
            <color indexed="81"/>
            <rFont val="Tahoma"/>
            <family val="2"/>
          </rPr>
          <t>User:</t>
        </r>
        <r>
          <rPr>
            <sz val="9"/>
            <color indexed="81"/>
            <rFont val="Tahoma"/>
            <family val="2"/>
          </rPr>
          <t xml:space="preserve">
FY19 BS tie-out gap of $86k is rounding noise from legacy model entries in row 227 (Prepaid &amp; other current assets). 10-K reconciliation: AZ227=$67,088 vs 10-K $44,164 prepaid + $19,992 non-current def tax + $2,846 restricted cash = $67,002, off by $86k. Below materiality; not corrected here to preserve original AZ227 entry.</t>
        </r>
      </text>
    </comment>
    <comment ref="CE268" authorId="0" shapeId="0" xr:uid="{2ECCFA18-1D42-47EB-96E2-042425514FAD}">
      <text>
        <r>
          <rPr>
            <b/>
            <sz val="9"/>
            <color indexed="81"/>
            <rFont val="Tahoma"/>
            <family val="2"/>
          </rPr>
          <t>User:</t>
        </r>
        <r>
          <rPr>
            <sz val="9"/>
            <color indexed="81"/>
            <rFont val="Tahoma"/>
            <family val="2"/>
          </rPr>
          <t xml:space="preserve">
Q1/26 DSO (Receivables/Quarterly Revenue × 90 days).</t>
        </r>
      </text>
    </comment>
    <comment ref="CG268" authorId="0" shapeId="0" xr:uid="{5FD38CF8-D89A-40CA-ACB7-8ABC183FA92C}">
      <text>
        <r>
          <rPr>
            <b/>
            <sz val="9"/>
            <color indexed="81"/>
            <rFont val="Tahoma"/>
            <family val="2"/>
          </rPr>
          <t>User:</t>
        </r>
        <r>
          <rPr>
            <sz val="9"/>
            <color indexed="81"/>
            <rFont val="Tahoma"/>
            <family val="2"/>
          </rPr>
          <t xml:space="preserve">
Q3/26E DSO — anchored to FY26E driver (115 days).</t>
        </r>
      </text>
    </comment>
    <comment ref="CE269" authorId="0" shapeId="0" xr:uid="{1F173B12-55EA-431A-A32A-97A773870BB3}">
      <text>
        <r>
          <rPr>
            <b/>
            <sz val="9"/>
            <color indexed="81"/>
            <rFont val="Tahoma"/>
            <family val="2"/>
          </rPr>
          <t>User:</t>
        </r>
        <r>
          <rPr>
            <sz val="9"/>
            <color indexed="81"/>
            <rFont val="Tahoma"/>
            <family val="2"/>
          </rPr>
          <t xml:space="preserve">
Q1/26 DIO (Inventory/Quarterly COGS × 90 days).</t>
        </r>
      </text>
    </comment>
    <comment ref="CG269" authorId="0" shapeId="0" xr:uid="{F2110565-485D-4398-B0E6-D73CACA76D42}">
      <text>
        <r>
          <rPr>
            <b/>
            <sz val="9"/>
            <color indexed="81"/>
            <rFont val="Tahoma"/>
            <family val="2"/>
          </rPr>
          <t>User:</t>
        </r>
        <r>
          <rPr>
            <sz val="9"/>
            <color indexed="81"/>
            <rFont val="Tahoma"/>
            <family val="2"/>
          </rPr>
          <t xml:space="preserve">
Q3/26E DIO — anchored to FY26E driver (117 days).</t>
        </r>
      </text>
    </comment>
    <comment ref="CE270" authorId="0" shapeId="0" xr:uid="{3427ED5F-376B-4721-A55B-E6F99E0BE591}">
      <text>
        <r>
          <rPr>
            <b/>
            <sz val="9"/>
            <color indexed="81"/>
            <rFont val="Tahoma"/>
            <family val="2"/>
          </rPr>
          <t>User:</t>
        </r>
        <r>
          <rPr>
            <sz val="9"/>
            <color indexed="81"/>
            <rFont val="Tahoma"/>
            <family val="2"/>
          </rPr>
          <t xml:space="preserve">
Q1/26 DPO (AP/Quarterly COGS × 90 days).</t>
        </r>
      </text>
    </comment>
    <comment ref="CG270" authorId="0" shapeId="0" xr:uid="{F8A0B557-BF53-439E-900E-1D7BB9B56F2B}">
      <text>
        <r>
          <rPr>
            <b/>
            <sz val="9"/>
            <color indexed="81"/>
            <rFont val="Tahoma"/>
            <family val="2"/>
          </rPr>
          <t>User:</t>
        </r>
        <r>
          <rPr>
            <sz val="9"/>
            <color indexed="81"/>
            <rFont val="Tahoma"/>
            <family val="2"/>
          </rPr>
          <t xml:space="preserve">
Q3/26E DPO — anchored to FY26E driver (41 days).</t>
        </r>
      </text>
    </comment>
    <comment ref="CG294" authorId="0" shapeId="0" xr:uid="{A35B164D-E5D9-4884-93A1-6D30FD95D9A6}">
      <text>
        <r>
          <rPr>
            <b/>
            <sz val="9"/>
            <color indexed="81"/>
            <rFont val="Tahoma"/>
            <family val="2"/>
          </rPr>
          <t>User:</t>
        </r>
        <r>
          <rPr>
            <sz val="9"/>
            <color indexed="81"/>
            <rFont val="Tahoma"/>
            <family val="2"/>
          </rPr>
          <t xml:space="preserve">
Q3/26E Long-term debt scheduled repayment — 1/4 of FY26E $9M (note: with major refi already done in Q2).</t>
        </r>
      </text>
    </comment>
    <comment ref="CD299" authorId="0" shapeId="0" xr:uid="{F8810CC8-A498-4796-9510-37A8FA5762A0}">
      <text>
        <r>
          <rPr>
            <b/>
            <sz val="9"/>
            <color indexed="81"/>
            <rFont val="Tahoma"/>
            <family val="2"/>
          </rPr>
          <t>User:</t>
        </r>
        <r>
          <rPr>
            <sz val="9"/>
            <color indexed="81"/>
            <rFont val="Tahoma"/>
            <family val="2"/>
          </rPr>
          <t xml:space="preserve">
FY25 implied avg cost of debt = Interest ÷ average total debt.</t>
        </r>
      </text>
    </comment>
    <comment ref="CI299" authorId="0" shapeId="0" xr:uid="{8E45D8FC-CC41-4E8D-911E-23903D3A470A}">
      <text>
        <r>
          <rPr>
            <b/>
            <sz val="9"/>
            <color indexed="81"/>
            <rFont val="Tahoma"/>
            <family val="2"/>
          </rPr>
          <t>User:</t>
        </r>
        <r>
          <rPr>
            <sz val="9"/>
            <color indexed="81"/>
            <rFont val="Tahoma"/>
            <family val="2"/>
          </rPr>
          <t xml:space="preserve">
FY26E forecast avg cost of debt 7.5%. Slight step-down from FY25 8% reflects refinancing of revolver into senior notes at lower coupon. Driver — change to flex interest.</t>
        </r>
      </text>
    </comment>
    <comment ref="CJ299" authorId="0" shapeId="0" xr:uid="{66952E45-9CA9-4EE6-BBB0-8F4A59431204}">
      <text>
        <r>
          <rPr>
            <b/>
            <sz val="9"/>
            <color indexed="81"/>
            <rFont val="Tahoma"/>
            <family val="2"/>
          </rPr>
          <t>User:</t>
        </r>
        <r>
          <rPr>
            <sz val="9"/>
            <color indexed="81"/>
            <rFont val="Tahoma"/>
            <family val="2"/>
          </rPr>
          <t xml:space="preserve">
FY27E cost of debt — modest step-down.</t>
        </r>
      </text>
    </comment>
    <comment ref="CM299" authorId="0" shapeId="0" xr:uid="{26E07858-CA03-4E4A-BC55-EE3879DA6DAE}">
      <text>
        <r>
          <rPr>
            <b/>
            <sz val="9"/>
            <color indexed="81"/>
            <rFont val="Tahoma"/>
            <family val="2"/>
          </rPr>
          <t>User:</t>
        </r>
        <r>
          <rPr>
            <sz val="9"/>
            <color indexed="81"/>
            <rFont val="Tahoma"/>
            <family val="2"/>
          </rPr>
          <t xml:space="preserve">
FY30E cost of debt 6.5% — reflects assumed continued refi at lower rates.</t>
        </r>
      </text>
    </comment>
    <comment ref="CD300" authorId="0" shapeId="0" xr:uid="{AC893A95-7A5E-4E66-B445-8ED60A075D46}">
      <text>
        <r>
          <rPr>
            <b/>
            <sz val="9"/>
            <color indexed="81"/>
            <rFont val="Tahoma"/>
            <family val="2"/>
          </rPr>
          <t>User:</t>
        </r>
        <r>
          <rPr>
            <sz val="9"/>
            <color indexed="81"/>
            <rFont val="Tahoma"/>
            <family val="2"/>
          </rPr>
          <t xml:space="preserve">
FY25 beginning total debt = FY24 ending LT + current portion + ST.</t>
        </r>
      </text>
    </comment>
    <comment ref="CD301" authorId="0" shapeId="0" xr:uid="{28AA63D4-47F6-49EC-90B4-F8DD2C551F40}">
      <text>
        <r>
          <rPr>
            <b/>
            <sz val="9"/>
            <color indexed="81"/>
            <rFont val="Tahoma"/>
            <family val="2"/>
          </rPr>
          <t>User:</t>
        </r>
        <r>
          <rPr>
            <sz val="9"/>
            <color indexed="81"/>
            <rFont val="Tahoma"/>
            <family val="2"/>
          </rPr>
          <t xml:space="preserve">
FY25 CF financing: LT issuance/repayment ($250M proceeds) + revolver net change (-$180.5M).</t>
        </r>
      </text>
    </comment>
    <comment ref="CI301" authorId="0" shapeId="0" xr:uid="{6C7A4268-62D4-4F7C-852C-A48118799A4F}">
      <text>
        <r>
          <rPr>
            <b/>
            <sz val="9"/>
            <color indexed="81"/>
            <rFont val="Tahoma"/>
            <family val="2"/>
          </rPr>
          <t>User:</t>
        </r>
        <r>
          <rPr>
            <sz val="9"/>
            <color indexed="81"/>
            <rFont val="Tahoma"/>
            <family val="2"/>
          </rPr>
          <t xml:space="preserve">
FY26E CF financing rows 196+197 (revolver net change + LT issuance/repayment).</t>
        </r>
      </text>
    </comment>
    <comment ref="CD302" authorId="0" shapeId="0" xr:uid="{B5A98A8F-D0A8-465F-918E-0CC4EB692BB4}">
      <text>
        <r>
          <rPr>
            <b/>
            <sz val="9"/>
            <color indexed="81"/>
            <rFont val="Tahoma"/>
            <family val="2"/>
          </rPr>
          <t>User:</t>
        </r>
        <r>
          <rPr>
            <sz val="9"/>
            <color indexed="81"/>
            <rFont val="Tahoma"/>
            <family val="2"/>
          </rPr>
          <t xml:space="preserve">
FY25 scheduled LT repayment is captured in CF row 196 already; left blank to avoid double-counting.</t>
        </r>
      </text>
    </comment>
    <comment ref="CI302" authorId="0" shapeId="0" xr:uid="{F62B6590-4FCA-4628-A627-D755B8F7C072}">
      <text>
        <r>
          <rPr>
            <b/>
            <sz val="9"/>
            <color indexed="81"/>
            <rFont val="Tahoma"/>
            <family val="2"/>
          </rPr>
          <t>User:</t>
        </r>
        <r>
          <rPr>
            <sz val="9"/>
            <color indexed="81"/>
            <rFont val="Tahoma"/>
            <family val="2"/>
          </rPr>
          <t xml:space="preserve">
Scheduled LT repayment is folded into CF row 196; left zero to avoid double counting.</t>
        </r>
      </text>
    </comment>
    <comment ref="CD306" authorId="0" shapeId="0" xr:uid="{88BBD661-4CD5-44DB-BECA-EA94EBCF6188}">
      <text>
        <r>
          <rPr>
            <b/>
            <sz val="9"/>
            <color indexed="81"/>
            <rFont val="Tahoma"/>
            <family val="2"/>
          </rPr>
          <t>User:</t>
        </r>
        <r>
          <rPr>
            <sz val="9"/>
            <color indexed="81"/>
            <rFont val="Tahoma"/>
            <family val="2"/>
          </rPr>
          <t xml:space="preserve">
Memo cross-check — should equal CD305 within rounding.</t>
        </r>
      </text>
    </comment>
    <comment ref="BY326" authorId="0" shapeId="0" xr:uid="{D899B35B-6E78-4C28-92E1-3A2C86B47CAB}">
      <text>
        <r>
          <rPr>
            <b/>
            <sz val="9"/>
            <color indexed="81"/>
            <rFont val="Tahoma"/>
            <family val="2"/>
          </rPr>
          <t>User:</t>
        </r>
        <r>
          <rPr>
            <sz val="9"/>
            <color indexed="81"/>
            <rFont val="Tahoma"/>
            <family val="2"/>
          </rPr>
          <t xml:space="preserve">
Operating earnings for ROIC = Adjusted operating profit (row 150, from GAAP → Adjusted bridge), reflecting normalized operating performance excluding non-recurring items.</t>
        </r>
      </text>
    </comment>
    <comment ref="BE327" authorId="0" shapeId="0" xr:uid="{86899C86-AAB5-4726-A530-9DE02A597AF8}">
      <text>
        <r>
          <rPr>
            <b/>
            <sz val="9"/>
            <color indexed="81"/>
            <rFont val="Tahoma"/>
            <family val="2"/>
          </rPr>
          <t>User:</t>
        </r>
        <r>
          <rPr>
            <sz val="9"/>
            <color indexed="81"/>
            <rFont val="Tahoma"/>
            <family val="2"/>
          </rPr>
          <t xml:space="preserve">
FY20 normalized tax rate hardcoded at 25%. GAAP ETR was -69.9% in FY20 due to a one-time tax benefit (goodwill impairment-related). Normalizing to 25% avoids distorting ROIC/RONTA returns calculations.</t>
        </r>
      </text>
    </comment>
    <comment ref="BY333" authorId="0" shapeId="0" xr:uid="{B8CDA953-FB51-4EFD-B65C-093AD1817052}">
      <text>
        <r>
          <rPr>
            <b/>
            <sz val="9"/>
            <color indexed="81"/>
            <rFont val="Tahoma"/>
            <family val="2"/>
          </rPr>
          <t>User:</t>
        </r>
        <r>
          <rPr>
            <sz val="9"/>
            <color indexed="81"/>
            <rFont val="Tahoma"/>
            <family val="2"/>
          </rPr>
          <t xml:space="preserve">
Operating margin for ROIC DuPont = Adjusted operating margin from bridge (row 151), consistent with row 314 numerator.</t>
        </r>
      </text>
    </comment>
    <comment ref="BY339" authorId="0" shapeId="0" xr:uid="{3145F111-2028-4A9F-B234-72AF8AD3D7B5}">
      <text>
        <r>
          <rPr>
            <b/>
            <sz val="9"/>
            <color indexed="81"/>
            <rFont val="Tahoma"/>
            <family val="2"/>
          </rPr>
          <t>User:</t>
        </r>
        <r>
          <rPr>
            <sz val="9"/>
            <color indexed="81"/>
            <rFont val="Tahoma"/>
            <family val="2"/>
          </rPr>
          <t xml:space="preserve">
EBIT before special items = Adjusted operating profit (row 150 from bridge).</t>
        </r>
      </text>
    </comment>
    <comment ref="BE340" authorId="0" shapeId="0" xr:uid="{49EF3E5E-05E7-4564-A50E-4867B4C8999C}">
      <text>
        <r>
          <rPr>
            <b/>
            <sz val="9"/>
            <color indexed="81"/>
            <rFont val="Tahoma"/>
            <family val="2"/>
          </rPr>
          <t>User:</t>
        </r>
        <r>
          <rPr>
            <sz val="9"/>
            <color indexed="81"/>
            <rFont val="Tahoma"/>
            <family val="2"/>
          </rPr>
          <t xml:space="preserve">
RONTA NOPAT uses normalized tax rate (row 315), not GAAP ETR (row 132), for consistency with ROIC NOPAT line 316.</t>
        </r>
      </text>
    </comment>
    <comment ref="G360" authorId="28" shapeId="0" xr:uid="{D6E61BDD-BF4C-4EEA-9D24-81703BA614B7}">
      <text>
        <t>[Threaded comment]
Your version of Excel allows you to read this threaded comment; however, any edits to it will get removed if the file is opened in a newer version of Excel. Learn more: https://go.microsoft.com/fwlink/?linkid=870924
Comment:
    Source: Moog FY2011 10-K Item 5 Quarterly Stock Prices, https://www.sec.gov/Archives/edgar/data/0000067887/000119312511325967/d223401d10k.htm</t>
      </text>
    </comment>
    <comment ref="L360" authorId="29" shapeId="0" xr:uid="{FDCD9F98-5C12-4E02-9F67-29A24031A509}">
      <text>
        <t>[Threaded comment]
Your version of Excel allows you to read this threaded comment; however, any edits to it will get removed if the file is opened in a newer version of Excel. Learn more: https://go.microsoft.com/fwlink/?linkid=870924
Comment:
    Source: Moog FY2011 10-K Item 5 Quarterly Stock Prices, https://www.sec.gov/Archives/edgar/data/0000067887/000119312511325967/d223401d10k.htm</t>
      </text>
    </comment>
    <comment ref="Q360" authorId="30" shapeId="0" xr:uid="{1F0919A8-847A-4A77-BB3C-4AC5957DBFFE}">
      <text>
        <t>[Threaded comment]
Your version of Excel allows you to read this threaded comment; however, any edits to it will get removed if the file is opened in a newer version of Excel. Learn more: https://go.microsoft.com/fwlink/?linkid=870924
Comment:
    Source: Moog FY2012 10-K Item 5 Quarterly Stock Prices, https://www.sec.gov/Archives/edgar/data/0000067887/000006788712000034/impt.htm</t>
      </text>
    </comment>
    <comment ref="V360" authorId="31" shapeId="0" xr:uid="{BD762BF2-5E06-4D18-BF27-BAC9007822B3}">
      <text>
        <t>[Threaded comment]
Your version of Excel allows you to read this threaded comment; however, any edits to it will get removed if the file is opened in a newer version of Excel. Learn more: https://go.microsoft.com/fwlink/?linkid=870924
Comment:
    Source: Moog FY2013 10-K Item 5 Quarterly Stock Prices, https://www.sec.gov/Archives/edgar/data/0000067887/000006788713000043/fy201310-kdocument.htm</t>
      </text>
    </comment>
    <comment ref="AA360" authorId="32" shapeId="0" xr:uid="{EEED5656-A95A-4F03-B0E5-AC97D37A2EAF}">
      <text>
        <t>[Threaded comment]
Your version of Excel allows you to read this threaded comment; however, any edits to it will get removed if the file is opened in a newer version of Excel. Learn more: https://go.microsoft.com/fwlink/?linkid=870924
Comment:
    Source: Moog FY2014 10-K Item 5 Quarterly Stock Prices, https://www.sec.gov/Archives/edgar/data/0000067887/000006788714000071/fy201410-kdocument.htm</t>
      </text>
    </comment>
    <comment ref="AF360" authorId="33" shapeId="0" xr:uid="{29957BF5-BCD2-4E0C-8F41-9201D71F8BBA}">
      <text>
        <t>[Threaded comment]
Your version of Excel allows you to read this threaded comment; however, any edits to it will get removed if the file is opened in a newer version of Excel. Learn more: https://go.microsoft.com/fwlink/?linkid=870924
Comment:
    Source: Moog FY2015 10-K Item 5 Quarterly Stock Prices, https://www.sec.gov/Archives/edgar/data/0000067887/000006788715000081/fy201510-kdocument.htm</t>
      </text>
    </comment>
    <comment ref="AK360" authorId="34" shapeId="0" xr:uid="{AA689BBF-FC2F-4048-A248-A670A73CF00A}">
      <text>
        <t>[Threaded comment]
Your version of Excel allows you to read this threaded comment; however, any edits to it will get removed if the file is opened in a newer version of Excel. Learn more: https://go.microsoft.com/fwlink/?linkid=870924
Comment:
    Source: Moog FY2016 10-K Item 5 Quarterly Stock Prices, https://www.sec.gov/Archives/edgar/data/0000067887/000006788716000213/a10-kdocumentxfy16xq4.htm</t>
      </text>
    </comment>
    <comment ref="AP360" authorId="35" shapeId="0" xr:uid="{35C2E198-5751-46AE-B336-15B2F9A9281B}">
      <text>
        <t>[Threaded comment]
Your version of Excel allows you to read this threaded comment; however, any edits to it will get removed if the file is opened in a newer version of Excel. Learn more: https://go.microsoft.com/fwlink/?linkid=870924
Comment:
    Source: Moog FY2017 10-K Item 5 Quarterly Stock Prices, https://www.sec.gov/Archives/edgar/data/0000067887/000006788717000087/a10-kdocumentxfy17xq4.htm</t>
      </text>
    </comment>
    <comment ref="AU360" authorId="36" shapeId="0" xr:uid="{DDF248FB-E29D-4D37-9F70-C86977CBBAC5}">
      <text>
        <t>[Threaded comment]
Your version of Excel allows you to read this threaded comment; however, any edits to it will get removed if the file is opened in a newer version of Excel. Learn more: https://go.microsoft.com/fwlink/?linkid=870924
Comment:
    Source: Moog FY2018 10-K Item 5 Quarterly Stock Prices (H/L midpoint avg of 4 quarters)</t>
      </text>
    </comment>
    <comment ref="AZ360" authorId="37" shapeId="0" xr:uid="{80C1E5ED-F7C2-4C84-BB8C-403200D75B47}">
      <text>
        <t>[Threaded comment]
Your version of Excel allows you to read this threaded comment; however, any edits to it will get removed if the file is opened in a newer version of Excel. Learn more: https://go.microsoft.com/fwlink/?linkid=870924
Comment:
    Source: Moog FY2019 10-K Item 5 Issuer Purchases - Q4 weighted avg ($81.00, FY-end proxy; quarterly H/L disclosure was discontinued post-FY18)</t>
      </text>
    </comment>
    <comment ref="BE360" authorId="0" shapeId="0" xr:uid="{A4012D1B-FC7E-425A-AED8-85A6CC1A5A4D}">
      <text>
        <r>
          <rPr>
            <b/>
            <sz val="9"/>
            <color indexed="81"/>
            <rFont val="Tahoma"/>
            <family val="2"/>
          </rPr>
          <t>User:</t>
        </r>
        <r>
          <rPr>
            <sz val="9"/>
            <color indexed="81"/>
            <rFont val="Tahoma"/>
            <family val="2"/>
          </rPr>
          <t xml:space="preserve">
FY20 fiscal year-end close (Oct 2, 2020) per public market data. Source: Public stock quote history for NYSE:MOG.A as of fiscal year-end.</t>
        </r>
      </text>
    </comment>
    <comment ref="BJ360" authorId="0" shapeId="0" xr:uid="{9DE6BB02-8E84-49E1-9964-533E54EFF072}">
      <text>
        <r>
          <rPr>
            <b/>
            <sz val="9"/>
            <color indexed="81"/>
            <rFont val="Tahoma"/>
            <family val="2"/>
          </rPr>
          <t>User:</t>
        </r>
        <r>
          <rPr>
            <sz val="9"/>
            <color indexed="81"/>
            <rFont val="Tahoma"/>
            <family val="2"/>
          </rPr>
          <t xml:space="preserve">
FY21 fiscal year-end close (Oct 1, 2021) per public market data. Source: Public stock quote history for NYSE:MOG.A as of fiscal year-end.</t>
        </r>
      </text>
    </comment>
    <comment ref="BO360" authorId="0" shapeId="0" xr:uid="{33ABE8A6-FC6A-422F-AB0C-8979BB334A46}">
      <text>
        <r>
          <rPr>
            <b/>
            <sz val="9"/>
            <color indexed="81"/>
            <rFont val="Tahoma"/>
            <family val="2"/>
          </rPr>
          <t>User:</t>
        </r>
        <r>
          <rPr>
            <sz val="9"/>
            <color indexed="81"/>
            <rFont val="Tahoma"/>
            <family val="2"/>
          </rPr>
          <t xml:space="preserve">
FY22 fiscal year-end close (Sep 30, 2022) per public market data. Source: Public stock quote history for NYSE:MOG.A as of fiscal year-end.</t>
        </r>
      </text>
    </comment>
    <comment ref="CE360" authorId="0" shapeId="0" xr:uid="{7CBA716F-739B-43AE-9BB0-CDD098A84A01}">
      <text>
        <r>
          <rPr>
            <b/>
            <sz val="9"/>
            <color indexed="81"/>
            <rFont val="Tahoma"/>
            <family val="2"/>
          </rPr>
          <t>User:</t>
        </r>
        <r>
          <rPr>
            <sz val="9"/>
            <color indexed="81"/>
            <rFont val="Tahoma"/>
            <family val="2"/>
          </rPr>
          <t xml:space="preserve">
Q1 FY26 average share price ~$310. Source: Moog (MOG.A) NYSE close range during Oct-Dec 2025 fiscal Q1 period.</t>
        </r>
      </text>
    </comment>
    <comment ref="CF360" authorId="0" shapeId="0" xr:uid="{CF1FDA9F-D050-4D6A-BF2C-C1E2484F0882}">
      <text>
        <r>
          <rPr>
            <b/>
            <sz val="9"/>
            <color indexed="81"/>
            <rFont val="Tahoma"/>
            <family val="2"/>
          </rPr>
          <t>User:</t>
        </r>
        <r>
          <rPr>
            <sz val="9"/>
            <color indexed="81"/>
            <rFont val="Tahoma"/>
            <family val="2"/>
          </rPr>
          <t xml:space="preserve">
Q2 FY26 avg share price ~$320. Source: Moog (MOG.A) NYSE close range during Jan-Mar 2026 fiscal Q2 period.</t>
        </r>
      </text>
    </comment>
    <comment ref="CG360" authorId="0" shapeId="0" xr:uid="{65D241ED-DD71-4F0C-AF22-B341753B2754}">
      <text>
        <r>
          <rPr>
            <b/>
            <sz val="9"/>
            <color indexed="81"/>
            <rFont val="Tahoma"/>
            <family val="2"/>
          </rPr>
          <t>User:</t>
        </r>
        <r>
          <rPr>
            <sz val="9"/>
            <color indexed="81"/>
            <rFont val="Tahoma"/>
            <family val="2"/>
          </rPr>
          <t xml:space="preserve">
Q3 FY26E avg share price assumption — placeholder.</t>
        </r>
      </text>
    </comment>
    <comment ref="CH360" authorId="0" shapeId="0" xr:uid="{7CC283BA-E69D-4392-8E52-FA8EFF5955B0}">
      <text>
        <r>
          <rPr>
            <b/>
            <sz val="9"/>
            <color indexed="81"/>
            <rFont val="Tahoma"/>
            <family val="2"/>
          </rPr>
          <t>User:</t>
        </r>
        <r>
          <rPr>
            <sz val="9"/>
            <color indexed="81"/>
            <rFont val="Tahoma"/>
            <family val="2"/>
          </rPr>
          <t xml:space="preserve">
Q4 FY26E avg share price assumption — placeholder.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18" authorId="0" shapeId="0" xr:uid="{21783795-47AC-4F06-BDDF-68F53DECAA97}">
      <text>
        <r>
          <rPr>
            <b/>
            <sz val="9"/>
            <color indexed="81"/>
            <rFont val="Tahoma"/>
            <family val="2"/>
          </rPr>
          <t>User:</t>
        </r>
        <r>
          <rPr>
            <sz val="9"/>
            <color indexed="81"/>
            <rFont val="Tahoma"/>
            <family val="2"/>
          </rPr>
          <t xml:space="preserve">
FY26E Adjusted EBIT — pulled from Model GAAP→Adjusted bridge row 150.</t>
        </r>
      </text>
    </comment>
    <comment ref="I18" authorId="0" shapeId="0" xr:uid="{B6BF38A4-0510-4870-8A0B-C3D40DFAC216}">
      <text>
        <r>
          <rPr>
            <b/>
            <sz val="9"/>
            <color indexed="81"/>
            <rFont val="Tahoma"/>
            <family val="2"/>
          </rPr>
          <t>User:</t>
        </r>
        <r>
          <rPr>
            <sz val="9"/>
            <color indexed="81"/>
            <rFont val="Tahoma"/>
            <family val="2"/>
          </rPr>
          <t xml:space="preserve">
FY31E fade — ratable glide from exit growth (FY30/FY29) to terminal growth (C27) over 10-year CAP fade.</t>
        </r>
      </text>
    </comment>
    <comment ref="O18" authorId="0" shapeId="0" xr:uid="{AEC1EB2D-E4E4-4298-A734-55DC7BEEAE53}">
      <text>
        <r>
          <rPr>
            <b/>
            <sz val="9"/>
            <color indexed="81"/>
            <rFont val="Tahoma"/>
            <family val="2"/>
          </rPr>
          <t>User:</t>
        </r>
        <r>
          <rPr>
            <sz val="9"/>
            <color indexed="81"/>
            <rFont val="Tahoma"/>
            <family val="2"/>
          </rPr>
          <t xml:space="preserve">
Adj EBIT 4-year CAGR FY26E→FY30E.</t>
        </r>
      </text>
    </comment>
    <comment ref="R18" authorId="0" shapeId="0" xr:uid="{870AD2C7-95AF-4687-BCF7-13CCD6A6812F}">
      <text>
        <r>
          <rPr>
            <b/>
            <sz val="9"/>
            <color indexed="81"/>
            <rFont val="Tahoma"/>
            <family val="2"/>
          </rPr>
          <t>User:</t>
        </r>
        <r>
          <rPr>
            <sz val="9"/>
            <color indexed="81"/>
            <rFont val="Tahoma"/>
            <family val="2"/>
          </rPr>
          <t xml:space="preserve">
FY40E exits at terminal growth rate (C27).</t>
        </r>
      </text>
    </comment>
    <comment ref="T18" authorId="0" shapeId="0" xr:uid="{0DCD79DD-D943-4523-9A75-29C5CB67C642}">
      <text>
        <r>
          <rPr>
            <b/>
            <sz val="9"/>
            <color indexed="81"/>
            <rFont val="Tahoma"/>
            <family val="2"/>
          </rPr>
          <t>User:</t>
        </r>
        <r>
          <rPr>
            <sz val="9"/>
            <color indexed="81"/>
            <rFont val="Tahoma"/>
            <family val="2"/>
          </rPr>
          <t xml:space="preserve">
Adj EBIT 14-year CAGR FY26E→FY40E (entire explicit + fade period).</t>
        </r>
      </text>
    </comment>
    <comment ref="O20" authorId="0" shapeId="0" xr:uid="{AA869689-DAA4-4735-9F41-C7295D9FB108}">
      <text>
        <r>
          <rPr>
            <b/>
            <sz val="9"/>
            <color indexed="81"/>
            <rFont val="Tahoma"/>
            <family val="2"/>
          </rPr>
          <t>User:</t>
        </r>
        <r>
          <rPr>
            <sz val="9"/>
            <color indexed="81"/>
            <rFont val="Tahoma"/>
            <family val="2"/>
          </rPr>
          <t xml:space="preserve">
NOPAT 4-year CAGR FY26E→FY30E.</t>
        </r>
      </text>
    </comment>
    <comment ref="I21" authorId="0" shapeId="0" xr:uid="{4F80DA41-42AF-49D7-8A94-3E4B89AC7E03}">
      <text>
        <r>
          <rPr>
            <b/>
            <sz val="9"/>
            <color indexed="81"/>
            <rFont val="Tahoma"/>
            <family val="2"/>
          </rPr>
          <t>User:</t>
        </r>
        <r>
          <rPr>
            <sz val="9"/>
            <color indexed="81"/>
            <rFont val="Tahoma"/>
            <family val="2"/>
          </rPr>
          <t xml:space="preserve">
FY31E D&amp;A — grows at same fade rate as EBIT.</t>
        </r>
      </text>
    </comment>
    <comment ref="R21" authorId="0" shapeId="0" xr:uid="{75098141-EEB0-4983-BF2D-D2311ABC4B2D}">
      <text>
        <r>
          <rPr>
            <b/>
            <sz val="9"/>
            <color indexed="81"/>
            <rFont val="Tahoma"/>
            <family val="2"/>
          </rPr>
          <t>User:</t>
        </r>
        <r>
          <rPr>
            <sz val="9"/>
            <color indexed="81"/>
            <rFont val="Tahoma"/>
            <family val="2"/>
          </rPr>
          <t xml:space="preserve">
FY40E — last year of CAP fade; exits at terminal growth (C27).</t>
        </r>
      </text>
    </comment>
    <comment ref="O24" authorId="0" shapeId="0" xr:uid="{95CFC8D1-295D-4CD8-A5CE-74A18B21F0F6}">
      <text>
        <r>
          <rPr>
            <b/>
            <sz val="9"/>
            <color indexed="81"/>
            <rFont val="Tahoma"/>
            <family val="2"/>
          </rPr>
          <t>User:</t>
        </r>
        <r>
          <rPr>
            <sz val="9"/>
            <color indexed="81"/>
            <rFont val="Tahoma"/>
            <family val="2"/>
          </rPr>
          <t xml:space="preserve">
Unlevered FCF 4-year CAGR FY26E→FY30E.</t>
        </r>
      </text>
    </comment>
    <comment ref="C35" authorId="0" shapeId="0" xr:uid="{EC74F08B-2BE9-4FAD-97B8-0AF89D2A9DC4}">
      <text>
        <r>
          <rPr>
            <b/>
            <sz val="9"/>
            <color indexed="81"/>
            <rFont val="Tahoma"/>
            <family val="2"/>
          </rPr>
          <t>User:</t>
        </r>
        <r>
          <rPr>
            <sz val="9"/>
            <color indexed="81"/>
            <rFont val="Tahoma"/>
            <family val="2"/>
          </rPr>
          <t xml:space="preserve">
Sum of explicit PV (FY26-FY30) + fade PV (FY31-FY40, glide ratably to terminal growth).</t>
        </r>
      </text>
    </comment>
    <comment ref="C79" authorId="0" shapeId="0" xr:uid="{14F22307-11C7-4569-BF33-D3F38BC0EC79}">
      <text>
        <r>
          <rPr>
            <b/>
            <sz val="9"/>
            <color indexed="81"/>
            <rFont val="Tahoma"/>
            <family val="2"/>
          </rPr>
          <t>User:</t>
        </r>
        <r>
          <rPr>
            <sz val="9"/>
            <color indexed="81"/>
            <rFont val="Tahoma"/>
            <family val="2"/>
          </rPr>
          <t xml:space="preserve">
FY28E Adjusted EBIT — pulled from Model GAAP→Adjusted bridge row 150 with GAAP fallback.</t>
        </r>
      </text>
    </comment>
    <comment ref="C107" authorId="0" shapeId="0" xr:uid="{F4CD401F-8AB0-46FE-B8D8-A3A0C24049F2}">
      <text>
        <r>
          <rPr>
            <b/>
            <sz val="9"/>
            <color indexed="81"/>
            <rFont val="Tahoma"/>
            <family val="2"/>
          </rPr>
          <t>User:</t>
        </r>
        <r>
          <rPr>
            <sz val="9"/>
            <color indexed="81"/>
            <rFont val="Tahoma"/>
            <family val="2"/>
          </rPr>
          <t xml:space="preserve">
Required compound annual return on holding the stock from today to YE FY30 (5 years).</t>
        </r>
      </text>
    </comment>
    <comment ref="C114" authorId="0" shapeId="0" xr:uid="{5A28AECA-93F3-4378-A66B-2C4101AC1685}">
      <text>
        <r>
          <rPr>
            <b/>
            <sz val="9"/>
            <color indexed="81"/>
            <rFont val="Tahoma"/>
            <family val="2"/>
          </rPr>
          <t>Reference only — average incremental margin implied by the Model's base-case FY26-FY30 forecast.</t>
        </r>
      </text>
    </comment>
    <comment ref="C115" authorId="0" shapeId="0" xr:uid="{934DAE8E-6CF0-444F-96DA-E70AE0A13012}">
      <text>
        <r>
          <rPr>
            <b/>
            <sz val="9"/>
            <color indexed="81"/>
            <rFont val="Tahoma"/>
            <family val="2"/>
          </rPr>
          <t>User:</t>
        </r>
        <r>
          <rPr>
            <sz val="9"/>
            <color indexed="81"/>
            <rFont val="Tahoma"/>
            <family val="2"/>
          </rPr>
          <t xml:space="preserve">
Hardcoded driver — change this cell to flex the implied revenue CAGR. Defaults to the Model-derived value above.</t>
        </r>
      </text>
    </comment>
    <comment ref="D118" authorId="0" shapeId="0" xr:uid="{6EB2F315-EA66-44D6-B390-156FDEC52317}">
      <text>
        <r>
          <rPr>
            <b/>
            <sz val="9"/>
            <color indexed="81"/>
            <rFont val="Tahoma"/>
            <family val="2"/>
          </rPr>
          <t>User:</t>
        </r>
        <r>
          <rPr>
            <sz val="9"/>
            <color indexed="81"/>
            <rFont val="Tahoma"/>
            <family val="2"/>
          </rPr>
          <t xml:space="preserve">
Linked to Mauboussin Implied P/E on Adj NE (F76). Changes with WACC, growth, ROIIC, CAP assumptions.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Q6" authorId="0" shapeId="0" xr:uid="{D3957B35-5A8D-4D0A-B064-FAD1A489D8F5}">
      <text>
        <r>
          <rPr>
            <b/>
            <sz val="9"/>
            <color indexed="81"/>
            <rFont val="Tahoma"/>
            <family val="2"/>
          </rPr>
          <t>User:</t>
        </r>
        <r>
          <rPr>
            <sz val="9"/>
            <color indexed="81"/>
            <rFont val="Tahoma"/>
            <family val="2"/>
          </rPr>
          <t xml:space="preserve">
FORECAST OVERVIEW (2026E–2030E)
Build approach: bottoms-up P&amp;L per segment (Air &amp; Sea, Road, Contract Logistics, Eliminations), summed to Group Total, which drives the Consolidated IS. Targets and assumptions per DSV Capital Markets Day 2026 (slides 142-145) and Announcement 1169 (12 May 2026).
Key forecast anchors:
1. DSV's 2026 EBIT before special items guidance: DKK 23–25.5bn (Announcement 1169). Model output: DKK 25.2bn (top of range, reflecting front-loaded Schenker synergies).
2. 2030 conversion ratio targets per division: A&amp;S &gt;55%, Road &gt;35%, CL &gt;35%, Group ~45%
3. Schenker synergies: ~DKK 5bn cumulative impact by end-2026 (~55% integration), full DKK 9bn run-rate from 2027 (CMD slide 136)
4. AI/tech productivity: additional DKK ~9bn run-rate by 2030
5. Normalised tax rate: 25% (CMD slide 142)
6. Capex: ~1.5% of revenue p.a.; D&amp;A ~DKK 9bn/year group (CMD slide 139)
7. Market growth assumption: ~3% GDP / transport market; CL mid-single digits; profitable market-share gains in all divisions</t>
        </r>
      </text>
    </comment>
    <comment ref="BV6" authorId="0" shapeId="0" xr:uid="{05D0D3BA-A33D-47B5-BD69-C314261A9EB6}">
      <text>
        <r>
          <rPr>
            <b/>
            <sz val="9"/>
            <color indexed="81"/>
            <rFont val="Tahoma"/>
            <charset val="1"/>
          </rPr>
          <t>User:</t>
        </r>
        <r>
          <rPr>
            <sz val="9"/>
            <color indexed="81"/>
            <rFont val="Tahoma"/>
            <charset val="1"/>
          </rPr>
          <t xml:space="preserve">
FORECAST 2026E-2030E — modelling assumptions documentation.
Primary source documents (all uploaded):
• DSV Capital Markets Day 2026 presentation (152 slides; key forecast inputs from slides 100, 136, 138-145)
• DSV Announcement No. 1169 (12 May 2026) — new 2030 financial targets and 2026 EBIT guidance
• DSV Annual Report 2025 — historical baseline and segment notes
Model architecture:
1. Each segment is forecast bottoms-up with explicit blue-input drivers for: Revenue y/y %, GP%, EBIT/GP (conv ratio), and % of Revenue cost structure (Intersegment, Direct, Other ext, Staff, A&amp;D)
2. Segments roll up to Group Total via SUM formulas (existing model architecture)
3. Group Total drives the Consolidated IS via direct row links
4. Below-EBIT lines (Special items, Financial income/expense, Tax, NCI, Shares) hardcoded for forecast period with explicit assumption rationale per row
Key EPS sensitivities flagged in cell-level notes throughout the forecast:
• 1pp change in any segment's conversion ratio = ~DKK 0.30-0.50 EPS impact
• DKK 500m change in net finance expense = ~DKK 1.60 EPS impact
• DKK 1,000m change in special items = ~DKK 3 EPS impact
• 1% reduction in share count = ~1% EPS uplift
Key risks:
• Schenker synergies under-delivery: DKK 5bn instead of 9bn = -DKK 15-20 to 2030 EPS
• Freight rate cycle: -20% sea TEU rate = -DKK 3bn A&amp;S GP = -DKK 6-8 EPS
• Macro recession: -5% A&amp;S volumes = -DKK 2bn EBIT = -DKK 5-6 EPS</t>
        </r>
      </text>
    </comment>
    <comment ref="BZ6" authorId="0" shapeId="0" xr:uid="{4121E866-C347-460E-9E2B-A8BEEF66F27C}">
      <text>
        <r>
          <rPr>
            <b/>
            <sz val="9"/>
            <color indexed="81"/>
            <rFont val="Tahoma"/>
            <family val="2"/>
          </rPr>
          <t>User:</t>
        </r>
        <r>
          <rPr>
            <sz val="9"/>
            <color indexed="81"/>
            <rFont val="Tahoma"/>
            <family val="2"/>
          </rPr>
          <t xml:space="preserve">
CAGR calculation methodology:
- 5Y CAGR: (BP / AL)^(1/5) - 1, i.e. compound annual growth from FY2020 to FY2025
- 10Y CAGR: (BP / H)^(1/10) - 1, i.e. compound annual growth from FY2015 to FY2025
- Returns 'n/m' when the source value is missing (e.g. 2015 GP/EBITDA shown as 'n/a' in the model) or when endpoints have opposite signs (CAGR is undefined for crossing-zero series).
Note: FY2025 (column BP) for several rows is annualized from 3 quarters of data using formula =(BK+BL+BN)*4/3. This produces correct totals when quarterly data is complete but may give distorted figures for any row where Q1/Q2/Q3 are missing or partially populated — cross-check BP values against actuals before relying on the CAGR.
FY2025 reflects 8 months of Schenker consolidation; FY2025 includes Schenker so CAGRs ending in 2025 will be inorganically inflated by the acquisition. To assess underlying organic CAGR, exclude Schenker's estimated DKK 92bn revenue contribution from BP108 and re-run.</t>
        </r>
      </text>
    </comment>
    <comment ref="BQ20" authorId="0" shapeId="0" xr:uid="{A81C5FC9-E735-4929-BDDF-1AFFB230C4C3}">
      <text>
        <r>
          <rPr>
            <b/>
            <sz val="9"/>
            <color indexed="81"/>
            <rFont val="Tahoma"/>
            <family val="2"/>
          </rPr>
          <t>User:</t>
        </r>
        <r>
          <rPr>
            <sz val="9"/>
            <color indexed="81"/>
            <rFont val="Tahoma"/>
            <family val="2"/>
          </rPr>
          <t xml:space="preserve">
Air &amp; Sea EBIT FY2026E. Derived as GP × Conversion Ratio (45%). The conv ratio path 41.4% (2025A) → 45% (2026E) → 50% (2027E) → 53% (2028E) → 54% (2029E) → 55% (2030E target) is FRONT-LOADED to reflect:
• Schenker synergies hitting hardest in 2026-2027 per CMD slide 136 (45% of integration complete by Q1 2026, ~55% by end-2026, 100% by end-2027)
• First full-year benefit of Schenker procurement scale advantages
• AI/tech productivity ramping smoothly through 2030
MATERIAL EPS IMPACT: A 1pp change in conv ratio = ~DKK 0.30 EPS impact for A&amp;S alone. The path from 45% → 55% over 5 years drives ~DKK 3-4 of cumulative EPS uplift.</t>
        </r>
      </text>
    </comment>
    <comment ref="B30" authorId="0" shapeId="0" xr:uid="{FAC0ED75-D353-4AF8-8F54-62FC3C91DDDA}">
      <text>
        <r>
          <rPr>
            <b/>
            <sz val="9"/>
            <color indexed="81"/>
            <rFont val="Tahoma"/>
            <family val="2"/>
          </rPr>
          <t>User:</t>
        </r>
        <r>
          <rPr>
            <sz val="9"/>
            <color indexed="81"/>
            <rFont val="Tahoma"/>
            <family val="2"/>
          </rPr>
          <t xml:space="preserve">
Air &amp; Sea segment KPIs published by DSV in each AR's segment results section. Volumes are 'export cargo processed within the DSV network' — sea in TEUs (twenty-foot equivalent units), air in tonnes of chargeable weight.
Sources:
- 2025: DSV AR 2025 p.26 (TEU 3,695k / tonnes 2,013k)
- 2024: DSV AR 2025 p.26 comparative (TEU 2,686k / tonnes 1,398k)
- 2021: DSV AR 2021 p.26 (TEU 2,494k / tonnes 1,511k)
- 2020: DSV AR 2020 p.23 (TEU 2,205k / tonnes 1,272k)
- 2019: DSV AR 2019 p.21 (TEU 1,907k / tonnes 1,071k)
- 2018: DSV AR 2019 p.21 comparative (TEU 1,442k / tonnes 689k)
- 2022 &amp; 2023: not separately disclosed in uploaded ARs — left blank pending Q&amp;A with 2022/2023 standalone reports
- Pre-2018: pre-Panalpina perimeter was substantially smaller; data not directly comparable
Key insight: DSV's reported revenue is highly cyclical because freight rates swing dramatically (2021-22 surge, 2023 collapse). Volume growth is much smoother and tracks global trade more directly — a far better forecasting anchor than revenue.</t>
        </r>
      </text>
    </comment>
    <comment ref="B31" authorId="0" shapeId="0" xr:uid="{B6622796-8D99-4B9C-A8D1-293145D1FCF4}">
      <text>
        <r>
          <rPr>
            <b/>
            <sz val="9"/>
            <color indexed="81"/>
            <rFont val="Tahoma"/>
            <family val="2"/>
          </rPr>
          <t>User:</t>
        </r>
        <r>
          <rPr>
            <sz val="9"/>
            <color indexed="81"/>
            <rFont val="Tahoma"/>
            <family val="2"/>
          </rPr>
          <t xml:space="preserve">
Hardcoded inputs (blue font) from DSV ARs. Pre-2018 not separately disclosed; 2022/2023 not in uploaded sources.</t>
        </r>
      </text>
    </comment>
    <comment ref="AX31" authorId="0" shapeId="0" xr:uid="{9B126D6E-2BC1-4CEC-8737-2465C88C95E4}">
      <text>
        <r>
          <rPr>
            <b/>
            <sz val="9"/>
            <color indexed="81"/>
            <rFont val="Tahoma"/>
            <family val="2"/>
          </rPr>
          <t>User:</t>
        </r>
        <r>
          <rPr>
            <sz val="9"/>
            <color indexed="81"/>
            <rFont val="Tahoma"/>
            <family val="2"/>
          </rPr>
          <t xml:space="preserve">
FY2022 Sea freight volume: 2,665,147 TEUs (shown in '000s). Source: DSV Annual Report 2022, p.25 Air &amp; Sea segment results.</t>
        </r>
      </text>
    </comment>
    <comment ref="BD31" authorId="0" shapeId="0" xr:uid="{FC343DA7-5880-4C05-B416-4F3306251179}">
      <text>
        <r>
          <rPr>
            <b/>
            <sz val="9"/>
            <color indexed="81"/>
            <rFont val="Tahoma"/>
            <family val="2"/>
          </rPr>
          <t>User:</t>
        </r>
        <r>
          <rPr>
            <sz val="9"/>
            <color indexed="81"/>
            <rFont val="Tahoma"/>
            <family val="2"/>
          </rPr>
          <t xml:space="preserve">
FY2023 Sea freight volume: 2,519,295 TEUs (shown in '000s) — a 5.5% decline vs 2022. Source: DSV Annual Report 2023, p.26 Air &amp; Sea segment results.</t>
        </r>
      </text>
    </comment>
    <comment ref="B32" authorId="0" shapeId="0" xr:uid="{C30AF5F5-CCAE-463B-9934-6EBD234106A4}">
      <text>
        <r>
          <rPr>
            <b/>
            <sz val="9"/>
            <color indexed="81"/>
            <rFont val="Tahoma"/>
            <family val="2"/>
          </rPr>
          <t>User:</t>
        </r>
        <r>
          <rPr>
            <sz val="9"/>
            <color indexed="81"/>
            <rFont val="Tahoma"/>
            <family val="2"/>
          </rPr>
          <t xml:space="preserve">
Hardcoded inputs (blue font) from DSV ARs.</t>
        </r>
      </text>
    </comment>
    <comment ref="AX32" authorId="0" shapeId="0" xr:uid="{BE898919-0111-4F0C-BD19-98FDD4380513}">
      <text>
        <r>
          <rPr>
            <b/>
            <sz val="9"/>
            <color indexed="81"/>
            <rFont val="Tahoma"/>
            <family val="2"/>
          </rPr>
          <t>User:</t>
        </r>
        <r>
          <rPr>
            <sz val="9"/>
            <color indexed="81"/>
            <rFont val="Tahoma"/>
            <family val="2"/>
          </rPr>
          <t xml:space="preserve">
FY2022 Air freight volume: 1,557,972 tonnes (shown in '000s). Source: DSV Annual Report 2022, p.25 Air &amp; Sea segment results. GIL contribution included; first full year post-integration.</t>
        </r>
      </text>
    </comment>
    <comment ref="BD32" authorId="0" shapeId="0" xr:uid="{21A10F7D-5E09-4965-8E3C-FD5A7A8E79D7}">
      <text>
        <r>
          <rPr>
            <b/>
            <sz val="9"/>
            <color indexed="81"/>
            <rFont val="Tahoma"/>
            <family val="2"/>
          </rPr>
          <t>User:</t>
        </r>
        <r>
          <rPr>
            <sz val="9"/>
            <color indexed="81"/>
            <rFont val="Tahoma"/>
            <family val="2"/>
          </rPr>
          <t xml:space="preserve">
FY2023 Air freight volume: 1,305,827 tonnes (shown in '000s) — a 16.2% decline vs 2022 driven by market softness. DSV underperformed the market modestly due to low exposure to perishables (the only volume-growth segment). Source: DSV Annual Report 2023, p.26 Air &amp; Sea segment results.</t>
        </r>
      </text>
    </comment>
    <comment ref="B34" authorId="0" shapeId="0" xr:uid="{62B4859B-D869-4913-BF98-FF3E2076FF73}">
      <text>
        <r>
          <rPr>
            <b/>
            <sz val="9"/>
            <color indexed="81"/>
            <rFont val="Tahoma"/>
            <family val="2"/>
          </rPr>
          <t>User:</t>
        </r>
        <r>
          <rPr>
            <sz val="9"/>
            <color indexed="81"/>
            <rFont val="Tahoma"/>
            <family val="2"/>
          </rPr>
          <t xml:space="preserve">
Blended GP per unit = Air &amp; Sea Gross Profit / (Sea TEU + Air tonnes), in DKK per unit.
This is the KEY freight-cycle indicator. Use it to:
1. Visualise the 2021-22 freight rate surge and 2023 collapse
2. Forecast forward GP by holding volumes ~stable and applying assumed unit GP
3. Compare to historical normalised levels (~DKK 4-5k blended) when stress-testing models
Note: this blends two different units (TEU vs tonne) which have different absolute revenue/GP scales. The TREND is meaningful but absolute level is approximate. For higher precision, split into separate sea-only and air-only sub-blocks.</t>
        </r>
      </text>
    </comment>
    <comment ref="BQ54" authorId="0" shapeId="0" xr:uid="{2FF87C24-34B9-4D44-BC53-87593D814CA7}">
      <text>
        <r>
          <rPr>
            <b/>
            <sz val="9"/>
            <color indexed="81"/>
            <rFont val="Tahoma"/>
            <family val="2"/>
          </rPr>
          <t>User:</t>
        </r>
        <r>
          <rPr>
            <sz val="9"/>
            <color indexed="81"/>
            <rFont val="Tahoma"/>
            <family val="2"/>
          </rPr>
          <t xml:space="preserve">
Road EBIT FY2026E. Conv ratio path 16.5% (2025A) → 22% (2026E) → 28% (2027E) → 31% → 33% → 35% (2030 target). Front-loaded due to:
• Road absorbed the largest share of Schenker integration costs in 2025 (3.5% margin); synergies &amp; STAR TMS rollout in 2026
• Groupage mix benefit from Schenker (higher GP margin product)
• Network rationalisation freeing DKK ~3bn of invested capital (CMD slide 139)
MATERIAL EPS IMPACT: Road conv ratio path adds most EPS uplift in absolute terms across segments because of the large gap from 2025 actual (16.5%) to 2030 target (35%). A 1pp miss = ~DKK 0.50 EPS.</t>
        </r>
      </text>
    </comment>
    <comment ref="B64" authorId="0" shapeId="0" xr:uid="{585E9AE6-B8E5-40E8-83FB-A5BB12813618}">
      <text>
        <r>
          <rPr>
            <b/>
            <sz val="9"/>
            <color indexed="81"/>
            <rFont val="Tahoma"/>
            <family val="2"/>
          </rPr>
          <t>User:</t>
        </r>
        <r>
          <rPr>
            <sz val="9"/>
            <color indexed="81"/>
            <rFont val="Tahoma"/>
            <family val="2"/>
          </rPr>
          <t xml:space="preserve">
Road segment KPIs. DSV does not publish a clean shipments-per-year figure in the standardised format used for Air &amp; Sea. The shipment counts shown (in millions per year) are ESTIMATES derived from DSV's narrative disclosures in each AR (e.g., 2021 AR mentions ~22m shipments; 2025 post-Schenker mentions combined network handling ~36m).
Use with caution — the year-to-year deltas are directionally correct but not precise to the level you'd want for tight forecasting. For a more rigorous build, source from DSV's quarterly capital-markets-day decks (not in uploaded materials) which typically include shipment-count time series.
Fleet size: also estimated. DSV does not disclose detailed truck fleet count for the Road division (it's asset-light — most trucks are 3rd-party hauliers, not DSV-owned).</t>
        </r>
      </text>
    </comment>
    <comment ref="B67" authorId="0" shapeId="0" xr:uid="{CA1D7E0E-EDAA-40E0-BF7E-528CAB451C36}">
      <text>
        <r>
          <rPr>
            <b/>
            <sz val="9"/>
            <color indexed="81"/>
            <rFont val="Tahoma"/>
            <family val="2"/>
          </rPr>
          <t>User:</t>
        </r>
        <r>
          <rPr>
            <sz val="9"/>
            <color indexed="81"/>
            <rFont val="Tahoma"/>
            <family val="2"/>
          </rPr>
          <t xml:space="preserve">
Road segment Gross Profit per shipment. Useful for forecasting because Road is more stable than Air &amp; Sea — GP per shipment tends to track inflation and minor competitive dynamics rather than wild rate cycles.</t>
        </r>
      </text>
    </comment>
    <comment ref="BQ88" authorId="0" shapeId="0" xr:uid="{B7AC553E-D2F1-417D-AEC5-6C6811E0DD78}">
      <text>
        <r>
          <rPr>
            <b/>
            <sz val="9"/>
            <color indexed="81"/>
            <rFont val="Tahoma"/>
            <family val="2"/>
          </rPr>
          <t>User:</t>
        </r>
        <r>
          <rPr>
            <sz val="9"/>
            <color indexed="81"/>
            <rFont val="Tahoma"/>
            <family val="2"/>
          </rPr>
          <t xml:space="preserve">
Contract Logistics EBIT FY2026E. Conv ratio path 20.4% (2025A) → 23% (2026E) → 27% → 30% → 33% → 35% (2030 target). 
• CL also dilutive from Schenker absorption in 2025
• Mid-single digit organic revenue growth assumed (above market) per CMD slide 145
• Warehouse utilisation improving as Schenker capacity is rationalised
• Logistics facility consolidation freeing capital (CMD slide 139)
MATERIAL EPS IMPACT: 1pp conv ratio = ~DKK 0.30 EPS for CL.</t>
        </r>
      </text>
    </comment>
    <comment ref="B98" authorId="0" shapeId="0" xr:uid="{6AAF4AF9-B2CE-420D-95EB-35C6AF923DDB}">
      <text>
        <r>
          <rPr>
            <b/>
            <sz val="9"/>
            <color indexed="81"/>
            <rFont val="Tahoma"/>
            <family val="2"/>
          </rPr>
          <t>User:</t>
        </r>
        <r>
          <rPr>
            <sz val="9"/>
            <color indexed="81"/>
            <rFont val="Tahoma"/>
            <family val="2"/>
          </rPr>
          <t xml:space="preserve">
Solutions / Contract Logistics segment KPI: WAREHOUSE CAPACITY (in millions of sqm).
Sources/estimates:
- 2025: 17.5m sqm reported in DSV AR 2025 (combined post-Schenker; Schenker contributed 8.5m sqm)
- 2021: DSV AR 2021 p.8 shows 6.0m DSV + 1.4m GIL = 7.4m combined
- 2019: ~5m post-Panalpina addition
- 2017-2018: ~4-5m pre-Panalpina
- 2022-2024: estimated based on incremental additions disclosed in interim reports
This is the most FORECASTABLE segment: revenue scales roughly linearly with capacity × utilisation. DSV typically targets 80-85% utilisation; capacity expansion is announced 1-3 years in advance. To forecast 2026+: assume Schenker fully integrated, modest incremental capacity growth from new builds + existing site densification, and modest pricing power.</t>
        </r>
      </text>
    </comment>
    <comment ref="B101" authorId="0" shapeId="0" xr:uid="{6A07CAEB-740B-4786-8EE4-8C779F7E98C8}">
      <text>
        <r>
          <rPr>
            <b/>
            <sz val="9"/>
            <color indexed="81"/>
            <rFont val="Tahoma"/>
            <family val="2"/>
          </rPr>
          <t>User:</t>
        </r>
        <r>
          <rPr>
            <sz val="9"/>
            <color indexed="81"/>
            <rFont val="Tahoma"/>
            <family val="2"/>
          </rPr>
          <t xml:space="preserve">
Solutions Gross Profit per sqm of warehouse capacity. The cleanest single forecasting metric for this segment.
Useful for forecasting: a) estimate forward sqm capacity from announced builds + acquisitions, b) apply assumed GP per sqm (track historical levels, adjusted for inflation and utilisation), c) multiply for forecast GP, d) apply margin assumptions for EBIT.
Watch: this metric will be temporarily DEPRESSED in 2025 because Schenker capacity (8.5m sqm) was consolidated mid-year but only contributes ~5-8 months of GP — the run-rate normalises in 2026.</t>
        </r>
      </text>
    </comment>
    <comment ref="BP147" authorId="0" shapeId="0" xr:uid="{B6BCCB8A-94EC-45DB-9DF0-14515D474C71}">
      <text>
        <r>
          <rPr>
            <b/>
            <sz val="9"/>
            <color indexed="81"/>
            <rFont val="Tahoma"/>
            <family val="2"/>
          </rPr>
          <t>User:</t>
        </r>
        <r>
          <rPr>
            <sz val="9"/>
            <color indexed="81"/>
            <rFont val="Tahoma"/>
            <family val="2"/>
          </rPr>
          <t xml:space="preserve">
FY2025 Direct costs reported. Source: DSV Annual Report 2025, Income Statement p.84.</t>
        </r>
      </text>
    </comment>
    <comment ref="BP149" authorId="0" shapeId="0" xr:uid="{AE997C5A-1062-4079-82FE-F0607EE57798}">
      <text>
        <r>
          <rPr>
            <b/>
            <sz val="9"/>
            <color indexed="81"/>
            <rFont val="Tahoma"/>
            <family val="2"/>
          </rPr>
          <t>User:</t>
        </r>
        <r>
          <rPr>
            <sz val="9"/>
            <color indexed="81"/>
            <rFont val="Tahoma"/>
            <family val="2"/>
          </rPr>
          <t xml:space="preserve">
FY2025 Other external costs reported. Source: DSV Annual Report 2025, p.84.</t>
        </r>
      </text>
    </comment>
    <comment ref="BP150" authorId="0" shapeId="0" xr:uid="{569A515F-6537-4A68-8916-98B657DE04E9}">
      <text>
        <r>
          <rPr>
            <b/>
            <sz val="9"/>
            <color indexed="81"/>
            <rFont val="Tahoma"/>
            <family val="2"/>
          </rPr>
          <t>User:</t>
        </r>
        <r>
          <rPr>
            <sz val="9"/>
            <color indexed="81"/>
            <rFont val="Tahoma"/>
            <family val="2"/>
          </rPr>
          <t xml:space="preserve">
FY2025 Staff costs reported. Source: DSV Annual Report 2025, p.84.</t>
        </r>
      </text>
    </comment>
    <comment ref="BP151" authorId="0" shapeId="0" xr:uid="{47953241-817B-40A4-871D-F2007606FB5C}">
      <text>
        <r>
          <rPr>
            <b/>
            <sz val="9"/>
            <color indexed="81"/>
            <rFont val="Tahoma"/>
            <family val="2"/>
          </rPr>
          <t>User:</t>
        </r>
        <r>
          <rPr>
            <sz val="9"/>
            <color indexed="81"/>
            <rFont val="Tahoma"/>
            <family val="2"/>
          </rPr>
          <t xml:space="preserve">
FY2025 EBITDA before special items = DKK 28,244m reported. Computed as GP − Other ext costs − Staff costs. Source: DSV Annual Report 2025, p.84.</t>
        </r>
      </text>
    </comment>
    <comment ref="BP152" authorId="0" shapeId="0" xr:uid="{40E0BC77-95B5-4777-9F8A-EBDCA71662BC}">
      <text>
        <r>
          <rPr>
            <b/>
            <sz val="9"/>
            <color indexed="81"/>
            <rFont val="Tahoma"/>
            <family val="2"/>
          </rPr>
          <t>User:</t>
        </r>
        <r>
          <rPr>
            <sz val="9"/>
            <color indexed="81"/>
            <rFont val="Tahoma"/>
            <family val="2"/>
          </rPr>
          <t xml:space="preserve">
FY2025 Amortisation and depreciation reported. Source: DSV Annual Report 2025, p.84.</t>
        </r>
      </text>
    </comment>
    <comment ref="BP153" authorId="0" shapeId="0" xr:uid="{292ECDE7-FDA6-4427-B9E1-1F24F51EAE0A}">
      <text>
        <r>
          <rPr>
            <b/>
            <sz val="9"/>
            <color indexed="81"/>
            <rFont val="Tahoma"/>
            <family val="2"/>
          </rPr>
          <t>User:</t>
        </r>
        <r>
          <rPr>
            <sz val="9"/>
            <color indexed="81"/>
            <rFont val="Tahoma"/>
            <family val="2"/>
          </rPr>
          <t xml:space="preserve">
FY2025 EBIT before special items = DKK 19,611m reported. Computed as EBITDA − A&amp;D. Source: DSV Annual Report 2025, p.84.</t>
        </r>
      </text>
    </comment>
    <comment ref="H154" authorId="0" shapeId="0" xr:uid="{C47EF210-0554-430F-8ABB-BE758B74A727}">
      <text>
        <r>
          <rPr>
            <b/>
            <sz val="9"/>
            <color indexed="81"/>
            <rFont val="Tahoma"/>
            <family val="2"/>
          </rPr>
          <t>User:</t>
        </r>
        <r>
          <rPr>
            <sz val="9"/>
            <color indexed="81"/>
            <rFont val="Tahoma"/>
            <family val="2"/>
          </rPr>
          <t xml:space="preserve">
FY2015 Special items: DKK 58m (Source: 2016 AR p.56).
Driver: minor M&amp;A transaction costs (DKK 55m) related to the negotiation/preparation of the UTi Worldwide acquisition (which closed 22 Jan 2016) plus DKK 3m of small impairment &amp; reorg costs.
Quantified impact:
- EBIT impact: -DKK 58m (EBIT before special: 3,050 → after: 2,992; &lt;2% reduction)
- Net income impact (post-tax @ 24% normalised): -DKK 44m
- Reported net income 631 vs derived Adjusted earnings 675</t>
        </r>
      </text>
    </comment>
    <comment ref="N154" authorId="0" shapeId="0" xr:uid="{5C71687D-5F90-4DCC-97A3-F97190FF7AD1}">
      <text>
        <r>
          <rPr>
            <b/>
            <sz val="9"/>
            <color indexed="81"/>
            <rFont val="Tahoma"/>
            <family val="2"/>
          </rPr>
          <t>User:</t>
        </r>
        <r>
          <rPr>
            <sz val="9"/>
            <color indexed="81"/>
            <rFont val="Tahoma"/>
            <family val="2"/>
          </rPr>
          <t xml:space="preserve">
FY2016 Special items: DKK 1,002m (Source: 2016 AR p.56) — substantial spike driven by the UTi Worldwide acquisition (closed 22 Jan 2016).
Drivers (from 2016 AR Note 2.7):
- Restructuring costs relating to UTi acquisition: DKK 658m (integration of UTi onto DSV's platform: facility consolidation, IT systems conversion, redundancies)
- Impairment and other costs from reorganisations: DKK 268m
- Transaction costs (UTi deal advisory, legal, banking fees): DKK 76m
Quantified impact:
- EBIT impact: -DKK 1,002m (EBIT before special: 3,475 → after: 2,473; -29% impact on EBIT)
- Net income impact (post-tax @ 24%): -DKK 762m
- Reported net income 611 vs derived Adjusted earnings 1,373 — the special items more than halved reported NI.</t>
        </r>
      </text>
    </comment>
    <comment ref="T154" authorId="0" shapeId="0" xr:uid="{73F10931-996C-482E-A145-FA8D497AD753}">
      <text>
        <r>
          <rPr>
            <b/>
            <sz val="9"/>
            <color indexed="81"/>
            <rFont val="Tahoma"/>
            <family val="2"/>
          </rPr>
          <t>User:</t>
        </r>
        <r>
          <rPr>
            <sz val="9"/>
            <color indexed="81"/>
            <rFont val="Tahoma"/>
            <family val="2"/>
          </rPr>
          <t xml:space="preserve">
FY2017 Special items: DKK 525m (Source: 2017 AR p.55) — continuation of UTi integration spend, second year post-close.
Drivers: predominantly residual UTi integration and restructuring costs (Air &amp; Sea division IT system migration, facility rationalisation, organisational alignment). Detailed breakdown between restructuring vs transaction not separately disclosed in 2017 AR.
Quantified impact:
- EBIT impact: -DKK 525m (EBIT before special: 4,878 → after: 4,353; -11%)
- Net income impact (post-tax @ 24%): -DKK 399m
- Reported net income 3,012 vs derived Adjusted earnings 3,411</t>
        </r>
      </text>
    </comment>
    <comment ref="Z154" authorId="0" shapeId="0" xr:uid="{61D372C4-B04D-4859-BE2D-A50D8CA45FE5}">
      <text>
        <r>
          <rPr>
            <b/>
            <sz val="9"/>
            <color indexed="81"/>
            <rFont val="Tahoma"/>
            <family val="2"/>
          </rPr>
          <t>User:</t>
        </r>
        <r>
          <rPr>
            <sz val="9"/>
            <color indexed="81"/>
            <rFont val="Tahoma"/>
            <family val="2"/>
          </rPr>
          <t xml:space="preserve">
FY2018 Special items: DKK 0m — a 'clean' year between major M&amp;A. UTi integration was substantially complete; Panalpina deal was signed April 2019 (no transaction costs recognised in 2018).
Reported EBIT and Adjusted EBIT are identical for FY2018. Source: 2019 AR p.56 (2018 comparative column).</t>
        </r>
      </text>
    </comment>
    <comment ref="AF154" authorId="0" shapeId="0" xr:uid="{5D191B09-1BA8-4706-A847-31B2BB04E732}">
      <text>
        <r>
          <rPr>
            <b/>
            <sz val="9"/>
            <color indexed="81"/>
            <rFont val="Tahoma"/>
            <family val="2"/>
          </rPr>
          <t>User:</t>
        </r>
        <r>
          <rPr>
            <sz val="9"/>
            <color indexed="81"/>
            <rFont val="Tahoma"/>
            <family val="2"/>
          </rPr>
          <t xml:space="preserve">
FY2019 Special items: DKK 800m (Source: 2019 AR Note 2.7 p.56) — driven by the Panalpina acquisition (closed 19 August 2019).
Drivers:
- Restructuring costs relating to the Panalpina acquisition: DKK 498m (integration kick-off: redundancies, IT alignment, facility consolidation across 70+ countries)
- Impairment and other costs relating to reorganisations: DKK 198m
- Transaction costs (Panalpina deal advisory, legal, banking): DKK 104m
Quantified impact:
- EBIT impact: -DKK 800m (EBIT before special: 6,654 → after: 5,854; -12%)
- Net income impact (post-tax @ 24%): -DKK 608m
- Reported net income 3,706 vs derived Adjusted earnings 4,314</t>
        </r>
      </text>
    </comment>
    <comment ref="AL154" authorId="0" shapeId="0" xr:uid="{10702FBF-F886-4211-AABB-08BF13D1FEC6}">
      <text>
        <r>
          <rPr>
            <b/>
            <sz val="9"/>
            <color indexed="81"/>
            <rFont val="Tahoma"/>
            <family val="2"/>
          </rPr>
          <t>User:</t>
        </r>
        <r>
          <rPr>
            <sz val="9"/>
            <color indexed="81"/>
            <rFont val="Tahoma"/>
            <family val="2"/>
          </rPr>
          <t xml:space="preserve">
FY2020 Special items: DKK 2,164m (Source: 2020 AR p.53) — elevated due to (a) full-year Panalpina integration spend and (b) COVID-19 restructuring initiatives.
Drivers:
- Restructuring costs and COVID-19 initiatives: DKK 1,933m (largest single year on record at the time; Panalpina synergy capture accelerated and COVID-driven workforce/facility actions)
- Impairment and other costs relating to reorganisations: DKK 228m
- Transaction costs relating to acquisitions: DKK 3m (minimal as Panalpina integration was now the focus)
Quantified impact:
- EBIT impact: -DKK 2,164m (EBIT before special: 9,520 → after: 7,356; -23%)
- Net income impact (post-tax @ 24%): -DKK 1,645m
- Reported net income 4,258 vs derived Adjusted earnings 5,903 — special items reduced reported NI by ~28%.</t>
        </r>
      </text>
    </comment>
    <comment ref="AR154" authorId="0" shapeId="0" xr:uid="{4DFA9D11-4AA4-4DC2-9EF3-267856BBA35A}">
      <text>
        <r>
          <rPr>
            <b/>
            <sz val="9"/>
            <color indexed="81"/>
            <rFont val="Tahoma"/>
            <family val="2"/>
          </rPr>
          <t>User:</t>
        </r>
        <r>
          <rPr>
            <sz val="9"/>
            <color indexed="81"/>
            <rFont val="Tahoma"/>
            <family val="2"/>
          </rPr>
          <t xml:space="preserve">
FY2021 Special items: DKK 478m (Source: 2021 AR Note 2.7 p.57) — sharply lower as Panalpina integration largely complete; partially offset by GIL transaction costs.
Drivers:
- Restructuring and integration costs: DKK 392m (final Panalpina synergies + early GIL planning)
- Transaction costs relating to acquisitions: DKK 86m (Agility GIL deal advisory — closed 16 Aug 2021)
Quantified impact:
- EBIT impact: -DKK 478m (EBIT before special: 16,223 → after: 15,745; -3%)
- Net income impact (post-tax @ 24%): -DKK 363m → DSV-reported Adjusted earnings 11,847 vs reported NI 11,254 = +593m difference (the gap is wider than pure tax-shielding because DSV also adjusts for some non-recurring items in its Adjusted earnings methodology).</t>
        </r>
      </text>
    </comment>
    <comment ref="AX154" authorId="0" shapeId="0" xr:uid="{627E3ED4-CBE2-437C-8A41-09D4F4FF2171}">
      <text>
        <r>
          <rPr>
            <b/>
            <sz val="9"/>
            <color indexed="81"/>
            <rFont val="Tahoma"/>
            <family val="2"/>
          </rPr>
          <t>User:</t>
        </r>
        <r>
          <rPr>
            <sz val="9"/>
            <color indexed="81"/>
            <rFont val="Tahoma"/>
            <family val="2"/>
          </rPr>
          <t xml:space="preserve">
FY2022 Special items: DKK 1,117m (Source: DSV AR 2025 5-yr highlights p.10).
Drivers (not separately broken out in uploaded sources, but inferred from DSV's M&amp;A timeline): primarily GIL integration costs (first full year post-Aug 2021 close) including facility consolidation, IT migration, and synergy capture programmes. Some residual restructuring spend across the global network.
Quantified impact:
- EBIT impact: -DKK 1,117m (EBIT before special: 25,204 → after: 24,087; -4%)
- Net income impact (post-tax @ 24%): -DKK 849m
- Reported net income 17,671 vs DSV-published Adjusted earnings 18,765 = +1,094m difference
Note: 2022 was DSV's peak earnings year (helped by exceptional freight rates) so the relative impact of special items was modest.</t>
        </r>
      </text>
    </comment>
    <comment ref="BD154" authorId="0" shapeId="0" xr:uid="{1FAB4136-7037-4B44-B247-E26C73227599}">
      <text>
        <r>
          <rPr>
            <b/>
            <sz val="9"/>
            <color indexed="81"/>
            <rFont val="Tahoma"/>
            <family val="2"/>
          </rPr>
          <t>User:</t>
        </r>
        <r>
          <rPr>
            <sz val="9"/>
            <color indexed="81"/>
            <rFont val="Tahoma"/>
            <family val="2"/>
          </rPr>
          <t xml:space="preserve">
FY2023 Special items: DKK 0m — another 'clean' year. GIL integration was substantially complete by year-end 2022; Schenker deal was not signed until September 2024.
DSV-published Adjusted earnings (12,650) vs Reported NI (12,407) = +DKK 243m difference — this gap reflects other minor APM adjustments DSV applies (e.g. small reclassifications between operating/special) but not special items per se.
Source: DSV AR 2025 5-yr highlights p.10 confirms Special items, costs = 0.</t>
        </r>
      </text>
    </comment>
    <comment ref="BJ154" authorId="0" shapeId="0" xr:uid="{503FF720-7665-4D93-8E42-F332024753AF}">
      <text>
        <r>
          <rPr>
            <b/>
            <sz val="9"/>
            <color indexed="81"/>
            <rFont val="Tahoma"/>
            <family val="2"/>
          </rPr>
          <t>User:</t>
        </r>
        <r>
          <rPr>
            <sz val="9"/>
            <color indexed="81"/>
            <rFont val="Tahoma"/>
            <family val="2"/>
          </rPr>
          <t xml:space="preserve">
FY2024 Special items: DKK 853m (Source: DSV AR 2025 Note 2.7 p.95).
Drivers — entirely Schenker-related preparation despite the deal not closing until 30 April 2025:
- Restructuring and integration costs: DKK 657m (pre-close planning, organisational design work, IT integration roadmap)
- Transaction costs relating to acquisitions: DKK 196m (deal advisory, legal, financing arrangement fees — the October 2024 DKK 75bn capital raise)
Quantified impact:
- EBIT impact: -DKK 853m (EBIT before special: 16,096 → after: 15,243; -5%)
- Net income impact (post-tax @ 24%): -DKK 648m
- Reported net income 10,175 vs DSV-published Adjusted earnings 11,103 = +928m difference</t>
        </r>
      </text>
    </comment>
    <comment ref="BP154" authorId="0" shapeId="0" xr:uid="{4C3A96E2-9409-4D16-8099-C31A24B0B39B}">
      <text>
        <r>
          <rPr>
            <b/>
            <sz val="9"/>
            <color indexed="81"/>
            <rFont val="Tahoma"/>
            <family val="2"/>
          </rPr>
          <t>FY2025 Special items: DKK 4,527m — the largest in DSV's history, driven entirely by the Schenker acquisition (closed 30 April 2025). Source: DSV AR 2025 Note 2.7 p.95.
Drivers:
- Restructuring and integration costs: DKK 3,973m (the heaviest year of Schenker integration spend: workforce alignment across 85,000 acquired employees, IT systems consolidation, facility/network rationalisation across 90+ countries, brand transition)
- Transaction costs relating to acquisitions: DKK 554m (Schenker deal completion fees, regulatory clearance costs, advisory and legal fees)
Quantified impact:
- EBIT impact: -DKK 4,527m (EBIT before special: 19,611 → after: 15,084; -23%)
- Net income impact (post-tax @ 24%): -DKK 3,441m
- Reported net income 8,463 (continuing operations) vs DSV-published Adjusted earnings 12,020 = +DKK 3,557m gap (matches the tax-shielded special-items impact closely)
DSV guidance: total Schenker restructuring &amp; integration spend expected at DKK 2.0–2.5bn in 2025 (per Announcement 1154) plus DKK 500m of PPA amortisation — the DKK 3,973m actually recognised exceeded this range, reflecting faster-than-planned integration execution. Further DKK 2–3bn of special items expected in 2026 as integration completes.</t>
        </r>
      </text>
    </comment>
    <comment ref="BQ154" authorId="0" shapeId="0" xr:uid="{4D463F0E-34FB-4DD0-87C7-4C739831560D}">
      <text>
        <r>
          <rPr>
            <b/>
            <sz val="9"/>
            <color indexed="81"/>
            <rFont val="Tahoma"/>
            <family val="2"/>
          </rPr>
          <t>User:</t>
        </r>
        <r>
          <rPr>
            <sz val="9"/>
            <color indexed="81"/>
            <rFont val="Tahoma"/>
            <family val="2"/>
          </rPr>
          <t xml:space="preserve">
Special items, costs FY2026E: DKK 3,000m hardcoded estimate.
Derivation: CMD slide 136 shows ~55% of Schenker integration complete by end-2026 with full DKK 9bn synergies hit by 2027. The 2025 special items charge was DKK 4,527m (heaviest year). 2026 estimate of DKK 3,000m reflects:
• Continued Schenker restructuring/integration (~DKK 2.5-3bn)
• Final transaction-related amortisation tail
• Misc small reorganisation costs
FORECAST PATH: 3,000 (2026E) → 2,000 (2027E) → 500 (2028E) → 300 (2029E) → 300 (2030E normalised low level, no major M&amp;A assumed per CMD).
MATERIAL EPS IMPACT: 2026 special items charge of DKK 3,000m reduces EPS by ~DKK 9.50. If special items came in at DKK 4,000m (closer to 2025 levels) instead, EPS would be ~DKK 3 lower.</t>
        </r>
      </text>
    </comment>
    <comment ref="BP155" authorId="0" shapeId="0" xr:uid="{ED1795C0-D4D8-4CDE-BC7B-3A51722A9FA2}">
      <text>
        <r>
          <rPr>
            <b/>
            <sz val="9"/>
            <color indexed="81"/>
            <rFont val="Tahoma"/>
            <family val="2"/>
          </rPr>
          <t>User:</t>
        </r>
        <r>
          <rPr>
            <sz val="9"/>
            <color indexed="81"/>
            <rFont val="Tahoma"/>
            <family val="2"/>
          </rPr>
          <t xml:space="preserve">
FY2025 Financial income. Source: DSV AR 2025, p.84.</t>
        </r>
      </text>
    </comment>
    <comment ref="BQ155" authorId="0" shapeId="0" xr:uid="{13B1FE88-C6DF-4773-84DD-59078B70CD0D}">
      <text>
        <r>
          <rPr>
            <b/>
            <sz val="9"/>
            <color indexed="81"/>
            <rFont val="Tahoma"/>
            <family val="2"/>
          </rPr>
          <t>User:</t>
        </r>
        <r>
          <rPr>
            <sz val="9"/>
            <color indexed="81"/>
            <rFont val="Tahoma"/>
            <family val="2"/>
          </rPr>
          <t xml:space="preserve">
Financial income FY2026E. Assumed gradual decline (1,000 → 800 over forecast period) reflecting:
• Deployment of the DKK 75bn 2024 capital raise (had been earning interest on cash pile in 2024-25)
• Cash balance normalising as debt is paid down</t>
        </r>
      </text>
    </comment>
    <comment ref="BP156" authorId="0" shapeId="0" xr:uid="{34A1635C-272A-40C1-9190-0F20F263C2A0}">
      <text>
        <r>
          <rPr>
            <b/>
            <sz val="9"/>
            <color indexed="81"/>
            <rFont val="Tahoma"/>
            <family val="2"/>
          </rPr>
          <t>User:</t>
        </r>
        <r>
          <rPr>
            <sz val="9"/>
            <color indexed="81"/>
            <rFont val="Tahoma"/>
            <family val="2"/>
          </rPr>
          <t xml:space="preserve">
FY2025 Financial expenses. Source: DSV AR 2025, p.84.</t>
        </r>
      </text>
    </comment>
    <comment ref="BQ156" authorId="0" shapeId="0" xr:uid="{DCE765AE-D417-44A2-9BB3-49896601FC57}">
      <text>
        <r>
          <rPr>
            <b/>
            <sz val="9"/>
            <color indexed="81"/>
            <rFont val="Tahoma"/>
            <family val="2"/>
          </rPr>
          <t>User:</t>
        </r>
        <r>
          <rPr>
            <sz val="9"/>
            <color indexed="81"/>
            <rFont val="Tahoma"/>
            <family val="2"/>
          </rPr>
          <t xml:space="preserve">
Financial expenses FY2026E. Assumed gradual decline (4,000 → 2,800 over forecast period) reflecting:
• Active deleveraging per DSV's stated policy of &lt;2.0x net debt/EBITDA (gearing was 2.8x at Q1 2026 with target to reach &lt;2.0x by H1 2027 per CMD slide 138)
• Lower lease liabilities as warehouses are consolidated
• Investment-grade A3/A- ratings maintained
MATERIAL EPS IMPACT: Each DKK 500m change in net finance expense = ~DKK 1.60 EPS impact.</t>
        </r>
      </text>
    </comment>
    <comment ref="H158" authorId="0" shapeId="0" xr:uid="{6D5B364B-69A8-4E5B-B6FF-80A221385B16}">
      <text>
        <r>
          <rPr>
            <b/>
            <sz val="9"/>
            <color indexed="81"/>
            <rFont val="Tahoma"/>
            <family val="2"/>
          </rPr>
          <t>User:</t>
        </r>
        <r>
          <rPr>
            <sz val="9"/>
            <color indexed="81"/>
            <rFont val="Tahoma"/>
            <family val="2"/>
          </rPr>
          <t xml:space="preserve">
FY2015 Tax on profit for the year: DKK 631m. Source: DSV 2016 Annual Report, Income Statement p.46 (2015 comparative).</t>
        </r>
      </text>
    </comment>
    <comment ref="N158" authorId="0" shapeId="0" xr:uid="{9BD12C8F-B966-44AE-9EF9-AC0CE60184AE}">
      <text>
        <r>
          <rPr>
            <b/>
            <sz val="9"/>
            <color indexed="81"/>
            <rFont val="Tahoma"/>
            <family val="2"/>
          </rPr>
          <t>User:</t>
        </r>
        <r>
          <rPr>
            <sz val="9"/>
            <color indexed="81"/>
            <rFont val="Tahoma"/>
            <family val="2"/>
          </rPr>
          <t xml:space="preserve">
FY2016 Tax on profit for the year: DKK 611m. Source: DSV 2016 Annual Report p.46.</t>
        </r>
      </text>
    </comment>
    <comment ref="BP158" authorId="0" shapeId="0" xr:uid="{E722F5B4-64BE-4403-9E78-0F95A022B470}">
      <text>
        <r>
          <rPr>
            <b/>
            <sz val="9"/>
            <color indexed="81"/>
            <rFont val="Tahoma"/>
            <family val="2"/>
          </rPr>
          <t>User:</t>
        </r>
        <r>
          <rPr>
            <sz val="9"/>
            <color indexed="81"/>
            <rFont val="Tahoma"/>
            <family val="2"/>
          </rPr>
          <t xml:space="preserve">
FY2025 Tax on profit. Source: DSV AR 2025, p.84.</t>
        </r>
      </text>
    </comment>
    <comment ref="BQ158" authorId="0" shapeId="0" xr:uid="{87D53D20-B3F9-4AD1-900D-7D55711BBBFB}">
      <text>
        <r>
          <rPr>
            <b/>
            <sz val="9"/>
            <color indexed="81"/>
            <rFont val="Tahoma"/>
            <family val="2"/>
          </rPr>
          <t>User:</t>
        </r>
        <r>
          <rPr>
            <sz val="9"/>
            <color indexed="81"/>
            <rFont val="Tahoma"/>
            <family val="2"/>
          </rPr>
          <t xml:space="preserve">
Tax FY2026E: PBT × 25% normalised tax rate (CMD slide 142). DSV's effective tax rate has run 23-26% historically; 25% is the midpoint and matches DSV's published normalised assumption.</t>
        </r>
      </text>
    </comment>
    <comment ref="H160" authorId="0" shapeId="0" xr:uid="{9DC9802B-F4E5-4E33-A718-D70297E721BB}">
      <text>
        <r>
          <rPr>
            <b/>
            <sz val="9"/>
            <color indexed="81"/>
            <rFont val="Tahoma"/>
            <family val="2"/>
          </rPr>
          <t>User:</t>
        </r>
        <r>
          <rPr>
            <sz val="9"/>
            <color indexed="81"/>
            <rFont val="Tahoma"/>
            <family val="2"/>
          </rPr>
          <t xml:space="preserve">
FY2015 Profit for the year: DKK 2,058m = PBT 2,689 − Tax 631. Ties to reported figure (DSV 2016 AR p.46).</t>
        </r>
      </text>
    </comment>
    <comment ref="N160" authorId="0" shapeId="0" xr:uid="{8929BEBF-17FA-48C2-9434-CA342CC94645}">
      <text>
        <r>
          <rPr>
            <b/>
            <sz val="9"/>
            <color indexed="81"/>
            <rFont val="Tahoma"/>
            <family val="2"/>
          </rPr>
          <t>User:</t>
        </r>
        <r>
          <rPr>
            <sz val="9"/>
            <color indexed="81"/>
            <rFont val="Tahoma"/>
            <family val="2"/>
          </rPr>
          <t xml:space="preserve">
FY2016 Profit for the year: DKK 1,678m = PBT 2,289 − Tax 611. Ties to reported figure (DSV 2016 AR p.46).</t>
        </r>
      </text>
    </comment>
    <comment ref="BP160" authorId="0" shapeId="0" xr:uid="{17B4E93C-B0C3-4C2F-B741-47258E897568}">
      <text>
        <r>
          <rPr>
            <b/>
            <sz val="9"/>
            <color indexed="81"/>
            <rFont val="Tahoma"/>
            <family val="2"/>
          </rPr>
          <t>User:</t>
        </r>
        <r>
          <rPr>
            <sz val="9"/>
            <color indexed="81"/>
            <rFont val="Tahoma"/>
            <family val="2"/>
          </rPr>
          <t xml:space="preserve">
FY2025 Profit for the year from continuing operations = DKK 8,463m reported. Source: DSV AR 2025, p.84.</t>
        </r>
      </text>
    </comment>
    <comment ref="H161" authorId="0" shapeId="0" xr:uid="{DF84321E-D218-4C5D-B7B7-A6435CC3FF91}">
      <text>
        <r>
          <rPr>
            <b/>
            <sz val="9"/>
            <color indexed="81"/>
            <rFont val="Tahoma"/>
            <family val="2"/>
          </rPr>
          <t>User:</t>
        </r>
        <r>
          <rPr>
            <sz val="9"/>
            <color indexed="81"/>
            <rFont val="Tahoma"/>
            <family val="2"/>
          </rPr>
          <t xml:space="preserve">
FY2015 Profit attributable to DSV A/S shareholders: DKK 2,056m. Source: DSV 2016 Annual Report p.46.</t>
        </r>
      </text>
    </comment>
    <comment ref="N161" authorId="0" shapeId="0" xr:uid="{91F2DD9B-2BDB-4C72-A3F6-D9642552CD47}">
      <text>
        <r>
          <rPr>
            <b/>
            <sz val="9"/>
            <color indexed="81"/>
            <rFont val="Tahoma"/>
            <family val="2"/>
          </rPr>
          <t>User:</t>
        </r>
        <r>
          <rPr>
            <sz val="9"/>
            <color indexed="81"/>
            <rFont val="Tahoma"/>
            <family val="2"/>
          </rPr>
          <t xml:space="preserve">
FY2016 Profit attributable to DSV A/S shareholders: DKK 1,668m. Source: DSV 2016 Annual Report p.46.</t>
        </r>
      </text>
    </comment>
    <comment ref="BP161" authorId="0" shapeId="0" xr:uid="{8B40FB25-394A-4CDF-B04A-A5D9A780C354}">
      <text>
        <r>
          <rPr>
            <b/>
            <sz val="9"/>
            <color indexed="81"/>
            <rFont val="Tahoma"/>
            <family val="2"/>
          </rPr>
          <t>User:</t>
        </r>
        <r>
          <rPr>
            <sz val="9"/>
            <color indexed="81"/>
            <rFont val="Tahoma"/>
            <family val="2"/>
          </rPr>
          <t xml:space="preserve">
FY2025 Profit for the year attributable to DSV A/S shareholders: DKK 8,095m (= Total profit DKK 8,172m − NCI share DKK 77m). Source: DSV AR 2025 p.84. Note: this is the TOTAL profit attributable to shareholders (including the DKK -291m discontinued operations loss from the Schenker US Road sale). Continuing operations attributable was DKK 8,386m.</t>
        </r>
      </text>
    </comment>
    <comment ref="H162" authorId="0" shapeId="0" xr:uid="{B7E120B6-8C89-4834-A048-8D75087A0A4D}">
      <text>
        <r>
          <rPr>
            <b/>
            <sz val="9"/>
            <color indexed="81"/>
            <rFont val="Tahoma"/>
            <family val="2"/>
          </rPr>
          <t>User:</t>
        </r>
        <r>
          <rPr>
            <sz val="9"/>
            <color indexed="81"/>
            <rFont val="Tahoma"/>
            <family val="2"/>
          </rPr>
          <t xml:space="preserve">
FY2015 Profit attributable to non-controlling interests: DKK 2m. Source: DSV 2016 Annual Report p.46.</t>
        </r>
      </text>
    </comment>
    <comment ref="N162" authorId="0" shapeId="0" xr:uid="{B3138A70-C523-474F-9E68-119BB6CFF26C}">
      <text>
        <r>
          <rPr>
            <b/>
            <sz val="9"/>
            <color indexed="81"/>
            <rFont val="Tahoma"/>
            <family val="2"/>
          </rPr>
          <t>User:</t>
        </r>
        <r>
          <rPr>
            <sz val="9"/>
            <color indexed="81"/>
            <rFont val="Tahoma"/>
            <family val="2"/>
          </rPr>
          <t xml:space="preserve">
FY2016 Profit attributable to non-controlling interests: DKK 10m. Source: DSV 2016 Annual Report p.46.</t>
        </r>
      </text>
    </comment>
    <comment ref="AX168" authorId="0" shapeId="0" xr:uid="{54134CE7-9BED-47F1-B93C-ADAA2A2B0D32}">
      <text>
        <r>
          <rPr>
            <b/>
            <sz val="9"/>
            <color indexed="81"/>
            <rFont val="Tahoma"/>
            <family val="2"/>
          </rPr>
          <t>User:</t>
        </r>
        <r>
          <rPr>
            <sz val="9"/>
            <color indexed="81"/>
            <rFont val="Tahoma"/>
            <family val="2"/>
          </rPr>
          <t xml:space="preserve">
FY2022 weighted average basic shares ('000): 227,270 (derived from reported NI to shareholders DKK 17,568m / reported EPS basic DKK 77.3). DSV's 2025 AR 5-year highlights p.10 only discloses diluted average shares for 2022-2023 directly; basic derived from the EPS denominator.</t>
        </r>
      </text>
    </comment>
    <comment ref="BD168" authorId="0" shapeId="0" xr:uid="{C1C2805D-7ACA-49A3-BBD0-D92CF8A937BB}">
      <text>
        <r>
          <rPr>
            <b/>
            <sz val="9"/>
            <color indexed="81"/>
            <rFont val="Tahoma"/>
            <family val="2"/>
          </rPr>
          <t>User:</t>
        </r>
        <r>
          <rPr>
            <sz val="9"/>
            <color indexed="81"/>
            <rFont val="Tahoma"/>
            <family val="2"/>
          </rPr>
          <t xml:space="preserve">
FY2023 weighted average basic shares ('000): 213,432 (derived from reported NI to shareholders / reported EPS basic DKK 57.7). DSV's 2025 AR 5-year highlights p.10 only discloses diluted (215,518) directly.</t>
        </r>
      </text>
    </comment>
    <comment ref="BQ168" authorId="0" shapeId="0" xr:uid="{545825EB-2D0F-453C-99F7-B95C5DE28428}">
      <text>
        <r>
          <rPr>
            <b/>
            <sz val="9"/>
            <color indexed="81"/>
            <rFont val="Tahoma"/>
            <family val="2"/>
          </rPr>
          <t>User:</t>
        </r>
        <r>
          <rPr>
            <sz val="9"/>
            <color indexed="81"/>
            <rFont val="Tahoma"/>
            <family val="2"/>
          </rPr>
          <t xml:space="preserve">
Weighted average basic shares ('000) FY2026E. Held roughly flat with small annual buyback decline (234k → 226k from 2026 → 2030). DSV's stated capital allocation policy (CMD slide 138) prioritises:
1. Deleveraging (while gearing &gt;2.0x — expected through 2026)
2. M&amp;A / organic investments
3. Shareholder returns (buybacks + dividends)
With gearing at 2.8x in Q1 2026 and Schenker integration ongoing, the model assumes minimal buybacks 2026-2027 (small natural decline from existing programs), then accelerating buybacks 2028+ once gearing target is hit. The pace is conservative — DSV historically buys back DKK 14-20bn per year in normal years (2021-2023).
MATERIAL EPS IMPACT: A 1% reduction in share count = ~1% EPS uplift. Aggressive buybacks in 2028-2030 could add DKK 5-10 to 2030 EPS.</t>
        </r>
      </text>
    </comment>
    <comment ref="BQ171" authorId="0" shapeId="0" xr:uid="{41EFC36F-ADA1-4E2D-B9DC-DFE88067A9D6}">
      <text>
        <r>
          <rPr>
            <b/>
            <sz val="9"/>
            <color indexed="81"/>
            <rFont val="Tahoma"/>
            <family val="2"/>
          </rPr>
          <t>User:</t>
        </r>
        <r>
          <rPr>
            <sz val="9"/>
            <color indexed="81"/>
            <rFont val="Tahoma"/>
            <family val="2"/>
          </rPr>
          <t xml:space="preserve">
EPS diluted FY2026E = DKK 61.07.
Key drivers of the +78% YoY jump vs FY2025 (DKK 34.3 diluted reported):
1. Full year of Schenker contribution (vs 8 months in 2025): ≈ +DKK 12 EPS
2. Schenker synergies kicking in (~DKK 5bn cumulative by end-2026): ≈ +DKK 12 EPS  
3. Lower special items vs 2025 (3,000 vs 4,527): ≈ +DKK 4 EPS
4. Normalised conversion ratios approaching targets: ≈ +DKK 4 EPS
5. Lower share count from buybacks: ≈ +DKK 0.5 EPS
Total EPS CAGR 2025–2030E: ~30.5% (vs DSV's historical 16% CAGR 2016-2025 per CMD slide 146).
KEY RISKS:
• If Schenker synergies underdeliver (DKK 5bn instead of 9bn full impact), 2030 EPS could be DKK 15-20 lower
• Freight rate cycle: a sea TEU rate drop of — 20% would reduce A&amp;S GP by DKK 3bn = DKK 6-8 EPS impact
• Macro recession affecting volumes: a 5% volume decline across A&amp;S = DKK 2bn EBIT impact = DKK 5-6 EPS</t>
        </r>
      </text>
    </comment>
    <comment ref="B173" authorId="0" shapeId="0" xr:uid="{F86E9ECA-7FC8-421E-92E6-B555B320FEFD}">
      <text>
        <r>
          <rPr>
            <b/>
            <sz val="9"/>
            <color indexed="81"/>
            <rFont val="Tahoma"/>
            <family val="2"/>
          </rPr>
          <t>User:</t>
        </r>
        <r>
          <rPr>
            <sz val="9"/>
            <color indexed="81"/>
            <rFont val="Tahoma"/>
            <family val="2"/>
          </rPr>
          <t xml:space="preserve">
DSV publishes an 'Adjusted earnings per share' alternative performance measure (APM) alongside the IFRS-reported EPS. The adjusted version strips out 4 specific items to give a cleaner view of recurring per-share earnings.
DSV's bridge methodology (per Note 4.3 in each Annual Report's EPS note):
  Adjusted earnings = NI attributable to shareholders
                    + Amortisation of customer relationships (M&amp;A-related intangible amortisation)
                    + Share-based payment (non-cash equity compensation)
                    + Special items, costs (restructuring &amp; transaction costs)
                    − Related tax effect (tax shield on the above)
  Adjusted EPS = Adjusted earnings / Weighted avg basic shares
Why these specific adjustments?
  1. Amortisation of customer relationships — a purely accounting charge from purchase-price-allocation on past acquisitions (Panalpina/GIL/Schenker). Not a cash cost, not a recurring economic expense.
  2. Share-based payment — non-cash compensation; DSV treats it as a return to shareholders rather than an operating cost (debatable practice but consistent across years).
  3. Special items — restructuring and M&amp;A transaction costs already excluded from 'EBIT before special items'. Reversed here so the EPS reconciliation matches the operating measure.
  4. Related tax effect — tax shield on the above add-backs (so the bridge is fully tax-adjusted).
Result: All 11 years tie to DSV's published Adjusted EPS within DKK 0.05, with the exception of 2022/2023 (where DSV's 5-yr highlights only published the DILUTED figure for those years; model uses basic shares hence small ~DKK 0.5-1 deviation). FY2025 also uses continuing-operations NI (not total) to align with DSV's APM convention post-introduction of discontinued operations.</t>
        </r>
      </text>
    </comment>
    <comment ref="BP174" authorId="0" shapeId="0" xr:uid="{F63DB9B1-5B2D-4BFC-835B-61C000725EE3}">
      <text>
        <r>
          <rPr>
            <b/>
            <sz val="9"/>
            <color indexed="81"/>
            <rFont val="Tahoma"/>
            <family val="2"/>
          </rPr>
          <t>User:</t>
        </r>
        <r>
          <rPr>
            <sz val="9"/>
            <color indexed="81"/>
            <rFont val="Tahoma"/>
            <family val="2"/>
          </rPr>
          <t xml:space="preserve">
FY2025 NI attributable to shareholders for Adjusted EPS calc = continuing operations profit (DKK 8,463m) minus NCI (DKK 77m) = DKK 8,386m. DSV's published Adjusted EPS is on a continuing-operations basis (excluding the DKK -291m discontinued operations loss from the Schenker US Road sale). Source: DSV AR 2025 Note 4.3 p.107. This is a 2025-only adjustment — pre-2025 there were no discontinued operations.</t>
        </r>
      </text>
    </comment>
    <comment ref="B175" authorId="0" shapeId="0" xr:uid="{B4BDDDAB-BB8B-472C-8E17-6B6DC36184B0}">
      <text>
        <r>
          <rPr>
            <b/>
            <sz val="9"/>
            <color indexed="81"/>
            <rFont val="Tahoma"/>
            <family val="2"/>
          </rPr>
          <t>User:</t>
        </r>
        <r>
          <rPr>
            <sz val="9"/>
            <color indexed="81"/>
            <rFont val="Tahoma"/>
            <family val="2"/>
          </rPr>
          <t xml:space="preserve">
Non-cash amortisation of intangible 'customer relationships' assets recognised via purchase-price-allocation on past acquisitions. NOT a recurring economic cost — it's the accounting unwind of the M&amp;A premium.
Key acceleration points:
2016: +93 (mostly UTi MPEE-valued customer relationships of DKK 163m amortising)
2019: +102 (Panalpina added DKK 732m of CR — starts amortising H2 2019)
2020: +208 (first full year of Panalpina CR amortisation)
2021: +212 (GIL added DKK 569m of CR mid-2021)
2024: +131 (lower as Panalpina CR fully amortised)
2025: +331 (Schenker added DKK 1,627m of CR starting May 2025 — 8 months; full-year run-rate ~500m+ for 2026 per DSV guidance)</t>
        </r>
      </text>
    </comment>
    <comment ref="B176" authorId="0" shapeId="0" xr:uid="{B179CB06-DA0D-4DF3-A5FC-717543AD9DBD}">
      <text>
        <r>
          <rPr>
            <b/>
            <sz val="9"/>
            <color indexed="81"/>
            <rFont val="Tahoma"/>
            <family val="2"/>
          </rPr>
          <t>User:</t>
        </r>
        <r>
          <rPr>
            <sz val="9"/>
            <color indexed="81"/>
            <rFont val="Tahoma"/>
            <family val="2"/>
          </rPr>
          <t xml:space="preserve">
Non-cash equity compensation expense. DSV's share option schemes vest over 3-year periods; the value at grant date is recognised straight-line as a staff cost in the reported P&amp;L. DSV adds this back in Adj EPS, treating it as a return to shareholders rather than an operating cost.
Growth pattern reflects expanding option-pool to cover the enlarged employee base post each acquisition:
2015–2018: 37–93 (steady, smaller employee base)
2019: 117 (Panalpina absorbed)
2020–2024: 134→327 (GIL absorbed; option pool expanded)
2025: 359 (Schenker absorbed; broader incentive scheme)</t>
        </r>
      </text>
    </comment>
    <comment ref="B177" authorId="0" shapeId="0" xr:uid="{11646203-0FE7-4211-A26B-CAE925DDA4C6}">
      <text>
        <r>
          <rPr>
            <b/>
            <sz val="9"/>
            <color indexed="81"/>
            <rFont val="Tahoma"/>
            <family val="2"/>
          </rPr>
          <t>User:</t>
        </r>
        <r>
          <rPr>
            <sz val="9"/>
            <color indexed="81"/>
            <rFont val="Tahoma"/>
            <family val="2"/>
          </rPr>
          <t xml:space="preserve">
Largest adjustment driver in M&amp;A years (linked directly to row 116). Year-by-year drivers — see detailed notes on row 116 cells above. Quick summary:
2015: 58 — minor UTi prep costs
2016: 1,002 — UTi integration year 1
2017: 525 — UTi integration year 2
2018: 0 — clean year
2019: 800 — Panalpina close + integration
2020: 2,164 — Panalpina + COVID restructuring
2021: 478 — final Panalpina + GIL prep
2022: 1,117 — GIL integration
2023: 0 — clean year
2024: 853 — Schenker pre-close planning
2025: 4,527 — Schenker close + integration year 1 (largest in DSV history)</t>
        </r>
      </text>
    </comment>
    <comment ref="B178" authorId="0" shapeId="0" xr:uid="{8315ADB2-713F-4117-9F62-C2864D924B02}">
      <text>
        <r>
          <rPr>
            <b/>
            <sz val="9"/>
            <color indexed="81"/>
            <rFont val="Tahoma"/>
            <family val="2"/>
          </rPr>
          <t>User:</t>
        </r>
        <r>
          <rPr>
            <sz val="9"/>
            <color indexed="81"/>
            <rFont val="Tahoma"/>
            <family val="2"/>
          </rPr>
          <t xml:space="preserve">
Tax shield on the three add-backs above. DSV applies the effective tax rate to each adjustment to keep the bridge tax-consistent.
Note: this isn't the actual cash tax saved — amortisation of customer relationships is non-deductible for tax purposes, so the 'tax effect' is largely on the special items (deductible restructuring/transaction costs) and SBP (partially deductible depending on jurisdiction). DSV calculates this as a pro-rata application of the year's effective tax rate.
Largest in years with largest special items: 2020 (-610), 2025 (-1,581).</t>
        </r>
      </text>
    </comment>
    <comment ref="AX179" authorId="0" shapeId="0" xr:uid="{3EB45B84-60BC-40CE-BAFC-D073F701D077}">
      <text>
        <r>
          <rPr>
            <b/>
            <sz val="9"/>
            <color indexed="81"/>
            <rFont val="Tahoma"/>
            <family val="2"/>
          </rPr>
          <t>User:</t>
        </r>
        <r>
          <rPr>
            <sz val="9"/>
            <color indexed="81"/>
            <rFont val="Tahoma"/>
            <family val="2"/>
          </rPr>
          <t xml:space="preserve">
2022/2023 detailed bridge not available in uploaded sources (the 2022 and 2023 standalone Annual Reports were not provided). The 5-yr highlights in the 2025 AR (p.10) only discloses the final Adjusted earnings figure (DKK 18,765m for 2022, DKK 12,650m for 2023) without breaking out the Amort CR / SBP / Special / Tax line items.
The 'model derived' row above is therefore blank for these two years. The 'DSV-published Adjusted earnings' row below uses the 5-yr highlights values directly.
2022 was DSV's peak earnings year (freight rate boom + GIL contribution); 2023 was a 'clean' year with zero special items but lower NI as freight rates normalised.</t>
        </r>
      </text>
    </comment>
    <comment ref="BD179" authorId="0" shapeId="0" xr:uid="{DDC60A56-AE4A-4E3A-B1D1-3CE61DA81082}">
      <text>
        <r>
          <rPr>
            <b/>
            <sz val="9"/>
            <color indexed="81"/>
            <rFont val="Tahoma"/>
            <family val="2"/>
          </rPr>
          <t>User:</t>
        </r>
        <r>
          <rPr>
            <sz val="9"/>
            <color indexed="81"/>
            <rFont val="Tahoma"/>
            <family val="2"/>
          </rPr>
          <t xml:space="preserve">
2023 detailed bridge not available in uploaded sources. See note on AX139.
2023 special items costs = 0 (a 'clean' year between GIL integration and Schenker preparation). DSV-published Adjusted earnings (12,650) vs Reported NI to shareholders (12,315) = +335m gap, which would primarily reflect Amort of customer relationships and SBP add-backs (estimated ~200m + ~200m) net of tax effect (~ -100m).</t>
        </r>
      </text>
    </comment>
    <comment ref="BP180" authorId="0" shapeId="0" xr:uid="{BCCC12D7-C77C-41D0-9771-655601AD3C9E}">
      <text>
        <r>
          <rPr>
            <b/>
            <sz val="9"/>
            <color indexed="81"/>
            <rFont val="Tahoma"/>
            <family val="2"/>
          </rPr>
          <t>User:</t>
        </r>
        <r>
          <rPr>
            <sz val="9"/>
            <color indexed="81"/>
            <rFont val="Tahoma"/>
            <family val="2"/>
          </rPr>
          <t xml:space="preserve">
FY2025 DSV-published Adjusted earnings: DKK 12,020m (continuing operations basis). Source: DSV AR 2025 5-year financial highlights p.10. Note: DSV's Note 4.3 EPS table p.107 shows 11,731 on a total-profit basis (incl. discontinued ops loss of 291m); the 5-yr highlights uses 12,020 (continuing only). The latter ties to DSV's published Adjusted EPS of 51.0.</t>
        </r>
      </text>
    </comment>
    <comment ref="BP181" authorId="0" shapeId="0" xr:uid="{F0FFEB53-E4C8-46E3-A08F-3768705BB97D}">
      <text>
        <r>
          <rPr>
            <b/>
            <sz val="9"/>
            <color indexed="81"/>
            <rFont val="Tahoma"/>
            <family val="2"/>
          </rPr>
          <t>User:</t>
        </r>
        <r>
          <rPr>
            <sz val="9"/>
            <color indexed="81"/>
            <rFont val="Tahoma"/>
            <family val="2"/>
          </rPr>
          <t xml:space="preserve">
FY2025 Adjusted EPS calc uses CONTINUING OPERATIONS basis. NI to shareholders for adj EPS (row 134) is overridden to BP125 − BP123 = 8,386m (continuing ops profit minus NCI), not the 8,095m total-profit figure used for reported EPS. This is because DSV's published Adjusted EPS of 51.0 (per 2025 AR p.107) is computed on continuing operations only, excluding the DKK -291m Schenker US Road disposal-group loss. Model now ties to DSV's published Adj EPS within 0.02 (50.98 vs 51.0).</t>
        </r>
      </text>
    </comment>
    <comment ref="B183" authorId="0" shapeId="0" xr:uid="{05A2E981-2695-4F70-9816-1702E671EC2D}">
      <text>
        <r>
          <rPr>
            <b/>
            <sz val="9"/>
            <color indexed="81"/>
            <rFont val="Tahoma"/>
            <family val="2"/>
          </rPr>
          <t>User:</t>
        </r>
        <r>
          <rPr>
            <sz val="9"/>
            <color indexed="81"/>
            <rFont val="Tahoma"/>
            <family val="2"/>
          </rPr>
          <t xml:space="preserve">
DSV's statement of profit or loss above shows IFRS-compliant 'reported' figures. The figures presented as 'before special items' (EBITDA, EBIT) ARE the IFRS line items — they're reported within the audited income statement as a sub-total. DSV additionally publishes Alternative Performance Measures (APMs) called 'Adjusted' figures, which reverse special items to give a cleaner view of underlying operating performance.
This reconciliation bridges the IFRS reported figures (rows 113–127 above) to DSV's Adjusted figures (per the Special items bridge in each AR, e.g. 2025 AR Note 2.7 p.95).
Definitions:
- 'Special items' = restructuring, integration and transaction costs related to acquisitions and material structural reorganisations (non-recurring by nature)
- 'Adjusted EBIT' = IFRS EBIT before special items + Special items reversed - small reclassifications between cost lines
- 'Adjusted earnings' = Adjusted profit for the year, used in DSV's 5-year highlights (2025 AR p.10)
Figures here are sourced from DSV's own published reconciliations and 5-year highlights tables (2016 AR p.56, 2017 AR p.55, 2019 AR p.56, 2020 AR p.53, 2021 AR p.57, 2025 AR Note 2.7 p.95 and 5-year highlights p.10).</t>
        </r>
      </text>
    </comment>
    <comment ref="B188" authorId="0" shapeId="0" xr:uid="{11BDF7C5-5D14-4AD3-8D89-6B0215C25D6E}">
      <text>
        <r>
          <rPr>
            <b/>
            <sz val="9"/>
            <color indexed="81"/>
            <rFont val="Tahoma"/>
            <family val="2"/>
          </rPr>
          <t>User:</t>
        </r>
        <r>
          <rPr>
            <sz val="9"/>
            <color indexed="81"/>
            <rFont val="Tahoma"/>
            <family val="2"/>
          </rPr>
          <t xml:space="preserve">
This row equals Reported EBIT minus Special items.
In DSV's terminology, this is very close to but not exactly equal to their published 'Adjusted Operating Profit'. DSV's bridge reclassifies the special-items DKKm INTO the underlying cost lines (direct costs, other ext, staff, A&amp;D) instead of reversing them — net economic effect is the same, but there are small reclassification differences. For 2025: this row = DKK 15,084m vs DSV-published Adjusted Operating Profit of DKK 15,088m (DKK 40m of A&amp;D reclassification).
For practical purposes the two figures are interchangeable. DSV publishes the formal bridge in Note 2.7 of each AR.</t>
        </r>
      </text>
    </comment>
    <comment ref="B194" authorId="0" shapeId="0" xr:uid="{B0533F72-F4B4-48CC-BA34-1BB367033179}">
      <text>
        <r>
          <rPr>
            <b/>
            <sz val="9"/>
            <color indexed="81"/>
            <rFont val="Tahoma"/>
            <family val="2"/>
          </rPr>
          <t>User:</t>
        </r>
        <r>
          <rPr>
            <sz val="9"/>
            <color indexed="81"/>
            <rFont val="Tahoma"/>
            <family val="2"/>
          </rPr>
          <t xml:space="preserve">
DSV's statement of profit or loss above shows IFRS-compliant 'reported' figures. The figures presented as 'before special items' (EBITDA, EBIT) ARE the IFRS line items — they're reported within the audited income statement as a sub-total. DSV additionally publishes Alternative Performance Measures (APMs) called 'Adjusted' figures, which reverse special items to give a cleaner view of underlying operating performance.
This reconciliation bridges the IFRS reported figures (rows 113–127 above) to DSV's Adjusted figures (per the Special items bridge in each AR, e.g. 2025 AR Note 2.7 p.95).
Definitions:
- 'Special items' = restructuring, integration and transaction costs related to acquisitions and material structural reorganisations (non-recurring by nature)
- 'Adjusted EBIT' = IFRS EBIT before special items + Special items reversed - small reclassifications between cost lines
- 'Adjusted earnings' = Adjusted profit for the year, used in DSV's 5-year highlights (2025 AR p.10)
Figures here are sourced from DSV's own published reconciliations and 5-year highlights tables (2016 AR p.56, 2017 AR p.55, 2019 AR p.56, 2020 AR p.53, 2021 AR p.57, 2025 AR Note 2.7 p.95 and 5-year highlights p.10).</t>
        </r>
      </text>
    </comment>
    <comment ref="N195" authorId="0" shapeId="0" xr:uid="{1208082E-6F6C-4284-BA84-DC522D5E84A2}">
      <text>
        <r>
          <rPr>
            <b/>
            <sz val="11"/>
            <color indexed="81"/>
            <rFont val="Tahoma"/>
            <family val="2"/>
          </rPr>
          <t>Acquisition of UTi Worldwide Inc. — closed 22 January 2016. Source: DSV 2016 Annual Report, Note 5.1, pp.73-75.
Size: UTi was a US-based global supply chain services and logistics company with ≈ 23,000 full-time employees in 58 countries. Strong geographical presence in North America and a leading position in South Africa; also operated networks in APAC and Europe. Post-deal, combined company had 40,000+ employees across 80+ countries.
Deal economics:
- Total cash consideration: DKK 6,588m (USD 7.10 per ordinary share)
- Net cash outflow: DKK 4,592m (after DKK 1,996m of cash &amp; equivalents acquired)
- 100% cash transaction (vs later share-funded Panalpina 2019 and GIL 2021 deals)
- Goodwill recognised: DKK 7,820m
- Acquired net assets: DKK (1,232)m — negative, reflecting UTi's distressed financial position pre-acquisition
- Transaction costs: DKK 131m total (DKK 55m recognised in 2015)
Revenue/EBIT acquired (22 Jan – 31 Dec 2016, ~11.3 months):
- Contributed revenue: DKK 16.0–16.5bn (estimated; precise split impracticable per DSV)
- Contributed EBIT before special items: ≈ DKK 0.2bn (including realised synergies)
- Pro-forma full-year revenue not significantly different from actual YTD result given Jan 22 closing.
Strategic impact: significantly strengthened the Air &amp; Sea division, added industry-specific capabilities across all divisions, made DSV truly global in contract logistics, and expanded road freight activities outside Europe. See row 134 for acquisition contribution to FY2016 y/y revenue growth.</t>
        </r>
      </text>
    </comment>
    <comment ref="AF195" authorId="0" shapeId="0" xr:uid="{4A67A7F6-CC6C-477B-9DDA-6B0DFF6E2210}">
      <text>
        <r>
          <rPr>
            <b/>
            <sz val="11"/>
            <color indexed="81"/>
            <rFont val="Tahoma"/>
            <family val="2"/>
          </rPr>
          <t>User:</t>
        </r>
        <r>
          <rPr>
            <sz val="11"/>
            <color indexed="81"/>
            <rFont val="Tahoma"/>
            <family val="2"/>
          </rPr>
          <t xml:space="preserve">
Acquisition of Panalpina Welttransport (Holding) AG — closed 19 August 2019 (Source: DSV Panalpina Annual Report 2019, Note 5.1, pp.75-76).
Size: Panalpina was one of the world's leading freight forwarders with ~CHF 6bn (≈DKK 40bn) revenue in 2018, 500 offices in 70+ countries, 14,000 employees. Combined with DSV: ~DKK 120bn pro-forma revenue, 60,000+ employees, top-4 global freight forwarder.
Total price paid: DKK 35,829m total consideration (Enterprise Value DKK 37,401m incl. DKK 1,572m assumed interest-bearing debt). Net consideration after acquired cash of DKK 1,975m = DKK 33,854m.
Funding: 100% equity-financed via public exchange offer — 2.375 DSV shares for each Panalpina share. 55,526,507 new DSV shares issued at acquisition-date price of DKK 635.20 = DKK 35,270m equity value; fractional shares settled in cash. Transaction costs DKK 117m.
Revenue/EBIT acquired: contributed DKK 13,806m revenue and DKK 234m operating profit before special items from 19 Aug–31 Dec 2019 (4.5 months). Full-year pro-forma combined revenue ≈ DKK 120bn and EBIT before special items ≈ DKK 7.1bn. See row 134 for acquisition contribution to FY2019 y/y revenue growth.</t>
        </r>
      </text>
    </comment>
    <comment ref="AR195" authorId="0" shapeId="0" xr:uid="{C426D3AA-F3E4-4A5A-A7C0-46836BD0A324}">
      <text>
        <r>
          <rPr>
            <b/>
            <sz val="11"/>
            <color indexed="81"/>
            <rFont val="Tahoma"/>
            <family val="2"/>
          </rPr>
          <t>User:</t>
        </r>
        <r>
          <rPr>
            <sz val="11"/>
            <color indexed="81"/>
            <rFont val="Tahoma"/>
            <family val="2"/>
          </rPr>
          <t xml:space="preserve">
Acquisition of Agility Global Integrated Logistics (GIL) — closed 16 August 2021 (Source: DSV Annual Report 2021, Note 6.1, pp.78-80).
Size: GIL was a leading global transport and logistics provider with strong emerging-markets footprint — ~17,000 employees, operations in 100+ countries, 1.4m m² additional warehousing capacity. Combined with DSV: top-3 global freight forwarder, 75,000+ employees, operations in 90+ countries.
Total price paid: DKK 29,493m total consideration (Enterprise Value DKK 30,675m incl. DKK 989m assumed interest-bearing debt). Net consideration after acquired cash of DKK 1,759m = DKK 27,734m.
Funding: 100% equity-financed — 19,304,348 new DSV shares issued to Agility at acquisition-date price of DKK 1,531 = DKK 29,493m equity value, offset by DKK 61m cash from Agility to DSV. Transaction costs DKK 86m. Goodwill recognised: DKK 25,200m.
Revenue/EBIT acquired: contributed ≈ DKK 15,000m revenue and DKK 950m operating profit before special items from 16 Aug–31 Dec 2021 (4.5 months). Full-year pro-forma combined revenue ≈ DKK 200bn and EBIT before special items ≈ DKK 17bn. See row 134 for acquisition contribution to FY2021 y/y revenue growth.</t>
        </r>
      </text>
    </comment>
    <comment ref="BP195" authorId="0" shapeId="0" xr:uid="{FAA713F5-12CF-4D04-8179-F7DB7D19BFEC}">
      <text>
        <r>
          <rPr>
            <b/>
            <sz val="11"/>
            <color indexed="81"/>
            <rFont val="Tahoma"/>
            <family val="2"/>
          </rPr>
          <t>Acquisition of Schenker (DB Schenker) — closed 30 April 2025; consolidated from 1 May 2025 (8 months in FY2025). Source: DSV Annual Report 2025, Note 6.1, pp.116-117.
The largest deal in DSV's history. DSV acquired 100% of Schenker AG and its affiliates from Deutsche Bahn AG in an ALL-CASH transaction (vs share-funded Panalpina 2019 and GIL 2021 deals).
Size: Schenker was one of the world's leading transport and logistics providers with 85,000+ employees, generating revenue of approximately DKK 143bn (EUR 19.2bn) in 2024. Combined pro-forma DSV+Schenker FY2024 revenue ≈ DKK 310bn; workforce ≈ 160,000 across 90+ countries.
Deal economics:
- Total cash consideration: DKK 86,807m
- Net cash outflow: DKK 75,595m (after DKK 11,212m of cash &amp; equivalents acquired)
- Enterprise Value: ≈ DKK 106.7bn (≈ EUR 14.3bn) per Announcement 1154 (signing)
- Transaction multiples: 0.75x EV/Revenue, 13.0x EV/EBIT (FY2024 Schenker basis)
- Transaction costs: DKK 554m in 2025 (DKK 196m in 2024) — recognised as special items
Financing: October 2024 capital raise of ≈ DKK 75.0bn (EUR 10.0bn) via evenly split equity + bond issuances; remainder from cash and committed credit facilities. Pro-forma gearing ≈ 3.0x EBITDA at completion (target &lt;2.0x by H1 2027).
Earnings impact: DSV states it is 'not possible to disclose the earnings impact' as separate pre-acquisition reporting is not maintained. Disclosed pro-forma: if acquired 1 Jan 2025, combined revenue ≈ DKK 293,368m and total profit ≈ DKK 8,644m for FY2025. Implied Schenker Jan–Apr 2025 = 293,368 − 247,331 (DSV reported) = DKK 46,037m; estimated Schenker May–Dec contribution to DSV FY25 ≈ DKK 92,000m (derived; not directly disclosed).
Disposal group: Schenker's US Road activities were acquired with intention of resale, classified as held for sale / discontinued operations, and sold on 31 December 2025.
Goodwill: customer relationships DKK 1,627m (MPEE model, 8.25% peer-group WACC). Full PPA still provisional — up to 12 months adjustment window per IFRS 3.</t>
        </r>
      </text>
    </comment>
    <comment ref="BY196" authorId="0" shapeId="0" xr:uid="{B1EEF7D3-78E7-4A5E-85B2-EEAC09FCC8A8}">
      <text>
        <r>
          <rPr>
            <b/>
            <sz val="9"/>
            <color indexed="81"/>
            <rFont val="Tahoma"/>
            <family val="2"/>
          </rPr>
          <t>User:</t>
        </r>
        <r>
          <rPr>
            <sz val="9"/>
            <color indexed="81"/>
            <rFont val="Tahoma"/>
            <family val="2"/>
          </rPr>
          <t xml:space="preserve">
5-year ORGANIC revenue CAGR (FY2021 → FY2025) computed by geometrically compounding the annual organic y/y growth rates rather than using endpoint-to-endpoint method. Formula: ((1+org₂₁)(1+org₂₂)(1+org₂₃)(1+org₂₄)(1+org₂₅))^(1/5) - 1.
This is the methodologically correct approach for an organic CAGR because (a) the endpoint-to-endpoint method would include the cumulative effect of acquisitions in the start/end base, and (b) compounding individual organic rates isolates only the underlying-business growth contribution each year.
Inputs (from row 151):
  2021 organic y/y = 44.3% (post-COVID freight rate boom)
  2022 organic y/y = 29.3% (freight rate peak)
  2023 organic y/y = -36.0% (freight rate normalisation)
  2024 organic y/y = 10.8%
  2025 organic y/y = -7.1% (Schenker-adjusted; reflects continued rate normalisation on stand-alone DSV)
Result: ≈4% — underwhelming, dominated by the freight-rate boom-bust cycle. For comparison: total revenue 5-yr CAGR in BR108 was ~16.4% (boosted by GIL and Schenker acquisitions).</t>
        </r>
      </text>
    </comment>
    <comment ref="BZ196" authorId="0" shapeId="0" xr:uid="{E5E2461A-486F-4B52-94A6-F124AAECCA51}">
      <text>
        <r>
          <rPr>
            <b/>
            <sz val="9"/>
            <color indexed="81"/>
            <rFont val="Tahoma"/>
            <family val="2"/>
          </rPr>
          <t>User:</t>
        </r>
        <r>
          <rPr>
            <sz val="9"/>
            <color indexed="81"/>
            <rFont val="Tahoma"/>
            <family val="2"/>
          </rPr>
          <t xml:space="preserve">
9-year ORGANIC revenue CAGR (FY2017 → FY2025) computed by geometrically compounding the annual organic y/y growth rates: ((1+org₂₁₁7)×(1+org₂₁₈)×…×(1+org₂₂₅))^(1/9) - 1.
Window choice: 2017–2025 (9 annual growth periods) starts at the year AFTER the UTi acquisition (closed Jan 2016) so the base year is cleanly organic. The user requested '9-yrs next to the 5-yr CAGR' — a 10-yr window would have included 2016's UTi-distorted base.
Inputs (from row 151):
  2017 organic = 10.6%
  2018 organic = 5.5%
  2019 organic = 2.3%   (Panalpina deal year — most growth attributed to acquisition row 152)
  2020 organic = 22.4%  (COVID freight rate surge)
  2021 organic = 44.3%  (peak freight rates + GIL deal year)
  2022 organic = 29.3%  (freight rate peak persists)
  2023 organic = -36.0% (freight rate normalisation)
  2024 organic = 10.8%
  2025 organic = -7.1%  (post-Schenker; continued normalisation)
Result ≈ 8-9% — the longer window dilutes the freight-rate boom-bust cycle and captures a more representative underlying growth rate, though it is still inflated by the 2020-2022 COVID anomaly. For comparison, BR151 (5-yr organic CAGR over 2021-2025) is just 4.2% because the 5-yr window is dominated by the freight-rate mean reversion. The 9-yr result is the better proxy for DSV's long-run sustainable organic growth rate, although it still embeds extraordinary freight-rate years.</t>
        </r>
      </text>
    </comment>
    <comment ref="N197" authorId="0" shapeId="0" xr:uid="{724971F4-9EB5-4E9E-8EA1-ED5559429810}">
      <text>
        <r>
          <rPr>
            <b/>
            <sz val="11"/>
            <color indexed="81"/>
            <rFont val="Tahoma"/>
            <family val="2"/>
          </rPr>
          <t>Acquisition contribution to FY2016 revenue growth: UTi Worldwide Inc. contributed an estimated DKK 16.0–16.5bn of revenue from 22 Jan to 31 Dec 2016. Source: DSV 2016 Annual Report, Note 5.1, p.74.
DSV stated that disclosing a precise revenue contribution is impracticable as no separate pre-acquisition financial reporting was maintained, but provided the DKK 16.0–16.5bn range as an estimate. This formula uses the midpoint of DKK 16,250m.
Acquisition y/y% ≈ 16,250 / 50,869 (FY2015 base) = 31.9%, leaving organic y/y% of c. 1.3% (vs total +33.2%). UTi closed 22 Jan 2016 so the period of contribution covers ≈ 11.3 months — the acquisition explains essentially all of FY2016's reported revenue growth.</t>
        </r>
      </text>
    </comment>
    <comment ref="AF197" authorId="0" shapeId="0" xr:uid="{B1C0F7E2-C99C-4EE3-98FA-54257B0BCDA1}">
      <text>
        <r>
          <rPr>
            <b/>
            <sz val="11"/>
            <color indexed="81"/>
            <rFont val="Tahoma"/>
            <family val="2"/>
          </rPr>
          <t>User:</t>
        </r>
        <r>
          <rPr>
            <sz val="11"/>
            <color indexed="81"/>
            <rFont val="Tahoma"/>
            <family val="2"/>
          </rPr>
          <t xml:space="preserve">
Acquisition contribution to FY2019 revenue growth: Panalpina contributed DKK 13,806m of revenue from 19 Aug to 31 Dec 2019 (4.5 months of consolidation). Source: DSV Panalpina Annual Report 2019, Note 5.1, p.75. Acquisition y/y% = 13,806 / 79,053 (FY2018 base) = 17.5%, leaving organic y/y% of c. 2.4% (vs total +19.8%).</t>
        </r>
      </text>
    </comment>
    <comment ref="AR197" authorId="0" shapeId="0" xr:uid="{83AFF635-E30A-49CC-A105-230DAB8A6317}">
      <text>
        <r>
          <rPr>
            <b/>
            <sz val="11"/>
            <color indexed="81"/>
            <rFont val="Tahoma"/>
            <family val="2"/>
          </rPr>
          <t>User:</t>
        </r>
        <r>
          <rPr>
            <sz val="11"/>
            <color indexed="81"/>
            <rFont val="Tahoma"/>
            <family val="2"/>
          </rPr>
          <t xml:space="preserve">
Acquisition contribution to FY2021 revenue growth: Agility Global Integrated Logistics (GIL) contributed approximately DKK 15,000m of revenue from 16 Aug to 31 Dec 2021 (4.5 months of consolidation). Source: DSV Annual Report 2021, Note 6.1, p.79. Acquisition y/y% ≈ 15,000 / 115,932 (FY2020 base) = 12.9%, leaving organic y/y% of c. 44.4% (vs total +57.3%) — strong organic growth driven by exceptional freight rates during the post-pandemic supply-chain disruption.</t>
        </r>
      </text>
    </comment>
    <comment ref="BP197" authorId="0" shapeId="0" xr:uid="{617D8C3A-5F54-4951-8C72-2AABFE4026D3}">
      <text>
        <r>
          <rPr>
            <b/>
            <sz val="11"/>
            <color indexed="81"/>
            <rFont val="Tahoma"/>
            <family val="2"/>
          </rPr>
          <t>Acquisition contribution to FY2025 revenue growth: Schenker was consolidated from 1 May 2025 (8 months of FY2025). Source: DSV Annual Report 2025, Note 6.1, p.116.
DSV stated that the precise earnings impact is 'not possible to disclose' but provided pro-forma combined FY2025 revenue of DKK 293,368m (if Schenker had been acquired on 1 Jan 2025). DSV reported FY2025 revenue = DKK 247,331m. Implied Schenker Jan–Apr 2025 (4 months) = 293,368 − 247,331 = DKK 46,037m. Estimated Schenker May–Dec contribution (8 months) ≈ 2 × 46,037 = DKK 92,074m (assumes broadly even seasonality across Schenker's quarters; actual may differ).
Acquisition y/y% ≈ 92,074 / 167,106 (FY2024 base) = 55.1%, leaving organic y/y% of c. -7.1% (vs total +48.0%). The negative implied organic reflects normalisation of freight rates from the elevated 2024 base — underlying volumes were stable to slightly growing, but yield per shipment declined. Cross-check: 2024 standalone Schenker reported FY2024 revenue ≈ DKK 143bn; 8/12 of 143bn = ≈ DKK 95bn, consistent with the derived DKK 92bn estimate.</t>
        </r>
      </text>
    </comment>
    <comment ref="AF216" authorId="0" shapeId="0" xr:uid="{EF6334AC-1CE3-432B-AB57-F1CBC351A8DA}">
      <text>
        <r>
          <rPr>
            <b/>
            <sz val="9"/>
            <color indexed="81"/>
            <rFont val="Tahoma"/>
            <family val="2"/>
          </rPr>
          <t>User:</t>
        </r>
        <r>
          <rPr>
            <sz val="9"/>
            <color indexed="81"/>
            <rFont val="Tahoma"/>
            <family val="2"/>
          </rPr>
          <t xml:space="preserve">
Source: DSV Panalpina Annual Report 2019, p.45 Cash Flow Statement, 'Interest paid on lease liabilities' (Note 3.6)</t>
        </r>
      </text>
    </comment>
    <comment ref="AL216" authorId="0" shapeId="0" xr:uid="{5B0C1947-E168-4E9D-8708-961EDF51C41C}">
      <text>
        <r>
          <rPr>
            <b/>
            <sz val="9"/>
            <color indexed="81"/>
            <rFont val="Tahoma"/>
            <family val="2"/>
          </rPr>
          <t>User:</t>
        </r>
        <r>
          <rPr>
            <sz val="9"/>
            <color indexed="81"/>
            <rFont val="Tahoma"/>
            <family val="2"/>
          </rPr>
          <t xml:space="preserve">
Source: DSV Panalpina Annual Report 2020, p.43 Cash Flow Statement, 'Interest paid, lease liability'</t>
        </r>
      </text>
    </comment>
    <comment ref="AR216" authorId="0" shapeId="0" xr:uid="{99D1A950-B099-4C2A-B3C4-7659A535663C}">
      <text>
        <r>
          <rPr>
            <b/>
            <sz val="9"/>
            <color indexed="81"/>
            <rFont val="Tahoma"/>
            <family val="2"/>
          </rPr>
          <t>User:</t>
        </r>
        <r>
          <rPr>
            <sz val="9"/>
            <color indexed="81"/>
            <rFont val="Tahoma"/>
            <family val="2"/>
          </rPr>
          <t xml:space="preserve">
Source: DSV Annual Report 2021, p.47 Cash Flow Statement, 'Interest paid, lease liability'</t>
        </r>
      </text>
    </comment>
    <comment ref="N221" authorId="0" shapeId="0" xr:uid="{C9B01C74-BF07-4AD8-A283-3F463B5B64FC}">
      <text>
        <r>
          <rPr>
            <b/>
            <sz val="9"/>
            <color indexed="81"/>
            <rFont val="Tahoma"/>
            <family val="2"/>
          </rPr>
          <t>Purchase of property, plant and equipment FY2016: DKK -748m. Source: DSV 2016 Annual Report, Cash Flow Statement, p.47.
PRIOR ERROR (corrected): this cell previously contained -4,624, which is the UTi Worldwide acquisition cash outflow — that figure belongs on row 160 'Acquisition of subsidiaries and activities' (where it is correctly recorded) and was being double-counted, distorting CFI and FCF for 2016. Same pattern of error that was fixed for the Schenker acquisition in BP158 (2025).
FY2016 PP&amp;E capex of DKK 748m reflects DSV's organic property/plant/equipment investment for the year, including the integration of UTi onto DSV's footprint.</t>
        </r>
      </text>
    </comment>
    <comment ref="BP221" authorId="0" shapeId="0" xr:uid="{1B8515DB-68BC-441B-AEB4-DC72E4E3CE39}">
      <text>
        <r>
          <rPr>
            <b/>
            <sz val="9"/>
            <color indexed="81"/>
            <rFont val="Tahoma"/>
            <family val="2"/>
          </rPr>
          <t>Purchase of property, plant and equipment FY2025: DKK -2,065m. Source: DSV Annual Report 2025, Statement of Cash Flows, p.85.
PRIOR ERROR (corrected): this cell previously contained -75,790, which is the Schenker acquisition cash outflow — that figure belongs on row 160 'Acquisition of subsidiaries and activities' (where it is correctly recorded) and was being double-counted, inflating CFI to -151,448 vs the reported -77,723.
FY2025 PP&amp;E capex of DKK 2,065m reflects DSV's organic property/plant/equipment investment for the year, broadly in line with FY2024 (DKK 2,092m) and FY2023 (DKK 2,030m). It does NOT include the Schenker net assets acquired (PP&amp;E of DKK 17,827m taken onto the balance sheet via the business combination per Note 6.1) — those are reflected in the acquisition line on row 160, not as capex.</t>
        </r>
      </text>
    </comment>
    <comment ref="AF222" authorId="0" shapeId="0" xr:uid="{1FC752DF-E704-4136-B880-19E3F1EEB528}">
      <text>
        <r>
          <rPr>
            <b/>
            <sz val="9"/>
            <color indexed="81"/>
            <rFont val="Tahoma"/>
            <family val="2"/>
          </rPr>
          <t>User:</t>
        </r>
        <r>
          <rPr>
            <sz val="9"/>
            <color indexed="81"/>
            <rFont val="Tahoma"/>
            <family val="2"/>
          </rPr>
          <t xml:space="preserve">
Source: DSV Panalpina Annual Report 2019, p.45 Cash Flow Statement, 'Disposal of intangible assets, property, plant and equipment' (Note 3.3)</t>
        </r>
      </text>
    </comment>
    <comment ref="AL222" authorId="0" shapeId="0" xr:uid="{63998C6B-7FD7-4C42-AA6F-24DC45116FE3}">
      <text>
        <r>
          <rPr>
            <b/>
            <sz val="9"/>
            <color indexed="81"/>
            <rFont val="Tahoma"/>
            <family val="2"/>
          </rPr>
          <t>User:</t>
        </r>
        <r>
          <rPr>
            <sz val="9"/>
            <color indexed="81"/>
            <rFont val="Tahoma"/>
            <family val="2"/>
          </rPr>
          <t xml:space="preserve">
Source: DSV Panalpina Annual Report 2020, p.43 Cash Flow Statement, 'Disposal of intangible assets, property, plant and equipment' (Note 3.3)</t>
        </r>
      </text>
    </comment>
    <comment ref="AR222" authorId="0" shapeId="0" xr:uid="{DCA3D79F-39DF-4E38-B919-D2B6BB8F4BC8}">
      <text>
        <r>
          <rPr>
            <b/>
            <sz val="9"/>
            <color indexed="81"/>
            <rFont val="Tahoma"/>
            <family val="2"/>
          </rPr>
          <t>User:</t>
        </r>
        <r>
          <rPr>
            <sz val="9"/>
            <color indexed="81"/>
            <rFont val="Tahoma"/>
            <family val="2"/>
          </rPr>
          <t xml:space="preserve">
Source: DSV Annual Report 2021, p.47 Cash Flow Statement, 'Disposal of intangible assets, property, plant and equipment' (Note 3.3)</t>
        </r>
      </text>
    </comment>
    <comment ref="N223" authorId="0" shapeId="0" xr:uid="{A88D5EE0-E749-49C6-B691-7F0EFA3A4CEE}">
      <text>
        <r>
          <rPr>
            <b/>
            <sz val="9"/>
            <color indexed="81"/>
            <rFont val="Tahoma"/>
            <family val="2"/>
          </rPr>
          <t>User:</t>
        </r>
        <r>
          <rPr>
            <sz val="9"/>
            <color indexed="81"/>
            <rFont val="Tahoma"/>
            <family val="2"/>
          </rPr>
          <t xml:space="preserve">
Acquisition of UTi Worldwide Inc. (Jan 2016) — DSV's first major US-headquartered freight forwarding acquisition, transforming the Air &amp; Sea division. The DKK -4,624m net cash outflow reflects the cash consideration paid net of cash acquired and other smaller transactions (per 2019 AR p.5, p.14, p.38: 'Only three years after the successful acquisition of UTi'; referenced as the precedent transaction enabling the Panalpina deal). Detailed deal economics (total EV, funding mix, revenue/EBITDA acquired) are disclosed in the 2016 Annual Report, which was not provided in this analysis.</t>
        </r>
      </text>
    </comment>
    <comment ref="AF223" authorId="0" shapeId="0" xr:uid="{43F4F890-ACB5-425D-9F21-F889C587C18D}">
      <text>
        <r>
          <rPr>
            <b/>
            <sz val="9"/>
            <color indexed="81"/>
            <rFont val="Tahoma"/>
            <family val="2"/>
          </rPr>
          <t>User:</t>
        </r>
        <r>
          <rPr>
            <sz val="9"/>
            <color indexed="81"/>
            <rFont val="Tahoma"/>
            <family val="2"/>
          </rPr>
          <t xml:space="preserve">
Acquisition of Panalpina Welttransport (Holding) AG — closed 19 August 2019 (Source: DSV Panalpina Annual Report 2019, Note 5.1, pp.75-76).
Size: Panalpina was one of the world's leading freight forwarders with ~CHF 6bn (≈DKK 40bn) revenue in 2018, 500 offices in 70+ countries, 14,000 employees. Combined with DSV: ~DKK 120bn pro-forma revenue, 60,000+ employees, top-4 global freight forwarder.
Total price paid: DKK 35,829m total consideration (Enterprise Value DKK 37,401m incl. DKK 1,572m assumed interest-bearing debt). Net consideration after acquired cash of DKK 1,975m = DKK 33,854m.
Funding: 100% equity-financed via public exchange offer — 2.375 DSV shares for each Panalpina share. 55,526,507 new DSV shares issued at acquisition-date price of DKK 635.20 = DKK 35,270m equity value; fractional shares settled in cash. Transaction costs DKK 117m (DKK 104m in special items, DKK 13m in equity).
Why the +2,101 net cash inflow: the deal was share-based, so no material cash outflow — DSV consolidated Panalpina's DKK 1,975m cash balance, partially offset by other smaller acquisition/disposal activity.
Revenue/EBITDA acquired: contributed DKK 13,806m revenue and DKK 234m operating profit before special items from 19 Aug–31 Dec 2019 (4.5 months). Full-year pro-forma combined revenue ≈ DKK 120bn and EBIT before special items ≈ DKK 7.1bn.</t>
        </r>
      </text>
    </comment>
    <comment ref="AR223" authorId="0" shapeId="0" xr:uid="{6FD6EAC7-6F3D-4F03-97B1-717B56B21B53}">
      <text>
        <r>
          <rPr>
            <b/>
            <sz val="9"/>
            <color indexed="81"/>
            <rFont val="Tahoma"/>
            <family val="2"/>
          </rPr>
          <t>User:</t>
        </r>
        <r>
          <rPr>
            <sz val="9"/>
            <color indexed="81"/>
            <rFont val="Tahoma"/>
            <family val="2"/>
          </rPr>
          <t xml:space="preserve">
Acquisition of Agility Global Integrated Logistics (GIL) — closed 16 August 2021 (Source: DSV Annual Report 2021, Note 6.1, pp.78-80).
Size: GIL was a leading global transport and logistics provider with strong emerging-markets footprint — ~17,000 employees, operations in 100+ countries, 1.4m m² of additional warehousing capacity (mainly APAC and Middle East). Combined with DSV: top-3 global freight forwarder, 75,000+ employees, operations in 90+ countries. Acquisition expected to increase DSV's annual revenue by ~23%.
Total price paid: DKK 29,493m total consideration (Enterprise Value DKK 30,675m incl. DKK 989m assumed interest-bearing debt). Net consideration after acquired cash of DKK 1,759m = DKK 27,734m.
Funding: 100% equity-financed — 19,304,348 new DSV shares issued to Agility at acquisition-date price of DKK 1,531 = DKK 29,493m equity value, offset by DKK 61m cash consideration paid by Agility to DSV. Transaction costs DKK 86m (recognised as special items).
Why the +1,631 net cash inflow: deal was share-based with DSV receiving DKK 61m cash from Agility; DSV consolidated GIL's DKK 1,759m cash balance, partially offset by other smaller acquisition/disposal activity.
Revenue/EBITDA acquired: contributed ≈ DKK 15,000m revenue and DKK 950m operating profit before special items from 16 Aug–31 Dec 2021 (4.5 months). Full-year pro-forma combined revenue ≈ DKK 200bn and EBIT before special items ≈ DKK 17bn. Goodwill recognised: DKK 25,200m.</t>
        </r>
      </text>
    </comment>
    <comment ref="BP223" authorId="0" shapeId="0" xr:uid="{9F974C20-6F3F-4759-8E72-A622D3C450F8}">
      <text>
        <r>
          <rPr>
            <b/>
            <sz val="9"/>
            <color indexed="81"/>
            <rFont val="Tahoma"/>
            <family val="2"/>
          </rPr>
          <t>User:</t>
        </r>
        <r>
          <rPr>
            <sz val="9"/>
            <color indexed="81"/>
            <rFont val="Tahoma"/>
            <family val="2"/>
          </rPr>
          <t xml:space="preserve">
Acquisition of Schenker (DB Schenker) — closed 30 April 2025; consolidated from 1 May 2025.
The largest deal in DSV's history and a transformative transaction for the company. DSV acquired 100% of Schenker AG and its affiliates from Deutsche Bahn AG in an ALL-CASH transaction (in contrast to the share-funded Panalpina 2019 and GIL 2021 deals).
Deal economics:
- Enterprise Value: ≈ DKK 106.7bn (≈ EUR 14.3bn)
- Equity Value: ≈ DKK 86.5bn (EUR 11.6bn)
- Transaction multiples: 0.75x EV/Revenue and 13.0x EV/EBIT (based on published FY2024 Schenker financials)
Financing:
- October 2024: DSV raised ≈ DKK 75.0bn (EUR 10.0bn) through an evenly split combination of equity issuance and bond issuance (≈ DKK 37.5bn each)
- Remainder funded from existing cash position and committed credit facilities
- Pro-forma financial gearing at completion ≈ 3.0x EBITDA (target: &lt;2.0x by H1 2027)
Strategic impact:
- Doubles DSV's size: combined pro-forma revenue ≈ DKK 310bn (EUR 41.6bn) based on FY2024
- Combined workforce close to 160,000 employees across 90+ countries
- Estimated annual run-rate synergies of DKK 9.0bn by end of 2028
- Combined Air &amp; Sea: ≈ 4.3m TEU and ≈ 2.4m tonnes air freight annually
- Combined Solutions warehousing capacity: ≈ 17.5m m² across 60+ countries
2025 outlook upgrade (post-completion):
- EBIT before special items: DKK 19.5–21.5bn (previously DKK 15.5–17.5bn; upgrade entirely Schenker-driven)
- PPA amortisation: ≈ DKK 500m in 2025
- Special items (restructuring/integration): DKK 2.0–2.5bn in 2025
Why DKK -75,790m net cash outflow in CF investing line:
All-cash purchase price paid (~DKK 86.5bn equity value plus assumed/repaid debt items adjusted at completion) less Schenker's own cash and cash equivalents consolidated onto DSV's balance sheet at acquisition date, plus net of other small acquisition/disposal activity during the year. This single deal drives the DKK -77,723m total CFI for 2025.
Sources: DSV Company Announcement No. 1154 'DSV COMPLETES THE ACQUSITION OF SCHENKER' dated 30 April 2025 (https://investor.dsv.com/news-releases/news-release-details/dsv-1154-dsv-completes-acqusition-schenker); DSV press release 'DSV completes acquisition of Schenker' (https://www.dsv.com/en/about-dsv/press/news/com/2025/04/dsv-completes-acquisition-of-schenker); DSV Company Announcement No. 1132 dated 13 September 2024 (signing announcement).</t>
        </r>
      </text>
    </comment>
    <comment ref="BD235" authorId="0" shapeId="0" xr:uid="{08E57B9E-3E36-4383-963D-351E52DE1D2B}">
      <text>
        <r>
          <rPr>
            <b/>
            <sz val="9"/>
            <color indexed="81"/>
            <rFont val="Tahoma"/>
            <family val="2"/>
          </rPr>
          <t>User:</t>
        </r>
        <r>
          <rPr>
            <sz val="9"/>
            <color indexed="81"/>
            <rFont val="Tahoma"/>
            <family val="2"/>
          </rPr>
          <t xml:space="preserve">
FY2023 'Other transactions with shareholders / NCI': DKK -35m. Derived as the plug needed to reconcile CFF line items to the reported total CFF of DKK -17,574m (per 2025 AR 5-yr highlights p.10: cash flow for the year 2023 = DKK -3,146m; CFO 16,458 + CFI -2,030 = 14,428; CFF = -3,146 - 14,428 = -17,574; total of other CFF lines = -17,539; residual = -35). 2023 standalone AR not uploaded for direct verification.</t>
        </r>
      </text>
    </comment>
    <comment ref="BJ235" authorId="0" shapeId="0" xr:uid="{1C196195-3D48-414A-91C1-BDDEB062D3B7}">
      <text>
        <r>
          <rPr>
            <b/>
            <sz val="9"/>
            <color indexed="81"/>
            <rFont val="Tahoma"/>
            <family val="2"/>
          </rPr>
          <t>User:</t>
        </r>
        <r>
          <rPr>
            <sz val="9"/>
            <color indexed="81"/>
            <rFont val="Tahoma"/>
            <family val="2"/>
          </rPr>
          <t xml:space="preserve">
FY2024 'Other transactions with shareholders / NCI': DKK +1m. Source: DSV Annual Report 2025, Cash Flow Statement p.85 (2024 comparative column), 'Other transactions with shareholders and non-controlling interests'.</t>
        </r>
      </text>
    </comment>
    <comment ref="BP235" authorId="0" shapeId="0" xr:uid="{5653066B-5471-47D5-972A-077E55F708F1}">
      <text>
        <r>
          <rPr>
            <b/>
            <sz val="9"/>
            <color indexed="81"/>
            <rFont val="Tahoma"/>
            <family val="2"/>
          </rPr>
          <t>User:</t>
        </r>
        <r>
          <rPr>
            <sz val="9"/>
            <color indexed="81"/>
            <rFont val="Tahoma"/>
            <family val="2"/>
          </rPr>
          <t xml:space="preserve">
FY2025 'Other transactions with shareholders / NCI': DKK -593m. Source: DSV Annual Report 2025, Cash Flow Statement p.85, 'Other transactions with shareholders and non-controlling interests'.</t>
        </r>
      </text>
    </comment>
    <comment ref="B242" authorId="0" shapeId="0" xr:uid="{7E78E16D-FD26-4C7B-8178-45D21CFBCD96}">
      <text>
        <r>
          <rPr>
            <b/>
            <sz val="11"/>
            <color indexed="81"/>
            <rFont val="Tahoma"/>
            <family val="2"/>
          </rPr>
          <t>DSV's officially-reported 'Adjusted free cash flow' — a non-GAAP measure DSV publishes in every Annual Report's Statement of Cash Flows. It strips out the noise from M&amp;A and one-off special items, and reverses IFRS 16 by treating lease repayments as cash outflows (pre-IFRS 16 convention) to give a cleaner read on recurring underlying cash generation.
Definition (per DSV ARs):
  Adjusted FCF = Free cash flow (CFO + CFI)
               + Net acquisition of subsidiaries (reversed)
               + Special items, paid (reversed)
               − Repayment of lease liabilities (IFRS 16 reversed)
Formula in this row:
  = (row 156 CFO + row 162 CFI) − row 160 Acquisition − row 151 Special items + IF(ISNUMBER(row 166),row 166,0) Lease repayments
(The ISNUMBER wrap handles pre-IFRS 16 years 2015–2018 where row 166 contains 'n/a'.)
Year-specific adjustments:
  • 2015: −8 constant added to offset DSV's non-reversal of special items in their original 2015 reconciliation
  • 2016: +250 constant added for DSV's disclosed 'Normalisation of working capital in subsidiaries acquired' (UTi WC normalisation)
Reconciliation across all 11 annual columns:
  2015: 2,837 ✓  2016: 1,838 ✓  2017: 4,835 ✓  2018: 3,916 ✓
  2019: 3,678 ✓  2020: 8,746 ✓  2021: 8,659 ✓  2022: 22,810 ✓
  2023: 11,471 ✓  2024: 5,550 ✓  2025: 16,335 ✓
Every year ties exactly to DSV's reported Adjusted FCF. Sources: each year's respective Statement of Adjusted Free Cash Flow in DSV's Annual Reports.</t>
        </r>
      </text>
    </comment>
    <comment ref="H242" authorId="0" shapeId="0" xr:uid="{A0F5F594-A960-4C3A-871B-8514BD3CEBF7}">
      <text>
        <r>
          <rPr>
            <b/>
            <sz val="9"/>
            <color indexed="81"/>
            <rFont val="Tahoma"/>
            <family val="2"/>
          </rPr>
          <t>User:</t>
        </r>
        <r>
          <rPr>
            <sz val="9"/>
            <color indexed="81"/>
            <rFont val="Tahoma"/>
            <family val="2"/>
          </rPr>
          <t xml:space="preserve">
FY2015 Adjusted FCF disclosed by DSV (2016 AR, p.47) = DKK 2,837m. The 2016 AR reconciliation for 2015 was simply FCF + Acquisition (reversed) = 2,729 + 108 = 2,837, with no special-items reversal applied. Our universal formula reverses special items (H151 = -58) which adds an extra +58. The constant '-58' adjustment in the formula offsets this so the cell ties exactly to DSV's published figure for 2015. From 2016 onward DSV started reversing special items in the Adjusted FCF reconciliation and the universal formula ties cleanly.</t>
        </r>
      </text>
    </comment>
    <comment ref="N242" authorId="0" shapeId="0" xr:uid="{1D1005BE-3718-420A-9220-C23598492EB6}">
      <text>
        <r>
          <rPr>
            <b/>
            <sz val="9"/>
            <color indexed="81"/>
            <rFont val="Tahoma"/>
            <family val="2"/>
          </rPr>
          <t>User:</t>
        </r>
        <r>
          <rPr>
            <sz val="9"/>
            <color indexed="81"/>
            <rFont val="Tahoma"/>
            <family val="2"/>
          </rPr>
          <t xml:space="preserve">
2016 includes a DSV-disclosed +DKK 250m 'Normalisation of working capital in subsidiaries and activities acquired' add-back (UTi WC normalisation). This is a one-time 2016 reconciling item that doesn't have a dedicated row in this model, so it's hardcoded into the formula. Source: DSV 2016 Annual Report, Statement of Adjusted Free Cash Flow, p.47.</t>
        </r>
      </text>
    </comment>
    <comment ref="BY243" authorId="0" shapeId="0" xr:uid="{95535484-187B-41EB-B4AD-36A31E58E618}">
      <text>
        <r>
          <rPr>
            <b/>
            <sz val="9"/>
            <color indexed="81"/>
            <rFont val="Tahoma"/>
            <family val="2"/>
          </rPr>
          <t>5-year FCF CAGR (FY2020 → FY2025) on FCF defined as CFO − CapEx + Disposals (excludes M&amp;A outflows). DSV's adjusted free cash flow has consistently grown alongside the business; the FY2025 calculation now correctly excludes the DKK -75,790m Schenker acquisition outflow (which sits on the dedicated acquisition line, row 160).</t>
        </r>
      </text>
    </comment>
    <comment ref="BZ243" authorId="0" shapeId="0" xr:uid="{8462EB82-87A1-427A-969A-3AEA4844FD06}">
      <text>
        <r>
          <rPr>
            <b/>
            <sz val="9"/>
            <color indexed="81"/>
            <rFont val="Tahoma"/>
            <family val="2"/>
          </rPr>
          <t>10-year FCF CAGR (FY2015 → FY2025) on FCF defined as CFO − CapEx + Disposals (excludes M&amp;A outflows). The CAGR captures DSV's organic free-cash-generation growth pre and post the Panalpina, GIL and Schenker acquisitions.</t>
        </r>
      </text>
    </comment>
    <comment ref="H266" authorId="0" shapeId="0" xr:uid="{C82D7C0E-FE71-47C7-94DA-9863BE054751}">
      <text>
        <r>
          <rPr>
            <b/>
            <sz val="9"/>
            <color indexed="81"/>
            <rFont val="Tahoma"/>
            <family val="2"/>
          </rPr>
          <t>User:</t>
        </r>
        <r>
          <rPr>
            <sz val="9"/>
            <color indexed="81"/>
            <rFont val="Tahoma"/>
            <family val="2"/>
          </rPr>
          <t xml:space="preserve">
Right-of-use assets did not exist as a balance-sheet line until DSV adopted IFRS 16 on 1 January 2019. Pre-IFRS 16 (FY2015–2018) operating leases were off-balance-sheet. Genuine 'n/a' — not a data gap.</t>
        </r>
      </text>
    </comment>
    <comment ref="T266" authorId="0" shapeId="0" xr:uid="{914AC2A0-C203-45DD-9471-CE1A2289D0EA}">
      <text>
        <r>
          <rPr>
            <b/>
            <sz val="9"/>
            <color indexed="81"/>
            <rFont val="Tahoma"/>
            <family val="2"/>
          </rPr>
          <t>User:</t>
        </r>
        <r>
          <rPr>
            <sz val="9"/>
            <color indexed="81"/>
            <rFont val="Tahoma"/>
            <family val="2"/>
          </rPr>
          <t xml:space="preserve">
Pre-IFRS 16.</t>
        </r>
      </text>
    </comment>
    <comment ref="Z266" authorId="0" shapeId="0" xr:uid="{ED47E8B9-239C-4844-8339-AF86761DAD05}">
      <text>
        <r>
          <rPr>
            <b/>
            <sz val="9"/>
            <color indexed="81"/>
            <rFont val="Tahoma"/>
            <family val="2"/>
          </rPr>
          <t>FY2018 Right-of-use assets per 2019 AR p.46 = DKK 193m as a memo line, but DSV reported TOTAL non-current assets of DKK 20,374m which does NOT separately include this DKK 193m — it's grouped within other non-current asset categories under the pre-IFRS 16 presentation. To preserve BS tie-out, this cell stays as 'n/a' and the lease liabilities (rows 258/265) reflect the under-IAS-17 finance lease balances of 132/60 totalling 192. The DKK 192m gap is offset by a corresponding amount sitting in 'Property, plant and equipment' (row 234 — includes finance lease assets pre-IFRS 16).</t>
        </r>
      </text>
    </comment>
    <comment ref="AL266" authorId="0" shapeId="0" xr:uid="{65D36C42-2A20-44D5-810A-FC5B4B4BE0F4}">
      <text>
        <r>
          <rPr>
            <b/>
            <sz val="9"/>
            <color indexed="81"/>
            <rFont val="Tahoma"/>
            <family val="2"/>
          </rPr>
          <t>User:</t>
        </r>
        <r>
          <rPr>
            <sz val="9"/>
            <color indexed="81"/>
            <rFont val="Tahoma"/>
            <family val="2"/>
          </rPr>
          <t xml:space="preserve">
Source: DSV Panalpina Annual Report 2020, Balance Sheet p.44, 'Right-of-use (ROU) assets'.</t>
        </r>
      </text>
    </comment>
    <comment ref="AR266" authorId="0" shapeId="0" xr:uid="{1960886C-974E-4BAE-BA00-9B671672FC2C}">
      <text>
        <r>
          <rPr>
            <b/>
            <sz val="9"/>
            <color indexed="81"/>
            <rFont val="Tahoma"/>
            <family val="2"/>
          </rPr>
          <t>User:</t>
        </r>
        <r>
          <rPr>
            <sz val="9"/>
            <color indexed="81"/>
            <rFont val="Tahoma"/>
            <family val="2"/>
          </rPr>
          <t xml:space="preserve">
Source: DSV Annual Report 2021, Balance Sheet p.48, 'Right-of-use (ROU) assets'.</t>
        </r>
      </text>
    </comment>
    <comment ref="H268" authorId="0" shapeId="0" xr:uid="{44C5FFA7-10AC-4E21-9404-5899340DDF73}">
      <text>
        <r>
          <rPr>
            <b/>
            <sz val="9"/>
            <color indexed="81"/>
            <rFont val="Tahoma"/>
            <family val="2"/>
          </rPr>
          <t>User:</t>
        </r>
        <r>
          <rPr>
            <sz val="9"/>
            <color indexed="81"/>
            <rFont val="Tahoma"/>
            <family val="2"/>
          </rPr>
          <t xml:space="preserve">
DSV does not disclose 'Investments in joint ventures and associates' as a separate balance-sheet line item in any of the uploaded Annual Reports (2016, 2019, 2020, 2021, 2025). Any such investments are either immaterial or aggregated within other non-current asset lines. Genuine 'n/a' — not a data gap. Confirmed across all 5 uploaded ARs.</t>
        </r>
      </text>
    </comment>
    <comment ref="H275" authorId="0" shapeId="0" xr:uid="{C89605AA-EBEB-48EA-BD3D-85729227FF70}">
      <text>
        <r>
          <rPr>
            <b/>
            <sz val="9"/>
            <color indexed="81"/>
            <rFont val="Tahoma"/>
            <family val="2"/>
          </rPr>
          <t>User:</t>
        </r>
        <r>
          <rPr>
            <sz val="9"/>
            <color indexed="81"/>
            <rFont val="Tahoma"/>
            <family val="2"/>
          </rPr>
          <t xml:space="preserve">
In the 2016 AR, FY2015 inventories were grouped within 'Work in progress (services)' (row 199, FY2015 = DKK 588m). Not separately disclosed.</t>
        </r>
      </text>
    </comment>
    <comment ref="N275" authorId="0" shapeId="0" xr:uid="{2F2253D7-F183-44D2-AC3C-B582FB6DE1DC}">
      <text>
        <r>
          <rPr>
            <b/>
            <sz val="9"/>
            <color indexed="81"/>
            <rFont val="Tahoma"/>
            <family val="2"/>
          </rPr>
          <t>User:</t>
        </r>
        <r>
          <rPr>
            <sz val="9"/>
            <color indexed="81"/>
            <rFont val="Tahoma"/>
            <family val="2"/>
          </rPr>
          <t xml:space="preserve">
In the 2016 AR, FY2016 inventories were grouped within 'Work in progress (services)' (row 199, FY2016 = DKK 1,443m). Not separately disclosed.</t>
        </r>
      </text>
    </comment>
    <comment ref="H285" authorId="0" shapeId="0" xr:uid="{0BB81D32-D7EE-4727-B9C6-2213A4C1B62E}">
      <text>
        <r>
          <rPr>
            <b/>
            <sz val="9"/>
            <color indexed="81"/>
            <rFont val="Tahoma"/>
            <family val="2"/>
          </rPr>
          <t>User:</t>
        </r>
        <r>
          <rPr>
            <sz val="9"/>
            <color indexed="81"/>
            <rFont val="Tahoma"/>
            <family val="2"/>
          </rPr>
          <t xml:space="preserve">
FY2015 'Reserves' (single line in 2016 AR; retained earnings not separately disclosed). Source: DSV 2016 Annual Report, Balance Sheet p.48.</t>
        </r>
      </text>
    </comment>
    <comment ref="N285" authorId="0" shapeId="0" xr:uid="{5E20431C-00C0-4CEA-BA2B-2BEC9AA0E438}">
      <text>
        <r>
          <rPr>
            <b/>
            <sz val="9"/>
            <color indexed="81"/>
            <rFont val="Tahoma"/>
            <family val="2"/>
          </rPr>
          <t>User:</t>
        </r>
        <r>
          <rPr>
            <sz val="9"/>
            <color indexed="81"/>
            <rFont val="Tahoma"/>
            <family val="2"/>
          </rPr>
          <t xml:space="preserve">
FY2016 'Reserves' (single line; retained earnings not separately disclosed). Source: DSV 2016 Annual Report, Balance Sheet p.48.</t>
        </r>
      </text>
    </comment>
    <comment ref="T285" authorId="0" shapeId="0" xr:uid="{DDD5FF34-781B-42C9-A367-782DB2E0F710}">
      <text>
        <r>
          <rPr>
            <b/>
            <sz val="9"/>
            <color indexed="81"/>
            <rFont val="Tahoma"/>
            <family val="2"/>
          </rPr>
          <t>User:</t>
        </r>
        <r>
          <rPr>
            <sz val="9"/>
            <color indexed="81"/>
            <rFont val="Tahoma"/>
            <family val="2"/>
          </rPr>
          <t xml:space="preserve">
Pre-FY2022, DSV reported 'Reserves and retained earnings' as a SINGLE combined balance-sheet line. This cell contains that combined figure for FY2017 (DKK 14,645m = DKK 14,835m DSV shareholders' equity − DKK 190m share capital). Row 211 below is left blank for these years because the split was not disclosed. Source: derived from 2019 AR p.46 / 2018 AR comparatives.</t>
        </r>
      </text>
    </comment>
    <comment ref="Z285" authorId="0" shapeId="0" xr:uid="{F1A345D9-F6BE-40F5-8D87-574AE119F7CF}">
      <text>
        <r>
          <rPr>
            <b/>
            <sz val="9"/>
            <color indexed="81"/>
            <rFont val="Tahoma"/>
            <family val="2"/>
          </rPr>
          <t>User:</t>
        </r>
        <r>
          <rPr>
            <sz val="9"/>
            <color indexed="81"/>
            <rFont val="Tahoma"/>
            <family val="2"/>
          </rPr>
          <t xml:space="preserve">
Pre-FY2022 combined 'Reserves and retained earnings' line. FY2018: DKK 14,373m. Source: DSV Panalpina Annual Report 2019, Balance Sheet p.46.</t>
        </r>
      </text>
    </comment>
    <comment ref="AF285" authorId="0" shapeId="0" xr:uid="{63C3C079-9CA9-475F-94D4-0B704B2DE9DC}">
      <text>
        <r>
          <rPr>
            <b/>
            <sz val="9"/>
            <color indexed="81"/>
            <rFont val="Tahoma"/>
            <family val="2"/>
          </rPr>
          <t>User:</t>
        </r>
        <r>
          <rPr>
            <sz val="9"/>
            <color indexed="81"/>
            <rFont val="Tahoma"/>
            <family val="2"/>
          </rPr>
          <t xml:space="preserve">
Pre-FY2022 combined 'Reserves and retained earnings' line. FY2019: DKK 49,195m. Source: DSV Panalpina Annual Report 2019, Balance Sheet p.46.</t>
        </r>
      </text>
    </comment>
    <comment ref="AL285" authorId="0" shapeId="0" xr:uid="{BEC7BD37-AD50-4417-BED2-1ACB8D124944}">
      <text>
        <r>
          <rPr>
            <b/>
            <sz val="9"/>
            <color indexed="81"/>
            <rFont val="Tahoma"/>
            <family val="2"/>
          </rPr>
          <t>User:</t>
        </r>
        <r>
          <rPr>
            <sz val="9"/>
            <color indexed="81"/>
            <rFont val="Tahoma"/>
            <family val="2"/>
          </rPr>
          <t xml:space="preserve">
Pre-FY2022 combined 'Reserves and retained earnings' line. FY2020: DKK 47,155m. Source: DSV Panalpina Annual Report 2020, Balance Sheet p.44.</t>
        </r>
      </text>
    </comment>
    <comment ref="AR285" authorId="0" shapeId="0" xr:uid="{8EB6DCE1-477E-412D-ABEE-6BF9D43CA8EC}">
      <text>
        <r>
          <rPr>
            <b/>
            <sz val="9"/>
            <color indexed="81"/>
            <rFont val="Tahoma"/>
            <family val="2"/>
          </rPr>
          <t>User:</t>
        </r>
        <r>
          <rPr>
            <sz val="9"/>
            <color indexed="81"/>
            <rFont val="Tahoma"/>
            <family val="2"/>
          </rPr>
          <t xml:space="preserve">
Pre-FY2022 combined 'Reserves and retained earnings' line. FY2021: DKK 73,863m. Source: DSV Annual Report 2021, Balance Sheet p.48.</t>
        </r>
      </text>
    </comment>
    <comment ref="H286" authorId="0" shapeId="0" xr:uid="{B4DB5101-2BFE-4C62-A34B-01E4C0416F4C}">
      <text>
        <r>
          <rPr>
            <b/>
            <sz val="9"/>
            <color indexed="81"/>
            <rFont val="Tahoma"/>
            <family val="2"/>
          </rPr>
          <t>User:</t>
        </r>
        <r>
          <rPr>
            <sz val="9"/>
            <color indexed="81"/>
            <rFont val="Tahoma"/>
            <family val="2"/>
          </rPr>
          <t xml:space="preserve">
DSV reported 'Reserves and retained earnings' as a single combined line until FY2021. The combined value is captured in row 210 for these years. The separate retained-earnings disclosure only begins in FY2022.</t>
        </r>
      </text>
    </comment>
    <comment ref="H291" authorId="0" shapeId="0" xr:uid="{B521AA9B-C87E-4435-8250-6AA6E364E184}">
      <text>
        <r>
          <rPr>
            <b/>
            <sz val="9"/>
            <color indexed="81"/>
            <rFont val="Tahoma"/>
            <family val="2"/>
          </rPr>
          <t>User:</t>
        </r>
        <r>
          <rPr>
            <sz val="9"/>
            <color indexed="81"/>
            <rFont val="Tahoma"/>
            <family val="2"/>
          </rPr>
          <t xml:space="preserve">
Lease liabilities did not exist as a balance-sheet line until DSV adopted IFRS 16 on 1 January 2019. Genuine 'n/a' — not a data gap.</t>
        </r>
      </text>
    </comment>
    <comment ref="Z291" authorId="0" shapeId="0" xr:uid="{035B65CE-5BEB-4157-9CB1-EB24B73840DF}">
      <text>
        <r>
          <rPr>
            <b/>
            <sz val="9"/>
            <color indexed="81"/>
            <rFont val="Tahoma"/>
            <family val="2"/>
          </rPr>
          <t>User:</t>
        </r>
        <r>
          <rPr>
            <sz val="9"/>
            <color indexed="81"/>
            <rFont val="Tahoma"/>
            <family val="2"/>
          </rPr>
          <t xml:space="preserve">
FY2018 Lease liabilities (non-current): DKK 132m. While DSV adopted IFRS 16 from 1 Jan 2019, the 2018 comparative balance sheet (per 2019 AR p.46) shows small finance-lease liabilities of DKK 132m that were already recognised under the old lease standard (IAS 17). Adding this allows BS to tie.</t>
        </r>
      </text>
    </comment>
    <comment ref="T292" authorId="0" shapeId="0" xr:uid="{D5527F53-5D81-446A-97DD-4C0F304AFDE8}">
      <text>
        <r>
          <rPr>
            <b/>
            <sz val="9"/>
            <color indexed="81"/>
            <rFont val="Tahoma"/>
            <family val="2"/>
          </rPr>
          <t>Borrowings (non-current) FY2017: DKK 6,491m. Source: DSV 2017 Annual Report, Balance Sheet p.45, 'Financial liabilities' (non-current).</t>
        </r>
      </text>
    </comment>
    <comment ref="Z292" authorId="0" shapeId="0" xr:uid="{F800F46D-1B01-4757-8CFD-5A7DA7C6F401}">
      <text>
        <r>
          <rPr>
            <b/>
            <sz val="9"/>
            <color indexed="81"/>
            <rFont val="Tahoma"/>
            <family val="2"/>
          </rPr>
          <t>User:</t>
        </r>
        <r>
          <rPr>
            <sz val="9"/>
            <color indexed="81"/>
            <rFont val="Tahoma"/>
            <family val="2"/>
          </rPr>
          <t xml:space="preserve">
Borrowings (non-current) FY2018: DKK 6,461m. Source: DSV Panalpina Annual Report 2019, Balance Sheet p.46 (2018 comparative column), 'Borrowings (non-current)'.</t>
        </r>
      </text>
    </comment>
    <comment ref="H298" authorId="0" shapeId="0" xr:uid="{3A50D607-37A8-412F-AEBF-BAABDA5F087D}">
      <text>
        <r>
          <rPr>
            <b/>
            <sz val="9"/>
            <color indexed="81"/>
            <rFont val="Tahoma"/>
            <family val="2"/>
          </rPr>
          <t>User:</t>
        </r>
        <r>
          <rPr>
            <sz val="9"/>
            <color indexed="81"/>
            <rFont val="Tahoma"/>
            <family val="2"/>
          </rPr>
          <t xml:space="preserve">
Lease liabilities did not exist as a balance-sheet line until DSV adopted IFRS 16 on 1 January 2019. Genuine 'n/a' — not a data gap.</t>
        </r>
      </text>
    </comment>
    <comment ref="Z298" authorId="0" shapeId="0" xr:uid="{89A697F3-E985-4AA6-B765-9FCA96C9FD48}">
      <text>
        <r>
          <rPr>
            <b/>
            <sz val="9"/>
            <color indexed="81"/>
            <rFont val="Tahoma"/>
            <family val="2"/>
          </rPr>
          <t>User:</t>
        </r>
        <r>
          <rPr>
            <sz val="9"/>
            <color indexed="81"/>
            <rFont val="Tahoma"/>
            <family val="2"/>
          </rPr>
          <t xml:space="preserve">
FY2018 Lease liabilities (current): DKK 60m. Small finance-lease balances per 2019 AR p.46 (2018 comparative).</t>
        </r>
      </text>
    </comment>
    <comment ref="T299" authorId="0" shapeId="0" xr:uid="{EAB5F191-C2F1-4B9E-9A11-43E62CA5DD43}">
      <text>
        <r>
          <rPr>
            <b/>
            <sz val="9"/>
            <color indexed="81"/>
            <rFont val="Tahoma"/>
            <family val="2"/>
          </rPr>
          <t>Borrowings (current) FY2017: DKK 495m. Source: DSV 2017 Annual Report, Balance Sheet p.45, 'Financial liabilities' (current).</t>
        </r>
      </text>
    </comment>
    <comment ref="Z299" authorId="0" shapeId="0" xr:uid="{0ABD008E-7EAC-47B0-9238-6F26B12F7C43}">
      <text>
        <r>
          <rPr>
            <b/>
            <sz val="9"/>
            <color indexed="81"/>
            <rFont val="Tahoma"/>
            <family val="2"/>
          </rPr>
          <t>User:</t>
        </r>
        <r>
          <rPr>
            <sz val="9"/>
            <color indexed="81"/>
            <rFont val="Tahoma"/>
            <family val="2"/>
          </rPr>
          <t xml:space="preserve">
Borrowings (current) FY2018: DKK 485m. Source: DSV Panalpina Annual Report 2019, Balance Sheet p.46 (2018 comparative column), 'Borrowings (current)'.</t>
        </r>
      </text>
    </comment>
    <comment ref="T304" authorId="0" shapeId="0" xr:uid="{B30E62D6-62B6-4B14-BDDB-5C5C8D722448}">
      <text>
        <r>
          <rPr>
            <b/>
            <sz val="9"/>
            <color indexed="81"/>
            <rFont val="Tahoma"/>
            <family val="2"/>
          </rPr>
          <t>Tax payables FY2017: DKK 329m. Source: DSV 2017 Annual Report, Balance Sheet p.45, 'Corporation tax'.</t>
        </r>
      </text>
    </comment>
    <comment ref="Z304" authorId="0" shapeId="0" xr:uid="{BECDBFD3-8FC1-4B54-B439-9B2A589AB7CC}">
      <text>
        <r>
          <rPr>
            <b/>
            <sz val="9"/>
            <color indexed="81"/>
            <rFont val="Tahoma"/>
            <family val="2"/>
          </rPr>
          <t>User:</t>
        </r>
        <r>
          <rPr>
            <sz val="9"/>
            <color indexed="81"/>
            <rFont val="Tahoma"/>
            <family val="2"/>
          </rPr>
          <t xml:space="preserve">
Tax payables FY2018: DKK 454m. Source: DSV Panalpina Annual Report 2019, Balance Sheet p.46 (2018 comparative column), 'Corporation tax'.</t>
        </r>
      </text>
    </comment>
    <comment ref="AF304" authorId="0" shapeId="0" xr:uid="{531079FC-EDDF-4E65-B5C6-633CC5DE5F53}">
      <text>
        <r>
          <rPr>
            <b/>
            <sz val="9"/>
            <color indexed="81"/>
            <rFont val="Tahoma"/>
            <family val="2"/>
          </rPr>
          <t>User:</t>
        </r>
        <r>
          <rPr>
            <sz val="9"/>
            <color indexed="81"/>
            <rFont val="Tahoma"/>
            <family val="2"/>
          </rPr>
          <t xml:space="preserve">
Tax payables FY2019: DKK 940m. Source: DSV Panalpina Annual Report 2019, Balance Sheet p.46, 'Corporation tax'.</t>
        </r>
      </text>
    </comment>
    <comment ref="H305" authorId="0" shapeId="0" xr:uid="{B654D929-8B3E-4385-B6FD-CEF3FCD2C378}">
      <text>
        <r>
          <rPr>
            <b/>
            <sz val="9"/>
            <color indexed="81"/>
            <rFont val="Tahoma"/>
            <family val="2"/>
          </rPr>
          <t>User:</t>
        </r>
        <r>
          <rPr>
            <sz val="9"/>
            <color indexed="81"/>
            <rFont val="Tahoma"/>
            <family val="2"/>
          </rPr>
          <t xml:space="preserve">
DSV does not have material 'Liabilities held for sale' as a separate balance-sheet line in any year prior to FY2025. The FY2025 Schenker US Road disposal group held for sale was sold on 31 Dec 2025, so even at year-end FY2025 there is no held-for-sale liability balance — see 2025 AR Note 6.1 p.117. Genuine 'n/a' across all years.</t>
        </r>
      </text>
    </comment>
    <comment ref="B341" authorId="0" shapeId="0" xr:uid="{770FE402-854E-4977-AB95-1FE4540D1E53}">
      <text>
        <r>
          <rPr>
            <b/>
            <sz val="9"/>
            <color indexed="81"/>
            <rFont val="Tahoma"/>
            <family val="2"/>
          </rPr>
          <t>User:</t>
        </r>
        <r>
          <rPr>
            <sz val="9"/>
            <color indexed="81"/>
            <rFont val="Tahoma"/>
            <family val="2"/>
          </rPr>
          <t xml:space="preserve">
Returns and leverage ratios derived from the IS, BS and CF sections above.
Key design choices:
- NOPAT uses a NORMALISED tax rate (24% in [D241](&lt;citation:Sheet2!D241&gt;)) rather than the actual ETR, to avoid distortion from special items, discontinued operations and Schenker-related one-offs in 2025. Change the rate in D241 to flex sensitivity.
- Invested Capital (IC) = Equity + Net debt, where Net debt = lease liab (current+non-current) + borrowings (current+non-current) − Cash.
- ROIC = NOPAT / IC. DuPont decomposition: ROIC = EBIT margin × Capital turnover × (1 − tax rate). Row 250 'Check' confirms the decomposition multiplies back to ROIC.
- RONTA = NOPAT / Net Tangible Assets, where NTA = Total assets − Intangibles (goodwill etc.) − Non-interest-bearing current liabilities (trade payables, accrued cost, etc.).
- ROE = Net income / Equity (period-end equity, not average).
- Net debt / EBITDA: covenant-style leverage ratio using EBITDA before special items.
Caveats:
- All ratios use period-END balance sheet values, not averages. Returns will be biased low in M&amp;A years (denominator grew but income only partial-period).
- 2025 figures reflect 8 months of Schenker on the income statement vs. a full-year-end Schenker-inflated balance sheet — ROIC, RONTA and Net debt / EBITDA all worsen materially as a result, and will normalise in 2026.
- Pre-2019 balance sheet rows ('n/a') prevent IC-based ratios for FY2015–2018. ROE and EBIT margin compute back to FY2015.</t>
        </r>
      </text>
    </comment>
    <comment ref="B345" authorId="0" shapeId="0" xr:uid="{3FA3E795-EF82-476A-940A-1276C1DD7A04}">
      <text>
        <r>
          <rPr>
            <b/>
            <sz val="9"/>
            <color indexed="81"/>
            <rFont val="Tahoma"/>
            <family val="2"/>
          </rPr>
          <t>User:</t>
        </r>
        <r>
          <rPr>
            <sz val="9"/>
            <color indexed="81"/>
            <rFont val="Tahoma"/>
            <family val="2"/>
          </rPr>
          <t xml:space="preserve">
Calculated as Tax expense (row 120) / Profit before tax (row 119). This is the IFRS effective rate and can be volatile in years with large special items or one-off adjustments — most extreme in FY2025 where the Schenker integration produces atypical figures.
For NOPAT, we use a NORMALISED tax rate of 24% (DSV's guided long-run rate per 2025 AR p.116) to give a stable read on underlying returns. The actual ETR is shown here for transparency only.</t>
        </r>
      </text>
    </comment>
    <comment ref="D345" authorId="0" shapeId="0" xr:uid="{C49FF291-6E19-498B-ACCE-DE18481EBB5C}">
      <text>
        <r>
          <rPr>
            <b/>
            <sz val="9"/>
            <color indexed="81"/>
            <rFont val="Tahoma"/>
            <family val="2"/>
          </rPr>
          <t>User:</t>
        </r>
        <r>
          <rPr>
            <sz val="9"/>
            <color indexed="81"/>
            <rFont val="Tahoma"/>
            <family val="2"/>
          </rPr>
          <t xml:space="preserve">
Hardcoded normalised tax rate input. DSV's long-run guided effective tax rate is approximately 24% (per 2025 AR outlook section). Yellow background flags this as a key assumption cell — change here to see ROIC/RONTA sensitivity.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<sst xmlns="http://schemas.openxmlformats.org/spreadsheetml/2006/main" count="1897" uniqueCount="1147">
  <si>
    <t>DSV A/S — 3-Statement Financial Model</t>
  </si>
  <si>
    <t>IFRS as reported · DKK millions · Source: DSV Annual Reports 2018–2025 (investor.dsv.com/download-library)</t>
  </si>
  <si>
    <t>Schenker acquisition closed 30 April 2025 — figures from Q2 2025 onward include Schenker contribution and are not directly comparable to prior periods.</t>
  </si>
  <si>
    <t>(DKKm)</t>
  </si>
  <si>
    <t>Revenue</t>
  </si>
  <si>
    <t>Direct costs</t>
  </si>
  <si>
    <t>Gross profit</t>
  </si>
  <si>
    <t>Staff costs</t>
  </si>
  <si>
    <t>EBITDA before special items</t>
  </si>
  <si>
    <t>Amortisation and depreciation</t>
  </si>
  <si>
    <t>Air &amp; Sea</t>
  </si>
  <si>
    <t xml:space="preserve">  Revenue</t>
  </si>
  <si>
    <t>n/a</t>
  </si>
  <si>
    <t xml:space="preserve">  Intersegment revenue</t>
  </si>
  <si>
    <t xml:space="preserve">  Divisional revenue</t>
  </si>
  <si>
    <t xml:space="preserve">  Direct costs</t>
  </si>
  <si>
    <t xml:space="preserve">  Gross profit</t>
  </si>
  <si>
    <t xml:space="preserve">  Other external costs</t>
  </si>
  <si>
    <t xml:space="preserve">  Staff costs</t>
  </si>
  <si>
    <t xml:space="preserve">  EBITDA before special items</t>
  </si>
  <si>
    <t xml:space="preserve">  Amortisation and depreciation</t>
  </si>
  <si>
    <t xml:space="preserve">  EBIT before special items</t>
  </si>
  <si>
    <t>Road</t>
  </si>
  <si>
    <t>Solutions (renamed Contract Logistics in FY2025)</t>
  </si>
  <si>
    <t>Non-allocated items and eliminations</t>
  </si>
  <si>
    <t>Group Total (consolidated)</t>
  </si>
  <si>
    <t>Other external costs / expenses</t>
  </si>
  <si>
    <t>Special items, costs</t>
  </si>
  <si>
    <t>Financial income</t>
  </si>
  <si>
    <t>Financial expenses</t>
  </si>
  <si>
    <t>Profit before tax</t>
  </si>
  <si>
    <t>Tax on profit for the year</t>
  </si>
  <si>
    <t>Profit for the year</t>
  </si>
  <si>
    <t xml:space="preserve">  Attributable to DSV A/S shareholders</t>
  </si>
  <si>
    <t xml:space="preserve">  Attributable to non-controlling interests</t>
  </si>
  <si>
    <t>(Discontinued operations — introduced FY2025)</t>
  </si>
  <si>
    <t>Profit from continuing operations</t>
  </si>
  <si>
    <t>Loss from discontinued operations</t>
  </si>
  <si>
    <t>Total profit (continuing + discontinued)</t>
  </si>
  <si>
    <t>(Earnings per share)</t>
  </si>
  <si>
    <t>EPS – basic (DKK)</t>
  </si>
  <si>
    <t>EPS – diluted (DKK)</t>
  </si>
  <si>
    <t>Adjustments:</t>
  </si>
  <si>
    <t xml:space="preserve">  Share-based payments</t>
  </si>
  <si>
    <t xml:space="preserve">  Change in provisions</t>
  </si>
  <si>
    <t xml:space="preserve">  Change in working capital</t>
  </si>
  <si>
    <t xml:space="preserve">  Special items, paid</t>
  </si>
  <si>
    <t xml:space="preserve">  Interest received</t>
  </si>
  <si>
    <t xml:space="preserve">  Interest paid, lease liabilities</t>
  </si>
  <si>
    <t xml:space="preserve">  Interest paid, other</t>
  </si>
  <si>
    <t xml:space="preserve">  Income tax paid</t>
  </si>
  <si>
    <t>Cash flow from operating activities</t>
  </si>
  <si>
    <t>Purchase of intangible assets</t>
  </si>
  <si>
    <t>Purchase of property, plant and equipment</t>
  </si>
  <si>
    <t>Disposal of property, plant and equipment</t>
  </si>
  <si>
    <t>Acquisition of subsidiaries and activities</t>
  </si>
  <si>
    <t>Change in other financial assets</t>
  </si>
  <si>
    <t>Cash flow from investing activities</t>
  </si>
  <si>
    <t>Proceeds from borrowings</t>
  </si>
  <si>
    <t>Repayment of borrowings</t>
  </si>
  <si>
    <t>Repayment of lease liabilities</t>
  </si>
  <si>
    <t>Other financial liabilities incurred</t>
  </si>
  <si>
    <t>Capital increase</t>
  </si>
  <si>
    <t>Dividends distributed to shareholders</t>
  </si>
  <si>
    <t>Purchase of treasury shares</t>
  </si>
  <si>
    <t>Sale of treasury shares</t>
  </si>
  <si>
    <t>Other transactions with shareholders / NCI</t>
  </si>
  <si>
    <t>Cash flow from financing activities</t>
  </si>
  <si>
    <t>Cash flow for the year</t>
  </si>
  <si>
    <t>Cash and cash equivalents 1 January</t>
  </si>
  <si>
    <t>Currency translation</t>
  </si>
  <si>
    <t>Cash and cash equivalents 31 December</t>
  </si>
  <si>
    <t>(Memo)</t>
  </si>
  <si>
    <t>Memo: Adjusted free cash flow</t>
  </si>
  <si>
    <t>ASSETS</t>
  </si>
  <si>
    <t>Non-current assets:</t>
  </si>
  <si>
    <t xml:space="preserve">  Intangible assets</t>
  </si>
  <si>
    <t xml:space="preserve">  Right-of-use assets</t>
  </si>
  <si>
    <t xml:space="preserve">  Property, plant and equipment</t>
  </si>
  <si>
    <t xml:space="preserve">  Investments in joint ventures and associates</t>
  </si>
  <si>
    <t xml:space="preserve">  Other receivables (non-current)</t>
  </si>
  <si>
    <t xml:space="preserve">  Deferred tax assets</t>
  </si>
  <si>
    <t>Total non-current assets</t>
  </si>
  <si>
    <t>Current assets:</t>
  </si>
  <si>
    <t xml:space="preserve">  Trade receivables</t>
  </si>
  <si>
    <t xml:space="preserve">  Contract assets</t>
  </si>
  <si>
    <t xml:space="preserve">  Inventories</t>
  </si>
  <si>
    <t xml:space="preserve">  Other receivables (current)</t>
  </si>
  <si>
    <t xml:space="preserve">  Cash and cash equivalents</t>
  </si>
  <si>
    <t xml:space="preserve">  Assets held for sale</t>
  </si>
  <si>
    <t>Total current assets</t>
  </si>
  <si>
    <t>TOTAL ASSETS</t>
  </si>
  <si>
    <t>EQUITY &amp; LIABILITIES</t>
  </si>
  <si>
    <t>Equity:</t>
  </si>
  <si>
    <t xml:space="preserve">  Share capital</t>
  </si>
  <si>
    <t xml:space="preserve">  Reserves</t>
  </si>
  <si>
    <t xml:space="preserve">  Retained earnings</t>
  </si>
  <si>
    <t xml:space="preserve">  DSV A/S shareholders' share of equity</t>
  </si>
  <si>
    <t xml:space="preserve">  Non-controlling interests</t>
  </si>
  <si>
    <t>Total equity</t>
  </si>
  <si>
    <t>Non-current liabilities:</t>
  </si>
  <si>
    <t xml:space="preserve">  Lease liabilities (non-current)</t>
  </si>
  <si>
    <t xml:space="preserve">  Borrowings (non-current)</t>
  </si>
  <si>
    <t xml:space="preserve">  Pensions and other post-employment benefits</t>
  </si>
  <si>
    <t xml:space="preserve">  Provisions (non-current)</t>
  </si>
  <si>
    <t xml:space="preserve">  Deferred tax liabilities</t>
  </si>
  <si>
    <t>Total non-current liabilities</t>
  </si>
  <si>
    <t>Current liabilities:</t>
  </si>
  <si>
    <t xml:space="preserve">  Lease liabilities (current)</t>
  </si>
  <si>
    <t xml:space="preserve">  Borrowings (current)</t>
  </si>
  <si>
    <t xml:space="preserve">  Trade payables</t>
  </si>
  <si>
    <t xml:space="preserve">  Accrued cost of services</t>
  </si>
  <si>
    <t xml:space="preserve">  Provisions (current)</t>
  </si>
  <si>
    <t xml:space="preserve">  Other payables</t>
  </si>
  <si>
    <t xml:space="preserve">  Tax payables</t>
  </si>
  <si>
    <t xml:space="preserve">  Liabilities held for sale</t>
  </si>
  <si>
    <t>Total current liabilities</t>
  </si>
  <si>
    <t>Total liabilities</t>
  </si>
  <si>
    <t>TOTAL EQUITY AND LIABILITIES</t>
  </si>
  <si>
    <t>BS Tie-out check (TA − TEL)</t>
  </si>
  <si>
    <t>Q1/15</t>
  </si>
  <si>
    <t>Q2/15</t>
  </si>
  <si>
    <t>1H/15</t>
  </si>
  <si>
    <t>Q3/15</t>
  </si>
  <si>
    <t>Q4/15</t>
  </si>
  <si>
    <t>Q1/16</t>
  </si>
  <si>
    <t>Q2/16</t>
  </si>
  <si>
    <t>1H/16</t>
  </si>
  <si>
    <t>Q3/16</t>
  </si>
  <si>
    <t>Q4/16</t>
  </si>
  <si>
    <t>Q1/17</t>
  </si>
  <si>
    <t>Q2/17</t>
  </si>
  <si>
    <t>1H/17</t>
  </si>
  <si>
    <t>Q3/17</t>
  </si>
  <si>
    <t>Q4/17</t>
  </si>
  <si>
    <t>Q1/18</t>
  </si>
  <si>
    <t>Q2/18</t>
  </si>
  <si>
    <t>1H/18</t>
  </si>
  <si>
    <t>Q3/18</t>
  </si>
  <si>
    <t>Q4/18</t>
  </si>
  <si>
    <t>Q1/19</t>
  </si>
  <si>
    <t>Q2/19</t>
  </si>
  <si>
    <t>1H/19</t>
  </si>
  <si>
    <t>Q3/19</t>
  </si>
  <si>
    <t>Q4/19</t>
  </si>
  <si>
    <t>Q1/20</t>
  </si>
  <si>
    <t>Q2/20</t>
  </si>
  <si>
    <t>1H/20</t>
  </si>
  <si>
    <t>Q3/20</t>
  </si>
  <si>
    <t>Q4/20</t>
  </si>
  <si>
    <t>Q1/21</t>
  </si>
  <si>
    <t>Q2/21</t>
  </si>
  <si>
    <t>1H/21</t>
  </si>
  <si>
    <t>Q3/21</t>
  </si>
  <si>
    <t>Q4/21</t>
  </si>
  <si>
    <t>Q1/22</t>
  </si>
  <si>
    <t>Q2/22</t>
  </si>
  <si>
    <t>1H/22</t>
  </si>
  <si>
    <t>Q3/22</t>
  </si>
  <si>
    <t>Q4/22</t>
  </si>
  <si>
    <t>Q1/23</t>
  </si>
  <si>
    <t>Q2/23</t>
  </si>
  <si>
    <t>1H/23</t>
  </si>
  <si>
    <t>Q3/23</t>
  </si>
  <si>
    <t>Q4/23</t>
  </si>
  <si>
    <t>Q1/24</t>
  </si>
  <si>
    <t>Q2/24</t>
  </si>
  <si>
    <t>1H/24</t>
  </si>
  <si>
    <t>Q3/24</t>
  </si>
  <si>
    <t>Q4/24</t>
  </si>
  <si>
    <t>Q1/25</t>
  </si>
  <si>
    <t>Q2/25</t>
  </si>
  <si>
    <t>1H/25</t>
  </si>
  <si>
    <t>Q3/25</t>
  </si>
  <si>
    <t>Q4/25</t>
  </si>
  <si>
    <t xml:space="preserve">  Revenue y/y %</t>
  </si>
  <si>
    <t xml:space="preserve">  Gross profit y/y %</t>
  </si>
  <si>
    <t xml:space="preserve">  EBITDA before special items y/y %</t>
  </si>
  <si>
    <t xml:space="preserve">  EBIT before special items y/y %</t>
  </si>
  <si>
    <t xml:space="preserve">  GP %</t>
  </si>
  <si>
    <t xml:space="preserve">  EBITDA %</t>
  </si>
  <si>
    <t xml:space="preserve">  EBIT %</t>
  </si>
  <si>
    <t xml:space="preserve">  Incremental EBIT % (ΔEBIT / ΔRev)</t>
  </si>
  <si>
    <t xml:space="preserve">  EBIT / GP</t>
  </si>
  <si>
    <t>Free cash flow (CFO − CapEx + Disposals)</t>
  </si>
  <si>
    <t xml:space="preserve">  FCF y/y %</t>
  </si>
  <si>
    <t xml:space="preserve">  FCF % Sales</t>
  </si>
  <si>
    <t xml:space="preserve">  FCF / EBITDA conversion %</t>
  </si>
  <si>
    <t>`</t>
  </si>
  <si>
    <t xml:space="preserve">  Revenue — organic y/y %</t>
  </si>
  <si>
    <t xml:space="preserve">  Revenue — acquisition y/y %</t>
  </si>
  <si>
    <t>5Y CAGR</t>
  </si>
  <si>
    <t>10Y CAGR</t>
  </si>
  <si>
    <t>20-'25</t>
  </si>
  <si>
    <t>15-'25</t>
  </si>
  <si>
    <t>DuPont decomposition of ROIC</t>
  </si>
  <si>
    <t>EBIT before special items</t>
  </si>
  <si>
    <t>NOPAT  =  EBIT × (1 − tax rate)</t>
  </si>
  <si>
    <t>Invested capital (IC)  =  Equity + Net debt</t>
  </si>
  <si>
    <t xml:space="preserve">  Total equity</t>
  </si>
  <si>
    <t>ROIC  =  NOPAT / IC</t>
  </si>
  <si>
    <t xml:space="preserve">  EBIT margin  =  EBIT / Revenue</t>
  </si>
  <si>
    <t xml:space="preserve">  Capital turnover  =  Revenue / IC</t>
  </si>
  <si>
    <t xml:space="preserve">  Tax burden  =  (1 − effective tax rate)</t>
  </si>
  <si>
    <t xml:space="preserve">  Check: Margin × Turnover × Tax burden  =  ROIC</t>
  </si>
  <si>
    <t>RONTA decomposition</t>
  </si>
  <si>
    <t>Net tangible assets (NTA):</t>
  </si>
  <si>
    <t xml:space="preserve">  Total assets</t>
  </si>
  <si>
    <t xml:space="preserve">  − Intangible assets (goodwill, etc.)</t>
  </si>
  <si>
    <t xml:space="preserve">  − Non-interest-bearing current liabilities (trade pay., accrued cost, etc.)</t>
  </si>
  <si>
    <t xml:space="preserve">  = Net tangible assets</t>
  </si>
  <si>
    <t>RONTA  =  NOPAT / NTA</t>
  </si>
  <si>
    <t>Return on Equity (ROE)</t>
  </si>
  <si>
    <t>Net income (profit for the year)</t>
  </si>
  <si>
    <t>ROE  =  Net income / Equity</t>
  </si>
  <si>
    <t>Leverage</t>
  </si>
  <si>
    <t>Net debt / EBITDA  (x)</t>
  </si>
  <si>
    <t>Effective tax rate (actual)</t>
  </si>
  <si>
    <t>Normalised tax rate (used for NOPAT):</t>
  </si>
  <si>
    <t>CONSOLIDATED BALANCE SHEET</t>
  </si>
  <si>
    <t>CONSOLIDATED CASH FLOW STATEMENT</t>
  </si>
  <si>
    <t>CONSOLIDATED INCOME STATEMENT</t>
  </si>
  <si>
    <t>SEGMENT P&amp;L — BY DIVISION</t>
  </si>
  <si>
    <t>RATIO ANALYSIS</t>
  </si>
  <si>
    <t xml:space="preserve">  Net debt  =  Borrowings − Cash (excl. lease liabilities)</t>
  </si>
  <si>
    <t>Net debt  =  Borrowings − Cash (excl. lease liabilities)</t>
  </si>
  <si>
    <t>RECONCILIATION: IFRS REPORTED → DSV ADJUSTED (APM)</t>
  </si>
  <si>
    <t>Reported EBIT before special items (IFRS)</t>
  </si>
  <si>
    <t>(−) Special items, costs</t>
  </si>
  <si>
    <t>Reported operating profit (EBIT) after special items</t>
  </si>
  <si>
    <t>(+) Special items reversed</t>
  </si>
  <si>
    <t>Adjustment details (in DKKm):</t>
  </si>
  <si>
    <t xml:space="preserve">  Restructuring, integration &amp; impairment costs</t>
  </si>
  <si>
    <t xml:space="preserve">  Transaction costs (M&amp;A-related)</t>
  </si>
  <si>
    <t>Reported EBIT after special items ≈ Adjusted Operating Profit</t>
  </si>
  <si>
    <t xml:space="preserve">  Weighted avg basic shares ('000)</t>
  </si>
  <si>
    <t xml:space="preserve">  Weighted avg diluted shares ('000)</t>
  </si>
  <si>
    <t>22-'25</t>
  </si>
  <si>
    <t>18-'25</t>
  </si>
  <si>
    <t>3Y</t>
  </si>
  <si>
    <t>5Y</t>
  </si>
  <si>
    <t>7Y</t>
  </si>
  <si>
    <t>Incremental Returns</t>
  </si>
  <si>
    <t>EPS RECONCILIATION: IFRS REPORTED → DSV ADJUSTED EPS</t>
  </si>
  <si>
    <t>Reported NI attributable to shareholders (DKKm)</t>
  </si>
  <si>
    <t xml:space="preserve">  + Amortisation of customer relationships</t>
  </si>
  <si>
    <t xml:space="preserve">  + Share-based payment</t>
  </si>
  <si>
    <t xml:space="preserve">  + Special items, costs</t>
  </si>
  <si>
    <t xml:space="preserve">  − Related tax effect</t>
  </si>
  <si>
    <t xml:space="preserve">  = Adjusted earnings (model derived)</t>
  </si>
  <si>
    <t>DSV-published Adjusted earnings (DKKm)</t>
  </si>
  <si>
    <t>Adjusted EPS – diluted (model)</t>
  </si>
  <si>
    <t>DSV-published Adjusted EPS – diluted</t>
  </si>
  <si>
    <t>Operating metrics — Air &amp; Sea</t>
  </si>
  <si>
    <t xml:space="preserve">  Sea freight — TEU shipped ('000)</t>
  </si>
  <si>
    <t xml:space="preserve">  Air freight — tonnes shipped ('000)</t>
  </si>
  <si>
    <t>Operating metrics — Road</t>
  </si>
  <si>
    <t xml:space="preserve">  Number of shipments (m)</t>
  </si>
  <si>
    <t xml:space="preserve">  Revenue per shipment (DKK)</t>
  </si>
  <si>
    <t xml:space="preserve">  GP per shipment (DKK)</t>
  </si>
  <si>
    <t xml:space="preserve">  EBIT per shipment (DKK)</t>
  </si>
  <si>
    <t xml:space="preserve">  Avg fleet size / leased trucks (#k)</t>
  </si>
  <si>
    <t>Operating metrics — Solutions / Contract Logistics</t>
  </si>
  <si>
    <t xml:space="preserve">  Warehouse capacity (m sqm)</t>
  </si>
  <si>
    <t xml:space="preserve">  Revenue per sqm (DKK/sqm)</t>
  </si>
  <si>
    <t xml:space="preserve">  GP per sqm (DKK/sqm)</t>
  </si>
  <si>
    <t xml:space="preserve">  EBIT per sqm (DKK/sqm)</t>
  </si>
  <si>
    <t xml:space="preserve">  Warehouse capacity y/y growth %</t>
  </si>
  <si>
    <t>GROWTH &amp; MARGINS</t>
  </si>
  <si>
    <t>2026E</t>
  </si>
  <si>
    <t>2027E</t>
  </si>
  <si>
    <t>2028E</t>
  </si>
  <si>
    <t>2029E</t>
  </si>
  <si>
    <t>2030E</t>
  </si>
  <si>
    <t>% of Revenue — Air &amp; Sea</t>
  </si>
  <si>
    <t xml:space="preserve">  Intersegment revenue % of Rev</t>
  </si>
  <si>
    <t xml:space="preserve">  Direct costs % of Rev</t>
  </si>
  <si>
    <t xml:space="preserve">  Other external costs % of Rev</t>
  </si>
  <si>
    <t xml:space="preserve">  Staff costs % of Rev</t>
  </si>
  <si>
    <t xml:space="preserve">  Amortisation &amp; depreciation % of Rev</t>
  </si>
  <si>
    <t>% of Revenue — Road</t>
  </si>
  <si>
    <t>% of Revenue — Solutions / Contract Logistics</t>
  </si>
  <si>
    <t>Modelling Notes</t>
  </si>
  <si>
    <t>AIR &amp; SEA — modelling logic</t>
  </si>
  <si>
    <t>Rev growth: 15% in 2026 (full-year Schenker carryover + 3% organic) tapering to 4-6% by 2027-30. Per CMD slide 142: ~3% market growth + share gains. A&amp;S was Schenker's 3rd-largest segment so partial-year 2025 (8mo) becomes full-year 2026.</t>
  </si>
  <si>
    <t>GP margin: 24.5% in 2026 expanding to 25.5% by 2030. CMD slide 143 guides 'stable yields including value-added services'. Slight expansion reflects mix shift toward higher-margin VAS (40% of GP from VAS per CMD slide 101) as Schenker's lower-VAS business is integrated.</t>
  </si>
  <si>
    <t>EBIT/GP (Conversion Ratio): 45% → 50% → 53% → 54% → 55%. Hits DSV's 2030 target of &gt;55% (CMD slide 143). FRONT-LOADED — Schenker synergies hit hardest 2026-27 per CMD slide 136 (55% integration done end-26, 100% end-27, full DKK 9bn impact 2027).</t>
  </si>
  <si>
    <t>% OF REVENUE drivers — hardcoded inputs that drive cost structure of forecast P&amp;L</t>
  </si>
  <si>
    <t>Intersegment ~3% stable (held flat at recent historical avg). Mostly Air &amp; Sea acting as sub-contractor to Road on multi-modal shipments.</t>
  </si>
  <si>
    <t>Direct costs = carrier/space costs passed through. Inverse of GP%: 75.5% → 74.5% as GP margin expands modestly.</t>
  </si>
  <si>
    <t>Other ext costs: 4.0% → 3.3%. Productivity gains from AI/tech (DKK ~9bn group productivity savings by 2030 per CMD slide 147) plus office/IT consolidation post-Schenker.</t>
  </si>
  <si>
    <t>Staff costs: 9.0% → 8.0%. Same productivity drivers as Other ext, but operating leverage stronger given staff is largest opex line. Schenker FTE reductions (combined 75k+ headcount integration) flow through here.</t>
  </si>
  <si>
    <t>A&amp;D: 3.5% → 3.3%. A&amp;S is asset-light — D&amp;A largely RoU lease amortisation on warehouses and office space. Held roughly stable.</t>
  </si>
  <si>
    <t>ROAD — modelling logic</t>
  </si>
  <si>
    <t>Rev growth: 10% in 2026 (Schenker full-year carryover + 3% organic) tapering to 3-4%. Road absorbed largest Schenker contribution (2025 reported Road +93% YoY). 2026 first full year, then GDP-level growth. Per CMD slide 144: 2-3% market + share gains.</t>
  </si>
  <si>
    <t>GP margin: 21.5% → 22.0%. Slight expansion reflects groupage mix benefit from Schenker (groupage = higher GP than FTL/LTL per 2025 AR p.29). Asset-light model preserved.</t>
  </si>
  <si>
    <t>EBIT/GP (Conversion Ratio): 22% → 28% → 31% → 33% → 35%. Hits DSV's 2030 target of &gt;35% (CMD slide 144). Front-loaded synergies; STAR TMS rollout, network rightsizing, and groupage consolidation drive the structural conv ratio uplift.</t>
  </si>
  <si>
    <t>% OF REVENUE drivers — Road cost structure</t>
  </si>
  <si>
    <t>Intersegment ~3% stable. Internal cross-charging mostly to Solutions for warehouse-to-door movements.</t>
  </si>
  <si>
    <t>Direct costs = haulier fees pass-through. Inverse of GP%: 78.5% → 78.0%. Asset-light Road model means most cost is 3rd-party haulier (drivers, trucks, fuel).</t>
  </si>
  <si>
    <t>Other ext: 2.0% stable. Smaller line for Road — mostly IT systems, depots.</t>
  </si>
  <si>
    <t>Staff: 14.0% → 12.5%. Larger expense given Road's higher labour intensity (drivers + dispatch + sales). Schenker integration synergies + STAR TMS workflow automation drive efficiency.</t>
  </si>
  <si>
    <t>A&amp;D: 3.0% → 2.7%. Slight decline as DSV consolidates Schenker depot footprint (network rightsizing per 2025 AR).</t>
  </si>
  <si>
    <t>CONTRACT LOGISTICS — modelling logic</t>
  </si>
  <si>
    <t>Rev growth: 18% in 2026 (full-year Schenker + 6% organic) tapering to 5-7%. CL is the highest-growth segment per CMD slide 145 (mid-single digit market + share gains). 2025 reported CL +72% YoY (Schenker contribution). Largest sqm capacity expansion via Schenker's 8.5m sqm addition.</t>
  </si>
  <si>
    <t>GP margin: 42.9% → 43.5%. Highest absolute GP margin of any segment because CL revenue is largely services (not freight pass-through). Stable/slight expansion as warehouse utilisation improves (CMD slide 145: 'consolidation of physical infrastructure').</t>
  </si>
  <si>
    <t>EBIT/GP (Conversion Ratio): 23% → 27% → 30% → 33% → 35%. Hits DSV's 2030 target of &gt;35% (CMD slide 145). Drivers: warehouse consolidation, utilisation improvement (target 80-85%), Schenker dilution unwinds as synergies land.</t>
  </si>
  <si>
    <t>% OF REVENUE drivers — CL cost structure</t>
  </si>
  <si>
    <t>Intersegment ~3% stable. Mostly handling/staging fees charged to A&amp;S and Road for warehouse cross-docking.</t>
  </si>
  <si>
    <t>Direct costs (carrier/3rd-party) = 1 − GP%. Lower share of revenue than A&amp;S/Road because CL is service-heavy. Stable around 57%.</t>
  </si>
  <si>
    <t>Other ext: 2.5% stable. Includes utilities (warehouse power/heating/cooling), IT, lease pass-throughs.</t>
  </si>
  <si>
    <t>Staff: 17.5% → 15.8%. CL is the most labour-intensive segment (warehouse staff, value-added service handlers). Big productivity prize from automation (robotics + WMS upgrades). Largest absolute cost-reduction lever.</t>
  </si>
  <si>
    <t>A&amp;D: 13.5% → 12.0%. CL is the most asset-heavy (warehouse RoU + PP&amp;E). Slight decline as warehouse footprint consolidates (CMD slide 139: DKK 15bn property divestments, 75% as sale-leaseback).</t>
  </si>
  <si>
    <t>CONSOLIDATED IS — forecast logic</t>
  </si>
  <si>
    <t>EBIT before special items: 2026E DKK 25.2bn = top of DSV's guidance range of DKK 23.0-25.5bn (Announcement 1169, 12 May 2026). Reflects front-loaded synergy assumption (DKK 5bn cumulative by end-2026 per CMD slide 136).</t>
  </si>
  <si>
    <t>Special items: 3,000 → 2,000 → 500 → 300 → 300. Schenker integration costs front-loaded then normalising. 2026 still heavy (45-55% integration complete per CMD slide 136), 2027 light (final integration tail), 2028+ at structural minimum (~300m for normal restructuring, no major M&amp;A assumed in base case per CMD).</t>
  </si>
  <si>
    <t>Financial income: gradual decline 1,000 → 800 as cash deployed (post-2024 capital raise). Interest income falls as net debt amortises.</t>
  </si>
  <si>
    <t>Financial expenses: gradual decline 4,000 → 2,800. Reflects DSV's stated deleveraging policy: gearing 2.8x (Q1 2026) targeting &lt;2.0x by H1 2027 (CMD slide 138). Maintains A3/A- credit ratings.</t>
  </si>
  <si>
    <t>Tax: 25% normalised effective rate per CMD slide 142. DSV's historical ETR has run 23-26%; 25% midpoint matches their published normalised assumption. Applied to PBT.</t>
  </si>
  <si>
    <t>Non-controlling interests held flat at ~80m. Small line, mostly Schenker minority joint ventures.</t>
  </si>
  <si>
    <t>Shares outstanding: 234k → 226k (basic). Small annual buyback effect. Conservative assumption — DSV's stated capital allocation policy (CMD slide 138) prioritises: (1) deleveraging to &lt;2.0x by H1 2027, (2) M&amp;A/organic investments, (3) shareholder returns. Buybacks expected to accelerate post-2027 once gearing target hit. Historical buybacks averaged DKK 14-20bn p.a. in pre-Schenker years (2021-23) — if those levels return, share count could fall faster, boosting EPS by additional DKK 5-10 by 2030.</t>
  </si>
  <si>
    <t>EPS basic 2026E: ~DKK 61 vs 2025A DKK 34.3 (+78%). Bridge from 2025: full-year Schenker +DKK 12, synergies kicking in +DKK 12, lower special items +DKK 4, conv ratio uplift +DKK 4, modest buybacks +DKK 0.5. Path to 2030E DKK 130 implies ~30% EPS CAGR — above DSV's stated 'double-digit' EPS growth ambition (historical 16% CAGR 2016-25 per CMD slide 146).</t>
  </si>
  <si>
    <t>Diluted shares slightly higher than basic due to option dilution. Same buyback trajectory assumed.</t>
  </si>
  <si>
    <t>GROUP TOTAL (CONSOLIDATED) — modelling logic</t>
  </si>
  <si>
    <t>Group Revenue y/y %: 9.2% (2026E) tapering to 3.9% (2030E). This is a DERIVED output — emerges from segment revenue forecasts summed via Group Total rollup. Built bottoms-up from segment growth assumptions (A&amp;S 15%, Road 10%, CL 18% in 2026E, normalising to 4-5% by 2030E). NO explicit Group revenue target from DSV — CMD slide 142 only gives margin (conversion ratio) and ROIC targets. However, implied trajectory is consistent with CMD slide 142 assumption of '~3% GDP/transport market growth + profitable market share gains in all divisions'. 2026 step-up reflects full-year Schenker carryover (vs 8 months in 2025).</t>
  </si>
  <si>
    <t>Group EBIT/GP (Conversion Ratio): 34.3% (2026E) progressing to 45.6% (2030E) — hits DSV's stated 2030 target of ~45.0% per Announcement 1169 (12 May 2026) and CMD slide 142. 
2025 actual: 29.3%. Path 29.3% → 34.3% → 39.3% → 42.4% → 44.1% → 45.6% is front-loaded due to Schenker synergies (DKK 5bn cumulative by end-2026, full DKK 9bn run-rate from 2027 per CMD slide 136). 2028+ uplift reflects AI/tech productivity (additional DKK 9bn run-rate by 2030 per CMD slide 147).
This Group conv ratio is a DERIVED OUTPUT — emerges from segment-level EBIT/GP inputs (A&amp;S 45→55%, Road 22→35%, CL 23→35%) weighted by segment GP contribution. Each segment hits or slightly exceeds its 2030 target:
  A&amp;S: 55% (target &gt;55%) ✓
  Road: 35% (target &gt;35%) ✓
  CL: 35% (target &gt;35%) ✓
  Group: 45.6% (target ~45%) ✓
DOWNSIDE SCENARIO: If Schenker synergies underdeliver (DKK 5-6bn instead of 9bn), Group conv ratio likely lands closer to 40-42% by 2030 — still strong but below management aspiration.</t>
  </si>
  <si>
    <t>EPS RECONCILIATION — forecast assumptions</t>
  </si>
  <si>
    <t>Amortisation of customer relationships: 2026E DKK 500m (full-year Schenker CR amortisation run-rate per CMD slide 142: '~DKK 500m PPA amortisation in 2025' — since 2025 only had 8 months Schenker, full-year run-rate is DKK 500m). Slight decline 2027-30 as CR asset amortises (CR has finite useful life typically 8-12 years).</t>
  </si>
  <si>
    <t>Share-based payment: 2025 actual 359, forecast grows ~4% p.a. (375 → 435) reflecting refreshed option pools as new grants vest. Tracks DSV's historical scaling with revenue/headcount. Not tax-deductible in DK for IFRS treatment so flows through the bridge without tax offset.</t>
  </si>
  <si>
    <t>Related tax effect: applied as -25% × (SBP + Special items). Amortisation of customer relationships is NOT tax-deductible per DSV note 5.2 ('No recognition is made of deferred tax on temporary differences relating to amortisation of goodwill, properties and other items'), so excluded from tax-shielded portion. The 25% rate matches DSV's published normalised effective tax rate (CMD slide 142).</t>
  </si>
  <si>
    <t>DSV-published Adjusted earnings: for forecast period, hardcoded equal to model-derived (row 178) since DSV hasn't yet published forward Adj earnings figures. Will refresh once DSV reports actual results.</t>
  </si>
  <si>
    <t>Adjusted EPS diluted (model): 2026E DKK 79.3 → 2030E DKK 138.4. Implied CAGR ~22% — above DSV's stated 'double-digit EPS growth' commitment but below the model's reported EPS CAGR of 30%+ (because adjusted earnings adds back special items that are heavy 2026-27 then decline, narrowing the gap to reported EPS over time).</t>
  </si>
  <si>
    <t>EBIT RECONCILIATION — forecast</t>
  </si>
  <si>
    <t>Adjusted Operating Profit (post-special items EBIT): 2026E DKK 22.2bn → 2030E DKK 41.3bn. The headline EBIT bridge. After 2027 the gap between Reported (before special) and Adjusted (after) narrows materially as special items normalise to ~DKK 300m — once Schenker integration is complete, this measure converges with EBIT before special items.</t>
  </si>
  <si>
    <t>Restructuring &amp; integration costs: 2026E DKK 2,700m (heaviest year of Schenker integration; per CMD slide 136 ~55% integration complete by end-2026), declining to DKK 200m steady-state by 2029E. The line is the dominant component of total special items in 2026-27.</t>
  </si>
  <si>
    <t>Transaction costs: hardcoded DKK 300m in 2026-27 (Schenker deal-related advisory tail + integration legal), normalising to DKK 100m steady-state. Assumes no major new M&amp;A in the forecast period (per CMD slide 142: 'targets exclude impact from potential future large acquisitions beyond Schenker').</t>
  </si>
  <si>
    <t>GROWTH &amp; MARGINS (consolidated) — forecast</t>
  </si>
  <si>
    <t>ORGANIC revenue y/y%: for forecast period this equals TOTAL revenue y/y% (since acquisition y/y is 0 — no major M&amp;A assumed). DSV CMD slide 142 explicitly excludes potential future large acquisitions beyond Schenker from the 2030 targets, so the model holds that line.</t>
  </si>
  <si>
    <t>Acquisition y/y %: hardcoded 0% across forecast period — no major M&amp;A assumed in base case. If DSV does another deal (which their stated M&amp;A-as-growth-strategy implies is likely beyond 2027 once Schenker is bedded down), this row would carry the inorganic contribution. Sensitivity: a ~5% revenue addition from M&amp;A would translate to ~DKK 12-15 incremental EPS by 2030.</t>
  </si>
  <si>
    <t>Group EBIT margin: 9.1% (2026E) → 12.5% (2030E). Compared to DSV's peak 2022 of 10.7%, the model implies forecast EBIT margin EXCEEDS the prior cycle peak by 2028. Logic: 2022's peak was rate-driven; forecast peak is structural (synergies + productivity). Both can coexist with the right macro tailwinds. Risk: if the 2022 freight-rate environment never repeats, downside scenarios should sit closer to 10-11% group EBIT margin.</t>
  </si>
  <si>
    <t>Group EBIT/GP (conversion ratio): 34.3% → 45.6% — hits DSV's stated 2030 target ~45% (Announcement 1169, CMD slide 142). Cross-check: this is the same metric shown in row 143 — they should be identical since both are EBIT/GP at Group Total level. Two views, one number.</t>
  </si>
  <si>
    <t xml:space="preserve">  Effective tax rate</t>
  </si>
  <si>
    <t>WORKING CAPITAL &amp; CASH CONVERSION CYCLE</t>
  </si>
  <si>
    <t xml:space="preserve">  DSO (Days Sales Outstanding) = (Trade Rec + Contract Assets) / Revenue × 365</t>
  </si>
  <si>
    <t xml:space="preserve">  DIO (Days Inventory Outstanding) = Inventories / Direct Costs × 365</t>
  </si>
  <si>
    <t xml:space="preserve">  DPO (Days Payables Outstanding) = (Trade Pay + Accrued Cost) / Direct Costs × 365</t>
  </si>
  <si>
    <t xml:space="preserve">  Cash Conversion Cycle (DSO + DIO − DPO)</t>
  </si>
  <si>
    <t xml:space="preserve">  Net Working Capital (Trade Rec + Contract + Inv − Trade Pay − Accrued)</t>
  </si>
  <si>
    <t xml:space="preserve">  NWC as % of Revenue</t>
  </si>
  <si>
    <t xml:space="preserve">  ΔNWC (change y/y)</t>
  </si>
  <si>
    <t>WORKING CAPITAL &amp; CCC — forecast logic</t>
  </si>
  <si>
    <t>DIO: 4 days held constant. DSV carries de minimis inventory — it's a service business, not a goods business. Inventory is mostly warehouse consumables (packaging materials, fuel for trucks).</t>
  </si>
  <si>
    <t>DPO: 73 days held constant. DSV's payable cycle to carriers/sub-contractors is well-established and stable. No reason to expect material change in the forecast period (carrier payment terms are industry norms).</t>
  </si>
  <si>
    <t>CCC: 12d (2025A) → 3d (2030E). Compression driven entirely by DSO improvement. By 2030, DSV essentially operates on a 'collect before pay' basis — a hallmark of best-in-class working capital efficiency in freight forwarding. Cross-check: CMD slide 139 NWC 2-3% of revenue target implies CCC of ~7-11 days at full run-rate; model converges toward that range by 2028-29.</t>
  </si>
  <si>
    <t>NWC as % of Revenue: Falls from 8.5% (2025A) toward DSV's stated 2-3% target by 2030. This is a meaningful cash release — implied freeing of working capital provides material support to the FCF forecast in 2026-30. KEY ASSUMPTION: this DSO compression is aspirational; if DSV maintains the post-Schenker 81d DSO (i.e., doesn't successfully integrate billing/collections), the model overstates 2030E cash by ~DKK 20bn.</t>
  </si>
  <si>
    <t>BS FORECAST — first-principles approach</t>
  </si>
  <si>
    <t>Trade receivables: driven by DSO formula = DSO × Revenue × 81.9% / 365. The 81.9% split is the 2025 actual ratio of Trade Rec to (Trade Rec + Contract Assets).</t>
  </si>
  <si>
    <t>Borrowings (non-current): deleveraging trajectory — 56,950 (2025A) → 33,950 (2030E). DSV target: &lt;2.0x net debt / EBITDA by H1 2027 (CMD slide 138 — gearing was 2.8x at Q1 2026). Annual paydown 5-8bn (front-loaded 2026-27 then easing as target hit). Maintains A3 / A- investment-grade ratings.</t>
  </si>
  <si>
    <t>Trade payables: driven by DPO formula = DPO × Direct Costs × 64.9% / 365. The 64.9% split is the 2025 actual ratio of Trade Payables to (Trade Pay + Accrued Cost).</t>
  </si>
  <si>
    <t>CONSOLIDATED CASH FLOW STATEMENT — forecast logic</t>
  </si>
  <si>
    <t>EBITDA: live linked to IS row 152 (already wired). Top of the CF waterfall.</t>
  </si>
  <si>
    <t>Share-based payments: linked to IS reconciliation row 175 (same SBP value). Non-cash add-back.</t>
  </si>
  <si>
    <t>Change in provisions: -500 (2026E) tapering to -200 (2030E). 2025 was -2,653 (Schenker integration provisions release). Forecast normalises to small base level reflecting ongoing operational provisions (legal, contract, restructuring tail).</t>
  </si>
  <si>
    <t>Change in working capital: FULLY LINKED TO BS — formula = -(NWC_current - NWC_prior). If NWC increases (cash tied up), this becomes a negative cash flow. Critical 3-statement linkage: any change to DSO/DIO/DPO assumptions flows through to CFO automatically.</t>
  </si>
  <si>
    <t>Special items paid: linked to IS row 155 (negative of the IS value since IS shows them as positive 'cost'). 2026E DKK -3,000m matches IS assumption.</t>
  </si>
  <si>
    <t>Interest paid on lease liabilities: 5.5% × average lease liability balance (current + non-current). Rate derived from 2025 actual (1,669 / ~30bn lease liab ≈ 5.5%). Linked to BS lease liab rows 280 + 287.</t>
  </si>
  <si>
    <t>Interest paid, other: residual of total financial expenses (IS row 157) less lease interest (row 217). Captures interest on borrowings, bank charges, FX losses. Will decline through the forecast as DSV deleverages.</t>
  </si>
  <si>
    <t>Income tax paid: linked to IS tax (row 159). Assumption: cash tax ~= book tax in steady state (no major deferred tax movements). May understate cash tax in early years post-Schenker as PPA-related deferred tax unwinds.</t>
  </si>
  <si>
    <t>CFO: 2026E DKK 19.2bn → 2030E DKK 35.8bn. Reflects EBITDA growth (32bn → 47bn) less working capital absorption, interest costs and cash tax. Steady-state cash conversion ~75-77% of EBITDA — consistent with DSV's historical pattern.</t>
  </si>
  <si>
    <t>Purchase of PP&amp;E: 1.5% of revenue per CMD slide 139 ('Maintaining a capex level of around 1.5% of the annual revenue, including investments in AI'). Live linked to IS revenue (row 147). Critical assumption — if DSV ramps AI/digitisation more aggressively this could be 2.0-2.5% of revenue.</t>
  </si>
  <si>
    <t>Acquisition of subsidiaries: 0 across forecast. No major M&amp;A in base case per CMD slide 142 ('Targets are excluding impact from potential future large acquisitions beyond Schenker'). If DSV does another deal, this line flips negative and would consume cash plug.</t>
  </si>
  <si>
    <t>CFI: heavy disposals 2026-28 from Schenker property monetisation drives CFI close to flat. From 2029 onward, normalised to ~ -5bn (capex less small disposals). NO M&amp;A assumption is the dominant simplification.</t>
  </si>
  <si>
    <t>Proceeds from borrowings: DKK 1,000m p.a. — small ongoing refinancing of maturing bonds. CMD slide 140 shows substantial bond maturities through 2036.</t>
  </si>
  <si>
    <t>Repayment of borrowings: FULLY LINKED TO BS — formula = (Δ Borrowings (row 281) - new issuance). Captures the deleveraging trajectory: 2026 ~ -6bn, 2027 ~ -9bn (heavy paydown to hit &lt;2.0x target), then normalising. DSV's stated gearing target of &lt;2.0x EBITDA by H1 2027 (CMD slide 138).</t>
  </si>
  <si>
    <t>Repayment of lease liabilities: -DKK 7,000m p.a. (steady-state). Reflects DSV's ~30bn lease liability base with ~4-year average tenor. Includes both PP&amp;E and warehouse leases.</t>
  </si>
  <si>
    <t>Dividends: 10% payout of NI per CMD slide 138 ('aims to ensure an annual dividend pay-out ratio of approximately 10% of net profit'). Live linked to IS NI to shareholders (row 161). Modest dividend grows from DKK 1.4bn (2026E) to DKK 2.9bn (2030E).</t>
  </si>
  <si>
    <t>Purchase of treasury shares (buybacks): -2bn (2026) ramping to -18bn (2030). Pace reflects CMD slide 138 capital allocation priorities: (1) deleveraging through 2027, (2) M&amp;A, (3) shareholder returns. Buybacks accelerate post-2027 once gearing target hit. Pre-Schenker DSV ran DKK 14-20bn p.a. buybacks (2021-2023) — model assumes return to that pace by 2030.</t>
  </si>
  <si>
    <t>CFF: heavy outflows 2026-30 from combined debt paydown + accelerating buybacks. DSV is in disciplined capital return mode — by 2030, CFF is -28bn vs FCF generation of +31bn = ~90% of FCF returned to shareholders + debt holders.</t>
  </si>
  <si>
    <t>Cash 31 December: LIVE LINKED TO BS (row 266 pulls from this). True 3-statement tie — CF rollforward determines BS cash; BS Reserves becomes the plug to absorb unmodeled OCI items.</t>
  </si>
  <si>
    <t>Adjusted Free Cash Flow (DSV APM): CFO + capex + disposals + lease repayments - special items paid. Per DSV definition (CMD slide). 2026E ~14.6bn growing to ~24bn by 2030.</t>
  </si>
  <si>
    <t>Free Cash Flow (model definition): CFO - CapEx + Disposals (excludes M&amp;A and lease repayments — the cleaner economic FCF). 2026E DKK 18.6bn rising to DKK 30.8bn by 2030. FCF yield on current market cap implies attractive equity returns.</t>
  </si>
  <si>
    <t>Reserves: NOW SERVES AS BS PLUG. Absorbs unmodeled comprehensive-income items (FX translation gains/losses, pension actuarial adjustments, and the treasury-share accounting nuance where IFRS deducts buybacks from equity but not specifically from retained earnings). Growing negative balance (-7bn → -25bn) primarily reflects cumulative buyback effect on equity. In a more refined model, this would be split into separate Treasury Shares and Translation Reserve lines.</t>
  </si>
  <si>
    <t>Cash and cash equivalents: NOW LIVE LINKED TO CF END CASH (row 241). True 3-statement integration — any forecast assumption change flows through CF rollforward into BS cash balance.</t>
  </si>
  <si>
    <t>Retained earnings: prior + NI to shareholders - Dividends - Buybacks - Sale of treasury (signs from CF rows). This is the proper finance-first-principles RE roll. Note: pure-IFRS treatment would put buybacks/treasury into a separate reserve line; model simplification pools them into RE.</t>
  </si>
  <si>
    <t>Capex / Revenue ratios</t>
  </si>
  <si>
    <t xml:space="preserve">  PP&amp;E capex % of revenue</t>
  </si>
  <si>
    <t xml:space="preserve">  Intangible capex % of revenue</t>
  </si>
  <si>
    <t xml:space="preserve">  Total capex % of revenue</t>
  </si>
  <si>
    <t>Disposals of PP&amp;E: DKK 4bn p.a. (2026-28) reflects DSV's stated DKK 15bn property divestment program (CMD slide 139), of which DKK 3bn realised in 2025. 
*** SIMPLIFICATION FLAG ***
The CF cash impact is captured here, BUT the BS implications of the 75% sale-leaseback portion are NOT modeled in detail. Proper IFRS 16 treatment would require:
  - PP&amp;E (row 256) DECLINE by DKK 4bn p.a. 2026-28
  - RoU asset (row 255) INCREASE by ~DKK 3bn p.a. (75% retained as new lease)
  - Lease liability (rows 280/287) INCREASE by ~DKK 3bn p.a. matching the RoU add
  - Lease repayments (CF row 230) scale up reflecting larger lease base
INSTEAD: PP&amp;E, RoU and Lease liab are held flat. The mismatch is absorbed by the Reserves plug (row 274). This understates the gross balance sheet by ~DKK 9-12bn over 2026-28 but the NET economic and cash effect is correct.
IMPACT ON KEY METRICS:
  - ROIC: marginally OVERSTATED (invested capital understated by net leases not added)
  - Net debt / EBITDA (including leases): marginally UNDERSTATED for the same reason
  - EBIT: largely unaffected (depreciation flat, lease interest small relative)
  - FCF: unaffected (cash impact captured at row 223)
If you want to upgrade this to full IFRS 16 treatment, the changes would touch rows 255 (RoU), 256 (PP&amp;E), 280 (LT lease liab), 287 (current lease liab), and 230 (lease repayments) for forecast cols BQ-BU.</t>
  </si>
  <si>
    <t>DSO: 81d (2025A) → 74d (2030E). Reflects DSV's stated NWC target (CMD slide 139: 'NWC ~2-3% of net revenue'). Improvement driven by post-Schenker customer mix rationalisation — Schenker had longer customer payment terms which DSV is bringing in line with legacy DSV norms (~70 days).</t>
  </si>
  <si>
    <t>Forecast</t>
  </si>
  <si>
    <t>25-'30</t>
  </si>
  <si>
    <t>Historical</t>
  </si>
  <si>
    <t>Intangibles — PROPER ROLLFORWARD: prior + Intangible capex (CF 221 × -1) − Intangibles amortisation (12% of total A&amp;D). The 12% reflects 2025 actual mix — customer relationships amortise + other intangibles amortise + goodwill does NOT amortise.
Result: 150,954 (2025) → 145,152 (2030). Gradual decline of ~DKK 1.2bn p.a. (net of small intangible capex of ~DKK 540m offset by ~DKK 1.7bn amortisation).
KEY ASSUMPTION: amortisation rate held constant at 12% of total A&amp;D. In reality the % may decline as Schenker customer relationships fully amortise over their useful life (~6-8 years). Sensitivity: a 1pp change in the amort allocation = ~DKK 140m intang change p.a.</t>
  </si>
  <si>
    <t>Right-of-use assets — PROPER ROLLFORWARD: prior × 1.01 (1% organic growth) + sale-leaseback additions (DKK 3bn p.a. 2026-28 for Schenker property monetisation, then 0).
Simplified vs full IFRS 16: instead of tracking new lease additions vs depreciation separately, model assumes NEW leases roughly equal RoU depreciation + 1% modest growth in footprint. The sale-leaseback adds are layered on top as explicit DKK 3bn p.a. amounts.
Result: 27,772 (2025) → 38,462 (2030). Growth driven by (a) Schenker property monetisation retained portion (DKK 9bn over 2026-28), (b) 1% organic warehouse footprint expansion.</t>
  </si>
  <si>
    <t>PP&amp;E — PROPER ROLLFORWARD: prior + PP&amp;E capex (CF 222 × -1) − PP&amp;E depreciation (21% of total A&amp;D).
Key: PP&amp;E capex from CF row 222 (currently DKK 4,025m at 1.5% of revenue) typically EXCEEDS PP&amp;E depreciation (~DKK 2,930m at 21% of total A&amp;D), so PP&amp;E grows modestly.
Result: 24,421 (2025) → 31,329 (2030). Growth reflects sustained organic capex above maintenance levels (consistent with CMD slide 139 capex guidance of ~1.5% revenue, including AI investments).
Note: this rollforward does NOT separately model the gross-up impact of sale-leaseback (PP&amp;E disposal of DKK 4bn p.a.). That cash impact flows on CF row 223. For a full IFRS 16 treatment, PP&amp;E should decline by DKK 4bn p.a. 2026-28 with offsetting RoU/lease liability growth — mid-ground approach used here.</t>
  </si>
  <si>
    <t>Lease liability (LT): tied to RoU asset (row 259) × 1.11 (RoU/Lease premium reflecting interest accrual differential) × 78% LT split. Maintains roughly equal lease liability and RoU per IFRS 16.
Material impact: as RoU grows from 27,772 (2025) to 38,462 (2030), lease liabilities grow proportionally — PUSHING UP both gross debt and net debt for covenant calculations (Net debt INCLUDING leases / EBITDA).</t>
  </si>
  <si>
    <t>D&amp;A allocation (implied):
  PP&amp;E depreciation ≈ 21% of total A&amp;D (~DKK 2.9bn in 2026E, growing with PP&amp;E base)
  RoU depreciation ≈ 67% of total A&amp;D (~DKK 9.3bn in 2026E, growing with leases)
  Intangibles amortisation ≈ 12% of total A&amp;D (~DKK 1.7bn in 2026E)
These ratios are HARDCODED based on 2025 actuals. In a more refined model, the depreciation lines would be tied to each asset's useful life (PP&amp;E 13yr, RoU 5yr, Intangibles 7yr blended) running off the actual BS asset balance — self-consistent calc.
Current simplification: the IS A&amp;D drives the BS rollforwards via fixed allocation ratios, but the BS asset balances do NOT drive the IS A&amp;D. This means changes to capex assumptions don't fully propagate to A&amp;D in the IS. Acceptable for now; can be refined if needed.</t>
  </si>
  <si>
    <t>VALUATION</t>
  </si>
  <si>
    <t>Avg share price (DKK)</t>
  </si>
  <si>
    <t>Diluted shares outstanding ('000)</t>
  </si>
  <si>
    <t>Market capitalisation (DKKm)</t>
  </si>
  <si>
    <t>Net debt (DKKm)</t>
  </si>
  <si>
    <t>Enterprise Value (DKKm)</t>
  </si>
  <si>
    <t>Multiples</t>
  </si>
  <si>
    <t xml:space="preserve">  EV / Sales</t>
  </si>
  <si>
    <t xml:space="preserve">  EV / EBITDA</t>
  </si>
  <si>
    <t xml:space="preserve">  EV / EBIT</t>
  </si>
  <si>
    <t xml:space="preserve">  EV / IC</t>
  </si>
  <si>
    <t xml:space="preserve">  FCF Yield</t>
  </si>
  <si>
    <t xml:space="preserve">  P / E (adjusted)</t>
  </si>
  <si>
    <t>SCENARIO →</t>
  </si>
  <si>
    <t>Base</t>
  </si>
  <si>
    <t>SCENARIO INPUT TABLE — driver assumptions per Bull/Base/Bear</t>
  </si>
  <si>
    <t>Bull</t>
  </si>
  <si>
    <t>Bear</t>
  </si>
  <si>
    <t>AS_revGrowth</t>
  </si>
  <si>
    <t xml:space="preserve">  2026E</t>
  </si>
  <si>
    <t xml:space="preserve">  2027E</t>
  </si>
  <si>
    <t xml:space="preserve">  2028E</t>
  </si>
  <si>
    <t xml:space="preserve">  2029E</t>
  </si>
  <si>
    <t xml:space="preserve">  2030E</t>
  </si>
  <si>
    <t>Road_revGrowth</t>
  </si>
  <si>
    <t>CL_revGrowth</t>
  </si>
  <si>
    <t>AS_convRatio</t>
  </si>
  <si>
    <t>Road_convRatio</t>
  </si>
  <si>
    <t>CL_convRatio</t>
  </si>
  <si>
    <t>Special_items</t>
  </si>
  <si>
    <t>Buybacks</t>
  </si>
  <si>
    <t>SeaTEU_growth</t>
  </si>
  <si>
    <t>SeaRate_growth</t>
  </si>
  <si>
    <t>AirTon_growth</t>
  </si>
  <si>
    <t>AirRate_growth</t>
  </si>
  <si>
    <t xml:space="preserve">  Sea revenue per TEU (DKK)</t>
  </si>
  <si>
    <t xml:space="preserve">  Air revenue per tonne (DKK)</t>
  </si>
  <si>
    <t xml:space="preserve">  Implied A&amp;S revenue check (Sea + Air)</t>
  </si>
  <si>
    <t>DCF VALUATION</t>
  </si>
  <si>
    <t>1. WACC BUILD</t>
  </si>
  <si>
    <t>Equity risk premium</t>
  </si>
  <si>
    <t>Levered beta</t>
  </si>
  <si>
    <t>Cost of equity</t>
  </si>
  <si>
    <t>Pre-tax cost of debt</t>
  </si>
  <si>
    <t>Tax rate</t>
  </si>
  <si>
    <t>After-tax cost of debt</t>
  </si>
  <si>
    <t>Target D/V</t>
  </si>
  <si>
    <t>Damodaran global ERP estimate</t>
  </si>
  <si>
    <t>DSV reported beta ~0.4; industry unlevered ~0.9 — blended to 0.9 as DSV de-risks post-Schenker</t>
  </si>
  <si>
    <t>DSV A3/A- bonds, 5Y yield + spread</t>
  </si>
  <si>
    <t>Normalised per CMD slide 142</t>
  </si>
  <si>
    <t>Target leverage; net debt / total capital</t>
  </si>
  <si>
    <t>WACC</t>
  </si>
  <si>
    <t>2. UNLEVERED FREE CASH FLOW BUILD</t>
  </si>
  <si>
    <t>2031E</t>
  </si>
  <si>
    <t>2032E</t>
  </si>
  <si>
    <t>2033E</t>
  </si>
  <si>
    <t>2034E</t>
  </si>
  <si>
    <t>2035E</t>
  </si>
  <si>
    <t>Terminal</t>
  </si>
  <si>
    <t>× (1 − tax rate)</t>
  </si>
  <si>
    <t>− Capex (intangibles + PP&amp;E)</t>
  </si>
  <si>
    <t>− Δ Working capital</t>
  </si>
  <si>
    <t>Terminal growth rate</t>
  </si>
  <si>
    <t>Terminal Value (Gordon Growth)</t>
  </si>
  <si>
    <t>Discount period (year #)</t>
  </si>
  <si>
    <t>Discount factor</t>
  </si>
  <si>
    <t>PV of UFCF</t>
  </si>
  <si>
    <t>3. VALUATION SUMMARY</t>
  </si>
  <si>
    <t>Sum of PV (explicit + fade)</t>
  </si>
  <si>
    <t>PV of Terminal Value</t>
  </si>
  <si>
    <t>Enterprise Value</t>
  </si>
  <si>
    <t>Equity Value</t>
  </si>
  <si>
    <t>Diluted shares ('000)</t>
  </si>
  <si>
    <t>Implied share price (DKK)</t>
  </si>
  <si>
    <t>Current share price (DKK)</t>
  </si>
  <si>
    <t>Implied upside / (downside)</t>
  </si>
  <si>
    <t>4. SENSITIVITY: IMPLIED PRICE - WACC x Terminal Growth</t>
  </si>
  <si>
    <t>WACC (across):</t>
  </si>
  <si>
    <t>g (down) / WACC</t>
  </si>
  <si>
    <t>5. REVERSE DCF</t>
  </si>
  <si>
    <t>At current DKK 1,571, market implies materially lower long-term FCF than model. To run: Data tab &gt; What-If Analysis &gt; Goal Seek. Set C41 to 1571 by changing E18 (2027 EBIT).</t>
  </si>
  <si>
    <t>NOPAT</t>
  </si>
  <si>
    <t>Unlevered FCF</t>
  </si>
  <si>
    <t>plus D&amp;A</t>
  </si>
  <si>
    <t>Risk-free rate (US 10Y govt)</t>
  </si>
  <si>
    <t>SHARE BUYBACK SCHEDULE</t>
  </si>
  <si>
    <t xml:space="preserve">  Avg buyback price (DKK)</t>
  </si>
  <si>
    <t xml:space="preserve">  Buyback cash deployed (CF row 234, DKKm)</t>
  </si>
  <si>
    <t xml:space="preserve">  Implied shares repurchased ('000)</t>
  </si>
  <si>
    <t xml:space="preserve">  Beginning shares outstanding ('000)</t>
  </si>
  <si>
    <t xml:space="preserve">  Ending shares outstanding ('000)</t>
  </si>
  <si>
    <t xml:space="preserve">  % of shares repurchased</t>
  </si>
  <si>
    <t xml:space="preserve">  Memo: cumulative shares repurchased since 2025</t>
  </si>
  <si>
    <t>BALANCE SHEET FORECAST SCHEDULES</t>
  </si>
  <si>
    <t>Asset rollforwards (linked to capex / D&amp;A allocation)</t>
  </si>
  <si>
    <t xml:space="preserve">  Intangibles amort rate (% of total A&amp;D)</t>
  </si>
  <si>
    <t xml:space="preserve">  RoU depreciation rate (% of total A&amp;D)</t>
  </si>
  <si>
    <t xml:space="preserve">  PP&amp;E depreciation rate (% of total A&amp;D)</t>
  </si>
  <si>
    <t xml:space="preserve">  RoU organic growth rate</t>
  </si>
  <si>
    <t xml:space="preserve">  RoU sale-leaseback additions (DKKm)</t>
  </si>
  <si>
    <t>Other receivables / payables % of revenue</t>
  </si>
  <si>
    <t xml:space="preserve">  Other receivables (non-current) % rev</t>
  </si>
  <si>
    <t xml:space="preserve">  Other receivables (current) % rev</t>
  </si>
  <si>
    <t xml:space="preserve">  Other payables % rev</t>
  </si>
  <si>
    <t xml:space="preserve">  Provisions (current) % rev</t>
  </si>
  <si>
    <t xml:space="preserve">  Tax payables % rev</t>
  </si>
  <si>
    <t>Borrowings &amp; deleveraging schedule</t>
  </si>
  <si>
    <t xml:space="preserve">  LT Borrowings target (DKKm)</t>
  </si>
  <si>
    <t xml:space="preserve">  Net debt repayment / (issuance) (DKKm)</t>
  </si>
  <si>
    <t xml:space="preserve">  New borrowings proceeds (DKKm)</t>
  </si>
  <si>
    <t>BS FORECAST SCHEDULES — explicit driver assumptions</t>
  </si>
  <si>
    <t>Intangibles amortisation rate: 12% of total A&amp;D. Derived from 2025 actual mix (Group A&amp;D 8,633m ≈ 21% PP&amp;E + 67% RoU + 12% Intangibles). Largest component of intangibles amort = customer relationships from acquisitions (DSV Schenker added 1,627m of CR per AR 2025 Note 6.1). Held constant at 12% — reality: this declines over time as Schenker CR fully amortises (~6-8 year life). Sensitivity: each 1pp shift = ~DKK 1.5bn change in 2030 intangible balance.</t>
  </si>
  <si>
    <t>RoU depreciation rate: 67% of total A&amp;D — largest D&amp;A component because DSV is warehouse-lease heavy (2025 RoU 27.8bn vs PP&amp;E 24.4bn). Lease term ~5 years drives faster amortisation. Held constant. Sensitivity: 1pp shift = ~DKK 1.5bn RoU change.</t>
  </si>
  <si>
    <t>PP&amp;E depreciation rate: 21% of total A&amp;D. Implies ~13yr useful life on PP&amp;E base. Held constant. Key: PP&amp;E capex (CF row 221) of ~1.5% revenue (~DKK 4bn) EXCEEDS PP&amp;E depreciation (~DKK 2-3bn) so PP&amp;E grows modestly. This reflects DSV's stated capex policy (CMD slide 139). If you believe DSV will ramp AI capex more aggressively, push to 1.8-2.0%.</t>
  </si>
  <si>
    <t>RoU organic growth rate: 1% p.a. Reflects DSV's stated 'asset-light' strategy with modest warehouse footprint expansion (CMD slide 139 shows IC declining over forecast). New leases assumed to roughly match depreciation + small organic growth. Sensitivity: each 1pp shift = ~DKK 1.5bn cumulative RoU change by 2030.</t>
  </si>
  <si>
    <t>RoU sale-leaseback additions: DKK 3bn p.a. 2026-28, then zero. Reflects DSV's stated Schenker property divestment program (CMD slide 139: ~DKK 15bn total, of which 75% sale-leaseback = ~DKK 12bn retained as RoU). DKK 3bn already realised in 2025; remaining DKK 12bn spread over 4 years implied here (DKK 3bn in 2026-28). KEY ASSUMPTION: this is a MID-GROUND treatment — PP&amp;E should also decline by equivalent gross amounts. See BV223 for full IFRS 16 treatment notes.</t>
  </si>
  <si>
    <t>Other receivables (non-current) % of revenue: 1.35%. Held constant at 2025 actual level. This includes pension surplus, deferred items, deposits, long-term receivables. Typically not material year-to-year unless there's a corporate action.</t>
  </si>
  <si>
    <t>Other receivables (current) % of revenue: 3.17%. Held constant. Includes prepayments, VAT receivables, employee receivables, accrued income (excl. trade and contract).</t>
  </si>
  <si>
    <t>Other payables % of revenue: 7.73%. Held constant. Largest non-trade-related payable line — includes accruals, VAT, payroll, employee bonuses, customer prepayments. Forecasting at constant % of revenue is the standard simplification.</t>
  </si>
  <si>
    <t>Provisions (current) % of revenue: 2.63%. Includes restructuring provisions, litigation accruals, warranty. Elevated 2025 (6,489m) reflects Schenker integration-related provisions; should normalise lower 2027+ once integration completes. Held flat for simplicity — if you want to be more rigorous, taper down to ~1.5% by 2030.</t>
  </si>
  <si>
    <t>Tax payables % of revenue: 1.44%. Held constant at 2025 actual. Reflects ≈ 1Q of book tax owed at year-end. Tracks closely with ETR × EBT.</t>
  </si>
  <si>
    <t>LT Borrowings target: explicit deleveraging path — 56,950 (2025A) → 51,950 (2026E) → 43,950 (2027E hits target) → 38,950 → 35,950 → 33,950. DSV target: &lt;2.0x net debt/EBITDA by H1 2027 (CMD slide 138). Aggressive 2026-27 paydown front-loaded; tapers post-2027 once target hit. Allows shareholder returns to accelerate (see buyback schedule row 254). Sensitivity: each DKK 5bn change in deleveraging pace = ~DKK 250m change in annual finance expense ≈ DKK 0.8 EPS.</t>
  </si>
  <si>
    <t>Net debt repayment / (issuance): formula-derived = (Δ LT borrowings + Δ ST borrowings) - New proceeds. Captures the actual cash outflow on debt service. For historical years pulls from CF row 228 directly. Flows to CFF.</t>
  </si>
  <si>
    <t>New borrowings proceeds: DKK 1,000m p.a. — modest ongoing refinancing of maturing bonds. DSV's debt stack matures over 2026-2036 per CMD slide 140; assumed refinanced at maturity. Higher proceeds if DSV does another deal (not modeled in base case). For historical years pulls from CF row 227 directly.</t>
  </si>
  <si>
    <t>Historical reference (driver context)</t>
  </si>
  <si>
    <t xml:space="preserve">  Total A&amp;D as % of revenue</t>
  </si>
  <si>
    <t xml:space="preserve">  PP&amp;E capex as % of revenue</t>
  </si>
  <si>
    <t xml:space="preserve">  Intangible capex as % of revenue</t>
  </si>
  <si>
    <t xml:space="preserve">  RoU y/y growth</t>
  </si>
  <si>
    <t xml:space="preserve">  PP&amp;E y/y growth</t>
  </si>
  <si>
    <t xml:space="preserve">  Intangibles y/y change</t>
  </si>
  <si>
    <t>Historical reference — sanity-checks for the forecast assumptions above</t>
  </si>
  <si>
    <t>Total A&amp;D as % of revenue: historical context for the forecast intang/RoU/PP&amp;E depreciation rates. Cross-check: 2025 A&amp;D 8,633m / Revenue 247,331m = 3.5%. Forecast holds similar range. If your assumed depreciation rates (rows 323-325 summing to ~100% of A&amp;D) imply a materially different total A&amp;D, the cross-check fails.</t>
  </si>
  <si>
    <t>PP&amp;E capex as % of revenue: 2025 ~0.8% (light year), 2024 ~1.25%. Forecast 1.5% (per CMD slide 139). Historical average lower than DSV's guided rate — the 1.5% reflects DSV's stated AI investment commitment. If you doubt DSV will hit 1.5% sustained (e.g. they revert to historical), flex DOWN to 1.0%.</t>
  </si>
  <si>
    <t>Intangible capex as % of revenue: ~0.2% historically (matches forecast). Stable line; small IT/software investments. Largest variance years coincide with M&amp;A.</t>
  </si>
  <si>
    <t>RoU y/y growth: historically volatile (+ in acquisition years -DKK 11.7bn 2019 Panalpina, +DKK 14bn 2025 Schenker; smaller growth in clean years +DKK 1bn p.a.). Forecast at 1% + sale-leaseback adds is consistent with 'clean' year pattern. KEY ASSUMPTION: this is the cleanest year-on-year RoU growth profile we'd expect post-Schenker integration.</t>
  </si>
  <si>
    <t>PP&amp;E y/y growth: highly cyclical with M&amp;A (+260% 2025 from Schenker addition). Forecast at modest +5-6% reflecting capex slightly exceeding depreciation. If DSV does another major deal, this line spikes.</t>
  </si>
  <si>
    <t>Intangibles y/y change: historically dominated by M&amp;A (Panalpina +200% 2019, GIL +58% 2021, Schenker +94% 2025). Forecast at -1% p.a. reflects CR amortisation modestly exceeding ongoing intangible capex — the natural unwinding once M&amp;A pauses. The model's CMD-aligned assumption of no major M&amp;A through 2030 implies this line should DECLINE — if you believe DSV continues their M&amp;A cadence, intangibles would grow materially.</t>
  </si>
  <si>
    <t>DSV A/S — Bull / Base / Bear Case P&amp;L Summary</t>
  </si>
  <si>
    <t>Adjusted figures · DKK millions · Linked to Model — toggle scenario via Model!BV2</t>
  </si>
  <si>
    <t>Scenario:</t>
  </si>
  <si>
    <t>(DKKm, except EPS and shares)</t>
  </si>
  <si>
    <t>2025A</t>
  </si>
  <si>
    <t>25-'30 CAGR</t>
  </si>
  <si>
    <t xml:space="preserve">   Revenue y/y %</t>
  </si>
  <si>
    <t>Gross Profit</t>
  </si>
  <si>
    <t xml:space="preserve">   GP %</t>
  </si>
  <si>
    <t>EBIT (Adjusted Operating Profit)</t>
  </si>
  <si>
    <t xml:space="preserve">   EBIT y/y %</t>
  </si>
  <si>
    <t xml:space="preserve">   EBIT %</t>
  </si>
  <si>
    <t>Net Income (Adjusted Earnings)</t>
  </si>
  <si>
    <t>FDSO ('000)</t>
  </si>
  <si>
    <t>Adjusted EPS — Diluted (DKK)</t>
  </si>
  <si>
    <t xml:space="preserve">   EPS y/y %</t>
  </si>
  <si>
    <t>Share price (DKK):</t>
  </si>
  <si>
    <t>As of:</t>
  </si>
  <si>
    <t>Free Cash Flow</t>
  </si>
  <si>
    <t xml:space="preserve">   FCF / share (DKK)</t>
  </si>
  <si>
    <t>EBITDA (before special items)</t>
  </si>
  <si>
    <t xml:space="preserve">   EBITDA %</t>
  </si>
  <si>
    <t>Net Debt</t>
  </si>
  <si>
    <t xml:space="preserve">   Net Debt / EBITDA (x)</t>
  </si>
  <si>
    <t>P / E (x) — assumed</t>
  </si>
  <si>
    <t>Price Target (DKK)</t>
  </si>
  <si>
    <t xml:space="preserve">   Upside / (Downside) vs current</t>
  </si>
  <si>
    <t>IRR (to Dec-Y-1)</t>
  </si>
  <si>
    <t>ROIC</t>
  </si>
  <si>
    <t>RONTA</t>
  </si>
  <si>
    <t>Implied Market Cap (DKKm)</t>
  </si>
  <si>
    <t>(+) Net Debt</t>
  </si>
  <si>
    <t>Implied Enterprise Value (DKKm)</t>
  </si>
  <si>
    <t>Implied EV / EBITDA (x)</t>
  </si>
  <si>
    <t>GP %</t>
  </si>
  <si>
    <t>EBIT %</t>
  </si>
  <si>
    <t>EBIT / GP</t>
  </si>
  <si>
    <t>Incremental EBIT margin</t>
  </si>
  <si>
    <t>DSV — Historical Operating Performance (2015–2025)</t>
  </si>
  <si>
    <t>All historicals · DKKm · Linked to Model. FY2025 M&amp;A% reflects Schenker (consolidated from 1 May 2025).</t>
  </si>
  <si>
    <t>Organic %</t>
  </si>
  <si>
    <t>M&amp;A %</t>
  </si>
  <si>
    <t>EBIT</t>
  </si>
  <si>
    <t xml:space="preserve">   FCF %</t>
  </si>
  <si>
    <t>LT Hist Avg</t>
  </si>
  <si>
    <t>LT Hist Min</t>
  </si>
  <si>
    <t>LT Hist Max</t>
  </si>
  <si>
    <t xml:space="preserve">   FCF Yield (on PT)</t>
  </si>
  <si>
    <t>Valuation date (live)</t>
  </si>
  <si>
    <t>Periods = (Dec-31-Year − today) / 365.25; valuation point YE 2026</t>
  </si>
  <si>
    <t>Less: Net debt (Model BQ 2026YE)</t>
  </si>
  <si>
    <t>6. MAUBOUSSIN EV / NOPAT — TWO-STAGE FRAMEWORK</t>
  </si>
  <si>
    <t>EV/NOPAT  =  1/r  +  [g × (1 − r/ROIIC) / (r × (r − g))] × [1 − ((1+g)/(1+r))^N]</t>
  </si>
  <si>
    <t>Formula source: Mauboussin &amp; Rappaport, "Expectations Investing" (2021); Counterpoint Global, "What Does a Price-Earnings Multiple Mean?" 2020.</t>
  </si>
  <si>
    <t>Input</t>
  </si>
  <si>
    <t>Value</t>
  </si>
  <si>
    <t>Rationale (DSV characteristics)</t>
  </si>
  <si>
    <t>r  (Cost of capital / WACC)</t>
  </si>
  <si>
    <t>Linked from Section 1 WACC build</t>
  </si>
  <si>
    <t>g  (NOPAT growth, Stage 1)</t>
  </si>
  <si>
    <t>DSV NOPAT CAGR 2024–2030E = ~15%; conservatively normalised to 7% post-Schenker integration (in line with global logistics market growth + share gains)</t>
  </si>
  <si>
    <t>ROIIC  (Return on incremental invested capital)</t>
  </si>
  <si>
    <t>Asset-light forwarding model; pre-Schenker DSV ROIIC was 25–35%; post-Schenker ROIC reset lower but incremental capital is asset-light. Use 25%.</t>
  </si>
  <si>
    <t>N  (Years of value creation / CAP)</t>
  </si>
  <si>
    <t>Top-3 global forwarder with scale moat + 5+ yr Schenker integration runway; competitive advantage period 7–10 yrs typical for high-ROIC compounders</t>
  </si>
  <si>
    <t>Calculation</t>
  </si>
  <si>
    <t>Steady-state component:  1 / r</t>
  </si>
  <si>
    <t>Value-creation factor: 1 − r / ROIIC</t>
  </si>
  <si>
    <t>Growth multiplier: g × (1 − r/ROIIC) / (r × (r − g))</t>
  </si>
  <si>
    <t>Time decay: 1 − ((1+g)/(1+r))^N</t>
  </si>
  <si>
    <t>PVGO component (growth value)</t>
  </si>
  <si>
    <t>Mauboussin EV / NOPAT (steady-state + PVGO)</t>
  </si>
  <si>
    <t>VALUATION  —  Applied to 2028E NOPAT</t>
  </si>
  <si>
    <t>DKKm</t>
  </si>
  <si>
    <t>2028E EBIT (Model BS153)</t>
  </si>
  <si>
    <t>Tax rate (cash, from WACC build)</t>
  </si>
  <si>
    <t>2028E NOPAT  =  EBIT × (1 − t)</t>
  </si>
  <si>
    <t>× Mauboussin EV/NOPAT multiple</t>
  </si>
  <si>
    <t>Implied Enterprise Value (2028E basis)</t>
  </si>
  <si>
    <t>Less: YE2027 Net debt (forward into 2028)</t>
  </si>
  <si>
    <t>Implied Equity Value</t>
  </si>
  <si>
    <t>Diluted shares 2028E ('000)</t>
  </si>
  <si>
    <t>Implied share price 2028 (DKK)</t>
  </si>
  <si>
    <t>Current share price</t>
  </si>
  <si>
    <t>MARKET-IMPLIED EV/NOPAT TODAY</t>
  </si>
  <si>
    <t>Current Market Cap (Spot × FDSO)</t>
  </si>
  <si>
    <t>Plus: YE2026 Net debt</t>
  </si>
  <si>
    <t>Implied Enterprise Value (today)</t>
  </si>
  <si>
    <t>DSV's Market-Implied EV/NOPAT (on 2028E NOPAT)</t>
  </si>
  <si>
    <t>Multiple Gap (Mauboussin − Market)</t>
  </si>
  <si>
    <t>Implied re-rating headroom</t>
  </si>
  <si>
    <t>Moog Inc. — 3-Statement Financial Model</t>
  </si>
  <si>
    <t>US GAAP as reported · USD millions · Fiscal year ends late September · Source: Moog 10-K and 10-Q filings (SEC EDGAR)</t>
  </si>
  <si>
    <t>Segment structure changed in FY22: legacy 3 segments (Aircraft Controls, Space and Defense Controls, Industrial Systems) → current 4 segments (Military Aircraft, Commercial Aircraft, Space and Defense, Industrial).</t>
  </si>
  <si>
    <t>($M)</t>
  </si>
  <si>
    <t>Q1/10</t>
  </si>
  <si>
    <t>Q2/10</t>
  </si>
  <si>
    <t>Q3/10</t>
  </si>
  <si>
    <t>Q4/10</t>
  </si>
  <si>
    <t>FY10</t>
  </si>
  <si>
    <t>Q1/11</t>
  </si>
  <si>
    <t>Q2/11</t>
  </si>
  <si>
    <t>Q3/11</t>
  </si>
  <si>
    <t>Q4/11</t>
  </si>
  <si>
    <t>FY11</t>
  </si>
  <si>
    <t>Q1/12</t>
  </si>
  <si>
    <t>Q2/12</t>
  </si>
  <si>
    <t>Q3/12</t>
  </si>
  <si>
    <t>Q4/12</t>
  </si>
  <si>
    <t>FY12</t>
  </si>
  <si>
    <t>Q1/13</t>
  </si>
  <si>
    <t>Q2/13</t>
  </si>
  <si>
    <t>Q3/13</t>
  </si>
  <si>
    <t>Q4/13</t>
  </si>
  <si>
    <t>FY13</t>
  </si>
  <si>
    <t>Q1/14</t>
  </si>
  <si>
    <t>Q2/14</t>
  </si>
  <si>
    <t>Q3/14</t>
  </si>
  <si>
    <t>Q4/14</t>
  </si>
  <si>
    <t>FY14</t>
  </si>
  <si>
    <t>FY15</t>
  </si>
  <si>
    <t>FY16</t>
  </si>
  <si>
    <t>FY17</t>
  </si>
  <si>
    <t>FY18</t>
  </si>
  <si>
    <t>FY19</t>
  </si>
  <si>
    <t>FY20</t>
  </si>
  <si>
    <t>FY21</t>
  </si>
  <si>
    <t>FY22</t>
  </si>
  <si>
    <t>FY23</t>
  </si>
  <si>
    <t>FY24</t>
  </si>
  <si>
    <t>FY25</t>
  </si>
  <si>
    <t>FY26E</t>
  </si>
  <si>
    <t>FY27E</t>
  </si>
  <si>
    <t>FY28E</t>
  </si>
  <si>
    <t>FY29E</t>
  </si>
  <si>
    <t>FY30E</t>
  </si>
  <si>
    <t>FY20-FY25</t>
  </si>
  <si>
    <t>SEGMENT P&amp;L — LEGACY STRUCTURE (FY10–FY21)</t>
  </si>
  <si>
    <t>Pre-FY22 reporting — 3 reportable segments: Aircraft Controls, Space and Defense Controls, Industrial Systems. (Components and Medical Devices were separate segments in early years; combined into Industrial Systems by FY15.)</t>
  </si>
  <si>
    <t>Aircraft Controls</t>
  </si>
  <si>
    <t xml:space="preserve">  Net sales</t>
  </si>
  <si>
    <t xml:space="preserve">  Operating profit</t>
  </si>
  <si>
    <t xml:space="preserve">  Sales y/y %</t>
  </si>
  <si>
    <t xml:space="preserve">  Operating margin %</t>
  </si>
  <si>
    <t xml:space="preserve">  Backlog ($M)</t>
  </si>
  <si>
    <t xml:space="preserve">  Book-to-bill (Bookings / Sales)</t>
  </si>
  <si>
    <t>Space and Defense Controls</t>
  </si>
  <si>
    <t>Industrial Systems</t>
  </si>
  <si>
    <t>Components (separate segment FY10–FY14, then merged into Industrial)</t>
  </si>
  <si>
    <t>Medical Devices (separate segment FY10–FY16, divested/merged)</t>
  </si>
  <si>
    <t>Legacy Group Total (consolidated, FY10–FY21)</t>
  </si>
  <si>
    <t>SEGMENT P&amp;L — CURRENT STRUCTURE (FY22–present, includes forecast)</t>
  </si>
  <si>
    <t>Effective Q1 FY22: Aircraft Controls split into Military Aircraft + Commercial Aircraft; Space and Defense renamed; Industrial Systems renamed Industrial. FY21 restated comparatives used where Moog disclosed them.</t>
  </si>
  <si>
    <t>Military Aircraft</t>
  </si>
  <si>
    <t>Commercial Aircraft</t>
  </si>
  <si>
    <t>Space and Defense</t>
  </si>
  <si>
    <t>Industrial</t>
  </si>
  <si>
    <t>Group Total (consolidated, FY22–forecast)</t>
  </si>
  <si>
    <t xml:space="preserve">  Total backlog ($M)</t>
  </si>
  <si>
    <t>CONSOLIDATED INCOME STATEMENT (US GAAP)</t>
  </si>
  <si>
    <t>Net sales</t>
  </si>
  <si>
    <t>Cost of sales</t>
  </si>
  <si>
    <t>Research and development expenses</t>
  </si>
  <si>
    <t>Selling, general and administrative expenses</t>
  </si>
  <si>
    <t>Restructuring expense</t>
  </si>
  <si>
    <t>Other operating (income) expense, net</t>
  </si>
  <si>
    <t>Operating earnings</t>
  </si>
  <si>
    <t>Interest expense</t>
  </si>
  <si>
    <t>Interest income</t>
  </si>
  <si>
    <t>Other non-operating income (expense)</t>
  </si>
  <si>
    <t>Earnings before income taxes</t>
  </si>
  <si>
    <t>Income tax expense</t>
  </si>
  <si>
    <t>(Per share data)</t>
  </si>
  <si>
    <t>EPS — basic</t>
  </si>
  <si>
    <t>EPS — diluted</t>
  </si>
  <si>
    <t>Weighted avg shares — basic ('000)</t>
  </si>
  <si>
    <t>Weighted avg shares — diluted ('000)</t>
  </si>
  <si>
    <t>Dividends declared per share</t>
  </si>
  <si>
    <t>GAAP net earnings</t>
  </si>
  <si>
    <t>Adjusted net earnings</t>
  </si>
  <si>
    <t xml:space="preserve">  Net sales y/y %</t>
  </si>
  <si>
    <t xml:space="preserve">  Operating earnings y/y %</t>
  </si>
  <si>
    <t xml:space="preserve">  Net earnings y/y %</t>
  </si>
  <si>
    <t xml:space="preserve">  Gross margin %</t>
  </si>
  <si>
    <t xml:space="preserve">  R&amp;D % of sales</t>
  </si>
  <si>
    <t xml:space="preserve">  SG&amp;A % of sales</t>
  </si>
  <si>
    <t xml:space="preserve">  Net margin %</t>
  </si>
  <si>
    <t xml:space="preserve">  Incremental op margin (ΔOP / ΔSales)</t>
  </si>
  <si>
    <t>CONSOLIDATED CASH FLOW STATEMENT (US GAAP)</t>
  </si>
  <si>
    <t>Operating activities:</t>
  </si>
  <si>
    <t xml:space="preserve">  Net earnings</t>
  </si>
  <si>
    <t xml:space="preserve">  Depreciation</t>
  </si>
  <si>
    <t xml:space="preserve">  Amortization</t>
  </si>
  <si>
    <t xml:space="preserve">  Stock-based compensation</t>
  </si>
  <si>
    <t xml:space="preserve">  Deferred income taxes</t>
  </si>
  <si>
    <t xml:space="preserve">  Change in accounts receivable</t>
  </si>
  <si>
    <t xml:space="preserve">  Change in inventories</t>
  </si>
  <si>
    <t xml:space="preserve">  Change in accounts payable</t>
  </si>
  <si>
    <t xml:space="preserve">  Change in accrued liabilities</t>
  </si>
  <si>
    <t xml:space="preserve">  Change in other assets/liabilities</t>
  </si>
  <si>
    <t xml:space="preserve">  Other operating items</t>
  </si>
  <si>
    <t>Net cash from operating activities</t>
  </si>
  <si>
    <t>Investing activities:</t>
  </si>
  <si>
    <t xml:space="preserve">  Capital expenditures (PP&amp;E)</t>
  </si>
  <si>
    <t xml:space="preserve">  Acquisitions, net of cash acquired</t>
  </si>
  <si>
    <t xml:space="preserve">  Proceeds from sale of assets/businesses</t>
  </si>
  <si>
    <t xml:space="preserve">  Other investing activities</t>
  </si>
  <si>
    <t>Net cash from investing activities</t>
  </si>
  <si>
    <t>Financing activities:</t>
  </si>
  <si>
    <t xml:space="preserve">  Proceeds from / (repayment of) long-term debt, net</t>
  </si>
  <si>
    <t xml:space="preserve">  Net change in revolver / short-term borrowings</t>
  </si>
  <si>
    <t xml:space="preserve">  Dividends paid</t>
  </si>
  <si>
    <t xml:space="preserve">  Repurchase of common stock</t>
  </si>
  <si>
    <t xml:space="preserve">  Stock option / employee plan proceeds</t>
  </si>
  <si>
    <t xml:space="preserve">  Other financing activities</t>
  </si>
  <si>
    <t>Net cash from financing activities</t>
  </si>
  <si>
    <t>Effect of exchange rates on cash</t>
  </si>
  <si>
    <t>Net change in cash</t>
  </si>
  <si>
    <t>Cash, beginning of period</t>
  </si>
  <si>
    <t>Cash, end of period</t>
  </si>
  <si>
    <t>Free cash flow (CFO − Capex)</t>
  </si>
  <si>
    <t xml:space="preserve">  FCF % of sales</t>
  </si>
  <si>
    <t xml:space="preserve">  FCF conversion (FCF / Net earnings)</t>
  </si>
  <si>
    <t xml:space="preserve">  Capex % of sales</t>
  </si>
  <si>
    <t>CONSOLIDATED BALANCE SHEET (US GAAP)</t>
  </si>
  <si>
    <t xml:space="preserve">  Receivables, net</t>
  </si>
  <si>
    <t xml:space="preserve">  Inventories, net</t>
  </si>
  <si>
    <t xml:space="preserve">  Prepaid expenses and other current assets</t>
  </si>
  <si>
    <t>Property, plant and equipment, net</t>
  </si>
  <si>
    <t>Goodwill</t>
  </si>
  <si>
    <t>Intangible assets, net</t>
  </si>
  <si>
    <t>Operating lease right-of-use assets</t>
  </si>
  <si>
    <t>Deferred income taxes</t>
  </si>
  <si>
    <t>Other assets</t>
  </si>
  <si>
    <t>LIABILITIES &amp; EQUITY</t>
  </si>
  <si>
    <t xml:space="preserve">  Current portion of long-term debt</t>
  </si>
  <si>
    <t xml:space="preserve">  Short-term borrowings</t>
  </si>
  <si>
    <t xml:space="preserve">  Accounts payable</t>
  </si>
  <si>
    <t xml:space="preserve">  Accrued compensation</t>
  </si>
  <si>
    <t xml:space="preserve">  Contract liabilities (advance payments)</t>
  </si>
  <si>
    <t xml:space="preserve">  Other accrued liabilities</t>
  </si>
  <si>
    <t>Long-term debt</t>
  </si>
  <si>
    <t>Operating lease liabilities (non-current)</t>
  </si>
  <si>
    <t>Retirement obligations</t>
  </si>
  <si>
    <t>Other long-term liabilities</t>
  </si>
  <si>
    <t>Shareholders' equity:</t>
  </si>
  <si>
    <t xml:space="preserve">  Common stock</t>
  </si>
  <si>
    <t xml:space="preserve">  Additional paid-in capital</t>
  </si>
  <si>
    <t xml:space="preserve">  Treasury stock</t>
  </si>
  <si>
    <t xml:space="preserve">  Accumulated other comprehensive loss</t>
  </si>
  <si>
    <t>Total shareholders' equity</t>
  </si>
  <si>
    <t>TOTAL LIABILITIES AND EQUITY</t>
  </si>
  <si>
    <t>BS Tie-out check (Total assets − Total liab &amp; equity)</t>
  </si>
  <si>
    <t xml:space="preserve">  DIO (Inventories / COGS × 365)</t>
  </si>
  <si>
    <t>Returns</t>
  </si>
  <si>
    <t>Normalised tax rate</t>
  </si>
  <si>
    <t>NOPAT = EBIT × (1 − tax rate)</t>
  </si>
  <si>
    <t>Invested capital (Equity + Net debt)</t>
  </si>
  <si>
    <t xml:space="preserve">  Net debt (LT debt + ST debt − Cash)</t>
  </si>
  <si>
    <t>ROIC = NOPAT / Invested capital</t>
  </si>
  <si>
    <t xml:space="preserve">  Operating margin</t>
  </si>
  <si>
    <t xml:space="preserve">  Capital turnover (Sales / IC)</t>
  </si>
  <si>
    <t xml:space="preserve">  Tax burden (1 − tax rate)</t>
  </si>
  <si>
    <t xml:space="preserve">  Check: Margin × Turnover × Tax burden</t>
  </si>
  <si>
    <t>Net debt</t>
  </si>
  <si>
    <t>EBITDA (Operating earnings + D&amp;A)</t>
  </si>
  <si>
    <t>Interest coverage (EBIT / Interest expense)</t>
  </si>
  <si>
    <t>Avg share price ($)</t>
  </si>
  <si>
    <t>Market capitalization ($M)</t>
  </si>
  <si>
    <t>Net debt ($M)</t>
  </si>
  <si>
    <t>Enterprise value ($M)</t>
  </si>
  <si>
    <t xml:space="preserve">  P / E (GAAP)</t>
  </si>
  <si>
    <t xml:space="preserve">  FCF yield</t>
  </si>
  <si>
    <t xml:space="preserve">  Dividend yield</t>
  </si>
  <si>
    <t xml:space="preserve">  Inventory write-down</t>
  </si>
  <si>
    <t xml:space="preserve">  Asset impairment and fair value adjustment</t>
  </si>
  <si>
    <t xml:space="preserve">  Loss on sale of businesses</t>
  </si>
  <si>
    <t xml:space="preserve">  Gain on sale of buildings</t>
  </si>
  <si>
    <t xml:space="preserve">  Pension settlement</t>
  </si>
  <si>
    <t xml:space="preserve"> &gt;add in a proper PP&amp;E schedule with Capex, Depreciation tables. Ground it in first principles from finance modelling. Beg year, ending year PP&amp;E. link ending PP&amp;E to foreacsted b/s and link dep'n and capex to forecasted CF statement. </t>
  </si>
  <si>
    <t>Free Cash Flow (CFO − Capex)</t>
  </si>
  <si>
    <t xml:space="preserve"> &gt;build out a sharebuyback schedule grounded in first principles. Use current share price for FY26 and then inflate by 7%/yr for years 2027-2030. in base case keep leverage at 1.5x. </t>
  </si>
  <si>
    <t>Modeling Comments &amp; Assumptions</t>
  </si>
  <si>
    <t>Segment forecast assumptions</t>
  </si>
  <si>
    <t>Current 4-segment structure drives consolidated revenue. Sums from segments flow to Group Total row 86, which feeds IS Net sales (row 95). Mix shift toward Space &amp; Defense and Military Aircraft expected through FY30E given U.S. defense budgets and Moog's exposure to Patriot, JASSM, hypersonics programs.</t>
  </si>
  <si>
    <t>Military Aircraft: ~7-8% organic growth FY26E–FY30E driven by F-35 sustainment, F/A-18, CH-53K ramp, and new program wins (B-21, NGAD work). Backlog supports near-term; aftermarket mix improving margins.</t>
  </si>
  <si>
    <t>Op margin ramping from ~10.5% (FY24) toward 12-13% by FY30E via aftermarket mix, program maturity, and operational leverage from prior restructuring.</t>
  </si>
  <si>
    <t>Commercial Aircraft: high-single-digit growth FY26E–FY30E on 737 MAX ramp, 787 build-rate recovery, and Airbus A320neo demand. Aftermarket strong post-COVID. Risk: OEM build-rate volatility.</t>
  </si>
  <si>
    <t>Margin expansion from ~10-11% to ~13% by FY30E as commercial aftermarket scales and OE volumes leverage fixed cost base.</t>
  </si>
  <si>
    <t>Space &amp; Defense: strongest growth segment, 9-11% CAGR through FY30E. Drivers: hypersonics, missile defense (Patriot/THAAD), space launch (vehicle/satellite actuation), Golden Dome architecture. Backlog +30% YoY in FY25.</t>
  </si>
  <si>
    <t>Op margin expansion from 12% (FY24) toward 14-15% via scale and mix. Management has cited margin upside on defense contracts as volumes ramp.</t>
  </si>
  <si>
    <t>Industrial: low-single-digit growth FY26E–FY30E. Drivers: medical devices, simulation &amp; test, industrial automation. Energy exposure declining post-divestitures. More cyclical than aerospace/defense.</t>
  </si>
  <si>
    <t>Margin steady ~10-11%. Limited upside without portfolio actions; management focused on selective divestitures of low-margin product lines.</t>
  </si>
  <si>
    <t>Consolidated IS forecast assumptions</t>
  </si>
  <si>
    <t>Net sales = SUM of segments (row 86). FY26E ~$4.1B based on management guidance (Q3/25 call: high-single-digit organic growth + backlog conversion). Forecast assumes 7-8% growth FY26E–FY30E.</t>
  </si>
  <si>
    <t>COGS held at ~72% of sales (matches FY23–FY25 average of 72.4%). Productivity gains offset by inflation and product mix toward aftermarket-heavy programs.</t>
  </si>
  <si>
    <t>Gross profit = Net sales − COGS. Gross margin expanding from ~27.4% (FY25) toward 28-29% as aftermarket scales.</t>
  </si>
  <si>
    <t>R&amp;D ~2.5% of sales (per management guidance; FY25 was 2.4%). Held flat as % of sales; absolute $ grows with revenue.</t>
  </si>
  <si>
    <t>SG&amp;A ~14% of sales (FY25 actual 14.4%). Slight leverage assumed as revenue scales; management targeting opex discipline.</t>
  </si>
  <si>
    <t>Restructuring: $8M run-rate (vs $10M FY25). Management has signaled remaining footprint actions through FY27 then tapering.</t>
  </si>
  <si>
    <t>Other operating: ~$18M expense run-rate, in line with FY24–FY25 average. Includes pension service cost and miscellaneous items.</t>
  </si>
  <si>
    <t>Operating earnings = derived. Operating margin expanding from ~9.7% (FY25) toward ~11% by FY30E driven by mix and SG&amp;A leverage.</t>
  </si>
  <si>
    <t>Interest expense: $70M FY26E, declining to ~$55M by FY30E as debt is paid down with FCF. Assumes 5.5% blended cost on $1.1B debt.</t>
  </si>
  <si>
    <t>Tax rate held at 24% (in line with FY23–FY25 effective rate 21-25%, normalised to US statutory + state with R&amp;D credits).</t>
  </si>
  <si>
    <t>Net earnings flows to FCF and equity. Forecast EPS growth of ~9-11% CAGR FY25–FY30E driven by op leverage + modest buybacks.</t>
  </si>
  <si>
    <t>EPS basic = Net earnings / WAS basic. Buyback assumption: ~$50M/year capacity, ~1.5% annual reduction in diluted share count.</t>
  </si>
  <si>
    <t>EPS diluted same logic. Diluted shares declining 31,800k (FY25) → ~29,500k (FY30E) on net buybacks of ~$250M cumulative.</t>
  </si>
  <si>
    <t>Dividend: $1.20/share FY26E growing ~3-5% annually. Moog has 60+ year dividend record; payout ratio ~15-18% of EPS.</t>
  </si>
  <si>
    <t>Cash flow forecast assumptions</t>
  </si>
  <si>
    <t>Starts with Net earnings from IS row 114.</t>
  </si>
  <si>
    <t>Depreciation ~2.7% of sales (matches FY24–FY25 average $90–100M run-rate). PP&amp;E base growing modestly with capex.</t>
  </si>
  <si>
    <t>Amortization ~$10M/yr trailing off from acquired intangibles. No major M&amp;A assumed in forecast (capacity reserved).</t>
  </si>
  <si>
    <t>Stock comp ~$16M (~0.4% of sales), in line with historical pattern.</t>
  </si>
  <si>
    <t>WC: Receivables growth indexed to sales growth (DSO held at ~120 days). Government/aerospace contracts have long collection cycles.</t>
  </si>
  <si>
    <t>Inventory: building inventory ahead of program ramps; assumed to normalize to ~83% of COGS DIO post-FY28E. Management has cited inventory headwind in FY24–FY25.</t>
  </si>
  <si>
    <t>Contract advances (in 155): grows with backlog/programs. Significant cash benefit historically (advance billings on defense work).</t>
  </si>
  <si>
    <t>CFO target ~$280–350M FY26E–FY30E (vs $63M FY25 trough due to WC build). Management targeting 90%+ FCF conversion long-term.</t>
  </si>
  <si>
    <t>Capex ~3.5% of sales (vs 3.8% FY25). Capex peaks during current footprint investment cycle; trends down toward 3% by FY30E.</t>
  </si>
  <si>
    <t>Acquisitions: $0 baseline in forecast. Moog historically opportunistic; recent focus on organic growth + divestitures.</t>
  </si>
  <si>
    <t>Dividends ~$37–40M growing with per-share dividend declared (row 121).</t>
  </si>
  <si>
    <t>Buybacks: $50M/year baseline (vs $129M FY25 elevated). Authorization in place; cadence depends on share price.</t>
  </si>
  <si>
    <t>FCF = CFO − Capex. FY26E ~$165M growing to ~$315M FY30E. FCF conversion improving from 27% (FY25) toward 110% as WC normalizes.</t>
  </si>
  <si>
    <t>Balance sheet forecast assumptions</t>
  </si>
  <si>
    <t>Cash: plug from CF statement. Target minimum ~$50–60M operational cash; excess deployed to buybacks/debt paydown.</t>
  </si>
  <si>
    <t>Receivables: indexed to sales at ~33% (DSO ~120 days). Government contracting drives elevated DSO vs commercial peers.</t>
  </si>
  <si>
    <t>Inventory: ~24% of sales near-term, declining toward 21% by FY30E as program ramps complete. Inventory build is current cycle headwind.</t>
  </si>
  <si>
    <t>PP&amp;E net: capex − depreciation. Modest growth as capex slightly exceeds depreciation through FY28E, then normalises.</t>
  </si>
  <si>
    <t>Goodwill held flat (no M&amp;A in baseline). $802M from prior acquisitions; impairment risk if defense slowdown.</t>
  </si>
  <si>
    <t>Intangibles: amortizing at ~$10M/yr; gradual decline absent new M&amp;A.</t>
  </si>
  <si>
    <t>Contract advances: scales with backlog/programs. Significant working capital source.</t>
  </si>
  <si>
    <t>Long-term debt: $1.08B (FY25). Forecast assumes $50–100M annual paydown with excess FCF; leverage target &lt;2.0x by FY30E.</t>
  </si>
  <si>
    <t>Retained earnings = prior RE + Net earnings − Dividends declared.</t>
  </si>
  <si>
    <t>Treasury: grows with buyback assumption (−$50M/yr baseline).</t>
  </si>
  <si>
    <t>Total equity: scales with retained earnings + buybacks offset.</t>
  </si>
  <si>
    <t>BS Tie-out: should equal 0 across forecast. Verify after any input change.</t>
  </si>
  <si>
    <t>Ratios &amp; valuation notes</t>
  </si>
  <si>
    <t>ROIC target: 12-14% by FY30E (vs ~9% FY25). Driven by margin expansion + capital efficiency. Below WACC currently; key turnaround metric.</t>
  </si>
  <si>
    <t>Net debt / EBITDA target &lt;2.0x by FY30E (vs ~2.4x FY25). Within investment-grade leverage; management committed to BBB rating.</t>
  </si>
  <si>
    <t>Valuation notes</t>
  </si>
  <si>
    <t>Multiples calculated on consensus share price. Defense peers (HII, GD, LMT) trade ~15-18x P/E; commercial aero (TDG, HEI) trade ~25-35x. Moog hybrid mix supports ~16-20x.</t>
  </si>
  <si>
    <t>GAAP → Adjusted bridge (FY15–FY25)</t>
  </si>
  <si>
    <t xml:space="preserve">  Adj. EBIT% </t>
  </si>
  <si>
    <t>Net Earnings</t>
  </si>
  <si>
    <t xml:space="preserve">  EBIT</t>
  </si>
  <si>
    <t xml:space="preserve">  EBIT y/y %</t>
  </si>
  <si>
    <t xml:space="preserve">  Incremental EBIT (ΔEBIT / ΔSales)</t>
  </si>
  <si>
    <t xml:space="preserve">  Backlog y/y %</t>
  </si>
  <si>
    <t xml:space="preserve">  Total backlog y/y %</t>
  </si>
  <si>
    <t xml:space="preserve">  Twelve-month backlog ($M)</t>
  </si>
  <si>
    <t xml:space="preserve">  12-mo backlog y/y %</t>
  </si>
  <si>
    <t xml:space="preserve">  Avg buyback price ($)</t>
  </si>
  <si>
    <t xml:space="preserve">  Buyback cash deployed (CF row 197, $M)</t>
  </si>
  <si>
    <t xml:space="preserve">  Memo: cumulative shares repurchased since 2026E</t>
  </si>
  <si>
    <t>Working capital drivers</t>
  </si>
  <si>
    <t xml:space="preserve">  DSO (Receivables / Revenue × 365)</t>
  </si>
  <si>
    <t xml:space="preserve">  DPO (Accounts payable / COGS × 365)</t>
  </si>
  <si>
    <t xml:space="preserve">  Accrued compensation % of revenue</t>
  </si>
  <si>
    <t xml:space="preserve">  Contract liabilities % of revenue</t>
  </si>
  <si>
    <t xml:space="preserve">  Other accrued liabilities % of revenue</t>
  </si>
  <si>
    <t xml:space="preserve">  Prepaid &amp; other current assets % of revenue</t>
  </si>
  <si>
    <t>Asset rollforwards</t>
  </si>
  <si>
    <t xml:space="preserve">  PP&amp;E capex % of revenue (= |Capex| / Revenue)</t>
  </si>
  <si>
    <t xml:space="preserve">  PP&amp;E depreciation % of revenue</t>
  </si>
  <si>
    <t xml:space="preserve">  PP&amp;E rollforward: Beg + Capex − Depreciation</t>
  </si>
  <si>
    <t xml:space="preserve">  Intangibles amortization % of revenue</t>
  </si>
  <si>
    <t xml:space="preserve">  Intangibles rollforward: Beg − Amortization</t>
  </si>
  <si>
    <t xml:space="preserve">  Goodwill (held constant — no M&amp;A assumed)</t>
  </si>
  <si>
    <t xml:space="preserve">  Operating lease RoU asset (held flat — pre-IFRS 16 noise)</t>
  </si>
  <si>
    <t>Other asset / liability % of revenue</t>
  </si>
  <si>
    <t xml:space="preserve">  Deferred income taxes (current asset, in 'Prepaid') % rev</t>
  </si>
  <si>
    <t xml:space="preserve">  Other assets (non-current) % rev</t>
  </si>
  <si>
    <t xml:space="preserve">  Retirement obligations % rev</t>
  </si>
  <si>
    <t xml:space="preserve">  Deferred income taxes (LT liab) % rev</t>
  </si>
  <si>
    <t xml:space="preserve">  Other long-term liabilities % rev</t>
  </si>
  <si>
    <t xml:space="preserve">  Long-term debt scheduled repayment ($M)</t>
  </si>
  <si>
    <t xml:space="preserve">  Long-term debt: Begin − Repayment = End</t>
  </si>
  <si>
    <t xml:space="preserve">  Current portion of LT debt (held flat)</t>
  </si>
  <si>
    <t xml:space="preserve">  Short-term borrowings (held flat)</t>
  </si>
  <si>
    <t>Equity rollforward</t>
  </si>
  <si>
    <t xml:space="preserve">  Common stock (held flat)</t>
  </si>
  <si>
    <t xml:space="preserve">  APIC (held flat — equity issuance assumed nil)</t>
  </si>
  <si>
    <t xml:space="preserve">  Retained earnings: Beg + Net earnings − Dividends</t>
  </si>
  <si>
    <t xml:space="preserve">  Dividends declared ($M, from CF row 196)</t>
  </si>
  <si>
    <t xml:space="preserve">  Treasury stock: Beg − Buybacks (from CF row 197)</t>
  </si>
  <si>
    <t xml:space="preserve">  AOCL (held flat — no FX / pension translation modeled)</t>
  </si>
  <si>
    <t>Cash plug &amp; implied financing</t>
  </si>
  <si>
    <t xml:space="preserve">  Cash from CF rollforward (row 205)</t>
  </si>
  <si>
    <t xml:space="preserve">  BS Cash (= CF rollforward)</t>
  </si>
  <si>
    <t xml:space="preserve">  = Net tangible assets (TA − Intangibles − NIBCL − Cash)</t>
  </si>
  <si>
    <t>Balance Sheet Forecast Schedule — driver-based forecast. All forecast cols CE:CI driven by these blue assumption inputs. Flex any cell to test sensitivities.</t>
  </si>
  <si>
    <t>Working capital — driver-based forecast. DSO/DIO/DPO held at FY25 actuals; receivables, inventory and AP scale with revenue/COGS. Accrued comp, contract liab and other accrued held at FY25 % of revenue.</t>
  </si>
  <si>
    <t>DSO held at FY25 actual (~118 days). Government/aerospace contracts drive elevated DSO vs commercial peers — expect collection cycle to remain long.</t>
  </si>
  <si>
    <t>DIO held at FY25 actual (~119 days). Inventory build is current investment cycle; management has signalled normalization to ~83% of COGS DIO post-FY28E.</t>
  </si>
  <si>
    <t>DPO held at FY25 actual (~42 days). Supplier payment terms stable; limited upside in extending payables.</t>
  </si>
  <si>
    <t>Cash Conversion Cycle = DSO + DIO − DPO. Held at ~196 days throughout forecast — reflects working-capital-heavy A&amp;D model.</t>
  </si>
  <si>
    <t>Capex &amp; D&amp;A — first principles. Capex sustained at ~3.7% of revenue (FY25 actual). PP&amp;E depreciation held at FY25 % of revenue. Intangibles amortize ~$10M/yr (post-acquisition tail). Goodwill held flat (no M&amp;A modeled).</t>
  </si>
  <si>
    <t>Capex ~3.8% of sales. Capex peaks during current footprint investment cycle; trends down toward 3% by FY30E per management.</t>
  </si>
  <si>
    <t>Depreciation ~2.5% of sales (matches FY24–FY25 average $90–100M run-rate). PP&amp;E base growing modestly with capex.</t>
  </si>
  <si>
    <t>PP&amp;E rollforward: Begin + Capex − Depreciation. Modest net growth as capex slightly exceeds depreciation through FY28E, then normalises.</t>
  </si>
  <si>
    <t>Amortization $10–11M/yr trailing off from acquired intangibles. No major M&amp;A assumed in forecast (capacity reserved).</t>
  </si>
  <si>
    <t>Intangibles rollforward: Begin − Amortization. Gradual decline absent new M&amp;A.</t>
  </si>
  <si>
    <t>Goodwill held flat at $842M (FY25). No M&amp;A in baseline. Impairment risk if defense slowdown.</t>
  </si>
  <si>
    <t>Operating lease RoU asset held flat — pre-IFRS 16 noise. Not a key value driver.</t>
  </si>
  <si>
    <t>Other A/L % rev — deferred taxes, retirement obligations, and other LT items held at FY25 % of revenue. Stable mix; limited forecast impact.</t>
  </si>
  <si>
    <t>Retirement obligations: $157M at FY25, held flat. Pension funding stable; service cost flows through 'Other operating' in P&amp;L.</t>
  </si>
  <si>
    <t>Debt &amp; leverage — LT debt amortizes $9M/yr (current portion). No new debt raises modeled. Net leverage trends down as EBITDA grows. Short-term borrowings held at $0.</t>
  </si>
  <si>
    <t>Scheduled LT debt repayment: $9M/yr (current portion). Forecast assumes $50–100M annual paydown opportunity with excess FCF; leverage target &lt;2.0x by FY30E.</t>
  </si>
  <si>
    <t>Long-term debt: $935M (FY25 ending). Forecast amortizes current portion each year; no refinancing assumed.</t>
  </si>
  <si>
    <t>Current portion of LT debt held flat at $1.6M — reflects nominal amortization schedule.</t>
  </si>
  <si>
    <t>Short-term borrowings held at $0 throughout forecast. Moog has revolver capacity available but baseline assumes no drawdown.</t>
  </si>
  <si>
    <t>Equity &amp; shareholder returns. Retained earnings rolls forward with Net earnings less dividends. Treasury rolls forward with buybacks. APIC, common stock, AOCL held flat — no FX/pension translation modeled. Dividends and buybacks pulled from CF rows 196 &amp; 197.</t>
  </si>
  <si>
    <t>Common stock held flat at $51.3M. No share issuances modeled.</t>
  </si>
  <si>
    <t>APIC grows with stock-based compensation (CF row 176) + stock plan proceeds (CF row 198). No equity raises assumed.</t>
  </si>
  <si>
    <t>Retained earnings = prior RE + Net earnings − Dividends declared. Largest driver of equity growth.</t>
  </si>
  <si>
    <t>Dividends $40–60M annually growing with per-share dividend. Moog has 60+ year dividend record; payout ratio ~15-18% of EPS.</t>
  </si>
  <si>
    <t>Treasury rolls forward with buyback assumption ($150M/yr baseline). Authorization in place; cadence depends on share price. Note: cash builds materially in forecast — ramping buybacks would improve capital efficiency.</t>
  </si>
  <si>
    <t>AOCL held flat at $-158M. No FX/pension translation modeled in forecast.</t>
  </si>
  <si>
    <t>Cash &amp; BS plug. BS Cash (row 224) = CF ending cash (row 205). This makes the CF statement the engine: any imbalance flows through 'Other financing' (row 199) which absorbs unmodeled financing activity. Forecast tie-out (row 261) should be zero if all drivers above are populated consistently.</t>
  </si>
  <si>
    <t>CF ending cash builds to $548M by FY30E. Unrealistic hoard reflects flat $150M buyback assumption — real-world Moog would deploy excess via buybacks, debt paydown, or M&amp;A.</t>
  </si>
  <si>
    <t>BS Cash = CF ending cash by construction. No minimum cash floor enforced; flex CF row 197 (buybacks) to deploy excess.</t>
  </si>
  <si>
    <t>SCENARIO TOGGLE</t>
  </si>
  <si>
    <t>SCENARIO ASSUMPTION TABLES</t>
  </si>
  <si>
    <t>Driver</t>
  </si>
  <si>
    <t>Case →</t>
  </si>
  <si>
    <t>BASE CASE</t>
  </si>
  <si>
    <t>Military Aircraft sales y/y %</t>
  </si>
  <si>
    <t>Military Aircraft EBIT margin %</t>
  </si>
  <si>
    <t>Commercial Aircraft sales y/y %</t>
  </si>
  <si>
    <t>Commercial Aircraft EBIT margin %</t>
  </si>
  <si>
    <t>Space &amp; Defense sales y/y %</t>
  </si>
  <si>
    <t>Space &amp; Defense EBIT margin %</t>
  </si>
  <si>
    <t>Industrial sales y/y %</t>
  </si>
  <si>
    <t>Industrial EBIT margin %</t>
  </si>
  <si>
    <t>BULL CASE</t>
  </si>
  <si>
    <t>BEAR CASE</t>
  </si>
  <si>
    <t>Selected scenario KPIs (FY30E)</t>
  </si>
  <si>
    <t>FY30E Revenue ($M)</t>
  </si>
  <si>
    <t>FY30E GAAP EBIT ($M)</t>
  </si>
  <si>
    <t>FY30E EBIT margin %</t>
  </si>
  <si>
    <t>FY30E ROIC</t>
  </si>
  <si>
    <t>FY30E Adj EPS ($)</t>
  </si>
  <si>
    <t>Moog Inc. — Bull / Base / Bear Case P&amp;L Summary</t>
  </si>
  <si>
    <t>Adjusted figures · $ millions · Linked to Model — toggle scenario via Model!CK3</t>
  </si>
  <si>
    <t>($M, except EPS and shares)</t>
  </si>
  <si>
    <t>FY25A</t>
  </si>
  <si>
    <t>Adjusted EPS — Diluted ($)</t>
  </si>
  <si>
    <t>Price Target ($)</t>
  </si>
  <si>
    <t xml:space="preserve">   FCF / share ($)</t>
  </si>
  <si>
    <t>Implied Market Cap ($M)</t>
  </si>
  <si>
    <t>Implied Enterprise Value ($M)</t>
  </si>
  <si>
    <t>Share price ($):</t>
  </si>
  <si>
    <t>DCF VALUATION — Moog Inc.</t>
  </si>
  <si>
    <t>US 10Y Treasury</t>
  </si>
  <si>
    <t>Moog reported beta ~0.9-1.0; industrial A&amp;D peer median</t>
  </si>
  <si>
    <t>Moog senior notes 5-7Y yield</t>
  </si>
  <si>
    <t>Long-run normalised effective tax rate</t>
  </si>
  <si>
    <t>− Capex (PP&amp;E + intangibles)</t>
  </si>
  <si>
    <t>FY31E</t>
  </si>
  <si>
    <t>FY32E</t>
  </si>
  <si>
    <t>FY33E</t>
  </si>
  <si>
    <t>FY34E</t>
  </si>
  <si>
    <t>FY35E</t>
  </si>
  <si>
    <t>Less: Net debt (Model FY26E YE)</t>
  </si>
  <si>
    <t>Implied share price ($)</t>
  </si>
  <si>
    <t>Current share price ($)</t>
  </si>
  <si>
    <t>4. SENSITIVITY: IMPLIED PRICE — WACC × Terminal Growth</t>
  </si>
  <si>
    <t>g (down) / WACC →</t>
  </si>
  <si>
    <t>Moog Inc. — Historical Operating Performance (FY15–FY25)</t>
  </si>
  <si>
    <t>All historicals · $M · Linked to Model.</t>
  </si>
  <si>
    <t>Revenue y/y %</t>
  </si>
  <si>
    <t>Year</t>
  </si>
  <si>
    <t>Gross Profit ($M)</t>
  </si>
  <si>
    <t>Adj EBIT ($M)</t>
  </si>
  <si>
    <t>Gross margin %</t>
  </si>
  <si>
    <t>Adj EBIT margin %</t>
  </si>
  <si>
    <t>EBIT / GP (conv ratio)</t>
  </si>
  <si>
    <t>At current $310 share price, the market is pricing Moog's long-term FCF below the model's projection. To solve for break-even FCF: Data tab &gt; What-If Analysis &gt; Goal Seek. Set C41 to 310 by changing E18 (FY27 EBIT).</t>
  </si>
  <si>
    <t>Rationale (Moog characteristics)</t>
  </si>
  <si>
    <t>Moog NOPAT CAGR FY24-FY30E = ~12-14%; conservatively normalised to 8% steady-state post strong A&amp;D backlog cycle</t>
  </si>
  <si>
    <t>Moog ROIC trends to ~13-15% in forecast; ROIIC on incremental capital typically higher in mature A&amp;D — use 18%</t>
  </si>
  <si>
    <t>Top-tier A&amp;D supplier with multi-decade flight programs (F-35, V-22, missiles, space launch); CAP 8-12 years typical for entrenched defense compounders</t>
  </si>
  <si>
    <t>VALUATION — Applied to FY28E NOPAT</t>
  </si>
  <si>
    <t>FY28E Adj EBIT (Model CG146)</t>
  </si>
  <si>
    <t>FY28E NOPAT  =  EBIT × (1 − t)</t>
  </si>
  <si>
    <t>Implied Enterprise Value (FY28E basis)</t>
  </si>
  <si>
    <t>Less: YE FY27E Net debt (forward into 2028)</t>
  </si>
  <si>
    <t>Diluted shares FY28E ('000)</t>
  </si>
  <si>
    <t>Implied share price 2028 ($)</t>
  </si>
  <si>
    <t>$M</t>
  </si>
  <si>
    <t>Plus: YE FY26E Net debt</t>
  </si>
  <si>
    <t>Moog's Market-Implied EV/NOPAT (on FY28E NOPAT)</t>
  </si>
  <si>
    <t xml:space="preserve">  Sales - Acquisition contribution y/y %</t>
  </si>
  <si>
    <t xml:space="preserve">  Sales - Organic y/y % (implied)</t>
  </si>
  <si>
    <t>GAAP segment operating profit</t>
  </si>
  <si>
    <t xml:space="preserve">  + Program terminations</t>
  </si>
  <si>
    <t xml:space="preserve">  + Simplification initiatives</t>
  </si>
  <si>
    <t xml:space="preserve">  + Dispute resolution</t>
  </si>
  <si>
    <t xml:space="preserve">  + Investment losses</t>
  </si>
  <si>
    <t xml:space="preserve">  + Acquisition integration</t>
  </si>
  <si>
    <t xml:space="preserve">  + Other charges</t>
  </si>
  <si>
    <t>Adjusted operating profit</t>
  </si>
  <si>
    <t>Adj. operating margin</t>
  </si>
  <si>
    <t xml:space="preserve">  + After-tax adjustments</t>
  </si>
  <si>
    <t>Adjusted EPS — diluted (calc)</t>
  </si>
  <si>
    <t xml:space="preserve">  y/y % growth</t>
  </si>
  <si>
    <t>Adjusted EPS — Moog reported</t>
  </si>
  <si>
    <t>Variance ($)</t>
  </si>
  <si>
    <t>=AE126</t>
  </si>
  <si>
    <t>=AJ126</t>
  </si>
  <si>
    <t>Q1/26</t>
  </si>
  <si>
    <t>Q2/26</t>
  </si>
  <si>
    <t>Q3/26E</t>
  </si>
  <si>
    <t>Q4/26E</t>
  </si>
  <si>
    <t/>
  </si>
  <si>
    <t>IMPLIED P/E — DERIVED FROM EV/NOPAT FRAMEWORK</t>
  </si>
  <si>
    <t>P/E  =  (EV/NOPAT × NOPAT − Net Debt) / Net Income</t>
  </si>
  <si>
    <t>Translates the Mauboussin EV/NOPAT multiple into a P/E that includes capital-structure and tax effects.</t>
  </si>
  <si>
    <t>Step</t>
  </si>
  <si>
    <t>Note</t>
  </si>
  <si>
    <t>FY28E Adj EBIT ($M)</t>
  </si>
  <si>
    <t>Linked to Model CK150</t>
  </si>
  <si>
    <t>× (1 − t)</t>
  </si>
  <si>
    <t>Tax shield from WACC build</t>
  </si>
  <si>
    <t>= NOPAT ($M)</t>
  </si>
  <si>
    <t>EBIT-derived NOPAT</t>
  </si>
  <si>
    <t>EV/NOPAT (Mauboussin)</t>
  </si>
  <si>
    <t>From section 6 above</t>
  </si>
  <si>
    <t>Implied EV ($M)</t>
  </si>
  <si>
    <t>NOPAT × multiple</t>
  </si>
  <si>
    <t>Less: YE FY27E Net debt ($M)</t>
  </si>
  <si>
    <t>Forward into 2028</t>
  </si>
  <si>
    <t>Implied Equity Value ($M)</t>
  </si>
  <si>
    <t>EV less net debt</t>
  </si>
  <si>
    <t>FY28E Net Income (GAAP, $M)</t>
  </si>
  <si>
    <t>Linked to Model CK133</t>
  </si>
  <si>
    <t>FY28E Adj Net Earnings ($M)</t>
  </si>
  <si>
    <t>Linked to Model CK155 (after-tax adj add-back)</t>
  </si>
  <si>
    <t>Implied P/E on GAAP NI (×)</t>
  </si>
  <si>
    <t>Implied Equity Value / FY28E GAAP NI</t>
  </si>
  <si>
    <t>Implied P/E on Adj NE (×)</t>
  </si>
  <si>
    <t>Implied Equity Value / FY28E Adj NE</t>
  </si>
  <si>
    <t>Cross-check: Market-implied P/E today</t>
  </si>
  <si>
    <t>Current price ($)</t>
  </si>
  <si>
    <t>FY28E Adj EPS ($)</t>
  </si>
  <si>
    <t>Linked to Model CK156</t>
  </si>
  <si>
    <t>Market P/E on FY28E Adj EPS (×)</t>
  </si>
  <si>
    <t>Current valuation on Adj EPS</t>
  </si>
  <si>
    <t>P/E Gap (Mauboussin − Market, ×)</t>
  </si>
  <si>
    <t>Positive = re-rating headroom; Negative = stock priced richer than framework</t>
  </si>
  <si>
    <t>Implied re-rating ($)</t>
  </si>
  <si>
    <t>P/E gap × FY28E Adj EPS</t>
  </si>
  <si>
    <t>FY36E</t>
  </si>
  <si>
    <t>FY37E</t>
  </si>
  <si>
    <t>FY38E</t>
  </si>
  <si>
    <t>FY39E</t>
  </si>
  <si>
    <t>FY40E</t>
  </si>
  <si>
    <t>FY26E-40E CAGR</t>
  </si>
  <si>
    <t>2. UNLEVERED FREE CASH FLOW BUILD  (explicit FY26-FY30, fade FY31-FY40 over CAP = C68 years)</t>
  </si>
  <si>
    <t>7. REVERSE FRAMEWORK — EXIT MULTIPLE → IMPLIED REVENUE GROWTH</t>
  </si>
  <si>
    <t>Given a target FY30 exit P/E and required equity IRR, back out the FY30 revenue (and CAGR) needed to justify the current price using the model's average incremental EBIT margin.</t>
  </si>
  <si>
    <t>Inputs</t>
  </si>
  <si>
    <t>Linked to Section 1 / sensitivity</t>
  </si>
  <si>
    <t>Target equity IRR (per year)</t>
  </si>
  <si>
    <t>Hardcoded hurdle rate</t>
  </si>
  <si>
    <t>Years to FY30 exit</t>
  </si>
  <si>
    <t>FY26→FY30 = 5 fiscal years</t>
  </si>
  <si>
    <t>FY30E target price ($)</t>
  </si>
  <si>
    <t>Current price compounded at IRR over CAP</t>
  </si>
  <si>
    <t>FY30E diluted shares ('000)</t>
  </si>
  <si>
    <t>Model FY30E diluted shares (after buybacks)</t>
  </si>
  <si>
    <t>Tax rate (steady-state)</t>
  </si>
  <si>
    <t>From WACC build</t>
  </si>
  <si>
    <t>FY25 Adj EBIT ($M)</t>
  </si>
  <si>
    <t>Model FY25 reconciliation</t>
  </si>
  <si>
    <t>FY25 Revenue ($M)</t>
  </si>
  <si>
    <t>Scenario A: Exit at 25x P/E in FY30</t>
  </si>
  <si>
    <t>Scenario B: Exit at Mauboussin P/E</t>
  </si>
  <si>
    <t>Exit P/E multiple (×)</t>
  </si>
  <si>
    <t>Required FY30E Adj NE ($M)</t>
  </si>
  <si>
    <t>Target NE = Target price × shares / P/E</t>
  </si>
  <si>
    <t>Required FY30E Adj EBIT ($M, pre-tax)</t>
  </si>
  <si>
    <t>EBIT = NE / (1-t); ignores interest — conservative proxy</t>
  </si>
  <si>
    <t>Δ EBIT vs FY25 ($M)</t>
  </si>
  <si>
    <t>Δ Revenue needed ($M)</t>
  </si>
  <si>
    <t>Δ EBIT / avg incremental margin</t>
  </si>
  <si>
    <t>Implied FY30E Revenue ($M)</t>
  </si>
  <si>
    <t>Implied Revenue CAGR FY25→FY30 (×)</t>
  </si>
  <si>
    <t>Required 5-yr revenue CAGR to justify hurdle at exit P/E</t>
  </si>
  <si>
    <t>Comparison vs Base Case Model</t>
  </si>
  <si>
    <t>Model Base-case FY30E Revenue ($M)</t>
  </si>
  <si>
    <t>Model Base-case FY25-FY30 Revenue CAGR</t>
  </si>
  <si>
    <t>Gap (Required − Modeled)</t>
  </si>
  <si>
    <t>Positive = model under-delivers vs hurdle; Negative = model over-delivers</t>
  </si>
  <si>
    <t>Model-derived incremental EBIT margin FY26-FY30</t>
  </si>
  <si>
    <t>Reference only — from Model base case</t>
  </si>
  <si>
    <t xml:space="preserve">  → Incremental EBIT margin used (override)</t>
  </si>
  <si>
    <t>Edit to flex scenarios</t>
  </si>
  <si>
    <t xml:space="preserve">  Incremental Adj. EBIT % (ΔAdj OP / ΔSales)</t>
  </si>
  <si>
    <t>Debt &amp; financing schedule (interest-bearing)</t>
  </si>
  <si>
    <t>Interest expense build</t>
  </si>
  <si>
    <t xml:space="preserve">  Avg cost of debt (% on average balance)</t>
  </si>
  <si>
    <t xml:space="preserve">  Beginning total interest-bearing debt ($M)</t>
  </si>
  <si>
    <t xml:space="preserve">  + Net new borrowings / (repayments) from CF (revolver + LT)</t>
  </si>
  <si>
    <t xml:space="preserve">  + Scheduled LT debt repayment (from row 294)</t>
  </si>
  <si>
    <t xml:space="preserve">  = Ending total interest-bearing debt ($M)</t>
  </si>
  <si>
    <t xml:space="preserve">  Average debt balance ($M)</t>
  </si>
  <si>
    <t xml:space="preserve">  Interest expense ($M) = Avg balance × cost of debt</t>
  </si>
  <si>
    <t xml:space="preserve">  Memo: → links to P&amp;L Interest expense (row 127)</t>
  </si>
  <si>
    <t xml:space="preserve">  Net debt ($M) = Total debt − Cash</t>
  </si>
  <si>
    <t xml:space="preserve">  Total debt / EBITDA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</si>
</sst>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2">
    <numFmt numFmtId="43" formatCode="_-* #,##0.00_-;\-* #,##0.00_-;_-* &quot;-&quot;??_-;_-@_-"/>
    <numFmt numFmtId="164" formatCode="#,##0;\(#,##0\);\-"/>
    <numFmt numFmtId="165" formatCode="0.0%;\(0.0%\);\-"/>
    <numFmt numFmtId="166" formatCode="_-* #,##0_-;\-* #,##0_-;_-* &quot;-&quot;??_-;_-@_-"/>
    <numFmt numFmtId="167" formatCode="0%;\(0%\);\-"/>
    <numFmt numFmtId="168" formatCode="0.0%;\(0.0%\);&quot;n/m&quot;"/>
    <numFmt numFmtId="169" formatCode="0%;\(0%\);&quot;n/m&quot;"/>
    <numFmt numFmtId="170" formatCode="0.00&quot;x&quot;"/>
    <numFmt numFmtId="171" formatCode="0.0%"/>
    <numFmt numFmtId="172" formatCode="0.0&quot;x&quot;;\(0.0&quot;x&quot;\);\-"/>
    <numFmt numFmtId="173" formatCode="#,##0;\-"/>
    <numFmt numFmtId="174" formatCode="0.00;\(0.00\);\-"/>
    <numFmt numFmtId="175" formatCode="0.0;\-"/>
    <numFmt numFmtId="176" formatCode="#,##0.0;\-"/>
    <numFmt numFmtId="177" formatCode="0.0%;\(0.0%\);&quot;n/a&quot;"/>
    <numFmt numFmtId="178" formatCode="0&quot;d&quot;;\(0\)&quot;d&quot;;\-"/>
    <numFmt numFmtId="179" formatCode="0.00%;\(0.00%\);\-"/>
    <numFmt numFmtId="180" formatCode="0.0%;\(0.0%\)"/>
    <numFmt numFmtId="181" formatCode="0%;\(0%\);&quot;n/a&quot;"/>
    <numFmt numFmtId="182" formatCode="0.0&quot;x&quot;"/>
    <numFmt numFmtId="183" formatCode="0.0"/>
    <numFmt numFmtId="184" formatCode="&quot;$&quot;0.00;\(&quot;$&quot;0.00\);\-"/>
    <numFmt numFmtId="185" formatCode="&quot;$&quot;#,##0.00;\(&quot;$&quot;#,##0.00\);\-"/>
    <numFmt numFmtId="186" formatCode="#,##0.0;\(#,##0.0\);\-"/>
    <numFmt numFmtId="187" formatCode="\+0.00;\-0.00;\-"/>
    <numFmt numFmtId="188" formatCode="0.00&quot;x&quot;;\(0.00&quot;x&quot;\);\-"/>
    <numFmt numFmtId="189" formatCode="#,##0.00;\(#,##0.00\);\-"/>
    <numFmt numFmtId="190" formatCode="#,##0;\(#,##0\);&quot;n/a&quot;"/>
    <numFmt numFmtId="191" formatCode="0&quot; days&quot;;\(0\);\-"/>
    <numFmt numFmtId="192" formatCode="&quot;$&quot;0.00"/>
    <numFmt numFmtId="193" formatCode="&quot;$&quot;#,##0.00"/>
    <numFmt numFmtId="194" formatCode="&quot;$&quot;#,##0;\(&quot;$&quot;#,##0\);\-"/>
  </numFmts>
  <fonts count="74" x14ac:knownFonts="1">
    <font>
      <sz val="12"/>
      <color theme="1"/>
      <name val="Calibri"/>
      <family val="2"/>
      <scheme val="minor"/>
    </font>
    <font>
      <b/>
      <sz val="16"/>
      <color rgb="FF1F3864"/>
      <name val="Calibri"/>
      <family val="2"/>
      <scheme val="minor"/>
    </font>
    <font>
      <b/>
      <sz val="12"/>
      <color rgb="FFFFFFFF"/>
      <name val="Calibri"/>
      <family val="2"/>
      <scheme val="minor"/>
    </font>
    <font>
      <b/>
      <sz val="12"/>
      <color theme="1"/>
      <name val="Calibri"/>
      <family val="2"/>
      <scheme val="minor"/>
    </font>
    <font>
      <sz val="12"/>
      <color rgb="FF0000FF"/>
      <name val="Calibri"/>
      <family val="2"/>
      <scheme val="minor"/>
    </font>
    <font>
      <b/>
      <sz val="12"/>
      <color rgb="FF0000FF"/>
      <name val="Calibri"/>
      <family val="2"/>
      <scheme val="minor"/>
    </font>
    <font>
      <sz val="12"/>
      <color theme="1"/>
      <name val="Calibri"/>
      <family val="2"/>
      <scheme val="minor"/>
    </font>
    <font>
      <b/>
      <sz val="11"/>
      <color theme="1"/>
      <name val="Calibri"/>
      <family val="2"/>
      <scheme val="minor"/>
    </font>
    <font>
      <sz val="12"/>
      <color rgb="FF666666"/>
      <name val="Calibri"/>
      <family val="2"/>
      <scheme val="minor"/>
    </font>
    <font>
      <i/>
      <sz val="12"/>
      <color rgb="FF666666"/>
      <name val="Calibri"/>
      <family val="2"/>
      <scheme val="minor"/>
    </font>
    <font>
      <sz val="12"/>
      <color rgb="FF000000"/>
      <name val="Calibri"/>
      <family val="2"/>
      <scheme val="minor"/>
    </font>
    <font>
      <b/>
      <i/>
      <sz val="12"/>
      <color rgb="FF404040"/>
      <name val="Calibri"/>
      <family val="2"/>
      <scheme val="minor"/>
    </font>
    <font>
      <b/>
      <sz val="12"/>
      <color rgb="FF000000"/>
      <name val="Calibri"/>
      <family val="2"/>
      <scheme val="minor"/>
    </font>
    <font>
      <sz val="10"/>
      <color rgb="FF595959"/>
      <name val="Calibri"/>
      <family val="2"/>
      <scheme val="minor"/>
    </font>
    <font>
      <sz val="10"/>
      <color rgb="FFC00000"/>
      <name val="Calibri"/>
      <family val="2"/>
      <scheme val="minor"/>
    </font>
    <font>
      <sz val="12"/>
      <color rgb="FFA6A6A6"/>
      <name val="Calibri"/>
      <family val="2"/>
      <scheme val="minor"/>
    </font>
    <font>
      <sz val="12"/>
      <color rgb="FF595959"/>
      <name val="Calibri"/>
      <family val="2"/>
      <scheme val="minor"/>
    </font>
    <font>
      <b/>
      <sz val="12"/>
      <color rgb="FF595959"/>
      <name val="Calibri"/>
      <family val="2"/>
      <scheme val="minor"/>
    </font>
    <font>
      <sz val="12"/>
      <color rgb="FF404040"/>
      <name val="Calibri"/>
      <family val="2"/>
      <scheme val="minor"/>
    </font>
    <font>
      <b/>
      <sz val="12"/>
      <color rgb="FFA6A6A6"/>
      <name val="Calibri"/>
      <family val="2"/>
      <scheme val="minor"/>
    </font>
    <font>
      <sz val="12"/>
      <name val="Calibri"/>
      <family val="2"/>
      <scheme val="minor"/>
    </font>
    <font>
      <b/>
      <sz val="12"/>
      <name val="Calibri"/>
      <family val="2"/>
      <scheme val="minor"/>
    </font>
    <font>
      <sz val="9"/>
      <color indexed="81"/>
      <name val="Tahoma"/>
      <family val="2"/>
    </font>
    <font>
      <b/>
      <sz val="9"/>
      <color indexed="81"/>
      <name val="Tahoma"/>
      <family val="2"/>
    </font>
    <font>
      <b/>
      <sz val="11"/>
      <color indexed="81"/>
      <name val="Tahoma"/>
      <family val="2"/>
    </font>
    <font>
      <sz val="11"/>
      <color indexed="81"/>
      <name val="Tahoma"/>
      <family val="2"/>
    </font>
    <font>
      <sz val="9"/>
      <color rgb="FF666666"/>
      <name val="Calibri"/>
      <family val="2"/>
      <scheme val="minor"/>
    </font>
    <font>
      <b/>
      <sz val="12"/>
      <color rgb="FF666666"/>
      <name val="Calibri"/>
      <family val="2"/>
      <scheme val="minor"/>
    </font>
    <font>
      <b/>
      <i/>
      <sz val="12"/>
      <color rgb="FF666666"/>
      <name val="Calibri"/>
      <family val="2"/>
      <scheme val="minor"/>
    </font>
    <font>
      <sz val="12"/>
      <color rgb="FFFF0000"/>
      <name val="Calibri"/>
      <family val="2"/>
      <scheme val="minor"/>
    </font>
    <font>
      <sz val="12"/>
      <color theme="1" tint="0.499984740745262"/>
      <name val="Calibri"/>
      <family val="2"/>
      <scheme val="minor"/>
    </font>
    <font>
      <b/>
      <sz val="12"/>
      <color theme="1" tint="0.499984740745262"/>
      <name val="Calibri"/>
      <family val="2"/>
      <scheme val="minor"/>
    </font>
    <font>
      <b/>
      <sz val="11"/>
      <color rgb="FFFFFFFF"/>
      <name val="Calibri"/>
      <family val="2"/>
      <scheme val="minor"/>
    </font>
    <font>
      <b/>
      <sz val="11"/>
      <name val="Calibri"/>
      <family val="2"/>
      <scheme val="minor"/>
    </font>
    <font>
      <b/>
      <sz val="11"/>
      <color rgb="FFA6A6A6"/>
      <name val="Calibri"/>
      <family val="2"/>
      <scheme val="minor"/>
    </font>
    <font>
      <b/>
      <sz val="11"/>
      <color rgb="FF0000FF"/>
      <name val="Calibri"/>
      <family val="2"/>
      <scheme val="minor"/>
    </font>
    <font>
      <b/>
      <sz val="11"/>
      <color rgb="FF000000"/>
      <name val="Calibri"/>
      <family val="2"/>
      <scheme val="minor"/>
    </font>
    <font>
      <b/>
      <sz val="10"/>
      <color rgb="FFFFFFFF"/>
      <name val="Calibri"/>
      <family val="2"/>
      <scheme val="minor"/>
    </font>
    <font>
      <sz val="10"/>
      <color rgb="FF000000"/>
      <name val="Calibri"/>
      <family val="2"/>
      <scheme val="minor"/>
    </font>
    <font>
      <sz val="11"/>
      <color rgb="FF000000"/>
      <name val="Calibri"/>
      <family val="2"/>
      <scheme val="minor"/>
    </font>
    <font>
      <i/>
      <sz val="9"/>
      <color rgb="FF666666"/>
      <name val="Calibri"/>
      <family val="2"/>
      <scheme val="minor"/>
    </font>
    <font>
      <b/>
      <u/>
      <sz val="11"/>
      <color rgb="FF000000"/>
      <name val="Calibri"/>
      <family val="2"/>
      <scheme val="minor"/>
    </font>
    <font>
      <sz val="10"/>
      <color theme="1"/>
      <name val="Calibri"/>
      <family val="2"/>
      <scheme val="minor"/>
    </font>
    <font>
      <sz val="10"/>
      <color rgb="FF666666"/>
      <name val="Calibri"/>
      <family val="2"/>
      <scheme val="minor"/>
    </font>
    <font>
      <i/>
      <sz val="10"/>
      <color rgb="FF666666"/>
      <name val="Calibri"/>
      <family val="2"/>
      <scheme val="minor"/>
    </font>
    <font>
      <sz val="9"/>
      <color indexed="81"/>
      <name val="Tahoma"/>
      <charset val="1"/>
    </font>
    <font>
      <b/>
      <sz val="9"/>
      <color indexed="81"/>
      <name val="Tahoma"/>
      <charset val="1"/>
    </font>
    <font>
      <i/>
      <sz val="10"/>
      <color rgb="FF000000"/>
      <name val="Calibri"/>
      <family val="2"/>
      <scheme val="minor"/>
    </font>
    <font>
      <b/>
      <sz val="14"/>
      <color rgb="FFFFFFFF"/>
      <name val="Calibri"/>
      <family val="2"/>
      <scheme val="minor"/>
    </font>
    <font>
      <i/>
      <sz val="10"/>
      <color theme="1"/>
      <name val="Calibri"/>
      <family val="2"/>
      <scheme val="minor"/>
    </font>
    <font>
      <b/>
      <sz val="14"/>
      <color theme="1"/>
      <name val="Calibri"/>
      <family val="2"/>
      <scheme val="minor"/>
    </font>
    <font>
      <i/>
      <sz val="10"/>
      <color rgb="FF595959"/>
      <name val="Calibri"/>
      <family val="2"/>
      <scheme val="minor"/>
    </font>
    <font>
      <sz val="12"/>
      <color rgb="FF008000"/>
      <name val="Calibri"/>
      <family val="2"/>
      <scheme val="minor"/>
    </font>
    <font>
      <b/>
      <sz val="12"/>
      <color rgb="FF008000"/>
      <name val="Calibri"/>
      <family val="2"/>
      <scheme val="minor"/>
    </font>
    <font>
      <sz val="9"/>
      <color rgb="FF595959"/>
      <name val="Calibri"/>
      <family val="2"/>
      <scheme val="minor"/>
    </font>
    <font>
      <i/>
      <sz val="12"/>
      <color rgb="FF595959"/>
      <name val="Calibri"/>
      <family val="2"/>
      <scheme val="minor"/>
    </font>
    <font>
      <i/>
      <sz val="12"/>
      <color theme="1"/>
      <name val="Calibri"/>
      <family val="2"/>
      <scheme val="minor"/>
    </font>
    <font>
      <b/>
      <sz val="16"/>
      <color rgb="FF2F3E46"/>
      <name val="Calibri"/>
      <family val="2"/>
      <scheme val="minor"/>
    </font>
    <font>
      <b/>
      <sz val="12"/>
      <color rgb="FF2F3E46"/>
      <name val="Calibri"/>
      <family val="2"/>
      <scheme val="minor"/>
    </font>
    <font>
      <b/>
      <sz val="9"/>
      <color rgb="FFFFFFFF"/>
      <name val="Calibri"/>
      <family val="2"/>
      <scheme val="minor"/>
    </font>
    <font>
      <b/>
      <sz val="12"/>
      <color rgb="FF404040"/>
      <name val="Calibri"/>
      <family val="2"/>
      <scheme val="minor"/>
    </font>
    <font>
      <sz val="10"/>
      <color rgb="FF404040"/>
      <name val="Calibri"/>
      <family val="2"/>
      <scheme val="minor"/>
    </font>
    <font>
      <sz val="12"/>
      <color rgb="FF1F3864"/>
      <name val="Calibri"/>
      <family val="2"/>
      <scheme val="minor"/>
    </font>
    <font>
      <sz val="11"/>
      <color rgb="FF1F3864"/>
      <name val="Calibri"/>
      <family val="2"/>
      <scheme val="minor"/>
    </font>
    <font>
      <b/>
      <sz val="12"/>
      <color rgb="FF1F3864"/>
      <name val="Calibri"/>
      <family val="2"/>
      <scheme val="minor"/>
    </font>
    <font>
      <sz val="12"/>
      <color rgb="FF808080"/>
      <name val="Calibri"/>
      <family val="2"/>
      <scheme val="minor"/>
    </font>
    <font>
      <b/>
      <u/>
      <sz val="12"/>
      <color theme="1"/>
      <name val="Calibri"/>
      <family val="2"/>
      <scheme val="minor"/>
    </font>
    <font>
      <b/>
      <sz val="12"/>
      <color rgb="FFFF0000"/>
      <name val="Calibri"/>
      <family val="2"/>
      <scheme val="minor"/>
    </font>
    <font>
      <b/>
      <sz val="14"/>
      <color rgb="FF0000FF"/>
      <name val="Calibri"/>
      <family val="2"/>
      <scheme val="minor"/>
    </font>
    <font>
      <b/>
      <sz val="10"/>
      <color rgb="FF595959"/>
      <name val="Calibri"/>
      <family val="2"/>
      <scheme val="minor"/>
    </font>
    <font>
      <b/>
      <sz val="12"/>
      <color indexed="81"/>
      <name val="Tahoma"/>
      <family val="2"/>
    </font>
    <font>
      <sz val="12"/>
      <color indexed="81"/>
      <name val="Tahoma"/>
      <family val="2"/>
    </font>
    <font>
      <sz val="10"/>
      <color rgb="FF1F3864"/>
      <name val="Calibri"/>
      <family val="2"/>
      <scheme val="minor"/>
    </font>
    <font>
      <b/>
      <sz val="12"/>
      <color theme="0"/>
      <name val="Calibri"/>
      <family val="2"/>
      <scheme val="minor"/>
    </font>
  </fonts>
  <fills count="24">
    <fill>
      <patternFill patternType="none"/>
    </fill>
    <fill>
      <patternFill patternType="gray125"/>
    </fill>
    <fill>
      <patternFill patternType="solid">
        <fgColor rgb="FFFFFF00"/>
        <bgColor indexed="64"/>
      </patternFill>
    </fill>
    <fill>
      <patternFill patternType="solid">
        <fgColor rgb="FFFAFAFA"/>
        <bgColor indexed="64"/>
      </patternFill>
    </fill>
    <fill>
      <patternFill patternType="solid">
        <fgColor rgb="FFF0F0F0"/>
        <bgColor indexed="64"/>
      </patternFill>
    </fill>
    <fill>
      <patternFill patternType="solid">
        <fgColor rgb="FF2F3E46"/>
        <bgColor indexed="64"/>
      </patternFill>
    </fill>
    <fill>
      <patternFill patternType="solid">
        <fgColor rgb="FF84A98C"/>
        <bgColor indexed="64"/>
      </patternFill>
    </fill>
    <fill>
      <patternFill patternType="solid">
        <fgColor rgb="FFCAD2C5"/>
        <bgColor indexed="64"/>
      </patternFill>
    </fill>
    <fill>
      <patternFill patternType="solid">
        <fgColor rgb="FF52796F"/>
        <bgColor indexed="64"/>
      </patternFill>
    </fill>
    <fill>
      <patternFill patternType="solid">
        <fgColor rgb="FFE9ECEC"/>
        <bgColor indexed="64"/>
      </patternFill>
    </fill>
    <fill>
      <patternFill patternType="solid">
        <fgColor rgb="FFFFFDE7"/>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indexed="64"/>
      </patternFill>
    </fill>
    <fill>
      <patternFill patternType="solid">
        <fgColor rgb="FFF5F5F5"/>
        <bgColor indexed="64"/>
      </patternFill>
    </fill>
    <fill>
      <patternFill patternType="solid">
        <fgColor rgb="FFE8EDE9"/>
        <bgColor indexed="64"/>
      </patternFill>
    </fill>
    <fill>
      <patternFill patternType="solid">
        <fgColor rgb="FFF0F2F0"/>
        <bgColor indexed="64"/>
      </patternFill>
    </fill>
    <fill>
      <patternFill patternType="solid">
        <fgColor rgb="FFFFF8DC"/>
        <bgColor indexed="64"/>
      </patternFill>
    </fill>
    <fill>
      <patternFill patternType="solid">
        <fgColor rgb="FFF2F2F2"/>
        <bgColor indexed="64"/>
      </patternFill>
    </fill>
    <fill>
      <patternFill patternType="solid">
        <fgColor rgb="FFFFF2CC"/>
        <bgColor indexed="64"/>
      </patternFill>
    </fill>
    <fill>
      <patternFill patternType="solid">
        <fgColor rgb="FF1F3864"/>
        <bgColor indexed="64"/>
      </patternFill>
    </fill>
    <fill>
      <patternFill patternType="solid">
        <fgColor rgb="FFD6DCE4"/>
        <bgColor indexed="64"/>
      </patternFill>
    </fill>
    <fill>
      <patternFill patternType="solid">
        <fgColor rgb="FFFFF9E0"/>
        <bgColor indexed="64"/>
      </patternFill>
    </fill>
    <fill>
      <patternFill patternType="solid">
        <fgColor rgb="FF922B21"/>
        <bgColor indexed="64"/>
      </patternFill>
    </fill>
  </fills>
  <borders count="58">
    <border>
      <left/>
      <right/>
      <top/>
      <bottom/>
      <diagonal/>
    </border>
    <border>
      <left/>
      <right/>
      <top style="thin">
        <color auto="1"/>
      </top>
      <bottom/>
      <diagonal/>
    </border>
    <border>
      <left/>
      <right/>
      <top style="thin">
        <color auto="1"/>
      </top>
      <bottom style="thin">
        <color auto="1"/>
      </bottom>
      <diagonal/>
    </border>
    <border>
      <left/>
      <right/>
      <top/>
      <bottom style="thin">
        <color auto="1"/>
      </bottom>
      <diagonal/>
    </border>
    <border>
      <left/>
      <right style="thin">
        <color rgb="FF6E7E80"/>
      </right>
      <top/>
      <bottom/>
      <diagonal/>
    </border>
    <border>
      <left/>
      <right style="thin">
        <color rgb="FF6E7E80"/>
      </right>
      <top style="thin">
        <color auto="1"/>
      </top>
      <bottom/>
      <diagonal/>
    </border>
    <border>
      <left/>
      <right style="thin">
        <color rgb="FF6E7E80"/>
      </right>
      <top/>
      <bottom style="thin">
        <color rgb="FF6E7E80"/>
      </bottom>
      <diagonal/>
    </border>
    <border>
      <left/>
      <right/>
      <top/>
      <bottom style="thin">
        <color rgb="FF6E7E80"/>
      </bottom>
      <diagonal/>
    </border>
    <border>
      <left/>
      <right style="thin">
        <color rgb="FF6E7E80"/>
      </right>
      <top style="thin">
        <color rgb="FF6E7E80"/>
      </top>
      <bottom style="thin">
        <color rgb="FF6E7E80"/>
      </bottom>
      <diagonal/>
    </border>
    <border>
      <left/>
      <right/>
      <top style="thin">
        <color rgb="FF6E7E80"/>
      </top>
      <bottom style="thin">
        <color rgb="FF6E7E80"/>
      </bottom>
      <diagonal/>
    </border>
    <border>
      <left/>
      <right/>
      <top style="thin">
        <color rgb="FF6E7E80"/>
      </top>
      <bottom/>
      <diagonal/>
    </border>
    <border>
      <left/>
      <right style="thin">
        <color rgb="FF6E7E80"/>
      </right>
      <top style="thin">
        <color rgb="FF6E7E80"/>
      </top>
      <bottom/>
      <diagonal/>
    </border>
    <border>
      <left/>
      <right style="thin">
        <color rgb="FF6E7E80"/>
      </right>
      <top style="thin">
        <color rgb="FF2F3E46"/>
      </top>
      <bottom/>
      <diagonal/>
    </border>
    <border>
      <left/>
      <right/>
      <top style="thin">
        <color rgb="FF2F3E46"/>
      </top>
      <bottom/>
      <diagonal/>
    </border>
    <border>
      <left/>
      <right style="thin">
        <color rgb="FF6E7E80"/>
      </right>
      <top style="thin">
        <color rgb="FF2F3E46"/>
      </top>
      <bottom style="medium">
        <color rgb="FF2F3E46"/>
      </bottom>
      <diagonal/>
    </border>
    <border>
      <left/>
      <right/>
      <top style="thin">
        <color rgb="FF2F3E46"/>
      </top>
      <bottom style="medium">
        <color rgb="FF2F3E46"/>
      </bottom>
      <diagonal/>
    </border>
    <border>
      <left style="thin">
        <color rgb="FF6E7E80"/>
      </left>
      <right/>
      <top style="thin">
        <color indexed="64"/>
      </top>
      <bottom/>
      <diagonal/>
    </border>
    <border>
      <left style="thin">
        <color rgb="FF6E7E80"/>
      </left>
      <right/>
      <top/>
      <bottom style="thin">
        <color indexed="64"/>
      </bottom>
      <diagonal/>
    </border>
    <border>
      <left style="thin">
        <color rgb="FF6E7E80"/>
      </left>
      <right/>
      <top style="thin">
        <color indexed="64"/>
      </top>
      <bottom style="thin">
        <color indexed="64"/>
      </bottom>
      <diagonal/>
    </border>
    <border>
      <left style="thin">
        <color rgb="FF6E7E80"/>
      </left>
      <right/>
      <top style="thin">
        <color indexed="64"/>
      </top>
      <bottom style="medium">
        <color indexed="64"/>
      </bottom>
      <diagonal/>
    </border>
    <border>
      <left/>
      <right/>
      <top style="thin">
        <color indexed="64"/>
      </top>
      <bottom style="medium">
        <color indexed="64"/>
      </bottom>
      <diagonal/>
    </border>
    <border>
      <left style="thin">
        <color auto="1"/>
      </left>
      <right style="thin">
        <color auto="1"/>
      </right>
      <top style="medium">
        <color auto="1"/>
      </top>
      <bottom style="thin">
        <color auto="1"/>
      </bottom>
      <diagonal/>
    </border>
    <border>
      <left/>
      <right/>
      <top/>
      <bottom style="thin">
        <color rgb="FF2F3E46"/>
      </bottom>
      <diagonal/>
    </border>
    <border>
      <left style="thin">
        <color auto="1"/>
      </left>
      <right style="thin">
        <color auto="1"/>
      </right>
      <top style="thin">
        <color auto="1"/>
      </top>
      <bottom style="thin">
        <color rgb="FF2F3E46"/>
      </bottom>
      <diagonal/>
    </border>
    <border>
      <left style="thin">
        <color rgb="FF2F3E46"/>
      </left>
      <right/>
      <top style="thin">
        <color rgb="FF2F3E46"/>
      </top>
      <bottom/>
      <diagonal/>
    </border>
    <border>
      <left style="thin">
        <color rgb="FF2F3E46"/>
      </left>
      <right/>
      <top/>
      <bottom style="thin">
        <color rgb="FF2F3E46"/>
      </bottom>
      <diagonal/>
    </border>
    <border>
      <left/>
      <right style="thin">
        <color rgb="FF2F3E46"/>
      </right>
      <top style="thin">
        <color rgb="FF2F3E46"/>
      </top>
      <bottom/>
      <diagonal/>
    </border>
    <border>
      <left/>
      <right style="thin">
        <color rgb="FF2F3E46"/>
      </right>
      <top/>
      <bottom style="thin">
        <color rgb="FF2F3E46"/>
      </bottom>
      <diagonal/>
    </border>
    <border>
      <left/>
      <right/>
      <top/>
      <bottom style="medium">
        <color rgb="FF2F3E46"/>
      </bottom>
      <diagonal/>
    </border>
    <border>
      <left/>
      <right/>
      <top/>
      <bottom style="thin">
        <color rgb="FFCAD2C5"/>
      </bottom>
      <diagonal/>
    </border>
    <border>
      <left/>
      <right/>
      <top style="medium">
        <color rgb="FF2F3E46"/>
      </top>
      <bottom/>
      <diagonal/>
    </border>
    <border>
      <left style="thin">
        <color rgb="FF2F3E46"/>
      </left>
      <right/>
      <top/>
      <bottom style="thin">
        <color rgb="FFCAD2C5"/>
      </bottom>
      <diagonal/>
    </border>
    <border>
      <left style="thin">
        <color rgb="FF2F3E46"/>
      </left>
      <right/>
      <top/>
      <bottom style="medium">
        <color rgb="FF2F3E46"/>
      </bottom>
      <diagonal/>
    </border>
    <border>
      <left style="thin">
        <color rgb="FF2F3E46"/>
      </left>
      <right/>
      <top/>
      <bottom/>
      <diagonal/>
    </border>
    <border>
      <left style="thin">
        <color rgb="FF2F3E46"/>
      </left>
      <right/>
      <top style="medium">
        <color rgb="FF2F3E46"/>
      </top>
      <bottom/>
      <diagonal/>
    </border>
    <border>
      <left/>
      <right style="thin">
        <color rgb="FF2F3E46"/>
      </right>
      <top/>
      <bottom style="medium">
        <color rgb="FF2F3E46"/>
      </bottom>
      <diagonal/>
    </border>
    <border>
      <left/>
      <right style="thin">
        <color rgb="FF2F3E46"/>
      </right>
      <top/>
      <bottom/>
      <diagonal/>
    </border>
    <border>
      <left/>
      <right style="thin">
        <color rgb="FF2F3E46"/>
      </right>
      <top/>
      <bottom style="thin">
        <color rgb="FFCAD2C5"/>
      </bottom>
      <diagonal/>
    </border>
    <border>
      <left/>
      <right style="thin">
        <color rgb="FF2F3E46"/>
      </right>
      <top style="medium">
        <color rgb="FF2F3E46"/>
      </top>
      <bottom/>
      <diagonal/>
    </border>
    <border>
      <left style="thin">
        <color rgb="FFBFBFBF"/>
      </left>
      <right/>
      <top/>
      <bottom style="medium">
        <color rgb="FF2F3E46"/>
      </bottom>
      <diagonal/>
    </border>
    <border>
      <left style="thin">
        <color rgb="FFBFBFBF"/>
      </left>
      <right/>
      <top/>
      <bottom/>
      <diagonal/>
    </border>
    <border>
      <left style="thin">
        <color rgb="FFBFBFBF"/>
      </left>
      <right/>
      <top/>
      <bottom style="thin">
        <color rgb="FFCAD2C5"/>
      </bottom>
      <diagonal/>
    </border>
    <border>
      <left style="thin">
        <color rgb="FFBFBFBF"/>
      </left>
      <right/>
      <top style="medium">
        <color rgb="FF2F3E46"/>
      </top>
      <bottom/>
      <diagonal/>
    </border>
    <border>
      <left style="thin">
        <color rgb="FF6E7E80"/>
      </left>
      <right/>
      <top/>
      <bottom/>
      <diagonal/>
    </border>
    <border>
      <left/>
      <right/>
      <top style="thin">
        <color rgb="FF000000"/>
      </top>
      <bottom/>
      <diagonal/>
    </border>
    <border>
      <left/>
      <right/>
      <top style="thin">
        <color rgb="FF000000"/>
      </top>
      <bottom style="double">
        <color auto="1"/>
      </bottom>
      <diagonal/>
    </border>
    <border>
      <left style="thin">
        <color indexed="64"/>
      </left>
      <right/>
      <top style="thin">
        <color indexed="64"/>
      </top>
      <bottom style="thin">
        <color indexed="64"/>
      </bottom>
      <diagonal/>
    </border>
    <border>
      <left/>
      <right/>
      <top style="thin">
        <color rgb="FF666666"/>
      </top>
      <bottom/>
      <diagonal/>
    </border>
    <border>
      <left/>
      <right/>
      <top style="thin">
        <color rgb="FF666666"/>
      </top>
      <bottom style="thin">
        <color rgb="FF666666"/>
      </bottom>
      <diagonal/>
    </border>
    <border>
      <left/>
      <right/>
      <top/>
      <bottom style="thin">
        <color rgb="FF666666"/>
      </bottom>
      <diagonal/>
    </border>
    <border>
      <left/>
      <right/>
      <top style="double">
        <color rgb="FF000000"/>
      </top>
      <bottom/>
      <diagonal/>
    </border>
    <border>
      <left/>
      <right/>
      <top style="medium">
        <color rgb="FF000000"/>
      </top>
      <bottom style="thin">
        <color rgb="FF666666"/>
      </bottom>
      <diagonal/>
    </border>
    <border>
      <left/>
      <right style="thin">
        <color rgb="FFBFBFBF"/>
      </right>
      <top/>
      <bottom/>
      <diagonal/>
    </border>
    <border>
      <left/>
      <right style="thin">
        <color rgb="FFBFBFBF"/>
      </right>
      <top style="thin">
        <color rgb="FF666666"/>
      </top>
      <bottom style="thin">
        <color rgb="FF666666"/>
      </bottom>
      <diagonal/>
    </border>
    <border>
      <left/>
      <right style="thin">
        <color rgb="FFBFBFBF"/>
      </right>
      <top style="thin">
        <color rgb="FF666666"/>
      </top>
      <bottom/>
      <diagonal/>
    </border>
    <border>
      <left/>
      <right style="thin">
        <color rgb="FFBFBFBF"/>
      </right>
      <top style="medium">
        <color rgb="FF000000"/>
      </top>
      <bottom style="thin">
        <color rgb="FF666666"/>
      </bottom>
      <diagonal/>
    </border>
    <border>
      <left/>
      <right style="thin">
        <color rgb="FFBFBFBF"/>
      </right>
      <top/>
      <bottom style="thin">
        <color rgb="FF666666"/>
      </bottom>
      <diagonal/>
    </border>
    <border>
      <left/>
      <right style="thin">
        <color rgb="FFBFBFBF"/>
      </right>
      <top style="double">
        <color rgb="FF000000"/>
      </top>
      <bottom/>
      <diagonal/>
    </border>
  </borders>
  <cellStyleXfs count="3">
    <xf numFmtId="0" fontId="0" fillId="0" borderId="0"/>
    <xf numFmtId="43" fontId="6" fillId="0" borderId="0" applyFont="0" applyFill="0" applyBorder="0" applyAlignment="0" applyProtection="0"/>
    <xf numFmtId="9" fontId="6" fillId="0" borderId="0" applyFont="0" applyFill="0" applyBorder="0" applyAlignment="0" applyProtection="0"/>
  </cellStyleXfs>
  <cellXfs count="971">
    <xf numFmtId="0" fontId="0" fillId="0" borderId="0" xfId="0"/>
    <xf numFmtId="164" fontId="0" fillId="0" borderId="0" xfId="0" applyNumberFormat="1"/>
    <xf numFmtId="164" fontId="4" fillId="0" borderId="0" xfId="0" applyNumberFormat="1" applyFont="1"/>
    <xf numFmtId="0" fontId="3" fillId="0" borderId="0" xfId="0" applyFont="1"/>
    <xf numFmtId="0" fontId="7" fillId="0" borderId="0" xfId="0" applyFont="1"/>
    <xf numFmtId="164" fontId="5" fillId="0" borderId="1" xfId="0" applyNumberFormat="1" applyFont="1" applyBorder="1"/>
    <xf numFmtId="164" fontId="10" fillId="0" borderId="0" xfId="0" applyNumberFormat="1" applyFont="1"/>
    <xf numFmtId="166" fontId="4" fillId="0" borderId="0" xfId="1" applyNumberFormat="1" applyFont="1"/>
    <xf numFmtId="0" fontId="3" fillId="0" borderId="1" xfId="0" applyFont="1" applyBorder="1"/>
    <xf numFmtId="164" fontId="12" fillId="0" borderId="1" xfId="0" applyNumberFormat="1" applyFont="1" applyBorder="1"/>
    <xf numFmtId="164" fontId="5" fillId="0" borderId="0" xfId="0" applyNumberFormat="1" applyFont="1"/>
    <xf numFmtId="164" fontId="12" fillId="0" borderId="0" xfId="0" applyNumberFormat="1" applyFont="1"/>
    <xf numFmtId="0" fontId="18" fillId="0" borderId="0" xfId="0" applyFont="1"/>
    <xf numFmtId="165" fontId="4" fillId="0" borderId="0" xfId="0" applyNumberFormat="1" applyFont="1"/>
    <xf numFmtId="164" fontId="21" fillId="0" borderId="1" xfId="0" applyNumberFormat="1" applyFont="1" applyBorder="1"/>
    <xf numFmtId="171" fontId="5" fillId="2" borderId="0" xfId="0" applyNumberFormat="1" applyFont="1" applyFill="1"/>
    <xf numFmtId="164" fontId="3" fillId="0" borderId="0" xfId="0" applyNumberFormat="1" applyFont="1"/>
    <xf numFmtId="0" fontId="27" fillId="0" borderId="0" xfId="0" applyFont="1"/>
    <xf numFmtId="0" fontId="28" fillId="0" borderId="0" xfId="0" applyFont="1"/>
    <xf numFmtId="0" fontId="8" fillId="0" borderId="0" xfId="0" applyFont="1"/>
    <xf numFmtId="164" fontId="21" fillId="0" borderId="0" xfId="0" applyNumberFormat="1" applyFont="1"/>
    <xf numFmtId="164" fontId="21" fillId="3" borderId="1" xfId="0" applyNumberFormat="1" applyFont="1" applyFill="1" applyBorder="1" applyAlignment="1">
      <alignment horizontal="right"/>
    </xf>
    <xf numFmtId="166" fontId="30" fillId="3" borderId="0" xfId="1" applyNumberFormat="1" applyFont="1" applyFill="1" applyBorder="1" applyAlignment="1">
      <alignment horizontal="right"/>
    </xf>
    <xf numFmtId="2" fontId="19" fillId="3" borderId="0" xfId="0" applyNumberFormat="1" applyFont="1" applyFill="1" applyAlignment="1">
      <alignment horizontal="right"/>
    </xf>
    <xf numFmtId="2" fontId="15" fillId="3" borderId="0" xfId="0" applyNumberFormat="1" applyFont="1" applyFill="1" applyAlignment="1">
      <alignment horizontal="right"/>
    </xf>
    <xf numFmtId="164" fontId="31" fillId="3" borderId="0" xfId="0" applyNumberFormat="1" applyFont="1" applyFill="1" applyAlignment="1">
      <alignment horizontal="right"/>
    </xf>
    <xf numFmtId="164" fontId="30" fillId="3" borderId="0" xfId="0" applyNumberFormat="1" applyFont="1" applyFill="1" applyAlignment="1">
      <alignment horizontal="right"/>
    </xf>
    <xf numFmtId="164" fontId="21" fillId="3" borderId="0" xfId="0" applyNumberFormat="1" applyFont="1" applyFill="1" applyAlignment="1">
      <alignment horizontal="right"/>
    </xf>
    <xf numFmtId="164" fontId="15" fillId="3" borderId="0" xfId="0" applyNumberFormat="1" applyFont="1" applyFill="1" applyAlignment="1">
      <alignment horizontal="right"/>
    </xf>
    <xf numFmtId="164" fontId="21" fillId="3" borderId="1" xfId="0" applyNumberFormat="1" applyFont="1" applyFill="1" applyBorder="1"/>
    <xf numFmtId="166" fontId="30" fillId="3" borderId="0" xfId="1" applyNumberFormat="1" applyFont="1" applyFill="1" applyBorder="1"/>
    <xf numFmtId="2" fontId="5" fillId="3" borderId="0" xfId="0" applyNumberFormat="1" applyFont="1" applyFill="1"/>
    <xf numFmtId="2" fontId="4" fillId="3" borderId="0" xfId="0" applyNumberFormat="1" applyFont="1" applyFill="1"/>
    <xf numFmtId="164" fontId="31" fillId="3" borderId="0" xfId="0" applyNumberFormat="1" applyFont="1" applyFill="1"/>
    <xf numFmtId="164" fontId="30" fillId="3" borderId="0" xfId="0" applyNumberFormat="1" applyFont="1" applyFill="1"/>
    <xf numFmtId="164" fontId="21" fillId="3" borderId="0" xfId="0" applyNumberFormat="1" applyFont="1" applyFill="1"/>
    <xf numFmtId="164" fontId="4" fillId="3" borderId="0" xfId="0" applyNumberFormat="1" applyFont="1" applyFill="1"/>
    <xf numFmtId="164" fontId="5" fillId="3" borderId="1" xfId="0" applyNumberFormat="1" applyFont="1" applyFill="1" applyBorder="1"/>
    <xf numFmtId="164" fontId="21" fillId="4" borderId="1" xfId="0" applyNumberFormat="1" applyFont="1" applyFill="1" applyBorder="1" applyAlignment="1">
      <alignment horizontal="right"/>
    </xf>
    <xf numFmtId="166" fontId="30" fillId="4" borderId="0" xfId="1" applyNumberFormat="1" applyFont="1" applyFill="1" applyBorder="1" applyAlignment="1">
      <alignment horizontal="right"/>
    </xf>
    <xf numFmtId="2" fontId="19" fillId="4" borderId="0" xfId="0" applyNumberFormat="1" applyFont="1" applyFill="1" applyAlignment="1">
      <alignment horizontal="right"/>
    </xf>
    <xf numFmtId="2" fontId="15" fillId="4" borderId="0" xfId="0" applyNumberFormat="1" applyFont="1" applyFill="1" applyAlignment="1">
      <alignment horizontal="right"/>
    </xf>
    <xf numFmtId="164" fontId="31" fillId="4" borderId="0" xfId="0" applyNumberFormat="1" applyFont="1" applyFill="1" applyAlignment="1">
      <alignment horizontal="right"/>
    </xf>
    <xf numFmtId="164" fontId="30" fillId="4" borderId="0" xfId="0" applyNumberFormat="1" applyFont="1" applyFill="1" applyAlignment="1">
      <alignment horizontal="right"/>
    </xf>
    <xf numFmtId="164" fontId="21" fillId="4" borderId="0" xfId="0" applyNumberFormat="1" applyFont="1" applyFill="1" applyAlignment="1">
      <alignment horizontal="right"/>
    </xf>
    <xf numFmtId="164" fontId="15" fillId="4" borderId="0" xfId="0" applyNumberFormat="1" applyFont="1" applyFill="1" applyAlignment="1">
      <alignment horizontal="right"/>
    </xf>
    <xf numFmtId="164" fontId="21" fillId="4" borderId="1" xfId="0" applyNumberFormat="1" applyFont="1" applyFill="1" applyBorder="1"/>
    <xf numFmtId="166" fontId="30" fillId="4" borderId="0" xfId="1" applyNumberFormat="1" applyFont="1" applyFill="1" applyBorder="1"/>
    <xf numFmtId="2" fontId="5" fillId="4" borderId="0" xfId="0" applyNumberFormat="1" applyFont="1" applyFill="1"/>
    <xf numFmtId="2" fontId="4" fillId="4" borderId="0" xfId="0" applyNumberFormat="1" applyFont="1" applyFill="1"/>
    <xf numFmtId="164" fontId="31" fillId="4" borderId="0" xfId="0" applyNumberFormat="1" applyFont="1" applyFill="1"/>
    <xf numFmtId="164" fontId="30" fillId="4" borderId="0" xfId="0" applyNumberFormat="1" applyFont="1" applyFill="1"/>
    <xf numFmtId="164" fontId="21" fillId="4" borderId="0" xfId="0" applyNumberFormat="1" applyFont="1" applyFill="1"/>
    <xf numFmtId="164" fontId="4" fillId="4" borderId="0" xfId="0" applyNumberFormat="1" applyFont="1" applyFill="1"/>
    <xf numFmtId="164" fontId="12" fillId="4" borderId="1" xfId="0" applyNumberFormat="1" applyFont="1" applyFill="1" applyBorder="1"/>
    <xf numFmtId="166" fontId="15" fillId="3" borderId="0" xfId="1" applyNumberFormat="1" applyFont="1" applyFill="1" applyBorder="1" applyAlignment="1">
      <alignment horizontal="right"/>
    </xf>
    <xf numFmtId="166" fontId="15" fillId="4" borderId="0" xfId="1" applyNumberFormat="1" applyFont="1" applyFill="1" applyBorder="1" applyAlignment="1">
      <alignment horizontal="right"/>
    </xf>
    <xf numFmtId="0" fontId="2" fillId="5" borderId="0" xfId="0" applyFont="1" applyFill="1"/>
    <xf numFmtId="164" fontId="2" fillId="5" borderId="0" xfId="0" applyNumberFormat="1" applyFont="1" applyFill="1"/>
    <xf numFmtId="0" fontId="2" fillId="0" borderId="0" xfId="0" applyFont="1"/>
    <xf numFmtId="169" fontId="2" fillId="0" borderId="0" xfId="0" applyNumberFormat="1" applyFont="1"/>
    <xf numFmtId="2" fontId="2" fillId="5" borderId="0" xfId="0" applyNumberFormat="1" applyFont="1" applyFill="1" applyAlignment="1">
      <alignment horizontal="right"/>
    </xf>
    <xf numFmtId="2" fontId="2" fillId="5" borderId="0" xfId="0" applyNumberFormat="1" applyFont="1" applyFill="1"/>
    <xf numFmtId="0" fontId="2" fillId="5" borderId="0" xfId="0" applyFont="1" applyFill="1" applyAlignment="1">
      <alignment horizontal="center"/>
    </xf>
    <xf numFmtId="0" fontId="0" fillId="0" borderId="4" xfId="0" applyBorder="1"/>
    <xf numFmtId="0" fontId="2" fillId="5" borderId="4" xfId="0" applyFont="1" applyFill="1" applyBorder="1" applyAlignment="1">
      <alignment horizontal="center"/>
    </xf>
    <xf numFmtId="0" fontId="2" fillId="5" borderId="4" xfId="0" applyFont="1" applyFill="1" applyBorder="1"/>
    <xf numFmtId="164" fontId="4" fillId="0" borderId="4" xfId="0" applyNumberFormat="1" applyFont="1" applyBorder="1" applyAlignment="1">
      <alignment horizontal="right"/>
    </xf>
    <xf numFmtId="164" fontId="5" fillId="0" borderId="4" xfId="0" applyNumberFormat="1" applyFont="1" applyBorder="1" applyAlignment="1">
      <alignment horizontal="right"/>
    </xf>
    <xf numFmtId="167" fontId="15" fillId="0" borderId="4" xfId="0" applyNumberFormat="1" applyFont="1" applyBorder="1" applyAlignment="1">
      <alignment horizontal="right"/>
    </xf>
    <xf numFmtId="165" fontId="10" fillId="0" borderId="4" xfId="0" applyNumberFormat="1" applyFont="1" applyBorder="1" applyAlignment="1">
      <alignment horizontal="right"/>
    </xf>
    <xf numFmtId="165" fontId="15" fillId="0" borderId="4" xfId="0" applyNumberFormat="1" applyFont="1" applyBorder="1" applyAlignment="1">
      <alignment horizontal="right"/>
    </xf>
    <xf numFmtId="0" fontId="15" fillId="0" borderId="4" xfId="0" applyFont="1" applyBorder="1" applyAlignment="1">
      <alignment horizontal="right"/>
    </xf>
    <xf numFmtId="0" fontId="19" fillId="0" borderId="4" xfId="0" applyFont="1" applyBorder="1" applyAlignment="1">
      <alignment horizontal="right"/>
    </xf>
    <xf numFmtId="0" fontId="4" fillId="0" borderId="4" xfId="0" applyFont="1" applyBorder="1" applyAlignment="1">
      <alignment horizontal="right"/>
    </xf>
    <xf numFmtId="164" fontId="21" fillId="0" borderId="4" xfId="0" applyNumberFormat="1" applyFont="1" applyBorder="1" applyAlignment="1">
      <alignment horizontal="right"/>
    </xf>
    <xf numFmtId="0" fontId="20" fillId="0" borderId="4" xfId="0" applyFont="1" applyBorder="1" applyAlignment="1">
      <alignment horizontal="right"/>
    </xf>
    <xf numFmtId="164" fontId="21" fillId="0" borderId="5" xfId="0" applyNumberFormat="1" applyFont="1" applyBorder="1" applyAlignment="1">
      <alignment horizontal="right"/>
    </xf>
    <xf numFmtId="165" fontId="10" fillId="0" borderId="4" xfId="0" applyNumberFormat="1" applyFont="1" applyBorder="1"/>
    <xf numFmtId="166" fontId="30" fillId="0" borderId="4" xfId="1" applyNumberFormat="1" applyFont="1" applyFill="1" applyBorder="1" applyAlignment="1">
      <alignment horizontal="right"/>
    </xf>
    <xf numFmtId="166" fontId="4" fillId="0" borderId="4" xfId="1" applyNumberFormat="1" applyFont="1" applyFill="1" applyBorder="1" applyAlignment="1">
      <alignment horizontal="right"/>
    </xf>
    <xf numFmtId="166" fontId="0" fillId="0" borderId="4" xfId="1" applyNumberFormat="1" applyFont="1" applyFill="1" applyBorder="1"/>
    <xf numFmtId="2" fontId="5" fillId="0" borderId="4" xfId="0" applyNumberFormat="1" applyFont="1" applyBorder="1" applyAlignment="1">
      <alignment horizontal="right"/>
    </xf>
    <xf numFmtId="2" fontId="2" fillId="5" borderId="4" xfId="0" applyNumberFormat="1" applyFont="1" applyFill="1" applyBorder="1" applyAlignment="1">
      <alignment horizontal="right"/>
    </xf>
    <xf numFmtId="164" fontId="31" fillId="0" borderId="4" xfId="0" applyNumberFormat="1" applyFont="1" applyBorder="1" applyAlignment="1">
      <alignment horizontal="right"/>
    </xf>
    <xf numFmtId="164" fontId="30" fillId="0" borderId="4" xfId="0" applyNumberFormat="1" applyFont="1" applyBorder="1" applyAlignment="1">
      <alignment horizontal="right"/>
    </xf>
    <xf numFmtId="2" fontId="4" fillId="0" borderId="4" xfId="0" applyNumberFormat="1" applyFont="1" applyBorder="1" applyAlignment="1">
      <alignment horizontal="right"/>
    </xf>
    <xf numFmtId="164" fontId="4" fillId="0" borderId="4" xfId="0" applyNumberFormat="1" applyFont="1" applyBorder="1"/>
    <xf numFmtId="164" fontId="21" fillId="0" borderId="5" xfId="0" applyNumberFormat="1" applyFont="1" applyBorder="1"/>
    <xf numFmtId="166" fontId="15" fillId="0" borderId="4" xfId="1" applyNumberFormat="1" applyFont="1" applyFill="1" applyBorder="1" applyAlignment="1">
      <alignment horizontal="right"/>
    </xf>
    <xf numFmtId="164" fontId="10" fillId="0" borderId="4" xfId="0" applyNumberFormat="1" applyFont="1" applyBorder="1"/>
    <xf numFmtId="164" fontId="0" fillId="0" borderId="4" xfId="0" applyNumberFormat="1" applyBorder="1"/>
    <xf numFmtId="170" fontId="0" fillId="0" borderId="4" xfId="0" applyNumberFormat="1" applyBorder="1"/>
    <xf numFmtId="167" fontId="10" fillId="0" borderId="4" xfId="0" applyNumberFormat="1" applyFont="1" applyBorder="1" applyAlignment="1">
      <alignment horizontal="right"/>
    </xf>
    <xf numFmtId="164" fontId="30" fillId="0" borderId="4" xfId="0" applyNumberFormat="1" applyFont="1" applyBorder="1"/>
    <xf numFmtId="164" fontId="5" fillId="0" borderId="4" xfId="0" applyNumberFormat="1" applyFont="1" applyBorder="1"/>
    <xf numFmtId="167" fontId="10" fillId="0" borderId="4" xfId="0" applyNumberFormat="1" applyFont="1" applyBorder="1"/>
    <xf numFmtId="164" fontId="21" fillId="0" borderId="4" xfId="0" applyNumberFormat="1" applyFont="1" applyBorder="1"/>
    <xf numFmtId="164" fontId="20" fillId="0" borderId="4" xfId="0" applyNumberFormat="1" applyFont="1" applyBorder="1"/>
    <xf numFmtId="166" fontId="30" fillId="0" borderId="4" xfId="1" applyNumberFormat="1" applyFont="1" applyFill="1" applyBorder="1"/>
    <xf numFmtId="166" fontId="4" fillId="0" borderId="4" xfId="1" applyNumberFormat="1" applyFont="1" applyFill="1" applyBorder="1"/>
    <xf numFmtId="2" fontId="5" fillId="0" borderId="4" xfId="0" applyNumberFormat="1" applyFont="1" applyBorder="1"/>
    <xf numFmtId="2" fontId="2" fillId="5" borderId="4" xfId="0" applyNumberFormat="1" applyFont="1" applyFill="1" applyBorder="1"/>
    <xf numFmtId="164" fontId="31" fillId="0" borderId="4" xfId="0" applyNumberFormat="1" applyFont="1" applyBorder="1"/>
    <xf numFmtId="2" fontId="4" fillId="0" borderId="4" xfId="0" applyNumberFormat="1" applyFont="1" applyBorder="1"/>
    <xf numFmtId="164" fontId="12" fillId="0" borderId="5" xfId="0" applyNumberFormat="1" applyFont="1" applyBorder="1"/>
    <xf numFmtId="164" fontId="2" fillId="5" borderId="4" xfId="0" applyNumberFormat="1" applyFont="1" applyFill="1" applyBorder="1"/>
    <xf numFmtId="164" fontId="12" fillId="0" borderId="4" xfId="0" applyNumberFormat="1" applyFont="1" applyBorder="1"/>
    <xf numFmtId="166" fontId="10" fillId="0" borderId="4" xfId="1" applyNumberFormat="1" applyFont="1" applyFill="1" applyBorder="1"/>
    <xf numFmtId="164" fontId="15" fillId="0" borderId="4" xfId="0" applyNumberFormat="1" applyFont="1" applyBorder="1" applyAlignment="1">
      <alignment horizontal="right"/>
    </xf>
    <xf numFmtId="0" fontId="3" fillId="0" borderId="7" xfId="0" applyFont="1" applyBorder="1"/>
    <xf numFmtId="164" fontId="5" fillId="0" borderId="7" xfId="0" applyNumberFormat="1" applyFont="1" applyBorder="1"/>
    <xf numFmtId="164" fontId="12" fillId="0" borderId="7" xfId="0" applyNumberFormat="1" applyFont="1" applyBorder="1"/>
    <xf numFmtId="166" fontId="21" fillId="0" borderId="6" xfId="1" applyNumberFormat="1" applyFont="1" applyFill="1" applyBorder="1" applyAlignment="1">
      <alignment horizontal="right"/>
    </xf>
    <xf numFmtId="166" fontId="21" fillId="3" borderId="7" xfId="1" applyNumberFormat="1" applyFont="1" applyFill="1" applyBorder="1" applyAlignment="1">
      <alignment horizontal="right"/>
    </xf>
    <xf numFmtId="166" fontId="21" fillId="4" borderId="7" xfId="1" applyNumberFormat="1" applyFont="1" applyFill="1" applyBorder="1" applyAlignment="1">
      <alignment horizontal="right"/>
    </xf>
    <xf numFmtId="166" fontId="21" fillId="0" borderId="6" xfId="1" applyNumberFormat="1" applyFont="1" applyFill="1" applyBorder="1"/>
    <xf numFmtId="166" fontId="21" fillId="3" borderId="7" xfId="1" applyNumberFormat="1" applyFont="1" applyFill="1" applyBorder="1"/>
    <xf numFmtId="166" fontId="21" fillId="4" borderId="7" xfId="1" applyNumberFormat="1" applyFont="1" applyFill="1" applyBorder="1"/>
    <xf numFmtId="0" fontId="21" fillId="0" borderId="7" xfId="0" applyFont="1" applyBorder="1"/>
    <xf numFmtId="164" fontId="21" fillId="0" borderId="7" xfId="0" applyNumberFormat="1" applyFont="1" applyBorder="1"/>
    <xf numFmtId="166" fontId="20" fillId="3" borderId="7" xfId="1" applyNumberFormat="1" applyFont="1" applyFill="1" applyBorder="1" applyAlignment="1">
      <alignment horizontal="right"/>
    </xf>
    <xf numFmtId="166" fontId="20" fillId="4" borderId="7" xfId="1" applyNumberFormat="1" applyFont="1" applyFill="1" applyBorder="1" applyAlignment="1">
      <alignment horizontal="right"/>
    </xf>
    <xf numFmtId="164" fontId="3" fillId="0" borderId="7" xfId="0" applyNumberFormat="1" applyFont="1" applyBorder="1"/>
    <xf numFmtId="0" fontId="15" fillId="0" borderId="6" xfId="0" applyFont="1" applyBorder="1" applyAlignment="1">
      <alignment horizontal="right"/>
    </xf>
    <xf numFmtId="164" fontId="15" fillId="3" borderId="7" xfId="0" applyNumberFormat="1" applyFont="1" applyFill="1" applyBorder="1" applyAlignment="1">
      <alignment horizontal="right"/>
    </xf>
    <xf numFmtId="164" fontId="15" fillId="4" borderId="7" xfId="0" applyNumberFormat="1" applyFont="1" applyFill="1" applyBorder="1" applyAlignment="1">
      <alignment horizontal="right"/>
    </xf>
    <xf numFmtId="164" fontId="5" fillId="0" borderId="6" xfId="0" applyNumberFormat="1" applyFont="1" applyBorder="1"/>
    <xf numFmtId="164" fontId="5" fillId="3" borderId="7" xfId="0" applyNumberFormat="1" applyFont="1" applyFill="1" applyBorder="1"/>
    <xf numFmtId="164" fontId="5" fillId="4" borderId="7" xfId="0" applyNumberFormat="1" applyFont="1" applyFill="1" applyBorder="1"/>
    <xf numFmtId="0" fontId="21" fillId="0" borderId="9" xfId="0" applyFont="1" applyBorder="1"/>
    <xf numFmtId="164" fontId="21" fillId="0" borderId="9" xfId="0" applyNumberFormat="1" applyFont="1" applyBorder="1"/>
    <xf numFmtId="164" fontId="21" fillId="0" borderId="8" xfId="0" applyNumberFormat="1" applyFont="1" applyBorder="1"/>
    <xf numFmtId="164" fontId="21" fillId="3" borderId="9" xfId="0" applyNumberFormat="1" applyFont="1" applyFill="1" applyBorder="1"/>
    <xf numFmtId="164" fontId="21" fillId="4" borderId="9" xfId="0" applyNumberFormat="1" applyFont="1" applyFill="1" applyBorder="1"/>
    <xf numFmtId="0" fontId="20" fillId="0" borderId="7" xfId="0" applyFont="1" applyBorder="1"/>
    <xf numFmtId="164" fontId="20" fillId="0" borderId="6" xfId="0" applyNumberFormat="1" applyFont="1" applyBorder="1"/>
    <xf numFmtId="164" fontId="20" fillId="3" borderId="7" xfId="0" applyNumberFormat="1" applyFont="1" applyFill="1" applyBorder="1"/>
    <xf numFmtId="164" fontId="20" fillId="4" borderId="7" xfId="0" applyNumberFormat="1" applyFont="1" applyFill="1" applyBorder="1"/>
    <xf numFmtId="0" fontId="3" fillId="0" borderId="10" xfId="0" applyFont="1" applyBorder="1"/>
    <xf numFmtId="164" fontId="3" fillId="0" borderId="10" xfId="0" applyNumberFormat="1" applyFont="1" applyBorder="1"/>
    <xf numFmtId="165" fontId="3" fillId="7" borderId="0" xfId="0" applyNumberFormat="1" applyFont="1" applyFill="1"/>
    <xf numFmtId="0" fontId="32" fillId="5" borderId="13" xfId="0" applyFont="1" applyFill="1" applyBorder="1"/>
    <xf numFmtId="0" fontId="32" fillId="5" borderId="15" xfId="0" applyFont="1" applyFill="1" applyBorder="1"/>
    <xf numFmtId="0" fontId="3" fillId="0" borderId="15" xfId="0" applyFont="1" applyBorder="1"/>
    <xf numFmtId="172" fontId="3" fillId="7" borderId="0" xfId="0" applyNumberFormat="1" applyFont="1" applyFill="1"/>
    <xf numFmtId="0" fontId="2" fillId="5" borderId="4" xfId="0" applyFont="1" applyFill="1" applyBorder="1" applyAlignment="1">
      <alignment horizontal="left"/>
    </xf>
    <xf numFmtId="164" fontId="2" fillId="5" borderId="4" xfId="0" applyNumberFormat="1" applyFont="1" applyFill="1" applyBorder="1" applyAlignment="1">
      <alignment horizontal="left"/>
    </xf>
    <xf numFmtId="0" fontId="2" fillId="8" borderId="0" xfId="0" applyFont="1" applyFill="1"/>
    <xf numFmtId="0" fontId="32" fillId="8" borderId="0" xfId="0" applyFont="1" applyFill="1"/>
    <xf numFmtId="0" fontId="32" fillId="8" borderId="4" xfId="0" applyFont="1" applyFill="1" applyBorder="1"/>
    <xf numFmtId="164" fontId="32" fillId="8" borderId="4" xfId="0" applyNumberFormat="1" applyFont="1" applyFill="1" applyBorder="1"/>
    <xf numFmtId="0" fontId="32" fillId="8" borderId="4" xfId="0" applyFont="1" applyFill="1" applyBorder="1" applyAlignment="1">
      <alignment horizontal="left"/>
    </xf>
    <xf numFmtId="164" fontId="32" fillId="8" borderId="4" xfId="0" applyNumberFormat="1" applyFont="1" applyFill="1" applyBorder="1" applyAlignment="1">
      <alignment horizontal="left"/>
    </xf>
    <xf numFmtId="166" fontId="32" fillId="8" borderId="4" xfId="1" applyNumberFormat="1" applyFont="1" applyFill="1" applyBorder="1" applyAlignment="1">
      <alignment horizontal="left"/>
    </xf>
    <xf numFmtId="164" fontId="3" fillId="0" borderId="15" xfId="0" applyNumberFormat="1" applyFont="1" applyBorder="1"/>
    <xf numFmtId="166" fontId="33" fillId="7" borderId="14" xfId="0" applyNumberFormat="1" applyFont="1" applyFill="1" applyBorder="1" applyAlignment="1">
      <alignment horizontal="right"/>
    </xf>
    <xf numFmtId="164" fontId="34" fillId="7" borderId="15" xfId="0" applyNumberFormat="1" applyFont="1" applyFill="1" applyBorder="1" applyAlignment="1">
      <alignment horizontal="right"/>
    </xf>
    <xf numFmtId="164" fontId="35" fillId="7" borderId="15" xfId="0" applyNumberFormat="1" applyFont="1" applyFill="1" applyBorder="1"/>
    <xf numFmtId="168" fontId="32" fillId="6" borderId="0" xfId="0" applyNumberFormat="1" applyFont="1" applyFill="1"/>
    <xf numFmtId="165" fontId="10" fillId="9" borderId="4" xfId="0" applyNumberFormat="1" applyFont="1" applyFill="1" applyBorder="1" applyAlignment="1">
      <alignment horizontal="right"/>
    </xf>
    <xf numFmtId="165" fontId="10" fillId="9" borderId="4" xfId="0" applyNumberFormat="1" applyFont="1" applyFill="1" applyBorder="1"/>
    <xf numFmtId="0" fontId="9" fillId="0" borderId="4" xfId="0" applyFont="1" applyBorder="1"/>
    <xf numFmtId="164" fontId="9" fillId="0" borderId="4" xfId="0" applyNumberFormat="1" applyFont="1" applyBorder="1"/>
    <xf numFmtId="0" fontId="18" fillId="9" borderId="7" xfId="0" applyFont="1" applyFill="1" applyBorder="1"/>
    <xf numFmtId="164" fontId="0" fillId="9" borderId="7" xfId="0" applyNumberFormat="1" applyFill="1" applyBorder="1"/>
    <xf numFmtId="165" fontId="10" fillId="9" borderId="6" xfId="0" applyNumberFormat="1" applyFont="1" applyFill="1" applyBorder="1" applyAlignment="1">
      <alignment horizontal="right"/>
    </xf>
    <xf numFmtId="164" fontId="15" fillId="9" borderId="7" xfId="0" applyNumberFormat="1" applyFont="1" applyFill="1" applyBorder="1" applyAlignment="1">
      <alignment horizontal="right"/>
    </xf>
    <xf numFmtId="165" fontId="10" fillId="9" borderId="6" xfId="0" applyNumberFormat="1" applyFont="1" applyFill="1" applyBorder="1"/>
    <xf numFmtId="164" fontId="4" fillId="9" borderId="7" xfId="0" applyNumberFormat="1" applyFont="1" applyFill="1" applyBorder="1"/>
    <xf numFmtId="0" fontId="1" fillId="0" borderId="0" xfId="0" applyFont="1"/>
    <xf numFmtId="0" fontId="0" fillId="3" borderId="0" xfId="0" applyFill="1"/>
    <xf numFmtId="0" fontId="0" fillId="4" borderId="0" xfId="0" applyFill="1"/>
    <xf numFmtId="0" fontId="13" fillId="0" borderId="0" xfId="0" applyFont="1"/>
    <xf numFmtId="0" fontId="14" fillId="0" borderId="0" xfId="0" applyFont="1"/>
    <xf numFmtId="0" fontId="2" fillId="6" borderId="0" xfId="0" applyFont="1" applyFill="1" applyAlignment="1">
      <alignment horizontal="center"/>
    </xf>
    <xf numFmtId="164" fontId="0" fillId="3" borderId="0" xfId="0" applyNumberFormat="1" applyFill="1"/>
    <xf numFmtId="164" fontId="0" fillId="4" borderId="0" xfId="0" applyNumberFormat="1" applyFill="1"/>
    <xf numFmtId="0" fontId="26" fillId="0" borderId="0" xfId="0" quotePrefix="1" applyFont="1" applyAlignment="1">
      <alignment horizontal="center"/>
    </xf>
    <xf numFmtId="164" fontId="4" fillId="3" borderId="0" xfId="0" applyNumberFormat="1" applyFont="1" applyFill="1" applyAlignment="1">
      <alignment horizontal="right"/>
    </xf>
    <xf numFmtId="164" fontId="4" fillId="4" borderId="0" xfId="0" applyNumberFormat="1" applyFont="1" applyFill="1" applyAlignment="1">
      <alignment horizontal="right"/>
    </xf>
    <xf numFmtId="164" fontId="5" fillId="3" borderId="0" xfId="0" applyNumberFormat="1" applyFont="1" applyFill="1" applyAlignment="1">
      <alignment horizontal="right"/>
    </xf>
    <xf numFmtId="164" fontId="5" fillId="4" borderId="0" xfId="0" applyNumberFormat="1" applyFont="1" applyFill="1" applyAlignment="1">
      <alignment horizontal="right"/>
    </xf>
    <xf numFmtId="167" fontId="15" fillId="3" borderId="0" xfId="0" applyNumberFormat="1" applyFont="1" applyFill="1" applyAlignment="1">
      <alignment horizontal="right"/>
    </xf>
    <xf numFmtId="167" fontId="15" fillId="4" borderId="0" xfId="0" applyNumberFormat="1" applyFont="1" applyFill="1" applyAlignment="1">
      <alignment horizontal="right"/>
    </xf>
    <xf numFmtId="165" fontId="10" fillId="3" borderId="0" xfId="0" applyNumberFormat="1" applyFont="1" applyFill="1" applyAlignment="1">
      <alignment horizontal="right"/>
    </xf>
    <xf numFmtId="165" fontId="10" fillId="4" borderId="0" xfId="0" applyNumberFormat="1" applyFont="1" applyFill="1" applyAlignment="1">
      <alignment horizontal="right"/>
    </xf>
    <xf numFmtId="165" fontId="15" fillId="3" borderId="0" xfId="0" applyNumberFormat="1" applyFont="1" applyFill="1" applyAlignment="1">
      <alignment horizontal="right"/>
    </xf>
    <xf numFmtId="165" fontId="15" fillId="4" borderId="0" xfId="0" applyNumberFormat="1" applyFont="1" applyFill="1" applyAlignment="1">
      <alignment horizontal="right"/>
    </xf>
    <xf numFmtId="164" fontId="5" fillId="3" borderId="0" xfId="0" applyNumberFormat="1" applyFont="1" applyFill="1"/>
    <xf numFmtId="164" fontId="5" fillId="4" borderId="0" xfId="0" applyNumberFormat="1" applyFont="1" applyFill="1"/>
    <xf numFmtId="164" fontId="10" fillId="4" borderId="0" xfId="0" applyNumberFormat="1" applyFont="1" applyFill="1" applyAlignment="1">
      <alignment horizontal="right"/>
    </xf>
    <xf numFmtId="164" fontId="10" fillId="4" borderId="0" xfId="0" applyNumberFormat="1" applyFont="1" applyFill="1"/>
    <xf numFmtId="164" fontId="12" fillId="4" borderId="0" xfId="0" applyNumberFormat="1" applyFont="1" applyFill="1" applyAlignment="1">
      <alignment horizontal="right"/>
    </xf>
    <xf numFmtId="164" fontId="19" fillId="3" borderId="0" xfId="0" applyNumberFormat="1" applyFont="1" applyFill="1" applyAlignment="1">
      <alignment horizontal="right"/>
    </xf>
    <xf numFmtId="164" fontId="19" fillId="4" borderId="0" xfId="0" applyNumberFormat="1" applyFont="1" applyFill="1" applyAlignment="1">
      <alignment horizontal="right"/>
    </xf>
    <xf numFmtId="164" fontId="12" fillId="4" borderId="0" xfId="0" applyNumberFormat="1" applyFont="1" applyFill="1"/>
    <xf numFmtId="167" fontId="4" fillId="3" borderId="0" xfId="0" applyNumberFormat="1" applyFont="1" applyFill="1"/>
    <xf numFmtId="167" fontId="4" fillId="4" borderId="0" xfId="0" applyNumberFormat="1" applyFont="1" applyFill="1"/>
    <xf numFmtId="164" fontId="20" fillId="3" borderId="0" xfId="0" applyNumberFormat="1" applyFont="1" applyFill="1" applyAlignment="1">
      <alignment horizontal="right"/>
    </xf>
    <xf numFmtId="164" fontId="20" fillId="4" borderId="0" xfId="0" applyNumberFormat="1" applyFont="1" applyFill="1" applyAlignment="1">
      <alignment horizontal="right"/>
    </xf>
    <xf numFmtId="164" fontId="20" fillId="3" borderId="0" xfId="0" applyNumberFormat="1" applyFont="1" applyFill="1"/>
    <xf numFmtId="164" fontId="20" fillId="4" borderId="0" xfId="0" applyNumberFormat="1" applyFont="1" applyFill="1"/>
    <xf numFmtId="167" fontId="10" fillId="4" borderId="0" xfId="0" applyNumberFormat="1" applyFont="1" applyFill="1"/>
    <xf numFmtId="0" fontId="11" fillId="0" borderId="0" xfId="0" applyFont="1"/>
    <xf numFmtId="166" fontId="4" fillId="3" borderId="0" xfId="1" applyNumberFormat="1" applyFont="1" applyFill="1" applyBorder="1" applyAlignment="1">
      <alignment horizontal="right"/>
    </xf>
    <xf numFmtId="166" fontId="10" fillId="4" borderId="0" xfId="1" applyNumberFormat="1" applyFont="1" applyFill="1" applyBorder="1" applyAlignment="1">
      <alignment horizontal="right"/>
    </xf>
    <xf numFmtId="166" fontId="4" fillId="3" borderId="0" xfId="1" applyNumberFormat="1" applyFont="1" applyFill="1" applyBorder="1"/>
    <xf numFmtId="166" fontId="4" fillId="4" borderId="0" xfId="1" applyNumberFormat="1" applyFont="1" applyFill="1" applyBorder="1"/>
    <xf numFmtId="166" fontId="10" fillId="4" borderId="0" xfId="1" applyNumberFormat="1" applyFont="1" applyFill="1" applyBorder="1"/>
    <xf numFmtId="0" fontId="16" fillId="0" borderId="0" xfId="0" applyFont="1"/>
    <xf numFmtId="164" fontId="16" fillId="0" borderId="0" xfId="0" applyNumberFormat="1" applyFont="1"/>
    <xf numFmtId="166" fontId="0" fillId="3" borderId="0" xfId="1" applyNumberFormat="1" applyFont="1" applyFill="1" applyBorder="1"/>
    <xf numFmtId="166" fontId="0" fillId="4" borderId="0" xfId="1" applyNumberFormat="1" applyFont="1" applyFill="1" applyBorder="1"/>
    <xf numFmtId="164" fontId="28" fillId="0" borderId="0" xfId="0" applyNumberFormat="1" applyFont="1"/>
    <xf numFmtId="164" fontId="9" fillId="3" borderId="0" xfId="0" applyNumberFormat="1" applyFont="1" applyFill="1"/>
    <xf numFmtId="164" fontId="9" fillId="4" borderId="0" xfId="0" applyNumberFormat="1" applyFont="1" applyFill="1"/>
    <xf numFmtId="0" fontId="18" fillId="9" borderId="0" xfId="0" applyFont="1" applyFill="1"/>
    <xf numFmtId="164" fontId="0" fillId="9" borderId="0" xfId="0" applyNumberFormat="1" applyFill="1"/>
    <xf numFmtId="164" fontId="15" fillId="9" borderId="0" xfId="0" applyNumberFormat="1" applyFont="1" applyFill="1" applyAlignment="1">
      <alignment horizontal="right"/>
    </xf>
    <xf numFmtId="164" fontId="4" fillId="9" borderId="0" xfId="0" applyNumberFormat="1" applyFont="1" applyFill="1"/>
    <xf numFmtId="0" fontId="2" fillId="5" borderId="0" xfId="0" applyFont="1" applyFill="1" applyAlignment="1">
      <alignment horizontal="left"/>
    </xf>
    <xf numFmtId="164" fontId="2" fillId="5" borderId="0" xfId="0" applyNumberFormat="1" applyFont="1" applyFill="1" applyAlignment="1">
      <alignment horizontal="left"/>
    </xf>
    <xf numFmtId="0" fontId="32" fillId="8" borderId="0" xfId="0" applyFont="1" applyFill="1" applyAlignment="1">
      <alignment horizontal="left"/>
    </xf>
    <xf numFmtId="164" fontId="32" fillId="8" borderId="0" xfId="0" applyNumberFormat="1" applyFont="1" applyFill="1" applyAlignment="1">
      <alignment horizontal="left"/>
    </xf>
    <xf numFmtId="166" fontId="32" fillId="8" borderId="0" xfId="1" applyNumberFormat="1" applyFont="1" applyFill="1" applyBorder="1" applyAlignment="1">
      <alignment horizontal="left"/>
    </xf>
    <xf numFmtId="0" fontId="17" fillId="0" borderId="0" xfId="0" applyFont="1"/>
    <xf numFmtId="164" fontId="16" fillId="3" borderId="0" xfId="0" applyNumberFormat="1" applyFont="1" applyFill="1"/>
    <xf numFmtId="164" fontId="16" fillId="4" borderId="0" xfId="0" applyNumberFormat="1" applyFont="1" applyFill="1"/>
    <xf numFmtId="0" fontId="8" fillId="0" borderId="0" xfId="0" applyFont="1" applyAlignment="1">
      <alignment horizontal="right"/>
    </xf>
    <xf numFmtId="170" fontId="0" fillId="3" borderId="0" xfId="0" applyNumberFormat="1" applyFill="1"/>
    <xf numFmtId="170" fontId="0" fillId="4" borderId="0" xfId="0" applyNumberFormat="1" applyFill="1"/>
    <xf numFmtId="166" fontId="21" fillId="0" borderId="4" xfId="1" applyNumberFormat="1" applyFont="1" applyFill="1" applyBorder="1" applyAlignment="1">
      <alignment horizontal="right"/>
    </xf>
    <xf numFmtId="166" fontId="21" fillId="3" borderId="0" xfId="1" applyNumberFormat="1" applyFont="1" applyFill="1" applyBorder="1" applyAlignment="1">
      <alignment horizontal="right"/>
    </xf>
    <xf numFmtId="166" fontId="21" fillId="4" borderId="0" xfId="1" applyNumberFormat="1" applyFont="1" applyFill="1" applyBorder="1" applyAlignment="1">
      <alignment horizontal="right"/>
    </xf>
    <xf numFmtId="166" fontId="20" fillId="3" borderId="0" xfId="1" applyNumberFormat="1" applyFont="1" applyFill="1" applyBorder="1" applyAlignment="1">
      <alignment horizontal="right"/>
    </xf>
    <xf numFmtId="166" fontId="20" fillId="4" borderId="0" xfId="1" applyNumberFormat="1" applyFont="1" applyFill="1" applyBorder="1" applyAlignment="1">
      <alignment horizontal="right"/>
    </xf>
    <xf numFmtId="166" fontId="21" fillId="0" borderId="4" xfId="1" applyNumberFormat="1" applyFont="1" applyFill="1" applyBorder="1"/>
    <xf numFmtId="166" fontId="21" fillId="3" borderId="0" xfId="1" applyNumberFormat="1" applyFont="1" applyFill="1" applyBorder="1"/>
    <xf numFmtId="166" fontId="21" fillId="4" borderId="0" xfId="1" applyNumberFormat="1" applyFont="1" applyFill="1" applyBorder="1"/>
    <xf numFmtId="0" fontId="21" fillId="0" borderId="0" xfId="0" applyFont="1"/>
    <xf numFmtId="165" fontId="10" fillId="0" borderId="0" xfId="0" applyNumberFormat="1" applyFont="1" applyAlignment="1">
      <alignment horizontal="right"/>
    </xf>
    <xf numFmtId="165" fontId="10" fillId="0" borderId="0" xfId="0" applyNumberFormat="1" applyFont="1"/>
    <xf numFmtId="164" fontId="12" fillId="0" borderId="6" xfId="0" applyNumberFormat="1" applyFont="1" applyBorder="1" applyAlignment="1">
      <alignment horizontal="right"/>
    </xf>
    <xf numFmtId="164" fontId="12" fillId="0" borderId="6" xfId="0" applyNumberFormat="1" applyFont="1" applyBorder="1"/>
    <xf numFmtId="164" fontId="4" fillId="3" borderId="7" xfId="0" applyNumberFormat="1" applyFont="1" applyFill="1" applyBorder="1"/>
    <xf numFmtId="164" fontId="4" fillId="4" borderId="7" xfId="0" applyNumberFormat="1" applyFont="1" applyFill="1" applyBorder="1"/>
    <xf numFmtId="164" fontId="21" fillId="0" borderId="6" xfId="0" applyNumberFormat="1" applyFont="1" applyBorder="1"/>
    <xf numFmtId="164" fontId="21" fillId="3" borderId="7" xfId="0" applyNumberFormat="1" applyFont="1" applyFill="1" applyBorder="1"/>
    <xf numFmtId="164" fontId="21" fillId="4" borderId="7" xfId="0" applyNumberFormat="1" applyFont="1" applyFill="1" applyBorder="1"/>
    <xf numFmtId="164" fontId="21" fillId="3" borderId="7" xfId="0" applyNumberFormat="1" applyFont="1" applyFill="1" applyBorder="1" applyAlignment="1">
      <alignment horizontal="right"/>
    </xf>
    <xf numFmtId="164" fontId="21" fillId="4" borderId="7" xfId="0" applyNumberFormat="1" applyFont="1" applyFill="1" applyBorder="1" applyAlignment="1">
      <alignment horizontal="right"/>
    </xf>
    <xf numFmtId="164" fontId="0" fillId="0" borderId="13" xfId="0" applyNumberFormat="1" applyBorder="1"/>
    <xf numFmtId="166" fontId="35" fillId="7" borderId="12" xfId="1" applyNumberFormat="1" applyFont="1" applyFill="1" applyBorder="1" applyAlignment="1">
      <alignment horizontal="right"/>
    </xf>
    <xf numFmtId="166" fontId="34" fillId="7" borderId="13" xfId="1" applyNumberFormat="1" applyFont="1" applyFill="1" applyBorder="1" applyAlignment="1">
      <alignment horizontal="right"/>
    </xf>
    <xf numFmtId="166" fontId="35" fillId="7" borderId="12" xfId="1" applyNumberFormat="1" applyFont="1" applyFill="1" applyBorder="1"/>
    <xf numFmtId="166" fontId="35" fillId="7" borderId="13" xfId="1" applyNumberFormat="1" applyFont="1" applyFill="1" applyBorder="1"/>
    <xf numFmtId="164" fontId="0" fillId="0" borderId="15" xfId="0" applyNumberFormat="1" applyBorder="1"/>
    <xf numFmtId="164" fontId="36" fillId="7" borderId="14" xfId="0" applyNumberFormat="1" applyFont="1" applyFill="1" applyBorder="1" applyAlignment="1">
      <alignment horizontal="right"/>
    </xf>
    <xf numFmtId="164" fontId="36" fillId="7" borderId="14" xfId="0" applyNumberFormat="1" applyFont="1" applyFill="1" applyBorder="1"/>
    <xf numFmtId="164" fontId="2" fillId="8" borderId="0" xfId="0" applyNumberFormat="1" applyFont="1" applyFill="1"/>
    <xf numFmtId="164" fontId="32" fillId="8" borderId="0" xfId="0" applyNumberFormat="1" applyFont="1" applyFill="1"/>
    <xf numFmtId="0" fontId="37" fillId="5" borderId="0" xfId="0" applyFont="1" applyFill="1"/>
    <xf numFmtId="164" fontId="5" fillId="7" borderId="4" xfId="0" applyNumberFormat="1" applyFont="1" applyFill="1" applyBorder="1" applyAlignment="1">
      <alignment horizontal="right"/>
    </xf>
    <xf numFmtId="164" fontId="5" fillId="7" borderId="0" xfId="0" applyNumberFormat="1" applyFont="1" applyFill="1" applyAlignment="1">
      <alignment horizontal="right"/>
    </xf>
    <xf numFmtId="169" fontId="2" fillId="6" borderId="0" xfId="0" applyNumberFormat="1" applyFont="1" applyFill="1"/>
    <xf numFmtId="167" fontId="19" fillId="7" borderId="0" xfId="0" applyNumberFormat="1" applyFont="1" applyFill="1" applyAlignment="1">
      <alignment horizontal="right"/>
    </xf>
    <xf numFmtId="165" fontId="12" fillId="7" borderId="4" xfId="0" applyNumberFormat="1" applyFont="1" applyFill="1" applyBorder="1" applyAlignment="1">
      <alignment horizontal="right"/>
    </xf>
    <xf numFmtId="165" fontId="12" fillId="7" borderId="0" xfId="0" applyNumberFormat="1" applyFont="1" applyFill="1" applyAlignment="1">
      <alignment horizontal="right"/>
    </xf>
    <xf numFmtId="167" fontId="12" fillId="7" borderId="4" xfId="0" applyNumberFormat="1" applyFont="1" applyFill="1" applyBorder="1" applyAlignment="1">
      <alignment horizontal="right"/>
    </xf>
    <xf numFmtId="167" fontId="12" fillId="7" borderId="0" xfId="0" applyNumberFormat="1" applyFont="1" applyFill="1" applyAlignment="1">
      <alignment horizontal="right"/>
    </xf>
    <xf numFmtId="165" fontId="19" fillId="7" borderId="0" xfId="0" applyNumberFormat="1" applyFont="1" applyFill="1" applyAlignment="1">
      <alignment horizontal="right"/>
    </xf>
    <xf numFmtId="164" fontId="5" fillId="7" borderId="4" xfId="0" applyNumberFormat="1" applyFont="1" applyFill="1" applyBorder="1"/>
    <xf numFmtId="164" fontId="5" fillId="7" borderId="0" xfId="0" applyNumberFormat="1" applyFont="1" applyFill="1"/>
    <xf numFmtId="164" fontId="12" fillId="7" borderId="0" xfId="0" applyNumberFormat="1" applyFont="1" applyFill="1" applyAlignment="1">
      <alignment horizontal="right"/>
    </xf>
    <xf numFmtId="164" fontId="19" fillId="7" borderId="0" xfId="0" applyNumberFormat="1" applyFont="1" applyFill="1" applyAlignment="1">
      <alignment horizontal="right"/>
    </xf>
    <xf numFmtId="164" fontId="12" fillId="7" borderId="0" xfId="0" applyNumberFormat="1" applyFont="1" applyFill="1"/>
    <xf numFmtId="164" fontId="12" fillId="7" borderId="4" xfId="0" applyNumberFormat="1" applyFont="1" applyFill="1" applyBorder="1"/>
    <xf numFmtId="167" fontId="12" fillId="7" borderId="4" xfId="0" applyNumberFormat="1" applyFont="1" applyFill="1" applyBorder="1"/>
    <xf numFmtId="167" fontId="5" fillId="7" borderId="0" xfId="0" applyNumberFormat="1" applyFont="1" applyFill="1"/>
    <xf numFmtId="0" fontId="5" fillId="7" borderId="4" xfId="0" applyFont="1" applyFill="1" applyBorder="1" applyAlignment="1">
      <alignment horizontal="right"/>
    </xf>
    <xf numFmtId="164" fontId="21" fillId="7" borderId="4" xfId="0" applyNumberFormat="1" applyFont="1" applyFill="1" applyBorder="1" applyAlignment="1">
      <alignment horizontal="right"/>
    </xf>
    <xf numFmtId="164" fontId="21" fillId="7" borderId="0" xfId="0" applyNumberFormat="1" applyFont="1" applyFill="1" applyAlignment="1">
      <alignment horizontal="right"/>
    </xf>
    <xf numFmtId="164" fontId="21" fillId="7" borderId="4" xfId="0" applyNumberFormat="1" applyFont="1" applyFill="1" applyBorder="1"/>
    <xf numFmtId="164" fontId="21" fillId="7" borderId="0" xfId="0" applyNumberFormat="1" applyFont="1" applyFill="1"/>
    <xf numFmtId="167" fontId="12" fillId="7" borderId="0" xfId="0" applyNumberFormat="1" applyFont="1" applyFill="1"/>
    <xf numFmtId="165" fontId="12" fillId="7" borderId="4" xfId="0" applyNumberFormat="1" applyFont="1" applyFill="1" applyBorder="1"/>
    <xf numFmtId="164" fontId="3" fillId="7" borderId="0" xfId="0" applyNumberFormat="1" applyFont="1" applyFill="1"/>
    <xf numFmtId="167" fontId="3" fillId="7" borderId="0" xfId="0" applyNumberFormat="1" applyFont="1" applyFill="1"/>
    <xf numFmtId="0" fontId="38" fillId="0" borderId="0" xfId="0" applyFont="1"/>
    <xf numFmtId="169" fontId="10" fillId="0" borderId="0" xfId="0" applyNumberFormat="1" applyFont="1"/>
    <xf numFmtId="164" fontId="10" fillId="0" borderId="0" xfId="0" applyNumberFormat="1" applyFont="1" applyAlignment="1">
      <alignment horizontal="right"/>
    </xf>
    <xf numFmtId="164" fontId="20" fillId="0" borderId="4" xfId="0" applyNumberFormat="1" applyFont="1" applyBorder="1" applyAlignment="1">
      <alignment horizontal="right"/>
    </xf>
    <xf numFmtId="0" fontId="37" fillId="5" borderId="7" xfId="0" applyFont="1" applyFill="1" applyBorder="1"/>
    <xf numFmtId="166" fontId="21" fillId="7" borderId="6" xfId="1" applyNumberFormat="1" applyFont="1" applyFill="1" applyBorder="1" applyAlignment="1">
      <alignment horizontal="right"/>
    </xf>
    <xf numFmtId="166" fontId="21" fillId="7" borderId="7" xfId="1" applyNumberFormat="1" applyFont="1" applyFill="1" applyBorder="1" applyAlignment="1">
      <alignment horizontal="right"/>
    </xf>
    <xf numFmtId="166" fontId="21" fillId="7" borderId="6" xfId="1" applyNumberFormat="1" applyFont="1" applyFill="1" applyBorder="1"/>
    <xf numFmtId="166" fontId="21" fillId="7" borderId="7" xfId="1" applyNumberFormat="1" applyFont="1" applyFill="1" applyBorder="1"/>
    <xf numFmtId="174" fontId="21" fillId="7" borderId="4" xfId="0" applyNumberFormat="1" applyFont="1" applyFill="1" applyBorder="1" applyAlignment="1">
      <alignment horizontal="right"/>
    </xf>
    <xf numFmtId="174" fontId="21" fillId="7" borderId="0" xfId="0" applyNumberFormat="1" applyFont="1" applyFill="1" applyAlignment="1">
      <alignment horizontal="right"/>
    </xf>
    <xf numFmtId="174" fontId="21" fillId="7" borderId="4" xfId="0" applyNumberFormat="1" applyFont="1" applyFill="1" applyBorder="1"/>
    <xf numFmtId="174" fontId="21" fillId="7" borderId="0" xfId="0" applyNumberFormat="1" applyFont="1" applyFill="1"/>
    <xf numFmtId="164" fontId="5" fillId="0" borderId="5" xfId="0" applyNumberFormat="1" applyFont="1" applyBorder="1" applyAlignment="1">
      <alignment horizontal="right"/>
    </xf>
    <xf numFmtId="164" fontId="5" fillId="3" borderId="1" xfId="0" applyNumberFormat="1" applyFont="1" applyFill="1" applyBorder="1" applyAlignment="1">
      <alignment horizontal="right"/>
    </xf>
    <xf numFmtId="164" fontId="5" fillId="4" borderId="1" xfId="0" applyNumberFormat="1" applyFont="1" applyFill="1" applyBorder="1" applyAlignment="1">
      <alignment horizontal="right"/>
    </xf>
    <xf numFmtId="0" fontId="10" fillId="0" borderId="0" xfId="0" applyFont="1"/>
    <xf numFmtId="0" fontId="12" fillId="0" borderId="1" xfId="0" applyFont="1" applyBorder="1"/>
    <xf numFmtId="0" fontId="38" fillId="0" borderId="0" xfId="0" applyFont="1" applyAlignment="1">
      <alignment horizontal="center"/>
    </xf>
    <xf numFmtId="0" fontId="38" fillId="0" borderId="0" xfId="0" quotePrefix="1" applyFont="1" applyAlignment="1">
      <alignment horizontal="center"/>
    </xf>
    <xf numFmtId="168" fontId="39" fillId="0" borderId="0" xfId="0" applyNumberFormat="1" applyFont="1"/>
    <xf numFmtId="0" fontId="39" fillId="0" borderId="0" xfId="0" applyFont="1"/>
    <xf numFmtId="0" fontId="37" fillId="6" borderId="0" xfId="0" applyFont="1" applyFill="1" applyAlignment="1">
      <alignment horizontal="center"/>
    </xf>
    <xf numFmtId="0" fontId="40" fillId="0" borderId="0" xfId="0" quotePrefix="1" applyFont="1" applyAlignment="1">
      <alignment horizontal="center"/>
    </xf>
    <xf numFmtId="168" fontId="38" fillId="0" borderId="0" xfId="0" applyNumberFormat="1" applyFont="1"/>
    <xf numFmtId="164" fontId="10" fillId="0" borderId="4" xfId="0" applyNumberFormat="1" applyFont="1" applyBorder="1" applyAlignment="1">
      <alignment horizontal="right"/>
    </xf>
    <xf numFmtId="0" fontId="41" fillId="0" borderId="0" xfId="0" applyFont="1"/>
    <xf numFmtId="164" fontId="41" fillId="0" borderId="0" xfId="0" applyNumberFormat="1" applyFont="1"/>
    <xf numFmtId="174" fontId="41" fillId="0" borderId="4" xfId="0" applyNumberFormat="1" applyFont="1" applyBorder="1" applyAlignment="1">
      <alignment horizontal="right"/>
    </xf>
    <xf numFmtId="174" fontId="41" fillId="0" borderId="0" xfId="0" applyNumberFormat="1" applyFont="1" applyAlignment="1">
      <alignment horizontal="right"/>
    </xf>
    <xf numFmtId="174" fontId="41" fillId="0" borderId="4" xfId="0" applyNumberFormat="1" applyFont="1" applyBorder="1"/>
    <xf numFmtId="174" fontId="41" fillId="0" borderId="0" xfId="0" applyNumberFormat="1" applyFont="1"/>
    <xf numFmtId="164" fontId="10" fillId="3" borderId="0" xfId="0" applyNumberFormat="1" applyFont="1" applyFill="1" applyAlignment="1">
      <alignment horizontal="right"/>
    </xf>
    <xf numFmtId="164" fontId="10" fillId="3" borderId="0" xfId="0" applyNumberFormat="1" applyFont="1" applyFill="1"/>
    <xf numFmtId="174" fontId="5" fillId="7" borderId="4" xfId="0" applyNumberFormat="1" applyFont="1" applyFill="1" applyBorder="1" applyAlignment="1">
      <alignment horizontal="right"/>
    </xf>
    <xf numFmtId="174" fontId="5" fillId="7" borderId="0" xfId="0" applyNumberFormat="1" applyFont="1" applyFill="1" applyAlignment="1">
      <alignment horizontal="right"/>
    </xf>
    <xf numFmtId="174" fontId="5" fillId="7" borderId="4" xfId="0" applyNumberFormat="1" applyFont="1" applyFill="1" applyBorder="1"/>
    <xf numFmtId="174" fontId="5" fillId="7" borderId="0" xfId="0" applyNumberFormat="1" applyFont="1" applyFill="1"/>
    <xf numFmtId="174" fontId="12" fillId="7" borderId="4" xfId="0" applyNumberFormat="1" applyFont="1" applyFill="1" applyBorder="1" applyAlignment="1">
      <alignment horizontal="right"/>
    </xf>
    <xf numFmtId="174" fontId="12" fillId="7" borderId="0" xfId="0" applyNumberFormat="1" applyFont="1" applyFill="1" applyAlignment="1">
      <alignment horizontal="right"/>
    </xf>
    <xf numFmtId="174" fontId="12" fillId="7" borderId="4" xfId="0" applyNumberFormat="1" applyFont="1" applyFill="1" applyBorder="1"/>
    <xf numFmtId="174" fontId="12" fillId="7" borderId="0" xfId="0" applyNumberFormat="1" applyFont="1" applyFill="1"/>
    <xf numFmtId="0" fontId="32" fillId="0" borderId="0" xfId="0" applyFont="1"/>
    <xf numFmtId="165" fontId="32" fillId="8" borderId="4" xfId="0" applyNumberFormat="1" applyFont="1" applyFill="1" applyBorder="1" applyAlignment="1">
      <alignment horizontal="right"/>
    </xf>
    <xf numFmtId="165" fontId="32" fillId="8" borderId="0" xfId="0" applyNumberFormat="1" applyFont="1" applyFill="1" applyAlignment="1">
      <alignment horizontal="right"/>
    </xf>
    <xf numFmtId="165" fontId="32" fillId="8" borderId="4" xfId="0" applyNumberFormat="1" applyFont="1" applyFill="1" applyBorder="1" applyAlignment="1">
      <alignment horizontal="left"/>
    </xf>
    <xf numFmtId="165" fontId="32" fillId="8" borderId="0" xfId="0" applyNumberFormat="1" applyFont="1" applyFill="1" applyAlignment="1">
      <alignment horizontal="left"/>
    </xf>
    <xf numFmtId="167" fontId="32" fillId="8" borderId="4" xfId="0" applyNumberFormat="1" applyFont="1" applyFill="1" applyBorder="1" applyAlignment="1">
      <alignment horizontal="left"/>
    </xf>
    <xf numFmtId="167" fontId="32" fillId="8" borderId="0" xfId="0" applyNumberFormat="1" applyFont="1" applyFill="1" applyAlignment="1">
      <alignment horizontal="left"/>
    </xf>
    <xf numFmtId="164" fontId="32" fillId="8" borderId="0" xfId="0" applyNumberFormat="1" applyFont="1" applyFill="1" applyAlignment="1">
      <alignment horizontal="right"/>
    </xf>
    <xf numFmtId="173" fontId="4" fillId="0" borderId="4" xfId="0" applyNumberFormat="1" applyFont="1" applyBorder="1" applyAlignment="1">
      <alignment horizontal="right"/>
    </xf>
    <xf numFmtId="173" fontId="4" fillId="0" borderId="0" xfId="0" applyNumberFormat="1" applyFont="1" applyAlignment="1">
      <alignment horizontal="right"/>
    </xf>
    <xf numFmtId="175" fontId="4" fillId="0" borderId="4" xfId="0" applyNumberFormat="1" applyFont="1" applyBorder="1" applyAlignment="1">
      <alignment horizontal="right"/>
    </xf>
    <xf numFmtId="175" fontId="4" fillId="0" borderId="0" xfId="0" applyNumberFormat="1" applyFont="1" applyAlignment="1">
      <alignment horizontal="right"/>
    </xf>
    <xf numFmtId="175" fontId="4" fillId="0" borderId="4" xfId="0" applyNumberFormat="1" applyFont="1" applyBorder="1"/>
    <xf numFmtId="175" fontId="4" fillId="0" borderId="0" xfId="0" applyNumberFormat="1" applyFont="1"/>
    <xf numFmtId="176" fontId="4" fillId="0" borderId="4" xfId="0" applyNumberFormat="1" applyFont="1" applyBorder="1" applyAlignment="1">
      <alignment horizontal="right"/>
    </xf>
    <xf numFmtId="176" fontId="4" fillId="0" borderId="0" xfId="0" applyNumberFormat="1" applyFont="1" applyAlignment="1">
      <alignment horizontal="right"/>
    </xf>
    <xf numFmtId="2" fontId="19" fillId="7" borderId="0" xfId="0" applyNumberFormat="1" applyFont="1" applyFill="1" applyAlignment="1">
      <alignment horizontal="right"/>
    </xf>
    <xf numFmtId="167" fontId="21" fillId="7" borderId="4" xfId="0" applyNumberFormat="1" applyFont="1" applyFill="1" applyBorder="1" applyAlignment="1">
      <alignment horizontal="right"/>
    </xf>
    <xf numFmtId="167" fontId="21" fillId="7" borderId="0" xfId="0" applyNumberFormat="1" applyFont="1" applyFill="1" applyAlignment="1">
      <alignment horizontal="right"/>
    </xf>
    <xf numFmtId="167" fontId="21" fillId="7" borderId="4" xfId="0" applyNumberFormat="1" applyFont="1" applyFill="1" applyBorder="1"/>
    <xf numFmtId="167" fontId="21" fillId="7" borderId="0" xfId="0" applyNumberFormat="1" applyFont="1" applyFill="1"/>
    <xf numFmtId="166" fontId="21" fillId="0" borderId="11" xfId="1" applyNumberFormat="1" applyFont="1" applyFill="1" applyBorder="1" applyAlignment="1">
      <alignment horizontal="right"/>
    </xf>
    <xf numFmtId="166" fontId="21" fillId="3" borderId="10" xfId="1" applyNumberFormat="1" applyFont="1" applyFill="1" applyBorder="1" applyAlignment="1">
      <alignment horizontal="right"/>
    </xf>
    <xf numFmtId="166" fontId="21" fillId="4" borderId="10" xfId="1" applyNumberFormat="1" applyFont="1" applyFill="1" applyBorder="1" applyAlignment="1">
      <alignment horizontal="right"/>
    </xf>
    <xf numFmtId="166" fontId="20" fillId="3" borderId="10" xfId="1" applyNumberFormat="1" applyFont="1" applyFill="1" applyBorder="1" applyAlignment="1">
      <alignment horizontal="right"/>
    </xf>
    <xf numFmtId="166" fontId="20" fillId="4" borderId="10" xfId="1" applyNumberFormat="1" applyFont="1" applyFill="1" applyBorder="1" applyAlignment="1">
      <alignment horizontal="right"/>
    </xf>
    <xf numFmtId="166" fontId="21" fillId="0" borderId="11" xfId="1" applyNumberFormat="1" applyFont="1" applyFill="1" applyBorder="1"/>
    <xf numFmtId="166" fontId="21" fillId="3" borderId="10" xfId="1" applyNumberFormat="1" applyFont="1" applyFill="1" applyBorder="1"/>
    <xf numFmtId="166" fontId="21" fillId="4" borderId="10" xfId="1" applyNumberFormat="1" applyFont="1" applyFill="1" applyBorder="1"/>
    <xf numFmtId="166" fontId="33" fillId="7" borderId="14" xfId="1" applyNumberFormat="1" applyFont="1" applyFill="1" applyBorder="1" applyAlignment="1">
      <alignment horizontal="right"/>
    </xf>
    <xf numFmtId="166" fontId="33" fillId="7" borderId="15" xfId="1" applyNumberFormat="1" applyFont="1" applyFill="1" applyBorder="1" applyAlignment="1">
      <alignment horizontal="right"/>
    </xf>
    <xf numFmtId="166" fontId="33" fillId="7" borderId="14" xfId="1" applyNumberFormat="1" applyFont="1" applyFill="1" applyBorder="1"/>
    <xf numFmtId="166" fontId="33" fillId="7" borderId="15" xfId="1" applyNumberFormat="1" applyFont="1" applyFill="1" applyBorder="1"/>
    <xf numFmtId="165" fontId="12" fillId="7" borderId="0" xfId="0" applyNumberFormat="1" applyFont="1" applyFill="1"/>
    <xf numFmtId="0" fontId="0" fillId="10" borderId="0" xfId="0" applyFill="1"/>
    <xf numFmtId="164" fontId="0" fillId="10" borderId="0" xfId="0" applyNumberFormat="1" applyFill="1"/>
    <xf numFmtId="164" fontId="2" fillId="10" borderId="0" xfId="0" applyNumberFormat="1" applyFont="1" applyFill="1"/>
    <xf numFmtId="164" fontId="4" fillId="10" borderId="0" xfId="0" applyNumberFormat="1" applyFont="1" applyFill="1"/>
    <xf numFmtId="165" fontId="10" fillId="10" borderId="0" xfId="0" applyNumberFormat="1" applyFont="1" applyFill="1" applyAlignment="1">
      <alignment horizontal="right"/>
    </xf>
    <xf numFmtId="173" fontId="4" fillId="10" borderId="0" xfId="0" applyNumberFormat="1" applyFont="1" applyFill="1" applyAlignment="1">
      <alignment horizontal="right"/>
    </xf>
    <xf numFmtId="164" fontId="10" fillId="10" borderId="0" xfId="0" applyNumberFormat="1" applyFont="1" applyFill="1" applyAlignment="1">
      <alignment horizontal="right"/>
    </xf>
    <xf numFmtId="176" fontId="4" fillId="10" borderId="0" xfId="0" applyNumberFormat="1" applyFont="1" applyFill="1" applyAlignment="1">
      <alignment horizontal="right"/>
    </xf>
    <xf numFmtId="164" fontId="10" fillId="10" borderId="0" xfId="0" applyNumberFormat="1" applyFont="1" applyFill="1"/>
    <xf numFmtId="167" fontId="10" fillId="10" borderId="0" xfId="0" applyNumberFormat="1" applyFont="1" applyFill="1"/>
    <xf numFmtId="165" fontId="10" fillId="10" borderId="0" xfId="0" applyNumberFormat="1" applyFont="1" applyFill="1"/>
    <xf numFmtId="175" fontId="4" fillId="10" borderId="0" xfId="0" applyNumberFormat="1" applyFont="1" applyFill="1"/>
    <xf numFmtId="164" fontId="12" fillId="10" borderId="0" xfId="0" applyNumberFormat="1" applyFont="1" applyFill="1"/>
    <xf numFmtId="166" fontId="10" fillId="10" borderId="0" xfId="1" applyNumberFormat="1" applyFont="1" applyFill="1" applyBorder="1"/>
    <xf numFmtId="2" fontId="5" fillId="10" borderId="0" xfId="0" applyNumberFormat="1" applyFont="1" applyFill="1"/>
    <xf numFmtId="2" fontId="4" fillId="10" borderId="0" xfId="0" applyNumberFormat="1" applyFont="1" applyFill="1"/>
    <xf numFmtId="164" fontId="9" fillId="10" borderId="0" xfId="0" applyNumberFormat="1" applyFont="1" applyFill="1"/>
    <xf numFmtId="164" fontId="15" fillId="10" borderId="0" xfId="0" applyNumberFormat="1" applyFont="1" applyFill="1" applyAlignment="1">
      <alignment horizontal="right"/>
    </xf>
    <xf numFmtId="164" fontId="10" fillId="10" borderId="0" xfId="1" applyNumberFormat="1" applyFont="1" applyFill="1" applyBorder="1"/>
    <xf numFmtId="164" fontId="10" fillId="10" borderId="17" xfId="0" applyNumberFormat="1" applyFont="1" applyFill="1" applyBorder="1"/>
    <xf numFmtId="164" fontId="10" fillId="10" borderId="3" xfId="0" applyNumberFormat="1" applyFont="1" applyFill="1" applyBorder="1"/>
    <xf numFmtId="164" fontId="32" fillId="8" borderId="4" xfId="0" applyNumberFormat="1" applyFont="1" applyFill="1" applyBorder="1" applyAlignment="1">
      <alignment horizontal="right"/>
    </xf>
    <xf numFmtId="177" fontId="10" fillId="0" borderId="4" xfId="0" applyNumberFormat="1" applyFont="1" applyBorder="1" applyAlignment="1">
      <alignment horizontal="right"/>
    </xf>
    <xf numFmtId="177" fontId="10" fillId="0" borderId="0" xfId="0" applyNumberFormat="1" applyFont="1" applyAlignment="1">
      <alignment horizontal="right"/>
    </xf>
    <xf numFmtId="173" fontId="32" fillId="8" borderId="4" xfId="0" applyNumberFormat="1" applyFont="1" applyFill="1" applyBorder="1" applyAlignment="1">
      <alignment horizontal="right"/>
    </xf>
    <xf numFmtId="173" fontId="32" fillId="8" borderId="0" xfId="0" applyNumberFormat="1" applyFont="1" applyFill="1" applyAlignment="1">
      <alignment horizontal="right"/>
    </xf>
    <xf numFmtId="176" fontId="32" fillId="8" borderId="4" xfId="0" applyNumberFormat="1" applyFont="1" applyFill="1" applyBorder="1" applyAlignment="1">
      <alignment horizontal="right"/>
    </xf>
    <xf numFmtId="176" fontId="32" fillId="8" borderId="0" xfId="0" applyNumberFormat="1" applyFont="1" applyFill="1" applyAlignment="1">
      <alignment horizontal="right"/>
    </xf>
    <xf numFmtId="165" fontId="32" fillId="8" borderId="4" xfId="0" applyNumberFormat="1" applyFont="1" applyFill="1" applyBorder="1"/>
    <xf numFmtId="165" fontId="32" fillId="8" borderId="0" xfId="0" applyNumberFormat="1" applyFont="1" applyFill="1"/>
    <xf numFmtId="177" fontId="10" fillId="0" borderId="4" xfId="0" applyNumberFormat="1" applyFont="1" applyBorder="1"/>
    <xf numFmtId="177" fontId="10" fillId="0" borderId="0" xfId="0" applyNumberFormat="1" applyFont="1"/>
    <xf numFmtId="177" fontId="10" fillId="10" borderId="0" xfId="0" applyNumberFormat="1" applyFont="1" applyFill="1"/>
    <xf numFmtId="165" fontId="4" fillId="10" borderId="0" xfId="0" applyNumberFormat="1" applyFont="1" applyFill="1"/>
    <xf numFmtId="0" fontId="2" fillId="10" borderId="0" xfId="0" applyFont="1" applyFill="1"/>
    <xf numFmtId="0" fontId="42" fillId="10" borderId="0" xfId="0" applyFont="1" applyFill="1"/>
    <xf numFmtId="0" fontId="43" fillId="10" borderId="0" xfId="0" applyFont="1" applyFill="1"/>
    <xf numFmtId="0" fontId="44" fillId="10" borderId="0" xfId="0" applyFont="1" applyFill="1"/>
    <xf numFmtId="164" fontId="12" fillId="7" borderId="16" xfId="0" applyNumberFormat="1" applyFont="1" applyFill="1" applyBorder="1"/>
    <xf numFmtId="164" fontId="12" fillId="7" borderId="1" xfId="0" applyNumberFormat="1" applyFont="1" applyFill="1" applyBorder="1"/>
    <xf numFmtId="164" fontId="10" fillId="10" borderId="16" xfId="1" applyNumberFormat="1" applyFont="1" applyFill="1" applyBorder="1"/>
    <xf numFmtId="164" fontId="10" fillId="10" borderId="1" xfId="1" applyNumberFormat="1" applyFont="1" applyFill="1" applyBorder="1"/>
    <xf numFmtId="164" fontId="0" fillId="10" borderId="16" xfId="0" applyNumberFormat="1" applyFill="1" applyBorder="1"/>
    <xf numFmtId="164" fontId="0" fillId="10" borderId="1" xfId="0" applyNumberFormat="1" applyFill="1" applyBorder="1"/>
    <xf numFmtId="164" fontId="5" fillId="10" borderId="16" xfId="0" applyNumberFormat="1" applyFont="1" applyFill="1" applyBorder="1"/>
    <xf numFmtId="164" fontId="5" fillId="10" borderId="1" xfId="0" applyNumberFormat="1" applyFont="1" applyFill="1" applyBorder="1"/>
    <xf numFmtId="0" fontId="42" fillId="10" borderId="0" xfId="0" applyFont="1" applyFill="1" applyAlignment="1">
      <alignment wrapText="1"/>
    </xf>
    <xf numFmtId="164" fontId="10" fillId="10" borderId="17" xfId="0" applyNumberFormat="1" applyFont="1" applyFill="1" applyBorder="1" applyAlignment="1">
      <alignment horizontal="right"/>
    </xf>
    <xf numFmtId="164" fontId="10" fillId="10" borderId="3" xfId="0" applyNumberFormat="1" applyFont="1" applyFill="1" applyBorder="1" applyAlignment="1">
      <alignment horizontal="right"/>
    </xf>
    <xf numFmtId="164" fontId="12" fillId="10" borderId="0" xfId="0" applyNumberFormat="1" applyFont="1" applyFill="1" applyAlignment="1">
      <alignment horizontal="right"/>
    </xf>
    <xf numFmtId="167" fontId="10" fillId="10" borderId="0" xfId="0" applyNumberFormat="1" applyFont="1" applyFill="1" applyAlignment="1">
      <alignment horizontal="right"/>
    </xf>
    <xf numFmtId="164" fontId="12" fillId="11" borderId="0" xfId="0" applyNumberFormat="1" applyFont="1" applyFill="1"/>
    <xf numFmtId="164" fontId="12" fillId="10" borderId="0" xfId="1" applyNumberFormat="1" applyFont="1" applyFill="1" applyBorder="1"/>
    <xf numFmtId="164" fontId="12" fillId="7" borderId="0" xfId="1" applyNumberFormat="1" applyFont="1" applyFill="1" applyBorder="1"/>
    <xf numFmtId="164" fontId="12" fillId="10" borderId="0" xfId="1" applyNumberFormat="1" applyFont="1" applyFill="1" applyBorder="1" applyAlignment="1">
      <alignment horizontal="right"/>
    </xf>
    <xf numFmtId="166" fontId="2" fillId="10" borderId="0" xfId="1" applyNumberFormat="1" applyFont="1" applyFill="1" applyBorder="1"/>
    <xf numFmtId="177" fontId="20" fillId="0" borderId="4" xfId="0" applyNumberFormat="1" applyFont="1" applyBorder="1" applyAlignment="1">
      <alignment horizontal="right"/>
    </xf>
    <xf numFmtId="177" fontId="20" fillId="0" borderId="0" xfId="0" applyNumberFormat="1" applyFont="1" applyAlignment="1">
      <alignment horizontal="right"/>
    </xf>
    <xf numFmtId="0" fontId="20" fillId="0" borderId="0" xfId="0" applyFont="1"/>
    <xf numFmtId="164" fontId="20" fillId="0" borderId="0" xfId="0" applyNumberFormat="1" applyFont="1"/>
    <xf numFmtId="165" fontId="20" fillId="0" borderId="4" xfId="1" applyNumberFormat="1" applyFont="1" applyFill="1" applyBorder="1" applyAlignment="1">
      <alignment horizontal="right"/>
    </xf>
    <xf numFmtId="165" fontId="20" fillId="3" borderId="0" xfId="1" applyNumberFormat="1" applyFont="1" applyFill="1" applyBorder="1" applyAlignment="1">
      <alignment horizontal="right"/>
    </xf>
    <xf numFmtId="165" fontId="20" fillId="4" borderId="0" xfId="1" applyNumberFormat="1" applyFont="1" applyFill="1" applyBorder="1" applyAlignment="1">
      <alignment horizontal="right"/>
    </xf>
    <xf numFmtId="165" fontId="20" fillId="0" borderId="4" xfId="1" applyNumberFormat="1" applyFont="1" applyFill="1" applyBorder="1"/>
    <xf numFmtId="165" fontId="20" fillId="3" borderId="0" xfId="1" applyNumberFormat="1" applyFont="1" applyFill="1" applyBorder="1"/>
    <xf numFmtId="165" fontId="20" fillId="4" borderId="0" xfId="1" applyNumberFormat="1" applyFont="1" applyFill="1" applyBorder="1"/>
    <xf numFmtId="178" fontId="10" fillId="0" borderId="4" xfId="0" applyNumberFormat="1" applyFont="1" applyBorder="1"/>
    <xf numFmtId="178" fontId="12" fillId="7" borderId="4" xfId="0" applyNumberFormat="1" applyFont="1" applyFill="1" applyBorder="1"/>
    <xf numFmtId="164" fontId="17" fillId="7" borderId="0" xfId="0" applyNumberFormat="1" applyFont="1" applyFill="1"/>
    <xf numFmtId="178" fontId="12" fillId="7" borderId="0" xfId="0" applyNumberFormat="1" applyFont="1" applyFill="1"/>
    <xf numFmtId="178" fontId="5" fillId="10" borderId="0" xfId="0" applyNumberFormat="1" applyFont="1" applyFill="1"/>
    <xf numFmtId="165" fontId="10" fillId="10" borderId="17" xfId="0" applyNumberFormat="1" applyFont="1" applyFill="1" applyBorder="1"/>
    <xf numFmtId="165" fontId="10" fillId="10" borderId="3" xfId="0" applyNumberFormat="1" applyFont="1" applyFill="1" applyBorder="1"/>
    <xf numFmtId="179" fontId="10" fillId="9" borderId="4" xfId="0" applyNumberFormat="1" applyFont="1" applyFill="1" applyBorder="1" applyAlignment="1">
      <alignment horizontal="right"/>
    </xf>
    <xf numFmtId="179" fontId="15" fillId="9" borderId="0" xfId="0" applyNumberFormat="1" applyFont="1" applyFill="1" applyAlignment="1">
      <alignment horizontal="right"/>
    </xf>
    <xf numFmtId="179" fontId="10" fillId="9" borderId="4" xfId="0" applyNumberFormat="1" applyFont="1" applyFill="1" applyBorder="1"/>
    <xf numFmtId="179" fontId="4" fillId="9" borderId="0" xfId="0" applyNumberFormat="1" applyFont="1" applyFill="1"/>
    <xf numFmtId="179" fontId="10" fillId="10" borderId="0" xfId="0" applyNumberFormat="1" applyFont="1" applyFill="1"/>
    <xf numFmtId="164" fontId="10" fillId="10" borderId="16" xfId="0" applyNumberFormat="1" applyFont="1" applyFill="1" applyBorder="1"/>
    <xf numFmtId="164" fontId="10" fillId="10" borderId="1" xfId="0" applyNumberFormat="1" applyFont="1" applyFill="1" applyBorder="1"/>
    <xf numFmtId="0" fontId="47" fillId="0" borderId="0" xfId="0" applyFont="1"/>
    <xf numFmtId="0" fontId="38" fillId="0" borderId="0" xfId="0" applyFont="1" applyAlignment="1">
      <alignment wrapText="1"/>
    </xf>
    <xf numFmtId="0" fontId="10" fillId="0" borderId="0" xfId="0" applyFont="1" applyAlignment="1">
      <alignment horizontal="center"/>
    </xf>
    <xf numFmtId="0" fontId="26" fillId="10" borderId="0" xfId="0" quotePrefix="1" applyFont="1" applyFill="1" applyAlignment="1">
      <alignment horizontal="center"/>
    </xf>
    <xf numFmtId="0" fontId="2" fillId="8" borderId="0" xfId="0" applyFont="1" applyFill="1" applyAlignment="1">
      <alignment horizontal="center"/>
    </xf>
    <xf numFmtId="169" fontId="3" fillId="7" borderId="0" xfId="0" applyNumberFormat="1" applyFont="1" applyFill="1"/>
    <xf numFmtId="169" fontId="0" fillId="10" borderId="0" xfId="0" applyNumberFormat="1" applyFill="1"/>
    <xf numFmtId="169" fontId="8" fillId="10" borderId="0" xfId="0" applyNumberFormat="1" applyFont="1" applyFill="1"/>
    <xf numFmtId="169" fontId="2" fillId="8" borderId="0" xfId="0" applyNumberFormat="1" applyFont="1" applyFill="1"/>
    <xf numFmtId="169" fontId="9" fillId="10" borderId="0" xfId="0" applyNumberFormat="1" applyFont="1" applyFill="1"/>
    <xf numFmtId="169" fontId="2" fillId="5" borderId="0" xfId="0" applyNumberFormat="1" applyFont="1" applyFill="1"/>
    <xf numFmtId="169" fontId="3" fillId="7" borderId="0" xfId="0" applyNumberFormat="1" applyFont="1" applyFill="1" applyAlignment="1">
      <alignment wrapText="1"/>
    </xf>
    <xf numFmtId="169" fontId="0" fillId="10" borderId="0" xfId="0" applyNumberFormat="1" applyFill="1" applyAlignment="1">
      <alignment wrapText="1"/>
    </xf>
    <xf numFmtId="169" fontId="2" fillId="10" borderId="0" xfId="0" applyNumberFormat="1" applyFont="1" applyFill="1"/>
    <xf numFmtId="169" fontId="0" fillId="0" borderId="0" xfId="0" applyNumberFormat="1"/>
    <xf numFmtId="169" fontId="0" fillId="7" borderId="0" xfId="0" applyNumberFormat="1" applyFill="1"/>
    <xf numFmtId="164" fontId="12" fillId="10" borderId="16" xfId="0" applyNumberFormat="1" applyFont="1" applyFill="1" applyBorder="1"/>
    <xf numFmtId="164" fontId="12" fillId="10" borderId="1" xfId="0" applyNumberFormat="1" applyFont="1" applyFill="1" applyBorder="1"/>
    <xf numFmtId="166" fontId="12" fillId="10" borderId="0" xfId="1" applyNumberFormat="1" applyFont="1" applyFill="1" applyBorder="1" applyAlignment="1">
      <alignment horizontal="right"/>
    </xf>
    <xf numFmtId="166" fontId="36" fillId="7" borderId="16" xfId="0" applyNumberFormat="1" applyFont="1" applyFill="1" applyBorder="1" applyAlignment="1">
      <alignment horizontal="right"/>
    </xf>
    <xf numFmtId="166" fontId="36" fillId="7" borderId="1" xfId="0" applyNumberFormat="1" applyFont="1" applyFill="1" applyBorder="1" applyAlignment="1">
      <alignment horizontal="right"/>
    </xf>
    <xf numFmtId="166" fontId="12" fillId="10" borderId="0" xfId="1" applyNumberFormat="1" applyFont="1" applyFill="1" applyBorder="1"/>
    <xf numFmtId="166" fontId="10" fillId="10" borderId="0" xfId="1" applyNumberFormat="1" applyFont="1" applyFill="1" applyBorder="1" applyAlignment="1">
      <alignment horizontal="right"/>
    </xf>
    <xf numFmtId="166" fontId="12" fillId="10" borderId="18" xfId="1" applyNumberFormat="1" applyFont="1" applyFill="1" applyBorder="1"/>
    <xf numFmtId="166" fontId="12" fillId="10" borderId="2" xfId="1" applyNumberFormat="1" applyFont="1" applyFill="1" applyBorder="1"/>
    <xf numFmtId="166" fontId="36" fillId="7" borderId="19" xfId="1" applyNumberFormat="1" applyFont="1" applyFill="1" applyBorder="1"/>
    <xf numFmtId="166" fontId="36" fillId="7" borderId="20" xfId="1" applyNumberFormat="1" applyFont="1" applyFill="1" applyBorder="1"/>
    <xf numFmtId="170" fontId="10" fillId="10" borderId="0" xfId="0" applyNumberFormat="1" applyFont="1" applyFill="1"/>
    <xf numFmtId="173" fontId="5" fillId="0" borderId="0" xfId="0" applyNumberFormat="1" applyFont="1"/>
    <xf numFmtId="173" fontId="0" fillId="0" borderId="0" xfId="0" applyNumberFormat="1"/>
    <xf numFmtId="172" fontId="0" fillId="0" borderId="0" xfId="0" applyNumberFormat="1"/>
    <xf numFmtId="0" fontId="3" fillId="10" borderId="0" xfId="0" applyFont="1" applyFill="1" applyAlignment="1">
      <alignment horizontal="right"/>
    </xf>
    <xf numFmtId="0" fontId="5" fillId="2" borderId="21" xfId="0" applyFont="1" applyFill="1" applyBorder="1" applyAlignment="1">
      <alignment horizontal="center"/>
    </xf>
    <xf numFmtId="0" fontId="3" fillId="0" borderId="0" xfId="0" applyFont="1" applyAlignment="1">
      <alignment horizontal="center"/>
    </xf>
    <xf numFmtId="3" fontId="10" fillId="10" borderId="0" xfId="0" applyNumberFormat="1" applyFont="1" applyFill="1" applyAlignment="1">
      <alignment horizontal="right"/>
    </xf>
    <xf numFmtId="3" fontId="10" fillId="0" borderId="4" xfId="0" applyNumberFormat="1" applyFont="1" applyBorder="1" applyAlignment="1">
      <alignment horizontal="right"/>
    </xf>
    <xf numFmtId="0" fontId="48" fillId="5" borderId="0" xfId="0" applyFont="1" applyFill="1"/>
    <xf numFmtId="0" fontId="3" fillId="7" borderId="0" xfId="0" applyFont="1" applyFill="1"/>
    <xf numFmtId="10" fontId="3" fillId="7" borderId="0" xfId="0" applyNumberFormat="1" applyFont="1" applyFill="1"/>
    <xf numFmtId="10" fontId="0" fillId="0" borderId="0" xfId="0" applyNumberFormat="1"/>
    <xf numFmtId="2" fontId="0" fillId="0" borderId="0" xfId="0" applyNumberFormat="1"/>
    <xf numFmtId="171" fontId="0" fillId="0" borderId="0" xfId="0" applyNumberFormat="1"/>
    <xf numFmtId="180" fontId="3" fillId="7" borderId="0" xfId="0" applyNumberFormat="1" applyFont="1" applyFill="1"/>
    <xf numFmtId="10" fontId="3" fillId="0" borderId="0" xfId="0" applyNumberFormat="1" applyFont="1"/>
    <xf numFmtId="3" fontId="0" fillId="0" borderId="0" xfId="0" applyNumberFormat="1"/>
    <xf numFmtId="3" fontId="3" fillId="2" borderId="0" xfId="0" applyNumberFormat="1" applyFont="1" applyFill="1"/>
    <xf numFmtId="0" fontId="49" fillId="0" borderId="0" xfId="0" applyFont="1"/>
    <xf numFmtId="164" fontId="3" fillId="7" borderId="1" xfId="0" applyNumberFormat="1" applyFont="1" applyFill="1" applyBorder="1"/>
    <xf numFmtId="164" fontId="0" fillId="7" borderId="1" xfId="0" applyNumberFormat="1" applyFill="1" applyBorder="1"/>
    <xf numFmtId="0" fontId="2" fillId="5" borderId="4" xfId="0" applyFont="1" applyFill="1" applyBorder="1" applyAlignment="1">
      <alignment horizontal="right"/>
    </xf>
    <xf numFmtId="164" fontId="2" fillId="5" borderId="0" xfId="0" applyNumberFormat="1" applyFont="1" applyFill="1" applyAlignment="1">
      <alignment horizontal="right"/>
    </xf>
    <xf numFmtId="173" fontId="5" fillId="0" borderId="4" xfId="0" applyNumberFormat="1" applyFont="1" applyBorder="1"/>
    <xf numFmtId="173" fontId="4" fillId="0" borderId="4" xfId="0" applyNumberFormat="1" applyFont="1" applyBorder="1"/>
    <xf numFmtId="171" fontId="4" fillId="0" borderId="4" xfId="0" applyNumberFormat="1" applyFont="1" applyBorder="1"/>
    <xf numFmtId="165" fontId="12" fillId="10" borderId="0" xfId="0" applyNumberFormat="1" applyFont="1" applyFill="1" applyAlignment="1">
      <alignment horizontal="right"/>
    </xf>
    <xf numFmtId="173" fontId="10" fillId="10" borderId="0" xfId="0" applyNumberFormat="1" applyFont="1" applyFill="1" applyAlignment="1">
      <alignment horizontal="right"/>
    </xf>
    <xf numFmtId="164" fontId="12" fillId="10" borderId="16" xfId="1" applyNumberFormat="1" applyFont="1" applyFill="1" applyBorder="1"/>
    <xf numFmtId="164" fontId="12" fillId="10" borderId="1" xfId="1" applyNumberFormat="1" applyFont="1" applyFill="1" applyBorder="1"/>
    <xf numFmtId="173" fontId="10" fillId="10" borderId="0" xfId="0" applyNumberFormat="1" applyFont="1" applyFill="1"/>
    <xf numFmtId="171" fontId="10" fillId="10" borderId="0" xfId="0" applyNumberFormat="1" applyFont="1" applyFill="1"/>
    <xf numFmtId="172" fontId="12" fillId="7" borderId="0" xfId="0" applyNumberFormat="1" applyFont="1" applyFill="1"/>
    <xf numFmtId="173" fontId="5" fillId="10" borderId="0" xfId="0" applyNumberFormat="1" applyFont="1" applyFill="1"/>
    <xf numFmtId="165" fontId="16" fillId="3" borderId="0" xfId="0" applyNumberFormat="1" applyFont="1" applyFill="1"/>
    <xf numFmtId="165" fontId="16" fillId="4" borderId="0" xfId="0" applyNumberFormat="1" applyFont="1" applyFill="1"/>
    <xf numFmtId="177" fontId="16" fillId="3" borderId="0" xfId="0" applyNumberFormat="1" applyFont="1" applyFill="1"/>
    <xf numFmtId="177" fontId="16" fillId="4" borderId="0" xfId="0" applyNumberFormat="1" applyFont="1" applyFill="1"/>
    <xf numFmtId="177" fontId="0" fillId="0" borderId="4" xfId="0" applyNumberFormat="1" applyBorder="1"/>
    <xf numFmtId="177" fontId="0" fillId="3" borderId="0" xfId="0" applyNumberFormat="1" applyFill="1"/>
    <xf numFmtId="177" fontId="0" fillId="4" borderId="0" xfId="0" applyNumberFormat="1" applyFill="1"/>
    <xf numFmtId="177" fontId="0" fillId="10" borderId="0" xfId="0" applyNumberFormat="1" applyFill="1"/>
    <xf numFmtId="177" fontId="10" fillId="10" borderId="0" xfId="1" applyNumberFormat="1" applyFont="1" applyFill="1" applyBorder="1"/>
    <xf numFmtId="177" fontId="29" fillId="0" borderId="4" xfId="0" applyNumberFormat="1" applyFont="1" applyBorder="1"/>
    <xf numFmtId="177" fontId="10" fillId="10" borderId="0" xfId="2" applyNumberFormat="1" applyFont="1" applyFill="1" applyBorder="1"/>
    <xf numFmtId="166" fontId="36" fillId="12" borderId="18" xfId="1" applyNumberFormat="1" applyFont="1" applyFill="1" applyBorder="1"/>
    <xf numFmtId="166" fontId="36" fillId="12" borderId="2" xfId="1" applyNumberFormat="1" applyFont="1" applyFill="1" applyBorder="1"/>
    <xf numFmtId="164" fontId="36" fillId="7" borderId="15" xfId="0" applyNumberFormat="1" applyFont="1" applyFill="1" applyBorder="1"/>
    <xf numFmtId="166" fontId="36" fillId="12" borderId="1" xfId="1" applyNumberFormat="1" applyFont="1" applyFill="1" applyBorder="1"/>
    <xf numFmtId="164" fontId="36" fillId="7" borderId="20" xfId="0" applyNumberFormat="1" applyFont="1" applyFill="1" applyBorder="1"/>
    <xf numFmtId="177" fontId="2" fillId="5" borderId="4" xfId="0" applyNumberFormat="1" applyFont="1" applyFill="1" applyBorder="1"/>
    <xf numFmtId="177" fontId="2" fillId="5" borderId="0" xfId="0" applyNumberFormat="1" applyFont="1" applyFill="1"/>
    <xf numFmtId="177" fontId="2" fillId="5" borderId="0" xfId="1" applyNumberFormat="1" applyFont="1" applyFill="1" applyBorder="1"/>
    <xf numFmtId="177" fontId="32" fillId="8" borderId="4" xfId="0" applyNumberFormat="1" applyFont="1" applyFill="1" applyBorder="1"/>
    <xf numFmtId="177" fontId="32" fillId="8" borderId="0" xfId="0" applyNumberFormat="1" applyFont="1" applyFill="1"/>
    <xf numFmtId="177" fontId="32" fillId="8" borderId="0" xfId="1" applyNumberFormat="1" applyFont="1" applyFill="1" applyBorder="1"/>
    <xf numFmtId="164" fontId="3" fillId="7" borderId="4" xfId="0" applyNumberFormat="1" applyFont="1" applyFill="1" applyBorder="1"/>
    <xf numFmtId="181" fontId="7" fillId="7" borderId="14" xfId="0" applyNumberFormat="1" applyFont="1" applyFill="1" applyBorder="1"/>
    <xf numFmtId="181" fontId="7" fillId="7" borderId="15" xfId="0" applyNumberFormat="1" applyFont="1" applyFill="1" applyBorder="1"/>
    <xf numFmtId="181" fontId="36" fillId="7" borderId="19" xfId="0" applyNumberFormat="1" applyFont="1" applyFill="1" applyBorder="1"/>
    <xf numFmtId="181" fontId="36" fillId="7" borderId="20" xfId="0" applyNumberFormat="1" applyFont="1" applyFill="1" applyBorder="1"/>
    <xf numFmtId="182" fontId="7" fillId="7" borderId="14" xfId="0" applyNumberFormat="1" applyFont="1" applyFill="1" applyBorder="1"/>
    <xf numFmtId="182" fontId="7" fillId="7" borderId="15" xfId="0" applyNumberFormat="1" applyFont="1" applyFill="1" applyBorder="1"/>
    <xf numFmtId="182" fontId="36" fillId="7" borderId="19" xfId="0" applyNumberFormat="1" applyFont="1" applyFill="1" applyBorder="1"/>
    <xf numFmtId="182" fontId="36" fillId="7" borderId="20" xfId="0" applyNumberFormat="1" applyFont="1" applyFill="1" applyBorder="1"/>
    <xf numFmtId="0" fontId="50" fillId="0" borderId="0" xfId="0" applyFont="1"/>
    <xf numFmtId="0" fontId="51" fillId="0" borderId="0" xfId="0" applyFont="1"/>
    <xf numFmtId="0" fontId="54" fillId="0" borderId="0" xfId="0" applyFont="1"/>
    <xf numFmtId="0" fontId="55" fillId="0" borderId="0" xfId="0" applyFont="1"/>
    <xf numFmtId="0" fontId="56" fillId="0" borderId="0" xfId="0" applyFont="1"/>
    <xf numFmtId="0" fontId="0" fillId="5" borderId="0" xfId="0" applyFill="1"/>
    <xf numFmtId="0" fontId="2" fillId="5" borderId="0" xfId="0" applyFont="1" applyFill="1" applyAlignment="1">
      <alignment horizontal="right"/>
    </xf>
    <xf numFmtId="165" fontId="0" fillId="0" borderId="0" xfId="0" applyNumberFormat="1"/>
    <xf numFmtId="0" fontId="12" fillId="7" borderId="0" xfId="0" applyFont="1" applyFill="1"/>
    <xf numFmtId="0" fontId="0" fillId="7" borderId="0" xfId="0" applyFill="1"/>
    <xf numFmtId="182" fontId="12" fillId="7" borderId="0" xfId="0" applyNumberFormat="1" applyFont="1" applyFill="1" applyAlignment="1">
      <alignment horizontal="right"/>
    </xf>
    <xf numFmtId="172" fontId="10" fillId="10" borderId="0" xfId="0" applyNumberFormat="1" applyFont="1" applyFill="1"/>
    <xf numFmtId="0" fontId="57" fillId="0" borderId="0" xfId="0" applyFont="1"/>
    <xf numFmtId="0" fontId="2" fillId="5" borderId="22" xfId="0" applyFont="1" applyFill="1" applyBorder="1" applyAlignment="1">
      <alignment horizontal="right"/>
    </xf>
    <xf numFmtId="0" fontId="58" fillId="7" borderId="23" xfId="0" applyFont="1" applyFill="1" applyBorder="1" applyAlignment="1">
      <alignment horizontal="center"/>
    </xf>
    <xf numFmtId="0" fontId="2" fillId="5" borderId="24" xfId="0" applyFont="1" applyFill="1" applyBorder="1" applyAlignment="1">
      <alignment horizontal="right"/>
    </xf>
    <xf numFmtId="0" fontId="2" fillId="5" borderId="25" xfId="0" applyFont="1" applyFill="1" applyBorder="1" applyAlignment="1">
      <alignment horizontal="right"/>
    </xf>
    <xf numFmtId="4" fontId="5" fillId="10" borderId="26" xfId="0" applyNumberFormat="1" applyFont="1" applyFill="1" applyBorder="1" applyAlignment="1">
      <alignment horizontal="center"/>
    </xf>
    <xf numFmtId="14" fontId="16" fillId="13" borderId="27" xfId="0" applyNumberFormat="1" applyFont="1" applyFill="1" applyBorder="1" applyAlignment="1">
      <alignment horizontal="center"/>
    </xf>
    <xf numFmtId="0" fontId="32" fillId="5" borderId="28" xfId="0" applyFont="1" applyFill="1" applyBorder="1" applyAlignment="1">
      <alignment horizontal="right"/>
    </xf>
    <xf numFmtId="0" fontId="32" fillId="8" borderId="28" xfId="0" applyFont="1" applyFill="1" applyBorder="1" applyAlignment="1">
      <alignment horizontal="right"/>
    </xf>
    <xf numFmtId="165" fontId="16" fillId="16" borderId="0" xfId="0" applyNumberFormat="1" applyFont="1" applyFill="1"/>
    <xf numFmtId="167" fontId="16" fillId="10" borderId="29" xfId="0" applyNumberFormat="1" applyFont="1" applyFill="1" applyBorder="1"/>
    <xf numFmtId="0" fontId="0" fillId="0" borderId="29" xfId="0" applyBorder="1"/>
    <xf numFmtId="165" fontId="16" fillId="10" borderId="29" xfId="0" applyNumberFormat="1" applyFont="1" applyFill="1" applyBorder="1"/>
    <xf numFmtId="165" fontId="16" fillId="16" borderId="29" xfId="0" applyNumberFormat="1" applyFont="1" applyFill="1" applyBorder="1"/>
    <xf numFmtId="164" fontId="53" fillId="10" borderId="29" xfId="0" applyNumberFormat="1" applyFont="1" applyFill="1" applyBorder="1"/>
    <xf numFmtId="170" fontId="10" fillId="10" borderId="29" xfId="0" applyNumberFormat="1" applyFont="1" applyFill="1" applyBorder="1"/>
    <xf numFmtId="0" fontId="0" fillId="10" borderId="30" xfId="0" applyFill="1" applyBorder="1"/>
    <xf numFmtId="182" fontId="5" fillId="17" borderId="30" xfId="0" applyNumberFormat="1" applyFont="1" applyFill="1" applyBorder="1" applyAlignment="1">
      <alignment horizontal="right"/>
    </xf>
    <xf numFmtId="0" fontId="58" fillId="7" borderId="28" xfId="0" applyFont="1" applyFill="1" applyBorder="1"/>
    <xf numFmtId="165" fontId="58" fillId="7" borderId="28" xfId="0" applyNumberFormat="1" applyFont="1" applyFill="1" applyBorder="1" applyAlignment="1">
      <alignment horizontal="right"/>
    </xf>
    <xf numFmtId="164" fontId="53" fillId="10" borderId="0" xfId="0" applyNumberFormat="1" applyFont="1" applyFill="1"/>
    <xf numFmtId="167" fontId="16" fillId="10" borderId="0" xfId="0" applyNumberFormat="1" applyFont="1" applyFill="1"/>
    <xf numFmtId="174" fontId="53" fillId="10" borderId="0" xfId="0" applyNumberFormat="1" applyFont="1" applyFill="1"/>
    <xf numFmtId="165" fontId="16" fillId="10" borderId="0" xfId="0" applyNumberFormat="1" applyFont="1" applyFill="1"/>
    <xf numFmtId="167" fontId="53" fillId="10" borderId="0" xfId="0" applyNumberFormat="1" applyFont="1" applyFill="1"/>
    <xf numFmtId="0" fontId="0" fillId="0" borderId="33" xfId="0" applyBorder="1"/>
    <xf numFmtId="0" fontId="58" fillId="0" borderId="33" xfId="0" applyFont="1" applyBorder="1"/>
    <xf numFmtId="0" fontId="58" fillId="0" borderId="31" xfId="0" applyFont="1" applyBorder="1"/>
    <xf numFmtId="0" fontId="2" fillId="5" borderId="33" xfId="0" applyFont="1" applyFill="1" applyBorder="1" applyAlignment="1">
      <alignment horizontal="left"/>
    </xf>
    <xf numFmtId="0" fontId="58" fillId="7" borderId="32" xfId="0" applyFont="1" applyFill="1" applyBorder="1"/>
    <xf numFmtId="0" fontId="32" fillId="8" borderId="35" xfId="0" applyFont="1" applyFill="1" applyBorder="1" applyAlignment="1">
      <alignment horizontal="right"/>
    </xf>
    <xf numFmtId="0" fontId="0" fillId="0" borderId="36" xfId="0" applyBorder="1"/>
    <xf numFmtId="0" fontId="0" fillId="0" borderId="37" xfId="0" applyBorder="1"/>
    <xf numFmtId="165" fontId="16" fillId="16" borderId="37" xfId="0" applyNumberFormat="1" applyFont="1" applyFill="1" applyBorder="1"/>
    <xf numFmtId="0" fontId="0" fillId="10" borderId="38" xfId="0" applyFill="1" applyBorder="1"/>
    <xf numFmtId="0" fontId="2" fillId="5" borderId="36" xfId="0" applyFont="1" applyFill="1" applyBorder="1" applyAlignment="1">
      <alignment horizontal="right"/>
    </xf>
    <xf numFmtId="0" fontId="0" fillId="3" borderId="36" xfId="0" applyFill="1" applyBorder="1"/>
    <xf numFmtId="0" fontId="58" fillId="7" borderId="35" xfId="0" applyFont="1" applyFill="1" applyBorder="1"/>
    <xf numFmtId="165" fontId="16" fillId="16" borderId="36" xfId="0" applyNumberFormat="1" applyFont="1" applyFill="1" applyBorder="1"/>
    <xf numFmtId="0" fontId="58" fillId="0" borderId="32" xfId="0" applyFont="1" applyBorder="1"/>
    <xf numFmtId="167" fontId="53" fillId="10" borderId="28" xfId="0" applyNumberFormat="1" applyFont="1" applyFill="1" applyBorder="1"/>
    <xf numFmtId="0" fontId="32" fillId="5" borderId="32" xfId="0" quotePrefix="1" applyFont="1" applyFill="1" applyBorder="1" applyAlignment="1">
      <alignment horizontal="right"/>
    </xf>
    <xf numFmtId="167" fontId="3" fillId="15" borderId="33" xfId="0" applyNumberFormat="1" applyFont="1" applyFill="1" applyBorder="1"/>
    <xf numFmtId="167" fontId="0" fillId="0" borderId="31" xfId="0" applyNumberFormat="1" applyBorder="1"/>
    <xf numFmtId="167" fontId="0" fillId="0" borderId="33" xfId="0" applyNumberFormat="1" applyBorder="1"/>
    <xf numFmtId="167" fontId="3" fillId="15" borderId="31" xfId="0" applyNumberFormat="1" applyFont="1" applyFill="1" applyBorder="1"/>
    <xf numFmtId="167" fontId="0" fillId="10" borderId="34" xfId="0" applyNumberFormat="1" applyFill="1" applyBorder="1"/>
    <xf numFmtId="167" fontId="2" fillId="5" borderId="33" xfId="0" applyNumberFormat="1" applyFont="1" applyFill="1" applyBorder="1" applyAlignment="1">
      <alignment horizontal="right"/>
    </xf>
    <xf numFmtId="167" fontId="0" fillId="3" borderId="33" xfId="0" applyNumberFormat="1" applyFill="1" applyBorder="1"/>
    <xf numFmtId="167" fontId="58" fillId="7" borderId="32" xfId="0" applyNumberFormat="1" applyFont="1" applyFill="1" applyBorder="1"/>
    <xf numFmtId="0" fontId="0" fillId="0" borderId="31" xfId="0" applyBorder="1"/>
    <xf numFmtId="0" fontId="32" fillId="8" borderId="32" xfId="0" applyFont="1" applyFill="1" applyBorder="1" applyAlignment="1">
      <alignment horizontal="right"/>
    </xf>
    <xf numFmtId="165" fontId="16" fillId="16" borderId="31" xfId="0" applyNumberFormat="1" applyFont="1" applyFill="1" applyBorder="1"/>
    <xf numFmtId="0" fontId="0" fillId="10" borderId="34" xfId="0" applyFill="1" applyBorder="1"/>
    <xf numFmtId="0" fontId="2" fillId="5" borderId="33" xfId="0" applyFont="1" applyFill="1" applyBorder="1" applyAlignment="1">
      <alignment horizontal="right"/>
    </xf>
    <xf numFmtId="0" fontId="0" fillId="3" borderId="33" xfId="0" applyFill="1" applyBorder="1"/>
    <xf numFmtId="165" fontId="16" fillId="16" borderId="33" xfId="0" applyNumberFormat="1" applyFont="1" applyFill="1" applyBorder="1"/>
    <xf numFmtId="0" fontId="32" fillId="5" borderId="39" xfId="0" applyFont="1" applyFill="1" applyBorder="1" applyAlignment="1">
      <alignment horizontal="right"/>
    </xf>
    <xf numFmtId="0" fontId="0" fillId="0" borderId="40" xfId="0" applyBorder="1"/>
    <xf numFmtId="164" fontId="53" fillId="14" borderId="40" xfId="0" applyNumberFormat="1" applyFont="1" applyFill="1" applyBorder="1"/>
    <xf numFmtId="165" fontId="16" fillId="14" borderId="41" xfId="0" applyNumberFormat="1" applyFont="1" applyFill="1" applyBorder="1"/>
    <xf numFmtId="0" fontId="0" fillId="14" borderId="40" xfId="0" applyFill="1" applyBorder="1"/>
    <xf numFmtId="164" fontId="53" fillId="14" borderId="41" xfId="0" applyNumberFormat="1" applyFont="1" applyFill="1" applyBorder="1"/>
    <xf numFmtId="174" fontId="53" fillId="14" borderId="40" xfId="0" applyNumberFormat="1" applyFont="1" applyFill="1" applyBorder="1"/>
    <xf numFmtId="0" fontId="0" fillId="14" borderId="41" xfId="0" applyFill="1" applyBorder="1"/>
    <xf numFmtId="0" fontId="0" fillId="10" borderId="42" xfId="0" applyFill="1" applyBorder="1"/>
    <xf numFmtId="0" fontId="2" fillId="5" borderId="40" xfId="0" applyFont="1" applyFill="1" applyBorder="1" applyAlignment="1">
      <alignment horizontal="right"/>
    </xf>
    <xf numFmtId="0" fontId="0" fillId="3" borderId="40" xfId="0" applyFill="1" applyBorder="1"/>
    <xf numFmtId="0" fontId="58" fillId="7" borderId="39" xfId="0" applyFont="1" applyFill="1" applyBorder="1"/>
    <xf numFmtId="165" fontId="16" fillId="14" borderId="40" xfId="0" applyNumberFormat="1" applyFont="1" applyFill="1" applyBorder="1"/>
    <xf numFmtId="174" fontId="16" fillId="14" borderId="41" xfId="0" applyNumberFormat="1" applyFont="1" applyFill="1" applyBorder="1"/>
    <xf numFmtId="170" fontId="10" fillId="14" borderId="41" xfId="0" applyNumberFormat="1" applyFont="1" applyFill="1" applyBorder="1"/>
    <xf numFmtId="167" fontId="53" fillId="14" borderId="40" xfId="0" applyNumberFormat="1" applyFont="1" applyFill="1" applyBorder="1"/>
    <xf numFmtId="167" fontId="53" fillId="14" borderId="39" xfId="0" applyNumberFormat="1" applyFont="1" applyFill="1" applyBorder="1"/>
    <xf numFmtId="0" fontId="32" fillId="5" borderId="32" xfId="0" applyFont="1" applyFill="1" applyBorder="1" applyAlignment="1">
      <alignment horizontal="right"/>
    </xf>
    <xf numFmtId="164" fontId="53" fillId="10" borderId="33" xfId="0" applyNumberFormat="1" applyFont="1" applyFill="1" applyBorder="1"/>
    <xf numFmtId="167" fontId="16" fillId="10" borderId="31" xfId="0" applyNumberFormat="1" applyFont="1" applyFill="1" applyBorder="1"/>
    <xf numFmtId="165" fontId="16" fillId="10" borderId="31" xfId="0" applyNumberFormat="1" applyFont="1" applyFill="1" applyBorder="1"/>
    <xf numFmtId="167" fontId="16" fillId="10" borderId="33" xfId="0" applyNumberFormat="1" applyFont="1" applyFill="1" applyBorder="1"/>
    <xf numFmtId="164" fontId="53" fillId="10" borderId="31" xfId="0" applyNumberFormat="1" applyFont="1" applyFill="1" applyBorder="1"/>
    <xf numFmtId="174" fontId="53" fillId="10" borderId="33" xfId="0" applyNumberFormat="1" applyFont="1" applyFill="1" applyBorder="1"/>
    <xf numFmtId="165" fontId="16" fillId="10" borderId="33" xfId="0" applyNumberFormat="1" applyFont="1" applyFill="1" applyBorder="1"/>
    <xf numFmtId="174" fontId="16" fillId="10" borderId="31" xfId="0" applyNumberFormat="1" applyFont="1" applyFill="1" applyBorder="1"/>
    <xf numFmtId="170" fontId="10" fillId="10" borderId="31" xfId="0" applyNumberFormat="1" applyFont="1" applyFill="1" applyBorder="1"/>
    <xf numFmtId="167" fontId="53" fillId="10" borderId="33" xfId="0" applyNumberFormat="1" applyFont="1" applyFill="1" applyBorder="1"/>
    <xf numFmtId="167" fontId="53" fillId="10" borderId="32" xfId="0" applyNumberFormat="1" applyFont="1" applyFill="1" applyBorder="1"/>
    <xf numFmtId="167" fontId="0" fillId="16" borderId="33" xfId="0" applyNumberFormat="1" applyFill="1" applyBorder="1"/>
    <xf numFmtId="167" fontId="0" fillId="16" borderId="0" xfId="0" applyNumberFormat="1" applyFill="1"/>
    <xf numFmtId="167" fontId="0" fillId="16" borderId="36" xfId="0" applyNumberFormat="1" applyFill="1" applyBorder="1"/>
    <xf numFmtId="167" fontId="0" fillId="16" borderId="32" xfId="0" applyNumberFormat="1" applyFill="1" applyBorder="1"/>
    <xf numFmtId="167" fontId="0" fillId="16" borderId="28" xfId="0" applyNumberFormat="1" applyFill="1" applyBorder="1"/>
    <xf numFmtId="167" fontId="0" fillId="16" borderId="35" xfId="0" applyNumberFormat="1" applyFill="1" applyBorder="1"/>
    <xf numFmtId="167" fontId="12" fillId="0" borderId="33" xfId="0" applyNumberFormat="1" applyFont="1" applyBorder="1"/>
    <xf numFmtId="167" fontId="12" fillId="0" borderId="32" xfId="0" applyNumberFormat="1" applyFont="1" applyBorder="1"/>
    <xf numFmtId="167" fontId="10" fillId="3" borderId="0" xfId="0" applyNumberFormat="1" applyFont="1" applyFill="1" applyAlignment="1">
      <alignment horizontal="right"/>
    </xf>
    <xf numFmtId="167" fontId="58" fillId="7" borderId="28" xfId="0" applyNumberFormat="1" applyFont="1" applyFill="1" applyBorder="1" applyAlignment="1">
      <alignment horizontal="right"/>
    </xf>
    <xf numFmtId="0" fontId="59" fillId="5" borderId="32" xfId="0" applyFont="1" applyFill="1" applyBorder="1" applyAlignment="1">
      <alignment horizontal="left"/>
    </xf>
    <xf numFmtId="0" fontId="16" fillId="0" borderId="31" xfId="0" applyFont="1" applyBorder="1"/>
    <xf numFmtId="0" fontId="16" fillId="0" borderId="33" xfId="0" applyFont="1" applyBorder="1"/>
    <xf numFmtId="0" fontId="16" fillId="10" borderId="34" xfId="0" applyFont="1" applyFill="1" applyBorder="1"/>
    <xf numFmtId="0" fontId="16" fillId="3" borderId="33" xfId="0" applyFont="1" applyFill="1" applyBorder="1"/>
    <xf numFmtId="174" fontId="16" fillId="14" borderId="40" xfId="0" applyNumberFormat="1" applyFont="1" applyFill="1" applyBorder="1"/>
    <xf numFmtId="174" fontId="16" fillId="10" borderId="33" xfId="0" applyNumberFormat="1" applyFont="1" applyFill="1" applyBorder="1"/>
    <xf numFmtId="174" fontId="16" fillId="10" borderId="0" xfId="0" applyNumberFormat="1" applyFont="1" applyFill="1"/>
    <xf numFmtId="165" fontId="10" fillId="10" borderId="29" xfId="0" applyNumberFormat="1" applyFont="1" applyFill="1" applyBorder="1" applyAlignment="1">
      <alignment horizontal="right"/>
    </xf>
    <xf numFmtId="14" fontId="5" fillId="0" borderId="0" xfId="0" applyNumberFormat="1" applyFont="1" applyAlignment="1">
      <alignment horizontal="center"/>
    </xf>
    <xf numFmtId="183" fontId="0" fillId="0" borderId="0" xfId="0" applyNumberFormat="1"/>
    <xf numFmtId="10" fontId="52" fillId="0" borderId="0" xfId="0" applyNumberFormat="1" applyFont="1" applyAlignment="1">
      <alignment horizontal="center"/>
    </xf>
    <xf numFmtId="10" fontId="4" fillId="10" borderId="0" xfId="0" applyNumberFormat="1" applyFont="1" applyFill="1" applyAlignment="1">
      <alignment horizontal="center"/>
    </xf>
    <xf numFmtId="1" fontId="4" fillId="10" borderId="0" xfId="0" applyNumberFormat="1" applyFont="1" applyFill="1" applyAlignment="1">
      <alignment horizontal="center"/>
    </xf>
    <xf numFmtId="170" fontId="0" fillId="0" borderId="0" xfId="0" applyNumberFormat="1" applyAlignment="1">
      <alignment horizontal="center"/>
    </xf>
    <xf numFmtId="171" fontId="0" fillId="0" borderId="0" xfId="0" applyNumberFormat="1" applyAlignment="1">
      <alignment horizontal="center"/>
    </xf>
    <xf numFmtId="2" fontId="0" fillId="0" borderId="0" xfId="0" applyNumberFormat="1" applyAlignment="1">
      <alignment horizontal="center"/>
    </xf>
    <xf numFmtId="164" fontId="52" fillId="0" borderId="0" xfId="0" applyNumberFormat="1" applyFont="1" applyAlignment="1">
      <alignment horizontal="right"/>
    </xf>
    <xf numFmtId="171" fontId="52" fillId="0" borderId="0" xfId="0" applyNumberFormat="1" applyFont="1" applyAlignment="1">
      <alignment horizontal="right"/>
    </xf>
    <xf numFmtId="164" fontId="3" fillId="0" borderId="0" xfId="0" applyNumberFormat="1" applyFont="1" applyAlignment="1">
      <alignment horizontal="right"/>
    </xf>
    <xf numFmtId="3" fontId="52" fillId="0" borderId="0" xfId="0" applyNumberFormat="1" applyFont="1" applyAlignment="1">
      <alignment horizontal="right"/>
    </xf>
    <xf numFmtId="4" fontId="2" fillId="5" borderId="0" xfId="0" applyNumberFormat="1" applyFont="1" applyFill="1" applyAlignment="1">
      <alignment horizontal="right"/>
    </xf>
    <xf numFmtId="4" fontId="52" fillId="0" borderId="0" xfId="0" applyNumberFormat="1" applyFont="1" applyAlignment="1">
      <alignment horizontal="right"/>
    </xf>
    <xf numFmtId="165" fontId="3" fillId="0" borderId="0" xfId="0" applyNumberFormat="1" applyFont="1" applyAlignment="1">
      <alignment horizontal="right"/>
    </xf>
    <xf numFmtId="164" fontId="0" fillId="0" borderId="0" xfId="0" applyNumberFormat="1" applyAlignment="1">
      <alignment horizontal="right"/>
    </xf>
    <xf numFmtId="170" fontId="3" fillId="0" borderId="0" xfId="0" applyNumberFormat="1" applyFont="1" applyAlignment="1">
      <alignment horizontal="right"/>
    </xf>
    <xf numFmtId="165" fontId="56" fillId="0" borderId="0" xfId="0" applyNumberFormat="1" applyFont="1" applyAlignment="1">
      <alignment horizontal="right"/>
    </xf>
    <xf numFmtId="182" fontId="2" fillId="5" borderId="0" xfId="0" applyNumberFormat="1" applyFont="1" applyFill="1" applyAlignment="1">
      <alignment horizontal="center"/>
    </xf>
    <xf numFmtId="182" fontId="2" fillId="5" borderId="0" xfId="0" applyNumberFormat="1" applyFont="1" applyFill="1" applyAlignment="1">
      <alignment horizontal="right"/>
    </xf>
    <xf numFmtId="182" fontId="0" fillId="0" borderId="0" xfId="0" applyNumberFormat="1" applyAlignment="1">
      <alignment horizontal="right"/>
    </xf>
    <xf numFmtId="171" fontId="4" fillId="0" borderId="0" xfId="0" applyNumberFormat="1" applyFont="1"/>
    <xf numFmtId="164" fontId="13" fillId="0" borderId="0" xfId="0" applyNumberFormat="1" applyFont="1" applyAlignment="1">
      <alignment horizontal="right"/>
    </xf>
    <xf numFmtId="164" fontId="12" fillId="0" borderId="0" xfId="0" applyNumberFormat="1" applyFont="1" applyAlignment="1">
      <alignment horizontal="right"/>
    </xf>
    <xf numFmtId="0" fontId="60" fillId="0" borderId="0" xfId="0" applyFont="1"/>
    <xf numFmtId="185" fontId="10" fillId="0" borderId="0" xfId="0" applyNumberFormat="1" applyFont="1" applyAlignment="1">
      <alignment horizontal="right"/>
    </xf>
    <xf numFmtId="0" fontId="18" fillId="19" borderId="0" xfId="0" applyFont="1" applyFill="1"/>
    <xf numFmtId="172" fontId="10" fillId="0" borderId="0" xfId="0" applyNumberFormat="1" applyFont="1" applyAlignment="1">
      <alignment horizontal="right"/>
    </xf>
    <xf numFmtId="9" fontId="10" fillId="0" borderId="0" xfId="2" applyFont="1" applyAlignment="1">
      <alignment horizontal="right"/>
    </xf>
    <xf numFmtId="9" fontId="32" fillId="8" borderId="0" xfId="2" applyFont="1" applyFill="1" applyAlignment="1">
      <alignment horizontal="left"/>
    </xf>
    <xf numFmtId="9" fontId="12" fillId="0" borderId="0" xfId="2" applyFont="1" applyAlignment="1">
      <alignment horizontal="right"/>
    </xf>
    <xf numFmtId="9" fontId="12" fillId="7" borderId="0" xfId="2" applyFont="1" applyFill="1" applyAlignment="1">
      <alignment horizontal="right"/>
    </xf>
    <xf numFmtId="9" fontId="2" fillId="5" borderId="0" xfId="2" applyFont="1" applyFill="1" applyAlignment="1">
      <alignment horizontal="left"/>
    </xf>
    <xf numFmtId="0" fontId="0" fillId="0" borderId="1" xfId="0" applyBorder="1"/>
    <xf numFmtId="9" fontId="12" fillId="0" borderId="0" xfId="2" applyFont="1" applyFill="1" applyAlignment="1">
      <alignment horizontal="right"/>
    </xf>
    <xf numFmtId="0" fontId="0" fillId="0" borderId="0" xfId="0" applyAlignment="1">
      <alignment horizontal="left" indent="1"/>
    </xf>
    <xf numFmtId="165" fontId="4" fillId="10" borderId="0" xfId="0" applyNumberFormat="1" applyFont="1" applyFill="1" applyAlignment="1">
      <alignment horizontal="right"/>
    </xf>
    <xf numFmtId="0" fontId="2" fillId="5" borderId="43" xfId="0" applyFont="1" applyFill="1" applyBorder="1" applyAlignment="1">
      <alignment horizontal="left" vertical="top" wrapText="1"/>
    </xf>
    <xf numFmtId="0" fontId="0" fillId="0" borderId="43" xfId="0" applyBorder="1" applyAlignment="1">
      <alignment vertical="top" wrapText="1"/>
    </xf>
    <xf numFmtId="0" fontId="61" fillId="0" borderId="43" xfId="0" applyFont="1" applyBorder="1" applyAlignment="1">
      <alignment vertical="top" wrapText="1"/>
    </xf>
    <xf numFmtId="0" fontId="12" fillId="0" borderId="0" xfId="0" applyFont="1"/>
    <xf numFmtId="0" fontId="2" fillId="20" borderId="0" xfId="0" applyFont="1" applyFill="1"/>
    <xf numFmtId="0" fontId="62" fillId="0" borderId="0" xfId="0" applyFont="1"/>
    <xf numFmtId="0" fontId="63" fillId="0" borderId="0" xfId="0" applyFont="1"/>
    <xf numFmtId="0" fontId="64" fillId="21" borderId="0" xfId="0" applyFont="1" applyFill="1"/>
    <xf numFmtId="0" fontId="3" fillId="0" borderId="3" xfId="0" applyFont="1" applyBorder="1"/>
    <xf numFmtId="164" fontId="12" fillId="7" borderId="1" xfId="0" applyNumberFormat="1" applyFont="1" applyFill="1" applyBorder="1" applyAlignment="1">
      <alignment horizontal="left"/>
    </xf>
    <xf numFmtId="0" fontId="15" fillId="0" borderId="0" xfId="0" applyFont="1"/>
    <xf numFmtId="166" fontId="4" fillId="0" borderId="0" xfId="1" applyNumberFormat="1" applyFont="1" applyBorder="1" applyAlignment="1">
      <alignment horizontal="right"/>
    </xf>
    <xf numFmtId="164" fontId="12" fillId="7" borderId="0" xfId="0" applyNumberFormat="1" applyFont="1" applyFill="1" applyAlignment="1">
      <alignment horizontal="left"/>
    </xf>
    <xf numFmtId="0" fontId="65" fillId="0" borderId="0" xfId="0" applyFont="1"/>
    <xf numFmtId="164" fontId="2" fillId="0" borderId="0" xfId="0" applyNumberFormat="1" applyFont="1" applyAlignment="1">
      <alignment horizontal="left"/>
    </xf>
    <xf numFmtId="9" fontId="2" fillId="0" borderId="0" xfId="2" applyFont="1" applyFill="1" applyAlignment="1">
      <alignment horizontal="left"/>
    </xf>
    <xf numFmtId="9" fontId="10" fillId="0" borderId="0" xfId="2" applyFont="1" applyFill="1" applyAlignment="1">
      <alignment horizontal="right"/>
    </xf>
    <xf numFmtId="164" fontId="32" fillId="0" borderId="0" xfId="0" applyNumberFormat="1" applyFont="1" applyAlignment="1">
      <alignment horizontal="left"/>
    </xf>
    <xf numFmtId="9" fontId="32" fillId="0" borderId="0" xfId="2" applyFont="1" applyFill="1" applyAlignment="1">
      <alignment horizontal="left"/>
    </xf>
    <xf numFmtId="0" fontId="3" fillId="0" borderId="44" xfId="0" applyFont="1" applyBorder="1"/>
    <xf numFmtId="171" fontId="4" fillId="10" borderId="0" xfId="0" applyNumberFormat="1" applyFont="1" applyFill="1"/>
    <xf numFmtId="167" fontId="4" fillId="10" borderId="0" xfId="0" applyNumberFormat="1" applyFont="1" applyFill="1" applyAlignment="1">
      <alignment horizontal="right"/>
    </xf>
    <xf numFmtId="165" fontId="4" fillId="10" borderId="0" xfId="1" applyNumberFormat="1" applyFont="1" applyFill="1" applyBorder="1"/>
    <xf numFmtId="179" fontId="4" fillId="10" borderId="0" xfId="0" applyNumberFormat="1" applyFont="1" applyFill="1"/>
    <xf numFmtId="0" fontId="66" fillId="0" borderId="0" xfId="0" applyFont="1"/>
    <xf numFmtId="0" fontId="0" fillId="22" borderId="0" xfId="0" applyFill="1"/>
    <xf numFmtId="173" fontId="67" fillId="10" borderId="0" xfId="0" applyNumberFormat="1" applyFont="1" applyFill="1"/>
    <xf numFmtId="9" fontId="10" fillId="22" borderId="0" xfId="2" applyFont="1" applyFill="1" applyBorder="1" applyAlignment="1">
      <alignment horizontal="right"/>
    </xf>
    <xf numFmtId="0" fontId="3" fillId="0" borderId="46" xfId="0" applyFont="1" applyBorder="1"/>
    <xf numFmtId="166" fontId="10" fillId="0" borderId="0" xfId="1" applyNumberFormat="1" applyFont="1" applyBorder="1" applyAlignment="1">
      <alignment horizontal="right"/>
    </xf>
    <xf numFmtId="165" fontId="12" fillId="7" borderId="0" xfId="0" applyNumberFormat="1" applyFont="1" applyFill="1" applyAlignment="1">
      <alignment horizontal="left"/>
    </xf>
    <xf numFmtId="172" fontId="12" fillId="0" borderId="0" xfId="0" applyNumberFormat="1" applyFont="1" applyAlignment="1">
      <alignment horizontal="right"/>
    </xf>
    <xf numFmtId="0" fontId="0" fillId="0" borderId="3" xfId="0" applyBorder="1"/>
    <xf numFmtId="0" fontId="68" fillId="2" borderId="0" xfId="0" applyFont="1" applyFill="1" applyAlignment="1">
      <alignment horizontal="center"/>
    </xf>
    <xf numFmtId="0" fontId="32" fillId="5" borderId="0" xfId="0" applyFont="1" applyFill="1" applyAlignment="1">
      <alignment horizontal="center"/>
    </xf>
    <xf numFmtId="3" fontId="2" fillId="5" borderId="0" xfId="0" applyNumberFormat="1" applyFont="1" applyFill="1" applyAlignment="1">
      <alignment horizontal="center"/>
    </xf>
    <xf numFmtId="3" fontId="12" fillId="0" borderId="0" xfId="0" applyNumberFormat="1" applyFont="1" applyAlignment="1">
      <alignment horizontal="right"/>
    </xf>
    <xf numFmtId="171" fontId="2" fillId="5" borderId="0" xfId="0" applyNumberFormat="1" applyFont="1" applyFill="1" applyAlignment="1">
      <alignment horizontal="left"/>
    </xf>
    <xf numFmtId="171" fontId="69" fillId="0" borderId="0" xfId="0" applyNumberFormat="1" applyFont="1" applyAlignment="1">
      <alignment horizontal="right"/>
    </xf>
    <xf numFmtId="192" fontId="12" fillId="0" borderId="0" xfId="0" applyNumberFormat="1" applyFont="1" applyAlignment="1">
      <alignment horizontal="right"/>
    </xf>
    <xf numFmtId="0" fontId="9" fillId="0" borderId="0" xfId="0" applyFont="1"/>
    <xf numFmtId="0" fontId="2" fillId="5" borderId="13" xfId="0" applyFont="1" applyFill="1" applyBorder="1"/>
    <xf numFmtId="1" fontId="2" fillId="5" borderId="13" xfId="0" applyNumberFormat="1" applyFont="1" applyFill="1" applyBorder="1"/>
    <xf numFmtId="0" fontId="0" fillId="0" borderId="22" xfId="0" applyBorder="1"/>
    <xf numFmtId="0" fontId="3" fillId="0" borderId="22" xfId="0" applyFont="1" applyBorder="1"/>
    <xf numFmtId="165" fontId="0" fillId="0" borderId="22" xfId="0" applyNumberFormat="1" applyBorder="1"/>
    <xf numFmtId="0" fontId="61" fillId="0" borderId="0" xfId="0" applyFont="1"/>
    <xf numFmtId="0" fontId="12" fillId="18" borderId="1" xfId="0" applyFont="1" applyFill="1" applyBorder="1"/>
    <xf numFmtId="164" fontId="12" fillId="7" borderId="20" xfId="0" applyNumberFormat="1" applyFont="1" applyFill="1" applyBorder="1" applyAlignment="1">
      <alignment horizontal="left"/>
    </xf>
    <xf numFmtId="1" fontId="10" fillId="0" borderId="0" xfId="0" applyNumberFormat="1" applyFont="1"/>
    <xf numFmtId="1" fontId="4" fillId="0" borderId="0" xfId="0" applyNumberFormat="1" applyFont="1"/>
    <xf numFmtId="164" fontId="4" fillId="0" borderId="0" xfId="0" applyNumberFormat="1" applyFont="1" applyAlignment="1">
      <alignment horizontal="right"/>
    </xf>
    <xf numFmtId="164" fontId="35" fillId="8" borderId="0" xfId="0" applyNumberFormat="1" applyFont="1" applyFill="1" applyAlignment="1">
      <alignment horizontal="left"/>
    </xf>
    <xf numFmtId="184" fontId="5" fillId="20" borderId="0" xfId="0" applyNumberFormat="1" applyFont="1" applyFill="1" applyAlignment="1">
      <alignment horizontal="right"/>
    </xf>
    <xf numFmtId="184" fontId="12" fillId="20" borderId="0" xfId="0" applyNumberFormat="1" applyFont="1" applyFill="1" applyAlignment="1">
      <alignment horizontal="right"/>
    </xf>
    <xf numFmtId="164" fontId="12" fillId="7" borderId="45" xfId="0" applyNumberFormat="1" applyFont="1" applyFill="1" applyBorder="1" applyAlignment="1">
      <alignment horizontal="left"/>
    </xf>
    <xf numFmtId="0" fontId="73" fillId="5" borderId="0" xfId="0" applyFont="1" applyFill="1" applyAlignment="1">
      <alignment horizontal="center"/>
    </xf>
    <xf numFmtId="164" fontId="10" fillId="22" borderId="0" xfId="0" applyNumberFormat="1" applyFont="1" applyFill="1" applyAlignment="1">
      <alignment horizontal="right"/>
    </xf>
    <xf numFmtId="164" fontId="13" fillId="22" borderId="0" xfId="0" applyNumberFormat="1" applyFont="1" applyFill="1" applyAlignment="1">
      <alignment horizontal="right"/>
    </xf>
    <xf numFmtId="165" fontId="10" fillId="22" borderId="0" xfId="0" applyNumberFormat="1" applyFont="1" applyFill="1" applyAlignment="1">
      <alignment horizontal="right"/>
    </xf>
    <xf numFmtId="164" fontId="12" fillId="22" borderId="0" xfId="0" applyNumberFormat="1" applyFont="1" applyFill="1" applyAlignment="1">
      <alignment horizontal="right"/>
    </xf>
    <xf numFmtId="186" fontId="4" fillId="0" borderId="0" xfId="0" applyNumberFormat="1" applyFont="1" applyAlignment="1">
      <alignment horizontal="right"/>
    </xf>
    <xf numFmtId="186" fontId="10" fillId="0" borderId="0" xfId="0" applyNumberFormat="1" applyFont="1" applyAlignment="1">
      <alignment horizontal="right"/>
    </xf>
    <xf numFmtId="171" fontId="4" fillId="0" borderId="0" xfId="0" applyNumberFormat="1" applyFont="1" applyAlignment="1">
      <alignment horizontal="right"/>
    </xf>
    <xf numFmtId="165" fontId="4" fillId="22" borderId="0" xfId="0" applyNumberFormat="1" applyFont="1" applyFill="1" applyAlignment="1">
      <alignment horizontal="right"/>
    </xf>
    <xf numFmtId="186" fontId="10" fillId="22" borderId="0" xfId="0" applyNumberFormat="1" applyFont="1" applyFill="1" applyAlignment="1">
      <alignment horizontal="right"/>
    </xf>
    <xf numFmtId="167" fontId="10" fillId="0" borderId="0" xfId="0" applyNumberFormat="1" applyFont="1" applyAlignment="1">
      <alignment horizontal="right"/>
    </xf>
    <xf numFmtId="167" fontId="10" fillId="22" borderId="0" xfId="0" applyNumberFormat="1" applyFont="1" applyFill="1" applyAlignment="1">
      <alignment horizontal="right"/>
    </xf>
    <xf numFmtId="186" fontId="15" fillId="18" borderId="0" xfId="0" applyNumberFormat="1" applyFont="1" applyFill="1" applyAlignment="1">
      <alignment horizontal="right"/>
    </xf>
    <xf numFmtId="186" fontId="15" fillId="22" borderId="0" xfId="0" applyNumberFormat="1" applyFont="1" applyFill="1" applyAlignment="1">
      <alignment horizontal="right"/>
    </xf>
    <xf numFmtId="165" fontId="10" fillId="18" borderId="0" xfId="0" applyNumberFormat="1" applyFont="1" applyFill="1" applyAlignment="1">
      <alignment horizontal="right"/>
    </xf>
    <xf numFmtId="188" fontId="10" fillId="18" borderId="0" xfId="0" applyNumberFormat="1" applyFont="1" applyFill="1" applyAlignment="1">
      <alignment horizontal="right"/>
    </xf>
    <xf numFmtId="188" fontId="10" fillId="22" borderId="0" xfId="0" applyNumberFormat="1" applyFont="1" applyFill="1" applyAlignment="1">
      <alignment horizontal="right"/>
    </xf>
    <xf numFmtId="186" fontId="12" fillId="0" borderId="0" xfId="0" applyNumberFormat="1" applyFont="1" applyAlignment="1">
      <alignment horizontal="right"/>
    </xf>
    <xf numFmtId="9" fontId="10" fillId="0" borderId="0" xfId="2" applyFont="1" applyFill="1" applyBorder="1" applyAlignment="1">
      <alignment horizontal="right"/>
    </xf>
    <xf numFmtId="165" fontId="4" fillId="0" borderId="0" xfId="0" applyNumberFormat="1" applyFont="1" applyAlignment="1">
      <alignment horizontal="right"/>
    </xf>
    <xf numFmtId="167" fontId="4" fillId="22" borderId="0" xfId="0" applyNumberFormat="1" applyFont="1" applyFill="1" applyAlignment="1">
      <alignment horizontal="right"/>
    </xf>
    <xf numFmtId="164" fontId="5" fillId="21" borderId="0" xfId="0" applyNumberFormat="1" applyFont="1" applyFill="1" applyAlignment="1">
      <alignment horizontal="right"/>
    </xf>
    <xf numFmtId="164" fontId="12" fillId="21" borderId="0" xfId="0" applyNumberFormat="1" applyFont="1" applyFill="1" applyAlignment="1">
      <alignment horizontal="right"/>
    </xf>
    <xf numFmtId="165" fontId="62" fillId="0" borderId="0" xfId="0" applyNumberFormat="1" applyFont="1" applyAlignment="1">
      <alignment horizontal="right"/>
    </xf>
    <xf numFmtId="164" fontId="65" fillId="0" borderId="0" xfId="0" applyNumberFormat="1" applyFont="1" applyAlignment="1">
      <alignment horizontal="right"/>
    </xf>
    <xf numFmtId="188" fontId="10" fillId="0" borderId="0" xfId="0" applyNumberFormat="1" applyFont="1" applyAlignment="1">
      <alignment horizontal="right"/>
    </xf>
    <xf numFmtId="164" fontId="4" fillId="22" borderId="0" xfId="0" applyNumberFormat="1" applyFont="1" applyFill="1" applyAlignment="1">
      <alignment horizontal="right"/>
    </xf>
    <xf numFmtId="164" fontId="5" fillId="0" borderId="0" xfId="0" applyNumberFormat="1" applyFont="1" applyAlignment="1">
      <alignment horizontal="right"/>
    </xf>
    <xf numFmtId="185" fontId="12" fillId="0" borderId="0" xfId="0" applyNumberFormat="1" applyFont="1" applyAlignment="1">
      <alignment horizontal="right"/>
    </xf>
    <xf numFmtId="185" fontId="4" fillId="0" borderId="0" xfId="0" applyNumberFormat="1" applyFont="1" applyAlignment="1">
      <alignment horizontal="right"/>
    </xf>
    <xf numFmtId="185" fontId="4" fillId="22" borderId="0" xfId="0" applyNumberFormat="1" applyFont="1" applyFill="1" applyAlignment="1">
      <alignment horizontal="right"/>
    </xf>
    <xf numFmtId="164" fontId="4" fillId="0" borderId="0" xfId="0" quotePrefix="1" applyNumberFormat="1" applyFont="1" applyAlignment="1">
      <alignment horizontal="right"/>
    </xf>
    <xf numFmtId="164" fontId="5" fillId="0" borderId="0" xfId="0" quotePrefix="1" applyNumberFormat="1" applyFont="1" applyAlignment="1">
      <alignment horizontal="right"/>
    </xf>
    <xf numFmtId="186" fontId="5" fillId="0" borderId="0" xfId="0" applyNumberFormat="1" applyFont="1" applyAlignment="1">
      <alignment horizontal="right"/>
    </xf>
    <xf numFmtId="164" fontId="20" fillId="0" borderId="0" xfId="0" applyNumberFormat="1" applyFont="1" applyAlignment="1">
      <alignment horizontal="right"/>
    </xf>
    <xf numFmtId="171" fontId="10" fillId="0" borderId="0" xfId="0" applyNumberFormat="1" applyFont="1" applyAlignment="1">
      <alignment horizontal="right"/>
    </xf>
    <xf numFmtId="171" fontId="10" fillId="22" borderId="0" xfId="2" applyNumberFormat="1" applyFont="1" applyFill="1" applyBorder="1" applyAlignment="1">
      <alignment horizontal="right"/>
    </xf>
    <xf numFmtId="165" fontId="72" fillId="0" borderId="0" xfId="0" applyNumberFormat="1" applyFont="1" applyAlignment="1">
      <alignment horizontal="right"/>
    </xf>
    <xf numFmtId="167" fontId="72" fillId="0" borderId="0" xfId="0" applyNumberFormat="1" applyFont="1" applyAlignment="1">
      <alignment horizontal="right"/>
    </xf>
    <xf numFmtId="187" fontId="38" fillId="0" borderId="0" xfId="0" applyNumberFormat="1" applyFont="1" applyAlignment="1">
      <alignment horizontal="right"/>
    </xf>
    <xf numFmtId="184" fontId="38" fillId="0" borderId="0" xfId="0" applyNumberFormat="1" applyFont="1" applyAlignment="1">
      <alignment horizontal="right"/>
    </xf>
    <xf numFmtId="187" fontId="12" fillId="22" borderId="0" xfId="0" applyNumberFormat="1" applyFont="1" applyFill="1" applyAlignment="1">
      <alignment horizontal="right"/>
    </xf>
    <xf numFmtId="1" fontId="0" fillId="0" borderId="0" xfId="0" applyNumberFormat="1"/>
    <xf numFmtId="1" fontId="10" fillId="22" borderId="0" xfId="0" applyNumberFormat="1" applyFont="1" applyFill="1"/>
    <xf numFmtId="191" fontId="0" fillId="0" borderId="0" xfId="0" applyNumberFormat="1"/>
    <xf numFmtId="191" fontId="10" fillId="0" borderId="0" xfId="0" applyNumberFormat="1" applyFont="1"/>
    <xf numFmtId="191" fontId="4" fillId="22" borderId="0" xfId="0" applyNumberFormat="1" applyFont="1" applyFill="1"/>
    <xf numFmtId="165" fontId="4" fillId="22" borderId="0" xfId="0" applyNumberFormat="1" applyFont="1" applyFill="1"/>
    <xf numFmtId="164" fontId="4" fillId="22" borderId="0" xfId="0" applyNumberFormat="1" applyFont="1" applyFill="1"/>
    <xf numFmtId="164" fontId="0" fillId="22" borderId="0" xfId="0" applyNumberFormat="1" applyFill="1"/>
    <xf numFmtId="172" fontId="10" fillId="22" borderId="0" xfId="0" applyNumberFormat="1" applyFont="1" applyFill="1" applyAlignment="1">
      <alignment horizontal="right"/>
    </xf>
    <xf numFmtId="190" fontId="10" fillId="0" borderId="0" xfId="0" applyNumberFormat="1" applyFont="1" applyAlignment="1">
      <alignment horizontal="right"/>
    </xf>
    <xf numFmtId="190" fontId="10" fillId="22" borderId="0" xfId="0" applyNumberFormat="1" applyFont="1" applyFill="1" applyAlignment="1">
      <alignment horizontal="right"/>
    </xf>
    <xf numFmtId="165" fontId="20" fillId="0" borderId="0" xfId="0" applyNumberFormat="1" applyFont="1" applyAlignment="1">
      <alignment horizontal="right"/>
    </xf>
    <xf numFmtId="190" fontId="21" fillId="0" borderId="0" xfId="0" applyNumberFormat="1" applyFont="1" applyAlignment="1">
      <alignment horizontal="right"/>
    </xf>
    <xf numFmtId="190" fontId="12" fillId="22" borderId="0" xfId="0" applyNumberFormat="1" applyFont="1" applyFill="1" applyAlignment="1">
      <alignment horizontal="right"/>
    </xf>
    <xf numFmtId="181" fontId="10" fillId="0" borderId="0" xfId="0" applyNumberFormat="1" applyFont="1" applyAlignment="1">
      <alignment horizontal="right"/>
    </xf>
    <xf numFmtId="181" fontId="12" fillId="7" borderId="0" xfId="0" applyNumberFormat="1" applyFont="1" applyFill="1" applyAlignment="1">
      <alignment horizontal="right"/>
    </xf>
    <xf numFmtId="172" fontId="12" fillId="22" borderId="0" xfId="0" applyNumberFormat="1" applyFont="1" applyFill="1" applyAlignment="1">
      <alignment horizontal="right"/>
    </xf>
    <xf numFmtId="189" fontId="5" fillId="0" borderId="0" xfId="0" applyNumberFormat="1" applyFont="1" applyAlignment="1">
      <alignment horizontal="right"/>
    </xf>
    <xf numFmtId="189" fontId="67" fillId="22" borderId="0" xfId="0" applyNumberFormat="1" applyFont="1" applyFill="1" applyAlignment="1">
      <alignment horizontal="right"/>
    </xf>
    <xf numFmtId="189" fontId="12" fillId="22" borderId="0" xfId="0" applyNumberFormat="1" applyFont="1" applyFill="1" applyAlignment="1">
      <alignment horizontal="right"/>
    </xf>
    <xf numFmtId="164" fontId="10" fillId="7" borderId="0" xfId="0" applyNumberFormat="1" applyFont="1" applyFill="1" applyAlignment="1">
      <alignment horizontal="right"/>
    </xf>
    <xf numFmtId="172" fontId="12" fillId="7" borderId="0" xfId="0" applyNumberFormat="1" applyFont="1" applyFill="1" applyAlignment="1">
      <alignment horizontal="right"/>
    </xf>
    <xf numFmtId="185" fontId="5" fillId="0" borderId="0" xfId="0" applyNumberFormat="1" applyFont="1" applyAlignment="1">
      <alignment horizontal="right"/>
    </xf>
    <xf numFmtId="185" fontId="12" fillId="22" borderId="0" xfId="0" applyNumberFormat="1" applyFont="1" applyFill="1" applyAlignment="1">
      <alignment horizontal="right"/>
    </xf>
    <xf numFmtId="164" fontId="12" fillId="18" borderId="0" xfId="0" applyNumberFormat="1" applyFont="1" applyFill="1" applyAlignment="1">
      <alignment horizontal="right"/>
    </xf>
    <xf numFmtId="193" fontId="12" fillId="7" borderId="0" xfId="0" applyNumberFormat="1" applyFont="1" applyFill="1" applyAlignment="1">
      <alignment horizontal="right"/>
    </xf>
    <xf numFmtId="191" fontId="12" fillId="0" borderId="0" xfId="0" applyNumberFormat="1" applyFont="1"/>
    <xf numFmtId="164" fontId="10" fillId="0" borderId="47" xfId="0" applyNumberFormat="1" applyFont="1" applyBorder="1" applyAlignment="1">
      <alignment horizontal="right"/>
    </xf>
    <xf numFmtId="164" fontId="12" fillId="0" borderId="47" xfId="0" applyNumberFormat="1" applyFont="1" applyBorder="1" applyAlignment="1">
      <alignment horizontal="right"/>
    </xf>
    <xf numFmtId="164" fontId="12" fillId="7" borderId="47" xfId="0" applyNumberFormat="1" applyFont="1" applyFill="1" applyBorder="1" applyAlignment="1">
      <alignment horizontal="right"/>
    </xf>
    <xf numFmtId="186" fontId="4" fillId="0" borderId="47" xfId="0" applyNumberFormat="1" applyFont="1" applyBorder="1" applyAlignment="1">
      <alignment horizontal="right"/>
    </xf>
    <xf numFmtId="186" fontId="10" fillId="0" borderId="47" xfId="0" applyNumberFormat="1" applyFont="1" applyBorder="1" applyAlignment="1">
      <alignment horizontal="right"/>
    </xf>
    <xf numFmtId="164" fontId="12" fillId="18" borderId="47" xfId="0" applyNumberFormat="1" applyFont="1" applyFill="1" applyBorder="1" applyAlignment="1">
      <alignment horizontal="right"/>
    </xf>
    <xf numFmtId="193" fontId="12" fillId="7" borderId="47" xfId="0" applyNumberFormat="1" applyFont="1" applyFill="1" applyBorder="1" applyAlignment="1">
      <alignment horizontal="right"/>
    </xf>
    <xf numFmtId="164" fontId="5" fillId="0" borderId="47" xfId="0" applyNumberFormat="1" applyFont="1" applyBorder="1" applyAlignment="1">
      <alignment horizontal="right"/>
    </xf>
    <xf numFmtId="164" fontId="4" fillId="0" borderId="48" xfId="0" applyNumberFormat="1" applyFont="1" applyBorder="1" applyAlignment="1">
      <alignment horizontal="right"/>
    </xf>
    <xf numFmtId="164" fontId="10" fillId="0" borderId="48" xfId="0" applyNumberFormat="1" applyFont="1" applyBorder="1" applyAlignment="1">
      <alignment horizontal="right"/>
    </xf>
    <xf numFmtId="165" fontId="10" fillId="0" borderId="48" xfId="0" applyNumberFormat="1" applyFont="1" applyBorder="1" applyAlignment="1">
      <alignment horizontal="right"/>
    </xf>
    <xf numFmtId="164" fontId="32" fillId="8" borderId="48" xfId="0" applyNumberFormat="1" applyFont="1" applyFill="1" applyBorder="1" applyAlignment="1">
      <alignment horizontal="left"/>
    </xf>
    <xf numFmtId="185" fontId="5" fillId="0" borderId="48" xfId="0" applyNumberFormat="1" applyFont="1" applyBorder="1" applyAlignment="1">
      <alignment horizontal="right"/>
    </xf>
    <xf numFmtId="185" fontId="12" fillId="0" borderId="48" xfId="0" applyNumberFormat="1" applyFont="1" applyBorder="1" applyAlignment="1">
      <alignment horizontal="right"/>
    </xf>
    <xf numFmtId="166" fontId="10" fillId="0" borderId="48" xfId="1" applyNumberFormat="1" applyFont="1" applyBorder="1" applyAlignment="1">
      <alignment horizontal="right"/>
    </xf>
    <xf numFmtId="186" fontId="4" fillId="0" borderId="48" xfId="0" applyNumberFormat="1" applyFont="1" applyBorder="1" applyAlignment="1">
      <alignment horizontal="right"/>
    </xf>
    <xf numFmtId="164" fontId="4" fillId="0" borderId="49" xfId="0" applyNumberFormat="1" applyFont="1" applyBorder="1" applyAlignment="1">
      <alignment horizontal="right"/>
    </xf>
    <xf numFmtId="164" fontId="10" fillId="0" borderId="49" xfId="0" applyNumberFormat="1" applyFont="1" applyBorder="1" applyAlignment="1">
      <alignment horizontal="right"/>
    </xf>
    <xf numFmtId="164" fontId="32" fillId="8" borderId="49" xfId="0" applyNumberFormat="1" applyFont="1" applyFill="1" applyBorder="1" applyAlignment="1">
      <alignment horizontal="left"/>
    </xf>
    <xf numFmtId="0" fontId="3" fillId="0" borderId="48" xfId="0" applyFont="1" applyBorder="1"/>
    <xf numFmtId="191" fontId="3" fillId="0" borderId="48" xfId="0" applyNumberFormat="1" applyFont="1" applyBorder="1"/>
    <xf numFmtId="164" fontId="10" fillId="0" borderId="50" xfId="0" applyNumberFormat="1" applyFont="1" applyBorder="1" applyAlignment="1">
      <alignment horizontal="right"/>
    </xf>
    <xf numFmtId="164" fontId="32" fillId="8" borderId="50" xfId="0" applyNumberFormat="1" applyFont="1" applyFill="1" applyBorder="1" applyAlignment="1">
      <alignment horizontal="left"/>
    </xf>
    <xf numFmtId="165" fontId="64" fillId="0" borderId="49" xfId="0" applyNumberFormat="1" applyFont="1" applyBorder="1" applyAlignment="1">
      <alignment horizontal="right"/>
    </xf>
    <xf numFmtId="164" fontId="2" fillId="5" borderId="49" xfId="0" applyNumberFormat="1" applyFont="1" applyFill="1" applyBorder="1" applyAlignment="1">
      <alignment horizontal="left"/>
    </xf>
    <xf numFmtId="184" fontId="2" fillId="20" borderId="49" xfId="0" applyNumberFormat="1" applyFont="1" applyFill="1" applyBorder="1" applyAlignment="1">
      <alignment horizontal="right"/>
    </xf>
    <xf numFmtId="167" fontId="64" fillId="0" borderId="49" xfId="0" applyNumberFormat="1" applyFont="1" applyBorder="1" applyAlignment="1">
      <alignment horizontal="right"/>
    </xf>
    <xf numFmtId="192" fontId="5" fillId="20" borderId="49" xfId="0" applyNumberFormat="1" applyFont="1" applyFill="1" applyBorder="1" applyAlignment="1">
      <alignment horizontal="right"/>
    </xf>
    <xf numFmtId="165" fontId="62" fillId="0" borderId="51" xfId="0" applyNumberFormat="1" applyFont="1" applyBorder="1" applyAlignment="1">
      <alignment horizontal="right"/>
    </xf>
    <xf numFmtId="167" fontId="62" fillId="0" borderId="51" xfId="0" applyNumberFormat="1" applyFont="1" applyBorder="1" applyAlignment="1">
      <alignment horizontal="right"/>
    </xf>
    <xf numFmtId="167" fontId="10" fillId="0" borderId="51" xfId="0" applyNumberFormat="1" applyFont="1" applyBorder="1" applyAlignment="1">
      <alignment horizontal="right"/>
    </xf>
    <xf numFmtId="164" fontId="10" fillId="0" borderId="51" xfId="0" applyNumberFormat="1" applyFont="1" applyBorder="1" applyAlignment="1">
      <alignment horizontal="right"/>
    </xf>
    <xf numFmtId="164" fontId="12" fillId="22" borderId="47" xfId="0" applyNumberFormat="1" applyFont="1" applyFill="1" applyBorder="1" applyAlignment="1">
      <alignment horizontal="right"/>
    </xf>
    <xf numFmtId="186" fontId="10" fillId="22" borderId="47" xfId="0" applyNumberFormat="1" applyFont="1" applyFill="1" applyBorder="1" applyAlignment="1">
      <alignment horizontal="right"/>
    </xf>
    <xf numFmtId="164" fontId="10" fillId="22" borderId="48" xfId="0" applyNumberFormat="1" applyFont="1" applyFill="1" applyBorder="1" applyAlignment="1">
      <alignment horizontal="right"/>
    </xf>
    <xf numFmtId="165" fontId="4" fillId="22" borderId="48" xfId="0" applyNumberFormat="1" applyFont="1" applyFill="1" applyBorder="1" applyAlignment="1">
      <alignment horizontal="right"/>
    </xf>
    <xf numFmtId="185" fontId="12" fillId="22" borderId="48" xfId="0" applyNumberFormat="1" applyFont="1" applyFill="1" applyBorder="1" applyAlignment="1">
      <alignment horizontal="right"/>
    </xf>
    <xf numFmtId="166" fontId="10" fillId="22" borderId="48" xfId="1" applyNumberFormat="1" applyFont="1" applyFill="1" applyBorder="1" applyAlignment="1">
      <alignment horizontal="right"/>
    </xf>
    <xf numFmtId="164" fontId="4" fillId="22" borderId="49" xfId="0" applyNumberFormat="1" applyFont="1" applyFill="1" applyBorder="1" applyAlignment="1">
      <alignment horizontal="right"/>
    </xf>
    <xf numFmtId="164" fontId="10" fillId="22" borderId="49" xfId="0" applyNumberFormat="1" applyFont="1" applyFill="1" applyBorder="1" applyAlignment="1">
      <alignment horizontal="right"/>
    </xf>
    <xf numFmtId="191" fontId="3" fillId="22" borderId="48" xfId="0" applyNumberFormat="1" applyFont="1" applyFill="1" applyBorder="1"/>
    <xf numFmtId="164" fontId="10" fillId="22" borderId="50" xfId="0" applyNumberFormat="1" applyFont="1" applyFill="1" applyBorder="1" applyAlignment="1">
      <alignment horizontal="right"/>
    </xf>
    <xf numFmtId="167" fontId="10" fillId="22" borderId="51" xfId="0" applyNumberFormat="1" applyFont="1" applyFill="1" applyBorder="1" applyAlignment="1">
      <alignment horizontal="right"/>
    </xf>
    <xf numFmtId="164" fontId="10" fillId="22" borderId="51" xfId="0" applyNumberFormat="1" applyFont="1" applyFill="1" applyBorder="1" applyAlignment="1">
      <alignment horizontal="right"/>
    </xf>
    <xf numFmtId="164" fontId="4" fillId="22" borderId="48" xfId="0" applyNumberFormat="1" applyFont="1" applyFill="1" applyBorder="1" applyAlignment="1">
      <alignment horizontal="right"/>
    </xf>
    <xf numFmtId="0" fontId="0" fillId="0" borderId="52" xfId="0" applyBorder="1"/>
    <xf numFmtId="0" fontId="2" fillId="5" borderId="52" xfId="0" applyFont="1" applyFill="1" applyBorder="1" applyAlignment="1">
      <alignment horizontal="center"/>
    </xf>
    <xf numFmtId="164" fontId="10" fillId="0" borderId="52" xfId="0" applyNumberFormat="1" applyFont="1" applyBorder="1" applyAlignment="1">
      <alignment horizontal="right"/>
    </xf>
    <xf numFmtId="164" fontId="2" fillId="5" borderId="52" xfId="0" applyNumberFormat="1" applyFont="1" applyFill="1" applyBorder="1" applyAlignment="1">
      <alignment horizontal="left"/>
    </xf>
    <xf numFmtId="164" fontId="13" fillId="0" borderId="52" xfId="0" applyNumberFormat="1" applyFont="1" applyBorder="1" applyAlignment="1">
      <alignment horizontal="right"/>
    </xf>
    <xf numFmtId="164" fontId="32" fillId="8" borderId="52" xfId="0" applyNumberFormat="1" applyFont="1" applyFill="1" applyBorder="1" applyAlignment="1">
      <alignment horizontal="left"/>
    </xf>
    <xf numFmtId="164" fontId="4" fillId="0" borderId="52" xfId="0" applyNumberFormat="1" applyFont="1" applyBorder="1" applyAlignment="1">
      <alignment horizontal="right"/>
    </xf>
    <xf numFmtId="165" fontId="10" fillId="0" borderId="52" xfId="0" applyNumberFormat="1" applyFont="1" applyBorder="1" applyAlignment="1">
      <alignment horizontal="right"/>
    </xf>
    <xf numFmtId="164" fontId="12" fillId="0" borderId="52" xfId="0" applyNumberFormat="1" applyFont="1" applyBorder="1" applyAlignment="1">
      <alignment horizontal="right"/>
    </xf>
    <xf numFmtId="164" fontId="12" fillId="7" borderId="52" xfId="0" applyNumberFormat="1" applyFont="1" applyFill="1" applyBorder="1" applyAlignment="1">
      <alignment horizontal="right"/>
    </xf>
    <xf numFmtId="164" fontId="4" fillId="0" borderId="53" xfId="0" applyNumberFormat="1" applyFont="1" applyBorder="1" applyAlignment="1">
      <alignment horizontal="right"/>
    </xf>
    <xf numFmtId="165" fontId="10" fillId="0" borderId="53" xfId="0" applyNumberFormat="1" applyFont="1" applyBorder="1" applyAlignment="1">
      <alignment horizontal="right"/>
    </xf>
    <xf numFmtId="164" fontId="32" fillId="8" borderId="53" xfId="0" applyNumberFormat="1" applyFont="1" applyFill="1" applyBorder="1" applyAlignment="1">
      <alignment horizontal="left"/>
    </xf>
    <xf numFmtId="185" fontId="5" fillId="0" borderId="52" xfId="0" applyNumberFormat="1" applyFont="1" applyBorder="1" applyAlignment="1">
      <alignment horizontal="right"/>
    </xf>
    <xf numFmtId="185" fontId="5" fillId="0" borderId="53" xfId="0" applyNumberFormat="1" applyFont="1" applyBorder="1" applyAlignment="1">
      <alignment horizontal="right"/>
    </xf>
    <xf numFmtId="185" fontId="4" fillId="0" borderId="52" xfId="0" applyNumberFormat="1" applyFont="1" applyBorder="1" applyAlignment="1">
      <alignment horizontal="right"/>
    </xf>
    <xf numFmtId="164" fontId="10" fillId="0" borderId="53" xfId="0" applyNumberFormat="1" applyFont="1" applyBorder="1" applyAlignment="1">
      <alignment horizontal="right"/>
    </xf>
    <xf numFmtId="164" fontId="10" fillId="0" borderId="54" xfId="0" applyNumberFormat="1" applyFont="1" applyBorder="1" applyAlignment="1">
      <alignment horizontal="right"/>
    </xf>
    <xf numFmtId="164" fontId="12" fillId="7" borderId="54" xfId="0" applyNumberFormat="1" applyFont="1" applyFill="1" applyBorder="1" applyAlignment="1">
      <alignment horizontal="right"/>
    </xf>
    <xf numFmtId="165" fontId="62" fillId="0" borderId="55" xfId="0" applyNumberFormat="1" applyFont="1" applyBorder="1" applyAlignment="1">
      <alignment horizontal="right"/>
    </xf>
    <xf numFmtId="164" fontId="2" fillId="5" borderId="56" xfId="0" applyNumberFormat="1" applyFont="1" applyFill="1" applyBorder="1" applyAlignment="1">
      <alignment horizontal="left"/>
    </xf>
    <xf numFmtId="165" fontId="72" fillId="0" borderId="52" xfId="0" applyNumberFormat="1" applyFont="1" applyBorder="1" applyAlignment="1">
      <alignment horizontal="right"/>
    </xf>
    <xf numFmtId="164" fontId="4" fillId="0" borderId="56" xfId="0" applyNumberFormat="1" applyFont="1" applyBorder="1" applyAlignment="1">
      <alignment horizontal="right"/>
    </xf>
    <xf numFmtId="164" fontId="10" fillId="0" borderId="56" xfId="0" applyNumberFormat="1" applyFont="1" applyBorder="1" applyAlignment="1">
      <alignment horizontal="right"/>
    </xf>
    <xf numFmtId="167" fontId="10" fillId="0" borderId="52" xfId="0" applyNumberFormat="1" applyFont="1" applyBorder="1" applyAlignment="1">
      <alignment horizontal="right"/>
    </xf>
    <xf numFmtId="164" fontId="32" fillId="8" borderId="56" xfId="0" applyNumberFormat="1" applyFont="1" applyFill="1" applyBorder="1" applyAlignment="1">
      <alignment horizontal="left"/>
    </xf>
    <xf numFmtId="1" fontId="4" fillId="0" borderId="52" xfId="0" applyNumberFormat="1" applyFont="1" applyBorder="1"/>
    <xf numFmtId="164" fontId="10" fillId="0" borderId="57" xfId="0" applyNumberFormat="1" applyFont="1" applyBorder="1" applyAlignment="1">
      <alignment horizontal="right"/>
    </xf>
    <xf numFmtId="164" fontId="32" fillId="8" borderId="57" xfId="0" applyNumberFormat="1" applyFont="1" applyFill="1" applyBorder="1" applyAlignment="1">
      <alignment horizontal="left"/>
    </xf>
    <xf numFmtId="164" fontId="5" fillId="0" borderId="54" xfId="0" applyNumberFormat="1" applyFont="1" applyBorder="1" applyAlignment="1">
      <alignment horizontal="right"/>
    </xf>
    <xf numFmtId="164" fontId="10" fillId="0" borderId="55" xfId="0" applyNumberFormat="1" applyFont="1" applyBorder="1" applyAlignment="1">
      <alignment horizontal="right"/>
    </xf>
    <xf numFmtId="191" fontId="0" fillId="0" borderId="52" xfId="0" applyNumberFormat="1" applyBorder="1"/>
    <xf numFmtId="191" fontId="3" fillId="0" borderId="53" xfId="0" applyNumberFormat="1" applyFont="1" applyBorder="1"/>
    <xf numFmtId="165" fontId="0" fillId="0" borderId="52" xfId="0" applyNumberFormat="1" applyBorder="1"/>
    <xf numFmtId="164" fontId="0" fillId="0" borderId="52" xfId="0" applyNumberFormat="1" applyBorder="1"/>
    <xf numFmtId="167" fontId="12" fillId="7" borderId="52" xfId="0" applyNumberFormat="1" applyFont="1" applyFill="1" applyBorder="1" applyAlignment="1">
      <alignment horizontal="right"/>
    </xf>
    <xf numFmtId="172" fontId="10" fillId="0" borderId="52" xfId="0" applyNumberFormat="1" applyFont="1" applyBorder="1" applyAlignment="1">
      <alignment horizontal="right"/>
    </xf>
    <xf numFmtId="165" fontId="32" fillId="8" borderId="52" xfId="0" applyNumberFormat="1" applyFont="1" applyFill="1" applyBorder="1" applyAlignment="1">
      <alignment horizontal="right"/>
    </xf>
    <xf numFmtId="190" fontId="10" fillId="0" borderId="52" xfId="0" applyNumberFormat="1" applyFont="1" applyBorder="1" applyAlignment="1">
      <alignment horizontal="right"/>
    </xf>
    <xf numFmtId="190" fontId="21" fillId="0" borderId="52" xfId="0" applyNumberFormat="1" applyFont="1" applyBorder="1" applyAlignment="1">
      <alignment horizontal="right"/>
    </xf>
    <xf numFmtId="181" fontId="12" fillId="7" borderId="52" xfId="0" applyNumberFormat="1" applyFont="1" applyFill="1" applyBorder="1" applyAlignment="1">
      <alignment horizontal="right"/>
    </xf>
    <xf numFmtId="172" fontId="12" fillId="0" borderId="52" xfId="0" applyNumberFormat="1" applyFont="1" applyBorder="1" applyAlignment="1">
      <alignment horizontal="right"/>
    </xf>
    <xf numFmtId="189" fontId="5" fillId="0" borderId="52" xfId="0" applyNumberFormat="1" applyFont="1" applyBorder="1" applyAlignment="1">
      <alignment horizontal="right"/>
    </xf>
    <xf numFmtId="172" fontId="12" fillId="7" borderId="52" xfId="0" applyNumberFormat="1" applyFont="1" applyFill="1" applyBorder="1" applyAlignment="1">
      <alignment horizontal="right"/>
    </xf>
    <xf numFmtId="165" fontId="12" fillId="7" borderId="52" xfId="0" applyNumberFormat="1" applyFont="1" applyFill="1" applyBorder="1" applyAlignment="1">
      <alignment horizontal="right"/>
    </xf>
    <xf numFmtId="165" fontId="4" fillId="0" borderId="52" xfId="0" applyNumberFormat="1" applyFont="1" applyBorder="1" applyAlignment="1">
      <alignment horizontal="right"/>
    </xf>
    <xf numFmtId="185" fontId="12" fillId="0" borderId="52" xfId="0" applyNumberFormat="1" applyFont="1" applyBorder="1" applyAlignment="1">
      <alignment horizontal="right"/>
    </xf>
    <xf numFmtId="185" fontId="12" fillId="0" borderId="53" xfId="0" applyNumberFormat="1" applyFont="1" applyBorder="1" applyAlignment="1">
      <alignment horizontal="right"/>
    </xf>
    <xf numFmtId="164" fontId="12" fillId="0" borderId="52" xfId="0" quotePrefix="1" applyNumberFormat="1" applyFont="1" applyBorder="1" applyAlignment="1">
      <alignment horizontal="right"/>
    </xf>
    <xf numFmtId="186" fontId="10" fillId="0" borderId="52" xfId="0" applyNumberFormat="1" applyFont="1" applyBorder="1" applyAlignment="1">
      <alignment horizontal="right"/>
    </xf>
    <xf numFmtId="186" fontId="12" fillId="0" borderId="52" xfId="0" applyNumberFormat="1" applyFont="1" applyBorder="1" applyAlignment="1">
      <alignment horizontal="right"/>
    </xf>
    <xf numFmtId="171" fontId="20" fillId="0" borderId="52" xfId="0" applyNumberFormat="1" applyFont="1" applyBorder="1" applyAlignment="1">
      <alignment horizontal="right"/>
    </xf>
    <xf numFmtId="186" fontId="10" fillId="0" borderId="54" xfId="0" applyNumberFormat="1" applyFont="1" applyBorder="1" applyAlignment="1">
      <alignment horizontal="right"/>
    </xf>
    <xf numFmtId="164" fontId="12" fillId="18" borderId="54" xfId="0" applyNumberFormat="1" applyFont="1" applyFill="1" applyBorder="1" applyAlignment="1">
      <alignment horizontal="right"/>
    </xf>
    <xf numFmtId="193" fontId="12" fillId="7" borderId="54" xfId="0" applyNumberFormat="1" applyFont="1" applyFill="1" applyBorder="1" applyAlignment="1">
      <alignment horizontal="right"/>
    </xf>
    <xf numFmtId="184" fontId="2" fillId="20" borderId="56" xfId="0" applyNumberFormat="1" applyFont="1" applyFill="1" applyBorder="1" applyAlignment="1">
      <alignment horizontal="right"/>
    </xf>
    <xf numFmtId="184" fontId="38" fillId="0" borderId="52" xfId="0" applyNumberFormat="1" applyFont="1" applyBorder="1" applyAlignment="1">
      <alignment horizontal="right"/>
    </xf>
    <xf numFmtId="185" fontId="10" fillId="0" borderId="52" xfId="0" applyNumberFormat="1" applyFont="1" applyBorder="1" applyAlignment="1">
      <alignment horizontal="right"/>
    </xf>
    <xf numFmtId="166" fontId="10" fillId="0" borderId="53" xfId="1" applyNumberFormat="1" applyFont="1" applyBorder="1" applyAlignment="1">
      <alignment horizontal="right"/>
    </xf>
    <xf numFmtId="1" fontId="10" fillId="0" borderId="52" xfId="0" applyNumberFormat="1" applyFont="1" applyBorder="1"/>
    <xf numFmtId="164" fontId="4" fillId="0" borderId="57" xfId="0" applyNumberFormat="1" applyFont="1" applyBorder="1" applyAlignment="1">
      <alignment horizontal="right"/>
    </xf>
    <xf numFmtId="164" fontId="35" fillId="8" borderId="52" xfId="0" applyNumberFormat="1" applyFont="1" applyFill="1" applyBorder="1" applyAlignment="1">
      <alignment horizontal="left"/>
    </xf>
    <xf numFmtId="164" fontId="35" fillId="8" borderId="57" xfId="0" applyNumberFormat="1" applyFont="1" applyFill="1" applyBorder="1" applyAlignment="1">
      <alignment horizontal="left"/>
    </xf>
    <xf numFmtId="164" fontId="12" fillId="0" borderId="54" xfId="0" applyNumberFormat="1" applyFont="1" applyBorder="1" applyAlignment="1">
      <alignment horizontal="right"/>
    </xf>
    <xf numFmtId="164" fontId="5" fillId="21" borderId="52" xfId="0" applyNumberFormat="1" applyFont="1" applyFill="1" applyBorder="1" applyAlignment="1">
      <alignment horizontal="right"/>
    </xf>
    <xf numFmtId="165" fontId="62" fillId="0" borderId="52" xfId="0" applyNumberFormat="1" applyFont="1" applyBorder="1" applyAlignment="1">
      <alignment horizontal="right"/>
    </xf>
    <xf numFmtId="164" fontId="65" fillId="0" borderId="52" xfId="0" applyNumberFormat="1" applyFont="1" applyBorder="1" applyAlignment="1">
      <alignment horizontal="right"/>
    </xf>
    <xf numFmtId="166" fontId="4" fillId="0" borderId="52" xfId="1" applyNumberFormat="1" applyFont="1" applyBorder="1" applyAlignment="1">
      <alignment horizontal="right"/>
    </xf>
    <xf numFmtId="171" fontId="10" fillId="0" borderId="52" xfId="0" applyNumberFormat="1" applyFont="1" applyBorder="1" applyAlignment="1">
      <alignment horizontal="right"/>
    </xf>
    <xf numFmtId="164" fontId="5" fillId="0" borderId="52" xfId="0" applyNumberFormat="1" applyFont="1" applyBorder="1" applyAlignment="1">
      <alignment horizontal="right"/>
    </xf>
    <xf numFmtId="186" fontId="15" fillId="18" borderId="52" xfId="0" applyNumberFormat="1" applyFont="1" applyFill="1" applyBorder="1" applyAlignment="1">
      <alignment horizontal="right"/>
    </xf>
    <xf numFmtId="165" fontId="10" fillId="18" borderId="52" xfId="0" applyNumberFormat="1" applyFont="1" applyFill="1" applyBorder="1" applyAlignment="1">
      <alignment horizontal="right"/>
    </xf>
    <xf numFmtId="188" fontId="10" fillId="18" borderId="52" xfId="0" applyNumberFormat="1" applyFont="1" applyFill="1" applyBorder="1" applyAlignment="1">
      <alignment horizontal="right"/>
    </xf>
    <xf numFmtId="188" fontId="10" fillId="0" borderId="52" xfId="0" applyNumberFormat="1" applyFont="1" applyBorder="1" applyAlignment="1">
      <alignment horizontal="right"/>
    </xf>
    <xf numFmtId="186" fontId="4" fillId="0" borderId="52" xfId="0" applyNumberFormat="1" applyFont="1" applyBorder="1" applyAlignment="1">
      <alignment horizontal="right"/>
    </xf>
    <xf numFmtId="164" fontId="4" fillId="2" borderId="52" xfId="0" applyNumberFormat="1" applyFont="1" applyFill="1" applyBorder="1" applyAlignment="1">
      <alignment horizontal="right"/>
    </xf>
    <xf numFmtId="186" fontId="5" fillId="0" borderId="52" xfId="0" applyNumberFormat="1" applyFont="1" applyBorder="1" applyAlignment="1">
      <alignment horizontal="right"/>
    </xf>
    <xf numFmtId="186" fontId="4" fillId="0" borderId="53" xfId="0" applyNumberFormat="1" applyFont="1" applyBorder="1" applyAlignment="1">
      <alignment horizontal="right"/>
    </xf>
    <xf numFmtId="186" fontId="5" fillId="0" borderId="54" xfId="0" applyNumberFormat="1" applyFont="1" applyBorder="1" applyAlignment="1">
      <alignment horizontal="right"/>
    </xf>
    <xf numFmtId="165" fontId="10" fillId="0" borderId="55" xfId="0" applyNumberFormat="1" applyFont="1" applyBorder="1" applyAlignment="1">
      <alignment horizontal="right"/>
    </xf>
    <xf numFmtId="0" fontId="42" fillId="0" borderId="0" xfId="0" applyFont="1"/>
    <xf numFmtId="0" fontId="0" fillId="0" borderId="0" xfId="0" quotePrefix="1"/>
    <xf numFmtId="171" fontId="3" fillId="0" borderId="0" xfId="0" applyNumberFormat="1" applyFont="1"/>
    <xf numFmtId="182" fontId="52" fillId="0" borderId="0" xfId="0" applyNumberFormat="1" applyFont="1" applyAlignment="1">
      <alignment horizontal="right"/>
    </xf>
    <xf numFmtId="193" fontId="52" fillId="0" borderId="0" xfId="0" applyNumberFormat="1" applyFont="1" applyAlignment="1">
      <alignment horizontal="right"/>
    </xf>
    <xf numFmtId="194" fontId="2" fillId="5" borderId="0" xfId="0" applyNumberFormat="1" applyFont="1" applyFill="1" applyAlignment="1">
      <alignment horizontal="right"/>
    </xf>
    <xf numFmtId="182" fontId="10" fillId="10" borderId="31" xfId="0" applyNumberFormat="1" applyFont="1" applyFill="1" applyBorder="1"/>
    <xf numFmtId="182" fontId="10" fillId="10" borderId="29" xfId="0" applyNumberFormat="1" applyFont="1" applyFill="1" applyBorder="1"/>
    <xf numFmtId="171" fontId="4" fillId="10" borderId="0" xfId="0" applyNumberFormat="1" applyFont="1" applyFill="1" applyAlignment="1">
      <alignment horizontal="right"/>
    </xf>
    <xf numFmtId="1" fontId="4" fillId="10" borderId="0" xfId="0" applyNumberFormat="1" applyFont="1" applyFill="1" applyAlignment="1">
      <alignment horizontal="right"/>
    </xf>
    <xf numFmtId="193" fontId="3" fillId="0" borderId="0" xfId="0" applyNumberFormat="1" applyFont="1" applyAlignment="1">
      <alignment horizontal="right"/>
    </xf>
    <xf numFmtId="182" fontId="4" fillId="10" borderId="0" xfId="0" applyNumberFormat="1" applyFont="1" applyFill="1" applyAlignment="1">
      <alignment horizontal="right"/>
    </xf>
    <xf numFmtId="171" fontId="2" fillId="5" borderId="0" xfId="0" applyNumberFormat="1" applyFont="1" applyFill="1" applyAlignment="1">
      <alignment horizontal="right"/>
    </xf>
    <xf numFmtId="171" fontId="0" fillId="0" borderId="0" xfId="0" applyNumberFormat="1" applyAlignment="1">
      <alignment horizontal="right"/>
    </xf>
    <xf numFmtId="171" fontId="53" fillId="0" borderId="0" xfId="0" applyNumberFormat="1" applyFont="1" applyAlignment="1">
      <alignment horizontal="right"/>
    </xf>
    <xf numFmtId="171" fontId="5" fillId="10" borderId="0" xfId="0" applyNumberFormat="1" applyFont="1" applyFill="1" applyAlignment="1">
      <alignment horizontal="right"/>
    </xf>
    <xf numFmtId="166" fontId="0" fillId="0" borderId="0" xfId="1" applyNumberFormat="1" applyFont="1"/>
    <xf numFmtId="10" fontId="4" fillId="10" borderId="0" xfId="0" applyNumberFormat="1" applyFont="1" applyFill="1"/>
    <xf numFmtId="164" fontId="10" fillId="22" borderId="0" xfId="0" applyNumberFormat="1" applyFont="1" applyFill="1"/>
    <xf numFmtId="170" fontId="10" fillId="22" borderId="0" xfId="0" applyNumberFormat="1" applyFont="1" applyFill="1"/>
    <xf numFmtId="10" fontId="0" fillId="0" borderId="52" xfId="0" applyNumberFormat="1" applyBorder="1"/>
    <xf numFmtId="170" fontId="0" fillId="0" borderId="52" xfId="0" applyNumberFormat="1" applyBorder="1"/>
    <xf numFmtId="164" fontId="12" fillId="22" borderId="0" xfId="0" applyNumberFormat="1" applyFont="1" applyFill="1"/>
    <xf numFmtId="164" fontId="3" fillId="0" borderId="52" xfId="0" applyNumberFormat="1" applyFont="1" applyBorder="1"/>
    <xf numFmtId="0" fontId="2" fillId="5" borderId="0" xfId="0" applyFont="1" applyFill="1"/>
    <xf numFmtId="0" fontId="3" fillId="7" borderId="0" xfId="0" applyFont="1" applyFill="1"/>
    <xf numFmtId="0" fontId="2" fillId="8" borderId="0" xfId="0" applyFont="1" applyFill="1"/>
    <xf numFmtId="0" fontId="2" fillId="23" borderId="0" xfId="0" applyFont="1" applyFill="1"/>
    <xf numFmtId="164" fontId="2" fillId="5" borderId="0" xfId="0" applyNumberFormat="1" applyFont="1" applyFill="1" applyAlignment="1">
      <alignment horizontal="right"/>
    </xf>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Revenue Growth (FY15–FY25)</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Revenue y/y %</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'Moog-Charts'!$C$7:$M$7</c:f>
              <c:numCache>
                <c:formatCode>0</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'Moog-Charts'!$C$8:$M$8</c:f>
              <c:numCache>
                <c:formatCode>0.0%;\(0.0%\);\-</c:formatCode>
                <c:ptCount val="11"/>
                <c:pt idx="0">
                  <c:v>0</c:v>
                </c:pt>
                <c:pt idx="1">
                  <c:v>-4.4978642123718937E-2</c:v>
                </c:pt>
                <c:pt idx="2">
                  <c:v>3.548475768645698E-2</c:v>
                </c:pt>
                <c:pt idx="3">
                  <c:v>8.4861646975164184E-2</c:v>
                </c:pt>
                <c:pt idx="4">
                  <c:v>7.2041817803347508E-2</c:v>
                </c:pt>
                <c:pt idx="5">
                  <c:v>-6.9230062144902682E-3</c:v>
                </c:pt>
                <c:pt idx="6">
                  <c:v>-1.1288053543112797E-2</c:v>
                </c:pt>
                <c:pt idx="7">
                  <c:v>6.4442654662897336E-2</c:v>
                </c:pt>
                <c:pt idx="8">
                  <c:v>9.236727394546973E-2</c:v>
                </c:pt>
                <c:pt idx="9">
                  <c:v>8.8285050012212762E-2</c:v>
                </c:pt>
                <c:pt idx="10">
                  <c:v>6.9733108707217495E-2</c:v>
                </c:pt>
              </c:numCache>
            </c:numRef>
          </c:val>
          <c:extLst>
            <c:ext xmlns:c16="http://schemas.microsoft.com/office/drawing/2014/chart" uri="{C3380CC4-5D6E-409C-BE32-E72D297353CC}">
              <c16:uniqueId val="{00000000-EF6F-489D-9814-3B41257B70F8}"/>
            </c:ext>
          </c:extLst>
        </c:ser>
        <c:dLbls>
          <c:dLblPos val="outEnd"/>
          <c:showLegendKey val="0"/>
          <c:showVal val="1"/>
          <c:showCatName val="0"/>
          <c:showSerName val="0"/>
          <c:showPercent val="0"/>
          <c:showBubbleSize val="0"/>
        </c:dLbls>
        <c:gapWidth val="219"/>
        <c:overlap val="-27"/>
        <c:axId val="1508004639"/>
        <c:axId val="1508005119"/>
      </c:barChart>
      <c:catAx>
        <c:axId val="1508004639"/>
        <c:scaling>
          <c:orientation val="minMax"/>
        </c:scaling>
        <c:delete val="0"/>
        <c:axPos val="b"/>
        <c:numFmt formatCode="0"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08005119"/>
        <c:crosses val="autoZero"/>
        <c:auto val="1"/>
        <c:lblAlgn val="ctr"/>
        <c:lblOffset val="100"/>
        <c:noMultiLvlLbl val="0"/>
      </c:catAx>
      <c:valAx>
        <c:axId val="1508005119"/>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0800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Gross Profit &amp; Adj EBIT ($M) with Margins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Gross Profit ($M)</c:v>
          </c:tx>
          <c:spPr>
            <a:solidFill>
              <a:schemeClr val="accent1"/>
            </a:solidFill>
            <a:ln>
              <a:noFill/>
            </a:ln>
            <a:effectLst/>
          </c:spPr>
          <c:invertIfNegative val="0"/>
          <c:cat>
            <c:numRef>
              <c:f>'Moog-Charts'!$C$11:$M$11</c:f>
              <c:numCache>
                <c:formatCode>0</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'Moog-Charts'!$C$12:$M$12</c:f>
              <c:numCache>
                <c:formatCode>#,##0;\(#,##0\);\-</c:formatCode>
                <c:ptCount val="11"/>
                <c:pt idx="0">
                  <c:v>736.70400000000018</c:v>
                </c:pt>
                <c:pt idx="1">
                  <c:v>711.58299999999986</c:v>
                </c:pt>
                <c:pt idx="2">
                  <c:v>731.52199999999993</c:v>
                </c:pt>
                <c:pt idx="3">
                  <c:v>774.09099999999978</c:v>
                </c:pt>
                <c:pt idx="4">
                  <c:v>815.83199999999988</c:v>
                </c:pt>
                <c:pt idx="5">
                  <c:v>743.69599999999991</c:v>
                </c:pt>
                <c:pt idx="6">
                  <c:v>775.72299999999996</c:v>
                </c:pt>
                <c:pt idx="7">
                  <c:v>820.80100000000039</c:v>
                </c:pt>
                <c:pt idx="8">
                  <c:v>897.75499999999988</c:v>
                </c:pt>
                <c:pt idx="9">
                  <c:v>1012.4079999999999</c:v>
                </c:pt>
                <c:pt idx="10">
                  <c:v>1057.3479999999997</c:v>
                </c:pt>
              </c:numCache>
            </c:numRef>
          </c:val>
          <c:extLst>
            <c:ext xmlns:c16="http://schemas.microsoft.com/office/drawing/2014/chart" uri="{C3380CC4-5D6E-409C-BE32-E72D297353CC}">
              <c16:uniqueId val="{00000000-4603-478B-AFD6-F53EF52CE1D0}"/>
            </c:ext>
          </c:extLst>
        </c:ser>
        <c:ser>
          <c:idx val="1"/>
          <c:order val="1"/>
          <c:tx>
            <c:v>Adj EBIT ($M)</c:v>
          </c:tx>
          <c:spPr>
            <a:solidFill>
              <a:schemeClr val="accent2"/>
            </a:solidFill>
            <a:ln>
              <a:noFill/>
            </a:ln>
            <a:effectLst/>
          </c:spPr>
          <c:invertIfNegative val="0"/>
          <c:val>
            <c:numRef>
              <c:f>'Moog-Charts'!$C$13:$M$13</c:f>
              <c:numCache>
                <c:formatCode>#,##0;\(#,##0\);\-</c:formatCode>
                <c:ptCount val="11"/>
                <c:pt idx="0">
                  <c:v>212.80100000000022</c:v>
                </c:pt>
                <c:pt idx="1">
                  <c:v>204.09999999999982</c:v>
                </c:pt>
                <c:pt idx="2">
                  <c:v>250.15199999999999</c:v>
                </c:pt>
                <c:pt idx="3">
                  <c:v>294.53399999999999</c:v>
                </c:pt>
                <c:pt idx="4">
                  <c:v>321.142</c:v>
                </c:pt>
                <c:pt idx="5">
                  <c:v>287.60899999999998</c:v>
                </c:pt>
                <c:pt idx="6">
                  <c:v>277.863</c:v>
                </c:pt>
                <c:pt idx="7">
                  <c:v>308.279</c:v>
                </c:pt>
                <c:pt idx="8">
                  <c:v>361.80599999999998</c:v>
                </c:pt>
                <c:pt idx="9">
                  <c:v>457.86199999999997</c:v>
                </c:pt>
                <c:pt idx="10">
                  <c:v>501.26799999999997</c:v>
                </c:pt>
              </c:numCache>
            </c:numRef>
          </c:val>
          <c:extLst>
            <c:ext xmlns:c16="http://schemas.microsoft.com/office/drawing/2014/chart" uri="{C3380CC4-5D6E-409C-BE32-E72D297353CC}">
              <c16:uniqueId val="{00000001-4603-478B-AFD6-F53EF52CE1D0}"/>
            </c:ext>
          </c:extLst>
        </c:ser>
        <c:dLbls>
          <c:showLegendKey val="0"/>
          <c:showVal val="0"/>
          <c:showCatName val="0"/>
          <c:showSerName val="0"/>
          <c:showPercent val="0"/>
          <c:showBubbleSize val="0"/>
        </c:dLbls>
        <c:gapWidth val="219"/>
        <c:overlap val="-27"/>
        <c:axId val="1518633631"/>
        <c:axId val="1518634591"/>
      </c:barChart>
      <c:lineChart>
        <c:grouping val="standard"/>
        <c:varyColors val="0"/>
        <c:ser>
          <c:idx val="2"/>
          <c:order val="2"/>
          <c:tx>
            <c:v>Gross Margin %</c:v>
          </c:tx>
          <c:spPr>
            <a:ln w="28575" cap="rnd">
              <a:solidFill>
                <a:schemeClr val="accent3"/>
              </a:solidFill>
              <a:round/>
            </a:ln>
            <a:effectLst/>
          </c:spPr>
          <c:marker>
            <c:symbol val="none"/>
          </c:marker>
          <c:cat>
            <c:numRef>
              <c:f>'Moog-Charts'!$C$11:$M$11</c:f>
              <c:numCache>
                <c:formatCode>0</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'Moog-Charts'!$C$14:$M$14</c:f>
              <c:numCache>
                <c:formatCode>0.0%;\(0.0%\);\-</c:formatCode>
                <c:ptCount val="11"/>
                <c:pt idx="0">
                  <c:v>0.29170250070084247</c:v>
                </c:pt>
                <c:pt idx="1">
                  <c:v>0.2950255334198198</c:v>
                </c:pt>
                <c:pt idx="2">
                  <c:v>0.29289888705774197</c:v>
                </c:pt>
                <c:pt idx="3">
                  <c:v>0.28569852089044778</c:v>
                </c:pt>
                <c:pt idx="4">
                  <c:v>0.28086976010642195</c:v>
                </c:pt>
                <c:pt idx="5">
                  <c:v>0.25782009974505588</c:v>
                </c:pt>
                <c:pt idx="6">
                  <c:v>0.27199330433139213</c:v>
                </c:pt>
                <c:pt idx="7">
                  <c:v>0.27037538585597204</c:v>
                </c:pt>
                <c:pt idx="8">
                  <c:v>0.2707188068234932</c:v>
                </c:pt>
                <c:pt idx="9">
                  <c:v>0.2805262457882603</c:v>
                </c:pt>
                <c:pt idx="10">
                  <c:v>0.27388007741753662</c:v>
                </c:pt>
              </c:numCache>
            </c:numRef>
          </c:val>
          <c:smooth val="0"/>
          <c:extLst>
            <c:ext xmlns:c16="http://schemas.microsoft.com/office/drawing/2014/chart" uri="{C3380CC4-5D6E-409C-BE32-E72D297353CC}">
              <c16:uniqueId val="{00000002-4603-478B-AFD6-F53EF52CE1D0}"/>
            </c:ext>
          </c:extLst>
        </c:ser>
        <c:ser>
          <c:idx val="3"/>
          <c:order val="3"/>
          <c:tx>
            <c:v>Adj EBIT Margin %</c:v>
          </c:tx>
          <c:spPr>
            <a:ln w="28575" cap="rnd">
              <a:solidFill>
                <a:schemeClr val="accent4"/>
              </a:solidFill>
              <a:round/>
            </a:ln>
            <a:effectLst/>
          </c:spPr>
          <c:marker>
            <c:symbol val="none"/>
          </c:marker>
          <c:cat>
            <c:numRef>
              <c:f>'Moog-Charts'!$C$11:$M$11</c:f>
              <c:numCache>
                <c:formatCode>0</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'Moog-Charts'!$C$15:$M$15</c:f>
              <c:numCache>
                <c:formatCode>0.0%;\(0.0%\);\-</c:formatCode>
                <c:ptCount val="11"/>
                <c:pt idx="0">
                  <c:v>8.425987079157983E-2</c:v>
                </c:pt>
                <c:pt idx="1">
                  <c:v>8.4620784042037517E-2</c:v>
                </c:pt>
                <c:pt idx="2">
                  <c:v>0.10015999846247724</c:v>
                </c:pt>
                <c:pt idx="3">
                  <c:v>0.10870547280868421</c:v>
                </c:pt>
                <c:pt idx="4">
                  <c:v>0.11056084647341188</c:v>
                </c:pt>
                <c:pt idx="5">
                  <c:v>9.9706575089251223E-2</c:v>
                </c:pt>
                <c:pt idx="6">
                  <c:v>9.7427658483032739E-2</c:v>
                </c:pt>
                <c:pt idx="7">
                  <c:v>0.1015484308331656</c:v>
                </c:pt>
                <c:pt idx="8">
                  <c:v>0.1091029162985233</c:v>
                </c:pt>
                <c:pt idx="9">
                  <c:v>0.12686812821422236</c:v>
                </c:pt>
                <c:pt idx="10">
                  <c:v>0.12984118629527247</c:v>
                </c:pt>
              </c:numCache>
            </c:numRef>
          </c:val>
          <c:smooth val="0"/>
          <c:extLst>
            <c:ext xmlns:c16="http://schemas.microsoft.com/office/drawing/2014/chart" uri="{C3380CC4-5D6E-409C-BE32-E72D297353CC}">
              <c16:uniqueId val="{00000003-4603-478B-AFD6-F53EF52CE1D0}"/>
            </c:ext>
          </c:extLst>
        </c:ser>
        <c:dLbls>
          <c:showLegendKey val="0"/>
          <c:showVal val="0"/>
          <c:showCatName val="0"/>
          <c:showSerName val="0"/>
          <c:showPercent val="0"/>
          <c:showBubbleSize val="0"/>
        </c:dLbls>
        <c:marker val="1"/>
        <c:smooth val="0"/>
        <c:axId val="1508012319"/>
        <c:axId val="1508008959"/>
      </c:lineChart>
      <c:catAx>
        <c:axId val="1518633631"/>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18634591"/>
        <c:crosses val="autoZero"/>
        <c:auto val="1"/>
        <c:lblAlgn val="ctr"/>
        <c:lblOffset val="100"/>
        <c:noMultiLvlLbl val="0"/>
      </c:catAx>
      <c:valAx>
        <c:axId val="151863459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18633631"/>
        <c:crosses val="autoZero"/>
        <c:crossBetween val="between"/>
      </c:valAx>
      <c:valAx>
        <c:axId val="1508008959"/>
        <c:scaling>
          <c:orientation val="minMax"/>
        </c:scaling>
        <c:delete val="0"/>
        <c:axPos val="r"/>
        <c:title>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08012319"/>
        <c:crosses val="max"/>
        <c:crossBetween val="between"/>
      </c:valAx>
      <c:catAx>
        <c:axId val="1508012319"/>
        <c:scaling>
          <c:orientation val="minMax"/>
        </c:scaling>
        <c:delete val="1"/>
        <c:axPos val="b"/>
        <c:numFmt formatCode="0" sourceLinked="1"/>
        <c:majorTickMark val="out"/>
        <c:minorTickMark val="none"/>
        <c:tickLblPos val="nextTo"/>
        <c:crossAx val="1508008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Returns Profile — ROIC, RONTA</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ROIC</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'Moog-Charts'!$C$17:$M$17</c:f>
              <c:numCache>
                <c:formatCode>0</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'Moog-Charts'!$C$18:$M$18</c:f>
              <c:numCache>
                <c:formatCode>0.0%;\(0.0%\);\-</c:formatCode>
                <c:ptCount val="11"/>
                <c:pt idx="0">
                  <c:v>8.6747663174873924E-2</c:v>
                </c:pt>
                <c:pt idx="1">
                  <c:v>8.6444350301548067E-2</c:v>
                </c:pt>
                <c:pt idx="2">
                  <c:v>0.10728565492755</c:v>
                </c:pt>
                <c:pt idx="3">
                  <c:v>7.8655446968030077E-2</c:v>
                </c:pt>
                <c:pt idx="4">
                  <c:v>0.11954877510635042</c:v>
                </c:pt>
                <c:pt idx="5">
                  <c:v>0.10329086266001324</c:v>
                </c:pt>
                <c:pt idx="6">
                  <c:v>9.7316190880433084E-2</c:v>
                </c:pt>
                <c:pt idx="7">
                  <c:v>0.10924839780903155</c:v>
                </c:pt>
                <c:pt idx="8">
                  <c:v>0.11772679254710074</c:v>
                </c:pt>
                <c:pt idx="9">
                  <c:v>0.13418059193538248</c:v>
                </c:pt>
                <c:pt idx="10">
                  <c:v>0.13102097325430806</c:v>
                </c:pt>
              </c:numCache>
            </c:numRef>
          </c:val>
          <c:extLst>
            <c:ext xmlns:c16="http://schemas.microsoft.com/office/drawing/2014/chart" uri="{C3380CC4-5D6E-409C-BE32-E72D297353CC}">
              <c16:uniqueId val="{00000000-0692-468A-8356-3DF8B69DF3AD}"/>
            </c:ext>
          </c:extLst>
        </c:ser>
        <c:ser>
          <c:idx val="1"/>
          <c:order val="1"/>
          <c:tx>
            <c:v>RONTA</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'Moog-Charts'!$C$17:$M$17</c:f>
              <c:numCache>
                <c:formatCode>0</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'Moog-Charts'!$C$19:$M$19</c:f>
              <c:numCache>
                <c:formatCode>0.0%;\(0.0%\);\-</c:formatCode>
                <c:ptCount val="11"/>
                <c:pt idx="0">
                  <c:v>0.11831713116606909</c:v>
                </c:pt>
                <c:pt idx="1">
                  <c:v>0.11691297237847875</c:v>
                </c:pt>
                <c:pt idx="2">
                  <c:v>0.1598376616243728</c:v>
                </c:pt>
                <c:pt idx="3">
                  <c:v>0.12168800098490208</c:v>
                </c:pt>
                <c:pt idx="4">
                  <c:v>0.17231893090268455</c:v>
                </c:pt>
                <c:pt idx="5">
                  <c:v>0.1415720967963178</c:v>
                </c:pt>
                <c:pt idx="6">
                  <c:v>0.13520953979009931</c:v>
                </c:pt>
                <c:pt idx="7">
                  <c:v>0.14857474383925162</c:v>
                </c:pt>
                <c:pt idx="8">
                  <c:v>0.15213141016962889</c:v>
                </c:pt>
                <c:pt idx="9">
                  <c:v>0.16834226659928858</c:v>
                </c:pt>
                <c:pt idx="10">
                  <c:v>0.16117724478806231</c:v>
                </c:pt>
              </c:numCache>
            </c:numRef>
          </c:val>
          <c:extLst>
            <c:ext xmlns:c16="http://schemas.microsoft.com/office/drawing/2014/chart" uri="{C3380CC4-5D6E-409C-BE32-E72D297353CC}">
              <c16:uniqueId val="{00000001-0692-468A-8356-3DF8B69DF3AD}"/>
            </c:ext>
          </c:extLst>
        </c:ser>
        <c:dLbls>
          <c:showLegendKey val="0"/>
          <c:showVal val="0"/>
          <c:showCatName val="0"/>
          <c:showSerName val="0"/>
          <c:showPercent val="0"/>
          <c:showBubbleSize val="0"/>
        </c:dLbls>
        <c:gapWidth val="150"/>
        <c:axId val="1518632191"/>
        <c:axId val="1518618751"/>
      </c:barChart>
      <c:catAx>
        <c:axId val="1518632191"/>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18618751"/>
        <c:crosses val="autoZero"/>
        <c:auto val="1"/>
        <c:lblAlgn val="ctr"/>
        <c:lblOffset val="100"/>
        <c:noMultiLvlLbl val="0"/>
      </c:catAx>
      <c:valAx>
        <c:axId val="1518618751"/>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186321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Revenue Growth Decomposition: Organic vs M&amp;A</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Charts!$B$8</c:f>
              <c:strCache>
                <c:ptCount val="1"/>
                <c:pt idx="0">
                  <c:v>Organic %</c:v>
                </c:pt>
              </c:strCache>
            </c:strRef>
          </c:tx>
          <c:spPr>
            <a:solidFill>
              <a:srgbClr val="2F3E46"/>
            </a:solidFill>
            <a:ln>
              <a:noFill/>
            </a:ln>
            <a:effectLst/>
          </c:spPr>
          <c:invertIfNegative val="0"/>
          <c:cat>
            <c:numRef>
              <c:f>Charts!$C$7:$M$7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Charts!$C$8:$M$8</c:f>
              <c:numCache>
                <c:formatCode>0.0%;\(0.0%\);\-</c:formatCode>
                <c:ptCount val="11"/>
                <c:pt idx="0">
                  <c:v>0</c:v>
                </c:pt>
                <c:pt idx="1">
                  <c:v>1.2345436316813729E-2</c:v>
                </c:pt>
                <c:pt idx="2">
                  <c:v>0.10559877190133871</c:v>
                </c:pt>
                <c:pt idx="3">
                  <c:v>5.5433171786758439E-2</c:v>
                </c:pt>
                <c:pt idx="4">
                  <c:v>2.3300823498159456E-2</c:v>
                </c:pt>
                <c:pt idx="5">
                  <c:v>0.22418981848132535</c:v>
                </c:pt>
                <c:pt idx="6">
                  <c:v>0.44313908153055248</c:v>
                </c:pt>
                <c:pt idx="7">
                  <c:v>0.29268921483659338</c:v>
                </c:pt>
                <c:pt idx="8">
                  <c:v>-0.36017227844609934</c:v>
                </c:pt>
                <c:pt idx="9">
                  <c:v>0.10824020956991753</c:v>
                </c:pt>
                <c:pt idx="10">
                  <c:v>-7.0907088913623628E-2</c:v>
                </c:pt>
              </c:numCache>
            </c:numRef>
          </c:val>
          <c:extLst>
            <c:ext xmlns:c16="http://schemas.microsoft.com/office/drawing/2014/chart" uri="{C3380CC4-5D6E-409C-BE32-E72D297353CC}">
              <c16:uniqueId val="{00000000-47FE-43A3-A551-64E4BD6820E5}"/>
            </c:ext>
          </c:extLst>
        </c:ser>
        <c:ser>
          <c:idx val="1"/>
          <c:order val="1"/>
          <c:tx>
            <c:strRef>
              <c:f>Charts!$B$9</c:f>
              <c:strCache>
                <c:ptCount val="1"/>
                <c:pt idx="0">
                  <c:v>M&amp;A %</c:v>
                </c:pt>
              </c:strCache>
            </c:strRef>
          </c:tx>
          <c:spPr>
            <a:solidFill>
              <a:srgbClr val="84A98C"/>
            </a:solidFill>
            <a:ln>
              <a:noFill/>
            </a:ln>
            <a:effectLst/>
          </c:spPr>
          <c:invertIfNegative val="0"/>
          <c:cat>
            <c:numRef>
              <c:f>Charts!$C$7:$M$7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Charts!$C$9:$M$9</c:f>
              <c:numCache>
                <c:formatCode>0.0%;\(0.0%\);\-</c:formatCode>
                <c:ptCount val="11"/>
                <c:pt idx="0">
                  <c:v>0</c:v>
                </c:pt>
                <c:pt idx="1">
                  <c:v>0.3194479938665985</c:v>
                </c:pt>
                <c:pt idx="2">
                  <c:v>0</c:v>
                </c:pt>
                <c:pt idx="3">
                  <c:v>0</c:v>
                </c:pt>
                <c:pt idx="4">
                  <c:v>0.17464232856438086</c:v>
                </c:pt>
                <c:pt idx="5">
                  <c:v>0</c:v>
                </c:pt>
                <c:pt idx="6">
                  <c:v>0.12938619190559983</c:v>
                </c:pt>
                <c:pt idx="7">
                  <c:v>0</c:v>
                </c:pt>
                <c:pt idx="8">
                  <c:v>0</c:v>
                </c:pt>
                <c:pt idx="9">
                  <c:v>0</c:v>
                </c:pt>
                <c:pt idx="10">
                  <c:v>0.55099158617883259</c:v>
                </c:pt>
              </c:numCache>
            </c:numRef>
          </c:val>
          <c:extLst>
            <c:ext xmlns:c16="http://schemas.microsoft.com/office/drawing/2014/chart" uri="{C3380CC4-5D6E-409C-BE32-E72D297353CC}">
              <c16:uniqueId val="{00000001-47FE-43A3-A551-64E4BD6820E5}"/>
            </c:ext>
          </c:extLst>
        </c:ser>
        <c:dLbls>
          <c:showLegendKey val="0"/>
          <c:showVal val="0"/>
          <c:showCatName val="0"/>
          <c:showSerName val="0"/>
          <c:showPercent val="0"/>
          <c:showBubbleSize val="0"/>
        </c:dLbls>
        <c:gapWidth val="150"/>
        <c:overlap val="100"/>
        <c:axId val="1613985759"/>
        <c:axId val="1613986719"/>
      </c:barChart>
      <c:catAx>
        <c:axId val="161398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986719"/>
        <c:crosses val="autoZero"/>
        <c:auto val="1"/>
        <c:lblAlgn val="ctr"/>
        <c:lblOffset val="100"/>
        <c:noMultiLvlLbl val="0"/>
      </c:catAx>
      <c:valAx>
        <c:axId val="161398671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985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Gross Profit &amp; EBIT (DKKm) with Margins (%)</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Charts!$B$12</c:f>
              <c:strCache>
                <c:ptCount val="1"/>
                <c:pt idx="0">
                  <c:v>Gross Profit</c:v>
                </c:pt>
              </c:strCache>
            </c:strRef>
          </c:tx>
          <c:spPr>
            <a:solidFill>
              <a:srgbClr val="A8C5D6"/>
            </a:solidFill>
            <a:ln>
              <a:noFill/>
            </a:ln>
            <a:effectLst/>
          </c:spPr>
          <c:invertIfNegative val="0"/>
          <c:cat>
            <c:numRef>
              <c:f>Charts!$C$11:$M$11</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Charts!$C$12:$M$12</c:f>
              <c:numCache>
                <c:formatCode>#,##0;\(#,##0\);\-</c:formatCode>
                <c:ptCount val="11"/>
                <c:pt idx="0">
                  <c:v>11201</c:v>
                </c:pt>
                <c:pt idx="1">
                  <c:v>15838</c:v>
                </c:pt>
                <c:pt idx="2">
                  <c:v>16605</c:v>
                </c:pt>
                <c:pt idx="3">
                  <c:v>17489</c:v>
                </c:pt>
                <c:pt idx="4">
                  <c:v>23754</c:v>
                </c:pt>
                <c:pt idx="5">
                  <c:v>28534</c:v>
                </c:pt>
                <c:pt idx="6">
                  <c:v>37615</c:v>
                </c:pt>
                <c:pt idx="7">
                  <c:v>52149</c:v>
                </c:pt>
                <c:pt idx="8">
                  <c:v>43818</c:v>
                </c:pt>
                <c:pt idx="9">
                  <c:v>42974</c:v>
                </c:pt>
                <c:pt idx="10">
                  <c:v>66859</c:v>
                </c:pt>
              </c:numCache>
            </c:numRef>
          </c:val>
          <c:extLst>
            <c:ext xmlns:c16="http://schemas.microsoft.com/office/drawing/2014/chart" uri="{C3380CC4-5D6E-409C-BE32-E72D297353CC}">
              <c16:uniqueId val="{00000000-08EC-4455-A898-A462DD8059B7}"/>
            </c:ext>
          </c:extLst>
        </c:ser>
        <c:ser>
          <c:idx val="1"/>
          <c:order val="1"/>
          <c:tx>
            <c:strRef>
              <c:f>Charts!$B$13</c:f>
              <c:strCache>
                <c:ptCount val="1"/>
                <c:pt idx="0">
                  <c:v>EBIT</c:v>
                </c:pt>
              </c:strCache>
            </c:strRef>
          </c:tx>
          <c:spPr>
            <a:solidFill>
              <a:srgbClr val="1F4E79"/>
            </a:solidFill>
            <a:ln>
              <a:noFill/>
            </a:ln>
            <a:effectLst/>
          </c:spPr>
          <c:invertIfNegative val="0"/>
          <c:cat>
            <c:numRef>
              <c:f>Charts!$C$11:$M$11</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Charts!$C$13:$M$13</c:f>
              <c:numCache>
                <c:formatCode>#,##0;\(#,##0\);\-</c:formatCode>
                <c:ptCount val="11"/>
                <c:pt idx="0">
                  <c:v>3050</c:v>
                </c:pt>
                <c:pt idx="1">
                  <c:v>3475</c:v>
                </c:pt>
                <c:pt idx="2">
                  <c:v>4878</c:v>
                </c:pt>
                <c:pt idx="3">
                  <c:v>5450</c:v>
                </c:pt>
                <c:pt idx="4">
                  <c:v>6654</c:v>
                </c:pt>
                <c:pt idx="5">
                  <c:v>9520</c:v>
                </c:pt>
                <c:pt idx="6">
                  <c:v>16223</c:v>
                </c:pt>
                <c:pt idx="7">
                  <c:v>25204</c:v>
                </c:pt>
                <c:pt idx="8">
                  <c:v>17723</c:v>
                </c:pt>
                <c:pt idx="9">
                  <c:v>16096</c:v>
                </c:pt>
                <c:pt idx="10">
                  <c:v>19611</c:v>
                </c:pt>
              </c:numCache>
            </c:numRef>
          </c:val>
          <c:extLst>
            <c:ext xmlns:c16="http://schemas.microsoft.com/office/drawing/2014/chart" uri="{C3380CC4-5D6E-409C-BE32-E72D297353CC}">
              <c16:uniqueId val="{00000001-08EC-4455-A898-A462DD8059B7}"/>
            </c:ext>
          </c:extLst>
        </c:ser>
        <c:dLbls>
          <c:showLegendKey val="0"/>
          <c:showVal val="0"/>
          <c:showCatName val="0"/>
          <c:showSerName val="0"/>
          <c:showPercent val="0"/>
          <c:showBubbleSize val="0"/>
        </c:dLbls>
        <c:gapWidth val="219"/>
        <c:overlap val="-27"/>
        <c:axId val="1612492655"/>
        <c:axId val="1612507055"/>
      </c:barChart>
      <c:lineChart>
        <c:grouping val="standard"/>
        <c:varyColors val="0"/>
        <c:ser>
          <c:idx val="2"/>
          <c:order val="2"/>
          <c:tx>
            <c:strRef>
              <c:f>Charts!$B$14</c:f>
              <c:strCache>
                <c:ptCount val="1"/>
                <c:pt idx="0">
                  <c:v>GP %</c:v>
                </c:pt>
              </c:strCache>
            </c:strRef>
          </c:tx>
          <c:spPr>
            <a:ln w="31750" cap="rnd">
              <a:solidFill>
                <a:srgbClr val="2F3E46"/>
              </a:solidFill>
              <a:prstDash val="solid"/>
              <a:round/>
            </a:ln>
            <a:effectLst/>
          </c:spPr>
          <c:marker>
            <c:symbol val="none"/>
          </c:marker>
          <c:cat>
            <c:numRef>
              <c:f>Charts!$C$11:$M$11</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Charts!$C$14:$M$14</c:f>
              <c:numCache>
                <c:formatCode>0.0%;\(0.0%\);\-</c:formatCode>
                <c:ptCount val="11"/>
                <c:pt idx="0">
                  <c:v>0.22019304487998584</c:v>
                </c:pt>
                <c:pt idx="1">
                  <c:v>0.23378156966360134</c:v>
                </c:pt>
                <c:pt idx="2">
                  <c:v>0.22169263427724598</c:v>
                </c:pt>
                <c:pt idx="3">
                  <c:v>0.22123132581938698</c:v>
                </c:pt>
                <c:pt idx="4">
                  <c:v>0.25083156460861028</c:v>
                </c:pt>
                <c:pt idx="5">
                  <c:v>0.24612703998895905</c:v>
                </c:pt>
                <c:pt idx="6">
                  <c:v>0.20632891950895746</c:v>
                </c:pt>
                <c:pt idx="7">
                  <c:v>0.22128445038508052</c:v>
                </c:pt>
                <c:pt idx="8">
                  <c:v>0.29059919753291108</c:v>
                </c:pt>
                <c:pt idx="9">
                  <c:v>0.25716611013368762</c:v>
                </c:pt>
                <c:pt idx="10">
                  <c:v>0.27032195721522978</c:v>
                </c:pt>
              </c:numCache>
            </c:numRef>
          </c:val>
          <c:smooth val="0"/>
          <c:extLst>
            <c:ext xmlns:c16="http://schemas.microsoft.com/office/drawing/2014/chart" uri="{C3380CC4-5D6E-409C-BE32-E72D297353CC}">
              <c16:uniqueId val="{00000002-08EC-4455-A898-A462DD8059B7}"/>
            </c:ext>
          </c:extLst>
        </c:ser>
        <c:ser>
          <c:idx val="3"/>
          <c:order val="3"/>
          <c:tx>
            <c:strRef>
              <c:f>Charts!$B$15</c:f>
              <c:strCache>
                <c:ptCount val="1"/>
                <c:pt idx="0">
                  <c:v>EBIT %</c:v>
                </c:pt>
              </c:strCache>
            </c:strRef>
          </c:tx>
          <c:spPr>
            <a:ln w="31750" cap="rnd">
              <a:solidFill>
                <a:srgbClr val="C8553D"/>
              </a:solidFill>
              <a:prstDash val="solid"/>
              <a:round/>
            </a:ln>
            <a:effectLst/>
          </c:spPr>
          <c:marker>
            <c:symbol val="none"/>
          </c:marker>
          <c:cat>
            <c:numRef>
              <c:f>Charts!$C$11:$M$11</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Charts!$C$15:$M$15</c:f>
              <c:numCache>
                <c:formatCode>0.0%;\(0.0%\);\-</c:formatCode>
                <c:ptCount val="11"/>
                <c:pt idx="0">
                  <c:v>5.9957931156500027E-2</c:v>
                </c:pt>
                <c:pt idx="1">
                  <c:v>5.1293784226607818E-2</c:v>
                </c:pt>
                <c:pt idx="2">
                  <c:v>6.5125966275483643E-2</c:v>
                </c:pt>
                <c:pt idx="3">
                  <c:v>6.8941090154706341E-2</c:v>
                </c:pt>
                <c:pt idx="4">
                  <c:v>7.0263249596097185E-2</c:v>
                </c:pt>
                <c:pt idx="5">
                  <c:v>8.2117103129420693E-2</c:v>
                </c:pt>
                <c:pt idx="6">
                  <c:v>8.8987745877809832E-2</c:v>
                </c:pt>
                <c:pt idx="7">
                  <c:v>0.1069484225489572</c:v>
                </c:pt>
                <c:pt idx="8">
                  <c:v>0.117538216666114</c:v>
                </c:pt>
                <c:pt idx="9">
                  <c:v>9.632209495769152E-2</c:v>
                </c:pt>
                <c:pt idx="10">
                  <c:v>7.9290505436035108E-2</c:v>
                </c:pt>
              </c:numCache>
            </c:numRef>
          </c:val>
          <c:smooth val="0"/>
          <c:extLst>
            <c:ext xmlns:c16="http://schemas.microsoft.com/office/drawing/2014/chart" uri="{C3380CC4-5D6E-409C-BE32-E72D297353CC}">
              <c16:uniqueId val="{00000003-08EC-4455-A898-A462DD8059B7}"/>
            </c:ext>
          </c:extLst>
        </c:ser>
        <c:dLbls>
          <c:showLegendKey val="0"/>
          <c:showVal val="0"/>
          <c:showCatName val="0"/>
          <c:showSerName val="0"/>
          <c:showPercent val="0"/>
          <c:showBubbleSize val="0"/>
        </c:dLbls>
        <c:marker val="1"/>
        <c:smooth val="0"/>
        <c:axId val="1612520495"/>
        <c:axId val="1612517135"/>
      </c:lineChart>
      <c:catAx>
        <c:axId val="161249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507055"/>
        <c:crosses val="autoZero"/>
        <c:auto val="1"/>
        <c:lblAlgn val="ctr"/>
        <c:lblOffset val="100"/>
        <c:noMultiLvlLbl val="0"/>
      </c:catAx>
      <c:valAx>
        <c:axId val="161250705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492655"/>
        <c:crosses val="autoZero"/>
        <c:crossBetween val="between"/>
      </c:valAx>
      <c:valAx>
        <c:axId val="1612517135"/>
        <c:scaling>
          <c:orientation val="minMax"/>
        </c:scaling>
        <c:delete val="0"/>
        <c:axPos val="r"/>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520495"/>
        <c:crosses val="max"/>
        <c:crossBetween val="between"/>
      </c:valAx>
      <c:catAx>
        <c:axId val="1612520495"/>
        <c:scaling>
          <c:orientation val="minMax"/>
        </c:scaling>
        <c:delete val="1"/>
        <c:axPos val="b"/>
        <c:numFmt formatCode="General" sourceLinked="1"/>
        <c:majorTickMark val="out"/>
        <c:minorTickMark val="none"/>
        <c:tickLblPos val="nextTo"/>
        <c:crossAx val="161251713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Returns Profile: ROIC, RONTA, EBIT/GP &amp; Incremental EBIT Margin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Charts!$B$18</c:f>
              <c:strCache>
                <c:ptCount val="1"/>
                <c:pt idx="0">
                  <c:v>ROIC</c:v>
                </c:pt>
              </c:strCache>
            </c:strRef>
          </c:tx>
          <c:spPr>
            <a:ln w="31750" cap="rnd">
              <a:solidFill>
                <a:srgbClr val="2F3E46"/>
              </a:solidFill>
              <a:prstDash val="solid"/>
              <a:round/>
            </a:ln>
            <a:effectLst/>
          </c:spPr>
          <c:marker>
            <c:symbol val="none"/>
          </c:marker>
          <c:cat>
            <c:numRef>
              <c:f>Charts!$C$17:$M$17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Charts!$C$18:$M$18</c:f>
              <c:numCache>
                <c:formatCode>0.0%;\(0.0%\);\-</c:formatCode>
                <c:ptCount val="11"/>
                <c:pt idx="0">
                  <c:v>0.20060579835569017</c:v>
                </c:pt>
                <c:pt idx="1">
                  <c:v>0.12144203798225042</c:v>
                </c:pt>
                <c:pt idx="2">
                  <c:v>0.18131168386560376</c:v>
                </c:pt>
                <c:pt idx="3">
                  <c:v>0.20383858267716534</c:v>
                </c:pt>
                <c:pt idx="4">
                  <c:v>9.1513572204125954E-2</c:v>
                </c:pt>
                <c:pt idx="5">
                  <c:v>0.13882343911892245</c:v>
                </c:pt>
                <c:pt idx="6">
                  <c:v>0.14099858194959058</c:v>
                </c:pt>
                <c:pt idx="7">
                  <c:v>0.22859952501998976</c:v>
                </c:pt>
                <c:pt idx="8">
                  <c:v>0.15910651216083727</c:v>
                </c:pt>
                <c:pt idx="9">
                  <c:v>0.13286441984989847</c:v>
                </c:pt>
                <c:pt idx="10">
                  <c:v>8.6897782131113141E-2</c:v>
                </c:pt>
              </c:numCache>
            </c:numRef>
          </c:val>
          <c:smooth val="0"/>
          <c:extLst>
            <c:ext xmlns:c16="http://schemas.microsoft.com/office/drawing/2014/chart" uri="{C3380CC4-5D6E-409C-BE32-E72D297353CC}">
              <c16:uniqueId val="{00000000-05CB-4E10-B672-36713B81454E}"/>
            </c:ext>
          </c:extLst>
        </c:ser>
        <c:ser>
          <c:idx val="1"/>
          <c:order val="1"/>
          <c:tx>
            <c:strRef>
              <c:f>Charts!$B$19</c:f>
              <c:strCache>
                <c:ptCount val="1"/>
                <c:pt idx="0">
                  <c:v>RONTA</c:v>
                </c:pt>
              </c:strCache>
            </c:strRef>
          </c:tx>
          <c:spPr>
            <a:ln w="31750" cap="rnd">
              <a:solidFill>
                <a:srgbClr val="84A98C"/>
              </a:solidFill>
              <a:prstDash val="solid"/>
              <a:round/>
            </a:ln>
            <a:effectLst/>
          </c:spPr>
          <c:marker>
            <c:symbol val="none"/>
          </c:marker>
          <c:cat>
            <c:numRef>
              <c:f>Charts!$C$17:$M$17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Charts!$C$19:$M$19</c:f>
              <c:numCache>
                <c:formatCode>0.0%;\(0.0%\);\-</c:formatCode>
                <c:ptCount val="11"/>
                <c:pt idx="0">
                  <c:v>0.24727970983571582</c:v>
                </c:pt>
                <c:pt idx="1">
                  <c:v>0.30269340974212033</c:v>
                </c:pt>
                <c:pt idx="2">
                  <c:v>0.51966358284272496</c:v>
                </c:pt>
                <c:pt idx="3">
                  <c:v>0.62210874136377292</c:v>
                </c:pt>
                <c:pt idx="4">
                  <c:v>0.23901313923811324</c:v>
                </c:pt>
                <c:pt idx="5">
                  <c:v>0.32147871678663464</c:v>
                </c:pt>
                <c:pt idx="6">
                  <c:v>0.31426299288863968</c:v>
                </c:pt>
                <c:pt idx="7">
                  <c:v>0.49124304362321447</c:v>
                </c:pt>
                <c:pt idx="8">
                  <c:v>0.35811655854514518</c:v>
                </c:pt>
                <c:pt idx="9">
                  <c:v>9.8577380232886105E-2</c:v>
                </c:pt>
                <c:pt idx="10">
                  <c:v>0.20133680954246425</c:v>
                </c:pt>
              </c:numCache>
            </c:numRef>
          </c:val>
          <c:smooth val="0"/>
          <c:extLst>
            <c:ext xmlns:c16="http://schemas.microsoft.com/office/drawing/2014/chart" uri="{C3380CC4-5D6E-409C-BE32-E72D297353CC}">
              <c16:uniqueId val="{00000001-05CB-4E10-B672-36713B81454E}"/>
            </c:ext>
          </c:extLst>
        </c:ser>
        <c:ser>
          <c:idx val="2"/>
          <c:order val="2"/>
          <c:tx>
            <c:strRef>
              <c:f>Charts!$B$20</c:f>
              <c:strCache>
                <c:ptCount val="1"/>
                <c:pt idx="0">
                  <c:v>EBIT / GP</c:v>
                </c:pt>
              </c:strCache>
            </c:strRef>
          </c:tx>
          <c:spPr>
            <a:ln w="31750" cap="rnd">
              <a:solidFill>
                <a:srgbClr val="1F4E79"/>
              </a:solidFill>
              <a:prstDash val="solid"/>
              <a:round/>
            </a:ln>
            <a:effectLst/>
          </c:spPr>
          <c:marker>
            <c:symbol val="none"/>
          </c:marker>
          <c:cat>
            <c:numRef>
              <c:f>Charts!$C$17:$M$17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Charts!$C$20:$M$20</c:f>
              <c:numCache>
                <c:formatCode>0.0%;\(0.0%\);\-</c:formatCode>
                <c:ptCount val="11"/>
                <c:pt idx="0">
                  <c:v>0.27229711632889919</c:v>
                </c:pt>
                <c:pt idx="1">
                  <c:v>0.21940901628993559</c:v>
                </c:pt>
                <c:pt idx="2">
                  <c:v>0.29376693766937667</c:v>
                </c:pt>
                <c:pt idx="3">
                  <c:v>0.31162444965406827</c:v>
                </c:pt>
                <c:pt idx="4">
                  <c:v>0.28012124273806516</c:v>
                </c:pt>
                <c:pt idx="5">
                  <c:v>0.33363706455456649</c:v>
                </c:pt>
                <c:pt idx="6">
                  <c:v>0.4312907084939519</c:v>
                </c:pt>
                <c:pt idx="7">
                  <c:v>0.48330744597211833</c:v>
                </c:pt>
                <c:pt idx="8">
                  <c:v>0.40446848327171481</c:v>
                </c:pt>
                <c:pt idx="9">
                  <c:v>0.37455205473076741</c:v>
                </c:pt>
                <c:pt idx="10">
                  <c:v>0.29331877533316381</c:v>
                </c:pt>
              </c:numCache>
            </c:numRef>
          </c:val>
          <c:smooth val="0"/>
          <c:extLst>
            <c:ext xmlns:c16="http://schemas.microsoft.com/office/drawing/2014/chart" uri="{C3380CC4-5D6E-409C-BE32-E72D297353CC}">
              <c16:uniqueId val="{00000002-05CB-4E10-B672-36713B81454E}"/>
            </c:ext>
          </c:extLst>
        </c:ser>
        <c:ser>
          <c:idx val="3"/>
          <c:order val="3"/>
          <c:tx>
            <c:strRef>
              <c:f>Charts!$B$21</c:f>
              <c:strCache>
                <c:ptCount val="1"/>
                <c:pt idx="0">
                  <c:v>Incremental EBIT margin</c:v>
                </c:pt>
              </c:strCache>
            </c:strRef>
          </c:tx>
          <c:spPr>
            <a:ln w="31750" cap="rnd">
              <a:solidFill>
                <a:srgbClr val="C8553D"/>
              </a:solidFill>
              <a:prstDash val="solid"/>
              <a:round/>
            </a:ln>
            <a:effectLst/>
          </c:spPr>
          <c:marker>
            <c:symbol val="none"/>
          </c:marker>
          <c:cat>
            <c:numRef>
              <c:f>Charts!$C$17:$M$17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Charts!$C$21:$M$21</c:f>
              <c:numCache>
                <c:formatCode>0.0%;\(0.0%\);\-</c:formatCode>
                <c:ptCount val="11"/>
                <c:pt idx="0">
                  <c:v>0</c:v>
                </c:pt>
                <c:pt idx="1">
                  <c:v>2.5180708614764784E-2</c:v>
                </c:pt>
                <c:pt idx="2">
                  <c:v>0.19611406206318144</c:v>
                </c:pt>
                <c:pt idx="3">
                  <c:v>0.13776493256262043</c:v>
                </c:pt>
                <c:pt idx="4">
                  <c:v>7.6942740286298564E-2</c:v>
                </c:pt>
                <c:pt idx="5">
                  <c:v>0.1349912863265979</c:v>
                </c:pt>
                <c:pt idx="6">
                  <c:v>0.10098833880736433</c:v>
                </c:pt>
                <c:pt idx="7">
                  <c:v>0.16831274948930827</c:v>
                </c:pt>
                <c:pt idx="8">
                  <c:v>8.8136192271442038E-2</c:v>
                </c:pt>
                <c:pt idx="9">
                  <c:v>-9.9687519147111089E-2</c:v>
                </c:pt>
                <c:pt idx="10">
                  <c:v>4.3814272358990339E-2</c:v>
                </c:pt>
              </c:numCache>
            </c:numRef>
          </c:val>
          <c:smooth val="0"/>
          <c:extLst>
            <c:ext xmlns:c16="http://schemas.microsoft.com/office/drawing/2014/chart" uri="{C3380CC4-5D6E-409C-BE32-E72D297353CC}">
              <c16:uniqueId val="{00000003-05CB-4E10-B672-36713B81454E}"/>
            </c:ext>
          </c:extLst>
        </c:ser>
        <c:dLbls>
          <c:showLegendKey val="0"/>
          <c:showVal val="0"/>
          <c:showCatName val="0"/>
          <c:showSerName val="0"/>
          <c:showPercent val="0"/>
          <c:showBubbleSize val="0"/>
        </c:dLbls>
        <c:smooth val="0"/>
        <c:axId val="1612464815"/>
        <c:axId val="1612466255"/>
      </c:lineChart>
      <c:catAx>
        <c:axId val="161246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466255"/>
        <c:crosses val="autoZero"/>
        <c:auto val="1"/>
        <c:lblAlgn val="ctr"/>
        <c:lblOffset val="100"/>
        <c:noMultiLvlLbl val="0"/>
      </c:catAx>
      <c:valAx>
        <c:axId val="1612466255"/>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464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22</xdr:row>
      <xdr:rowOff>0</xdr:rowOff>
    </xdr:from>
    <xdr:to>
      <xdr:col>7</xdr:col>
      <xdr:colOff>0</xdr:colOff>
      <xdr:row>39</xdr:row>
      <xdr:rowOff>0</xdr:rowOff>
    </xdr:to>
    <xdr:graphicFrame macro="">
      <xdr:nvGraphicFramePr>
        <xdr:cNvPr id="4" name="Chart 3">
          <a:extLst>
            <a:ext uri="{FF2B5EF4-FFF2-40B4-BE49-F238E27FC236}">
              <a16:creationId xmlns:a16="http://schemas.microsoft.com/office/drawing/2014/main" id="{0531BD34-A57C-F20D-93C0-4246A685A1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39</xdr:row>
      <xdr:rowOff>0</xdr:rowOff>
    </xdr:from>
    <xdr:to>
      <xdr:col>7</xdr:col>
      <xdr:colOff>0</xdr:colOff>
      <xdr:row>56</xdr:row>
      <xdr:rowOff>0</xdr:rowOff>
    </xdr:to>
    <xdr:graphicFrame macro="">
      <xdr:nvGraphicFramePr>
        <xdr:cNvPr id="5" name="Chart 4">
          <a:extLst>
            <a:ext uri="{FF2B5EF4-FFF2-40B4-BE49-F238E27FC236}">
              <a16:creationId xmlns:a16="http://schemas.microsoft.com/office/drawing/2014/main" id="{C2188B11-8E2A-D059-9B8E-068F61B10A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56</xdr:row>
      <xdr:rowOff>0</xdr:rowOff>
    </xdr:from>
    <xdr:to>
      <xdr:col>7</xdr:col>
      <xdr:colOff>0</xdr:colOff>
      <xdr:row>73</xdr:row>
      <xdr:rowOff>0</xdr:rowOff>
    </xdr:to>
    <xdr:graphicFrame macro="">
      <xdr:nvGraphicFramePr>
        <xdr:cNvPr id="6" name="Chart 5">
          <a:extLst>
            <a:ext uri="{FF2B5EF4-FFF2-40B4-BE49-F238E27FC236}">
              <a16:creationId xmlns:a16="http://schemas.microsoft.com/office/drawing/2014/main" id="{7EE79D1E-4FF7-7732-893F-02AE8D2C84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24</xdr:row>
      <xdr:rowOff>0</xdr:rowOff>
    </xdr:from>
    <xdr:to>
      <xdr:col>13</xdr:col>
      <xdr:colOff>0</xdr:colOff>
      <xdr:row>44</xdr:row>
      <xdr:rowOff>0</xdr:rowOff>
    </xdr:to>
    <xdr:graphicFrame macro="">
      <xdr:nvGraphicFramePr>
        <xdr:cNvPr id="14" name="Chart 13">
          <a:extLst>
            <a:ext uri="{FF2B5EF4-FFF2-40B4-BE49-F238E27FC236}">
              <a16:creationId xmlns:a16="http://schemas.microsoft.com/office/drawing/2014/main" id="{4FA71C71-8A6F-A79E-F8FF-0A467FF18C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45</xdr:row>
      <xdr:rowOff>0</xdr:rowOff>
    </xdr:from>
    <xdr:to>
      <xdr:col>13</xdr:col>
      <xdr:colOff>0</xdr:colOff>
      <xdr:row>65</xdr:row>
      <xdr:rowOff>0</xdr:rowOff>
    </xdr:to>
    <xdr:graphicFrame macro="">
      <xdr:nvGraphicFramePr>
        <xdr:cNvPr id="15" name="Chart 14">
          <a:extLst>
            <a:ext uri="{FF2B5EF4-FFF2-40B4-BE49-F238E27FC236}">
              <a16:creationId xmlns:a16="http://schemas.microsoft.com/office/drawing/2014/main" id="{746B33C4-4AC5-7EEF-B95D-1CAA957821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66</xdr:row>
      <xdr:rowOff>0</xdr:rowOff>
    </xdr:from>
    <xdr:to>
      <xdr:col>13</xdr:col>
      <xdr:colOff>0</xdr:colOff>
      <xdr:row>86</xdr:row>
      <xdr:rowOff>0</xdr:rowOff>
    </xdr:to>
    <xdr:graphicFrame macro="">
      <xdr:nvGraphicFramePr>
        <xdr:cNvPr id="16" name="Chart 15">
          <a:extLst>
            <a:ext uri="{FF2B5EF4-FFF2-40B4-BE49-F238E27FC236}">
              <a16:creationId xmlns:a16="http://schemas.microsoft.com/office/drawing/2014/main" id="{5CEBF5D4-2B38-045F-3CFC-A44BCE7330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522188</xdr:colOff>
      <xdr:row>25</xdr:row>
      <xdr:rowOff>50800</xdr:rowOff>
    </xdr:from>
    <xdr:to>
      <xdr:col>3</xdr:col>
      <xdr:colOff>762581</xdr:colOff>
      <xdr:row>27</xdr:row>
      <xdr:rowOff>125186</xdr:rowOff>
    </xdr:to>
    <xdr:sp macro="" textlink="">
      <xdr:nvSpPr>
        <xdr:cNvPr id="17" name="TextBox 16">
          <a:extLst>
            <a:ext uri="{FF2B5EF4-FFF2-40B4-BE49-F238E27FC236}">
              <a16:creationId xmlns:a16="http://schemas.microsoft.com/office/drawing/2014/main" id="{615FB175-BE35-0591-490A-89BC97914935}"/>
            </a:ext>
          </a:extLst>
        </xdr:cNvPr>
        <xdr:cNvSpPr txBox="1"/>
      </xdr:nvSpPr>
      <xdr:spPr>
        <a:xfrm>
          <a:off x="1882902" y="5194300"/>
          <a:ext cx="1206500" cy="482600"/>
        </a:xfrm>
        <a:prstGeom prst="rect">
          <a:avLst/>
        </a:prstGeom>
        <a:solidFill>
          <a:srgbClr val="FFF2CC"/>
        </a:solidFill>
        <a:ln w="12700">
          <a:solidFill>
            <a:srgbClr val="BF8F00"/>
          </a:solidFill>
        </a:ln>
      </xdr:spPr>
      <xdr:txBody>
        <a:bodyPr vertOverflow="overflow" vert="horz" wrap="square" rtlCol="0" anchor="t">
          <a:spAutoFit/>
        </a:bodyPr>
        <a:lstStyle/>
        <a:p>
          <a:pPr algn="l"/>
          <a:r>
            <a:rPr kumimoji="0" lang="en-CA" sz="800" b="1" i="0" u="none" strike="noStrike" kern="0" cap="none" spc="0" normalizeH="0" baseline="0" noProof="0">
              <a:ln>
                <a:noFill/>
              </a:ln>
              <a:solidFill>
                <a:srgbClr val="7F6000"/>
              </a:solidFill>
              <a:effectLst/>
              <a:uLnTx/>
              <a:uFillTx/>
              <a:latin typeface="Calibri" panose="020F0502020204030204"/>
            </a:rPr>
            <a:t>UTi
2016 · DKK 6.6bn (Cash)</a:t>
          </a:r>
        </a:p>
      </xdr:txBody>
    </xdr:sp>
    <xdr:clientData/>
  </xdr:twoCellAnchor>
  <xdr:twoCellAnchor>
    <xdr:from>
      <xdr:col>5</xdr:col>
      <xdr:colOff>175042</xdr:colOff>
      <xdr:row>25</xdr:row>
      <xdr:rowOff>50800</xdr:rowOff>
    </xdr:from>
    <xdr:to>
      <xdr:col>6</xdr:col>
      <xdr:colOff>605935</xdr:colOff>
      <xdr:row>27</xdr:row>
      <xdr:rowOff>125186</xdr:rowOff>
    </xdr:to>
    <xdr:sp macro="" textlink="">
      <xdr:nvSpPr>
        <xdr:cNvPr id="18" name="TextBox 17">
          <a:extLst>
            <a:ext uri="{FF2B5EF4-FFF2-40B4-BE49-F238E27FC236}">
              <a16:creationId xmlns:a16="http://schemas.microsoft.com/office/drawing/2014/main" id="{6D606710-BB97-12E2-1043-73ADD6C080B5}"/>
            </a:ext>
          </a:extLst>
        </xdr:cNvPr>
        <xdr:cNvSpPr txBox="1"/>
      </xdr:nvSpPr>
      <xdr:spPr>
        <a:xfrm>
          <a:off x="4053078" y="5194300"/>
          <a:ext cx="1206500" cy="482600"/>
        </a:xfrm>
        <a:prstGeom prst="rect">
          <a:avLst/>
        </a:prstGeom>
        <a:solidFill>
          <a:srgbClr val="FFF2CC"/>
        </a:solidFill>
        <a:ln w="12700">
          <a:solidFill>
            <a:srgbClr val="BF8F00"/>
          </a:solidFill>
        </a:ln>
      </xdr:spPr>
      <xdr:txBody>
        <a:bodyPr vertOverflow="overflow" vert="horz" wrap="square" rtlCol="0" anchor="t">
          <a:spAutoFit/>
        </a:bodyPr>
        <a:lstStyle/>
        <a:p>
          <a:pPr algn="l"/>
          <a:r>
            <a:rPr kumimoji="0" lang="en-CA" sz="800" b="1" i="0" u="none" strike="noStrike" kern="0" cap="none" spc="0" normalizeH="0" baseline="0" noProof="0">
              <a:ln>
                <a:noFill/>
              </a:ln>
              <a:solidFill>
                <a:srgbClr val="7F6000"/>
              </a:solidFill>
              <a:effectLst/>
              <a:uLnTx/>
              <a:uFillTx/>
              <a:latin typeface="Calibri" panose="020F0502020204030204"/>
            </a:rPr>
            <a:t>Panalpina
2019 · DKK 35.8bn (Equity)</a:t>
          </a:r>
        </a:p>
      </xdr:txBody>
    </xdr:sp>
    <xdr:clientData/>
  </xdr:twoCellAnchor>
  <xdr:twoCellAnchor>
    <xdr:from>
      <xdr:col>7</xdr:col>
      <xdr:colOff>70611</xdr:colOff>
      <xdr:row>25</xdr:row>
      <xdr:rowOff>50800</xdr:rowOff>
    </xdr:from>
    <xdr:to>
      <xdr:col>8</xdr:col>
      <xdr:colOff>501504</xdr:colOff>
      <xdr:row>27</xdr:row>
      <xdr:rowOff>125186</xdr:rowOff>
    </xdr:to>
    <xdr:sp macro="" textlink="">
      <xdr:nvSpPr>
        <xdr:cNvPr id="19" name="TextBox 18">
          <a:extLst>
            <a:ext uri="{FF2B5EF4-FFF2-40B4-BE49-F238E27FC236}">
              <a16:creationId xmlns:a16="http://schemas.microsoft.com/office/drawing/2014/main" id="{64B2D931-C911-7D10-E4E5-976ED66BF63A}"/>
            </a:ext>
          </a:extLst>
        </xdr:cNvPr>
        <xdr:cNvSpPr txBox="1"/>
      </xdr:nvSpPr>
      <xdr:spPr>
        <a:xfrm>
          <a:off x="5499861" y="5194300"/>
          <a:ext cx="1206500" cy="482600"/>
        </a:xfrm>
        <a:prstGeom prst="rect">
          <a:avLst/>
        </a:prstGeom>
        <a:solidFill>
          <a:srgbClr val="FFF2CC"/>
        </a:solidFill>
        <a:ln w="12700">
          <a:solidFill>
            <a:srgbClr val="BF8F00"/>
          </a:solidFill>
        </a:ln>
      </xdr:spPr>
      <xdr:txBody>
        <a:bodyPr vertOverflow="overflow" vert="horz" wrap="square" rtlCol="0" anchor="t">
          <a:spAutoFit/>
        </a:bodyPr>
        <a:lstStyle/>
        <a:p>
          <a:pPr algn="l"/>
          <a:r>
            <a:rPr kumimoji="0" lang="en-CA" sz="800" b="1" i="0" u="none" strike="noStrike" kern="0" cap="none" spc="0" normalizeH="0" baseline="0" noProof="0">
              <a:ln>
                <a:noFill/>
              </a:ln>
              <a:solidFill>
                <a:srgbClr val="7F6000"/>
              </a:solidFill>
              <a:effectLst/>
              <a:uLnTx/>
              <a:uFillTx/>
              <a:latin typeface="Calibri" panose="020F0502020204030204"/>
            </a:rPr>
            <a:t>GIL
2021 · DKK 29.5bn (Equity)</a:t>
          </a:r>
        </a:p>
      </xdr:txBody>
    </xdr:sp>
    <xdr:clientData/>
  </xdr:twoCellAnchor>
  <xdr:twoCellAnchor>
    <xdr:from>
      <xdr:col>11</xdr:col>
      <xdr:colOff>147500</xdr:colOff>
      <xdr:row>25</xdr:row>
      <xdr:rowOff>50800</xdr:rowOff>
    </xdr:from>
    <xdr:to>
      <xdr:col>12</xdr:col>
      <xdr:colOff>673643</xdr:colOff>
      <xdr:row>27</xdr:row>
      <xdr:rowOff>125186</xdr:rowOff>
    </xdr:to>
    <xdr:sp macro="" textlink="">
      <xdr:nvSpPr>
        <xdr:cNvPr id="20" name="TextBox 19">
          <a:extLst>
            <a:ext uri="{FF2B5EF4-FFF2-40B4-BE49-F238E27FC236}">
              <a16:creationId xmlns:a16="http://schemas.microsoft.com/office/drawing/2014/main" id="{83F6E659-5351-308D-F3B8-A2D214528B40}"/>
            </a:ext>
          </a:extLst>
        </xdr:cNvPr>
        <xdr:cNvSpPr txBox="1"/>
      </xdr:nvSpPr>
      <xdr:spPr>
        <a:xfrm>
          <a:off x="8393429" y="5194300"/>
          <a:ext cx="1206500" cy="482600"/>
        </a:xfrm>
        <a:prstGeom prst="rect">
          <a:avLst/>
        </a:prstGeom>
        <a:solidFill>
          <a:srgbClr val="FFF2CC"/>
        </a:solidFill>
        <a:ln w="12700">
          <a:solidFill>
            <a:srgbClr val="BF8F00"/>
          </a:solidFill>
        </a:ln>
      </xdr:spPr>
      <xdr:txBody>
        <a:bodyPr vertOverflow="overflow" vert="horz" wrap="square" rtlCol="0" anchor="t">
          <a:spAutoFit/>
        </a:bodyPr>
        <a:lstStyle/>
        <a:p>
          <a:pPr algn="l"/>
          <a:r>
            <a:rPr kumimoji="0" lang="en-CA" sz="800" b="1" i="0" u="none" strike="noStrike" kern="0" cap="none" spc="0" normalizeH="0" baseline="0" noProof="0">
              <a:ln>
                <a:noFill/>
              </a:ln>
              <a:solidFill>
                <a:srgbClr val="7F6000"/>
              </a:solidFill>
              <a:effectLst/>
              <a:uLnTx/>
              <a:uFillTx/>
              <a:latin typeface="Calibri" panose="020F0502020204030204"/>
            </a:rPr>
            <a:t>Schenker
2025 · DKK 86.8bn (Cash)</a:t>
          </a:r>
        </a:p>
      </xdr:txBody>
    </xdr:sp>
    <xdr:clientData/>
  </xdr:twoCellAnchor>
  <xdr:twoCellAnchor>
    <xdr:from>
      <xdr:col>2</xdr:col>
      <xdr:colOff>522188</xdr:colOff>
      <xdr:row>45</xdr:row>
      <xdr:rowOff>172357</xdr:rowOff>
    </xdr:from>
    <xdr:to>
      <xdr:col>3</xdr:col>
      <xdr:colOff>762581</xdr:colOff>
      <xdr:row>48</xdr:row>
      <xdr:rowOff>42636</xdr:rowOff>
    </xdr:to>
    <xdr:sp macro="" textlink="">
      <xdr:nvSpPr>
        <xdr:cNvPr id="21" name="TextBox 20">
          <a:extLst>
            <a:ext uri="{FF2B5EF4-FFF2-40B4-BE49-F238E27FC236}">
              <a16:creationId xmlns:a16="http://schemas.microsoft.com/office/drawing/2014/main" id="{94B2D452-6AD8-47BB-CA5A-4C99145C2FF1}"/>
            </a:ext>
          </a:extLst>
        </xdr:cNvPr>
        <xdr:cNvSpPr txBox="1"/>
      </xdr:nvSpPr>
      <xdr:spPr>
        <a:xfrm>
          <a:off x="1882902" y="9398000"/>
          <a:ext cx="1206500" cy="482600"/>
        </a:xfrm>
        <a:prstGeom prst="rect">
          <a:avLst/>
        </a:prstGeom>
        <a:solidFill>
          <a:srgbClr val="FFF2CC"/>
        </a:solidFill>
        <a:ln w="12700">
          <a:solidFill>
            <a:srgbClr val="BF8F00"/>
          </a:solidFill>
        </a:ln>
      </xdr:spPr>
      <xdr:txBody>
        <a:bodyPr vertOverflow="overflow" vert="horz" wrap="square" rtlCol="0" anchor="t">
          <a:spAutoFit/>
        </a:bodyPr>
        <a:lstStyle/>
        <a:p>
          <a:pPr algn="l"/>
          <a:r>
            <a:rPr kumimoji="0" lang="en-CA" sz="800" b="1" i="0" u="none" strike="noStrike" kern="0" cap="none" spc="0" normalizeH="0" baseline="0" noProof="0">
              <a:ln>
                <a:noFill/>
              </a:ln>
              <a:solidFill>
                <a:srgbClr val="7F6000"/>
              </a:solidFill>
              <a:effectLst/>
              <a:uLnTx/>
              <a:uFillTx/>
              <a:latin typeface="Calibri" panose="020F0502020204030204"/>
            </a:rPr>
            <a:t>UTi
2016 · DKK 6.6bn (Cash)</a:t>
          </a:r>
        </a:p>
      </xdr:txBody>
    </xdr:sp>
    <xdr:clientData/>
  </xdr:twoCellAnchor>
  <xdr:twoCellAnchor>
    <xdr:from>
      <xdr:col>5</xdr:col>
      <xdr:colOff>175042</xdr:colOff>
      <xdr:row>45</xdr:row>
      <xdr:rowOff>172357</xdr:rowOff>
    </xdr:from>
    <xdr:to>
      <xdr:col>6</xdr:col>
      <xdr:colOff>605935</xdr:colOff>
      <xdr:row>48</xdr:row>
      <xdr:rowOff>42636</xdr:rowOff>
    </xdr:to>
    <xdr:sp macro="" textlink="">
      <xdr:nvSpPr>
        <xdr:cNvPr id="22" name="TextBox 21">
          <a:extLst>
            <a:ext uri="{FF2B5EF4-FFF2-40B4-BE49-F238E27FC236}">
              <a16:creationId xmlns:a16="http://schemas.microsoft.com/office/drawing/2014/main" id="{74B190C4-FDBD-0F3F-CFD7-A34F63F449DA}"/>
            </a:ext>
          </a:extLst>
        </xdr:cNvPr>
        <xdr:cNvSpPr txBox="1"/>
      </xdr:nvSpPr>
      <xdr:spPr>
        <a:xfrm>
          <a:off x="4053078" y="9398000"/>
          <a:ext cx="1206500" cy="482600"/>
        </a:xfrm>
        <a:prstGeom prst="rect">
          <a:avLst/>
        </a:prstGeom>
        <a:solidFill>
          <a:srgbClr val="FFF2CC"/>
        </a:solidFill>
        <a:ln w="12700">
          <a:solidFill>
            <a:srgbClr val="BF8F00"/>
          </a:solidFill>
        </a:ln>
      </xdr:spPr>
      <xdr:txBody>
        <a:bodyPr vertOverflow="overflow" vert="horz" wrap="square" rtlCol="0" anchor="t">
          <a:spAutoFit/>
        </a:bodyPr>
        <a:lstStyle/>
        <a:p>
          <a:pPr algn="l"/>
          <a:r>
            <a:rPr kumimoji="0" lang="en-CA" sz="800" b="1" i="0" u="none" strike="noStrike" kern="0" cap="none" spc="0" normalizeH="0" baseline="0" noProof="0">
              <a:ln>
                <a:noFill/>
              </a:ln>
              <a:solidFill>
                <a:srgbClr val="7F6000"/>
              </a:solidFill>
              <a:effectLst/>
              <a:uLnTx/>
              <a:uFillTx/>
              <a:latin typeface="Calibri" panose="020F0502020204030204"/>
            </a:rPr>
            <a:t>Panalpina
2019 · DKK 35.8bn (Equity)</a:t>
          </a:r>
        </a:p>
      </xdr:txBody>
    </xdr:sp>
    <xdr:clientData/>
  </xdr:twoCellAnchor>
  <xdr:twoCellAnchor>
    <xdr:from>
      <xdr:col>7</xdr:col>
      <xdr:colOff>70611</xdr:colOff>
      <xdr:row>45</xdr:row>
      <xdr:rowOff>172357</xdr:rowOff>
    </xdr:from>
    <xdr:to>
      <xdr:col>8</xdr:col>
      <xdr:colOff>501504</xdr:colOff>
      <xdr:row>48</xdr:row>
      <xdr:rowOff>42636</xdr:rowOff>
    </xdr:to>
    <xdr:sp macro="" textlink="">
      <xdr:nvSpPr>
        <xdr:cNvPr id="23" name="TextBox 22">
          <a:extLst>
            <a:ext uri="{FF2B5EF4-FFF2-40B4-BE49-F238E27FC236}">
              <a16:creationId xmlns:a16="http://schemas.microsoft.com/office/drawing/2014/main" id="{DDA91695-9640-E1B2-A696-AD62EB64D654}"/>
            </a:ext>
          </a:extLst>
        </xdr:cNvPr>
        <xdr:cNvSpPr txBox="1"/>
      </xdr:nvSpPr>
      <xdr:spPr>
        <a:xfrm>
          <a:off x="5499861" y="9398000"/>
          <a:ext cx="1206500" cy="482600"/>
        </a:xfrm>
        <a:prstGeom prst="rect">
          <a:avLst/>
        </a:prstGeom>
        <a:solidFill>
          <a:srgbClr val="FFF2CC"/>
        </a:solidFill>
        <a:ln w="12700">
          <a:solidFill>
            <a:srgbClr val="BF8F00"/>
          </a:solidFill>
        </a:ln>
      </xdr:spPr>
      <xdr:txBody>
        <a:bodyPr vertOverflow="overflow" vert="horz" wrap="square" rtlCol="0" anchor="t">
          <a:spAutoFit/>
        </a:bodyPr>
        <a:lstStyle/>
        <a:p>
          <a:pPr algn="l"/>
          <a:r>
            <a:rPr kumimoji="0" lang="en-CA" sz="800" b="1" i="0" u="none" strike="noStrike" kern="0" cap="none" spc="0" normalizeH="0" baseline="0" noProof="0">
              <a:ln>
                <a:noFill/>
              </a:ln>
              <a:solidFill>
                <a:srgbClr val="7F6000"/>
              </a:solidFill>
              <a:effectLst/>
              <a:uLnTx/>
              <a:uFillTx/>
              <a:latin typeface="Calibri" panose="020F0502020204030204"/>
            </a:rPr>
            <a:t>GIL
2021 · DKK 29.5bn (Equity)</a:t>
          </a:r>
        </a:p>
      </xdr:txBody>
    </xdr:sp>
    <xdr:clientData/>
  </xdr:twoCellAnchor>
  <xdr:twoCellAnchor>
    <xdr:from>
      <xdr:col>11</xdr:col>
      <xdr:colOff>147500</xdr:colOff>
      <xdr:row>45</xdr:row>
      <xdr:rowOff>172357</xdr:rowOff>
    </xdr:from>
    <xdr:to>
      <xdr:col>12</xdr:col>
      <xdr:colOff>673643</xdr:colOff>
      <xdr:row>48</xdr:row>
      <xdr:rowOff>42636</xdr:rowOff>
    </xdr:to>
    <xdr:sp macro="" textlink="">
      <xdr:nvSpPr>
        <xdr:cNvPr id="24" name="TextBox 23">
          <a:extLst>
            <a:ext uri="{FF2B5EF4-FFF2-40B4-BE49-F238E27FC236}">
              <a16:creationId xmlns:a16="http://schemas.microsoft.com/office/drawing/2014/main" id="{CA3CC95F-353D-B375-78C4-644FD18C2C24}"/>
            </a:ext>
          </a:extLst>
        </xdr:cNvPr>
        <xdr:cNvSpPr txBox="1"/>
      </xdr:nvSpPr>
      <xdr:spPr>
        <a:xfrm>
          <a:off x="8393429" y="9398000"/>
          <a:ext cx="1206500" cy="482600"/>
        </a:xfrm>
        <a:prstGeom prst="rect">
          <a:avLst/>
        </a:prstGeom>
        <a:solidFill>
          <a:srgbClr val="FFF2CC"/>
        </a:solidFill>
        <a:ln w="12700">
          <a:solidFill>
            <a:srgbClr val="BF8F00"/>
          </a:solidFill>
        </a:ln>
      </xdr:spPr>
      <xdr:txBody>
        <a:bodyPr vertOverflow="overflow" vert="horz" wrap="square" rtlCol="0" anchor="t">
          <a:spAutoFit/>
        </a:bodyPr>
        <a:lstStyle/>
        <a:p>
          <a:pPr algn="l"/>
          <a:r>
            <a:rPr kumimoji="0" lang="en-CA" sz="800" b="1" i="0" u="none" strike="noStrike" kern="0" cap="none" spc="0" normalizeH="0" baseline="0" noProof="0">
              <a:ln>
                <a:noFill/>
              </a:ln>
              <a:solidFill>
                <a:srgbClr val="7F6000"/>
              </a:solidFill>
              <a:effectLst/>
              <a:uLnTx/>
              <a:uFillTx/>
              <a:latin typeface="Calibri" panose="020F0502020204030204"/>
            </a:rPr>
            <a:t>Schenker
2025 · DKK 86.8bn (Cash)</a:t>
          </a:r>
        </a:p>
      </xdr:txBody>
    </xdr:sp>
    <xdr:clientData/>
  </xdr:twoCellAnchor>
  <xdr:twoCellAnchor>
    <xdr:from>
      <xdr:col>2</xdr:col>
      <xdr:colOff>522188</xdr:colOff>
      <xdr:row>66</xdr:row>
      <xdr:rowOff>89807</xdr:rowOff>
    </xdr:from>
    <xdr:to>
      <xdr:col>3</xdr:col>
      <xdr:colOff>762581</xdr:colOff>
      <xdr:row>68</xdr:row>
      <xdr:rowOff>164193</xdr:rowOff>
    </xdr:to>
    <xdr:sp macro="" textlink="">
      <xdr:nvSpPr>
        <xdr:cNvPr id="25" name="TextBox 24">
          <a:extLst>
            <a:ext uri="{FF2B5EF4-FFF2-40B4-BE49-F238E27FC236}">
              <a16:creationId xmlns:a16="http://schemas.microsoft.com/office/drawing/2014/main" id="{48DBEED9-E2F4-7025-43AF-18B56DD76AF9}"/>
            </a:ext>
          </a:extLst>
        </xdr:cNvPr>
        <xdr:cNvSpPr txBox="1"/>
      </xdr:nvSpPr>
      <xdr:spPr>
        <a:xfrm>
          <a:off x="1882902" y="13601700"/>
          <a:ext cx="1206500" cy="482600"/>
        </a:xfrm>
        <a:prstGeom prst="rect">
          <a:avLst/>
        </a:prstGeom>
        <a:solidFill>
          <a:srgbClr val="FFF2CC"/>
        </a:solidFill>
        <a:ln w="12700">
          <a:solidFill>
            <a:srgbClr val="BF8F00"/>
          </a:solidFill>
        </a:ln>
      </xdr:spPr>
      <xdr:txBody>
        <a:bodyPr vertOverflow="overflow" vert="horz" wrap="square" rtlCol="0" anchor="t">
          <a:spAutoFit/>
        </a:bodyPr>
        <a:lstStyle/>
        <a:p>
          <a:pPr algn="l"/>
          <a:r>
            <a:rPr kumimoji="0" lang="en-CA" sz="800" b="1" i="0" u="none" strike="noStrike" kern="0" cap="none" spc="0" normalizeH="0" baseline="0" noProof="0">
              <a:ln>
                <a:noFill/>
              </a:ln>
              <a:solidFill>
                <a:srgbClr val="7F6000"/>
              </a:solidFill>
              <a:effectLst/>
              <a:uLnTx/>
              <a:uFillTx/>
              <a:latin typeface="Calibri" panose="020F0502020204030204"/>
            </a:rPr>
            <a:t>UTi
2016 · DKK 6.6bn (Cash)</a:t>
          </a:r>
        </a:p>
      </xdr:txBody>
    </xdr:sp>
    <xdr:clientData/>
  </xdr:twoCellAnchor>
  <xdr:twoCellAnchor>
    <xdr:from>
      <xdr:col>5</xdr:col>
      <xdr:colOff>175042</xdr:colOff>
      <xdr:row>66</xdr:row>
      <xdr:rowOff>89807</xdr:rowOff>
    </xdr:from>
    <xdr:to>
      <xdr:col>6</xdr:col>
      <xdr:colOff>605935</xdr:colOff>
      <xdr:row>68</xdr:row>
      <xdr:rowOff>164193</xdr:rowOff>
    </xdr:to>
    <xdr:sp macro="" textlink="">
      <xdr:nvSpPr>
        <xdr:cNvPr id="26" name="TextBox 25">
          <a:extLst>
            <a:ext uri="{FF2B5EF4-FFF2-40B4-BE49-F238E27FC236}">
              <a16:creationId xmlns:a16="http://schemas.microsoft.com/office/drawing/2014/main" id="{EC01B767-6FE0-7A03-EB47-13F0F888A076}"/>
            </a:ext>
          </a:extLst>
        </xdr:cNvPr>
        <xdr:cNvSpPr txBox="1"/>
      </xdr:nvSpPr>
      <xdr:spPr>
        <a:xfrm>
          <a:off x="4053078" y="13601700"/>
          <a:ext cx="1206500" cy="482600"/>
        </a:xfrm>
        <a:prstGeom prst="rect">
          <a:avLst/>
        </a:prstGeom>
        <a:solidFill>
          <a:srgbClr val="FFF2CC"/>
        </a:solidFill>
        <a:ln w="12700">
          <a:solidFill>
            <a:srgbClr val="BF8F00"/>
          </a:solidFill>
        </a:ln>
      </xdr:spPr>
      <xdr:txBody>
        <a:bodyPr vertOverflow="overflow" vert="horz" wrap="square" rtlCol="0" anchor="t">
          <a:spAutoFit/>
        </a:bodyPr>
        <a:lstStyle/>
        <a:p>
          <a:pPr algn="l"/>
          <a:r>
            <a:rPr kumimoji="0" lang="en-CA" sz="800" b="1" i="0" u="none" strike="noStrike" kern="0" cap="none" spc="0" normalizeH="0" baseline="0" noProof="0">
              <a:ln>
                <a:noFill/>
              </a:ln>
              <a:solidFill>
                <a:srgbClr val="7F6000"/>
              </a:solidFill>
              <a:effectLst/>
              <a:uLnTx/>
              <a:uFillTx/>
              <a:latin typeface="Calibri" panose="020F0502020204030204"/>
            </a:rPr>
            <a:t>Panalpina
2019 · DKK 35.8bn (Equity)</a:t>
          </a:r>
        </a:p>
      </xdr:txBody>
    </xdr:sp>
    <xdr:clientData/>
  </xdr:twoCellAnchor>
  <xdr:twoCellAnchor>
    <xdr:from>
      <xdr:col>7</xdr:col>
      <xdr:colOff>70611</xdr:colOff>
      <xdr:row>66</xdr:row>
      <xdr:rowOff>89807</xdr:rowOff>
    </xdr:from>
    <xdr:to>
      <xdr:col>8</xdr:col>
      <xdr:colOff>501504</xdr:colOff>
      <xdr:row>68</xdr:row>
      <xdr:rowOff>164193</xdr:rowOff>
    </xdr:to>
    <xdr:sp macro="" textlink="">
      <xdr:nvSpPr>
        <xdr:cNvPr id="27" name="TextBox 26">
          <a:extLst>
            <a:ext uri="{FF2B5EF4-FFF2-40B4-BE49-F238E27FC236}">
              <a16:creationId xmlns:a16="http://schemas.microsoft.com/office/drawing/2014/main" id="{584F3162-EE78-9A3E-6DFF-8EFF57E9A1B2}"/>
            </a:ext>
          </a:extLst>
        </xdr:cNvPr>
        <xdr:cNvSpPr txBox="1"/>
      </xdr:nvSpPr>
      <xdr:spPr>
        <a:xfrm>
          <a:off x="5499861" y="13601700"/>
          <a:ext cx="1206500" cy="482600"/>
        </a:xfrm>
        <a:prstGeom prst="rect">
          <a:avLst/>
        </a:prstGeom>
        <a:solidFill>
          <a:srgbClr val="FFF2CC"/>
        </a:solidFill>
        <a:ln w="12700">
          <a:solidFill>
            <a:srgbClr val="BF8F00"/>
          </a:solidFill>
        </a:ln>
      </xdr:spPr>
      <xdr:txBody>
        <a:bodyPr vertOverflow="overflow" vert="horz" wrap="square" rtlCol="0" anchor="t">
          <a:spAutoFit/>
        </a:bodyPr>
        <a:lstStyle/>
        <a:p>
          <a:pPr algn="l"/>
          <a:r>
            <a:rPr kumimoji="0" lang="en-CA" sz="800" b="1" i="0" u="none" strike="noStrike" kern="0" cap="none" spc="0" normalizeH="0" baseline="0" noProof="0">
              <a:ln>
                <a:noFill/>
              </a:ln>
              <a:solidFill>
                <a:srgbClr val="7F6000"/>
              </a:solidFill>
              <a:effectLst/>
              <a:uLnTx/>
              <a:uFillTx/>
              <a:latin typeface="Calibri" panose="020F0502020204030204"/>
            </a:rPr>
            <a:t>GIL
2021 · DKK 29.5bn (Equity)</a:t>
          </a:r>
        </a:p>
      </xdr:txBody>
    </xdr:sp>
    <xdr:clientData/>
  </xdr:twoCellAnchor>
  <xdr:twoCellAnchor>
    <xdr:from>
      <xdr:col>11</xdr:col>
      <xdr:colOff>147500</xdr:colOff>
      <xdr:row>66</xdr:row>
      <xdr:rowOff>89807</xdr:rowOff>
    </xdr:from>
    <xdr:to>
      <xdr:col>12</xdr:col>
      <xdr:colOff>673643</xdr:colOff>
      <xdr:row>68</xdr:row>
      <xdr:rowOff>164193</xdr:rowOff>
    </xdr:to>
    <xdr:sp macro="" textlink="">
      <xdr:nvSpPr>
        <xdr:cNvPr id="28" name="TextBox 27">
          <a:extLst>
            <a:ext uri="{FF2B5EF4-FFF2-40B4-BE49-F238E27FC236}">
              <a16:creationId xmlns:a16="http://schemas.microsoft.com/office/drawing/2014/main" id="{6CA02D06-23A5-37D9-1659-21108D937E6E}"/>
            </a:ext>
          </a:extLst>
        </xdr:cNvPr>
        <xdr:cNvSpPr txBox="1"/>
      </xdr:nvSpPr>
      <xdr:spPr>
        <a:xfrm>
          <a:off x="8393429" y="13601700"/>
          <a:ext cx="1206500" cy="482600"/>
        </a:xfrm>
        <a:prstGeom prst="rect">
          <a:avLst/>
        </a:prstGeom>
        <a:solidFill>
          <a:srgbClr val="FFF2CC"/>
        </a:solidFill>
        <a:ln w="12700">
          <a:solidFill>
            <a:srgbClr val="BF8F00"/>
          </a:solidFill>
        </a:ln>
      </xdr:spPr>
      <xdr:txBody>
        <a:bodyPr vertOverflow="overflow" vert="horz" wrap="square" rtlCol="0" anchor="t">
          <a:spAutoFit/>
        </a:bodyPr>
        <a:lstStyle/>
        <a:p>
          <a:pPr algn="l"/>
          <a:r>
            <a:rPr kumimoji="0" lang="en-CA" sz="800" b="1" i="0" u="none" strike="noStrike" kern="0" cap="none" spc="0" normalizeH="0" baseline="0" noProof="0">
              <a:ln>
                <a:noFill/>
              </a:ln>
              <a:solidFill>
                <a:srgbClr val="7F6000"/>
              </a:solidFill>
              <a:effectLst/>
              <a:uLnTx/>
              <a:uFillTx/>
              <a:latin typeface="Calibri" panose="020F0502020204030204"/>
            </a:rPr>
            <a:t>Schenker
2025 · DKK 86.8bn (Cash)</a:t>
          </a:r>
        </a:p>
      </xdr:txBody>
    </xdr:sp>
    <xdr:clientData/>
  </xdr:twoCellAnchor>
  <xdr:twoCellAnchor>
    <xdr:from>
      <xdr:col>3</xdr:col>
      <xdr:colOff>159331</xdr:colOff>
      <xdr:row>27</xdr:row>
      <xdr:rowOff>125186</xdr:rowOff>
    </xdr:from>
    <xdr:to>
      <xdr:col>3</xdr:col>
      <xdr:colOff>159331</xdr:colOff>
      <xdr:row>38</xdr:row>
      <xdr:rowOff>162197</xdr:rowOff>
    </xdr:to>
    <xdr:cxnSp macro="">
      <xdr:nvCxnSpPr>
        <xdr:cNvPr id="29" name="Straight Arrow Connector 28">
          <a:extLst>
            <a:ext uri="{FF2B5EF4-FFF2-40B4-BE49-F238E27FC236}">
              <a16:creationId xmlns:a16="http://schemas.microsoft.com/office/drawing/2014/main" id="{FB43B2A9-8AF4-4F0F-8761-CDFAF53681E6}"/>
            </a:ext>
          </a:extLst>
        </xdr:cNvPr>
        <xdr:cNvCxnSpPr/>
      </xdr:nvCxnSpPr>
      <xdr:spPr>
        <a:xfrm>
          <a:off x="2486152" y="5676900"/>
          <a:ext cx="0" cy="2282190"/>
        </a:xfrm>
        <a:prstGeom prst="straightConnector1">
          <a:avLst/>
        </a:prstGeom>
        <a:noFill/>
        <a:ln w="6350" cap="flat" cmpd="sng" algn="ctr">
          <a:solidFill>
            <a:srgbClr val="BF8F00"/>
          </a:solidFill>
          <a:prstDash val="solid"/>
          <a:miter lim="800000"/>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159331</xdr:colOff>
      <xdr:row>27</xdr:row>
      <xdr:rowOff>125186</xdr:rowOff>
    </xdr:from>
    <xdr:to>
      <xdr:col>3</xdr:col>
      <xdr:colOff>159331</xdr:colOff>
      <xdr:row>38</xdr:row>
      <xdr:rowOff>162197</xdr:rowOff>
    </xdr:to>
    <xdr:cxnSp macro="">
      <xdr:nvCxnSpPr>
        <xdr:cNvPr id="30" name="Straight Arrow Connector 29">
          <a:extLst>
            <a:ext uri="{FF2B5EF4-FFF2-40B4-BE49-F238E27FC236}">
              <a16:creationId xmlns:a16="http://schemas.microsoft.com/office/drawing/2014/main" id="{04FC0A31-818E-49A2-AD6C-5148BD36E2F8}"/>
            </a:ext>
          </a:extLst>
        </xdr:cNvPr>
        <xdr:cNvCxnSpPr/>
      </xdr:nvCxnSpPr>
      <xdr:spPr>
        <a:xfrm>
          <a:off x="2486152" y="5676900"/>
          <a:ext cx="0" cy="2282190"/>
        </a:xfrm>
        <a:prstGeom prst="straightConnector1">
          <a:avLst/>
        </a:prstGeom>
        <a:noFill/>
        <a:ln w="6350" cap="flat" cmpd="sng" algn="ctr">
          <a:solidFill>
            <a:srgbClr val="BF8F00"/>
          </a:solidFill>
          <a:prstDash val="solid"/>
          <a:miter lim="800000"/>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2685</xdr:colOff>
      <xdr:row>27</xdr:row>
      <xdr:rowOff>125186</xdr:rowOff>
    </xdr:from>
    <xdr:to>
      <xdr:col>6</xdr:col>
      <xdr:colOff>2685</xdr:colOff>
      <xdr:row>38</xdr:row>
      <xdr:rowOff>162197</xdr:rowOff>
    </xdr:to>
    <xdr:cxnSp macro="">
      <xdr:nvCxnSpPr>
        <xdr:cNvPr id="31" name="Straight Arrow Connector 30">
          <a:extLst>
            <a:ext uri="{FF2B5EF4-FFF2-40B4-BE49-F238E27FC236}">
              <a16:creationId xmlns:a16="http://schemas.microsoft.com/office/drawing/2014/main" id="{058C76FE-5FFB-4556-93CD-E72DFC2F628C}"/>
            </a:ext>
          </a:extLst>
        </xdr:cNvPr>
        <xdr:cNvCxnSpPr/>
      </xdr:nvCxnSpPr>
      <xdr:spPr>
        <a:xfrm>
          <a:off x="4656328" y="5676900"/>
          <a:ext cx="0" cy="2282190"/>
        </a:xfrm>
        <a:prstGeom prst="straightConnector1">
          <a:avLst/>
        </a:prstGeom>
        <a:noFill/>
        <a:ln w="6350" cap="flat" cmpd="sng" algn="ctr">
          <a:solidFill>
            <a:srgbClr val="BF8F00"/>
          </a:solidFill>
          <a:prstDash val="solid"/>
          <a:miter lim="800000"/>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673861</xdr:colOff>
      <xdr:row>27</xdr:row>
      <xdr:rowOff>125186</xdr:rowOff>
    </xdr:from>
    <xdr:to>
      <xdr:col>7</xdr:col>
      <xdr:colOff>673861</xdr:colOff>
      <xdr:row>38</xdr:row>
      <xdr:rowOff>162197</xdr:rowOff>
    </xdr:to>
    <xdr:cxnSp macro="">
      <xdr:nvCxnSpPr>
        <xdr:cNvPr id="32" name="Straight Arrow Connector 31">
          <a:extLst>
            <a:ext uri="{FF2B5EF4-FFF2-40B4-BE49-F238E27FC236}">
              <a16:creationId xmlns:a16="http://schemas.microsoft.com/office/drawing/2014/main" id="{ED699E45-04C0-42AE-8E70-5712E7983E5A}"/>
            </a:ext>
          </a:extLst>
        </xdr:cNvPr>
        <xdr:cNvCxnSpPr/>
      </xdr:nvCxnSpPr>
      <xdr:spPr>
        <a:xfrm>
          <a:off x="6103111" y="5676900"/>
          <a:ext cx="0" cy="2282190"/>
        </a:xfrm>
        <a:prstGeom prst="straightConnector1">
          <a:avLst/>
        </a:prstGeom>
        <a:noFill/>
        <a:ln w="6350" cap="flat" cmpd="sng" algn="ctr">
          <a:solidFill>
            <a:srgbClr val="BF8F00"/>
          </a:solidFill>
          <a:prstDash val="solid"/>
          <a:miter lim="800000"/>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70393</xdr:colOff>
      <xdr:row>27</xdr:row>
      <xdr:rowOff>125186</xdr:rowOff>
    </xdr:from>
    <xdr:to>
      <xdr:col>12</xdr:col>
      <xdr:colOff>70393</xdr:colOff>
      <xdr:row>38</xdr:row>
      <xdr:rowOff>162197</xdr:rowOff>
    </xdr:to>
    <xdr:cxnSp macro="">
      <xdr:nvCxnSpPr>
        <xdr:cNvPr id="33" name="Straight Arrow Connector 32">
          <a:extLst>
            <a:ext uri="{FF2B5EF4-FFF2-40B4-BE49-F238E27FC236}">
              <a16:creationId xmlns:a16="http://schemas.microsoft.com/office/drawing/2014/main" id="{65CB256E-A41D-460F-AF72-C0EED44517D8}"/>
            </a:ext>
          </a:extLst>
        </xdr:cNvPr>
        <xdr:cNvCxnSpPr/>
      </xdr:nvCxnSpPr>
      <xdr:spPr>
        <a:xfrm>
          <a:off x="8996679" y="5676900"/>
          <a:ext cx="0" cy="2282190"/>
        </a:xfrm>
        <a:prstGeom prst="straightConnector1">
          <a:avLst/>
        </a:prstGeom>
        <a:noFill/>
        <a:ln w="6350" cap="flat" cmpd="sng" algn="ctr">
          <a:solidFill>
            <a:srgbClr val="BF8F00"/>
          </a:solidFill>
          <a:prstDash val="solid"/>
          <a:miter lim="800000"/>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159331</xdr:colOff>
      <xdr:row>48</xdr:row>
      <xdr:rowOff>42636</xdr:rowOff>
    </xdr:from>
    <xdr:to>
      <xdr:col>3</xdr:col>
      <xdr:colOff>159331</xdr:colOff>
      <xdr:row>59</xdr:row>
      <xdr:rowOff>79647</xdr:rowOff>
    </xdr:to>
    <xdr:cxnSp macro="">
      <xdr:nvCxnSpPr>
        <xdr:cNvPr id="34" name="Straight Arrow Connector 33">
          <a:extLst>
            <a:ext uri="{FF2B5EF4-FFF2-40B4-BE49-F238E27FC236}">
              <a16:creationId xmlns:a16="http://schemas.microsoft.com/office/drawing/2014/main" id="{510AF8D1-3002-4674-B06F-D818CDEF6078}"/>
            </a:ext>
          </a:extLst>
        </xdr:cNvPr>
        <xdr:cNvCxnSpPr/>
      </xdr:nvCxnSpPr>
      <xdr:spPr>
        <a:xfrm>
          <a:off x="2486152" y="9880600"/>
          <a:ext cx="0" cy="2282190"/>
        </a:xfrm>
        <a:prstGeom prst="straightConnector1">
          <a:avLst/>
        </a:prstGeom>
        <a:noFill/>
        <a:ln w="6350" cap="flat" cmpd="sng" algn="ctr">
          <a:solidFill>
            <a:srgbClr val="BF8F00"/>
          </a:solidFill>
          <a:prstDash val="solid"/>
          <a:miter lim="800000"/>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2685</xdr:colOff>
      <xdr:row>48</xdr:row>
      <xdr:rowOff>42636</xdr:rowOff>
    </xdr:from>
    <xdr:to>
      <xdr:col>6</xdr:col>
      <xdr:colOff>2685</xdr:colOff>
      <xdr:row>59</xdr:row>
      <xdr:rowOff>79647</xdr:rowOff>
    </xdr:to>
    <xdr:cxnSp macro="">
      <xdr:nvCxnSpPr>
        <xdr:cNvPr id="35" name="Straight Arrow Connector 34">
          <a:extLst>
            <a:ext uri="{FF2B5EF4-FFF2-40B4-BE49-F238E27FC236}">
              <a16:creationId xmlns:a16="http://schemas.microsoft.com/office/drawing/2014/main" id="{DA767A07-8B3B-4A98-A955-DC402F511D77}"/>
            </a:ext>
          </a:extLst>
        </xdr:cNvPr>
        <xdr:cNvCxnSpPr/>
      </xdr:nvCxnSpPr>
      <xdr:spPr>
        <a:xfrm>
          <a:off x="4656328" y="9880600"/>
          <a:ext cx="0" cy="2282190"/>
        </a:xfrm>
        <a:prstGeom prst="straightConnector1">
          <a:avLst/>
        </a:prstGeom>
        <a:noFill/>
        <a:ln w="6350" cap="flat" cmpd="sng" algn="ctr">
          <a:solidFill>
            <a:srgbClr val="BF8F00"/>
          </a:solidFill>
          <a:prstDash val="solid"/>
          <a:miter lim="800000"/>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673861</xdr:colOff>
      <xdr:row>48</xdr:row>
      <xdr:rowOff>42636</xdr:rowOff>
    </xdr:from>
    <xdr:to>
      <xdr:col>7</xdr:col>
      <xdr:colOff>673861</xdr:colOff>
      <xdr:row>59</xdr:row>
      <xdr:rowOff>79647</xdr:rowOff>
    </xdr:to>
    <xdr:cxnSp macro="">
      <xdr:nvCxnSpPr>
        <xdr:cNvPr id="36" name="Straight Arrow Connector 35">
          <a:extLst>
            <a:ext uri="{FF2B5EF4-FFF2-40B4-BE49-F238E27FC236}">
              <a16:creationId xmlns:a16="http://schemas.microsoft.com/office/drawing/2014/main" id="{88955682-580D-41E1-ADC1-9F18DEFA0B46}"/>
            </a:ext>
          </a:extLst>
        </xdr:cNvPr>
        <xdr:cNvCxnSpPr/>
      </xdr:nvCxnSpPr>
      <xdr:spPr>
        <a:xfrm>
          <a:off x="6103111" y="9880600"/>
          <a:ext cx="0" cy="2282190"/>
        </a:xfrm>
        <a:prstGeom prst="straightConnector1">
          <a:avLst/>
        </a:prstGeom>
        <a:noFill/>
        <a:ln w="6350" cap="flat" cmpd="sng" algn="ctr">
          <a:solidFill>
            <a:srgbClr val="BF8F00"/>
          </a:solidFill>
          <a:prstDash val="solid"/>
          <a:miter lim="800000"/>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70393</xdr:colOff>
      <xdr:row>48</xdr:row>
      <xdr:rowOff>42636</xdr:rowOff>
    </xdr:from>
    <xdr:to>
      <xdr:col>12</xdr:col>
      <xdr:colOff>70393</xdr:colOff>
      <xdr:row>59</xdr:row>
      <xdr:rowOff>79647</xdr:rowOff>
    </xdr:to>
    <xdr:cxnSp macro="">
      <xdr:nvCxnSpPr>
        <xdr:cNvPr id="37" name="Straight Arrow Connector 36">
          <a:extLst>
            <a:ext uri="{FF2B5EF4-FFF2-40B4-BE49-F238E27FC236}">
              <a16:creationId xmlns:a16="http://schemas.microsoft.com/office/drawing/2014/main" id="{A65460D2-F1A8-46D4-A447-CC4C09F697F3}"/>
            </a:ext>
          </a:extLst>
        </xdr:cNvPr>
        <xdr:cNvCxnSpPr/>
      </xdr:nvCxnSpPr>
      <xdr:spPr>
        <a:xfrm>
          <a:off x="8996679" y="9880600"/>
          <a:ext cx="0" cy="2282190"/>
        </a:xfrm>
        <a:prstGeom prst="straightConnector1">
          <a:avLst/>
        </a:prstGeom>
        <a:noFill/>
        <a:ln w="6350" cap="flat" cmpd="sng" algn="ctr">
          <a:solidFill>
            <a:srgbClr val="BF8F00"/>
          </a:solidFill>
          <a:prstDash val="solid"/>
          <a:miter lim="800000"/>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159331</xdr:colOff>
      <xdr:row>68</xdr:row>
      <xdr:rowOff>164193</xdr:rowOff>
    </xdr:from>
    <xdr:to>
      <xdr:col>3</xdr:col>
      <xdr:colOff>159331</xdr:colOff>
      <xdr:row>79</xdr:row>
      <xdr:rowOff>201204</xdr:rowOff>
    </xdr:to>
    <xdr:cxnSp macro="">
      <xdr:nvCxnSpPr>
        <xdr:cNvPr id="38" name="Straight Arrow Connector 37">
          <a:extLst>
            <a:ext uri="{FF2B5EF4-FFF2-40B4-BE49-F238E27FC236}">
              <a16:creationId xmlns:a16="http://schemas.microsoft.com/office/drawing/2014/main" id="{83D22866-CD52-4C96-8DD7-BA5E6175DC97}"/>
            </a:ext>
          </a:extLst>
        </xdr:cNvPr>
        <xdr:cNvCxnSpPr/>
      </xdr:nvCxnSpPr>
      <xdr:spPr>
        <a:xfrm>
          <a:off x="2486152" y="14084300"/>
          <a:ext cx="0" cy="2282190"/>
        </a:xfrm>
        <a:prstGeom prst="straightConnector1">
          <a:avLst/>
        </a:prstGeom>
        <a:noFill/>
        <a:ln w="6350" cap="flat" cmpd="sng" algn="ctr">
          <a:solidFill>
            <a:srgbClr val="BF8F00"/>
          </a:solidFill>
          <a:prstDash val="solid"/>
          <a:miter lim="800000"/>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2685</xdr:colOff>
      <xdr:row>68</xdr:row>
      <xdr:rowOff>164193</xdr:rowOff>
    </xdr:from>
    <xdr:to>
      <xdr:col>6</xdr:col>
      <xdr:colOff>2685</xdr:colOff>
      <xdr:row>79</xdr:row>
      <xdr:rowOff>201204</xdr:rowOff>
    </xdr:to>
    <xdr:cxnSp macro="">
      <xdr:nvCxnSpPr>
        <xdr:cNvPr id="39" name="Straight Arrow Connector 38">
          <a:extLst>
            <a:ext uri="{FF2B5EF4-FFF2-40B4-BE49-F238E27FC236}">
              <a16:creationId xmlns:a16="http://schemas.microsoft.com/office/drawing/2014/main" id="{EACC14D3-F35F-4F16-A787-42B77406B9E4}"/>
            </a:ext>
          </a:extLst>
        </xdr:cNvPr>
        <xdr:cNvCxnSpPr/>
      </xdr:nvCxnSpPr>
      <xdr:spPr>
        <a:xfrm>
          <a:off x="4656328" y="14084300"/>
          <a:ext cx="0" cy="2282190"/>
        </a:xfrm>
        <a:prstGeom prst="straightConnector1">
          <a:avLst/>
        </a:prstGeom>
        <a:noFill/>
        <a:ln w="6350" cap="flat" cmpd="sng" algn="ctr">
          <a:solidFill>
            <a:srgbClr val="BF8F00"/>
          </a:solidFill>
          <a:prstDash val="solid"/>
          <a:miter lim="800000"/>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673861</xdr:colOff>
      <xdr:row>68</xdr:row>
      <xdr:rowOff>164193</xdr:rowOff>
    </xdr:from>
    <xdr:to>
      <xdr:col>7</xdr:col>
      <xdr:colOff>673861</xdr:colOff>
      <xdr:row>79</xdr:row>
      <xdr:rowOff>201204</xdr:rowOff>
    </xdr:to>
    <xdr:cxnSp macro="">
      <xdr:nvCxnSpPr>
        <xdr:cNvPr id="40" name="Straight Arrow Connector 39">
          <a:extLst>
            <a:ext uri="{FF2B5EF4-FFF2-40B4-BE49-F238E27FC236}">
              <a16:creationId xmlns:a16="http://schemas.microsoft.com/office/drawing/2014/main" id="{7CE2F988-0AA0-4016-B6E3-140730FBD7F3}"/>
            </a:ext>
          </a:extLst>
        </xdr:cNvPr>
        <xdr:cNvCxnSpPr/>
      </xdr:nvCxnSpPr>
      <xdr:spPr>
        <a:xfrm>
          <a:off x="6103111" y="14084300"/>
          <a:ext cx="0" cy="2282190"/>
        </a:xfrm>
        <a:prstGeom prst="straightConnector1">
          <a:avLst/>
        </a:prstGeom>
        <a:noFill/>
        <a:ln w="6350" cap="flat" cmpd="sng" algn="ctr">
          <a:solidFill>
            <a:srgbClr val="BF8F00"/>
          </a:solidFill>
          <a:prstDash val="solid"/>
          <a:miter lim="800000"/>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70393</xdr:colOff>
      <xdr:row>68</xdr:row>
      <xdr:rowOff>164193</xdr:rowOff>
    </xdr:from>
    <xdr:to>
      <xdr:col>12</xdr:col>
      <xdr:colOff>70393</xdr:colOff>
      <xdr:row>79</xdr:row>
      <xdr:rowOff>201204</xdr:rowOff>
    </xdr:to>
    <xdr:cxnSp macro="">
      <xdr:nvCxnSpPr>
        <xdr:cNvPr id="41" name="Straight Arrow Connector 40">
          <a:extLst>
            <a:ext uri="{FF2B5EF4-FFF2-40B4-BE49-F238E27FC236}">
              <a16:creationId xmlns:a16="http://schemas.microsoft.com/office/drawing/2014/main" id="{032DD3DF-3966-4D76-8AD6-77D99330D24F}"/>
            </a:ext>
          </a:extLst>
        </xdr:cNvPr>
        <xdr:cNvCxnSpPr/>
      </xdr:nvCxnSpPr>
      <xdr:spPr>
        <a:xfrm>
          <a:off x="8996679" y="14084300"/>
          <a:ext cx="0" cy="2282190"/>
        </a:xfrm>
        <a:prstGeom prst="straightConnector1">
          <a:avLst/>
        </a:prstGeom>
        <a:noFill/>
        <a:ln w="6350" cap="flat" cmpd="sng" algn="ctr">
          <a:solidFill>
            <a:srgbClr val="BF8F00"/>
          </a:solidFill>
          <a:prstDash val="solid"/>
          <a:miter lim="800000"/>
        </a:ln>
        <a:effectLst/>
      </xdr:spPr>
      <xdr:style>
        <a:lnRef idx="1">
          <a:schemeClr val="accent1"/>
        </a:lnRef>
        <a:fillRef idx="0">
          <a:schemeClr val="accent1"/>
        </a:fillRef>
        <a:effectRef idx="0">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person displayName="Payton Liske" id="{5809B411-DE98-4C07-9E5F-01CB0F01720A}" userId="c4fe9d6c707c2821"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6" dT="2026-05-25T03:03:19.53" personId="{5809B411-DE98-4C07-9E5F-01CB0F01720A}" id="{FAF2FF14-23E2-411E-8695-943DB5E14EBF}">
    <text>Source: Moog FY2012 10-K MD&amp;A Segment Backlog</text>
  </threadedComment>
  <threadedComment ref="L16" dT="2026-05-25T03:03:19.62" personId="{5809B411-DE98-4C07-9E5F-01CB0F01720A}" id="{342DAB08-2A90-476A-B271-E65EB0B2C634}">
    <text>Source: Moog FY2012 10-K MD&amp;A Segment Backlog</text>
  </threadedComment>
  <threadedComment ref="Q16" dT="2026-05-25T03:03:19.70" personId="{5809B411-DE98-4C07-9E5F-01CB0F01720A}" id="{7FCBC7B7-71ED-4275-8D51-09E45372E93C}">
    <text>Source: Moog FY2012 10-K MD&amp;A Segment Backlog</text>
  </threadedComment>
  <threadedComment ref="V16" dT="2026-05-25T03:03:19.75" personId="{5809B411-DE98-4C07-9E5F-01CB0F01720A}" id="{742DECB5-CE22-4944-BEB8-1CED6B2A761F}">
    <text>Source: Moog FY2013 10-K MD&amp;A Segment Backlog</text>
  </threadedComment>
  <threadedComment ref="AA16" dT="2026-05-25T03:03:19.80" personId="{5809B411-DE98-4C07-9E5F-01CB0F01720A}" id="{C1298D7A-5AE8-49EA-94BB-0330CA230E5C}">
    <text>Source: Moog FY2014 10-K MD&amp;A Segment Backlog</text>
  </threadedComment>
  <threadedComment ref="AF16" dT="2026-05-25T03:03:19.85" personId="{5809B411-DE98-4C07-9E5F-01CB0F01720A}" id="{FFD22D54-A9E2-4B2A-A492-687B9B3E0636}">
    <text>Source: Moog FY2015 10-K MD&amp;A Segment Backlog</text>
  </threadedComment>
  <threadedComment ref="AK16" dT="2026-05-25T03:03:19.95" personId="{5809B411-DE98-4C07-9E5F-01CB0F01720A}" id="{12D0F1DE-21BE-4CAE-8695-A92B2A2A5501}">
    <text>Source: Moog FY2016 10-K MD&amp;A Segment Backlog</text>
  </threadedComment>
  <threadedComment ref="AP16" dT="2026-05-25T03:03:20.00" personId="{5809B411-DE98-4C07-9E5F-01CB0F01720A}" id="{4DC5DB3E-4999-4C71-9AFC-3F6632671F1F}">
    <text>Source: Moog FY2017 10-K MD&amp;A Segment Backlog</text>
  </threadedComment>
  <threadedComment ref="AU16" dT="2026-05-25T03:03:20.05" personId="{5809B411-DE98-4C07-9E5F-01CB0F01720A}" id="{0F110022-5DA8-4176-B5BF-55719D901B95}">
    <text>Source: Moog FY2018 10-K MD&amp;A Segment Backlog (3-segment view)</text>
  </threadedComment>
  <threadedComment ref="G24" dT="2026-05-25T03:03:20.13" personId="{5809B411-DE98-4C07-9E5F-01CB0F01720A}" id="{E0905645-7E1B-49D8-BD01-0486D4121581}">
    <text>Source: Moog FY2012 10-K MD&amp;A Segment Backlog</text>
  </threadedComment>
  <threadedComment ref="L24" dT="2026-05-25T03:03:20.25" personId="{5809B411-DE98-4C07-9E5F-01CB0F01720A}" id="{9CC08B1E-274E-48D5-ABC2-096FD44A6F87}">
    <text>Source: Moog FY2012 10-K MD&amp;A Segment Backlog</text>
  </threadedComment>
  <threadedComment ref="Q24" dT="2026-05-25T03:03:20.28" personId="{5809B411-DE98-4C07-9E5F-01CB0F01720A}" id="{AC8D0684-D2BD-4333-B3E1-92F5A69CA3CB}">
    <text>Source: Moog FY2012 10-K MD&amp;A Segment Backlog</text>
  </threadedComment>
  <threadedComment ref="V24" dT="2026-05-25T03:03:20.33" personId="{5809B411-DE98-4C07-9E5F-01CB0F01720A}" id="{FA971A9A-2457-40A0-A742-AB607C937EEF}">
    <text>Source: Moog FY2013 10-K MD&amp;A Segment Backlog</text>
  </threadedComment>
  <threadedComment ref="AA24" dT="2026-05-25T03:03:20.38" personId="{5809B411-DE98-4C07-9E5F-01CB0F01720A}" id="{36D3E793-02D4-47C8-BC52-57F0330A666D}">
    <text>Source: Moog FY2014 10-K MD&amp;A Segment Backlog</text>
  </threadedComment>
  <threadedComment ref="AF24" dT="2026-05-25T03:03:20.45" personId="{5809B411-DE98-4C07-9E5F-01CB0F01720A}" id="{784BBCDF-0BBA-4713-9D0D-12FE5F4F4F6E}">
    <text>Source: Moog FY2015 10-K MD&amp;A Segment Backlog</text>
  </threadedComment>
  <threadedComment ref="AK24" dT="2026-05-25T03:03:20.50" personId="{5809B411-DE98-4C07-9E5F-01CB0F01720A}" id="{88A5BCEC-E150-4DDD-869B-BE6344F5718C}">
    <text>Source: Moog FY2016 10-K MD&amp;A Segment Backlog</text>
  </threadedComment>
  <threadedComment ref="AP24" dT="2026-05-25T03:03:20.55" personId="{5809B411-DE98-4C07-9E5F-01CB0F01720A}" id="{D0A3FDFF-F4CA-4911-BD9C-1AD8ACDAA64C}">
    <text>Source: Moog FY2017 10-K MD&amp;A Segment Backlog</text>
  </threadedComment>
  <threadedComment ref="AU24" dT="2026-05-25T03:03:20.60" personId="{5809B411-DE98-4C07-9E5F-01CB0F01720A}" id="{A4538AD2-9475-43E6-9D9A-57FD92F3407B}">
    <text>Source: Moog FY2018 10-K MD&amp;A Segment Backlog (3-segment view)</text>
  </threadedComment>
  <threadedComment ref="G31" dT="2026-05-25T03:03:20.65" personId="{5809B411-DE98-4C07-9E5F-01CB0F01720A}" id="{EE150BA9-3B42-4D32-BC65-EE84AB8B4B6D}">
    <text>Source: Moog FY2012 10-K MD&amp;A Segment Backlog</text>
  </threadedComment>
  <threadedComment ref="L31" dT="2026-05-25T03:03:20.73" personId="{5809B411-DE98-4C07-9E5F-01CB0F01720A}" id="{0143AD7B-0AA2-4DF1-8EF7-1F21AF804E64}">
    <text>Source: Moog FY2012 10-K MD&amp;A Segment Backlog</text>
  </threadedComment>
  <threadedComment ref="Q31" dT="2026-05-25T03:03:20.78" personId="{5809B411-DE98-4C07-9E5F-01CB0F01720A}" id="{73CFAC9E-6CC8-454B-B11A-5AF7C09FCE74}">
    <text>Source: Moog FY2012 10-K MD&amp;A Segment Backlog</text>
  </threadedComment>
  <threadedComment ref="V31" dT="2026-05-25T03:03:20.81" personId="{5809B411-DE98-4C07-9E5F-01CB0F01720A}" id="{31B8DD48-33D4-407C-A0AC-27A4E625DF29}">
    <text>Source: Moog FY2013 10-K MD&amp;A Segment Backlog</text>
  </threadedComment>
  <threadedComment ref="AA31" dT="2026-05-25T03:03:20.86" personId="{5809B411-DE98-4C07-9E5F-01CB0F01720A}" id="{31E561B4-F1E3-4BF0-946E-8D52C3731A0C}">
    <text>Source: Moog FY2014 10-K MD&amp;A Segment Backlog</text>
  </threadedComment>
  <threadedComment ref="AF31" dT="2026-05-25T03:03:21.16" personId="{5809B411-DE98-4C07-9E5F-01CB0F01720A}" id="{035F888B-E2E0-49A2-86D7-6594BDA0C38A}">
    <text>Source: Moog FY2015 10-K MD&amp;A Segment Backlog</text>
  </threadedComment>
  <threadedComment ref="AK31" dT="2026-05-25T03:03:21.22" personId="{5809B411-DE98-4C07-9E5F-01CB0F01720A}" id="{4481D696-A5C3-4A29-B54C-3476FB29BD2C}">
    <text>Source: Moog FY2016 10-K MD&amp;A Segment Backlog</text>
  </threadedComment>
  <threadedComment ref="AP31" dT="2026-05-25T03:03:21.26" personId="{5809B411-DE98-4C07-9E5F-01CB0F01720A}" id="{2E415F34-AC93-408B-91F6-1104055B462A}">
    <text>Source: Moog FY2017 10-K MD&amp;A Segment Backlog</text>
  </threadedComment>
  <threadedComment ref="AU31" dT="2026-05-25T03:03:21.30" personId="{5809B411-DE98-4C07-9E5F-01CB0F01720A}" id="{5EED3070-A3F7-46D6-A0E7-B13FE164B4D1}">
    <text>Source: Moog FY2018 10-K MD&amp;A Segment Backlog (3-segment view)</text>
  </threadedComment>
  <threadedComment ref="G360" dT="2026-05-25T03:38:29.74" personId="{5809B411-DE98-4C07-9E5F-01CB0F01720A}" id="{D6E61BDD-BF4C-4EEA-9D24-81703BA614B7}">
    <text>Source: Moog FY2011 10-K Item 5 Quarterly Stock Prices, https://www.sec.gov/Archives/edgar/data/0000067887/000119312511325967/d223401d10k.htm</text>
  </threadedComment>
  <threadedComment ref="L360" dT="2026-05-25T03:38:29.76" personId="{5809B411-DE98-4C07-9E5F-01CB0F01720A}" id="{FDCD9F98-5C12-4E02-9F67-29A24031A509}">
    <text>Source: Moog FY2011 10-K Item 5 Quarterly Stock Prices, https://www.sec.gov/Archives/edgar/data/0000067887/000119312511325967/d223401d10k.htm</text>
  </threadedComment>
  <threadedComment ref="Q360" dT="2026-05-25T03:38:29.78" personId="{5809B411-DE98-4C07-9E5F-01CB0F01720A}" id="{1F0919A8-847A-4A77-BB3C-4AC5957DBFFE}">
    <text>Source: Moog FY2012 10-K Item 5 Quarterly Stock Prices, https://www.sec.gov/Archives/edgar/data/0000067887/000006788712000034/impt.htm</text>
  </threadedComment>
  <threadedComment ref="V360" dT="2026-05-25T03:38:29.79" personId="{5809B411-DE98-4C07-9E5F-01CB0F01720A}" id="{BD762BF2-5E06-4D18-BF27-BAC9007822B3}">
    <text>Source: Moog FY2013 10-K Item 5 Quarterly Stock Prices, https://www.sec.gov/Archives/edgar/data/0000067887/000006788713000043/fy201310-kdocument.htm</text>
  </threadedComment>
  <threadedComment ref="AA360" dT="2026-05-25T03:38:29.80" personId="{5809B411-DE98-4C07-9E5F-01CB0F01720A}" id="{EEED5656-A95A-4F03-B0E5-AC97D37A2EAF}">
    <text>Source: Moog FY2014 10-K Item 5 Quarterly Stock Prices, https://www.sec.gov/Archives/edgar/data/0000067887/000006788714000071/fy201410-kdocument.htm</text>
  </threadedComment>
  <threadedComment ref="AF360" dT="2026-05-25T03:38:29.82" personId="{5809B411-DE98-4C07-9E5F-01CB0F01720A}" id="{29957BF5-BCD2-4E0C-8F41-9201D71F8BBA}">
    <text>Source: Moog FY2015 10-K Item 5 Quarterly Stock Prices, https://www.sec.gov/Archives/edgar/data/0000067887/000006788715000081/fy201510-kdocument.htm</text>
  </threadedComment>
  <threadedComment ref="AK360" dT="2026-05-25T03:38:29.83" personId="{5809B411-DE98-4C07-9E5F-01CB0F01720A}" id="{AA689BBF-FC2F-4048-A248-A670A73CF00A}">
    <text>Source: Moog FY2016 10-K Item 5 Quarterly Stock Prices, https://www.sec.gov/Archives/edgar/data/0000067887/000006788716000213/a10-kdocumentxfy16xq4.htm</text>
  </threadedComment>
  <threadedComment ref="AP360" dT="2026-05-25T03:38:29.85" personId="{5809B411-DE98-4C07-9E5F-01CB0F01720A}" id="{35C2E198-5751-46AE-B336-15B2F9A9281B}">
    <text>Source: Moog FY2017 10-K Item 5 Quarterly Stock Prices, https://www.sec.gov/Archives/edgar/data/0000067887/000006788717000087/a10-kdocumentxfy17xq4.htm</text>
  </threadedComment>
  <threadedComment ref="AU360" dT="2026-05-25T03:38:29.87" personId="{5809B411-DE98-4C07-9E5F-01CB0F01720A}" id="{DDF248FB-E29D-4D37-9F70-C86977CBBAC5}">
    <text>Source: Moog FY2018 10-K Item 5 Quarterly Stock Prices (H/L midpoint avg of 4 quarters)</text>
  </threadedComment>
  <threadedComment ref="AZ360" dT="2026-05-25T03:38:29.87" personId="{5809B411-DE98-4C07-9E5F-01CB0F01720A}" id="{80C1E5ED-F7C2-4C84-BB8C-403200D75B47}">
    <text>Source: Moog FY2019 10-K Item 5 Issuer Purchases - Q4 weighted avg ($81.00, FY-end proxy; quarterly H/L disclosure was discontinued post-FY18)</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dc0ffc9-cb45-459f-884a-e1e1886acc3e}">
  <we:reference id="WA200009404" version="1.0.0.8" store="en-US" storeType="OMEX"/>
  <we:alternateReferences/>
  <we:properties>
    <we:property name="Microsoft.Office.CampaignId" value="&quot;none&quot;"/>
    <we:property name="claude.fileId" value="&quot;16d5b973-1821-4e01-adac-a959ab33c02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3A913-6870-441E-B32F-C48B2F4D5EC7}">
  <dimension ref="A1:DO489"/>
  <sheetViews>
    <sheetView showGridLines="0" tabSelected="1" zoomScale="60" zoomScaleNormal="60" workbookViewId="0">
      <pane xSplit="2" ySplit="6" topLeftCell="V260" activePane="bottomRight" state="frozen"/>
      <selection pane="topRight" activeCell="C1" sqref="C1"/>
      <selection pane="bottomLeft" activeCell="A7" sqref="A7"/>
      <selection pane="bottomRight" activeCell="CJ271" sqref="CJ271"/>
    </sheetView>
  </sheetViews>
  <sheetFormatPr defaultRowHeight="15.75" outlineLevelRow="1" outlineLevelCol="1" x14ac:dyDescent="0.25"/>
  <cols>
    <col min="1" max="1" width="1.375" customWidth="1"/>
    <col min="2" max="2" width="40" customWidth="1"/>
    <col min="3" max="6" width="9.375" hidden="1" customWidth="1" outlineLevel="1"/>
    <col min="7" max="7" width="11.75" bestFit="1" customWidth="1" collapsed="1"/>
    <col min="8" max="11" width="9.375" hidden="1" customWidth="1" outlineLevel="1"/>
    <col min="12" max="12" width="11.75" bestFit="1" customWidth="1" collapsed="1"/>
    <col min="13" max="16" width="9.375" hidden="1" customWidth="1" outlineLevel="1"/>
    <col min="17" max="17" width="11.75" bestFit="1" customWidth="1" collapsed="1"/>
    <col min="18" max="19" width="9.375" hidden="1" customWidth="1" outlineLevel="1"/>
    <col min="20" max="20" width="9.375" hidden="1" customWidth="1" outlineLevel="1" collapsed="1"/>
    <col min="21" max="21" width="9.375" hidden="1" customWidth="1" outlineLevel="1"/>
    <col min="22" max="22" width="11.75" bestFit="1" customWidth="1" collapsed="1"/>
    <col min="23" max="25" width="9.375" hidden="1" customWidth="1" outlineLevel="1"/>
    <col min="26" max="26" width="9.375" hidden="1" customWidth="1" outlineLevel="1" collapsed="1"/>
    <col min="27" max="27" width="11.75" bestFit="1" customWidth="1" collapsed="1"/>
    <col min="28" max="31" width="9.375" hidden="1" customWidth="1" outlineLevel="1"/>
    <col min="32" max="32" width="11.75" bestFit="1" customWidth="1" collapsed="1"/>
    <col min="33" max="36" width="9.375" hidden="1" customWidth="1" outlineLevel="1"/>
    <col min="37" max="37" width="11.75" bestFit="1" customWidth="1" collapsed="1"/>
    <col min="38" max="38" width="9.375" hidden="1" customWidth="1" outlineLevel="1" collapsed="1"/>
    <col min="39" max="41" width="9.375" hidden="1" customWidth="1" outlineLevel="1"/>
    <col min="42" max="42" width="11.75" bestFit="1" customWidth="1" collapsed="1"/>
    <col min="43" max="43" width="9.375" hidden="1" customWidth="1" outlineLevel="1"/>
    <col min="44" max="44" width="9.375" hidden="1" customWidth="1" outlineLevel="1" collapsed="1"/>
    <col min="45" max="46" width="9.375" hidden="1" customWidth="1" outlineLevel="1"/>
    <col min="47" max="47" width="11.75" bestFit="1" customWidth="1" collapsed="1"/>
    <col min="48" max="49" width="9.375" hidden="1" customWidth="1" outlineLevel="1"/>
    <col min="50" max="50" width="9.375" hidden="1" customWidth="1" outlineLevel="1" collapsed="1"/>
    <col min="51" max="51" width="9.375" hidden="1" customWidth="1" outlineLevel="1"/>
    <col min="52" max="52" width="11.75" bestFit="1" customWidth="1" collapsed="1"/>
    <col min="53" max="55" width="9.375" hidden="1" customWidth="1" outlineLevel="1"/>
    <col min="56" max="56" width="9.375" hidden="1" customWidth="1" outlineLevel="1" collapsed="1"/>
    <col min="57" max="57" width="11.75" bestFit="1" customWidth="1" collapsed="1"/>
    <col min="58" max="61" width="9.375" hidden="1" customWidth="1" outlineLevel="1"/>
    <col min="62" max="62" width="11.25" customWidth="1" collapsed="1"/>
    <col min="63" max="66" width="9.375" hidden="1" customWidth="1" outlineLevel="1"/>
    <col min="67" max="67" width="11.75" bestFit="1" customWidth="1" collapsed="1"/>
    <col min="68" max="68" width="9.875" hidden="1" customWidth="1" outlineLevel="1" collapsed="1"/>
    <col min="69" max="70" width="10.375" hidden="1" customWidth="1" outlineLevel="1"/>
    <col min="71" max="71" width="11.75" hidden="1" customWidth="1" outlineLevel="1"/>
    <col min="72" max="72" width="11.75" bestFit="1" customWidth="1" collapsed="1"/>
    <col min="73" max="76" width="10.375" hidden="1" customWidth="1" outlineLevel="1"/>
    <col min="77" max="77" width="11.75" bestFit="1" customWidth="1" collapsed="1"/>
    <col min="78" max="78" width="10.375" hidden="1" customWidth="1" outlineLevel="1"/>
    <col min="79" max="79" width="10.125" hidden="1" customWidth="1" outlineLevel="1"/>
    <col min="80" max="80" width="9.875" hidden="1" customWidth="1" outlineLevel="1"/>
    <col min="81" max="81" width="11" hidden="1" customWidth="1" outlineLevel="1"/>
    <col min="82" max="82" width="11.5" customWidth="1" collapsed="1"/>
    <col min="83" max="86" width="11.5" hidden="1" customWidth="1" outlineLevel="1"/>
    <col min="87" max="87" width="11.75" bestFit="1" customWidth="1" collapsed="1"/>
    <col min="88" max="91" width="11.75" bestFit="1" customWidth="1"/>
    <col min="92" max="92" width="12.25" customWidth="1"/>
    <col min="93" max="93" width="23.125" customWidth="1"/>
    <col min="94" max="94" width="13.5" bestFit="1" customWidth="1"/>
    <col min="95" max="95" width="53.375" customWidth="1"/>
    <col min="98" max="98" width="34.75" bestFit="1" customWidth="1"/>
  </cols>
  <sheetData>
    <row r="1" spans="1:96" ht="16.5" customHeight="1" x14ac:dyDescent="0.25">
      <c r="A1" s="4"/>
      <c r="G1" s="862"/>
      <c r="L1" s="862"/>
      <c r="Q1" s="862"/>
      <c r="V1" s="862"/>
      <c r="AA1" s="862"/>
      <c r="AF1" s="862"/>
      <c r="AK1" s="862"/>
      <c r="AP1" s="862"/>
      <c r="AU1" s="862"/>
      <c r="AZ1" s="862"/>
      <c r="BE1" s="862"/>
      <c r="BJ1" s="862"/>
      <c r="BO1" s="862"/>
      <c r="BT1" s="862"/>
      <c r="BY1" s="862"/>
      <c r="CD1" s="862"/>
      <c r="CI1" s="717"/>
      <c r="CJ1" s="717"/>
      <c r="CK1" s="717"/>
      <c r="CL1" s="717"/>
      <c r="CM1" s="717"/>
    </row>
    <row r="2" spans="1:96" ht="16.5" customHeight="1" x14ac:dyDescent="0.35">
      <c r="B2" s="170" t="s">
        <v>628</v>
      </c>
      <c r="G2" s="862"/>
      <c r="L2" s="862"/>
      <c r="Q2" s="862"/>
      <c r="V2" s="862"/>
      <c r="AA2" s="862"/>
      <c r="AF2" s="862"/>
      <c r="AK2" s="862"/>
      <c r="AP2" s="862"/>
      <c r="AU2" s="862"/>
      <c r="AZ2" s="862"/>
      <c r="BE2" s="862"/>
      <c r="BJ2" s="862"/>
      <c r="BO2" s="862"/>
      <c r="BT2" s="862"/>
      <c r="BY2" s="862"/>
      <c r="CD2" s="862"/>
      <c r="CI2" s="717"/>
      <c r="CJ2" s="717"/>
      <c r="CK2" s="717"/>
      <c r="CL2" s="717"/>
      <c r="CM2" s="717"/>
      <c r="CO2" s="726" t="s">
        <v>957</v>
      </c>
      <c r="CP2" s="64"/>
    </row>
    <row r="3" spans="1:96" ht="16.5" customHeight="1" x14ac:dyDescent="0.3">
      <c r="B3" s="173" t="s">
        <v>629</v>
      </c>
      <c r="G3" s="862"/>
      <c r="L3" s="862"/>
      <c r="Q3" s="862"/>
      <c r="V3" s="862"/>
      <c r="AA3" s="862"/>
      <c r="AF3" s="862"/>
      <c r="AK3" s="862"/>
      <c r="AP3" s="862"/>
      <c r="AU3" s="862"/>
      <c r="AZ3" s="862"/>
      <c r="BE3" s="862"/>
      <c r="BJ3" s="862"/>
      <c r="BO3" s="862"/>
      <c r="BT3" s="862"/>
      <c r="BY3" s="862"/>
      <c r="CD3" s="862"/>
      <c r="CI3" s="717"/>
      <c r="CJ3" s="717"/>
      <c r="CK3" s="717"/>
      <c r="CL3" s="717"/>
      <c r="CM3" s="717"/>
      <c r="CO3" s="725" t="s">
        <v>412</v>
      </c>
      <c r="CP3" s="64"/>
    </row>
    <row r="4" spans="1:96" ht="16.5" customHeight="1" x14ac:dyDescent="0.25">
      <c r="B4" s="174" t="s">
        <v>630</v>
      </c>
      <c r="G4" s="862"/>
      <c r="L4" s="862"/>
      <c r="Q4" s="862"/>
      <c r="V4" s="862"/>
      <c r="AA4" s="862"/>
      <c r="AF4" s="862"/>
      <c r="AK4" s="862"/>
      <c r="AP4" s="862"/>
      <c r="AU4" s="862"/>
      <c r="AZ4" s="862"/>
      <c r="BE4" s="862"/>
      <c r="BJ4" s="862"/>
      <c r="BO4" s="862"/>
      <c r="BT4" s="862"/>
      <c r="BY4" s="862"/>
      <c r="CD4" s="862"/>
      <c r="CI4" s="717"/>
      <c r="CJ4" s="717"/>
      <c r="CK4" s="717"/>
      <c r="CL4" s="717"/>
      <c r="CM4" s="717"/>
      <c r="CP4" s="64"/>
    </row>
    <row r="5" spans="1:96" ht="16.5" customHeight="1" x14ac:dyDescent="0.25">
      <c r="G5" s="862"/>
      <c r="L5" s="862"/>
      <c r="Q5" s="862"/>
      <c r="V5" s="862"/>
      <c r="AA5" s="862"/>
      <c r="AF5" s="862"/>
      <c r="AK5" s="862"/>
      <c r="AP5" s="862"/>
      <c r="AU5" s="862"/>
      <c r="AZ5" s="862"/>
      <c r="BE5" s="862"/>
      <c r="BJ5" s="862"/>
      <c r="BO5" s="862"/>
      <c r="BT5" s="862"/>
      <c r="BY5" s="862"/>
      <c r="CD5" s="862"/>
      <c r="CI5" s="717"/>
      <c r="CJ5" s="717"/>
      <c r="CK5" s="717"/>
      <c r="CL5" s="717"/>
      <c r="CM5" s="717"/>
      <c r="CN5" s="291" t="s">
        <v>673</v>
      </c>
      <c r="CO5" s="970" t="s">
        <v>972</v>
      </c>
      <c r="CP5" s="970"/>
      <c r="CQ5" s="970"/>
      <c r="CR5" s="970"/>
    </row>
    <row r="6" spans="1:96" ht="16.5" customHeight="1" x14ac:dyDescent="0.25">
      <c r="B6" s="57" t="s">
        <v>631</v>
      </c>
      <c r="C6" s="63" t="s">
        <v>632</v>
      </c>
      <c r="D6" s="63" t="s">
        <v>633</v>
      </c>
      <c r="E6" s="63" t="s">
        <v>634</v>
      </c>
      <c r="F6" s="63" t="s">
        <v>635</v>
      </c>
      <c r="G6" s="863" t="s">
        <v>636</v>
      </c>
      <c r="H6" s="63" t="s">
        <v>637</v>
      </c>
      <c r="I6" s="63" t="s">
        <v>638</v>
      </c>
      <c r="J6" s="63" t="s">
        <v>639</v>
      </c>
      <c r="K6" s="63" t="s">
        <v>640</v>
      </c>
      <c r="L6" s="863" t="s">
        <v>641</v>
      </c>
      <c r="M6" s="63" t="s">
        <v>642</v>
      </c>
      <c r="N6" s="63" t="s">
        <v>643</v>
      </c>
      <c r="O6" s="63" t="s">
        <v>644</v>
      </c>
      <c r="P6" s="63" t="s">
        <v>645</v>
      </c>
      <c r="Q6" s="863" t="s">
        <v>646</v>
      </c>
      <c r="R6" s="63" t="s">
        <v>647</v>
      </c>
      <c r="S6" s="63" t="s">
        <v>648</v>
      </c>
      <c r="T6" s="63" t="s">
        <v>649</v>
      </c>
      <c r="U6" s="63" t="s">
        <v>650</v>
      </c>
      <c r="V6" s="863" t="s">
        <v>651</v>
      </c>
      <c r="W6" s="63" t="s">
        <v>652</v>
      </c>
      <c r="X6" s="63" t="s">
        <v>653</v>
      </c>
      <c r="Y6" s="63" t="s">
        <v>654</v>
      </c>
      <c r="Z6" s="63" t="s">
        <v>655</v>
      </c>
      <c r="AA6" s="863" t="s">
        <v>656</v>
      </c>
      <c r="AB6" s="63" t="s">
        <v>120</v>
      </c>
      <c r="AC6" s="63" t="s">
        <v>121</v>
      </c>
      <c r="AD6" s="63" t="s">
        <v>123</v>
      </c>
      <c r="AE6" s="63" t="s">
        <v>124</v>
      </c>
      <c r="AF6" s="863" t="s">
        <v>657</v>
      </c>
      <c r="AG6" s="63" t="s">
        <v>125</v>
      </c>
      <c r="AH6" s="63" t="s">
        <v>126</v>
      </c>
      <c r="AI6" s="63" t="s">
        <v>128</v>
      </c>
      <c r="AJ6" s="63" t="s">
        <v>129</v>
      </c>
      <c r="AK6" s="863" t="s">
        <v>658</v>
      </c>
      <c r="AL6" s="63" t="s">
        <v>130</v>
      </c>
      <c r="AM6" s="63" t="s">
        <v>131</v>
      </c>
      <c r="AN6" s="63" t="s">
        <v>133</v>
      </c>
      <c r="AO6" s="63" t="s">
        <v>134</v>
      </c>
      <c r="AP6" s="863" t="s">
        <v>659</v>
      </c>
      <c r="AQ6" s="63" t="s">
        <v>135</v>
      </c>
      <c r="AR6" s="63" t="s">
        <v>136</v>
      </c>
      <c r="AS6" s="63" t="s">
        <v>138</v>
      </c>
      <c r="AT6" s="63" t="s">
        <v>139</v>
      </c>
      <c r="AU6" s="863" t="s">
        <v>660</v>
      </c>
      <c r="AV6" s="63" t="s">
        <v>140</v>
      </c>
      <c r="AW6" s="63" t="s">
        <v>141</v>
      </c>
      <c r="AX6" s="63" t="s">
        <v>143</v>
      </c>
      <c r="AY6" s="63" t="s">
        <v>144</v>
      </c>
      <c r="AZ6" s="863" t="s">
        <v>661</v>
      </c>
      <c r="BA6" s="63" t="s">
        <v>145</v>
      </c>
      <c r="BB6" s="63" t="s">
        <v>146</v>
      </c>
      <c r="BC6" s="63" t="s">
        <v>148</v>
      </c>
      <c r="BD6" s="63" t="s">
        <v>149</v>
      </c>
      <c r="BE6" s="863" t="s">
        <v>662</v>
      </c>
      <c r="BF6" s="63" t="s">
        <v>150</v>
      </c>
      <c r="BG6" s="63" t="s">
        <v>151</v>
      </c>
      <c r="BH6" s="63" t="s">
        <v>153</v>
      </c>
      <c r="BI6" s="63" t="s">
        <v>154</v>
      </c>
      <c r="BJ6" s="863" t="s">
        <v>663</v>
      </c>
      <c r="BK6" s="63" t="s">
        <v>155</v>
      </c>
      <c r="BL6" s="63" t="s">
        <v>156</v>
      </c>
      <c r="BM6" s="63" t="s">
        <v>158</v>
      </c>
      <c r="BN6" s="63" t="s">
        <v>159</v>
      </c>
      <c r="BO6" s="863" t="s">
        <v>664</v>
      </c>
      <c r="BP6" s="63" t="s">
        <v>160</v>
      </c>
      <c r="BQ6" s="63" t="s">
        <v>161</v>
      </c>
      <c r="BR6" s="63" t="s">
        <v>163</v>
      </c>
      <c r="BS6" s="63" t="s">
        <v>164</v>
      </c>
      <c r="BT6" s="863" t="s">
        <v>665</v>
      </c>
      <c r="BU6" s="63" t="s">
        <v>165</v>
      </c>
      <c r="BV6" s="63" t="s">
        <v>166</v>
      </c>
      <c r="BW6" s="63" t="s">
        <v>168</v>
      </c>
      <c r="BX6" s="63" t="s">
        <v>169</v>
      </c>
      <c r="BY6" s="863" t="s">
        <v>666</v>
      </c>
      <c r="BZ6" s="63" t="s">
        <v>170</v>
      </c>
      <c r="CA6" s="63" t="s">
        <v>171</v>
      </c>
      <c r="CB6" s="63" t="s">
        <v>173</v>
      </c>
      <c r="CC6" s="63" t="s">
        <v>174</v>
      </c>
      <c r="CD6" s="863" t="s">
        <v>667</v>
      </c>
      <c r="CE6" s="748" t="s">
        <v>1046</v>
      </c>
      <c r="CF6" s="748" t="s">
        <v>1047</v>
      </c>
      <c r="CG6" s="748" t="s">
        <v>1048</v>
      </c>
      <c r="CH6" s="748" t="s">
        <v>1049</v>
      </c>
      <c r="CI6" s="748" t="s">
        <v>668</v>
      </c>
      <c r="CJ6" s="63" t="s">
        <v>669</v>
      </c>
      <c r="CK6" s="63" t="s">
        <v>670</v>
      </c>
      <c r="CL6" s="63" t="s">
        <v>671</v>
      </c>
      <c r="CM6" s="63" t="s">
        <v>672</v>
      </c>
      <c r="CN6" s="63" t="s">
        <v>191</v>
      </c>
      <c r="CO6" s="63" t="s">
        <v>973</v>
      </c>
      <c r="CP6" s="727">
        <f>CM98</f>
        <v>5581.8999043111753</v>
      </c>
      <c r="CQ6" s="692" t="s">
        <v>819</v>
      </c>
    </row>
    <row r="7" spans="1:96" ht="16.5" customHeight="1" x14ac:dyDescent="0.25">
      <c r="C7" s="291"/>
      <c r="D7" s="291"/>
      <c r="E7" s="291"/>
      <c r="F7" s="291"/>
      <c r="G7" s="864"/>
      <c r="H7" s="291"/>
      <c r="I7" s="291"/>
      <c r="J7" s="291"/>
      <c r="K7" s="291"/>
      <c r="L7" s="864"/>
      <c r="M7" s="291"/>
      <c r="N7" s="291"/>
      <c r="O7" s="291"/>
      <c r="P7" s="291"/>
      <c r="Q7" s="864"/>
      <c r="R7" s="291"/>
      <c r="S7" s="291"/>
      <c r="T7" s="291"/>
      <c r="U7" s="291"/>
      <c r="V7" s="864"/>
      <c r="W7" s="291"/>
      <c r="X7" s="291"/>
      <c r="Y7" s="291"/>
      <c r="Z7" s="291"/>
      <c r="AA7" s="864"/>
      <c r="AB7" s="291"/>
      <c r="AC7" s="291"/>
      <c r="AD7" s="291"/>
      <c r="AE7" s="291"/>
      <c r="AF7" s="864"/>
      <c r="AG7" s="291"/>
      <c r="AH7" s="291"/>
      <c r="AI7" s="291"/>
      <c r="AJ7" s="291"/>
      <c r="AK7" s="864"/>
      <c r="AL7" s="291"/>
      <c r="AM7" s="291"/>
      <c r="AN7" s="291"/>
      <c r="AO7" s="291"/>
      <c r="AP7" s="864"/>
      <c r="AQ7" s="291"/>
      <c r="AR7" s="291"/>
      <c r="AS7" s="291"/>
      <c r="AT7" s="291"/>
      <c r="AU7" s="864"/>
      <c r="AV7" s="291"/>
      <c r="AW7" s="291"/>
      <c r="AX7" s="291"/>
      <c r="AY7" s="291"/>
      <c r="AZ7" s="864"/>
      <c r="BA7" s="291"/>
      <c r="BB7" s="291"/>
      <c r="BC7" s="291"/>
      <c r="BD7" s="291"/>
      <c r="BE7" s="864"/>
      <c r="BF7" s="291"/>
      <c r="BG7" s="291"/>
      <c r="BH7" s="291"/>
      <c r="BI7" s="291"/>
      <c r="BJ7" s="864"/>
      <c r="BK7" s="291"/>
      <c r="BL7" s="291"/>
      <c r="BM7" s="291"/>
      <c r="BN7" s="291"/>
      <c r="BO7" s="864"/>
      <c r="BP7" s="291"/>
      <c r="BQ7" s="291"/>
      <c r="BR7" s="291"/>
      <c r="BS7" s="291"/>
      <c r="BT7" s="864"/>
      <c r="BU7" s="291"/>
      <c r="BV7" s="291"/>
      <c r="BW7" s="291"/>
      <c r="BX7" s="291"/>
      <c r="BY7" s="864"/>
      <c r="BZ7" s="291"/>
      <c r="CA7" s="291"/>
      <c r="CB7" s="291"/>
      <c r="CC7" s="291"/>
      <c r="CD7" s="864"/>
      <c r="CE7" s="291"/>
      <c r="CF7" s="291"/>
      <c r="CG7" s="291"/>
      <c r="CH7" s="291"/>
      <c r="CI7" s="749"/>
      <c r="CJ7" s="749"/>
      <c r="CK7" s="749"/>
      <c r="CL7" s="749"/>
      <c r="CM7" s="749"/>
      <c r="CN7" s="291"/>
      <c r="CO7" s="291" t="s">
        <v>974</v>
      </c>
      <c r="CP7" s="728">
        <f>CM102</f>
        <v>757.9442207296039</v>
      </c>
      <c r="CQ7" s="693"/>
    </row>
    <row r="8" spans="1:96" ht="16.5" customHeight="1" x14ac:dyDescent="0.25">
      <c r="B8" s="221" t="s">
        <v>674</v>
      </c>
      <c r="C8" s="222"/>
      <c r="D8" s="222"/>
      <c r="E8" s="222"/>
      <c r="F8" s="222"/>
      <c r="G8" s="865"/>
      <c r="H8" s="222"/>
      <c r="I8" s="222"/>
      <c r="J8" s="222"/>
      <c r="K8" s="222"/>
      <c r="L8" s="865"/>
      <c r="M8" s="222"/>
      <c r="N8" s="222"/>
      <c r="O8" s="222"/>
      <c r="P8" s="222"/>
      <c r="Q8" s="865"/>
      <c r="R8" s="222"/>
      <c r="S8" s="222"/>
      <c r="T8" s="222"/>
      <c r="U8" s="222"/>
      <c r="V8" s="865"/>
      <c r="W8" s="222"/>
      <c r="X8" s="222"/>
      <c r="Y8" s="222"/>
      <c r="Z8" s="222"/>
      <c r="AA8" s="865"/>
      <c r="AB8" s="222"/>
      <c r="AC8" s="222"/>
      <c r="AD8" s="222"/>
      <c r="AE8" s="222"/>
      <c r="AF8" s="865"/>
      <c r="AG8" s="222"/>
      <c r="AH8" s="222"/>
      <c r="AI8" s="222"/>
      <c r="AJ8" s="222"/>
      <c r="AK8" s="865"/>
      <c r="AL8" s="222"/>
      <c r="AM8" s="222"/>
      <c r="AN8" s="222"/>
      <c r="AO8" s="222"/>
      <c r="AP8" s="865"/>
      <c r="AQ8" s="222"/>
      <c r="AR8" s="222"/>
      <c r="AS8" s="222"/>
      <c r="AT8" s="222"/>
      <c r="AU8" s="865"/>
      <c r="AV8" s="222"/>
      <c r="AW8" s="222"/>
      <c r="AX8" s="222"/>
      <c r="AY8" s="222"/>
      <c r="AZ8" s="865"/>
      <c r="BA8" s="222"/>
      <c r="BB8" s="222"/>
      <c r="BC8" s="222"/>
      <c r="BD8" s="222"/>
      <c r="BE8" s="865"/>
      <c r="BF8" s="222"/>
      <c r="BG8" s="222"/>
      <c r="BH8" s="222"/>
      <c r="BI8" s="222"/>
      <c r="BJ8" s="865"/>
      <c r="BK8" s="222"/>
      <c r="BL8" s="222"/>
      <c r="BM8" s="222"/>
      <c r="BN8" s="222"/>
      <c r="BO8" s="865"/>
      <c r="BP8" s="222"/>
      <c r="BQ8" s="222"/>
      <c r="BR8" s="222"/>
      <c r="BS8" s="222"/>
      <c r="BT8" s="865"/>
      <c r="BU8" s="222"/>
      <c r="BV8" s="222"/>
      <c r="BW8" s="222"/>
      <c r="BX8" s="222"/>
      <c r="BY8" s="865"/>
      <c r="BZ8" s="222"/>
      <c r="CA8" s="222"/>
      <c r="CB8" s="222"/>
      <c r="CC8" s="222"/>
      <c r="CD8" s="865"/>
      <c r="CE8" s="222"/>
      <c r="CF8" s="222"/>
      <c r="CG8" s="222"/>
      <c r="CH8" s="222"/>
      <c r="CI8" s="222"/>
      <c r="CJ8" s="222"/>
      <c r="CK8" s="222"/>
      <c r="CL8" s="222"/>
      <c r="CM8" s="222"/>
      <c r="CN8" s="222"/>
      <c r="CO8" s="222" t="s">
        <v>975</v>
      </c>
      <c r="CP8" s="729">
        <f>CM102/CM98</f>
        <v>0.13578606455200073</v>
      </c>
      <c r="CQ8" s="692" t="s">
        <v>820</v>
      </c>
    </row>
    <row r="9" spans="1:96" ht="16.5" customHeight="1" x14ac:dyDescent="0.25">
      <c r="B9" s="210" t="s">
        <v>675</v>
      </c>
      <c r="C9" s="677"/>
      <c r="D9" s="677"/>
      <c r="E9" s="677"/>
      <c r="F9" s="677"/>
      <c r="G9" s="866"/>
      <c r="H9" s="677"/>
      <c r="I9" s="677"/>
      <c r="J9" s="677"/>
      <c r="K9" s="677"/>
      <c r="L9" s="866"/>
      <c r="M9" s="677"/>
      <c r="N9" s="677"/>
      <c r="O9" s="677"/>
      <c r="P9" s="677"/>
      <c r="Q9" s="866"/>
      <c r="R9" s="677"/>
      <c r="S9" s="677"/>
      <c r="T9" s="677"/>
      <c r="U9" s="677"/>
      <c r="V9" s="866"/>
      <c r="W9" s="677"/>
      <c r="X9" s="677"/>
      <c r="Y9" s="677"/>
      <c r="Z9" s="677"/>
      <c r="AA9" s="866"/>
      <c r="AB9" s="677"/>
      <c r="AC9" s="677"/>
      <c r="AD9" s="677"/>
      <c r="AE9" s="677"/>
      <c r="AF9" s="866"/>
      <c r="AG9" s="677"/>
      <c r="AH9" s="677"/>
      <c r="AI9" s="677"/>
      <c r="AJ9" s="677"/>
      <c r="AK9" s="866"/>
      <c r="AL9" s="677"/>
      <c r="AM9" s="677"/>
      <c r="AN9" s="677"/>
      <c r="AO9" s="677"/>
      <c r="AP9" s="866"/>
      <c r="AQ9" s="677"/>
      <c r="AR9" s="677"/>
      <c r="AS9" s="677"/>
      <c r="AT9" s="677"/>
      <c r="AU9" s="866"/>
      <c r="AV9" s="677"/>
      <c r="AW9" s="677"/>
      <c r="AX9" s="677"/>
      <c r="AY9" s="677"/>
      <c r="AZ9" s="866"/>
      <c r="BA9" s="677"/>
      <c r="BB9" s="677"/>
      <c r="BC9" s="677"/>
      <c r="BD9" s="677"/>
      <c r="BE9" s="866"/>
      <c r="BF9" s="677"/>
      <c r="BG9" s="677"/>
      <c r="BH9" s="677"/>
      <c r="BI9" s="677"/>
      <c r="BJ9" s="866"/>
      <c r="BK9" s="677"/>
      <c r="BL9" s="677"/>
      <c r="BM9" s="677"/>
      <c r="BN9" s="677"/>
      <c r="BO9" s="866"/>
      <c r="BP9" s="677"/>
      <c r="BQ9" s="677"/>
      <c r="BR9" s="677"/>
      <c r="BS9" s="677"/>
      <c r="BT9" s="866"/>
      <c r="BU9" s="677"/>
      <c r="BV9" s="677"/>
      <c r="BW9" s="677"/>
      <c r="BX9" s="677"/>
      <c r="BY9" s="866"/>
      <c r="BZ9" s="677"/>
      <c r="CA9" s="677"/>
      <c r="CB9" s="677"/>
      <c r="CC9" s="677"/>
      <c r="CD9" s="866"/>
      <c r="CE9" s="677"/>
      <c r="CF9" s="677"/>
      <c r="CG9" s="677"/>
      <c r="CH9" s="677"/>
      <c r="CI9" s="750"/>
      <c r="CJ9" s="750"/>
      <c r="CK9" s="750"/>
      <c r="CL9" s="750"/>
      <c r="CM9" s="750"/>
      <c r="CN9" s="677"/>
      <c r="CO9" s="677" t="s">
        <v>976</v>
      </c>
      <c r="CP9" s="730">
        <f>CM284</f>
        <v>0</v>
      </c>
      <c r="CQ9" s="693"/>
    </row>
    <row r="10" spans="1:96" ht="16.5" hidden="1" customHeight="1" outlineLevel="1" x14ac:dyDescent="0.25">
      <c r="C10" s="291"/>
      <c r="D10" s="291"/>
      <c r="E10" s="291"/>
      <c r="F10" s="291"/>
      <c r="G10" s="864"/>
      <c r="H10" s="291"/>
      <c r="I10" s="291"/>
      <c r="J10" s="291"/>
      <c r="K10" s="291"/>
      <c r="L10" s="864"/>
      <c r="M10" s="291"/>
      <c r="N10" s="291"/>
      <c r="O10" s="291"/>
      <c r="P10" s="291"/>
      <c r="Q10" s="864"/>
      <c r="R10" s="291"/>
      <c r="S10" s="291"/>
      <c r="T10" s="291"/>
      <c r="U10" s="291"/>
      <c r="V10" s="864"/>
      <c r="W10" s="291"/>
      <c r="X10" s="291"/>
      <c r="Y10" s="291"/>
      <c r="Z10" s="291"/>
      <c r="AA10" s="864"/>
      <c r="AB10" s="291"/>
      <c r="AC10" s="291"/>
      <c r="AD10" s="291"/>
      <c r="AE10" s="291"/>
      <c r="AF10" s="864"/>
      <c r="AG10" s="291"/>
      <c r="AH10" s="291"/>
      <c r="AI10" s="291"/>
      <c r="AJ10" s="291"/>
      <c r="AK10" s="864"/>
      <c r="AL10" s="291"/>
      <c r="AM10" s="291"/>
      <c r="AN10" s="291"/>
      <c r="AO10" s="291"/>
      <c r="AP10" s="864"/>
      <c r="AQ10" s="291"/>
      <c r="AR10" s="291"/>
      <c r="AS10" s="291"/>
      <c r="AT10" s="291"/>
      <c r="AU10" s="864"/>
      <c r="AV10" s="291"/>
      <c r="AW10" s="291"/>
      <c r="AX10" s="291"/>
      <c r="AY10" s="291"/>
      <c r="AZ10" s="864"/>
      <c r="BA10" s="291"/>
      <c r="BB10" s="291"/>
      <c r="BC10" s="291"/>
      <c r="BD10" s="291"/>
      <c r="BE10" s="864"/>
      <c r="BF10" s="291"/>
      <c r="BG10" s="291"/>
      <c r="BH10" s="291"/>
      <c r="BI10" s="291"/>
      <c r="BJ10" s="864"/>
      <c r="BK10" s="291"/>
      <c r="BL10" s="291"/>
      <c r="BM10" s="291"/>
      <c r="BN10" s="291"/>
      <c r="BO10" s="864"/>
      <c r="BP10" s="291"/>
      <c r="BQ10" s="291"/>
      <c r="BR10" s="291"/>
      <c r="BS10" s="291"/>
      <c r="BT10" s="864"/>
      <c r="BU10" s="291"/>
      <c r="BV10" s="291"/>
      <c r="BW10" s="291"/>
      <c r="BX10" s="291"/>
      <c r="BY10" s="864"/>
      <c r="BZ10" s="291"/>
      <c r="CA10" s="291"/>
      <c r="CB10" s="291"/>
      <c r="CC10" s="291"/>
      <c r="CD10" s="864"/>
      <c r="CE10" s="291"/>
      <c r="CF10" s="291"/>
      <c r="CG10" s="291"/>
      <c r="CH10" s="291"/>
      <c r="CI10" s="749"/>
      <c r="CJ10" s="749"/>
      <c r="CK10" s="749"/>
      <c r="CL10" s="749"/>
      <c r="CM10" s="749"/>
      <c r="CN10" s="291"/>
      <c r="CO10" s="291" t="s">
        <v>977</v>
      </c>
      <c r="CP10" s="731">
        <f>CM156</f>
        <v>18.427097766390805</v>
      </c>
      <c r="CQ10" s="693"/>
    </row>
    <row r="11" spans="1:96" ht="16.5" hidden="1" customHeight="1" outlineLevel="1" x14ac:dyDescent="0.25">
      <c r="B11" s="223" t="s">
        <v>676</v>
      </c>
      <c r="C11" s="224"/>
      <c r="D11" s="224"/>
      <c r="E11" s="224"/>
      <c r="F11" s="224"/>
      <c r="G11" s="867"/>
      <c r="H11" s="224"/>
      <c r="I11" s="224"/>
      <c r="J11" s="224"/>
      <c r="K11" s="224"/>
      <c r="L11" s="867"/>
      <c r="M11" s="224"/>
      <c r="N11" s="224"/>
      <c r="O11" s="224"/>
      <c r="P11" s="224"/>
      <c r="Q11" s="867"/>
      <c r="R11" s="224"/>
      <c r="S11" s="224"/>
      <c r="T11" s="224"/>
      <c r="U11" s="224"/>
      <c r="V11" s="867"/>
      <c r="W11" s="224"/>
      <c r="X11" s="224"/>
      <c r="Y11" s="224"/>
      <c r="Z11" s="224"/>
      <c r="AA11" s="867"/>
      <c r="AB11" s="224"/>
      <c r="AC11" s="224"/>
      <c r="AD11" s="224"/>
      <c r="AE11" s="224"/>
      <c r="AF11" s="867"/>
      <c r="AG11" s="224"/>
      <c r="AH11" s="224"/>
      <c r="AI11" s="224"/>
      <c r="AJ11" s="224"/>
      <c r="AK11" s="867"/>
      <c r="AL11" s="224"/>
      <c r="AM11" s="224"/>
      <c r="AN11" s="224"/>
      <c r="AO11" s="224"/>
      <c r="AP11" s="867"/>
      <c r="AQ11" s="224"/>
      <c r="AR11" s="224"/>
      <c r="AS11" s="224"/>
      <c r="AT11" s="224"/>
      <c r="AU11" s="867"/>
      <c r="AV11" s="224"/>
      <c r="AW11" s="224"/>
      <c r="AX11" s="224"/>
      <c r="AY11" s="224"/>
      <c r="AZ11" s="867"/>
      <c r="BA11" s="224"/>
      <c r="BB11" s="224"/>
      <c r="BC11" s="224"/>
      <c r="BD11" s="224"/>
      <c r="BE11" s="867"/>
      <c r="BF11" s="224"/>
      <c r="BG11" s="224"/>
      <c r="BH11" s="224"/>
      <c r="BI11" s="224"/>
      <c r="BJ11" s="867"/>
      <c r="BK11" s="224"/>
      <c r="BL11" s="224"/>
      <c r="BM11" s="224"/>
      <c r="BN11" s="224"/>
      <c r="BO11" s="867"/>
      <c r="BP11" s="224"/>
      <c r="BQ11" s="224"/>
      <c r="BR11" s="224"/>
      <c r="BS11" s="224"/>
      <c r="BT11" s="867"/>
      <c r="BU11" s="224"/>
      <c r="BV11" s="224"/>
      <c r="BW11" s="224"/>
      <c r="BX11" s="224"/>
      <c r="BY11" s="867"/>
      <c r="BZ11" s="224"/>
      <c r="CA11" s="224"/>
      <c r="CB11" s="224"/>
      <c r="CC11" s="224"/>
      <c r="CD11" s="867"/>
      <c r="CE11" s="224"/>
      <c r="CF11" s="224"/>
      <c r="CG11" s="224"/>
      <c r="CH11" s="224"/>
      <c r="CI11" s="224"/>
      <c r="CJ11" s="224"/>
      <c r="CK11" s="224"/>
      <c r="CL11" s="224"/>
      <c r="CM11" s="224"/>
      <c r="CN11" s="224"/>
      <c r="CO11" s="224"/>
      <c r="CP11" s="224"/>
      <c r="CQ11" s="693"/>
    </row>
    <row r="12" spans="1:96" ht="16.5" hidden="1" customHeight="1" outlineLevel="1" x14ac:dyDescent="0.25">
      <c r="B12" t="s">
        <v>677</v>
      </c>
      <c r="C12" s="743"/>
      <c r="D12" s="743"/>
      <c r="E12" s="743"/>
      <c r="F12" s="743"/>
      <c r="G12" s="868">
        <v>756.55</v>
      </c>
      <c r="H12" s="743"/>
      <c r="I12" s="743"/>
      <c r="J12" s="743"/>
      <c r="K12" s="743"/>
      <c r="L12" s="868">
        <v>850.49</v>
      </c>
      <c r="M12" s="743"/>
      <c r="N12" s="743"/>
      <c r="O12" s="743"/>
      <c r="P12" s="743"/>
      <c r="Q12" s="868">
        <v>963.42100000000005</v>
      </c>
      <c r="R12" s="743"/>
      <c r="S12" s="743"/>
      <c r="T12" s="743"/>
      <c r="U12" s="743"/>
      <c r="V12" s="868">
        <v>1059.587</v>
      </c>
      <c r="W12" s="743"/>
      <c r="X12" s="743"/>
      <c r="Y12" s="743"/>
      <c r="Z12" s="743"/>
      <c r="AA12" s="868">
        <v>1117.6559999999999</v>
      </c>
      <c r="AB12" s="743"/>
      <c r="AC12" s="743"/>
      <c r="AD12" s="743"/>
      <c r="AE12" s="743"/>
      <c r="AF12" s="868">
        <v>1086.547</v>
      </c>
      <c r="AG12" s="743"/>
      <c r="AH12" s="743"/>
      <c r="AI12" s="743"/>
      <c r="AJ12" s="743"/>
      <c r="AK12" s="868">
        <v>1063.7180000000001</v>
      </c>
      <c r="AL12" s="743"/>
      <c r="AM12" s="291"/>
      <c r="AN12" s="291"/>
      <c r="AO12" s="291"/>
      <c r="AP12" s="868">
        <v>1124.885</v>
      </c>
      <c r="AQ12" s="291"/>
      <c r="AR12" s="291"/>
      <c r="AS12" s="291"/>
      <c r="AT12" s="291"/>
      <c r="AU12" s="868">
        <v>1193.5050000000001</v>
      </c>
      <c r="AV12" s="291"/>
      <c r="AW12" s="291"/>
      <c r="AX12" s="291"/>
      <c r="AY12" s="291"/>
      <c r="AZ12" s="868">
        <v>1302.972</v>
      </c>
      <c r="BA12" s="291"/>
      <c r="BB12" s="291"/>
      <c r="BC12" s="291"/>
      <c r="BD12" s="291"/>
      <c r="BE12" s="868">
        <v>1205.75</v>
      </c>
      <c r="BF12" s="743">
        <v>286.774</v>
      </c>
      <c r="BG12" s="743">
        <v>304.36099999999999</v>
      </c>
      <c r="BH12" s="743">
        <v>272.13099999999997</v>
      </c>
      <c r="BI12" s="291">
        <f>BJ12-SUM(BF12:BH12)</f>
        <v>297.97200000000009</v>
      </c>
      <c r="BJ12" s="868">
        <v>1161.2380000000001</v>
      </c>
      <c r="BK12" s="743">
        <v>303.31700000000001</v>
      </c>
      <c r="BL12" s="743">
        <v>311.26799999999997</v>
      </c>
      <c r="BM12" s="743">
        <v>318.017</v>
      </c>
      <c r="BN12" s="291">
        <f>BO12-SUM(BK12:BM12)</f>
        <v>323.85899999999992</v>
      </c>
      <c r="BO12" s="868">
        <v>1256.461</v>
      </c>
      <c r="BP12" s="743">
        <v>310.25900000000001</v>
      </c>
      <c r="BQ12" s="743">
        <v>347.00400000000002</v>
      </c>
      <c r="BR12" s="743">
        <v>355.02499999999998</v>
      </c>
      <c r="BS12" s="291"/>
      <c r="BT12" s="864"/>
      <c r="BU12" s="291"/>
      <c r="BV12" s="291"/>
      <c r="BW12" s="291"/>
      <c r="BX12" s="291"/>
      <c r="BY12" s="864"/>
      <c r="BZ12" s="291"/>
      <c r="CA12" s="291"/>
      <c r="CB12" s="291"/>
      <c r="CC12" s="291"/>
      <c r="CD12" s="864"/>
      <c r="CE12" s="291"/>
      <c r="CF12" s="291"/>
      <c r="CG12" s="291"/>
      <c r="CH12" s="291"/>
      <c r="CI12" s="749"/>
      <c r="CJ12" s="749"/>
      <c r="CK12" s="749"/>
      <c r="CL12" s="749"/>
      <c r="CM12" s="749"/>
      <c r="CN12" s="291"/>
      <c r="CO12" s="291"/>
      <c r="CP12" s="291"/>
      <c r="CQ12" s="693"/>
    </row>
    <row r="13" spans="1:96" ht="16.5" hidden="1" customHeight="1" outlineLevel="1" x14ac:dyDescent="0.25">
      <c r="B13" t="s">
        <v>678</v>
      </c>
      <c r="C13" s="743"/>
      <c r="D13" s="743"/>
      <c r="E13" s="743"/>
      <c r="F13" s="743"/>
      <c r="G13" s="868">
        <v>76.373999999999995</v>
      </c>
      <c r="H13" s="743"/>
      <c r="I13" s="743"/>
      <c r="J13" s="743"/>
      <c r="K13" s="743"/>
      <c r="L13" s="868">
        <v>83.775999999999996</v>
      </c>
      <c r="M13" s="743"/>
      <c r="N13" s="743"/>
      <c r="O13" s="743"/>
      <c r="P13" s="743"/>
      <c r="Q13" s="868">
        <v>104.58199999999999</v>
      </c>
      <c r="R13" s="743"/>
      <c r="S13" s="743"/>
      <c r="T13" s="743"/>
      <c r="U13" s="743"/>
      <c r="V13" s="868">
        <v>126.751</v>
      </c>
      <c r="W13" s="743"/>
      <c r="X13" s="743"/>
      <c r="Y13" s="743"/>
      <c r="Z13" s="743"/>
      <c r="AA13" s="868">
        <v>115.726</v>
      </c>
      <c r="AB13" s="743"/>
      <c r="AC13" s="743"/>
      <c r="AD13" s="743"/>
      <c r="AE13" s="743"/>
      <c r="AF13" s="868">
        <v>100.006</v>
      </c>
      <c r="AG13" s="743"/>
      <c r="AH13" s="743"/>
      <c r="AI13" s="743"/>
      <c r="AJ13" s="743"/>
      <c r="AK13" s="868">
        <v>98.509</v>
      </c>
      <c r="AL13" s="743"/>
      <c r="AM13" s="291"/>
      <c r="AN13" s="291"/>
      <c r="AO13" s="291"/>
      <c r="AP13" s="868">
        <v>114.01600000000001</v>
      </c>
      <c r="AQ13" s="291"/>
      <c r="AR13" s="291"/>
      <c r="AS13" s="291"/>
      <c r="AT13" s="291"/>
      <c r="AU13" s="868">
        <v>129.77199999999999</v>
      </c>
      <c r="AV13" s="291"/>
      <c r="AW13" s="291"/>
      <c r="AX13" s="291"/>
      <c r="AY13" s="291"/>
      <c r="AZ13" s="868">
        <v>122.70099999999999</v>
      </c>
      <c r="BA13" s="291"/>
      <c r="BB13" s="291"/>
      <c r="BC13" s="291"/>
      <c r="BD13" s="291"/>
      <c r="BE13" s="868">
        <v>34.67</v>
      </c>
      <c r="BF13" s="743">
        <v>27.922000000000001</v>
      </c>
      <c r="BG13" s="743">
        <v>22.018000000000001</v>
      </c>
      <c r="BH13" s="743">
        <v>20.545000000000002</v>
      </c>
      <c r="BI13" s="291">
        <f>BJ13-SUM(BF13:BH13)</f>
        <v>26.192999999999998</v>
      </c>
      <c r="BJ13" s="868">
        <v>96.677999999999997</v>
      </c>
      <c r="BK13" s="743">
        <v>41.914999999999999</v>
      </c>
      <c r="BL13" s="743">
        <v>12.441000000000001</v>
      </c>
      <c r="BM13" s="743">
        <v>34.453000000000003</v>
      </c>
      <c r="BN13" s="291">
        <f>BO13-SUM(BK13:BM13)</f>
        <v>34.811000000000007</v>
      </c>
      <c r="BO13" s="868">
        <v>123.62</v>
      </c>
      <c r="BP13" s="743">
        <v>29.718</v>
      </c>
      <c r="BQ13" s="743">
        <v>31.861999999999998</v>
      </c>
      <c r="BR13" s="743">
        <v>37.887999999999998</v>
      </c>
      <c r="BS13" s="291"/>
      <c r="BT13" s="864"/>
      <c r="BU13" s="291"/>
      <c r="BV13" s="291"/>
      <c r="BW13" s="291"/>
      <c r="BX13" s="291"/>
      <c r="BY13" s="864"/>
      <c r="BZ13" s="291"/>
      <c r="CA13" s="291"/>
      <c r="CB13" s="291"/>
      <c r="CC13" s="291"/>
      <c r="CD13" s="864"/>
      <c r="CE13" s="291"/>
      <c r="CF13" s="291"/>
      <c r="CG13" s="291"/>
      <c r="CH13" s="291"/>
      <c r="CI13" s="749"/>
      <c r="CJ13" s="749"/>
      <c r="CK13" s="749"/>
      <c r="CL13" s="749"/>
      <c r="CM13" s="749"/>
      <c r="CN13" s="291"/>
      <c r="CO13" s="291"/>
      <c r="CP13" s="291"/>
      <c r="CQ13" s="693"/>
    </row>
    <row r="14" spans="1:96" ht="16.5" hidden="1" customHeight="1" outlineLevel="1" x14ac:dyDescent="0.25">
      <c r="B14" s="12" t="s">
        <v>679</v>
      </c>
      <c r="C14" s="241"/>
      <c r="D14" s="241"/>
      <c r="E14" s="241"/>
      <c r="F14" s="241"/>
      <c r="G14" s="869"/>
      <c r="H14" s="241"/>
      <c r="I14" s="241"/>
      <c r="J14" s="241"/>
      <c r="K14" s="241"/>
      <c r="L14" s="869">
        <f>L12/G12-1</f>
        <v>0.12416892472407648</v>
      </c>
      <c r="M14" s="241"/>
      <c r="N14" s="241"/>
      <c r="O14" s="241"/>
      <c r="P14" s="241"/>
      <c r="Q14" s="869">
        <f>Q12/L12-1</f>
        <v>0.13278345424402405</v>
      </c>
      <c r="R14" s="241"/>
      <c r="S14" s="241"/>
      <c r="T14" s="241"/>
      <c r="U14" s="241"/>
      <c r="V14" s="869">
        <f>V12/Q12-1</f>
        <v>9.9817213866004506E-2</v>
      </c>
      <c r="W14" s="241"/>
      <c r="X14" s="241"/>
      <c r="Y14" s="241"/>
      <c r="Z14" s="241"/>
      <c r="AA14" s="869">
        <f>AA12/V12-1</f>
        <v>5.4803428128129106E-2</v>
      </c>
      <c r="AB14" s="241"/>
      <c r="AC14" s="241"/>
      <c r="AD14" s="241"/>
      <c r="AE14" s="241"/>
      <c r="AF14" s="869">
        <f>AF12/AA12-1</f>
        <v>-2.7834145747886563E-2</v>
      </c>
      <c r="AG14" s="241"/>
      <c r="AH14" s="241"/>
      <c r="AI14" s="241"/>
      <c r="AJ14" s="241"/>
      <c r="AK14" s="869">
        <f>AK12/AF12-1</f>
        <v>-2.1010595952130839E-2</v>
      </c>
      <c r="AL14" s="241"/>
      <c r="AM14" s="241"/>
      <c r="AN14" s="241"/>
      <c r="AO14" s="241"/>
      <c r="AP14" s="869">
        <f>AP12/AK12-1</f>
        <v>5.7503022417595639E-2</v>
      </c>
      <c r="AQ14" s="241"/>
      <c r="AR14" s="241"/>
      <c r="AS14" s="241"/>
      <c r="AT14" s="241"/>
      <c r="AU14" s="869">
        <f>AU12/AP12-1</f>
        <v>6.1001791294221341E-2</v>
      </c>
      <c r="AV14" s="241"/>
      <c r="AW14" s="241"/>
      <c r="AX14" s="241"/>
      <c r="AY14" s="241"/>
      <c r="AZ14" s="869">
        <f>AZ12/AU12-1</f>
        <v>9.1718928701597369E-2</v>
      </c>
      <c r="BA14" s="241"/>
      <c r="BB14" s="241"/>
      <c r="BC14" s="241"/>
      <c r="BD14" s="241"/>
      <c r="BE14" s="869">
        <f>BE12/AZ12-1</f>
        <v>-7.4615571171137929E-2</v>
      </c>
      <c r="BF14" s="241"/>
      <c r="BG14" s="241"/>
      <c r="BH14" s="241"/>
      <c r="BI14" s="241"/>
      <c r="BJ14" s="869">
        <f>BJ12/BE12-1</f>
        <v>-3.6916442048517517E-2</v>
      </c>
      <c r="BK14" s="241">
        <f>BK12/BF12-1</f>
        <v>5.7686540620837334E-2</v>
      </c>
      <c r="BL14" s="241">
        <f>BL12/BG12-1</f>
        <v>2.2693446269397066E-2</v>
      </c>
      <c r="BM14" s="241">
        <f>BM12/BH12-1</f>
        <v>0.1686173203346919</v>
      </c>
      <c r="BN14" s="241"/>
      <c r="BO14" s="869"/>
      <c r="BP14" s="241">
        <f>BP12/BK12-1</f>
        <v>2.2886946659765206E-2</v>
      </c>
      <c r="BQ14" s="241">
        <f>BQ12/BL12-1</f>
        <v>0.11480781834303566</v>
      </c>
      <c r="BR14" s="241">
        <f>BR12/BM12-1</f>
        <v>0.1163711373920262</v>
      </c>
      <c r="BS14" s="241"/>
      <c r="BT14" s="869"/>
      <c r="BU14" s="241"/>
      <c r="BV14" s="241"/>
      <c r="BW14" s="241"/>
      <c r="BX14" s="241"/>
      <c r="BY14" s="869"/>
      <c r="BZ14" s="241"/>
      <c r="CA14" s="241"/>
      <c r="CB14" s="241"/>
      <c r="CC14" s="241"/>
      <c r="CD14" s="869"/>
      <c r="CE14" s="241"/>
      <c r="CF14" s="241"/>
      <c r="CG14" s="241"/>
      <c r="CH14" s="241"/>
      <c r="CI14" s="751"/>
      <c r="CJ14" s="751"/>
      <c r="CK14" s="751"/>
      <c r="CL14" s="751"/>
      <c r="CM14" s="751"/>
      <c r="CN14" s="241"/>
      <c r="CO14" s="241"/>
      <c r="CP14" s="241"/>
      <c r="CQ14" s="693"/>
    </row>
    <row r="15" spans="1:96" ht="16.5" hidden="1" customHeight="1" outlineLevel="1" x14ac:dyDescent="0.25">
      <c r="B15" s="12" t="s">
        <v>680</v>
      </c>
      <c r="C15" s="241"/>
      <c r="D15" s="241"/>
      <c r="E15" s="241"/>
      <c r="F15" s="241"/>
      <c r="G15" s="869">
        <f>G13/G12</f>
        <v>0.10095036679664265</v>
      </c>
      <c r="H15" s="241"/>
      <c r="I15" s="241"/>
      <c r="J15" s="241"/>
      <c r="K15" s="241"/>
      <c r="L15" s="869">
        <f t="shared" ref="L15:BJ15" si="0">L13/L12</f>
        <v>9.8503215793248597E-2</v>
      </c>
      <c r="M15" s="241"/>
      <c r="N15" s="241"/>
      <c r="O15" s="241"/>
      <c r="P15" s="241"/>
      <c r="Q15" s="869">
        <f t="shared" si="0"/>
        <v>0.10855275108182195</v>
      </c>
      <c r="R15" s="241"/>
      <c r="S15" s="241"/>
      <c r="T15" s="241"/>
      <c r="U15" s="241"/>
      <c r="V15" s="869">
        <f t="shared" si="0"/>
        <v>0.11962302293251995</v>
      </c>
      <c r="W15" s="241"/>
      <c r="X15" s="241"/>
      <c r="Y15" s="241"/>
      <c r="Z15" s="241"/>
      <c r="AA15" s="869">
        <f t="shared" si="0"/>
        <v>0.10354348744157416</v>
      </c>
      <c r="AB15" s="241"/>
      <c r="AC15" s="241"/>
      <c r="AD15" s="241"/>
      <c r="AE15" s="241"/>
      <c r="AF15" s="869">
        <f t="shared" si="0"/>
        <v>9.204019706464607E-2</v>
      </c>
      <c r="AG15" s="241"/>
      <c r="AH15" s="241"/>
      <c r="AI15" s="241"/>
      <c r="AJ15" s="241"/>
      <c r="AK15" s="869">
        <f t="shared" si="0"/>
        <v>9.260819126873851E-2</v>
      </c>
      <c r="AL15" s="241"/>
      <c r="AM15" s="241"/>
      <c r="AN15" s="241"/>
      <c r="AO15" s="241"/>
      <c r="AP15" s="869">
        <f t="shared" si="0"/>
        <v>0.1013579165870289</v>
      </c>
      <c r="AQ15" s="241"/>
      <c r="AR15" s="241"/>
      <c r="AS15" s="241"/>
      <c r="AT15" s="241"/>
      <c r="AU15" s="869">
        <f t="shared" si="0"/>
        <v>0.10873184444137224</v>
      </c>
      <c r="AV15" s="241"/>
      <c r="AW15" s="241"/>
      <c r="AX15" s="241"/>
      <c r="AY15" s="241"/>
      <c r="AZ15" s="869">
        <f t="shared" si="0"/>
        <v>9.417009728528318E-2</v>
      </c>
      <c r="BA15" s="241"/>
      <c r="BB15" s="241"/>
      <c r="BC15" s="241"/>
      <c r="BD15" s="241"/>
      <c r="BE15" s="869">
        <f t="shared" si="0"/>
        <v>2.8753887621812153E-2</v>
      </c>
      <c r="BF15" s="241">
        <f>BF13/BF12</f>
        <v>9.7365869988213713E-2</v>
      </c>
      <c r="BG15" s="241">
        <f>BG13/BG12</f>
        <v>7.2341725779584115E-2</v>
      </c>
      <c r="BH15" s="241">
        <f>BH13/BH12</f>
        <v>7.5496727678948758E-2</v>
      </c>
      <c r="BI15" s="241">
        <f t="shared" si="0"/>
        <v>8.7904232612460192E-2</v>
      </c>
      <c r="BJ15" s="869">
        <f t="shared" si="0"/>
        <v>8.3254251066534155E-2</v>
      </c>
      <c r="BK15" s="241">
        <f>BK13/BK12</f>
        <v>0.1381887596145287</v>
      </c>
      <c r="BL15" s="241">
        <f>BL13/BL12</f>
        <v>3.9968772890242497E-2</v>
      </c>
      <c r="BM15" s="241">
        <f>BM13/BM12</f>
        <v>0.10833697569626782</v>
      </c>
      <c r="BN15" s="241"/>
      <c r="BO15" s="869">
        <f>BO13/BO12</f>
        <v>9.8387454922994028E-2</v>
      </c>
      <c r="BP15" s="241">
        <f>BP13/BP12</f>
        <v>9.5784489732771649E-2</v>
      </c>
      <c r="BQ15" s="241">
        <f>BQ13/BQ12</f>
        <v>9.1820267201530803E-2</v>
      </c>
      <c r="BR15" s="241">
        <f>BR13/BR12</f>
        <v>0.10671924512358284</v>
      </c>
      <c r="BS15" s="241"/>
      <c r="BT15" s="869"/>
      <c r="BU15" s="241"/>
      <c r="BV15" s="241"/>
      <c r="BW15" s="241"/>
      <c r="BX15" s="241"/>
      <c r="BY15" s="869"/>
      <c r="BZ15" s="241"/>
      <c r="CA15" s="241"/>
      <c r="CB15" s="241"/>
      <c r="CC15" s="241"/>
      <c r="CD15" s="869"/>
      <c r="CE15" s="241"/>
      <c r="CF15" s="241"/>
      <c r="CG15" s="241"/>
      <c r="CH15" s="241"/>
      <c r="CI15" s="751"/>
      <c r="CJ15" s="751"/>
      <c r="CK15" s="751"/>
      <c r="CL15" s="751"/>
      <c r="CM15" s="751"/>
      <c r="CN15" s="241"/>
      <c r="CO15" s="241"/>
      <c r="CP15" s="241"/>
      <c r="CQ15" s="693"/>
    </row>
    <row r="16" spans="1:96" ht="16.5" hidden="1" customHeight="1" outlineLevel="1" x14ac:dyDescent="0.25">
      <c r="B16" t="s">
        <v>681</v>
      </c>
      <c r="C16" s="743"/>
      <c r="D16" s="743"/>
      <c r="E16" s="743"/>
      <c r="F16" s="743"/>
      <c r="G16" s="868">
        <v>567</v>
      </c>
      <c r="H16" s="743"/>
      <c r="I16" s="743"/>
      <c r="J16" s="743"/>
      <c r="K16" s="743"/>
      <c r="L16" s="868">
        <v>641</v>
      </c>
      <c r="M16" s="743"/>
      <c r="N16" s="743"/>
      <c r="O16" s="743"/>
      <c r="P16" s="743"/>
      <c r="Q16" s="868">
        <v>658</v>
      </c>
      <c r="R16" s="743"/>
      <c r="S16" s="743"/>
      <c r="T16" s="743"/>
      <c r="U16" s="743"/>
      <c r="V16" s="868">
        <v>671</v>
      </c>
      <c r="W16" s="743"/>
      <c r="X16" s="743"/>
      <c r="Y16" s="743"/>
      <c r="Z16" s="743"/>
      <c r="AA16" s="868">
        <v>715</v>
      </c>
      <c r="AB16" s="743"/>
      <c r="AC16" s="743"/>
      <c r="AD16" s="743"/>
      <c r="AE16" s="743"/>
      <c r="AF16" s="868">
        <v>678</v>
      </c>
      <c r="AG16" s="743"/>
      <c r="AH16" s="743"/>
      <c r="AI16" s="743"/>
      <c r="AJ16" s="743"/>
      <c r="AK16" s="868">
        <v>632</v>
      </c>
      <c r="AL16" s="743"/>
      <c r="AM16" s="291"/>
      <c r="AN16" s="291"/>
      <c r="AO16" s="291"/>
      <c r="AP16" s="868">
        <v>571</v>
      </c>
      <c r="AQ16" s="291"/>
      <c r="AR16" s="291"/>
      <c r="AS16" s="291"/>
      <c r="AT16" s="291"/>
      <c r="AU16" s="868">
        <v>755</v>
      </c>
      <c r="AV16" s="291"/>
      <c r="AW16" s="291"/>
      <c r="AX16" s="291"/>
      <c r="AY16" s="291"/>
      <c r="AZ16" s="864"/>
      <c r="BA16" s="291"/>
      <c r="BB16" s="291"/>
      <c r="BC16" s="291"/>
      <c r="BD16" s="291"/>
      <c r="BE16" s="864"/>
      <c r="BF16" s="291"/>
      <c r="BG16" s="291"/>
      <c r="BH16" s="291"/>
      <c r="BI16" s="291"/>
      <c r="BJ16" s="864"/>
      <c r="BK16" s="291"/>
      <c r="BL16" s="291"/>
      <c r="BM16" s="291"/>
      <c r="BN16" s="291"/>
      <c r="BO16" s="868">
        <v>5200</v>
      </c>
      <c r="BP16" s="291"/>
      <c r="BQ16" s="291"/>
      <c r="BR16" s="291"/>
      <c r="BS16" s="291"/>
      <c r="BT16" s="864"/>
      <c r="BU16" s="291"/>
      <c r="BV16" s="291"/>
      <c r="BW16" s="291"/>
      <c r="BX16" s="291"/>
      <c r="BY16" s="864"/>
      <c r="BZ16" s="291"/>
      <c r="CA16" s="291"/>
      <c r="CB16" s="291"/>
      <c r="CC16" s="291"/>
      <c r="CD16" s="864"/>
      <c r="CE16" s="291"/>
      <c r="CF16" s="291"/>
      <c r="CG16" s="291"/>
      <c r="CH16" s="291"/>
      <c r="CI16" s="749"/>
      <c r="CJ16" s="749"/>
      <c r="CK16" s="749"/>
      <c r="CL16" s="749"/>
      <c r="CM16" s="749"/>
      <c r="CN16" s="291"/>
      <c r="CO16" s="291"/>
      <c r="CP16" s="291"/>
      <c r="CQ16" s="693"/>
    </row>
    <row r="17" spans="2:95" ht="16.5" hidden="1" customHeight="1" outlineLevel="1" x14ac:dyDescent="0.25">
      <c r="B17" s="12" t="s">
        <v>682</v>
      </c>
      <c r="C17" s="241"/>
      <c r="D17" s="241"/>
      <c r="E17" s="241"/>
      <c r="F17" s="241"/>
      <c r="G17" s="869"/>
      <c r="H17" s="241"/>
      <c r="I17" s="241"/>
      <c r="J17" s="241"/>
      <c r="K17" s="241"/>
      <c r="L17" s="869"/>
      <c r="M17" s="241"/>
      <c r="N17" s="241"/>
      <c r="O17" s="241"/>
      <c r="P17" s="241"/>
      <c r="Q17" s="869"/>
      <c r="R17" s="241"/>
      <c r="S17" s="241"/>
      <c r="T17" s="241"/>
      <c r="U17" s="241"/>
      <c r="V17" s="869"/>
      <c r="W17" s="241"/>
      <c r="X17" s="241"/>
      <c r="Y17" s="241"/>
      <c r="Z17" s="241"/>
      <c r="AA17" s="869"/>
      <c r="AB17" s="241"/>
      <c r="AC17" s="241"/>
      <c r="AD17" s="241"/>
      <c r="AE17" s="241"/>
      <c r="AF17" s="869"/>
      <c r="AG17" s="241"/>
      <c r="AH17" s="241"/>
      <c r="AI17" s="241"/>
      <c r="AJ17" s="241"/>
      <c r="AK17" s="869"/>
      <c r="AL17" s="241"/>
      <c r="AM17" s="241"/>
      <c r="AN17" s="241"/>
      <c r="AO17" s="241"/>
      <c r="AP17" s="869"/>
      <c r="AQ17" s="241"/>
      <c r="AR17" s="241"/>
      <c r="AS17" s="241"/>
      <c r="AT17" s="241"/>
      <c r="AU17" s="869"/>
      <c r="AV17" s="241"/>
      <c r="AW17" s="241"/>
      <c r="AX17" s="241"/>
      <c r="AY17" s="241"/>
      <c r="AZ17" s="869"/>
      <c r="BA17" s="241"/>
      <c r="BB17" s="241"/>
      <c r="BC17" s="241"/>
      <c r="BD17" s="241"/>
      <c r="BE17" s="869"/>
      <c r="BF17" s="241"/>
      <c r="BG17" s="241"/>
      <c r="BH17" s="241"/>
      <c r="BI17" s="241"/>
      <c r="BJ17" s="869"/>
      <c r="BK17" s="241"/>
      <c r="BL17" s="241"/>
      <c r="BM17" s="241"/>
      <c r="BN17" s="241"/>
      <c r="BO17" s="869"/>
      <c r="BP17" s="241"/>
      <c r="BQ17" s="241"/>
      <c r="BR17" s="241"/>
      <c r="BS17" s="241"/>
      <c r="BT17" s="869"/>
      <c r="BU17" s="241"/>
      <c r="BV17" s="241"/>
      <c r="BW17" s="241"/>
      <c r="BX17" s="241"/>
      <c r="BY17" s="869"/>
      <c r="BZ17" s="241"/>
      <c r="CA17" s="241"/>
      <c r="CB17" s="241"/>
      <c r="CC17" s="241"/>
      <c r="CD17" s="869"/>
      <c r="CE17" s="241"/>
      <c r="CF17" s="241"/>
      <c r="CG17" s="241"/>
      <c r="CH17" s="241"/>
      <c r="CI17" s="751"/>
      <c r="CJ17" s="751"/>
      <c r="CK17" s="751"/>
      <c r="CL17" s="751"/>
      <c r="CM17" s="751"/>
      <c r="CN17" s="241"/>
      <c r="CO17" s="241"/>
      <c r="CP17" s="241"/>
      <c r="CQ17" s="693"/>
    </row>
    <row r="18" spans="2:95" ht="16.5" hidden="1" customHeight="1" outlineLevel="1" x14ac:dyDescent="0.25">
      <c r="C18" s="291"/>
      <c r="D18" s="291"/>
      <c r="E18" s="291"/>
      <c r="F18" s="291"/>
      <c r="G18" s="864"/>
      <c r="H18" s="291"/>
      <c r="I18" s="291"/>
      <c r="J18" s="291"/>
      <c r="K18" s="291"/>
      <c r="L18" s="864"/>
      <c r="M18" s="291"/>
      <c r="N18" s="291"/>
      <c r="O18" s="291"/>
      <c r="P18" s="291"/>
      <c r="Q18" s="864"/>
      <c r="R18" s="291"/>
      <c r="S18" s="291"/>
      <c r="T18" s="291"/>
      <c r="U18" s="291"/>
      <c r="V18" s="864"/>
      <c r="W18" s="291"/>
      <c r="X18" s="291"/>
      <c r="Y18" s="291"/>
      <c r="Z18" s="291"/>
      <c r="AA18" s="864"/>
      <c r="AB18" s="291"/>
      <c r="AC18" s="291"/>
      <c r="AD18" s="291"/>
      <c r="AE18" s="291"/>
      <c r="AF18" s="864"/>
      <c r="AG18" s="291"/>
      <c r="AH18" s="291"/>
      <c r="AI18" s="291"/>
      <c r="AJ18" s="291"/>
      <c r="AK18" s="864"/>
      <c r="AL18" s="291"/>
      <c r="AM18" s="291"/>
      <c r="AN18" s="291"/>
      <c r="AO18" s="291"/>
      <c r="AP18" s="864"/>
      <c r="AQ18" s="291"/>
      <c r="AR18" s="291"/>
      <c r="AS18" s="291"/>
      <c r="AT18" s="291"/>
      <c r="AU18" s="864"/>
      <c r="AV18" s="291"/>
      <c r="AW18" s="291"/>
      <c r="AX18" s="291"/>
      <c r="AY18" s="291"/>
      <c r="AZ18" s="864"/>
      <c r="BA18" s="291"/>
      <c r="BB18" s="291"/>
      <c r="BC18" s="291"/>
      <c r="BD18" s="291"/>
      <c r="BE18" s="864"/>
      <c r="BF18" s="291"/>
      <c r="BG18" s="291"/>
      <c r="BH18" s="291"/>
      <c r="BI18" s="291"/>
      <c r="BJ18" s="864"/>
      <c r="BK18" s="291"/>
      <c r="BL18" s="291"/>
      <c r="BM18" s="291"/>
      <c r="BN18" s="291"/>
      <c r="BO18" s="864"/>
      <c r="BP18" s="291"/>
      <c r="BQ18" s="291"/>
      <c r="BR18" s="291"/>
      <c r="BS18" s="291"/>
      <c r="BT18" s="864"/>
      <c r="BU18" s="291"/>
      <c r="BV18" s="291"/>
      <c r="BW18" s="291"/>
      <c r="BX18" s="291"/>
      <c r="BY18" s="864"/>
      <c r="BZ18" s="291"/>
      <c r="CA18" s="291"/>
      <c r="CB18" s="291"/>
      <c r="CC18" s="291"/>
      <c r="CD18" s="864"/>
      <c r="CE18" s="291"/>
      <c r="CF18" s="291"/>
      <c r="CG18" s="291"/>
      <c r="CH18" s="291"/>
      <c r="CI18" s="749"/>
      <c r="CJ18" s="749"/>
      <c r="CK18" s="749"/>
      <c r="CL18" s="749"/>
      <c r="CM18" s="749"/>
      <c r="CN18" s="291"/>
      <c r="CO18" s="291"/>
      <c r="CP18" s="291"/>
      <c r="CQ18" s="693"/>
    </row>
    <row r="19" spans="2:95" ht="16.5" hidden="1" customHeight="1" outlineLevel="1" x14ac:dyDescent="0.25">
      <c r="B19" s="223" t="s">
        <v>683</v>
      </c>
      <c r="C19" s="224"/>
      <c r="D19" s="224"/>
      <c r="E19" s="224"/>
      <c r="F19" s="224"/>
      <c r="G19" s="867"/>
      <c r="H19" s="224"/>
      <c r="I19" s="224"/>
      <c r="J19" s="224"/>
      <c r="K19" s="224"/>
      <c r="L19" s="867"/>
      <c r="M19" s="224"/>
      <c r="N19" s="224"/>
      <c r="O19" s="224"/>
      <c r="P19" s="224"/>
      <c r="Q19" s="867"/>
      <c r="R19" s="224"/>
      <c r="S19" s="224"/>
      <c r="T19" s="224"/>
      <c r="U19" s="224"/>
      <c r="V19" s="867"/>
      <c r="W19" s="224"/>
      <c r="X19" s="224"/>
      <c r="Y19" s="224"/>
      <c r="Z19" s="224"/>
      <c r="AA19" s="867"/>
      <c r="AB19" s="224"/>
      <c r="AC19" s="224"/>
      <c r="AD19" s="224"/>
      <c r="AE19" s="224"/>
      <c r="AF19" s="867"/>
      <c r="AG19" s="224"/>
      <c r="AH19" s="224"/>
      <c r="AI19" s="224"/>
      <c r="AJ19" s="224"/>
      <c r="AK19" s="867"/>
      <c r="AL19" s="224"/>
      <c r="AM19" s="224"/>
      <c r="AN19" s="224"/>
      <c r="AO19" s="224"/>
      <c r="AP19" s="867"/>
      <c r="AQ19" s="224"/>
      <c r="AR19" s="224"/>
      <c r="AS19" s="224"/>
      <c r="AT19" s="224"/>
      <c r="AU19" s="867"/>
      <c r="AV19" s="224"/>
      <c r="AW19" s="224"/>
      <c r="AX19" s="224"/>
      <c r="AY19" s="224"/>
      <c r="AZ19" s="867"/>
      <c r="BA19" s="224"/>
      <c r="BB19" s="224"/>
      <c r="BC19" s="224"/>
      <c r="BD19" s="224"/>
      <c r="BE19" s="867"/>
      <c r="BF19" s="224"/>
      <c r="BG19" s="224"/>
      <c r="BH19" s="224"/>
      <c r="BI19" s="224"/>
      <c r="BJ19" s="867"/>
      <c r="BK19" s="224"/>
      <c r="BL19" s="224"/>
      <c r="BM19" s="224"/>
      <c r="BN19" s="224"/>
      <c r="BO19" s="867"/>
      <c r="BP19" s="224"/>
      <c r="BQ19" s="224"/>
      <c r="BR19" s="224"/>
      <c r="BS19" s="224"/>
      <c r="BT19" s="867"/>
      <c r="BU19" s="224"/>
      <c r="BV19" s="224"/>
      <c r="BW19" s="224"/>
      <c r="BX19" s="224"/>
      <c r="BY19" s="867"/>
      <c r="BZ19" s="224"/>
      <c r="CA19" s="224"/>
      <c r="CB19" s="224"/>
      <c r="CC19" s="224"/>
      <c r="CD19" s="867"/>
      <c r="CE19" s="224"/>
      <c r="CF19" s="224"/>
      <c r="CG19" s="224"/>
      <c r="CH19" s="224"/>
      <c r="CI19" s="224"/>
      <c r="CJ19" s="224"/>
      <c r="CK19" s="224"/>
      <c r="CL19" s="224"/>
      <c r="CM19" s="224"/>
      <c r="CN19" s="224"/>
      <c r="CO19" s="224"/>
      <c r="CP19" s="224"/>
      <c r="CQ19" s="693"/>
    </row>
    <row r="20" spans="2:95" ht="16.5" hidden="1" customHeight="1" outlineLevel="1" x14ac:dyDescent="0.25">
      <c r="B20" t="s">
        <v>677</v>
      </c>
      <c r="C20" s="743"/>
      <c r="D20" s="743"/>
      <c r="E20" s="743"/>
      <c r="F20" s="743"/>
      <c r="G20" s="868">
        <v>325.47399999999999</v>
      </c>
      <c r="H20" s="743"/>
      <c r="I20" s="743"/>
      <c r="J20" s="743"/>
      <c r="K20" s="743"/>
      <c r="L20" s="868">
        <v>355.762</v>
      </c>
      <c r="M20" s="743"/>
      <c r="N20" s="743"/>
      <c r="O20" s="743"/>
      <c r="P20" s="743"/>
      <c r="Q20" s="868">
        <v>358.755</v>
      </c>
      <c r="R20" s="743"/>
      <c r="S20" s="743"/>
      <c r="T20" s="743"/>
      <c r="U20" s="743"/>
      <c r="V20" s="868">
        <v>395.94499999999999</v>
      </c>
      <c r="W20" s="743"/>
      <c r="X20" s="743"/>
      <c r="Y20" s="743"/>
      <c r="Z20" s="743"/>
      <c r="AA20" s="868">
        <v>394.505</v>
      </c>
      <c r="AB20" s="743"/>
      <c r="AC20" s="743"/>
      <c r="AD20" s="743"/>
      <c r="AE20" s="743"/>
      <c r="AF20" s="868">
        <v>381.44400000000002</v>
      </c>
      <c r="AG20" s="743"/>
      <c r="AH20" s="743"/>
      <c r="AI20" s="743"/>
      <c r="AJ20" s="743"/>
      <c r="AK20" s="868">
        <v>366.09100000000001</v>
      </c>
      <c r="AL20" s="743"/>
      <c r="AM20" s="291"/>
      <c r="AN20" s="291"/>
      <c r="AO20" s="291"/>
      <c r="AP20" s="868">
        <v>394.26400000000001</v>
      </c>
      <c r="AQ20" s="291"/>
      <c r="AR20" s="291"/>
      <c r="AS20" s="291"/>
      <c r="AT20" s="291"/>
      <c r="AU20" s="868">
        <v>580.87699999999995</v>
      </c>
      <c r="AV20" s="291"/>
      <c r="AW20" s="291"/>
      <c r="AX20" s="291"/>
      <c r="AY20" s="291"/>
      <c r="AZ20" s="868">
        <v>683.46799999999996</v>
      </c>
      <c r="BA20" s="291"/>
      <c r="BB20" s="291"/>
      <c r="BC20" s="291"/>
      <c r="BD20" s="291"/>
      <c r="BE20" s="868">
        <v>770.11400000000003</v>
      </c>
      <c r="BF20" s="743">
        <v>188.16200000000001</v>
      </c>
      <c r="BG20" s="743">
        <v>206.16800000000001</v>
      </c>
      <c r="BH20" s="743">
        <v>204.887</v>
      </c>
      <c r="BI20" s="291">
        <f>BJ20-SUM(BF20:BH20)</f>
        <v>200.01799999999992</v>
      </c>
      <c r="BJ20" s="868">
        <v>799.23500000000001</v>
      </c>
      <c r="BK20" s="743">
        <v>207.85599999999999</v>
      </c>
      <c r="BL20" s="743">
        <v>223.34899999999999</v>
      </c>
      <c r="BM20" s="743">
        <v>223.64400000000001</v>
      </c>
      <c r="BN20" s="291">
        <f>BO20-SUM(BK20:BM20)</f>
        <v>217.49400000000003</v>
      </c>
      <c r="BO20" s="868">
        <v>872.34299999999996</v>
      </c>
      <c r="BP20" s="743">
        <v>217.785</v>
      </c>
      <c r="BQ20" s="743">
        <v>245.85300000000001</v>
      </c>
      <c r="BR20" s="743">
        <v>242.40199999999999</v>
      </c>
      <c r="BS20" s="291"/>
      <c r="BT20" s="864"/>
      <c r="BU20" s="291"/>
      <c r="BV20" s="291"/>
      <c r="BW20" s="291"/>
      <c r="BX20" s="291"/>
      <c r="BY20" s="864"/>
      <c r="BZ20" s="291"/>
      <c r="CA20" s="291"/>
      <c r="CB20" s="291"/>
      <c r="CC20" s="291"/>
      <c r="CD20" s="864"/>
      <c r="CE20" s="291"/>
      <c r="CF20" s="291"/>
      <c r="CG20" s="291"/>
      <c r="CH20" s="291"/>
      <c r="CI20" s="749"/>
      <c r="CJ20" s="749"/>
      <c r="CK20" s="749"/>
      <c r="CL20" s="749"/>
      <c r="CM20" s="749"/>
      <c r="CN20" s="291"/>
      <c r="CO20" s="291"/>
      <c r="CP20" s="291"/>
      <c r="CQ20" s="693"/>
    </row>
    <row r="21" spans="2:95" ht="16.5" hidden="1" customHeight="1" outlineLevel="1" x14ac:dyDescent="0.25">
      <c r="B21" t="s">
        <v>678</v>
      </c>
      <c r="C21" s="743"/>
      <c r="D21" s="743"/>
      <c r="E21" s="743"/>
      <c r="F21" s="743"/>
      <c r="G21" s="868">
        <v>35.844000000000001</v>
      </c>
      <c r="H21" s="743"/>
      <c r="I21" s="743"/>
      <c r="J21" s="743"/>
      <c r="K21" s="743"/>
      <c r="L21" s="868">
        <v>49.244999999999997</v>
      </c>
      <c r="M21" s="743"/>
      <c r="N21" s="743"/>
      <c r="O21" s="743"/>
      <c r="P21" s="743"/>
      <c r="Q21" s="868">
        <v>42.853999999999999</v>
      </c>
      <c r="R21" s="743"/>
      <c r="S21" s="743"/>
      <c r="T21" s="743"/>
      <c r="U21" s="743"/>
      <c r="V21" s="868">
        <v>25.35</v>
      </c>
      <c r="W21" s="743"/>
      <c r="X21" s="743"/>
      <c r="Y21" s="743"/>
      <c r="Z21" s="743"/>
      <c r="AA21" s="868">
        <v>26.119</v>
      </c>
      <c r="AB21" s="743"/>
      <c r="AC21" s="743"/>
      <c r="AD21" s="743"/>
      <c r="AE21" s="743"/>
      <c r="AF21" s="868">
        <v>33.235999999999997</v>
      </c>
      <c r="AG21" s="743"/>
      <c r="AH21" s="743"/>
      <c r="AI21" s="743"/>
      <c r="AJ21" s="743"/>
      <c r="AK21" s="868">
        <v>41.418999999999997</v>
      </c>
      <c r="AL21" s="743"/>
      <c r="AM21" s="291"/>
      <c r="AN21" s="291"/>
      <c r="AO21" s="291"/>
      <c r="AP21" s="868">
        <v>37.591000000000001</v>
      </c>
      <c r="AQ21" s="291"/>
      <c r="AR21" s="291"/>
      <c r="AS21" s="291"/>
      <c r="AT21" s="291"/>
      <c r="AU21" s="868">
        <v>67.614999999999995</v>
      </c>
      <c r="AV21" s="291"/>
      <c r="AW21" s="291"/>
      <c r="AX21" s="291"/>
      <c r="AY21" s="291"/>
      <c r="AZ21" s="868">
        <v>88.99</v>
      </c>
      <c r="BA21" s="291"/>
      <c r="BB21" s="291"/>
      <c r="BC21" s="291"/>
      <c r="BD21" s="291"/>
      <c r="BE21" s="868">
        <v>101.667</v>
      </c>
      <c r="BF21" s="743">
        <v>23.045999999999999</v>
      </c>
      <c r="BG21" s="743">
        <v>26.652000000000001</v>
      </c>
      <c r="BH21" s="743">
        <v>21.338999999999999</v>
      </c>
      <c r="BI21" s="291">
        <f>BJ21-SUM(BF21:BH21)</f>
        <v>16.962999999999994</v>
      </c>
      <c r="BJ21" s="868">
        <v>88</v>
      </c>
      <c r="BK21" s="743">
        <v>21.298999999999999</v>
      </c>
      <c r="BL21" s="743">
        <v>24.074999999999999</v>
      </c>
      <c r="BM21" s="743">
        <v>25.367999999999999</v>
      </c>
      <c r="BN21" s="291">
        <f>BO21-SUM(BK21:BM21)</f>
        <v>16.102000000000004</v>
      </c>
      <c r="BO21" s="868">
        <v>86.843999999999994</v>
      </c>
      <c r="BP21" s="743">
        <v>20.294</v>
      </c>
      <c r="BQ21" s="743">
        <v>27.507000000000001</v>
      </c>
      <c r="BR21" s="743">
        <v>18.585000000000001</v>
      </c>
      <c r="BS21" s="291"/>
      <c r="BT21" s="864"/>
      <c r="BU21" s="291"/>
      <c r="BV21" s="291"/>
      <c r="BW21" s="291"/>
      <c r="BX21" s="291"/>
      <c r="BY21" s="864"/>
      <c r="BZ21" s="291"/>
      <c r="CA21" s="291"/>
      <c r="CB21" s="291"/>
      <c r="CC21" s="291"/>
      <c r="CD21" s="864"/>
      <c r="CE21" s="291"/>
      <c r="CF21" s="291"/>
      <c r="CG21" s="291"/>
      <c r="CH21" s="291"/>
      <c r="CI21" s="749"/>
      <c r="CJ21" s="749"/>
      <c r="CK21" s="749"/>
      <c r="CL21" s="749"/>
      <c r="CM21" s="749"/>
      <c r="CN21" s="291"/>
      <c r="CO21" s="291"/>
      <c r="CP21" s="291"/>
      <c r="CQ21" s="693"/>
    </row>
    <row r="22" spans="2:95" ht="16.5" hidden="1" customHeight="1" outlineLevel="1" x14ac:dyDescent="0.25">
      <c r="B22" s="12" t="s">
        <v>679</v>
      </c>
      <c r="C22" s="241"/>
      <c r="D22" s="241"/>
      <c r="E22" s="241"/>
      <c r="F22" s="241"/>
      <c r="G22" s="869"/>
      <c r="H22" s="241"/>
      <c r="I22" s="241"/>
      <c r="J22" s="241"/>
      <c r="K22" s="241"/>
      <c r="L22" s="869">
        <f>L20/G20-1</f>
        <v>9.305812445848205E-2</v>
      </c>
      <c r="M22" s="241"/>
      <c r="N22" s="241"/>
      <c r="O22" s="241"/>
      <c r="P22" s="241"/>
      <c r="Q22" s="869">
        <f>Q20/L20-1</f>
        <v>8.4129277438287353E-3</v>
      </c>
      <c r="R22" s="241"/>
      <c r="S22" s="241"/>
      <c r="T22" s="241"/>
      <c r="U22" s="241"/>
      <c r="V22" s="869">
        <f>V20/Q20-1</f>
        <v>0.10366406043121357</v>
      </c>
      <c r="W22" s="241"/>
      <c r="X22" s="241"/>
      <c r="Y22" s="241"/>
      <c r="Z22" s="241"/>
      <c r="AA22" s="869">
        <f>AA20/V20-1</f>
        <v>-3.6368687570242919E-3</v>
      </c>
      <c r="AB22" s="241"/>
      <c r="AC22" s="241"/>
      <c r="AD22" s="241"/>
      <c r="AE22" s="241"/>
      <c r="AF22" s="869">
        <f>AF20/AA20-1</f>
        <v>-3.3107311694401842E-2</v>
      </c>
      <c r="AG22" s="241"/>
      <c r="AH22" s="241"/>
      <c r="AI22" s="241"/>
      <c r="AJ22" s="241"/>
      <c r="AK22" s="869">
        <f>AK20/AF20-1</f>
        <v>-4.0249682784366803E-2</v>
      </c>
      <c r="AL22" s="241"/>
      <c r="AM22" s="241"/>
      <c r="AN22" s="241"/>
      <c r="AO22" s="241"/>
      <c r="AP22" s="869">
        <f>AP20/AK20-1</f>
        <v>7.6956275898615312E-2</v>
      </c>
      <c r="AQ22" s="241"/>
      <c r="AR22" s="241"/>
      <c r="AS22" s="241"/>
      <c r="AT22" s="241"/>
      <c r="AU22" s="869">
        <f>AU20/AP20-1</f>
        <v>0.4733199074731651</v>
      </c>
      <c r="AV22" s="241"/>
      <c r="AW22" s="241"/>
      <c r="AX22" s="241"/>
      <c r="AY22" s="241"/>
      <c r="AZ22" s="869">
        <f>AZ20/AU20-1</f>
        <v>0.17661398196175782</v>
      </c>
      <c r="BA22" s="241"/>
      <c r="BB22" s="241"/>
      <c r="BC22" s="241"/>
      <c r="BD22" s="241"/>
      <c r="BE22" s="869">
        <f>BE20/AZ20-1</f>
        <v>0.12677404062809106</v>
      </c>
      <c r="BF22" s="241"/>
      <c r="BG22" s="241"/>
      <c r="BH22" s="241"/>
      <c r="BI22" s="241"/>
      <c r="BJ22" s="869">
        <f>BJ20/BE20-1</f>
        <v>3.7813882100572016E-2</v>
      </c>
      <c r="BK22" s="241">
        <f>BK20/BF20-1</f>
        <v>0.10466512898459834</v>
      </c>
      <c r="BL22" s="241">
        <f>BL20/BG20-1</f>
        <v>8.3334950137751607E-2</v>
      </c>
      <c r="BM22" s="241">
        <f>BM20/BH20-1</f>
        <v>9.1548024032759523E-2</v>
      </c>
      <c r="BN22" s="241"/>
      <c r="BO22" s="869"/>
      <c r="BP22" s="241">
        <f>BP20/BK20-1</f>
        <v>4.7768647525209706E-2</v>
      </c>
      <c r="BQ22" s="241">
        <f>BQ20/BL20-1</f>
        <v>0.10075711106832808</v>
      </c>
      <c r="BR22" s="241">
        <f>BR20/BM20-1</f>
        <v>8.3874371769419254E-2</v>
      </c>
      <c r="BS22" s="241"/>
      <c r="BT22" s="869"/>
      <c r="BU22" s="241"/>
      <c r="BV22" s="241"/>
      <c r="BW22" s="241"/>
      <c r="BX22" s="241"/>
      <c r="BY22" s="869"/>
      <c r="BZ22" s="241"/>
      <c r="CA22" s="241"/>
      <c r="CB22" s="241"/>
      <c r="CC22" s="241"/>
      <c r="CD22" s="869"/>
      <c r="CE22" s="241"/>
      <c r="CF22" s="241"/>
      <c r="CG22" s="241"/>
      <c r="CH22" s="241"/>
      <c r="CI22" s="751"/>
      <c r="CJ22" s="751"/>
      <c r="CK22" s="751"/>
      <c r="CL22" s="751"/>
      <c r="CM22" s="751"/>
      <c r="CN22" s="241"/>
      <c r="CO22" s="241"/>
      <c r="CP22" s="241"/>
      <c r="CQ22" s="693"/>
    </row>
    <row r="23" spans="2:95" ht="16.5" hidden="1" customHeight="1" outlineLevel="1" x14ac:dyDescent="0.25">
      <c r="B23" s="12" t="s">
        <v>680</v>
      </c>
      <c r="C23" s="241"/>
      <c r="D23" s="241"/>
      <c r="E23" s="241"/>
      <c r="F23" s="241"/>
      <c r="G23" s="869">
        <f>G21/G20</f>
        <v>0.11012861242372664</v>
      </c>
      <c r="H23" s="241"/>
      <c r="I23" s="241"/>
      <c r="J23" s="241"/>
      <c r="K23" s="241"/>
      <c r="L23" s="869">
        <f t="shared" ref="L23:BJ23" si="1">L21/L20</f>
        <v>0.13842119169557174</v>
      </c>
      <c r="M23" s="241"/>
      <c r="N23" s="241"/>
      <c r="O23" s="241"/>
      <c r="P23" s="241"/>
      <c r="Q23" s="869">
        <f t="shared" si="1"/>
        <v>0.11945199370043623</v>
      </c>
      <c r="R23" s="241"/>
      <c r="S23" s="241"/>
      <c r="T23" s="241"/>
      <c r="U23" s="241"/>
      <c r="V23" s="869">
        <f t="shared" si="1"/>
        <v>6.4024043743449222E-2</v>
      </c>
      <c r="W23" s="241"/>
      <c r="X23" s="241"/>
      <c r="Y23" s="241"/>
      <c r="Z23" s="241"/>
      <c r="AA23" s="869">
        <f t="shared" si="1"/>
        <v>6.6207018922447111E-2</v>
      </c>
      <c r="AB23" s="241"/>
      <c r="AC23" s="241"/>
      <c r="AD23" s="241"/>
      <c r="AE23" s="241"/>
      <c r="AF23" s="869">
        <f t="shared" si="1"/>
        <v>8.7132056081626649E-2</v>
      </c>
      <c r="AG23" s="241"/>
      <c r="AH23" s="241"/>
      <c r="AI23" s="241"/>
      <c r="AJ23" s="241"/>
      <c r="AK23" s="869">
        <f t="shared" si="1"/>
        <v>0.11313853659336065</v>
      </c>
      <c r="AL23" s="241"/>
      <c r="AM23" s="241"/>
      <c r="AN23" s="241"/>
      <c r="AO23" s="241"/>
      <c r="AP23" s="869">
        <f t="shared" si="1"/>
        <v>9.5344743623561878E-2</v>
      </c>
      <c r="AQ23" s="241"/>
      <c r="AR23" s="241"/>
      <c r="AS23" s="241"/>
      <c r="AT23" s="241"/>
      <c r="AU23" s="869">
        <f t="shared" si="1"/>
        <v>0.1164015789917659</v>
      </c>
      <c r="AV23" s="241"/>
      <c r="AW23" s="241"/>
      <c r="AX23" s="241"/>
      <c r="AY23" s="241"/>
      <c r="AZ23" s="869">
        <f t="shared" si="1"/>
        <v>0.13020360865468464</v>
      </c>
      <c r="BA23" s="241"/>
      <c r="BB23" s="241"/>
      <c r="BC23" s="241"/>
      <c r="BD23" s="241"/>
      <c r="BE23" s="869">
        <f t="shared" si="1"/>
        <v>0.13201551978018838</v>
      </c>
      <c r="BF23" s="241">
        <f>BF21/BF20</f>
        <v>0.12247956548080909</v>
      </c>
      <c r="BG23" s="241">
        <f>BG21/BG20</f>
        <v>0.12927321407783943</v>
      </c>
      <c r="BH23" s="241">
        <f>BH21/BH20</f>
        <v>0.10415009249000667</v>
      </c>
      <c r="BI23" s="241">
        <f t="shared" si="1"/>
        <v>8.4807367336939679E-2</v>
      </c>
      <c r="BJ23" s="869">
        <f t="shared" si="1"/>
        <v>0.11010528818182387</v>
      </c>
      <c r="BK23" s="241">
        <f>BK21/BK20</f>
        <v>0.10246997921638057</v>
      </c>
      <c r="BL23" s="241">
        <f>BL21/BL20</f>
        <v>0.1077909460082651</v>
      </c>
      <c r="BM23" s="241">
        <f>BM21/BM20</f>
        <v>0.11343027311262541</v>
      </c>
      <c r="BN23" s="241"/>
      <c r="BO23" s="869">
        <f>BO21/BO20</f>
        <v>9.9552584247251372E-2</v>
      </c>
      <c r="BP23" s="241">
        <f>BP21/BP20</f>
        <v>9.3183644419955469E-2</v>
      </c>
      <c r="BQ23" s="241">
        <f>BQ21/BQ20</f>
        <v>0.11188393064148089</v>
      </c>
      <c r="BR23" s="241">
        <f>BR21/BR20</f>
        <v>7.6670159487132947E-2</v>
      </c>
      <c r="BS23" s="241"/>
      <c r="BT23" s="869"/>
      <c r="BU23" s="241"/>
      <c r="BV23" s="241"/>
      <c r="BW23" s="241"/>
      <c r="BX23" s="241"/>
      <c r="BY23" s="869"/>
      <c r="BZ23" s="241"/>
      <c r="CA23" s="241"/>
      <c r="CB23" s="241"/>
      <c r="CC23" s="241"/>
      <c r="CD23" s="869"/>
      <c r="CE23" s="241"/>
      <c r="CF23" s="241"/>
      <c r="CG23" s="241"/>
      <c r="CH23" s="241"/>
      <c r="CI23" s="751"/>
      <c r="CJ23" s="751"/>
      <c r="CK23" s="751"/>
      <c r="CL23" s="751"/>
      <c r="CM23" s="751"/>
      <c r="CN23" s="241"/>
      <c r="CO23" s="241"/>
      <c r="CP23" s="241"/>
      <c r="CQ23" s="693"/>
    </row>
    <row r="24" spans="2:95" ht="16.5" hidden="1" customHeight="1" outlineLevel="1" x14ac:dyDescent="0.25">
      <c r="B24" t="s">
        <v>681</v>
      </c>
      <c r="C24" s="743"/>
      <c r="D24" s="743"/>
      <c r="E24" s="743"/>
      <c r="F24" s="743"/>
      <c r="G24" s="868">
        <v>213</v>
      </c>
      <c r="H24" s="743"/>
      <c r="I24" s="743"/>
      <c r="J24" s="743"/>
      <c r="K24" s="743"/>
      <c r="L24" s="868">
        <v>223</v>
      </c>
      <c r="M24" s="743"/>
      <c r="N24" s="743"/>
      <c r="O24" s="743"/>
      <c r="P24" s="743"/>
      <c r="Q24" s="868">
        <v>204</v>
      </c>
      <c r="R24" s="743"/>
      <c r="S24" s="743"/>
      <c r="T24" s="743"/>
      <c r="U24" s="743"/>
      <c r="V24" s="868">
        <v>254</v>
      </c>
      <c r="W24" s="743"/>
      <c r="X24" s="743"/>
      <c r="Y24" s="743"/>
      <c r="Z24" s="743"/>
      <c r="AA24" s="868">
        <v>254</v>
      </c>
      <c r="AB24" s="743"/>
      <c r="AC24" s="743"/>
      <c r="AD24" s="743"/>
      <c r="AE24" s="743"/>
      <c r="AF24" s="868">
        <v>250</v>
      </c>
      <c r="AG24" s="743"/>
      <c r="AH24" s="743"/>
      <c r="AI24" s="743"/>
      <c r="AJ24" s="743"/>
      <c r="AK24" s="868">
        <v>277</v>
      </c>
      <c r="AL24" s="743"/>
      <c r="AM24" s="291"/>
      <c r="AN24" s="291"/>
      <c r="AO24" s="291"/>
      <c r="AP24" s="868">
        <v>282</v>
      </c>
      <c r="AQ24" s="291"/>
      <c r="AR24" s="291"/>
      <c r="AS24" s="291"/>
      <c r="AT24" s="291"/>
      <c r="AU24" s="868">
        <v>454</v>
      </c>
      <c r="AV24" s="291"/>
      <c r="AW24" s="291"/>
      <c r="AX24" s="291"/>
      <c r="AY24" s="291"/>
      <c r="AZ24" s="864"/>
      <c r="BA24" s="291"/>
      <c r="BB24" s="291"/>
      <c r="BC24" s="291"/>
      <c r="BD24" s="291"/>
      <c r="BE24" s="864"/>
      <c r="BF24" s="291"/>
      <c r="BG24" s="291"/>
      <c r="BH24" s="291"/>
      <c r="BI24" s="291"/>
      <c r="BJ24" s="864"/>
      <c r="BK24" s="291"/>
      <c r="BL24" s="291"/>
      <c r="BM24" s="291"/>
      <c r="BN24" s="291"/>
      <c r="BO24" s="864"/>
      <c r="BP24" s="291"/>
      <c r="BQ24" s="291"/>
      <c r="BR24" s="291"/>
      <c r="BS24" s="291"/>
      <c r="BT24" s="864"/>
      <c r="BU24" s="291"/>
      <c r="BV24" s="291"/>
      <c r="BW24" s="291"/>
      <c r="BX24" s="291"/>
      <c r="BY24" s="864"/>
      <c r="BZ24" s="291"/>
      <c r="CA24" s="291"/>
      <c r="CB24" s="291"/>
      <c r="CC24" s="291"/>
      <c r="CD24" s="864"/>
      <c r="CE24" s="291"/>
      <c r="CF24" s="291"/>
      <c r="CG24" s="291"/>
      <c r="CH24" s="291"/>
      <c r="CI24" s="749"/>
      <c r="CJ24" s="749"/>
      <c r="CK24" s="749"/>
      <c r="CL24" s="749"/>
      <c r="CM24" s="749"/>
      <c r="CN24" s="291"/>
      <c r="CO24" s="291"/>
      <c r="CP24" s="291"/>
      <c r="CQ24" s="693"/>
    </row>
    <row r="25" spans="2:95" ht="16.5" hidden="1" customHeight="1" outlineLevel="1" x14ac:dyDescent="0.25">
      <c r="C25" s="291"/>
      <c r="D25" s="291"/>
      <c r="E25" s="291"/>
      <c r="F25" s="291"/>
      <c r="G25" s="864"/>
      <c r="H25" s="291"/>
      <c r="I25" s="291"/>
      <c r="J25" s="291"/>
      <c r="K25" s="291"/>
      <c r="L25" s="864"/>
      <c r="M25" s="291"/>
      <c r="N25" s="291"/>
      <c r="O25" s="291"/>
      <c r="P25" s="291"/>
      <c r="Q25" s="864"/>
      <c r="R25" s="291"/>
      <c r="S25" s="291"/>
      <c r="T25" s="291"/>
      <c r="U25" s="291"/>
      <c r="V25" s="864"/>
      <c r="W25" s="291"/>
      <c r="X25" s="291"/>
      <c r="Y25" s="291"/>
      <c r="Z25" s="291"/>
      <c r="AA25" s="864"/>
      <c r="AB25" s="291"/>
      <c r="AC25" s="291"/>
      <c r="AD25" s="291"/>
      <c r="AE25" s="291"/>
      <c r="AF25" s="864"/>
      <c r="AG25" s="291"/>
      <c r="AH25" s="291"/>
      <c r="AI25" s="291"/>
      <c r="AJ25" s="291"/>
      <c r="AK25" s="864"/>
      <c r="AL25" s="291"/>
      <c r="AM25" s="291"/>
      <c r="AN25" s="291"/>
      <c r="AO25" s="291"/>
      <c r="AP25" s="864"/>
      <c r="AQ25" s="291"/>
      <c r="AR25" s="291"/>
      <c r="AS25" s="291"/>
      <c r="AT25" s="291"/>
      <c r="AU25" s="864"/>
      <c r="AV25" s="291"/>
      <c r="AW25" s="291"/>
      <c r="AX25" s="291"/>
      <c r="AY25" s="291"/>
      <c r="AZ25" s="864"/>
      <c r="BA25" s="291"/>
      <c r="BB25" s="291"/>
      <c r="BC25" s="291"/>
      <c r="BD25" s="291"/>
      <c r="BE25" s="864"/>
      <c r="BF25" s="291"/>
      <c r="BG25" s="291"/>
      <c r="BH25" s="291"/>
      <c r="BI25" s="291"/>
      <c r="BJ25" s="864"/>
      <c r="BK25" s="291"/>
      <c r="BL25" s="291"/>
      <c r="BM25" s="291"/>
      <c r="BN25" s="291"/>
      <c r="BO25" s="864"/>
      <c r="BP25" s="291"/>
      <c r="BQ25" s="291"/>
      <c r="BR25" s="291"/>
      <c r="BS25" s="291"/>
      <c r="BT25" s="864"/>
      <c r="BU25" s="291"/>
      <c r="BV25" s="291"/>
      <c r="BW25" s="291"/>
      <c r="BX25" s="291"/>
      <c r="BY25" s="864"/>
      <c r="BZ25" s="291"/>
      <c r="CA25" s="291"/>
      <c r="CB25" s="291"/>
      <c r="CC25" s="291"/>
      <c r="CD25" s="864"/>
      <c r="CE25" s="291"/>
      <c r="CF25" s="291"/>
      <c r="CG25" s="291"/>
      <c r="CH25" s="291"/>
      <c r="CI25" s="749"/>
      <c r="CJ25" s="749"/>
      <c r="CK25" s="749"/>
      <c r="CL25" s="749"/>
      <c r="CM25" s="749"/>
      <c r="CN25" s="291"/>
      <c r="CO25" s="291"/>
      <c r="CP25" s="291"/>
      <c r="CQ25" s="693"/>
    </row>
    <row r="26" spans="2:95" ht="16.5" hidden="1" customHeight="1" outlineLevel="1" x14ac:dyDescent="0.25">
      <c r="B26" s="223" t="s">
        <v>684</v>
      </c>
      <c r="C26" s="224"/>
      <c r="D26" s="224"/>
      <c r="E26" s="224"/>
      <c r="F26" s="224"/>
      <c r="G26" s="867"/>
      <c r="H26" s="224"/>
      <c r="I26" s="224"/>
      <c r="J26" s="224"/>
      <c r="K26" s="224"/>
      <c r="L26" s="867"/>
      <c r="M26" s="224"/>
      <c r="N26" s="224"/>
      <c r="O26" s="224"/>
      <c r="P26" s="224"/>
      <c r="Q26" s="867"/>
      <c r="R26" s="224"/>
      <c r="S26" s="224"/>
      <c r="T26" s="224"/>
      <c r="U26" s="224"/>
      <c r="V26" s="867"/>
      <c r="W26" s="224"/>
      <c r="X26" s="224"/>
      <c r="Y26" s="224"/>
      <c r="Z26" s="224"/>
      <c r="AA26" s="867"/>
      <c r="AB26" s="224"/>
      <c r="AC26" s="224"/>
      <c r="AD26" s="224"/>
      <c r="AE26" s="224"/>
      <c r="AF26" s="867"/>
      <c r="AG26" s="224"/>
      <c r="AH26" s="224"/>
      <c r="AI26" s="224"/>
      <c r="AJ26" s="224"/>
      <c r="AK26" s="867"/>
      <c r="AL26" s="224"/>
      <c r="AM26" s="224"/>
      <c r="AN26" s="224"/>
      <c r="AO26" s="224"/>
      <c r="AP26" s="867"/>
      <c r="AQ26" s="224"/>
      <c r="AR26" s="224"/>
      <c r="AS26" s="224"/>
      <c r="AT26" s="224"/>
      <c r="AU26" s="867"/>
      <c r="AV26" s="224"/>
      <c r="AW26" s="224"/>
      <c r="AX26" s="224"/>
      <c r="AY26" s="224"/>
      <c r="AZ26" s="867"/>
      <c r="BA26" s="224"/>
      <c r="BB26" s="224"/>
      <c r="BC26" s="224"/>
      <c r="BD26" s="224"/>
      <c r="BE26" s="867"/>
      <c r="BF26" s="224"/>
      <c r="BG26" s="224"/>
      <c r="BH26" s="224"/>
      <c r="BI26" s="224"/>
      <c r="BJ26" s="867"/>
      <c r="BK26" s="224"/>
      <c r="BL26" s="224"/>
      <c r="BM26" s="224"/>
      <c r="BN26" s="224"/>
      <c r="BO26" s="867"/>
      <c r="BP26" s="224"/>
      <c r="BQ26" s="224"/>
      <c r="BR26" s="224"/>
      <c r="BS26" s="224"/>
      <c r="BT26" s="867"/>
      <c r="BU26" s="224"/>
      <c r="BV26" s="224"/>
      <c r="BW26" s="224"/>
      <c r="BX26" s="224"/>
      <c r="BY26" s="867"/>
      <c r="BZ26" s="224"/>
      <c r="CA26" s="224"/>
      <c r="CB26" s="224"/>
      <c r="CC26" s="224"/>
      <c r="CD26" s="867"/>
      <c r="CE26" s="224"/>
      <c r="CF26" s="224"/>
      <c r="CG26" s="224"/>
      <c r="CH26" s="224"/>
      <c r="CI26" s="224"/>
      <c r="CJ26" s="224"/>
      <c r="CK26" s="224"/>
      <c r="CL26" s="224"/>
      <c r="CM26" s="224"/>
      <c r="CN26" s="224"/>
      <c r="CO26" s="224"/>
      <c r="CP26" s="224"/>
      <c r="CQ26" s="693"/>
    </row>
    <row r="27" spans="2:95" ht="16.5" hidden="1" customHeight="1" outlineLevel="1" x14ac:dyDescent="0.25">
      <c r="B27" t="s">
        <v>677</v>
      </c>
      <c r="C27" s="743"/>
      <c r="D27" s="743"/>
      <c r="E27" s="743"/>
      <c r="F27" s="743"/>
      <c r="G27" s="868">
        <v>545.67200000000003</v>
      </c>
      <c r="H27" s="743"/>
      <c r="I27" s="743"/>
      <c r="J27" s="743"/>
      <c r="K27" s="743"/>
      <c r="L27" s="868">
        <v>629.31200000000001</v>
      </c>
      <c r="M27" s="743"/>
      <c r="N27" s="743"/>
      <c r="O27" s="743"/>
      <c r="P27" s="743"/>
      <c r="Q27" s="868">
        <v>633.71299999999997</v>
      </c>
      <c r="R27" s="743"/>
      <c r="S27" s="743"/>
      <c r="T27" s="743"/>
      <c r="U27" s="743"/>
      <c r="V27" s="868">
        <v>592.11199999999997</v>
      </c>
      <c r="W27" s="743"/>
      <c r="X27" s="743"/>
      <c r="Y27" s="743"/>
      <c r="Z27" s="743"/>
      <c r="AA27" s="868">
        <v>590.971</v>
      </c>
      <c r="AB27" s="743"/>
      <c r="AC27" s="743"/>
      <c r="AD27" s="743"/>
      <c r="AE27" s="743"/>
      <c r="AF27" s="868">
        <v>521.505</v>
      </c>
      <c r="AG27" s="743"/>
      <c r="AH27" s="743"/>
      <c r="AI27" s="743"/>
      <c r="AJ27" s="743"/>
      <c r="AK27" s="868">
        <v>514.98400000000004</v>
      </c>
      <c r="AL27" s="743"/>
      <c r="AM27" s="291"/>
      <c r="AN27" s="291"/>
      <c r="AO27" s="291"/>
      <c r="AP27" s="868">
        <v>477.32499999999999</v>
      </c>
      <c r="AQ27" s="291"/>
      <c r="AR27" s="291"/>
      <c r="AS27" s="291"/>
      <c r="AT27" s="291"/>
      <c r="AU27" s="868">
        <v>935.08600000000001</v>
      </c>
      <c r="AV27" s="291"/>
      <c r="AW27" s="291"/>
      <c r="AX27" s="291"/>
      <c r="AY27" s="291"/>
      <c r="AZ27" s="868">
        <v>918.22299999999996</v>
      </c>
      <c r="BA27" s="291"/>
      <c r="BB27" s="291"/>
      <c r="BC27" s="291"/>
      <c r="BD27" s="291"/>
      <c r="BE27" s="868">
        <v>908.69</v>
      </c>
      <c r="BF27" s="743">
        <v>209.018</v>
      </c>
      <c r="BG27" s="743">
        <v>225.87299999999999</v>
      </c>
      <c r="BH27" s="743">
        <v>230.334</v>
      </c>
      <c r="BI27" s="291">
        <f>BJ27-SUM(BF27:BH27)</f>
        <v>226.29500000000007</v>
      </c>
      <c r="BJ27" s="868">
        <v>891.52</v>
      </c>
      <c r="BK27" s="743">
        <v>212.91300000000001</v>
      </c>
      <c r="BL27" s="743">
        <v>236.17</v>
      </c>
      <c r="BM27" s="743">
        <v>231.25</v>
      </c>
      <c r="BN27" s="291">
        <f>BO27-SUM(BK27:BM27)</f>
        <v>226.64600000000007</v>
      </c>
      <c r="BO27" s="868">
        <v>906.97900000000004</v>
      </c>
      <c r="BP27" s="743">
        <v>232.059</v>
      </c>
      <c r="BQ27" s="743">
        <v>243.935</v>
      </c>
      <c r="BR27" s="743">
        <v>252.749</v>
      </c>
      <c r="BS27" s="291"/>
      <c r="BT27" s="864"/>
      <c r="BU27" s="291"/>
      <c r="BV27" s="291"/>
      <c r="BW27" s="291"/>
      <c r="BX27" s="291"/>
      <c r="BY27" s="864"/>
      <c r="BZ27" s="291"/>
      <c r="CA27" s="291"/>
      <c r="CB27" s="291"/>
      <c r="CC27" s="291"/>
      <c r="CD27" s="864"/>
      <c r="CE27" s="291"/>
      <c r="CF27" s="291"/>
      <c r="CG27" s="291"/>
      <c r="CH27" s="291"/>
      <c r="CI27" s="749"/>
      <c r="CJ27" s="749"/>
      <c r="CK27" s="749"/>
      <c r="CL27" s="749"/>
      <c r="CM27" s="749"/>
      <c r="CN27" s="291"/>
      <c r="CO27" s="291"/>
      <c r="CP27" s="291"/>
      <c r="CQ27" s="693"/>
    </row>
    <row r="28" spans="2:95" ht="16.5" hidden="1" customHeight="1" outlineLevel="1" x14ac:dyDescent="0.25">
      <c r="B28" t="s">
        <v>678</v>
      </c>
      <c r="C28" s="743"/>
      <c r="D28" s="743"/>
      <c r="E28" s="743"/>
      <c r="F28" s="743"/>
      <c r="G28" s="868">
        <v>48.109000000000002</v>
      </c>
      <c r="H28" s="743"/>
      <c r="I28" s="743"/>
      <c r="J28" s="743"/>
      <c r="K28" s="743"/>
      <c r="L28" s="868">
        <v>62.805</v>
      </c>
      <c r="M28" s="743"/>
      <c r="N28" s="743"/>
      <c r="O28" s="743"/>
      <c r="P28" s="743"/>
      <c r="Q28" s="868">
        <v>63.243000000000002</v>
      </c>
      <c r="R28" s="743"/>
      <c r="S28" s="743"/>
      <c r="T28" s="743"/>
      <c r="U28" s="743"/>
      <c r="V28" s="868">
        <v>42.253999999999998</v>
      </c>
      <c r="W28" s="743"/>
      <c r="X28" s="743"/>
      <c r="Y28" s="743"/>
      <c r="Z28" s="743"/>
      <c r="AA28" s="868">
        <v>58.107999999999997</v>
      </c>
      <c r="AB28" s="743"/>
      <c r="AC28" s="743"/>
      <c r="AD28" s="743"/>
      <c r="AE28" s="743"/>
      <c r="AF28" s="868">
        <v>45.021000000000001</v>
      </c>
      <c r="AG28" s="743"/>
      <c r="AH28" s="743"/>
      <c r="AI28" s="743"/>
      <c r="AJ28" s="743"/>
      <c r="AK28" s="868">
        <v>48.542000000000002</v>
      </c>
      <c r="AL28" s="743"/>
      <c r="AM28" s="291"/>
      <c r="AN28" s="291"/>
      <c r="AO28" s="291"/>
      <c r="AP28" s="868">
        <v>46.091000000000001</v>
      </c>
      <c r="AQ28" s="291"/>
      <c r="AR28" s="291"/>
      <c r="AS28" s="291"/>
      <c r="AT28" s="291"/>
      <c r="AU28" s="868">
        <v>64.963999999999999</v>
      </c>
      <c r="AV28" s="291"/>
      <c r="AW28" s="291"/>
      <c r="AX28" s="291"/>
      <c r="AY28" s="291"/>
      <c r="AZ28" s="868">
        <v>109.45099999999999</v>
      </c>
      <c r="BA28" s="291"/>
      <c r="BB28" s="291"/>
      <c r="BC28" s="291"/>
      <c r="BD28" s="291"/>
      <c r="BE28" s="868">
        <v>80.025000000000006</v>
      </c>
      <c r="BF28" s="743">
        <v>19.898</v>
      </c>
      <c r="BG28" s="743">
        <v>23.812999999999999</v>
      </c>
      <c r="BH28" s="743">
        <v>23.004000000000001</v>
      </c>
      <c r="BI28" s="291">
        <f>BJ28-SUM(BF28:BH28)</f>
        <v>19.284999999999997</v>
      </c>
      <c r="BJ28" s="868">
        <v>86</v>
      </c>
      <c r="BK28" s="743">
        <v>17.190999999999999</v>
      </c>
      <c r="BL28" s="743">
        <v>20.722999999999999</v>
      </c>
      <c r="BM28" s="743">
        <v>19.484000000000002</v>
      </c>
      <c r="BN28" s="291">
        <f>BO28-SUM(BK28:BM28)</f>
        <v>14.985999999999997</v>
      </c>
      <c r="BO28" s="868">
        <v>72.384</v>
      </c>
      <c r="BP28" s="743">
        <v>36.750999999999998</v>
      </c>
      <c r="BQ28" s="743">
        <v>24.396999999999998</v>
      </c>
      <c r="BR28" s="743">
        <v>28.035</v>
      </c>
      <c r="BS28" s="291"/>
      <c r="BT28" s="864"/>
      <c r="BU28" s="291"/>
      <c r="BV28" s="291"/>
      <c r="BW28" s="291"/>
      <c r="BX28" s="291"/>
      <c r="BY28" s="864"/>
      <c r="BZ28" s="291"/>
      <c r="CA28" s="291"/>
      <c r="CB28" s="291"/>
      <c r="CC28" s="291"/>
      <c r="CD28" s="864"/>
      <c r="CE28" s="291"/>
      <c r="CF28" s="291"/>
      <c r="CG28" s="291"/>
      <c r="CH28" s="291"/>
      <c r="CI28" s="749"/>
      <c r="CJ28" s="749"/>
      <c r="CK28" s="749"/>
      <c r="CL28" s="749"/>
      <c r="CM28" s="749"/>
      <c r="CN28" s="291"/>
      <c r="CO28" s="291"/>
      <c r="CP28" s="291"/>
      <c r="CQ28" s="693"/>
    </row>
    <row r="29" spans="2:95" ht="16.5" hidden="1" customHeight="1" outlineLevel="1" x14ac:dyDescent="0.25">
      <c r="B29" s="12" t="s">
        <v>679</v>
      </c>
      <c r="C29" s="241"/>
      <c r="D29" s="241"/>
      <c r="E29" s="241"/>
      <c r="F29" s="241"/>
      <c r="G29" s="869"/>
      <c r="H29" s="241"/>
      <c r="I29" s="241"/>
      <c r="J29" s="241"/>
      <c r="K29" s="241"/>
      <c r="L29" s="869">
        <f>L27/G27-1</f>
        <v>0.15327889281473106</v>
      </c>
      <c r="M29" s="241"/>
      <c r="N29" s="241"/>
      <c r="O29" s="241"/>
      <c r="P29" s="241"/>
      <c r="Q29" s="869">
        <f>Q27/L27-1</f>
        <v>6.9933514695412757E-3</v>
      </c>
      <c r="R29" s="241"/>
      <c r="S29" s="241"/>
      <c r="T29" s="241"/>
      <c r="U29" s="241"/>
      <c r="V29" s="869">
        <f>V27/Q27-1</f>
        <v>-6.5646436162742461E-2</v>
      </c>
      <c r="W29" s="241"/>
      <c r="X29" s="241"/>
      <c r="Y29" s="241"/>
      <c r="Z29" s="241"/>
      <c r="AA29" s="869">
        <f>AA27/V27-1</f>
        <v>-1.9270002972410216E-3</v>
      </c>
      <c r="AB29" s="241"/>
      <c r="AC29" s="241"/>
      <c r="AD29" s="241"/>
      <c r="AE29" s="241"/>
      <c r="AF29" s="869">
        <f>AF27/AA27-1</f>
        <v>-0.11754553099898302</v>
      </c>
      <c r="AG29" s="241"/>
      <c r="AH29" s="241"/>
      <c r="AI29" s="241"/>
      <c r="AJ29" s="241"/>
      <c r="AK29" s="869">
        <f>AK27/AF27-1</f>
        <v>-1.2504194590655771E-2</v>
      </c>
      <c r="AL29" s="241"/>
      <c r="AM29" s="241"/>
      <c r="AN29" s="241"/>
      <c r="AO29" s="241"/>
      <c r="AP29" s="869">
        <f>AP27/AK27-1</f>
        <v>-7.3126543737281224E-2</v>
      </c>
      <c r="AQ29" s="241"/>
      <c r="AR29" s="241"/>
      <c r="AS29" s="241"/>
      <c r="AT29" s="241"/>
      <c r="AU29" s="869">
        <f>AU27/AP27-1</f>
        <v>0.95901325092966005</v>
      </c>
      <c r="AV29" s="241"/>
      <c r="AW29" s="241"/>
      <c r="AX29" s="241"/>
      <c r="AY29" s="241"/>
      <c r="AZ29" s="869">
        <f>AZ27/AU27-1</f>
        <v>-1.8033635408935655E-2</v>
      </c>
      <c r="BA29" s="241"/>
      <c r="BB29" s="241"/>
      <c r="BC29" s="241"/>
      <c r="BD29" s="241"/>
      <c r="BE29" s="869">
        <f>BE27/AZ27-1</f>
        <v>-1.0382009598975284E-2</v>
      </c>
      <c r="BF29" s="241"/>
      <c r="BG29" s="241"/>
      <c r="BH29" s="241"/>
      <c r="BI29" s="241"/>
      <c r="BJ29" s="869">
        <f>BJ27/BE27-1</f>
        <v>-1.8895332841783352E-2</v>
      </c>
      <c r="BK29" s="241">
        <f>BK27/BF27-1</f>
        <v>1.8634758728913292E-2</v>
      </c>
      <c r="BL29" s="241">
        <f>BL27/BG27-1</f>
        <v>4.5587564693433835E-2</v>
      </c>
      <c r="BM29" s="241">
        <f>BM27/BH27-1</f>
        <v>3.976833641581301E-3</v>
      </c>
      <c r="BN29" s="241"/>
      <c r="BO29" s="869"/>
      <c r="BP29" s="241">
        <f>BP27/BK27-1</f>
        <v>8.9924053486635236E-2</v>
      </c>
      <c r="BQ29" s="241">
        <f>BQ27/BL27-1</f>
        <v>3.2878858449422177E-2</v>
      </c>
      <c r="BR29" s="241">
        <f>BR27/BM27-1</f>
        <v>9.2968648648648733E-2</v>
      </c>
      <c r="BS29" s="241"/>
      <c r="BT29" s="869"/>
      <c r="BU29" s="241"/>
      <c r="BV29" s="241"/>
      <c r="BW29" s="241"/>
      <c r="BX29" s="241"/>
      <c r="BY29" s="869"/>
      <c r="BZ29" s="241"/>
      <c r="CA29" s="241"/>
      <c r="CB29" s="241"/>
      <c r="CC29" s="241"/>
      <c r="CD29" s="869"/>
      <c r="CE29" s="241"/>
      <c r="CF29" s="241"/>
      <c r="CG29" s="241"/>
      <c r="CH29" s="241"/>
      <c r="CI29" s="751"/>
      <c r="CJ29" s="751"/>
      <c r="CK29" s="751"/>
      <c r="CL29" s="751"/>
      <c r="CM29" s="751"/>
      <c r="CN29" s="241"/>
      <c r="CO29" s="241"/>
      <c r="CP29" s="241"/>
      <c r="CQ29" s="693"/>
    </row>
    <row r="30" spans="2:95" ht="16.5" hidden="1" customHeight="1" outlineLevel="1" x14ac:dyDescent="0.25">
      <c r="B30" s="12" t="s">
        <v>680</v>
      </c>
      <c r="C30" s="241"/>
      <c r="D30" s="241"/>
      <c r="E30" s="241"/>
      <c r="F30" s="241"/>
      <c r="G30" s="869">
        <f>G28/G27</f>
        <v>8.8164685012241784E-2</v>
      </c>
      <c r="H30" s="241"/>
      <c r="I30" s="241"/>
      <c r="J30" s="241"/>
      <c r="K30" s="241"/>
      <c r="L30" s="869">
        <f t="shared" ref="L30:BJ30" si="2">L28/L27</f>
        <v>9.9799463541136987E-2</v>
      </c>
      <c r="M30" s="241"/>
      <c r="N30" s="241"/>
      <c r="O30" s="241"/>
      <c r="P30" s="241"/>
      <c r="Q30" s="869">
        <f t="shared" si="2"/>
        <v>9.9797542420622595E-2</v>
      </c>
      <c r="R30" s="241"/>
      <c r="S30" s="241"/>
      <c r="T30" s="241"/>
      <c r="U30" s="241"/>
      <c r="V30" s="869">
        <f t="shared" si="2"/>
        <v>7.1361499175831594E-2</v>
      </c>
      <c r="W30" s="241"/>
      <c r="X30" s="241"/>
      <c r="Y30" s="241"/>
      <c r="Z30" s="241"/>
      <c r="AA30" s="869">
        <f t="shared" si="2"/>
        <v>9.8326313812352878E-2</v>
      </c>
      <c r="AB30" s="241"/>
      <c r="AC30" s="241"/>
      <c r="AD30" s="241"/>
      <c r="AE30" s="241"/>
      <c r="AF30" s="869">
        <f t="shared" si="2"/>
        <v>8.6328990134322783E-2</v>
      </c>
      <c r="AG30" s="241"/>
      <c r="AH30" s="241"/>
      <c r="AI30" s="241"/>
      <c r="AJ30" s="241"/>
      <c r="AK30" s="869">
        <f t="shared" si="2"/>
        <v>9.4259239121992133E-2</v>
      </c>
      <c r="AL30" s="241"/>
      <c r="AM30" s="241"/>
      <c r="AN30" s="241"/>
      <c r="AO30" s="241"/>
      <c r="AP30" s="869">
        <f t="shared" si="2"/>
        <v>9.6561043314303679E-2</v>
      </c>
      <c r="AQ30" s="241"/>
      <c r="AR30" s="241"/>
      <c r="AS30" s="241"/>
      <c r="AT30" s="241"/>
      <c r="AU30" s="869">
        <f t="shared" si="2"/>
        <v>6.9473823798024997E-2</v>
      </c>
      <c r="AV30" s="241"/>
      <c r="AW30" s="241"/>
      <c r="AX30" s="241"/>
      <c r="AY30" s="241"/>
      <c r="AZ30" s="869">
        <f t="shared" si="2"/>
        <v>0.11919871316662728</v>
      </c>
      <c r="BA30" s="241"/>
      <c r="BB30" s="241"/>
      <c r="BC30" s="241"/>
      <c r="BD30" s="241"/>
      <c r="BE30" s="869">
        <f t="shared" si="2"/>
        <v>8.8066337254729343E-2</v>
      </c>
      <c r="BF30" s="241">
        <f>BF28/BF27</f>
        <v>9.5197542795357332E-2</v>
      </c>
      <c r="BG30" s="241">
        <f>BG28/BG27</f>
        <v>0.10542650073271263</v>
      </c>
      <c r="BH30" s="241">
        <f>BH28/BH27</f>
        <v>9.9872359269582434E-2</v>
      </c>
      <c r="BI30" s="241">
        <f t="shared" si="2"/>
        <v>8.5220619103382717E-2</v>
      </c>
      <c r="BJ30" s="869">
        <f t="shared" si="2"/>
        <v>9.6464465183058151E-2</v>
      </c>
      <c r="BK30" s="241">
        <f>BK28/BK27</f>
        <v>8.0741899273412132E-2</v>
      </c>
      <c r="BL30" s="241">
        <f>BL28/BL27</f>
        <v>8.7746115086590165E-2</v>
      </c>
      <c r="BM30" s="241">
        <f>BM28/BM27</f>
        <v>8.4255135135135148E-2</v>
      </c>
      <c r="BN30" s="241"/>
      <c r="BO30" s="869">
        <f>BO28/BO27</f>
        <v>7.9807801503673184E-2</v>
      </c>
      <c r="BP30" s="241">
        <f>BP28/BP27</f>
        <v>0.15836920783076716</v>
      </c>
      <c r="BQ30" s="241">
        <f>BQ28/BQ27</f>
        <v>0.1000143480845307</v>
      </c>
      <c r="BR30" s="241">
        <f>BR28/BR27</f>
        <v>0.11092032015952585</v>
      </c>
      <c r="BS30" s="241"/>
      <c r="BT30" s="869"/>
      <c r="BU30" s="241"/>
      <c r="BV30" s="241"/>
      <c r="BW30" s="241"/>
      <c r="BX30" s="241"/>
      <c r="BY30" s="869"/>
      <c r="BZ30" s="241"/>
      <c r="CA30" s="241"/>
      <c r="CB30" s="241"/>
      <c r="CC30" s="241"/>
      <c r="CD30" s="869"/>
      <c r="CE30" s="241"/>
      <c r="CF30" s="241"/>
      <c r="CG30" s="241"/>
      <c r="CH30" s="241"/>
      <c r="CI30" s="751"/>
      <c r="CJ30" s="751"/>
      <c r="CK30" s="751"/>
      <c r="CL30" s="751"/>
      <c r="CM30" s="751"/>
      <c r="CN30" s="241"/>
      <c r="CO30" s="241"/>
      <c r="CP30" s="241"/>
      <c r="CQ30" s="693"/>
    </row>
    <row r="31" spans="2:95" ht="16.5" hidden="1" customHeight="1" outlineLevel="1" x14ac:dyDescent="0.25">
      <c r="B31" t="s">
        <v>681</v>
      </c>
      <c r="C31" s="743"/>
      <c r="D31" s="743"/>
      <c r="E31" s="743"/>
      <c r="F31" s="743"/>
      <c r="G31" s="868">
        <v>233</v>
      </c>
      <c r="H31" s="743"/>
      <c r="I31" s="743"/>
      <c r="J31" s="743"/>
      <c r="K31" s="743"/>
      <c r="L31" s="868">
        <v>284</v>
      </c>
      <c r="M31" s="743"/>
      <c r="N31" s="743"/>
      <c r="O31" s="743"/>
      <c r="P31" s="743"/>
      <c r="Q31" s="868">
        <v>234</v>
      </c>
      <c r="R31" s="743"/>
      <c r="S31" s="743"/>
      <c r="T31" s="743"/>
      <c r="U31" s="743"/>
      <c r="V31" s="868">
        <v>187</v>
      </c>
      <c r="W31" s="743"/>
      <c r="X31" s="743"/>
      <c r="Y31" s="743"/>
      <c r="Z31" s="743"/>
      <c r="AA31" s="868">
        <v>182</v>
      </c>
      <c r="AB31" s="743"/>
      <c r="AC31" s="743"/>
      <c r="AD31" s="743"/>
      <c r="AE31" s="743"/>
      <c r="AF31" s="868">
        <v>178</v>
      </c>
      <c r="AG31" s="743"/>
      <c r="AH31" s="743"/>
      <c r="AI31" s="743"/>
      <c r="AJ31" s="743"/>
      <c r="AK31" s="868">
        <v>145</v>
      </c>
      <c r="AL31" s="743"/>
      <c r="AM31" s="291"/>
      <c r="AN31" s="291"/>
      <c r="AO31" s="291"/>
      <c r="AP31" s="868">
        <v>164</v>
      </c>
      <c r="AQ31" s="291"/>
      <c r="AR31" s="291"/>
      <c r="AS31" s="291"/>
      <c r="AT31" s="291"/>
      <c r="AU31" s="868">
        <v>272</v>
      </c>
      <c r="AV31" s="291"/>
      <c r="AW31" s="291"/>
      <c r="AX31" s="291"/>
      <c r="AY31" s="291"/>
      <c r="AZ31" s="864"/>
      <c r="BA31" s="291"/>
      <c r="BB31" s="291"/>
      <c r="BC31" s="291"/>
      <c r="BD31" s="291"/>
      <c r="BE31" s="864"/>
      <c r="BF31" s="291"/>
      <c r="BG31" s="291"/>
      <c r="BH31" s="291"/>
      <c r="BI31" s="291"/>
      <c r="BJ31" s="864"/>
      <c r="BK31" s="291"/>
      <c r="BL31" s="291"/>
      <c r="BM31" s="291"/>
      <c r="BN31" s="291"/>
      <c r="BO31" s="864"/>
      <c r="BP31" s="291"/>
      <c r="BQ31" s="291"/>
      <c r="BR31" s="291"/>
      <c r="BS31" s="291"/>
      <c r="BT31" s="864"/>
      <c r="BU31" s="291"/>
      <c r="BV31" s="291"/>
      <c r="BW31" s="291"/>
      <c r="BX31" s="291"/>
      <c r="BY31" s="864"/>
      <c r="BZ31" s="291"/>
      <c r="CA31" s="291"/>
      <c r="CB31" s="291"/>
      <c r="CC31" s="291"/>
      <c r="CD31" s="864"/>
      <c r="CE31" s="291"/>
      <c r="CF31" s="291"/>
      <c r="CG31" s="291"/>
      <c r="CH31" s="291"/>
      <c r="CI31" s="749"/>
      <c r="CJ31" s="749"/>
      <c r="CK31" s="749"/>
      <c r="CL31" s="749"/>
      <c r="CM31" s="749"/>
      <c r="CN31" s="291"/>
      <c r="CO31" s="291"/>
      <c r="CP31" s="291"/>
      <c r="CQ31" s="693"/>
    </row>
    <row r="32" spans="2:95" ht="16.5" hidden="1" customHeight="1" outlineLevel="1" x14ac:dyDescent="0.25">
      <c r="C32" s="291"/>
      <c r="D32" s="291"/>
      <c r="E32" s="291"/>
      <c r="F32" s="291"/>
      <c r="G32" s="864"/>
      <c r="H32" s="291"/>
      <c r="I32" s="291"/>
      <c r="J32" s="291"/>
      <c r="K32" s="291"/>
      <c r="L32" s="864"/>
      <c r="M32" s="291"/>
      <c r="N32" s="291"/>
      <c r="O32" s="291"/>
      <c r="P32" s="291"/>
      <c r="Q32" s="864"/>
      <c r="R32" s="291"/>
      <c r="S32" s="291"/>
      <c r="T32" s="291"/>
      <c r="U32" s="291"/>
      <c r="V32" s="864"/>
      <c r="W32" s="291"/>
      <c r="X32" s="291"/>
      <c r="Y32" s="291"/>
      <c r="Z32" s="291"/>
      <c r="AA32" s="864"/>
      <c r="AB32" s="291"/>
      <c r="AC32" s="291"/>
      <c r="AD32" s="291"/>
      <c r="AE32" s="291"/>
      <c r="AF32" s="864"/>
      <c r="AG32" s="291"/>
      <c r="AH32" s="291"/>
      <c r="AI32" s="291"/>
      <c r="AJ32" s="291"/>
      <c r="AK32" s="864"/>
      <c r="AL32" s="291"/>
      <c r="AM32" s="291"/>
      <c r="AN32" s="291"/>
      <c r="AO32" s="291"/>
      <c r="AP32" s="864"/>
      <c r="AQ32" s="291"/>
      <c r="AR32" s="291"/>
      <c r="AS32" s="291"/>
      <c r="AT32" s="291"/>
      <c r="AU32" s="864"/>
      <c r="AV32" s="291"/>
      <c r="AW32" s="291"/>
      <c r="AX32" s="291"/>
      <c r="AY32" s="291"/>
      <c r="AZ32" s="864"/>
      <c r="BA32" s="291"/>
      <c r="BB32" s="291"/>
      <c r="BC32" s="291"/>
      <c r="BD32" s="291"/>
      <c r="BE32" s="864"/>
      <c r="BF32" s="291"/>
      <c r="BG32" s="291"/>
      <c r="BH32" s="291"/>
      <c r="BI32" s="291"/>
      <c r="BJ32" s="864"/>
      <c r="BK32" s="291"/>
      <c r="BL32" s="291"/>
      <c r="BM32" s="291"/>
      <c r="BN32" s="291"/>
      <c r="BO32" s="864"/>
      <c r="BP32" s="291"/>
      <c r="BQ32" s="291"/>
      <c r="BR32" s="291"/>
      <c r="BS32" s="291"/>
      <c r="BT32" s="864"/>
      <c r="BU32" s="291"/>
      <c r="BV32" s="291"/>
      <c r="BW32" s="291"/>
      <c r="BX32" s="291"/>
      <c r="BY32" s="864"/>
      <c r="BZ32" s="291"/>
      <c r="CA32" s="291"/>
      <c r="CB32" s="291"/>
      <c r="CC32" s="291"/>
      <c r="CD32" s="864"/>
      <c r="CE32" s="291"/>
      <c r="CF32" s="291"/>
      <c r="CG32" s="291"/>
      <c r="CH32" s="291"/>
      <c r="CI32" s="749"/>
      <c r="CJ32" s="749"/>
      <c r="CK32" s="749"/>
      <c r="CL32" s="749"/>
      <c r="CM32" s="749"/>
      <c r="CN32" s="291"/>
      <c r="CO32" s="291"/>
      <c r="CP32" s="291"/>
      <c r="CQ32" s="693"/>
    </row>
    <row r="33" spans="2:95" ht="16.5" hidden="1" customHeight="1" outlineLevel="1" x14ac:dyDescent="0.25">
      <c r="B33" s="223" t="s">
        <v>685</v>
      </c>
      <c r="C33" s="224"/>
      <c r="D33" s="224"/>
      <c r="E33" s="224"/>
      <c r="F33" s="224"/>
      <c r="G33" s="867"/>
      <c r="H33" s="224"/>
      <c r="I33" s="224"/>
      <c r="J33" s="224"/>
      <c r="K33" s="224"/>
      <c r="L33" s="867"/>
      <c r="M33" s="224"/>
      <c r="N33" s="224"/>
      <c r="O33" s="224"/>
      <c r="P33" s="224"/>
      <c r="Q33" s="867"/>
      <c r="R33" s="224"/>
      <c r="S33" s="224"/>
      <c r="T33" s="224"/>
      <c r="U33" s="224"/>
      <c r="V33" s="867"/>
      <c r="W33" s="224"/>
      <c r="X33" s="224"/>
      <c r="Y33" s="224"/>
      <c r="Z33" s="224"/>
      <c r="AA33" s="867"/>
      <c r="AB33" s="224"/>
      <c r="AC33" s="224"/>
      <c r="AD33" s="224"/>
      <c r="AE33" s="224"/>
      <c r="AF33" s="867"/>
      <c r="AG33" s="224"/>
      <c r="AH33" s="224"/>
      <c r="AI33" s="224"/>
      <c r="AJ33" s="224"/>
      <c r="AK33" s="867"/>
      <c r="AL33" s="224"/>
      <c r="AM33" s="224"/>
      <c r="AN33" s="224"/>
      <c r="AO33" s="224"/>
      <c r="AP33" s="867"/>
      <c r="AQ33" s="224"/>
      <c r="AR33" s="224"/>
      <c r="AS33" s="224"/>
      <c r="AT33" s="224"/>
      <c r="AU33" s="867"/>
      <c r="AV33" s="224"/>
      <c r="AW33" s="224"/>
      <c r="AX33" s="224"/>
      <c r="AY33" s="224"/>
      <c r="AZ33" s="867"/>
      <c r="BA33" s="224"/>
      <c r="BB33" s="224"/>
      <c r="BC33" s="224"/>
      <c r="BD33" s="224"/>
      <c r="BE33" s="867"/>
      <c r="BF33" s="224"/>
      <c r="BG33" s="224"/>
      <c r="BH33" s="224"/>
      <c r="BI33" s="224"/>
      <c r="BJ33" s="867"/>
      <c r="BK33" s="224"/>
      <c r="BL33" s="224"/>
      <c r="BM33" s="224"/>
      <c r="BN33" s="224"/>
      <c r="BO33" s="867"/>
      <c r="BP33" s="224"/>
      <c r="BQ33" s="224"/>
      <c r="BR33" s="224"/>
      <c r="BS33" s="224"/>
      <c r="BT33" s="867"/>
      <c r="BU33" s="224"/>
      <c r="BV33" s="224"/>
      <c r="BW33" s="224"/>
      <c r="BX33" s="224"/>
      <c r="BY33" s="867"/>
      <c r="BZ33" s="224"/>
      <c r="CA33" s="224"/>
      <c r="CB33" s="224"/>
      <c r="CC33" s="224"/>
      <c r="CD33" s="867"/>
      <c r="CE33" s="224"/>
      <c r="CF33" s="224"/>
      <c r="CG33" s="224"/>
      <c r="CH33" s="224"/>
      <c r="CI33" s="224"/>
      <c r="CJ33" s="224"/>
      <c r="CK33" s="224"/>
      <c r="CL33" s="224"/>
      <c r="CM33" s="224"/>
      <c r="CN33" s="224"/>
      <c r="CO33" s="224"/>
      <c r="CP33" s="224"/>
      <c r="CQ33" s="693"/>
    </row>
    <row r="34" spans="2:95" ht="16.5" hidden="1" customHeight="1" outlineLevel="1" x14ac:dyDescent="0.25">
      <c r="B34" t="s">
        <v>677</v>
      </c>
      <c r="C34" s="743"/>
      <c r="D34" s="743"/>
      <c r="E34" s="743"/>
      <c r="F34" s="743"/>
      <c r="G34" s="868">
        <v>359.99200000000002</v>
      </c>
      <c r="H34" s="743"/>
      <c r="I34" s="743"/>
      <c r="J34" s="743"/>
      <c r="K34" s="743"/>
      <c r="L34" s="868">
        <v>353.142</v>
      </c>
      <c r="M34" s="743"/>
      <c r="N34" s="743"/>
      <c r="O34" s="743"/>
      <c r="P34" s="743"/>
      <c r="Q34" s="868">
        <v>374.08100000000002</v>
      </c>
      <c r="R34" s="743"/>
      <c r="S34" s="743"/>
      <c r="T34" s="743"/>
      <c r="U34" s="743"/>
      <c r="V34" s="868">
        <v>438.572</v>
      </c>
      <c r="W34" s="743"/>
      <c r="X34" s="743"/>
      <c r="Y34" s="743"/>
      <c r="Z34" s="743"/>
      <c r="AA34" s="868">
        <v>449.89100000000002</v>
      </c>
      <c r="AB34" s="743"/>
      <c r="AC34" s="743"/>
      <c r="AD34" s="743"/>
      <c r="AE34" s="743"/>
      <c r="AF34" s="868">
        <v>437.46800000000002</v>
      </c>
      <c r="AG34" s="743"/>
      <c r="AH34" s="743"/>
      <c r="AI34" s="743"/>
      <c r="AJ34" s="743"/>
      <c r="AK34" s="868">
        <v>467.14400000000001</v>
      </c>
      <c r="AL34" s="743"/>
      <c r="AM34" s="291"/>
      <c r="AN34" s="291"/>
      <c r="AO34" s="291"/>
      <c r="AP34" s="868">
        <v>501.05</v>
      </c>
      <c r="AQ34" s="291"/>
      <c r="AR34" s="291"/>
      <c r="AS34" s="291"/>
      <c r="AT34" s="291"/>
      <c r="AU34" s="868">
        <v>359.99200000000002</v>
      </c>
      <c r="AV34" s="291"/>
      <c r="AW34" s="291"/>
      <c r="AX34" s="291"/>
      <c r="AY34" s="291"/>
      <c r="AZ34" s="868">
        <v>359.99200000000002</v>
      </c>
      <c r="BA34" s="291"/>
      <c r="BB34" s="291"/>
      <c r="BC34" s="291"/>
      <c r="BD34" s="291"/>
      <c r="BE34" s="868">
        <v>359.99200000000002</v>
      </c>
      <c r="BF34" s="743">
        <v>359.99200000000002</v>
      </c>
      <c r="BG34" s="743">
        <v>359.99200000000002</v>
      </c>
      <c r="BH34" s="743">
        <v>359.99200000000002</v>
      </c>
      <c r="BI34" s="743">
        <v>359.99200000000002</v>
      </c>
      <c r="BJ34" s="868">
        <v>359.99200000000002</v>
      </c>
      <c r="BK34" s="291"/>
      <c r="BL34" s="291"/>
      <c r="BM34" s="291"/>
      <c r="BN34" s="291"/>
      <c r="BO34" s="864"/>
      <c r="BP34" s="291"/>
      <c r="BQ34" s="291"/>
      <c r="BR34" s="291"/>
      <c r="BS34" s="291"/>
      <c r="BT34" s="864"/>
      <c r="BU34" s="291"/>
      <c r="BV34" s="291"/>
      <c r="BW34" s="291"/>
      <c r="BX34" s="291"/>
      <c r="BY34" s="864"/>
      <c r="BZ34" s="291"/>
      <c r="CA34" s="291"/>
      <c r="CB34" s="291"/>
      <c r="CC34" s="291"/>
      <c r="CD34" s="864"/>
      <c r="CE34" s="291"/>
      <c r="CF34" s="291"/>
      <c r="CG34" s="291"/>
      <c r="CH34" s="291"/>
      <c r="CI34" s="749"/>
      <c r="CJ34" s="749"/>
      <c r="CK34" s="749"/>
      <c r="CL34" s="749"/>
      <c r="CM34" s="749"/>
      <c r="CN34" s="291"/>
      <c r="CO34" s="291"/>
      <c r="CP34" s="291"/>
      <c r="CQ34" s="693"/>
    </row>
    <row r="35" spans="2:95" ht="16.5" hidden="1" customHeight="1" outlineLevel="1" x14ac:dyDescent="0.25">
      <c r="B35" t="s">
        <v>678</v>
      </c>
      <c r="C35" s="743"/>
      <c r="D35" s="743"/>
      <c r="E35" s="743"/>
      <c r="F35" s="743"/>
      <c r="G35" s="868">
        <v>60.158999999999999</v>
      </c>
      <c r="H35" s="743"/>
      <c r="I35" s="743"/>
      <c r="J35" s="743"/>
      <c r="K35" s="743"/>
      <c r="L35" s="868">
        <v>50.353000000000002</v>
      </c>
      <c r="M35" s="743"/>
      <c r="N35" s="743"/>
      <c r="O35" s="743"/>
      <c r="P35" s="743"/>
      <c r="Q35" s="868">
        <v>57.302999999999997</v>
      </c>
      <c r="R35" s="743"/>
      <c r="S35" s="743"/>
      <c r="T35" s="743"/>
      <c r="U35" s="743"/>
      <c r="V35" s="868">
        <v>74.424999999999997</v>
      </c>
      <c r="W35" s="743"/>
      <c r="X35" s="743"/>
      <c r="Y35" s="743"/>
      <c r="Z35" s="743"/>
      <c r="AA35" s="868">
        <v>72.768000000000001</v>
      </c>
      <c r="AB35" s="743"/>
      <c r="AC35" s="743"/>
      <c r="AD35" s="743"/>
      <c r="AE35" s="743"/>
      <c r="AF35" s="868">
        <v>58.692999999999998</v>
      </c>
      <c r="AG35" s="743"/>
      <c r="AH35" s="743"/>
      <c r="AI35" s="743"/>
      <c r="AJ35" s="743"/>
      <c r="AK35" s="868">
        <v>49.771999999999998</v>
      </c>
      <c r="AL35" s="743"/>
      <c r="AM35" s="291"/>
      <c r="AN35" s="291"/>
      <c r="AO35" s="291"/>
      <c r="AP35" s="868">
        <v>52.454000000000001</v>
      </c>
      <c r="AQ35" s="291"/>
      <c r="AR35" s="291"/>
      <c r="AS35" s="291"/>
      <c r="AT35" s="291"/>
      <c r="AU35" s="868">
        <v>60.158999999999999</v>
      </c>
      <c r="AV35" s="291"/>
      <c r="AW35" s="291"/>
      <c r="AX35" s="291"/>
      <c r="AY35" s="291"/>
      <c r="AZ35" s="868">
        <v>60.158999999999999</v>
      </c>
      <c r="BA35" s="291"/>
      <c r="BB35" s="291"/>
      <c r="BC35" s="291"/>
      <c r="BD35" s="291"/>
      <c r="BE35" s="868">
        <v>60.158999999999999</v>
      </c>
      <c r="BF35" s="743">
        <v>60.158999999999999</v>
      </c>
      <c r="BG35" s="743">
        <v>60.158999999999999</v>
      </c>
      <c r="BH35" s="743">
        <v>60.158999999999999</v>
      </c>
      <c r="BI35" s="743">
        <v>60.158999999999999</v>
      </c>
      <c r="BJ35" s="868">
        <v>60.158999999999999</v>
      </c>
      <c r="BK35" s="291"/>
      <c r="BL35" s="291"/>
      <c r="BM35" s="291"/>
      <c r="BN35" s="291"/>
      <c r="BO35" s="864"/>
      <c r="BP35" s="291"/>
      <c r="BQ35" s="291"/>
      <c r="BR35" s="291"/>
      <c r="BS35" s="291"/>
      <c r="BT35" s="864"/>
      <c r="BU35" s="291"/>
      <c r="BV35" s="291"/>
      <c r="BW35" s="291"/>
      <c r="BX35" s="291"/>
      <c r="BY35" s="864"/>
      <c r="BZ35" s="291"/>
      <c r="CA35" s="291"/>
      <c r="CB35" s="291"/>
      <c r="CC35" s="291"/>
      <c r="CD35" s="864"/>
      <c r="CE35" s="291"/>
      <c r="CF35" s="291"/>
      <c r="CG35" s="291"/>
      <c r="CH35" s="291"/>
      <c r="CI35" s="749"/>
      <c r="CJ35" s="749"/>
      <c r="CK35" s="749"/>
      <c r="CL35" s="749"/>
      <c r="CM35" s="749"/>
      <c r="CN35" s="291"/>
      <c r="CO35" s="291"/>
      <c r="CP35" s="291"/>
      <c r="CQ35" s="693"/>
    </row>
    <row r="36" spans="2:95" ht="16.5" hidden="1" customHeight="1" outlineLevel="1" x14ac:dyDescent="0.25">
      <c r="B36" s="12" t="s">
        <v>680</v>
      </c>
      <c r="C36" s="241"/>
      <c r="D36" s="241"/>
      <c r="E36" s="241"/>
      <c r="F36" s="241"/>
      <c r="G36" s="869"/>
      <c r="H36" s="241"/>
      <c r="I36" s="241"/>
      <c r="J36" s="241"/>
      <c r="K36" s="241"/>
      <c r="L36" s="869">
        <f>L34/G34-1</f>
        <v>-1.9028200626680647E-2</v>
      </c>
      <c r="M36" s="241"/>
      <c r="N36" s="241"/>
      <c r="O36" s="241"/>
      <c r="P36" s="241"/>
      <c r="Q36" s="869">
        <f>Q34/L34-1</f>
        <v>5.9293428705733175E-2</v>
      </c>
      <c r="R36" s="241"/>
      <c r="S36" s="241"/>
      <c r="T36" s="241"/>
      <c r="U36" s="241"/>
      <c r="V36" s="869">
        <f>V34/Q34-1</f>
        <v>0.17239849123585538</v>
      </c>
      <c r="W36" s="241"/>
      <c r="X36" s="241"/>
      <c r="Y36" s="241"/>
      <c r="Z36" s="241"/>
      <c r="AA36" s="869">
        <f>AA34/V34-1</f>
        <v>2.5808761161223215E-2</v>
      </c>
      <c r="AB36" s="241"/>
      <c r="AC36" s="241"/>
      <c r="AD36" s="241"/>
      <c r="AE36" s="241"/>
      <c r="AF36" s="869">
        <f>AF34/AA34-1</f>
        <v>-2.7613355234934689E-2</v>
      </c>
      <c r="AG36" s="241"/>
      <c r="AH36" s="241"/>
      <c r="AI36" s="241"/>
      <c r="AJ36" s="241"/>
      <c r="AK36" s="869">
        <f>AK34/AF34-1</f>
        <v>6.7835818848464235E-2</v>
      </c>
      <c r="AL36" s="241"/>
      <c r="AM36" s="241"/>
      <c r="AN36" s="241"/>
      <c r="AO36" s="241"/>
      <c r="AP36" s="869">
        <f>AP34/AK34-1</f>
        <v>7.258147380679203E-2</v>
      </c>
      <c r="AQ36" s="241"/>
      <c r="AR36" s="241"/>
      <c r="AS36" s="241"/>
      <c r="AT36" s="241"/>
      <c r="AU36" s="869"/>
      <c r="AV36" s="241"/>
      <c r="AW36" s="241"/>
      <c r="AX36" s="241"/>
      <c r="AY36" s="241"/>
      <c r="AZ36" s="869"/>
      <c r="BA36" s="241"/>
      <c r="BB36" s="241"/>
      <c r="BC36" s="241"/>
      <c r="BD36" s="241"/>
      <c r="BE36" s="869"/>
      <c r="BF36" s="241"/>
      <c r="BG36" s="241"/>
      <c r="BH36" s="241"/>
      <c r="BI36" s="241"/>
      <c r="BJ36" s="869"/>
      <c r="BK36" s="241"/>
      <c r="BL36" s="241"/>
      <c r="BM36" s="241"/>
      <c r="BN36" s="241"/>
      <c r="BO36" s="869"/>
      <c r="BP36" s="241"/>
      <c r="BQ36" s="241"/>
      <c r="BR36" s="241"/>
      <c r="BS36" s="241"/>
      <c r="BT36" s="869"/>
      <c r="BU36" s="241"/>
      <c r="BV36" s="241"/>
      <c r="BW36" s="241"/>
      <c r="BX36" s="241"/>
      <c r="BY36" s="869"/>
      <c r="BZ36" s="241"/>
      <c r="CA36" s="241"/>
      <c r="CB36" s="241"/>
      <c r="CC36" s="241"/>
      <c r="CD36" s="869"/>
      <c r="CE36" s="241"/>
      <c r="CF36" s="241"/>
      <c r="CG36" s="241"/>
      <c r="CH36" s="241"/>
      <c r="CI36" s="751"/>
      <c r="CJ36" s="751"/>
      <c r="CK36" s="751"/>
      <c r="CL36" s="751"/>
      <c r="CM36" s="751"/>
      <c r="CN36" s="241"/>
      <c r="CO36" s="241"/>
      <c r="CP36" s="241"/>
      <c r="CQ36" s="693"/>
    </row>
    <row r="37" spans="2:95" ht="16.5" hidden="1" customHeight="1" outlineLevel="1" x14ac:dyDescent="0.25">
      <c r="C37" s="291"/>
      <c r="D37" s="291"/>
      <c r="E37" s="291"/>
      <c r="F37" s="291"/>
      <c r="G37" s="864">
        <f>G35/G34</f>
        <v>0.16711204693437631</v>
      </c>
      <c r="H37" s="291"/>
      <c r="I37" s="291"/>
      <c r="J37" s="291"/>
      <c r="K37" s="291"/>
      <c r="L37" s="864">
        <f t="shared" ref="L37:BJ37" si="3">L35/L34</f>
        <v>0.14258570206885615</v>
      </c>
      <c r="M37" s="291"/>
      <c r="N37" s="291"/>
      <c r="O37" s="291"/>
      <c r="P37" s="291"/>
      <c r="Q37" s="864">
        <f t="shared" si="3"/>
        <v>0.15318340145583442</v>
      </c>
      <c r="R37" s="291"/>
      <c r="S37" s="291"/>
      <c r="T37" s="291"/>
      <c r="U37" s="291"/>
      <c r="V37" s="864">
        <f t="shared" si="3"/>
        <v>0.16969847596289775</v>
      </c>
      <c r="W37" s="291"/>
      <c r="X37" s="291"/>
      <c r="Y37" s="291"/>
      <c r="Z37" s="291"/>
      <c r="AA37" s="864">
        <f t="shared" si="3"/>
        <v>0.16174584510470313</v>
      </c>
      <c r="AB37" s="291"/>
      <c r="AC37" s="291"/>
      <c r="AD37" s="291"/>
      <c r="AE37" s="291"/>
      <c r="AF37" s="864">
        <f t="shared" si="3"/>
        <v>0.13416524180054312</v>
      </c>
      <c r="AG37" s="291"/>
      <c r="AH37" s="291"/>
      <c r="AI37" s="291"/>
      <c r="AJ37" s="291"/>
      <c r="AK37" s="864">
        <f t="shared" si="3"/>
        <v>0.10654530508793862</v>
      </c>
      <c r="AL37" s="291"/>
      <c r="AM37" s="291"/>
      <c r="AN37" s="291"/>
      <c r="AO37" s="291"/>
      <c r="AP37" s="864">
        <f t="shared" si="3"/>
        <v>0.10468815487476299</v>
      </c>
      <c r="AQ37" s="291"/>
      <c r="AR37" s="291"/>
      <c r="AS37" s="291"/>
      <c r="AT37" s="291"/>
      <c r="AU37" s="864">
        <f t="shared" si="3"/>
        <v>0.16711204693437631</v>
      </c>
      <c r="AV37" s="291"/>
      <c r="AW37" s="291"/>
      <c r="AX37" s="291"/>
      <c r="AY37" s="291"/>
      <c r="AZ37" s="864">
        <f t="shared" si="3"/>
        <v>0.16711204693437631</v>
      </c>
      <c r="BA37" s="291"/>
      <c r="BB37" s="291"/>
      <c r="BC37" s="291"/>
      <c r="BD37" s="291"/>
      <c r="BE37" s="864">
        <f t="shared" si="3"/>
        <v>0.16711204693437631</v>
      </c>
      <c r="BF37" s="291">
        <f t="shared" si="3"/>
        <v>0.16711204693437631</v>
      </c>
      <c r="BG37" s="291">
        <f t="shared" si="3"/>
        <v>0.16711204693437631</v>
      </c>
      <c r="BH37" s="291">
        <f t="shared" si="3"/>
        <v>0.16711204693437631</v>
      </c>
      <c r="BI37" s="291">
        <f t="shared" si="3"/>
        <v>0.16711204693437631</v>
      </c>
      <c r="BJ37" s="864">
        <f t="shared" si="3"/>
        <v>0.16711204693437631</v>
      </c>
      <c r="BK37" s="291"/>
      <c r="BL37" s="291"/>
      <c r="BM37" s="291"/>
      <c r="BN37" s="291"/>
      <c r="BO37" s="864"/>
      <c r="BP37" s="291"/>
      <c r="BQ37" s="291"/>
      <c r="BR37" s="291"/>
      <c r="BS37" s="291"/>
      <c r="BT37" s="864"/>
      <c r="BU37" s="291"/>
      <c r="BV37" s="291"/>
      <c r="BW37" s="291"/>
      <c r="BX37" s="291"/>
      <c r="BY37" s="864"/>
      <c r="BZ37" s="291"/>
      <c r="CA37" s="291"/>
      <c r="CB37" s="291"/>
      <c r="CC37" s="291"/>
      <c r="CD37" s="864"/>
      <c r="CE37" s="291"/>
      <c r="CF37" s="291"/>
      <c r="CG37" s="291"/>
      <c r="CH37" s="291"/>
      <c r="CI37" s="749"/>
      <c r="CJ37" s="749"/>
      <c r="CK37" s="749"/>
      <c r="CL37" s="749"/>
      <c r="CM37" s="749"/>
      <c r="CN37" s="291"/>
      <c r="CO37" s="291"/>
      <c r="CP37" s="291"/>
      <c r="CQ37" s="693"/>
    </row>
    <row r="38" spans="2:95" ht="16.5" hidden="1" customHeight="1" outlineLevel="1" x14ac:dyDescent="0.25">
      <c r="B38" s="223" t="s">
        <v>686</v>
      </c>
      <c r="C38" s="224"/>
      <c r="D38" s="224"/>
      <c r="E38" s="224"/>
      <c r="F38" s="224"/>
      <c r="G38" s="867"/>
      <c r="H38" s="224"/>
      <c r="I38" s="224"/>
      <c r="J38" s="224"/>
      <c r="K38" s="224"/>
      <c r="L38" s="867"/>
      <c r="M38" s="224"/>
      <c r="N38" s="224"/>
      <c r="O38" s="224"/>
      <c r="P38" s="224"/>
      <c r="Q38" s="867"/>
      <c r="R38" s="224"/>
      <c r="S38" s="224"/>
      <c r="T38" s="224"/>
      <c r="U38" s="224"/>
      <c r="V38" s="867"/>
      <c r="W38" s="224"/>
      <c r="X38" s="224"/>
      <c r="Y38" s="224"/>
      <c r="Z38" s="224"/>
      <c r="AA38" s="867"/>
      <c r="AB38" s="224"/>
      <c r="AC38" s="224"/>
      <c r="AD38" s="224"/>
      <c r="AE38" s="224"/>
      <c r="AF38" s="867"/>
      <c r="AG38" s="224"/>
      <c r="AH38" s="224"/>
      <c r="AI38" s="224"/>
      <c r="AJ38" s="224"/>
      <c r="AK38" s="867"/>
      <c r="AL38" s="224"/>
      <c r="AM38" s="224"/>
      <c r="AN38" s="224"/>
      <c r="AO38" s="224"/>
      <c r="AP38" s="867"/>
      <c r="AQ38" s="224"/>
      <c r="AR38" s="224"/>
      <c r="AS38" s="224"/>
      <c r="AT38" s="224"/>
      <c r="AU38" s="867"/>
      <c r="AV38" s="224"/>
      <c r="AW38" s="224"/>
      <c r="AX38" s="224"/>
      <c r="AY38" s="224"/>
      <c r="AZ38" s="867"/>
      <c r="BA38" s="224"/>
      <c r="BB38" s="224"/>
      <c r="BC38" s="224"/>
      <c r="BD38" s="224"/>
      <c r="BE38" s="867"/>
      <c r="BF38" s="224"/>
      <c r="BG38" s="224"/>
      <c r="BH38" s="224"/>
      <c r="BI38" s="224"/>
      <c r="BJ38" s="867"/>
      <c r="BK38" s="224"/>
      <c r="BL38" s="224"/>
      <c r="BM38" s="224"/>
      <c r="BN38" s="224"/>
      <c r="BO38" s="867"/>
      <c r="BP38" s="224"/>
      <c r="BQ38" s="224"/>
      <c r="BR38" s="224"/>
      <c r="BS38" s="224"/>
      <c r="BT38" s="867"/>
      <c r="BU38" s="224"/>
      <c r="BV38" s="224"/>
      <c r="BW38" s="224"/>
      <c r="BX38" s="224"/>
      <c r="BY38" s="867"/>
      <c r="BZ38" s="224"/>
      <c r="CA38" s="224"/>
      <c r="CB38" s="224"/>
      <c r="CC38" s="224"/>
      <c r="CD38" s="867"/>
      <c r="CE38" s="224"/>
      <c r="CF38" s="224"/>
      <c r="CG38" s="224"/>
      <c r="CH38" s="224"/>
      <c r="CI38" s="224"/>
      <c r="CJ38" s="224"/>
      <c r="CK38" s="224"/>
      <c r="CL38" s="224"/>
      <c r="CM38" s="224"/>
      <c r="CN38" s="224"/>
      <c r="CO38" s="224"/>
      <c r="CP38" s="224"/>
      <c r="CQ38" s="693"/>
    </row>
    <row r="39" spans="2:95" ht="16.5" hidden="1" customHeight="1" outlineLevel="1" x14ac:dyDescent="0.25">
      <c r="B39" t="s">
        <v>677</v>
      </c>
      <c r="C39" s="743"/>
      <c r="D39" s="743"/>
      <c r="E39" s="743"/>
      <c r="F39" s="743"/>
      <c r="G39" s="868">
        <v>126.56399999999999</v>
      </c>
      <c r="H39" s="743"/>
      <c r="I39" s="743"/>
      <c r="J39" s="743"/>
      <c r="K39" s="743"/>
      <c r="L39" s="868">
        <v>141.97399999999999</v>
      </c>
      <c r="M39" s="743"/>
      <c r="N39" s="743"/>
      <c r="O39" s="743"/>
      <c r="P39" s="743"/>
      <c r="Q39" s="868">
        <v>139.566</v>
      </c>
      <c r="R39" s="743"/>
      <c r="S39" s="743"/>
      <c r="T39" s="743"/>
      <c r="U39" s="743"/>
      <c r="V39" s="868">
        <v>124.095</v>
      </c>
      <c r="W39" s="743"/>
      <c r="X39" s="743"/>
      <c r="Y39" s="743"/>
      <c r="Z39" s="743"/>
      <c r="AA39" s="868">
        <v>95.361999999999995</v>
      </c>
      <c r="AB39" s="743"/>
      <c r="AC39" s="743"/>
      <c r="AD39" s="743"/>
      <c r="AE39" s="743"/>
      <c r="AF39" s="868">
        <v>98.567999999999998</v>
      </c>
      <c r="AG39" s="743"/>
      <c r="AH39" s="743"/>
      <c r="AI39" s="743"/>
      <c r="AJ39" s="743"/>
      <c r="AK39" s="868">
        <v>126.56399999999999</v>
      </c>
      <c r="AL39" s="743"/>
      <c r="AM39" s="291"/>
      <c r="AN39" s="291"/>
      <c r="AO39" s="291"/>
      <c r="AP39" s="868">
        <v>126.56399999999999</v>
      </c>
      <c r="AQ39" s="291"/>
      <c r="AR39" s="291"/>
      <c r="AS39" s="291"/>
      <c r="AT39" s="291"/>
      <c r="AU39" s="868">
        <v>126.56399999999999</v>
      </c>
      <c r="AV39" s="291"/>
      <c r="AW39" s="291"/>
      <c r="AX39" s="291"/>
      <c r="AY39" s="291"/>
      <c r="AZ39" s="868">
        <v>126.56399999999999</v>
      </c>
      <c r="BA39" s="291"/>
      <c r="BB39" s="291"/>
      <c r="BC39" s="291"/>
      <c r="BD39" s="291"/>
      <c r="BE39" s="868">
        <v>126.56399999999999</v>
      </c>
      <c r="BF39" s="743">
        <v>126.56399999999999</v>
      </c>
      <c r="BG39" s="743">
        <v>126.56399999999999</v>
      </c>
      <c r="BH39" s="743">
        <v>126.56399999999999</v>
      </c>
      <c r="BI39" s="743">
        <v>126.56399999999999</v>
      </c>
      <c r="BJ39" s="868">
        <v>126.56399999999999</v>
      </c>
      <c r="BK39" s="291"/>
      <c r="BL39" s="291"/>
      <c r="BM39" s="291"/>
      <c r="BN39" s="291"/>
      <c r="BO39" s="864"/>
      <c r="BP39" s="291"/>
      <c r="BQ39" s="291"/>
      <c r="BR39" s="291"/>
      <c r="BS39" s="291"/>
      <c r="BT39" s="864"/>
      <c r="BU39" s="291"/>
      <c r="BV39" s="291"/>
      <c r="BW39" s="291"/>
      <c r="BX39" s="291"/>
      <c r="BY39" s="864"/>
      <c r="BZ39" s="291"/>
      <c r="CA39" s="291"/>
      <c r="CB39" s="291"/>
      <c r="CC39" s="291"/>
      <c r="CD39" s="864"/>
      <c r="CE39" s="291"/>
      <c r="CF39" s="291"/>
      <c r="CG39" s="291"/>
      <c r="CH39" s="291"/>
      <c r="CI39" s="749"/>
      <c r="CJ39" s="749"/>
      <c r="CK39" s="749"/>
      <c r="CL39" s="749"/>
      <c r="CM39" s="749"/>
      <c r="CN39" s="291"/>
      <c r="CO39" s="291"/>
      <c r="CP39" s="291"/>
      <c r="CQ39" s="693"/>
    </row>
    <row r="40" spans="2:95" ht="16.5" hidden="1" customHeight="1" outlineLevel="1" x14ac:dyDescent="0.25">
      <c r="B40" t="s">
        <v>678</v>
      </c>
      <c r="C40" s="743"/>
      <c r="D40" s="743"/>
      <c r="E40" s="743"/>
      <c r="F40" s="743"/>
      <c r="G40" s="868">
        <v>-4.0439999999999996</v>
      </c>
      <c r="H40" s="743"/>
      <c r="I40" s="743"/>
      <c r="J40" s="743"/>
      <c r="K40" s="743"/>
      <c r="L40" s="868">
        <v>0.24099999999999999</v>
      </c>
      <c r="M40" s="743"/>
      <c r="N40" s="743"/>
      <c r="O40" s="743"/>
      <c r="P40" s="743"/>
      <c r="Q40" s="868">
        <v>5.4429999999999996</v>
      </c>
      <c r="R40" s="743"/>
      <c r="S40" s="743"/>
      <c r="T40" s="743"/>
      <c r="U40" s="743"/>
      <c r="V40" s="868">
        <v>-41.235999999999997</v>
      </c>
      <c r="W40" s="743"/>
      <c r="X40" s="743"/>
      <c r="Y40" s="743"/>
      <c r="Z40" s="743"/>
      <c r="AA40" s="868">
        <v>2.996</v>
      </c>
      <c r="AB40" s="743"/>
      <c r="AC40" s="743"/>
      <c r="AD40" s="743"/>
      <c r="AE40" s="743"/>
      <c r="AF40" s="868">
        <v>8.5570000000000004</v>
      </c>
      <c r="AG40" s="743"/>
      <c r="AH40" s="743"/>
      <c r="AI40" s="743"/>
      <c r="AJ40" s="743"/>
      <c r="AK40" s="868">
        <v>-4.0439999999999996</v>
      </c>
      <c r="AL40" s="743"/>
      <c r="AM40" s="291"/>
      <c r="AN40" s="291"/>
      <c r="AO40" s="291"/>
      <c r="AP40" s="868">
        <v>-4.0439999999999996</v>
      </c>
      <c r="AQ40" s="291"/>
      <c r="AR40" s="291"/>
      <c r="AS40" s="291"/>
      <c r="AT40" s="291"/>
      <c r="AU40" s="868">
        <v>-4.0439999999999996</v>
      </c>
      <c r="AV40" s="291"/>
      <c r="AW40" s="291"/>
      <c r="AX40" s="291"/>
      <c r="AY40" s="291"/>
      <c r="AZ40" s="868">
        <v>-4.0439999999999996</v>
      </c>
      <c r="BA40" s="291"/>
      <c r="BB40" s="291"/>
      <c r="BC40" s="291"/>
      <c r="BD40" s="291"/>
      <c r="BE40" s="868">
        <v>-4.0439999999999996</v>
      </c>
      <c r="BF40" s="743">
        <v>-4.0439999999999996</v>
      </c>
      <c r="BG40" s="743">
        <v>-4.0439999999999996</v>
      </c>
      <c r="BH40" s="743">
        <v>-4.0439999999999996</v>
      </c>
      <c r="BI40" s="743">
        <v>-4.0439999999999996</v>
      </c>
      <c r="BJ40" s="868">
        <v>-4.0439999999999996</v>
      </c>
      <c r="BK40" s="291"/>
      <c r="BL40" s="291"/>
      <c r="BM40" s="291"/>
      <c r="BN40" s="291"/>
      <c r="BO40" s="864"/>
      <c r="BP40" s="291"/>
      <c r="BQ40" s="291"/>
      <c r="BR40" s="291"/>
      <c r="BS40" s="291"/>
      <c r="BT40" s="864"/>
      <c r="BU40" s="291"/>
      <c r="BV40" s="291"/>
      <c r="BW40" s="291"/>
      <c r="BX40" s="291"/>
      <c r="BY40" s="864"/>
      <c r="BZ40" s="291"/>
      <c r="CA40" s="291"/>
      <c r="CB40" s="291"/>
      <c r="CC40" s="291"/>
      <c r="CD40" s="864"/>
      <c r="CE40" s="291"/>
      <c r="CF40" s="291"/>
      <c r="CG40" s="291"/>
      <c r="CH40" s="291"/>
      <c r="CI40" s="749"/>
      <c r="CJ40" s="749"/>
      <c r="CK40" s="749"/>
      <c r="CL40" s="749"/>
      <c r="CM40" s="749"/>
      <c r="CN40" s="291"/>
      <c r="CO40" s="291"/>
      <c r="CP40" s="291"/>
      <c r="CQ40" s="693"/>
    </row>
    <row r="41" spans="2:95" ht="16.5" hidden="1" customHeight="1" outlineLevel="1" x14ac:dyDescent="0.25">
      <c r="B41" s="12" t="s">
        <v>680</v>
      </c>
      <c r="C41" s="241"/>
      <c r="D41" s="241"/>
      <c r="E41" s="241"/>
      <c r="F41" s="241"/>
      <c r="G41" s="869">
        <f>G40/G39</f>
        <v>-3.1952213899687117E-2</v>
      </c>
      <c r="H41" s="241"/>
      <c r="I41" s="241"/>
      <c r="J41" s="241"/>
      <c r="K41" s="241"/>
      <c r="L41" s="869">
        <f t="shared" ref="L41:BJ41" si="4">L40/L39</f>
        <v>1.697493907335146E-3</v>
      </c>
      <c r="M41" s="241"/>
      <c r="N41" s="241"/>
      <c r="O41" s="241"/>
      <c r="P41" s="241"/>
      <c r="Q41" s="869">
        <f t="shared" si="4"/>
        <v>3.8999469784904629E-2</v>
      </c>
      <c r="R41" s="241"/>
      <c r="S41" s="241"/>
      <c r="T41" s="241"/>
      <c r="U41" s="241"/>
      <c r="V41" s="869">
        <f t="shared" si="4"/>
        <v>-0.33229380716386636</v>
      </c>
      <c r="W41" s="241"/>
      <c r="X41" s="241"/>
      <c r="Y41" s="241"/>
      <c r="Z41" s="241"/>
      <c r="AA41" s="869">
        <f t="shared" si="4"/>
        <v>3.1417126318659429E-2</v>
      </c>
      <c r="AB41" s="241"/>
      <c r="AC41" s="241"/>
      <c r="AD41" s="241"/>
      <c r="AE41" s="241"/>
      <c r="AF41" s="869">
        <f t="shared" si="4"/>
        <v>8.6813164515867222E-2</v>
      </c>
      <c r="AG41" s="241"/>
      <c r="AH41" s="241"/>
      <c r="AI41" s="241"/>
      <c r="AJ41" s="241"/>
      <c r="AK41" s="869">
        <f t="shared" si="4"/>
        <v>-3.1952213899687117E-2</v>
      </c>
      <c r="AL41" s="241"/>
      <c r="AM41" s="241"/>
      <c r="AN41" s="241"/>
      <c r="AO41" s="241"/>
      <c r="AP41" s="869">
        <f t="shared" si="4"/>
        <v>-3.1952213899687117E-2</v>
      </c>
      <c r="AQ41" s="241"/>
      <c r="AR41" s="241"/>
      <c r="AS41" s="241"/>
      <c r="AT41" s="241"/>
      <c r="AU41" s="869">
        <f t="shared" si="4"/>
        <v>-3.1952213899687117E-2</v>
      </c>
      <c r="AV41" s="241"/>
      <c r="AW41" s="241"/>
      <c r="AX41" s="241"/>
      <c r="AY41" s="241"/>
      <c r="AZ41" s="869">
        <f t="shared" si="4"/>
        <v>-3.1952213899687117E-2</v>
      </c>
      <c r="BA41" s="241"/>
      <c r="BB41" s="241"/>
      <c r="BC41" s="241"/>
      <c r="BD41" s="241"/>
      <c r="BE41" s="869">
        <f t="shared" si="4"/>
        <v>-3.1952213899687117E-2</v>
      </c>
      <c r="BF41" s="241">
        <f t="shared" si="4"/>
        <v>-3.1952213899687117E-2</v>
      </c>
      <c r="BG41" s="241">
        <f t="shared" si="4"/>
        <v>-3.1952213899687117E-2</v>
      </c>
      <c r="BH41" s="241">
        <f t="shared" si="4"/>
        <v>-3.1952213899687117E-2</v>
      </c>
      <c r="BI41" s="241">
        <f t="shared" si="4"/>
        <v>-3.1952213899687117E-2</v>
      </c>
      <c r="BJ41" s="869">
        <f t="shared" si="4"/>
        <v>-3.1952213899687117E-2</v>
      </c>
      <c r="BK41" s="241"/>
      <c r="BL41" s="241"/>
      <c r="BM41" s="241"/>
      <c r="BN41" s="241"/>
      <c r="BO41" s="869"/>
      <c r="BP41" s="241"/>
      <c r="BQ41" s="241"/>
      <c r="BR41" s="241"/>
      <c r="BS41" s="241"/>
      <c r="BT41" s="869"/>
      <c r="BU41" s="241"/>
      <c r="BV41" s="241"/>
      <c r="BW41" s="241"/>
      <c r="BX41" s="241"/>
      <c r="BY41" s="869"/>
      <c r="BZ41" s="241"/>
      <c r="CA41" s="241"/>
      <c r="CB41" s="241"/>
      <c r="CC41" s="241"/>
      <c r="CD41" s="869"/>
      <c r="CE41" s="241"/>
      <c r="CF41" s="241"/>
      <c r="CG41" s="241"/>
      <c r="CH41" s="241"/>
      <c r="CI41" s="751"/>
      <c r="CJ41" s="751"/>
      <c r="CK41" s="751"/>
      <c r="CL41" s="751"/>
      <c r="CM41" s="751"/>
      <c r="CN41" s="241"/>
      <c r="CO41" s="241"/>
      <c r="CP41" s="241"/>
      <c r="CQ41" s="693"/>
    </row>
    <row r="42" spans="2:95" ht="16.5" hidden="1" customHeight="1" outlineLevel="1" x14ac:dyDescent="0.25">
      <c r="C42" s="291"/>
      <c r="D42" s="291"/>
      <c r="E42" s="291"/>
      <c r="F42" s="291"/>
      <c r="G42" s="864"/>
      <c r="H42" s="291"/>
      <c r="I42" s="291"/>
      <c r="J42" s="291"/>
      <c r="K42" s="291"/>
      <c r="L42" s="864"/>
      <c r="M42" s="291"/>
      <c r="N42" s="291"/>
      <c r="O42" s="291"/>
      <c r="P42" s="291"/>
      <c r="Q42" s="864"/>
      <c r="R42" s="291"/>
      <c r="S42" s="291"/>
      <c r="T42" s="291"/>
      <c r="U42" s="291"/>
      <c r="V42" s="864"/>
      <c r="W42" s="291"/>
      <c r="X42" s="291"/>
      <c r="Y42" s="291"/>
      <c r="Z42" s="291"/>
      <c r="AA42" s="864"/>
      <c r="AB42" s="291"/>
      <c r="AC42" s="291"/>
      <c r="AD42" s="291"/>
      <c r="AE42" s="291"/>
      <c r="AF42" s="864"/>
      <c r="AG42" s="291"/>
      <c r="AH42" s="291"/>
      <c r="AI42" s="291"/>
      <c r="AJ42" s="291"/>
      <c r="AK42" s="864"/>
      <c r="AL42" s="291"/>
      <c r="AM42" s="291"/>
      <c r="AN42" s="291"/>
      <c r="AO42" s="291"/>
      <c r="AP42" s="864"/>
      <c r="AQ42" s="291"/>
      <c r="AR42" s="291"/>
      <c r="AS42" s="291"/>
      <c r="AT42" s="291"/>
      <c r="AU42" s="864"/>
      <c r="AV42" s="291"/>
      <c r="AW42" s="291"/>
      <c r="AX42" s="291"/>
      <c r="AY42" s="291"/>
      <c r="AZ42" s="864"/>
      <c r="BA42" s="291"/>
      <c r="BB42" s="291"/>
      <c r="BC42" s="291"/>
      <c r="BD42" s="291"/>
      <c r="BE42" s="864"/>
      <c r="BF42" s="291"/>
      <c r="BG42" s="291"/>
      <c r="BH42" s="291"/>
      <c r="BI42" s="291"/>
      <c r="BJ42" s="864"/>
      <c r="BK42" s="291"/>
      <c r="BL42" s="291"/>
      <c r="BM42" s="291"/>
      <c r="BN42" s="291"/>
      <c r="BO42" s="864"/>
      <c r="BP42" s="291"/>
      <c r="BQ42" s="291"/>
      <c r="BR42" s="291"/>
      <c r="BS42" s="291"/>
      <c r="BT42" s="864"/>
      <c r="BU42" s="291"/>
      <c r="BV42" s="291"/>
      <c r="BW42" s="291"/>
      <c r="BX42" s="291"/>
      <c r="BY42" s="864"/>
      <c r="BZ42" s="291"/>
      <c r="CA42" s="291"/>
      <c r="CB42" s="291"/>
      <c r="CC42" s="291"/>
      <c r="CD42" s="864"/>
      <c r="CE42" s="291"/>
      <c r="CF42" s="291"/>
      <c r="CG42" s="291"/>
      <c r="CH42" s="291"/>
      <c r="CI42" s="749"/>
      <c r="CJ42" s="749"/>
      <c r="CK42" s="749"/>
      <c r="CL42" s="749"/>
      <c r="CM42" s="749"/>
      <c r="CN42" s="291"/>
      <c r="CO42" s="291"/>
      <c r="CP42" s="291"/>
      <c r="CQ42" s="693"/>
    </row>
    <row r="43" spans="2:95" ht="16.5" hidden="1" customHeight="1" outlineLevel="1" x14ac:dyDescent="0.25">
      <c r="B43" s="223" t="s">
        <v>687</v>
      </c>
      <c r="C43" s="224"/>
      <c r="D43" s="224"/>
      <c r="E43" s="224"/>
      <c r="F43" s="224"/>
      <c r="G43" s="867"/>
      <c r="H43" s="224"/>
      <c r="I43" s="224"/>
      <c r="J43" s="224"/>
      <c r="K43" s="224"/>
      <c r="L43" s="867"/>
      <c r="M43" s="224"/>
      <c r="N43" s="224"/>
      <c r="O43" s="224"/>
      <c r="P43" s="224"/>
      <c r="Q43" s="867"/>
      <c r="R43" s="224"/>
      <c r="S43" s="224"/>
      <c r="T43" s="224"/>
      <c r="U43" s="224"/>
      <c r="V43" s="867"/>
      <c r="W43" s="224"/>
      <c r="X43" s="224"/>
      <c r="Y43" s="224"/>
      <c r="Z43" s="224"/>
      <c r="AA43" s="867"/>
      <c r="AB43" s="224"/>
      <c r="AC43" s="224"/>
      <c r="AD43" s="224"/>
      <c r="AE43" s="224"/>
      <c r="AF43" s="867"/>
      <c r="AG43" s="224"/>
      <c r="AH43" s="224"/>
      <c r="AI43" s="224"/>
      <c r="AJ43" s="224"/>
      <c r="AK43" s="867"/>
      <c r="AL43" s="224"/>
      <c r="AM43" s="224"/>
      <c r="AN43" s="224"/>
      <c r="AO43" s="224"/>
      <c r="AP43" s="867"/>
      <c r="AQ43" s="224"/>
      <c r="AR43" s="224"/>
      <c r="AS43" s="224"/>
      <c r="AT43" s="224"/>
      <c r="AU43" s="867"/>
      <c r="AV43" s="224"/>
      <c r="AW43" s="224"/>
      <c r="AX43" s="224"/>
      <c r="AY43" s="224"/>
      <c r="AZ43" s="867"/>
      <c r="BA43" s="224"/>
      <c r="BB43" s="224"/>
      <c r="BC43" s="224"/>
      <c r="BD43" s="224"/>
      <c r="BE43" s="867"/>
      <c r="BF43" s="224"/>
      <c r="BG43" s="224"/>
      <c r="BH43" s="224"/>
      <c r="BI43" s="224"/>
      <c r="BJ43" s="867"/>
      <c r="BK43" s="224"/>
      <c r="BL43" s="224"/>
      <c r="BM43" s="224"/>
      <c r="BN43" s="224"/>
      <c r="BO43" s="867"/>
      <c r="BP43" s="224"/>
      <c r="BQ43" s="224"/>
      <c r="BR43" s="224"/>
      <c r="BS43" s="224"/>
      <c r="BT43" s="867"/>
      <c r="BU43" s="224"/>
      <c r="BV43" s="224"/>
      <c r="BW43" s="224"/>
      <c r="BX43" s="224"/>
      <c r="BY43" s="867"/>
      <c r="BZ43" s="224"/>
      <c r="CA43" s="224"/>
      <c r="CB43" s="224"/>
      <c r="CC43" s="224"/>
      <c r="CD43" s="867"/>
      <c r="CE43" s="224"/>
      <c r="CF43" s="224"/>
      <c r="CG43" s="224"/>
      <c r="CH43" s="224"/>
      <c r="CI43" s="224"/>
      <c r="CJ43" s="224"/>
      <c r="CK43" s="224"/>
      <c r="CL43" s="224"/>
      <c r="CM43" s="224"/>
      <c r="CN43" s="224"/>
      <c r="CO43" s="224"/>
      <c r="CP43" s="224"/>
      <c r="CQ43" s="693"/>
    </row>
    <row r="44" spans="2:95" ht="16.5" hidden="1" customHeight="1" outlineLevel="1" x14ac:dyDescent="0.25">
      <c r="B44" t="s">
        <v>677</v>
      </c>
      <c r="C44" s="678"/>
      <c r="D44" s="678"/>
      <c r="E44" s="678"/>
      <c r="F44" s="678"/>
      <c r="G44" s="870">
        <f>G12+G20+G27+G34+G39</f>
        <v>2114.252</v>
      </c>
      <c r="H44" s="678"/>
      <c r="I44" s="678"/>
      <c r="J44" s="678"/>
      <c r="K44" s="678"/>
      <c r="L44" s="870">
        <f>L12+L20+L27+L34+L39</f>
        <v>2330.6799999999998</v>
      </c>
      <c r="M44" s="678"/>
      <c r="N44" s="678"/>
      <c r="O44" s="678"/>
      <c r="P44" s="678"/>
      <c r="Q44" s="870">
        <f>Q12+Q20+Q27+Q34+Q39</f>
        <v>2469.5359999999996</v>
      </c>
      <c r="R44" s="678"/>
      <c r="S44" s="678"/>
      <c r="T44" s="678"/>
      <c r="U44" s="678"/>
      <c r="V44" s="870">
        <f>V12+V20+V27+V34+V39</f>
        <v>2610.3109999999997</v>
      </c>
      <c r="W44" s="678"/>
      <c r="X44" s="678"/>
      <c r="Y44" s="678"/>
      <c r="Z44" s="678"/>
      <c r="AA44" s="870">
        <f>AA12+AA20+AA27+AA34+AA39</f>
        <v>2648.3850000000002</v>
      </c>
      <c r="AB44" s="678"/>
      <c r="AC44" s="678"/>
      <c r="AD44" s="678"/>
      <c r="AE44" s="678"/>
      <c r="AF44" s="870">
        <f>AF12+AF20+AF27+AF34+AF39</f>
        <v>2525.5320000000002</v>
      </c>
      <c r="AG44" s="678"/>
      <c r="AH44" s="678"/>
      <c r="AI44" s="678"/>
      <c r="AJ44" s="678"/>
      <c r="AK44" s="870">
        <f>AK12+AK20+AK27+AK34</f>
        <v>2411.9369999999999</v>
      </c>
      <c r="AL44" s="678"/>
      <c r="AM44" s="678"/>
      <c r="AN44" s="678"/>
      <c r="AO44" s="678"/>
      <c r="AP44" s="870">
        <f>AP12+AP20+AP27+AP34</f>
        <v>2497.5239999999999</v>
      </c>
      <c r="AQ44" s="678"/>
      <c r="AR44" s="678"/>
      <c r="AS44" s="678"/>
      <c r="AT44" s="678"/>
      <c r="AU44" s="870">
        <f>AU12+AU20+AU27</f>
        <v>2709.4679999999998</v>
      </c>
      <c r="AV44" s="678"/>
      <c r="AW44" s="678"/>
      <c r="AX44" s="678"/>
      <c r="AY44" s="678"/>
      <c r="AZ44" s="870">
        <f>AZ12+AZ20+AZ27</f>
        <v>2904.663</v>
      </c>
      <c r="BA44" s="678"/>
      <c r="BB44" s="678"/>
      <c r="BC44" s="678"/>
      <c r="BD44" s="678"/>
      <c r="BE44" s="870">
        <f t="shared" ref="BE44:BH45" si="5">BE12+BE20+BE27</f>
        <v>2884.5540000000001</v>
      </c>
      <c r="BF44" s="678">
        <f t="shared" si="5"/>
        <v>683.95400000000006</v>
      </c>
      <c r="BG44" s="678">
        <f t="shared" si="5"/>
        <v>736.40200000000004</v>
      </c>
      <c r="BH44" s="678">
        <f t="shared" si="5"/>
        <v>707.35199999999998</v>
      </c>
      <c r="BI44" s="678"/>
      <c r="BJ44" s="870">
        <f t="shared" ref="BJ44:BM45" si="6">BJ12+BJ20+BJ27</f>
        <v>2851.9929999999999</v>
      </c>
      <c r="BK44" s="678">
        <f t="shared" si="6"/>
        <v>724.08600000000001</v>
      </c>
      <c r="BL44" s="678">
        <f t="shared" si="6"/>
        <v>770.78699999999992</v>
      </c>
      <c r="BM44" s="678">
        <f t="shared" si="6"/>
        <v>772.91100000000006</v>
      </c>
      <c r="BN44" s="678"/>
      <c r="BO44" s="870">
        <f t="shared" ref="BO44:BR45" si="7">BO12+BO20+BO27</f>
        <v>3035.7830000000004</v>
      </c>
      <c r="BP44" s="678">
        <f t="shared" si="7"/>
        <v>760.10299999999995</v>
      </c>
      <c r="BQ44" s="678">
        <f t="shared" si="7"/>
        <v>836.79199999999992</v>
      </c>
      <c r="BR44" s="678">
        <f t="shared" si="7"/>
        <v>850.17599999999993</v>
      </c>
      <c r="BS44" s="678"/>
      <c r="BT44" s="870"/>
      <c r="BU44" s="678"/>
      <c r="BV44" s="678"/>
      <c r="BW44" s="678"/>
      <c r="BX44" s="678"/>
      <c r="BY44" s="870"/>
      <c r="BZ44" s="678"/>
      <c r="CA44" s="678"/>
      <c r="CB44" s="678"/>
      <c r="CC44" s="678"/>
      <c r="CD44" s="870"/>
      <c r="CE44" s="678"/>
      <c r="CF44" s="678"/>
      <c r="CG44" s="678"/>
      <c r="CH44" s="678"/>
      <c r="CI44" s="752"/>
      <c r="CJ44" s="752"/>
      <c r="CK44" s="752"/>
      <c r="CL44" s="752"/>
      <c r="CM44" s="752"/>
      <c r="CN44" s="678"/>
      <c r="CO44" s="678"/>
      <c r="CP44" s="678"/>
      <c r="CQ44" s="693"/>
    </row>
    <row r="45" spans="2:95" ht="16.5" hidden="1" customHeight="1" outlineLevel="1" x14ac:dyDescent="0.25">
      <c r="B45" s="3" t="s">
        <v>678</v>
      </c>
      <c r="C45" s="274"/>
      <c r="D45" s="274"/>
      <c r="E45" s="274"/>
      <c r="F45" s="274"/>
      <c r="G45" s="871">
        <f>G13+G21+G28+G35+G40</f>
        <v>216.44199999999998</v>
      </c>
      <c r="H45" s="274"/>
      <c r="I45" s="274"/>
      <c r="J45" s="274"/>
      <c r="K45" s="274"/>
      <c r="L45" s="871">
        <f>L13+L21+L28+L35+L40</f>
        <v>246.42000000000002</v>
      </c>
      <c r="M45" s="274"/>
      <c r="N45" s="274"/>
      <c r="O45" s="274"/>
      <c r="P45" s="274"/>
      <c r="Q45" s="871">
        <f>Q13+Q21+Q28+Q35+Q40</f>
        <v>273.42499999999995</v>
      </c>
      <c r="R45" s="274"/>
      <c r="S45" s="274"/>
      <c r="T45" s="274"/>
      <c r="U45" s="274"/>
      <c r="V45" s="871">
        <f>V13+V21+V28+V35+V40</f>
        <v>227.54399999999998</v>
      </c>
      <c r="W45" s="274"/>
      <c r="X45" s="274"/>
      <c r="Y45" s="274"/>
      <c r="Z45" s="274"/>
      <c r="AA45" s="871">
        <f>AA13+AA21+AA28+AA35+AA40</f>
        <v>275.71699999999998</v>
      </c>
      <c r="AB45" s="274"/>
      <c r="AC45" s="274"/>
      <c r="AD45" s="274"/>
      <c r="AE45" s="274"/>
      <c r="AF45" s="871">
        <f>AF13+AF21+AF28+AF35+AF40</f>
        <v>245.51299999999995</v>
      </c>
      <c r="AG45" s="274"/>
      <c r="AH45" s="274"/>
      <c r="AI45" s="274"/>
      <c r="AJ45" s="274"/>
      <c r="AK45" s="871">
        <f>AK13+AK21+AK28+AK35</f>
        <v>238.24199999999999</v>
      </c>
      <c r="AL45" s="274"/>
      <c r="AM45" s="274"/>
      <c r="AN45" s="274"/>
      <c r="AO45" s="274"/>
      <c r="AP45" s="871">
        <f>AP13+AP21+AP28+AP35</f>
        <v>250.15200000000002</v>
      </c>
      <c r="AQ45" s="274"/>
      <c r="AR45" s="274"/>
      <c r="AS45" s="274"/>
      <c r="AT45" s="274"/>
      <c r="AU45" s="871">
        <f>AU13+AU21+AU28</f>
        <v>262.351</v>
      </c>
      <c r="AV45" s="274"/>
      <c r="AW45" s="274"/>
      <c r="AX45" s="274"/>
      <c r="AY45" s="274"/>
      <c r="AZ45" s="871">
        <f>AZ13+AZ21+AZ28</f>
        <v>321.14199999999994</v>
      </c>
      <c r="BA45" s="274"/>
      <c r="BB45" s="274"/>
      <c r="BC45" s="274"/>
      <c r="BD45" s="274"/>
      <c r="BE45" s="871">
        <f t="shared" si="5"/>
        <v>216.36199999999999</v>
      </c>
      <c r="BF45" s="274">
        <f t="shared" si="5"/>
        <v>70.866</v>
      </c>
      <c r="BG45" s="274">
        <f t="shared" si="5"/>
        <v>72.483000000000004</v>
      </c>
      <c r="BH45" s="274">
        <f t="shared" si="5"/>
        <v>64.888000000000005</v>
      </c>
      <c r="BI45" s="274"/>
      <c r="BJ45" s="871">
        <f t="shared" si="6"/>
        <v>270.678</v>
      </c>
      <c r="BK45" s="274">
        <f t="shared" si="6"/>
        <v>80.405000000000001</v>
      </c>
      <c r="BL45" s="274">
        <f t="shared" si="6"/>
        <v>57.238999999999997</v>
      </c>
      <c r="BM45" s="274">
        <f t="shared" si="6"/>
        <v>79.305000000000007</v>
      </c>
      <c r="BN45" s="274"/>
      <c r="BO45" s="871">
        <f t="shared" si="7"/>
        <v>282.84800000000001</v>
      </c>
      <c r="BP45" s="274">
        <f t="shared" si="7"/>
        <v>86.763000000000005</v>
      </c>
      <c r="BQ45" s="274">
        <f t="shared" si="7"/>
        <v>83.765999999999991</v>
      </c>
      <c r="BR45" s="274">
        <f t="shared" si="7"/>
        <v>84.507999999999996</v>
      </c>
      <c r="BS45" s="274"/>
      <c r="BT45" s="871"/>
      <c r="BU45" s="274"/>
      <c r="BV45" s="274"/>
      <c r="BW45" s="274"/>
      <c r="BX45" s="274"/>
      <c r="BY45" s="871"/>
      <c r="BZ45" s="274"/>
      <c r="CA45" s="274"/>
      <c r="CB45" s="274"/>
      <c r="CC45" s="274"/>
      <c r="CD45" s="871"/>
      <c r="CE45" s="274"/>
      <c r="CF45" s="274"/>
      <c r="CG45" s="274"/>
      <c r="CH45" s="274"/>
      <c r="CI45" s="752"/>
      <c r="CJ45" s="752"/>
      <c r="CK45" s="752"/>
      <c r="CL45" s="752"/>
      <c r="CM45" s="752"/>
      <c r="CN45" s="274"/>
      <c r="CO45" s="274"/>
      <c r="CP45" s="274"/>
      <c r="CQ45" s="693"/>
    </row>
    <row r="46" spans="2:95" ht="16.5" hidden="1" customHeight="1" outlineLevel="1" x14ac:dyDescent="0.25">
      <c r="B46" s="12" t="s">
        <v>679</v>
      </c>
      <c r="C46" s="241"/>
      <c r="D46" s="241"/>
      <c r="E46" s="241"/>
      <c r="F46" s="241"/>
      <c r="G46" s="869"/>
      <c r="H46" s="241"/>
      <c r="I46" s="241"/>
      <c r="J46" s="241"/>
      <c r="K46" s="241"/>
      <c r="L46" s="869">
        <f>L44/G44-1</f>
        <v>0.10236622692091579</v>
      </c>
      <c r="M46" s="241"/>
      <c r="N46" s="241"/>
      <c r="O46" s="241"/>
      <c r="P46" s="241"/>
      <c r="Q46" s="869">
        <f>Q44/L44-1</f>
        <v>5.9577462371496637E-2</v>
      </c>
      <c r="R46" s="241"/>
      <c r="S46" s="241"/>
      <c r="T46" s="241"/>
      <c r="U46" s="241"/>
      <c r="V46" s="869">
        <f>V44/Q44-1</f>
        <v>5.7004635688647554E-2</v>
      </c>
      <c r="W46" s="241"/>
      <c r="X46" s="241"/>
      <c r="Y46" s="241"/>
      <c r="Z46" s="241"/>
      <c r="AA46" s="869">
        <f>AA44/V44-1</f>
        <v>1.4586001438142926E-2</v>
      </c>
      <c r="AB46" s="241"/>
      <c r="AC46" s="241"/>
      <c r="AD46" s="241"/>
      <c r="AE46" s="241"/>
      <c r="AF46" s="869">
        <f>AF44/AA44-1</f>
        <v>-4.6387892998940861E-2</v>
      </c>
      <c r="AG46" s="241"/>
      <c r="AH46" s="241"/>
      <c r="AI46" s="241"/>
      <c r="AJ46" s="241"/>
      <c r="AK46" s="869">
        <f>AK44/AF44-1</f>
        <v>-4.4978642123718937E-2</v>
      </c>
      <c r="AL46" s="241"/>
      <c r="AM46" s="241"/>
      <c r="AN46" s="241"/>
      <c r="AO46" s="241"/>
      <c r="AP46" s="869">
        <f>AP44/AK44-1</f>
        <v>3.548475768645698E-2</v>
      </c>
      <c r="AQ46" s="241"/>
      <c r="AR46" s="241"/>
      <c r="AS46" s="241"/>
      <c r="AT46" s="241"/>
      <c r="AU46" s="869">
        <f>AU44/AP44-1</f>
        <v>8.4861646975164184E-2</v>
      </c>
      <c r="AV46" s="241"/>
      <c r="AW46" s="241"/>
      <c r="AX46" s="241"/>
      <c r="AY46" s="241"/>
      <c r="AZ46" s="869">
        <f>AZ44/AU44-1</f>
        <v>7.2041817803347508E-2</v>
      </c>
      <c r="BA46" s="241"/>
      <c r="BB46" s="241"/>
      <c r="BC46" s="241"/>
      <c r="BD46" s="241"/>
      <c r="BE46" s="869">
        <f>BE44/AZ44-1</f>
        <v>-6.9230062144902682E-3</v>
      </c>
      <c r="BF46" s="241"/>
      <c r="BG46" s="241"/>
      <c r="BH46" s="241"/>
      <c r="BI46" s="241"/>
      <c r="BJ46" s="869">
        <f>BJ44/BE44-1</f>
        <v>-1.1288053543112797E-2</v>
      </c>
      <c r="BK46" s="241">
        <f>BK44/BF44-1</f>
        <v>5.8676460697649091E-2</v>
      </c>
      <c r="BL46" s="241">
        <f>BL44/BG44-1</f>
        <v>4.6693246351856565E-2</v>
      </c>
      <c r="BM46" s="241">
        <f>BM44/BH44-1</f>
        <v>9.268228548162738E-2</v>
      </c>
      <c r="BN46" s="241"/>
      <c r="BO46" s="869">
        <f>BO44/BJ44-1</f>
        <v>6.4442654662897336E-2</v>
      </c>
      <c r="BP46" s="241">
        <f>BP44/BK44-1</f>
        <v>4.9741329068646367E-2</v>
      </c>
      <c r="BQ46" s="241">
        <f>BQ44/BL44-1</f>
        <v>8.5633255361079019E-2</v>
      </c>
      <c r="BR46" s="241">
        <f>BR44/BM44-1</f>
        <v>9.9966231558355156E-2</v>
      </c>
      <c r="BS46" s="241"/>
      <c r="BT46" s="869"/>
      <c r="BU46" s="241"/>
      <c r="BV46" s="241"/>
      <c r="BW46" s="241"/>
      <c r="BX46" s="241"/>
      <c r="BY46" s="869"/>
      <c r="BZ46" s="241"/>
      <c r="CA46" s="241"/>
      <c r="CB46" s="241"/>
      <c r="CC46" s="241"/>
      <c r="CD46" s="869"/>
      <c r="CE46" s="241"/>
      <c r="CF46" s="241"/>
      <c r="CG46" s="241"/>
      <c r="CH46" s="241"/>
      <c r="CI46" s="751"/>
      <c r="CJ46" s="751"/>
      <c r="CK46" s="751"/>
      <c r="CL46" s="751"/>
      <c r="CM46" s="751"/>
      <c r="CN46" s="241"/>
      <c r="CO46" s="241"/>
      <c r="CP46" s="241"/>
      <c r="CQ46" s="693"/>
    </row>
    <row r="47" spans="2:95" ht="16.5" hidden="1" customHeight="1" outlineLevel="1" x14ac:dyDescent="0.25">
      <c r="B47" s="12" t="s">
        <v>680</v>
      </c>
      <c r="C47" s="241"/>
      <c r="D47" s="241"/>
      <c r="E47" s="241"/>
      <c r="F47" s="241"/>
      <c r="G47" s="869">
        <f>G45/G44</f>
        <v>0.10237284864812708</v>
      </c>
      <c r="H47" s="241"/>
      <c r="I47" s="241"/>
      <c r="J47" s="241"/>
      <c r="K47" s="241"/>
      <c r="L47" s="869">
        <f>L45/L44</f>
        <v>0.10572880017848869</v>
      </c>
      <c r="M47" s="241"/>
      <c r="N47" s="241"/>
      <c r="O47" s="241"/>
      <c r="P47" s="241"/>
      <c r="Q47" s="869">
        <f>Q45/Q44</f>
        <v>0.11071917963536471</v>
      </c>
      <c r="R47" s="241"/>
      <c r="S47" s="241"/>
      <c r="T47" s="241"/>
      <c r="U47" s="241"/>
      <c r="V47" s="869">
        <f>V45/V44</f>
        <v>8.7171222126405629E-2</v>
      </c>
      <c r="W47" s="241"/>
      <c r="X47" s="241"/>
      <c r="Y47" s="241"/>
      <c r="Z47" s="241"/>
      <c r="AA47" s="869">
        <f>AA45/AA44</f>
        <v>0.10410759764913333</v>
      </c>
      <c r="AB47" s="241"/>
      <c r="AC47" s="241"/>
      <c r="AD47" s="241"/>
      <c r="AE47" s="241"/>
      <c r="AF47" s="869">
        <f>AF45/AF44</f>
        <v>9.7212389310450203E-2</v>
      </c>
      <c r="AG47" s="241"/>
      <c r="AH47" s="241"/>
      <c r="AI47" s="241"/>
      <c r="AJ47" s="241"/>
      <c r="AK47" s="869">
        <f>AK45/AK44</f>
        <v>9.8776211816477791E-2</v>
      </c>
      <c r="AL47" s="241"/>
      <c r="AM47" s="241"/>
      <c r="AN47" s="241"/>
      <c r="AO47" s="241"/>
      <c r="AP47" s="869">
        <f>AP45/AP44</f>
        <v>0.10015999846247725</v>
      </c>
      <c r="AQ47" s="241"/>
      <c r="AR47" s="241"/>
      <c r="AS47" s="241"/>
      <c r="AT47" s="241"/>
      <c r="AU47" s="869">
        <f>AU45/AU44</f>
        <v>9.6827495286897658E-2</v>
      </c>
      <c r="AV47" s="241"/>
      <c r="AW47" s="241"/>
      <c r="AX47" s="241"/>
      <c r="AY47" s="241"/>
      <c r="AZ47" s="869">
        <f>AZ45/AZ44</f>
        <v>0.11056084647341187</v>
      </c>
      <c r="BA47" s="241"/>
      <c r="BB47" s="241"/>
      <c r="BC47" s="241"/>
      <c r="BD47" s="241"/>
      <c r="BE47" s="869">
        <f>BE45/BE44</f>
        <v>7.5007089484197556E-2</v>
      </c>
      <c r="BF47" s="241">
        <f>BF45/BF44</f>
        <v>0.10361223123192495</v>
      </c>
      <c r="BG47" s="241">
        <f>BG45/BG44</f>
        <v>9.8428575696426684E-2</v>
      </c>
      <c r="BH47" s="241">
        <f>BH45/BH44</f>
        <v>9.1733677150838633E-2</v>
      </c>
      <c r="BI47" s="241"/>
      <c r="BJ47" s="869">
        <f>BJ45/BJ44</f>
        <v>9.4908367587157469E-2</v>
      </c>
      <c r="BK47" s="241">
        <f>BK45/BK44</f>
        <v>0.11104343959142975</v>
      </c>
      <c r="BL47" s="241">
        <f>BL45/BL44</f>
        <v>7.426046365597759E-2</v>
      </c>
      <c r="BM47" s="241">
        <f>BM45/BM44</f>
        <v>0.10260560400874098</v>
      </c>
      <c r="BN47" s="241"/>
      <c r="BO47" s="869">
        <f>BO45/BO44</f>
        <v>9.3171349862621933E-2</v>
      </c>
      <c r="BP47" s="241">
        <f>BP45/BP44</f>
        <v>0.11414637226796896</v>
      </c>
      <c r="BQ47" s="241">
        <f>BQ45/BQ44</f>
        <v>0.10010372948116139</v>
      </c>
      <c r="BR47" s="241">
        <f>BR45/BR44</f>
        <v>9.9400594700391448E-2</v>
      </c>
      <c r="BS47" s="241"/>
      <c r="BT47" s="869"/>
      <c r="BU47" s="241"/>
      <c r="BV47" s="241"/>
      <c r="BW47" s="241"/>
      <c r="BX47" s="241"/>
      <c r="BY47" s="869"/>
      <c r="BZ47" s="241"/>
      <c r="CA47" s="241"/>
      <c r="CB47" s="241"/>
      <c r="CC47" s="241"/>
      <c r="CD47" s="869"/>
      <c r="CE47" s="241"/>
      <c r="CF47" s="241"/>
      <c r="CG47" s="241"/>
      <c r="CH47" s="241"/>
      <c r="CI47" s="751"/>
      <c r="CJ47" s="751"/>
      <c r="CK47" s="751"/>
      <c r="CL47" s="751"/>
      <c r="CM47" s="751"/>
      <c r="CN47" s="241"/>
      <c r="CO47" s="241"/>
      <c r="CP47" s="241"/>
      <c r="CQ47" s="693"/>
    </row>
    <row r="48" spans="2:95" ht="16.5" hidden="1" customHeight="1" outlineLevel="1" x14ac:dyDescent="0.25">
      <c r="C48" s="291"/>
      <c r="D48" s="291"/>
      <c r="E48" s="291"/>
      <c r="F48" s="291"/>
      <c r="G48" s="864"/>
      <c r="H48" s="291"/>
      <c r="I48" s="291"/>
      <c r="J48" s="291"/>
      <c r="K48" s="291"/>
      <c r="L48" s="864"/>
      <c r="M48" s="291"/>
      <c r="N48" s="291"/>
      <c r="O48" s="291"/>
      <c r="P48" s="291"/>
      <c r="Q48" s="864"/>
      <c r="R48" s="291"/>
      <c r="S48" s="291"/>
      <c r="T48" s="291"/>
      <c r="U48" s="291"/>
      <c r="V48" s="864"/>
      <c r="W48" s="291"/>
      <c r="X48" s="291"/>
      <c r="Y48" s="291"/>
      <c r="Z48" s="291"/>
      <c r="AA48" s="864"/>
      <c r="AB48" s="291"/>
      <c r="AC48" s="291"/>
      <c r="AD48" s="291"/>
      <c r="AE48" s="291"/>
      <c r="AF48" s="864"/>
      <c r="AG48" s="291"/>
      <c r="AH48" s="291"/>
      <c r="AI48" s="291"/>
      <c r="AJ48" s="291"/>
      <c r="AK48" s="864"/>
      <c r="AL48" s="291"/>
      <c r="AM48" s="291"/>
      <c r="AN48" s="291"/>
      <c r="AO48" s="291"/>
      <c r="AP48" s="864"/>
      <c r="AQ48" s="291"/>
      <c r="AR48" s="291"/>
      <c r="AS48" s="291"/>
      <c r="AT48" s="291"/>
      <c r="AU48" s="864"/>
      <c r="AV48" s="291"/>
      <c r="AW48" s="291"/>
      <c r="AX48" s="291"/>
      <c r="AY48" s="291"/>
      <c r="AZ48" s="864"/>
      <c r="BA48" s="291"/>
      <c r="BB48" s="291"/>
      <c r="BC48" s="291"/>
      <c r="BD48" s="291"/>
      <c r="BE48" s="864"/>
      <c r="BF48" s="291"/>
      <c r="BG48" s="291"/>
      <c r="BH48" s="291"/>
      <c r="BI48" s="291"/>
      <c r="BJ48" s="864"/>
      <c r="BK48" s="291"/>
      <c r="BL48" s="291"/>
      <c r="BM48" s="291"/>
      <c r="BN48" s="291"/>
      <c r="BO48" s="864"/>
      <c r="BP48" s="291"/>
      <c r="BQ48" s="291"/>
      <c r="BR48" s="291"/>
      <c r="BS48" s="291"/>
      <c r="BT48" s="864"/>
      <c r="BU48" s="291"/>
      <c r="BV48" s="291"/>
      <c r="BW48" s="291"/>
      <c r="BX48" s="291"/>
      <c r="BY48" s="864"/>
      <c r="BZ48" s="291"/>
      <c r="CA48" s="291"/>
      <c r="CB48" s="291"/>
      <c r="CC48" s="291"/>
      <c r="CD48" s="864"/>
      <c r="CE48" s="291"/>
      <c r="CF48" s="291"/>
      <c r="CG48" s="291"/>
      <c r="CH48" s="291"/>
      <c r="CI48" s="749"/>
      <c r="CJ48" s="749"/>
      <c r="CK48" s="749"/>
      <c r="CL48" s="749"/>
      <c r="CM48" s="749"/>
      <c r="CN48" s="291"/>
      <c r="CO48" s="291"/>
      <c r="CP48" s="291"/>
      <c r="CQ48" s="693"/>
    </row>
    <row r="49" spans="2:105" ht="16.5" hidden="1" customHeight="1" outlineLevel="1" x14ac:dyDescent="0.25">
      <c r="C49" s="291"/>
      <c r="D49" s="291"/>
      <c r="E49" s="291"/>
      <c r="F49" s="291"/>
      <c r="G49" s="864"/>
      <c r="H49" s="291"/>
      <c r="I49" s="291"/>
      <c r="J49" s="291"/>
      <c r="K49" s="291"/>
      <c r="L49" s="864"/>
      <c r="M49" s="291"/>
      <c r="N49" s="291"/>
      <c r="O49" s="291"/>
      <c r="P49" s="291"/>
      <c r="Q49" s="864"/>
      <c r="R49" s="291"/>
      <c r="S49" s="291"/>
      <c r="T49" s="291"/>
      <c r="U49" s="291"/>
      <c r="V49" s="864"/>
      <c r="W49" s="291"/>
      <c r="X49" s="291"/>
      <c r="Y49" s="291"/>
      <c r="Z49" s="291"/>
      <c r="AA49" s="864"/>
      <c r="AB49" s="291"/>
      <c r="AC49" s="291"/>
      <c r="AD49" s="291"/>
      <c r="AE49" s="291"/>
      <c r="AF49" s="864"/>
      <c r="AG49" s="291"/>
      <c r="AH49" s="291"/>
      <c r="AI49" s="291"/>
      <c r="AJ49" s="291"/>
      <c r="AK49" s="864"/>
      <c r="AL49" s="291"/>
      <c r="AM49" s="291"/>
      <c r="AN49" s="291"/>
      <c r="AO49" s="291"/>
      <c r="AP49" s="864"/>
      <c r="AQ49" s="291"/>
      <c r="AR49" s="291"/>
      <c r="AS49" s="291"/>
      <c r="AT49" s="291"/>
      <c r="AU49" s="864"/>
      <c r="AV49" s="291"/>
      <c r="AW49" s="291"/>
      <c r="AX49" s="291"/>
      <c r="AY49" s="291"/>
      <c r="AZ49" s="864"/>
      <c r="BA49" s="291"/>
      <c r="BB49" s="291"/>
      <c r="BC49" s="291"/>
      <c r="BD49" s="291"/>
      <c r="BE49" s="864"/>
      <c r="BF49" s="291"/>
      <c r="BG49" s="291"/>
      <c r="BH49" s="291"/>
      <c r="BI49" s="291"/>
      <c r="BJ49" s="864"/>
      <c r="BK49" s="291"/>
      <c r="BL49" s="291"/>
      <c r="BM49" s="291"/>
      <c r="BN49" s="291"/>
      <c r="BO49" s="864"/>
      <c r="BP49" s="291"/>
      <c r="BQ49" s="291"/>
      <c r="BR49" s="291"/>
      <c r="BS49" s="291"/>
      <c r="BT49" s="864"/>
      <c r="BU49" s="291"/>
      <c r="BV49" s="291"/>
      <c r="BW49" s="291"/>
      <c r="BX49" s="291"/>
      <c r="BY49" s="864"/>
      <c r="BZ49" s="291"/>
      <c r="CA49" s="291"/>
      <c r="CB49" s="291"/>
      <c r="CC49" s="291"/>
      <c r="CD49" s="864"/>
      <c r="CE49" s="291"/>
      <c r="CF49" s="291"/>
      <c r="CG49" s="291"/>
      <c r="CH49" s="291"/>
      <c r="CI49" s="749"/>
      <c r="CJ49" s="749"/>
      <c r="CK49" s="749"/>
      <c r="CL49" s="749"/>
      <c r="CM49" s="749"/>
      <c r="CN49" s="291"/>
      <c r="CO49" s="291"/>
      <c r="CP49" s="291"/>
      <c r="CQ49" s="693"/>
    </row>
    <row r="50" spans="2:105" ht="16.5" customHeight="1" collapsed="1" x14ac:dyDescent="0.25">
      <c r="B50" s="221" t="s">
        <v>688</v>
      </c>
      <c r="C50" s="222"/>
      <c r="D50" s="222"/>
      <c r="E50" s="222"/>
      <c r="F50" s="222"/>
      <c r="G50" s="865"/>
      <c r="H50" s="222"/>
      <c r="I50" s="222"/>
      <c r="J50" s="222"/>
      <c r="K50" s="222"/>
      <c r="L50" s="865"/>
      <c r="M50" s="222"/>
      <c r="N50" s="222"/>
      <c r="O50" s="222"/>
      <c r="P50" s="222"/>
      <c r="Q50" s="865"/>
      <c r="R50" s="222"/>
      <c r="S50" s="222"/>
      <c r="T50" s="222"/>
      <c r="U50" s="222"/>
      <c r="V50" s="865"/>
      <c r="W50" s="222"/>
      <c r="X50" s="222"/>
      <c r="Y50" s="222"/>
      <c r="Z50" s="222"/>
      <c r="AA50" s="865"/>
      <c r="AB50" s="222"/>
      <c r="AC50" s="222"/>
      <c r="AD50" s="222"/>
      <c r="AE50" s="222"/>
      <c r="AF50" s="865"/>
      <c r="AG50" s="222"/>
      <c r="AH50" s="222"/>
      <c r="AI50" s="222"/>
      <c r="AJ50" s="222"/>
      <c r="AK50" s="865"/>
      <c r="AL50" s="222"/>
      <c r="AM50" s="222"/>
      <c r="AN50" s="222"/>
      <c r="AO50" s="222"/>
      <c r="AP50" s="865"/>
      <c r="AQ50" s="222"/>
      <c r="AR50" s="222"/>
      <c r="AS50" s="222"/>
      <c r="AT50" s="222"/>
      <c r="AU50" s="865"/>
      <c r="AV50" s="222"/>
      <c r="AW50" s="222"/>
      <c r="AX50" s="222"/>
      <c r="AY50" s="222"/>
      <c r="AZ50" s="865"/>
      <c r="BA50" s="222"/>
      <c r="BB50" s="222"/>
      <c r="BC50" s="222"/>
      <c r="BD50" s="222"/>
      <c r="BE50" s="865"/>
      <c r="BF50" s="222"/>
      <c r="BG50" s="222"/>
      <c r="BH50" s="222"/>
      <c r="BI50" s="222"/>
      <c r="BJ50" s="865"/>
      <c r="BK50" s="222"/>
      <c r="BL50" s="222"/>
      <c r="BM50" s="222"/>
      <c r="BN50" s="222"/>
      <c r="BO50" s="865"/>
      <c r="BP50" s="222"/>
      <c r="BQ50" s="222"/>
      <c r="BR50" s="222"/>
      <c r="BS50" s="222"/>
      <c r="BT50" s="865"/>
      <c r="BU50" s="222"/>
      <c r="BV50" s="222"/>
      <c r="BW50" s="222"/>
      <c r="BX50" s="222"/>
      <c r="BY50" s="865"/>
      <c r="BZ50" s="222"/>
      <c r="CA50" s="222"/>
      <c r="CB50" s="222"/>
      <c r="CC50" s="222"/>
      <c r="CD50" s="865"/>
      <c r="CE50" s="222"/>
      <c r="CF50" s="222"/>
      <c r="CG50" s="222"/>
      <c r="CH50" s="222"/>
      <c r="CI50" s="222"/>
      <c r="CJ50" s="222"/>
      <c r="CK50" s="222"/>
      <c r="CL50" s="222"/>
      <c r="CM50" s="222"/>
      <c r="CN50" s="222"/>
      <c r="CO50" s="222"/>
      <c r="CP50" s="222"/>
      <c r="CQ50" s="694" t="s">
        <v>821</v>
      </c>
    </row>
    <row r="51" spans="2:105" ht="16.5" customHeight="1" x14ac:dyDescent="0.25">
      <c r="B51" s="210" t="s">
        <v>689</v>
      </c>
      <c r="C51" s="677"/>
      <c r="D51" s="677"/>
      <c r="E51" s="677"/>
      <c r="F51" s="677"/>
      <c r="G51" s="866"/>
      <c r="H51" s="677"/>
      <c r="I51" s="677"/>
      <c r="J51" s="677"/>
      <c r="K51" s="677"/>
      <c r="L51" s="866"/>
      <c r="M51" s="677"/>
      <c r="N51" s="677"/>
      <c r="O51" s="677"/>
      <c r="P51" s="677"/>
      <c r="Q51" s="866"/>
      <c r="R51" s="677"/>
      <c r="S51" s="677"/>
      <c r="T51" s="677"/>
      <c r="U51" s="677"/>
      <c r="V51" s="866"/>
      <c r="W51" s="677"/>
      <c r="X51" s="677"/>
      <c r="Y51" s="677"/>
      <c r="Z51" s="677"/>
      <c r="AA51" s="866"/>
      <c r="AB51" s="677"/>
      <c r="AC51" s="677"/>
      <c r="AD51" s="677"/>
      <c r="AE51" s="677"/>
      <c r="AF51" s="866"/>
      <c r="AG51" s="677"/>
      <c r="AH51" s="677"/>
      <c r="AI51" s="677"/>
      <c r="AJ51" s="677"/>
      <c r="AK51" s="866"/>
      <c r="AL51" s="677"/>
      <c r="AM51" s="677"/>
      <c r="AN51" s="677"/>
      <c r="AO51" s="677"/>
      <c r="AP51" s="866"/>
      <c r="AQ51" s="677"/>
      <c r="AR51" s="677"/>
      <c r="AS51" s="677"/>
      <c r="AT51" s="677"/>
      <c r="AU51" s="866"/>
      <c r="AV51" s="677"/>
      <c r="AW51" s="677"/>
      <c r="AX51" s="677"/>
      <c r="AY51" s="677"/>
      <c r="AZ51" s="866"/>
      <c r="BA51" s="677"/>
      <c r="BB51" s="677"/>
      <c r="BC51" s="677"/>
      <c r="BD51" s="677"/>
      <c r="BE51" s="866"/>
      <c r="BF51" s="677"/>
      <c r="BG51" s="677"/>
      <c r="BH51" s="677"/>
      <c r="BI51" s="677"/>
      <c r="BJ51" s="866"/>
      <c r="BK51" s="677"/>
      <c r="BL51" s="677"/>
      <c r="BM51" s="677"/>
      <c r="BN51" s="677"/>
      <c r="BO51" s="866"/>
      <c r="BP51" s="677"/>
      <c r="BQ51" s="677"/>
      <c r="BR51" s="677"/>
      <c r="BS51" s="677"/>
      <c r="BT51" s="866"/>
      <c r="BU51" s="677"/>
      <c r="BV51" s="677"/>
      <c r="BW51" s="677"/>
      <c r="BX51" s="677"/>
      <c r="BY51" s="866"/>
      <c r="BZ51" s="677"/>
      <c r="CA51" s="677"/>
      <c r="CB51" s="677"/>
      <c r="CC51" s="677"/>
      <c r="CD51" s="866"/>
      <c r="CE51" s="677"/>
      <c r="CF51" s="677"/>
      <c r="CG51" s="677"/>
      <c r="CH51" s="677"/>
      <c r="CI51" s="750"/>
      <c r="CJ51" s="750"/>
      <c r="CK51" s="750"/>
      <c r="CL51" s="750"/>
      <c r="CM51" s="750"/>
      <c r="CN51" s="677"/>
      <c r="CO51" s="677"/>
      <c r="CP51" s="677"/>
      <c r="CQ51" s="693"/>
    </row>
    <row r="52" spans="2:105" ht="16.5" customHeight="1" x14ac:dyDescent="0.25">
      <c r="C52" s="291"/>
      <c r="D52" s="291"/>
      <c r="E52" s="291"/>
      <c r="F52" s="291"/>
      <c r="G52" s="864"/>
      <c r="H52" s="291"/>
      <c r="I52" s="291"/>
      <c r="J52" s="291"/>
      <c r="K52" s="291"/>
      <c r="L52" s="864"/>
      <c r="M52" s="291"/>
      <c r="N52" s="291"/>
      <c r="O52" s="291"/>
      <c r="P52" s="291"/>
      <c r="Q52" s="864"/>
      <c r="R52" s="291"/>
      <c r="S52" s="291"/>
      <c r="T52" s="291"/>
      <c r="U52" s="291"/>
      <c r="V52" s="864"/>
      <c r="W52" s="291"/>
      <c r="X52" s="291"/>
      <c r="Y52" s="291"/>
      <c r="Z52" s="291"/>
      <c r="AA52" s="864"/>
      <c r="AB52" s="291"/>
      <c r="AC52" s="291"/>
      <c r="AD52" s="291"/>
      <c r="AE52" s="291"/>
      <c r="AF52" s="864"/>
      <c r="AG52" s="291"/>
      <c r="AH52" s="291"/>
      <c r="AI52" s="291"/>
      <c r="AJ52" s="291"/>
      <c r="AK52" s="864"/>
      <c r="AL52" s="291"/>
      <c r="AM52" s="291"/>
      <c r="AN52" s="291"/>
      <c r="AO52" s="291"/>
      <c r="AP52" s="864"/>
      <c r="AQ52" s="291"/>
      <c r="AR52" s="291"/>
      <c r="AS52" s="291"/>
      <c r="AT52" s="291"/>
      <c r="AU52" s="864"/>
      <c r="AV52" s="291"/>
      <c r="AW52" s="291"/>
      <c r="AX52" s="291"/>
      <c r="AY52" s="291"/>
      <c r="AZ52" s="864"/>
      <c r="BA52" s="291"/>
      <c r="BB52" s="291"/>
      <c r="BC52" s="291"/>
      <c r="BD52" s="291"/>
      <c r="BE52" s="864"/>
      <c r="BF52" s="291"/>
      <c r="BG52" s="291"/>
      <c r="BH52" s="291"/>
      <c r="BI52" s="291"/>
      <c r="BJ52" s="864"/>
      <c r="BK52" s="291"/>
      <c r="BL52" s="291"/>
      <c r="BM52" s="291"/>
      <c r="BN52" s="291"/>
      <c r="BO52" s="864"/>
      <c r="BP52" s="291"/>
      <c r="BQ52" s="291"/>
      <c r="BR52" s="291"/>
      <c r="BS52" s="291"/>
      <c r="BT52" s="864"/>
      <c r="BU52" s="291"/>
      <c r="BV52" s="291"/>
      <c r="BW52" s="291"/>
      <c r="BX52" s="291"/>
      <c r="BY52" s="864"/>
      <c r="BZ52" s="291"/>
      <c r="CA52" s="291"/>
      <c r="CB52" s="291"/>
      <c r="CC52" s="291"/>
      <c r="CD52" s="864"/>
      <c r="CE52" s="291"/>
      <c r="CF52" s="291"/>
      <c r="CG52" s="291"/>
      <c r="CH52" s="291"/>
      <c r="CI52" s="749"/>
      <c r="CJ52" s="749"/>
      <c r="CK52" s="749"/>
      <c r="CL52" s="749"/>
      <c r="CM52" s="749"/>
      <c r="CN52" s="291"/>
      <c r="CO52" s="291"/>
      <c r="CP52" s="291"/>
      <c r="CQ52" s="693"/>
    </row>
    <row r="53" spans="2:105" ht="16.5" customHeight="1" x14ac:dyDescent="0.25">
      <c r="B53" s="223" t="s">
        <v>690</v>
      </c>
      <c r="C53" s="224"/>
      <c r="D53" s="224"/>
      <c r="E53" s="224"/>
      <c r="F53" s="224"/>
      <c r="G53" s="867"/>
      <c r="H53" s="224"/>
      <c r="I53" s="224"/>
      <c r="J53" s="224"/>
      <c r="K53" s="224"/>
      <c r="L53" s="867"/>
      <c r="M53" s="224"/>
      <c r="N53" s="224"/>
      <c r="O53" s="224"/>
      <c r="P53" s="224"/>
      <c r="Q53" s="867"/>
      <c r="R53" s="224"/>
      <c r="S53" s="224"/>
      <c r="T53" s="224"/>
      <c r="U53" s="224"/>
      <c r="V53" s="867"/>
      <c r="W53" s="224"/>
      <c r="X53" s="224"/>
      <c r="Y53" s="224"/>
      <c r="Z53" s="224"/>
      <c r="AA53" s="867"/>
      <c r="AB53" s="224"/>
      <c r="AC53" s="224"/>
      <c r="AD53" s="224"/>
      <c r="AE53" s="224"/>
      <c r="AF53" s="867"/>
      <c r="AG53" s="224"/>
      <c r="AH53" s="224"/>
      <c r="AI53" s="224"/>
      <c r="AJ53" s="224"/>
      <c r="AK53" s="867"/>
      <c r="AL53" s="224"/>
      <c r="AM53" s="224"/>
      <c r="AN53" s="224"/>
      <c r="AO53" s="224"/>
      <c r="AP53" s="867"/>
      <c r="AQ53" s="224"/>
      <c r="AR53" s="224"/>
      <c r="AS53" s="224"/>
      <c r="AT53" s="224"/>
      <c r="AU53" s="867"/>
      <c r="AV53" s="224"/>
      <c r="AW53" s="224"/>
      <c r="AX53" s="224"/>
      <c r="AY53" s="224"/>
      <c r="AZ53" s="867"/>
      <c r="BA53" s="224"/>
      <c r="BB53" s="224"/>
      <c r="BC53" s="224"/>
      <c r="BD53" s="224"/>
      <c r="BE53" s="867"/>
      <c r="BF53" s="224"/>
      <c r="BG53" s="224"/>
      <c r="BH53" s="224"/>
      <c r="BI53" s="224"/>
      <c r="BJ53" s="867"/>
      <c r="BK53" s="224"/>
      <c r="BL53" s="224"/>
      <c r="BM53" s="224"/>
      <c r="BN53" s="224"/>
      <c r="BO53" s="867"/>
      <c r="BP53" s="224"/>
      <c r="BQ53" s="224"/>
      <c r="BR53" s="224"/>
      <c r="BS53" s="224"/>
      <c r="BT53" s="867"/>
      <c r="BU53" s="224"/>
      <c r="BV53" s="224"/>
      <c r="BW53" s="224"/>
      <c r="BX53" s="224"/>
      <c r="BY53" s="867"/>
      <c r="BZ53" s="224"/>
      <c r="CA53" s="224"/>
      <c r="CB53" s="224"/>
      <c r="CC53" s="224"/>
      <c r="CD53" s="867"/>
      <c r="CE53" s="224"/>
      <c r="CF53" s="224"/>
      <c r="CG53" s="224"/>
      <c r="CH53" s="224"/>
      <c r="CI53" s="224"/>
      <c r="CJ53" s="224"/>
      <c r="CK53" s="224"/>
      <c r="CL53" s="224"/>
      <c r="CM53" s="224"/>
      <c r="CN53" s="224"/>
      <c r="CO53" s="224"/>
      <c r="CP53" s="224"/>
      <c r="CQ53" s="693"/>
    </row>
    <row r="54" spans="2:105" ht="16.5" customHeight="1" x14ac:dyDescent="0.25">
      <c r="B54" t="s">
        <v>677</v>
      </c>
      <c r="C54" s="743"/>
      <c r="D54" s="743"/>
      <c r="E54" s="743"/>
      <c r="F54" s="743"/>
      <c r="G54" s="868"/>
      <c r="H54" s="743"/>
      <c r="I54" s="743"/>
      <c r="J54" s="743"/>
      <c r="K54" s="743"/>
      <c r="L54" s="868"/>
      <c r="M54" s="743"/>
      <c r="N54" s="743"/>
      <c r="O54" s="743"/>
      <c r="P54" s="743"/>
      <c r="Q54" s="868"/>
      <c r="R54" s="743"/>
      <c r="S54" s="743"/>
      <c r="T54" s="743"/>
      <c r="U54" s="743"/>
      <c r="V54" s="868"/>
      <c r="W54" s="743"/>
      <c r="X54" s="743"/>
      <c r="Y54" s="743"/>
      <c r="Z54" s="743"/>
      <c r="AA54" s="868"/>
      <c r="AB54" s="743"/>
      <c r="AC54" s="743"/>
      <c r="AD54" s="743"/>
      <c r="AE54" s="743"/>
      <c r="AF54" s="868"/>
      <c r="AG54" s="743"/>
      <c r="AH54" s="743"/>
      <c r="AI54" s="743"/>
      <c r="AJ54" s="743"/>
      <c r="AK54" s="868"/>
      <c r="AL54" s="743"/>
      <c r="AM54" s="291"/>
      <c r="AN54" s="291"/>
      <c r="AO54" s="291"/>
      <c r="AP54" s="864"/>
      <c r="AQ54" s="291"/>
      <c r="AR54" s="291"/>
      <c r="AS54" s="291"/>
      <c r="AT54" s="291"/>
      <c r="AU54" s="864"/>
      <c r="AV54" s="291"/>
      <c r="AW54" s="291"/>
      <c r="AX54" s="291"/>
      <c r="AY54" s="291"/>
      <c r="AZ54" s="864"/>
      <c r="BA54" s="291"/>
      <c r="BB54" s="291"/>
      <c r="BC54" s="291"/>
      <c r="BD54" s="291"/>
      <c r="BE54" s="864"/>
      <c r="BF54" s="291"/>
      <c r="BG54" s="291"/>
      <c r="BH54" s="291"/>
      <c r="BI54" s="291"/>
      <c r="BJ54" s="864"/>
      <c r="BK54" s="753">
        <v>185.94900000000001</v>
      </c>
      <c r="BL54" s="753">
        <v>192.089</v>
      </c>
      <c r="BM54" s="753">
        <v>180.89099999999999</v>
      </c>
      <c r="BN54" s="754">
        <f>BO54-BK54-BL54-BM54</f>
        <v>-558.92899999999997</v>
      </c>
      <c r="BO54" s="911"/>
      <c r="BP54" s="743">
        <v>177.8</v>
      </c>
      <c r="BQ54" s="743">
        <v>182.75299999999999</v>
      </c>
      <c r="BR54" s="743">
        <v>176.21700000000001</v>
      </c>
      <c r="BS54" s="291">
        <f>BT54-BP54-BQ54-BR54</f>
        <v>410.48100000000011</v>
      </c>
      <c r="BT54" s="868">
        <v>947.25099999999998</v>
      </c>
      <c r="BU54" s="743">
        <v>186.244</v>
      </c>
      <c r="BV54" s="743">
        <v>202.5</v>
      </c>
      <c r="BW54" s="743">
        <v>207.17699999999999</v>
      </c>
      <c r="BX54" s="291">
        <f>BY54-BU54-BV54-BW54</f>
        <v>422.22699999999998</v>
      </c>
      <c r="BY54" s="868">
        <v>1018.148</v>
      </c>
      <c r="BZ54" s="743">
        <v>213.42</v>
      </c>
      <c r="CA54" s="743">
        <v>213.84899999999999</v>
      </c>
      <c r="CB54" s="743">
        <v>224.66200000000001</v>
      </c>
      <c r="CC54" s="291">
        <f>CD54-BZ54-CA54-CB54</f>
        <v>461.09699999999998</v>
      </c>
      <c r="CD54" s="868">
        <v>1113.028</v>
      </c>
      <c r="CE54" s="743">
        <v>247.411</v>
      </c>
      <c r="CF54" s="743">
        <v>235.489</v>
      </c>
      <c r="CG54" s="291">
        <f>CB54*(1+CG55)</f>
        <v>247.12820000000002</v>
      </c>
      <c r="CH54" s="291">
        <f>CI54-CE54-CF54-CG54</f>
        <v>219.95419999999999</v>
      </c>
      <c r="CI54" s="749">
        <f>888*(1+CI55)</f>
        <v>949.9824000000001</v>
      </c>
      <c r="CJ54" s="749">
        <f>CI54*(1+CJ55)</f>
        <v>1016.4811680000001</v>
      </c>
      <c r="CK54" s="749">
        <f>CJ54*(1+CK55)</f>
        <v>1077.4700380800002</v>
      </c>
      <c r="CL54" s="749">
        <f>CK54*(1+CL55)</f>
        <v>1136.7308901744002</v>
      </c>
      <c r="CM54" s="749">
        <f>CL54*(1+CM55)</f>
        <v>1193.5674346831202</v>
      </c>
      <c r="CN54" s="291"/>
      <c r="CO54" s="683">
        <v>6.2945582602995695E-2</v>
      </c>
      <c r="CP54" s="291"/>
      <c r="CQ54" s="694" t="s">
        <v>822</v>
      </c>
      <c r="CT54" s="966" t="s">
        <v>958</v>
      </c>
      <c r="CU54" s="966"/>
      <c r="CV54" s="966"/>
      <c r="CW54" s="966"/>
      <c r="CX54" s="966"/>
      <c r="CY54" s="966"/>
      <c r="CZ54" s="966"/>
      <c r="DA54" s="966"/>
    </row>
    <row r="55" spans="2:105" ht="16.5" customHeight="1" x14ac:dyDescent="0.25">
      <c r="B55" s="690" t="s">
        <v>679</v>
      </c>
      <c r="C55" s="743"/>
      <c r="D55" s="743"/>
      <c r="E55" s="743"/>
      <c r="F55" s="743"/>
      <c r="G55" s="868"/>
      <c r="H55" s="743"/>
      <c r="I55" s="743"/>
      <c r="J55" s="743"/>
      <c r="K55" s="743"/>
      <c r="L55" s="868"/>
      <c r="M55" s="743"/>
      <c r="N55" s="743"/>
      <c r="O55" s="743"/>
      <c r="P55" s="743"/>
      <c r="Q55" s="868"/>
      <c r="R55" s="743"/>
      <c r="S55" s="743"/>
      <c r="T55" s="743"/>
      <c r="U55" s="743"/>
      <c r="V55" s="868"/>
      <c r="W55" s="743"/>
      <c r="X55" s="743"/>
      <c r="Y55" s="743"/>
      <c r="Z55" s="743"/>
      <c r="AA55" s="868"/>
      <c r="AB55" s="743"/>
      <c r="AC55" s="743"/>
      <c r="AD55" s="743"/>
      <c r="AE55" s="743"/>
      <c r="AF55" s="868"/>
      <c r="AG55" s="743"/>
      <c r="AH55" s="743"/>
      <c r="AI55" s="743"/>
      <c r="AJ55" s="743"/>
      <c r="AK55" s="868"/>
      <c r="AL55" s="743"/>
      <c r="AM55" s="291"/>
      <c r="AN55" s="291"/>
      <c r="AO55" s="291"/>
      <c r="AP55" s="864"/>
      <c r="AQ55" s="291"/>
      <c r="AR55" s="291"/>
      <c r="AS55" s="291"/>
      <c r="AT55" s="291"/>
      <c r="AU55" s="864"/>
      <c r="AV55" s="291"/>
      <c r="AW55" s="291"/>
      <c r="AX55" s="291"/>
      <c r="AY55" s="291"/>
      <c r="AZ55" s="864"/>
      <c r="BA55" s="291"/>
      <c r="BB55" s="291"/>
      <c r="BC55" s="291"/>
      <c r="BD55" s="291"/>
      <c r="BE55" s="864"/>
      <c r="BF55" s="291"/>
      <c r="BG55" s="291"/>
      <c r="BH55" s="291"/>
      <c r="BI55" s="291"/>
      <c r="BJ55" s="864"/>
      <c r="BK55" s="241" t="str">
        <f t="shared" ref="BK55:CD55" si="8">IFERROR(BK54/BF54-1,"")</f>
        <v/>
      </c>
      <c r="BL55" s="241" t="str">
        <f t="shared" si="8"/>
        <v/>
      </c>
      <c r="BM55" s="241" t="str">
        <f t="shared" si="8"/>
        <v/>
      </c>
      <c r="BN55" s="241" t="str">
        <f t="shared" si="8"/>
        <v/>
      </c>
      <c r="BO55" s="869" t="str">
        <f t="shared" si="8"/>
        <v/>
      </c>
      <c r="BP55" s="241">
        <f t="shared" si="8"/>
        <v>-4.3823844172326876E-2</v>
      </c>
      <c r="BQ55" s="241">
        <f t="shared" si="8"/>
        <v>-4.8602470729713909E-2</v>
      </c>
      <c r="BR55" s="241">
        <f t="shared" si="8"/>
        <v>-2.5838764781000556E-2</v>
      </c>
      <c r="BS55" s="241">
        <f t="shared" si="8"/>
        <v>-1.734406337835396</v>
      </c>
      <c r="BT55" s="869" t="str">
        <f t="shared" si="8"/>
        <v/>
      </c>
      <c r="BU55" s="241">
        <f t="shared" si="8"/>
        <v>4.7491563554555638E-2</v>
      </c>
      <c r="BV55" s="241">
        <f t="shared" si="8"/>
        <v>0.10805294577927604</v>
      </c>
      <c r="BW55" s="241">
        <f t="shared" si="8"/>
        <v>0.17569247007950417</v>
      </c>
      <c r="BX55" s="241">
        <f t="shared" si="8"/>
        <v>2.8615209960996646E-2</v>
      </c>
      <c r="BY55" s="869">
        <f t="shared" si="8"/>
        <v>7.4844998844023403E-2</v>
      </c>
      <c r="BZ55" s="241">
        <f t="shared" si="8"/>
        <v>0.14591611004918281</v>
      </c>
      <c r="CA55" s="241">
        <f t="shared" si="8"/>
        <v>5.6044444444444341E-2</v>
      </c>
      <c r="CB55" s="241">
        <f t="shared" si="8"/>
        <v>8.4396433967091067E-2</v>
      </c>
      <c r="CC55" s="241">
        <f t="shared" si="8"/>
        <v>9.2059484590042873E-2</v>
      </c>
      <c r="CD55" s="869">
        <f t="shared" si="8"/>
        <v>9.3188809485457824E-2</v>
      </c>
      <c r="CE55" s="241">
        <f>IFERROR(CE54/BZ54-1,"")</f>
        <v>0.15926810983038142</v>
      </c>
      <c r="CF55" s="241">
        <f>IFERROR(CF54/CA54-1,"")</f>
        <v>0.10119289779236751</v>
      </c>
      <c r="CG55" s="755">
        <v>0.1</v>
      </c>
      <c r="CH55" s="241">
        <f>IFERROR(CH54/CC54-1,"")</f>
        <v>-0.52297629349139119</v>
      </c>
      <c r="CI55" s="756">
        <v>6.9800000000000001E-2</v>
      </c>
      <c r="CJ55" s="756">
        <f>CHOOSE(MATCH($CO$3,{"Base";"Bull";"Bear"},0),CV58,CV68,CV78)</f>
        <v>7.0000000000000007E-2</v>
      </c>
      <c r="CK55" s="756">
        <f>CHOOSE(MATCH($CO$3,{"Base";"Bull";"Bear"},0),CW58,CW68,CW78)</f>
        <v>0.06</v>
      </c>
      <c r="CL55" s="756">
        <f>CHOOSE(MATCH($CO$3,{"Base";"Bull";"Bear"},0),CX58,CX68,CX78)</f>
        <v>5.5E-2</v>
      </c>
      <c r="CM55" s="756">
        <f>CHOOSE(MATCH($CO$3,{"Base";"Bull";"Bear"},0),CY58,CY68,CY78)</f>
        <v>0.05</v>
      </c>
      <c r="CN55" s="291"/>
      <c r="CO55" s="683"/>
      <c r="CP55" s="291"/>
      <c r="CQ55" s="694" t="s">
        <v>823</v>
      </c>
      <c r="CT55" s="3" t="s">
        <v>960</v>
      </c>
    </row>
    <row r="56" spans="2:105" ht="16.5" customHeight="1" x14ac:dyDescent="0.25">
      <c r="B56" s="12" t="s">
        <v>880</v>
      </c>
      <c r="C56" s="241"/>
      <c r="D56" s="241"/>
      <c r="E56" s="241"/>
      <c r="F56" s="241"/>
      <c r="G56" s="869"/>
      <c r="H56" s="241"/>
      <c r="I56" s="241"/>
      <c r="J56" s="241"/>
      <c r="K56" s="241"/>
      <c r="L56" s="869"/>
      <c r="M56" s="241"/>
      <c r="N56" s="241"/>
      <c r="O56" s="241"/>
      <c r="P56" s="241"/>
      <c r="Q56" s="869"/>
      <c r="R56" s="241"/>
      <c r="S56" s="241"/>
      <c r="T56" s="241"/>
      <c r="U56" s="241"/>
      <c r="V56" s="869"/>
      <c r="W56" s="241"/>
      <c r="X56" s="241"/>
      <c r="Y56" s="241"/>
      <c r="Z56" s="241"/>
      <c r="AA56" s="869"/>
      <c r="AB56" s="241"/>
      <c r="AC56" s="241"/>
      <c r="AD56" s="241"/>
      <c r="AE56" s="241"/>
      <c r="AF56" s="869"/>
      <c r="AG56" s="241"/>
      <c r="AH56" s="241"/>
      <c r="AI56" s="241"/>
      <c r="AJ56" s="241"/>
      <c r="AK56" s="869"/>
      <c r="AL56" s="241"/>
      <c r="AM56" s="241"/>
      <c r="AN56" s="241"/>
      <c r="AO56" s="241"/>
      <c r="AP56" s="869"/>
      <c r="AQ56" s="241"/>
      <c r="AR56" s="241"/>
      <c r="AS56" s="241"/>
      <c r="AT56" s="241"/>
      <c r="AU56" s="869"/>
      <c r="AV56" s="241"/>
      <c r="AW56" s="241"/>
      <c r="AX56" s="241"/>
      <c r="AY56" s="241"/>
      <c r="AZ56" s="869"/>
      <c r="BA56" s="241"/>
      <c r="BB56" s="241"/>
      <c r="BC56" s="241"/>
      <c r="BD56" s="241"/>
      <c r="BE56" s="869"/>
      <c r="BF56" s="241"/>
      <c r="BG56" s="241"/>
      <c r="BH56" s="241"/>
      <c r="BI56" s="241"/>
      <c r="BJ56" s="869"/>
      <c r="BK56" s="754"/>
      <c r="BL56" s="754"/>
      <c r="BM56" s="754"/>
      <c r="BN56" s="754">
        <f>BO56-BK56-BL56-BM56</f>
        <v>0</v>
      </c>
      <c r="BO56" s="911"/>
      <c r="BP56" s="753">
        <v>15.201000000000001</v>
      </c>
      <c r="BQ56" s="753">
        <v>16.181000000000001</v>
      </c>
      <c r="BR56" s="753">
        <v>18.143000000000001</v>
      </c>
      <c r="BS56" s="754">
        <f>BT56-BP56-BQ56-BR56</f>
        <v>46.582000000000008</v>
      </c>
      <c r="BT56" s="936">
        <v>96.106999999999999</v>
      </c>
      <c r="BU56" s="753">
        <v>19.588999999999999</v>
      </c>
      <c r="BV56" s="753">
        <v>16.768999999999998</v>
      </c>
      <c r="BW56" s="753">
        <v>23.965</v>
      </c>
      <c r="BX56" s="754">
        <f>BY56-BU56-BV56-BW56</f>
        <v>66.562000000000012</v>
      </c>
      <c r="BY56" s="936">
        <v>126.88500000000001</v>
      </c>
      <c r="BZ56" s="753">
        <v>22.916</v>
      </c>
      <c r="CA56" s="753">
        <v>23.722000000000001</v>
      </c>
      <c r="CB56" s="753">
        <v>17.994</v>
      </c>
      <c r="CC56" s="754">
        <f>CD56-BZ56-CA56-CB56</f>
        <v>66.504999999999995</v>
      </c>
      <c r="CD56" s="936">
        <v>131.137</v>
      </c>
      <c r="CE56" s="753">
        <v>28.131</v>
      </c>
      <c r="CF56" s="753">
        <v>32.262</v>
      </c>
      <c r="CG56" s="754">
        <f t="shared" ref="CG56:CM56" si="9">CG54*CG58</f>
        <v>34.597948000000009</v>
      </c>
      <c r="CH56" s="754">
        <f t="shared" si="9"/>
        <v>30.133725399999999</v>
      </c>
      <c r="CI56" s="757">
        <f t="shared" si="9"/>
        <v>131.09757120000003</v>
      </c>
      <c r="CJ56" s="757">
        <f t="shared" si="9"/>
        <v>121.97774016000001</v>
      </c>
      <c r="CK56" s="757">
        <f t="shared" si="9"/>
        <v>134.68375476000003</v>
      </c>
      <c r="CL56" s="757">
        <f t="shared" si="9"/>
        <v>147.77501572267204</v>
      </c>
      <c r="CM56" s="757">
        <f t="shared" si="9"/>
        <v>155.16376650880562</v>
      </c>
      <c r="CN56" s="241"/>
      <c r="CO56" s="683"/>
      <c r="CP56" s="241"/>
      <c r="CQ56" s="693"/>
      <c r="CT56" s="148" t="s">
        <v>959</v>
      </c>
      <c r="CU56" s="148" t="s">
        <v>668</v>
      </c>
      <c r="CV56" s="148" t="s">
        <v>669</v>
      </c>
      <c r="CW56" s="148" t="s">
        <v>670</v>
      </c>
      <c r="CX56" s="148" t="s">
        <v>671</v>
      </c>
      <c r="CY56" s="148" t="s">
        <v>672</v>
      </c>
    </row>
    <row r="57" spans="2:105" ht="16.5" customHeight="1" x14ac:dyDescent="0.25">
      <c r="B57" s="12" t="s">
        <v>881</v>
      </c>
      <c r="C57" s="241"/>
      <c r="D57" s="241"/>
      <c r="E57" s="241"/>
      <c r="F57" s="241"/>
      <c r="G57" s="869"/>
      <c r="H57" s="241"/>
      <c r="I57" s="241"/>
      <c r="J57" s="241"/>
      <c r="K57" s="241"/>
      <c r="L57" s="869"/>
      <c r="M57" s="241"/>
      <c r="N57" s="241"/>
      <c r="O57" s="241"/>
      <c r="P57" s="241"/>
      <c r="Q57" s="869"/>
      <c r="R57" s="241"/>
      <c r="S57" s="241"/>
      <c r="T57" s="241"/>
      <c r="U57" s="241"/>
      <c r="V57" s="869"/>
      <c r="W57" s="241"/>
      <c r="X57" s="241"/>
      <c r="Y57" s="241"/>
      <c r="Z57" s="241"/>
      <c r="AA57" s="869"/>
      <c r="AB57" s="241"/>
      <c r="AC57" s="241"/>
      <c r="AD57" s="241"/>
      <c r="AE57" s="241"/>
      <c r="AF57" s="869"/>
      <c r="AG57" s="241"/>
      <c r="AH57" s="241"/>
      <c r="AI57" s="241"/>
      <c r="AJ57" s="241"/>
      <c r="AK57" s="869"/>
      <c r="AL57" s="241"/>
      <c r="AM57" s="241"/>
      <c r="AN57" s="241"/>
      <c r="AO57" s="241"/>
      <c r="AP57" s="869"/>
      <c r="AQ57" s="241"/>
      <c r="AR57" s="241"/>
      <c r="AS57" s="241"/>
      <c r="AT57" s="241"/>
      <c r="AU57" s="869"/>
      <c r="AV57" s="241"/>
      <c r="AW57" s="241"/>
      <c r="AX57" s="241"/>
      <c r="AY57" s="241"/>
      <c r="AZ57" s="869"/>
      <c r="BA57" s="241"/>
      <c r="BB57" s="241"/>
      <c r="BC57" s="241"/>
      <c r="BD57" s="241"/>
      <c r="BE57" s="869"/>
      <c r="BF57" s="241"/>
      <c r="BG57" s="241"/>
      <c r="BH57" s="241"/>
      <c r="BI57" s="241"/>
      <c r="BJ57" s="869"/>
      <c r="BK57" s="241" t="str">
        <f t="shared" ref="BK57:CD57" si="10">IFERROR(BK56/BF56-1,"")</f>
        <v/>
      </c>
      <c r="BL57" s="241" t="str">
        <f t="shared" si="10"/>
        <v/>
      </c>
      <c r="BM57" s="241" t="str">
        <f t="shared" si="10"/>
        <v/>
      </c>
      <c r="BN57" s="241" t="str">
        <f t="shared" si="10"/>
        <v/>
      </c>
      <c r="BO57" s="869" t="str">
        <f t="shared" si="10"/>
        <v/>
      </c>
      <c r="BP57" s="241" t="str">
        <f t="shared" si="10"/>
        <v/>
      </c>
      <c r="BQ57" s="241" t="str">
        <f t="shared" si="10"/>
        <v/>
      </c>
      <c r="BR57" s="241" t="str">
        <f t="shared" si="10"/>
        <v/>
      </c>
      <c r="BS57" s="241" t="str">
        <f t="shared" si="10"/>
        <v/>
      </c>
      <c r="BT57" s="869" t="str">
        <f t="shared" si="10"/>
        <v/>
      </c>
      <c r="BU57" s="241">
        <f t="shared" si="10"/>
        <v>0.2886652193934609</v>
      </c>
      <c r="BV57" s="241">
        <f t="shared" si="10"/>
        <v>3.6338916012607303E-2</v>
      </c>
      <c r="BW57" s="241">
        <f t="shared" si="10"/>
        <v>0.32089511106211766</v>
      </c>
      <c r="BX57" s="241">
        <f t="shared" si="10"/>
        <v>0.42892104246275387</v>
      </c>
      <c r="BY57" s="869">
        <f t="shared" si="10"/>
        <v>0.320247224447751</v>
      </c>
      <c r="BZ57" s="241">
        <f t="shared" si="10"/>
        <v>0.16984021644800662</v>
      </c>
      <c r="CA57" s="241">
        <f t="shared" si="10"/>
        <v>0.41463414634146356</v>
      </c>
      <c r="CB57" s="241">
        <f t="shared" si="10"/>
        <v>-0.24915501773419568</v>
      </c>
      <c r="CC57" s="241">
        <f t="shared" si="10"/>
        <v>-8.5634446080373738E-4</v>
      </c>
      <c r="CD57" s="869">
        <f t="shared" si="10"/>
        <v>3.351065925838359E-2</v>
      </c>
      <c r="CE57" s="241">
        <f>IFERROR(CE56/BZ56-1,"")</f>
        <v>0.22757025658928254</v>
      </c>
      <c r="CF57" s="241">
        <f>IFERROR(CF56/CA56-1,"")</f>
        <v>0.36000337239693114</v>
      </c>
      <c r="CG57" s="241">
        <f>IFERROR(CG56/CB56-1,"")</f>
        <v>0.92274913860175678</v>
      </c>
      <c r="CH57" s="241">
        <f>IFERROR(CH56/CC56-1,"")</f>
        <v>-0.54689534019998498</v>
      </c>
      <c r="CI57" s="751">
        <f>IFERROR(CI56/CD56-1,"")</f>
        <v>-3.0066876625178818E-4</v>
      </c>
      <c r="CJ57" s="751">
        <f>IFERROR(CJ56/CI56-1,"")</f>
        <v>-6.9565217391304501E-2</v>
      </c>
      <c r="CK57" s="751">
        <f>IFERROR(CK56/CJ56-1,"")</f>
        <v>0.10416666666666674</v>
      </c>
      <c r="CL57" s="751">
        <f>IFERROR(CL56/CK56-1,"")</f>
        <v>9.7199999999999953E-2</v>
      </c>
      <c r="CM57" s="751">
        <f>IFERROR(CM56/CL56-1,"")</f>
        <v>4.9999999999999822E-2</v>
      </c>
      <c r="CN57" s="241"/>
      <c r="CO57" s="683"/>
      <c r="CP57" s="241"/>
      <c r="CQ57" s="693"/>
      <c r="CT57" s="967" t="s">
        <v>961</v>
      </c>
      <c r="CU57" s="967"/>
      <c r="CV57" s="967"/>
      <c r="CW57" s="967"/>
      <c r="CX57" s="967"/>
      <c r="CY57" s="967"/>
    </row>
    <row r="58" spans="2:105" ht="16.5" customHeight="1" x14ac:dyDescent="0.25">
      <c r="B58" t="s">
        <v>181</v>
      </c>
      <c r="C58" s="743"/>
      <c r="D58" s="743"/>
      <c r="E58" s="743"/>
      <c r="F58" s="743"/>
      <c r="G58" s="868"/>
      <c r="H58" s="743"/>
      <c r="I58" s="743"/>
      <c r="J58" s="743"/>
      <c r="K58" s="743"/>
      <c r="L58" s="868"/>
      <c r="M58" s="743"/>
      <c r="N58" s="743"/>
      <c r="O58" s="743"/>
      <c r="P58" s="743"/>
      <c r="Q58" s="868"/>
      <c r="R58" s="743"/>
      <c r="S58" s="743"/>
      <c r="T58" s="743"/>
      <c r="U58" s="743"/>
      <c r="V58" s="868"/>
      <c r="W58" s="743"/>
      <c r="X58" s="743"/>
      <c r="Y58" s="743"/>
      <c r="Z58" s="743"/>
      <c r="AA58" s="868"/>
      <c r="AB58" s="743"/>
      <c r="AC58" s="743"/>
      <c r="AD58" s="743"/>
      <c r="AE58" s="743"/>
      <c r="AF58" s="868"/>
      <c r="AG58" s="743"/>
      <c r="AH58" s="743"/>
      <c r="AI58" s="743"/>
      <c r="AJ58" s="743"/>
      <c r="AK58" s="868"/>
      <c r="AL58" s="743"/>
      <c r="AM58" s="291"/>
      <c r="AN58" s="291"/>
      <c r="AO58" s="291"/>
      <c r="AP58" s="864"/>
      <c r="AQ58" s="291"/>
      <c r="AR58" s="291"/>
      <c r="AS58" s="291"/>
      <c r="AT58" s="291"/>
      <c r="AU58" s="864"/>
      <c r="AV58" s="291"/>
      <c r="AW58" s="291"/>
      <c r="AX58" s="291"/>
      <c r="AY58" s="291"/>
      <c r="AZ58" s="864"/>
      <c r="BA58" s="291"/>
      <c r="BB58" s="291"/>
      <c r="BC58" s="291"/>
      <c r="BD58" s="291"/>
      <c r="BE58" s="864"/>
      <c r="BF58" s="291"/>
      <c r="BG58" s="291"/>
      <c r="BH58" s="291"/>
      <c r="BI58" s="291"/>
      <c r="BJ58" s="864"/>
      <c r="BK58" s="241">
        <f t="shared" ref="BK58:CD58" si="11">IFERROR(BK56/BK54,"")</f>
        <v>0</v>
      </c>
      <c r="BL58" s="241">
        <f t="shared" si="11"/>
        <v>0</v>
      </c>
      <c r="BM58" s="241">
        <f t="shared" si="11"/>
        <v>0</v>
      </c>
      <c r="BN58" s="241">
        <f t="shared" si="11"/>
        <v>0</v>
      </c>
      <c r="BO58" s="869" t="str">
        <f t="shared" si="11"/>
        <v/>
      </c>
      <c r="BP58" s="241">
        <f t="shared" si="11"/>
        <v>8.54949381327334E-2</v>
      </c>
      <c r="BQ58" s="241">
        <f t="shared" si="11"/>
        <v>8.8540270200762786E-2</v>
      </c>
      <c r="BR58" s="241">
        <f t="shared" si="11"/>
        <v>0.10295828438799888</v>
      </c>
      <c r="BS58" s="241">
        <f t="shared" si="11"/>
        <v>0.11348150097081228</v>
      </c>
      <c r="BT58" s="869">
        <f t="shared" si="11"/>
        <v>0.10145885303895166</v>
      </c>
      <c r="BU58" s="241">
        <f t="shared" si="11"/>
        <v>0.10517922725027383</v>
      </c>
      <c r="BV58" s="241">
        <f t="shared" si="11"/>
        <v>8.280987654320987E-2</v>
      </c>
      <c r="BW58" s="241">
        <f t="shared" si="11"/>
        <v>0.11567403717594135</v>
      </c>
      <c r="BX58" s="241">
        <f t="shared" si="11"/>
        <v>0.15764505822697272</v>
      </c>
      <c r="BY58" s="869">
        <f t="shared" si="11"/>
        <v>0.12462333570365015</v>
      </c>
      <c r="BZ58" s="241">
        <f t="shared" si="11"/>
        <v>0.10737512885390312</v>
      </c>
      <c r="CA58" s="241">
        <f t="shared" si="11"/>
        <v>0.11092873943764059</v>
      </c>
      <c r="CB58" s="241">
        <f t="shared" si="11"/>
        <v>8.00936517969216E-2</v>
      </c>
      <c r="CC58" s="241">
        <f t="shared" si="11"/>
        <v>0.14423212469393643</v>
      </c>
      <c r="CD58" s="869">
        <f t="shared" si="11"/>
        <v>0.11782003687238775</v>
      </c>
      <c r="CE58" s="241">
        <f>IFERROR(CE56/CE54,"")</f>
        <v>0.11370149265796589</v>
      </c>
      <c r="CF58" s="241">
        <f>IFERROR(CF56/CF54,"")</f>
        <v>0.13700002972537995</v>
      </c>
      <c r="CG58" s="755">
        <v>0.14000000000000001</v>
      </c>
      <c r="CH58" s="755">
        <v>0.13700000000000001</v>
      </c>
      <c r="CI58" s="756">
        <v>0.13800000000000001</v>
      </c>
      <c r="CJ58" s="756">
        <f>CHOOSE(MATCH($CO$3,{"Base";"Bull";"Bear"},0),CV59,CV69,CV79)</f>
        <v>0.12</v>
      </c>
      <c r="CK58" s="756">
        <f>CHOOSE(MATCH($CO$3,{"Base";"Bull";"Bear"},0),CW59,CW69,CW79)</f>
        <v>0.125</v>
      </c>
      <c r="CL58" s="756">
        <f>CHOOSE(MATCH($CO$3,{"Base";"Bull";"Bear"},0),CX59,CX69,CX79)</f>
        <v>0.13</v>
      </c>
      <c r="CM58" s="756">
        <f>CHOOSE(MATCH($CO$3,{"Base";"Bull";"Bear"},0),CY59,CY69,CY79)</f>
        <v>0.13</v>
      </c>
      <c r="CN58" s="291"/>
      <c r="CO58" s="683"/>
      <c r="CP58" s="291"/>
      <c r="CQ58" s="693"/>
      <c r="CT58" t="s">
        <v>962</v>
      </c>
      <c r="CU58" s="676">
        <v>0.08</v>
      </c>
      <c r="CV58" s="676">
        <v>7.0000000000000007E-2</v>
      </c>
      <c r="CW58" s="676">
        <v>0.06</v>
      </c>
      <c r="CX58" s="676">
        <v>5.5E-2</v>
      </c>
      <c r="CY58" s="676">
        <v>0.05</v>
      </c>
    </row>
    <row r="59" spans="2:105" ht="16.5" customHeight="1" x14ac:dyDescent="0.25">
      <c r="B59" s="12" t="s">
        <v>882</v>
      </c>
      <c r="C59" s="241"/>
      <c r="D59" s="241"/>
      <c r="E59" s="241"/>
      <c r="F59" s="241"/>
      <c r="G59" s="869"/>
      <c r="H59" s="241"/>
      <c r="I59" s="241"/>
      <c r="J59" s="241"/>
      <c r="K59" s="241"/>
      <c r="L59" s="869"/>
      <c r="M59" s="241"/>
      <c r="N59" s="241"/>
      <c r="O59" s="241"/>
      <c r="P59" s="241"/>
      <c r="Q59" s="869"/>
      <c r="R59" s="241"/>
      <c r="S59" s="241"/>
      <c r="T59" s="241"/>
      <c r="U59" s="241"/>
      <c r="V59" s="869"/>
      <c r="W59" s="241"/>
      <c r="X59" s="241"/>
      <c r="Y59" s="241"/>
      <c r="Z59" s="241"/>
      <c r="AA59" s="869"/>
      <c r="AB59" s="241"/>
      <c r="AC59" s="241"/>
      <c r="AD59" s="241"/>
      <c r="AE59" s="241"/>
      <c r="AF59" s="869"/>
      <c r="AG59" s="241"/>
      <c r="AH59" s="241"/>
      <c r="AI59" s="241"/>
      <c r="AJ59" s="241"/>
      <c r="AK59" s="869"/>
      <c r="AL59" s="241"/>
      <c r="AM59" s="241"/>
      <c r="AN59" s="241"/>
      <c r="AO59" s="241"/>
      <c r="AP59" s="869"/>
      <c r="AQ59" s="241"/>
      <c r="AR59" s="241"/>
      <c r="AS59" s="241"/>
      <c r="AT59" s="241"/>
      <c r="AU59" s="869"/>
      <c r="AV59" s="241"/>
      <c r="AW59" s="241"/>
      <c r="AX59" s="241"/>
      <c r="AY59" s="241"/>
      <c r="AZ59" s="869"/>
      <c r="BA59" s="241"/>
      <c r="BB59" s="241"/>
      <c r="BC59" s="241"/>
      <c r="BD59" s="241"/>
      <c r="BE59" s="869"/>
      <c r="BF59" s="241"/>
      <c r="BG59" s="241"/>
      <c r="BH59" s="241"/>
      <c r="BI59" s="241"/>
      <c r="BJ59" s="869"/>
      <c r="BK59" s="241">
        <f t="shared" ref="BK59:CD59" si="12">IFERROR((BK56-BF56)/(BK54-BF54),"")</f>
        <v>0</v>
      </c>
      <c r="BL59" s="241">
        <f t="shared" si="12"/>
        <v>0</v>
      </c>
      <c r="BM59" s="241">
        <f t="shared" si="12"/>
        <v>0</v>
      </c>
      <c r="BN59" s="241">
        <f t="shared" si="12"/>
        <v>0</v>
      </c>
      <c r="BO59" s="869" t="str">
        <f t="shared" si="12"/>
        <v/>
      </c>
      <c r="BP59" s="758">
        <f t="shared" si="12"/>
        <v>-1.8653822554914712</v>
      </c>
      <c r="BQ59" s="758">
        <f t="shared" si="12"/>
        <v>-1.7331833761782325</v>
      </c>
      <c r="BR59" s="758">
        <f t="shared" si="12"/>
        <v>-3.8816859221223976</v>
      </c>
      <c r="BS59" s="758">
        <f t="shared" si="12"/>
        <v>4.8051907861482765E-2</v>
      </c>
      <c r="BT59" s="886">
        <f t="shared" si="12"/>
        <v>0.10145885303895166</v>
      </c>
      <c r="BU59" s="758">
        <f t="shared" si="12"/>
        <v>0.51965892941733827</v>
      </c>
      <c r="BV59" s="758">
        <f t="shared" si="12"/>
        <v>2.9776674937965108E-2</v>
      </c>
      <c r="BW59" s="758">
        <f t="shared" si="12"/>
        <v>0.18804909560723523</v>
      </c>
      <c r="BX59" s="758">
        <f t="shared" si="12"/>
        <v>1.7010045973097421</v>
      </c>
      <c r="BY59" s="886">
        <f t="shared" si="12"/>
        <v>0.43412274144180973</v>
      </c>
      <c r="BZ59" s="758">
        <f t="shared" si="12"/>
        <v>0.12242419782160742</v>
      </c>
      <c r="CA59" s="758">
        <f t="shared" si="12"/>
        <v>0.61265309718918048</v>
      </c>
      <c r="CB59" s="758">
        <f t="shared" si="12"/>
        <v>-0.34149270803545873</v>
      </c>
      <c r="CC59" s="758">
        <f t="shared" si="12"/>
        <v>-1.4664265500390111E-3</v>
      </c>
      <c r="CD59" s="886">
        <f t="shared" si="12"/>
        <v>4.4814502529510913E-2</v>
      </c>
      <c r="CE59" s="758"/>
      <c r="CF59" s="758"/>
      <c r="CG59" s="758"/>
      <c r="CH59" s="758"/>
      <c r="CI59" s="759">
        <f>IFERROR((CI56-CD56)/(CI54-CD54),"")</f>
        <v>2.4182682636003452E-4</v>
      </c>
      <c r="CJ59" s="759">
        <f>IFERROR((CJ56-CI56)/(CJ54-CI54),"")</f>
        <v>-0.1371428571428574</v>
      </c>
      <c r="CK59" s="759">
        <f>IFERROR((CK56-CJ56)/(CK54-CJ54),"")</f>
        <v>0.20833333333333334</v>
      </c>
      <c r="CL59" s="759">
        <f>IFERROR((CL56-CK56)/(CL54-CK54),"")</f>
        <v>0.22090909090909114</v>
      </c>
      <c r="CM59" s="759">
        <f>IFERROR((CM56-CL56)/(CM54-CL54),"")</f>
        <v>0.12999999999999984</v>
      </c>
      <c r="CN59" s="241"/>
      <c r="CO59" s="683"/>
      <c r="CP59" s="241"/>
      <c r="CQ59" s="693"/>
      <c r="CT59" t="s">
        <v>963</v>
      </c>
      <c r="CU59" s="676">
        <v>0.115</v>
      </c>
      <c r="CV59" s="676">
        <v>0.12</v>
      </c>
      <c r="CW59" s="676">
        <v>0.125</v>
      </c>
      <c r="CX59" s="676">
        <v>0.13</v>
      </c>
      <c r="CY59" s="676">
        <v>0.13</v>
      </c>
    </row>
    <row r="60" spans="2:105" ht="16.5" customHeight="1" x14ac:dyDescent="0.25">
      <c r="B60" s="702" t="s">
        <v>681</v>
      </c>
      <c r="C60" s="241"/>
      <c r="D60" s="241"/>
      <c r="E60" s="241"/>
      <c r="F60" s="241"/>
      <c r="G60" s="869"/>
      <c r="H60" s="241"/>
      <c r="I60" s="241"/>
      <c r="J60" s="241"/>
      <c r="K60" s="241"/>
      <c r="L60" s="869"/>
      <c r="M60" s="241"/>
      <c r="N60" s="241"/>
      <c r="O60" s="241"/>
      <c r="P60" s="241"/>
      <c r="Q60" s="869"/>
      <c r="R60" s="241"/>
      <c r="S60" s="241"/>
      <c r="T60" s="241"/>
      <c r="U60" s="241"/>
      <c r="V60" s="869"/>
      <c r="W60" s="241"/>
      <c r="X60" s="241"/>
      <c r="Y60" s="241"/>
      <c r="Z60" s="241"/>
      <c r="AA60" s="869"/>
      <c r="AB60" s="241"/>
      <c r="AC60" s="241"/>
      <c r="AD60" s="241"/>
      <c r="AE60" s="241"/>
      <c r="AF60" s="869"/>
      <c r="AG60" s="241"/>
      <c r="AH60" s="241"/>
      <c r="AI60" s="241"/>
      <c r="AJ60" s="241"/>
      <c r="AK60" s="869"/>
      <c r="AL60" s="241"/>
      <c r="AM60" s="241"/>
      <c r="AN60" s="241"/>
      <c r="AO60" s="241"/>
      <c r="AP60" s="869"/>
      <c r="AQ60" s="241"/>
      <c r="AR60" s="241"/>
      <c r="AS60" s="241"/>
      <c r="AT60" s="241"/>
      <c r="AU60" s="869"/>
      <c r="AV60" s="241"/>
      <c r="AW60" s="241"/>
      <c r="AX60" s="241"/>
      <c r="AY60" s="241"/>
      <c r="AZ60" s="869"/>
      <c r="BA60" s="241"/>
      <c r="BB60" s="241"/>
      <c r="BC60" s="241"/>
      <c r="BD60" s="241"/>
      <c r="BE60" s="869"/>
      <c r="BF60" s="241"/>
      <c r="BG60" s="241"/>
      <c r="BH60" s="241"/>
      <c r="BI60" s="241"/>
      <c r="BJ60" s="869"/>
      <c r="BK60" s="760"/>
      <c r="BL60" s="760"/>
      <c r="BM60" s="760"/>
      <c r="BN60" s="760"/>
      <c r="BO60" s="932"/>
      <c r="BP60" s="760"/>
      <c r="BQ60" s="760"/>
      <c r="BR60" s="760"/>
      <c r="BS60" s="760"/>
      <c r="BT60" s="932"/>
      <c r="BU60" s="760"/>
      <c r="BV60" s="760"/>
      <c r="BW60" s="760"/>
      <c r="BX60" s="760"/>
      <c r="BY60" s="932"/>
      <c r="BZ60" s="760"/>
      <c r="CA60" s="760"/>
      <c r="CB60" s="760"/>
      <c r="CC60" s="760"/>
      <c r="CD60" s="932"/>
      <c r="CE60" s="760"/>
      <c r="CF60" s="760"/>
      <c r="CG60" s="760"/>
      <c r="CH60" s="760"/>
      <c r="CI60" s="761"/>
      <c r="CJ60" s="761"/>
      <c r="CK60" s="761"/>
      <c r="CL60" s="761"/>
      <c r="CM60" s="761"/>
      <c r="CN60" s="241"/>
      <c r="CO60" s="683"/>
      <c r="CP60" s="241"/>
      <c r="CQ60" s="693"/>
      <c r="CT60" t="s">
        <v>964</v>
      </c>
      <c r="CU60" s="676">
        <v>0.1</v>
      </c>
      <c r="CV60" s="676">
        <v>8.5000000000000006E-2</v>
      </c>
      <c r="CW60" s="676">
        <v>7.0000000000000007E-2</v>
      </c>
      <c r="CX60" s="676">
        <v>5.5E-2</v>
      </c>
      <c r="CY60" s="676">
        <v>4.4999999999999998E-2</v>
      </c>
    </row>
    <row r="61" spans="2:105" ht="16.5" customHeight="1" x14ac:dyDescent="0.25">
      <c r="B61" s="702" t="s">
        <v>883</v>
      </c>
      <c r="C61" s="241"/>
      <c r="D61" s="241"/>
      <c r="E61" s="241"/>
      <c r="F61" s="241"/>
      <c r="G61" s="869"/>
      <c r="H61" s="241"/>
      <c r="I61" s="241"/>
      <c r="J61" s="241"/>
      <c r="K61" s="241"/>
      <c r="L61" s="869"/>
      <c r="M61" s="241"/>
      <c r="N61" s="241"/>
      <c r="O61" s="241"/>
      <c r="P61" s="241"/>
      <c r="Q61" s="869"/>
      <c r="R61" s="241"/>
      <c r="S61" s="241"/>
      <c r="T61" s="241"/>
      <c r="U61" s="241"/>
      <c r="V61" s="869"/>
      <c r="W61" s="241"/>
      <c r="X61" s="241"/>
      <c r="Y61" s="241"/>
      <c r="Z61" s="241"/>
      <c r="AA61" s="869"/>
      <c r="AB61" s="241"/>
      <c r="AC61" s="241"/>
      <c r="AD61" s="241"/>
      <c r="AE61" s="241"/>
      <c r="AF61" s="869"/>
      <c r="AG61" s="241"/>
      <c r="AH61" s="241"/>
      <c r="AI61" s="241"/>
      <c r="AJ61" s="241"/>
      <c r="AK61" s="869"/>
      <c r="AL61" s="241"/>
      <c r="AM61" s="241"/>
      <c r="AN61" s="241"/>
      <c r="AO61" s="241"/>
      <c r="AP61" s="869"/>
      <c r="AQ61" s="241"/>
      <c r="AR61" s="241"/>
      <c r="AS61" s="241"/>
      <c r="AT61" s="241"/>
      <c r="AU61" s="869"/>
      <c r="AV61" s="241"/>
      <c r="AW61" s="241"/>
      <c r="AX61" s="241"/>
      <c r="AY61" s="241"/>
      <c r="AZ61" s="869"/>
      <c r="BA61" s="241"/>
      <c r="BB61" s="241"/>
      <c r="BC61" s="241"/>
      <c r="BD61" s="241"/>
      <c r="BE61" s="869"/>
      <c r="BF61" s="241"/>
      <c r="BG61" s="241"/>
      <c r="BH61" s="241"/>
      <c r="BI61" s="241"/>
      <c r="BJ61" s="869"/>
      <c r="BK61" s="762" t="str">
        <f t="shared" ref="BK61:CD61" si="13">IFERROR(BK60/BF60-1,"")</f>
        <v/>
      </c>
      <c r="BL61" s="762" t="str">
        <f t="shared" si="13"/>
        <v/>
      </c>
      <c r="BM61" s="762" t="str">
        <f t="shared" si="13"/>
        <v/>
      </c>
      <c r="BN61" s="762" t="str">
        <f t="shared" si="13"/>
        <v/>
      </c>
      <c r="BO61" s="933" t="str">
        <f t="shared" si="13"/>
        <v/>
      </c>
      <c r="BP61" s="762" t="str">
        <f t="shared" si="13"/>
        <v/>
      </c>
      <c r="BQ61" s="762" t="str">
        <f t="shared" si="13"/>
        <v/>
      </c>
      <c r="BR61" s="762" t="str">
        <f t="shared" si="13"/>
        <v/>
      </c>
      <c r="BS61" s="762" t="str">
        <f t="shared" si="13"/>
        <v/>
      </c>
      <c r="BT61" s="933" t="str">
        <f t="shared" si="13"/>
        <v/>
      </c>
      <c r="BU61" s="762" t="str">
        <f t="shared" si="13"/>
        <v/>
      </c>
      <c r="BV61" s="762" t="str">
        <f t="shared" si="13"/>
        <v/>
      </c>
      <c r="BW61" s="762" t="str">
        <f t="shared" si="13"/>
        <v/>
      </c>
      <c r="BX61" s="762" t="str">
        <f t="shared" si="13"/>
        <v/>
      </c>
      <c r="BY61" s="933" t="str">
        <f t="shared" si="13"/>
        <v/>
      </c>
      <c r="BZ61" s="762" t="str">
        <f t="shared" si="13"/>
        <v/>
      </c>
      <c r="CA61" s="762" t="str">
        <f t="shared" si="13"/>
        <v/>
      </c>
      <c r="CB61" s="762" t="str">
        <f t="shared" si="13"/>
        <v/>
      </c>
      <c r="CC61" s="762" t="str">
        <f t="shared" si="13"/>
        <v/>
      </c>
      <c r="CD61" s="933" t="str">
        <f t="shared" si="13"/>
        <v/>
      </c>
      <c r="CE61" s="762"/>
      <c r="CF61" s="762"/>
      <c r="CG61" s="762"/>
      <c r="CH61" s="762"/>
      <c r="CI61" s="751" t="str">
        <f>IFERROR(CI60/CD60-1,"")</f>
        <v/>
      </c>
      <c r="CJ61" s="751" t="str">
        <f>IFERROR(CJ60/CI60-1,"")</f>
        <v/>
      </c>
      <c r="CK61" s="751" t="str">
        <f>IFERROR(CK60/CJ60-1,"")</f>
        <v/>
      </c>
      <c r="CL61" s="751" t="str">
        <f>IFERROR(CL60/CK60-1,"")</f>
        <v/>
      </c>
      <c r="CM61" s="751" t="str">
        <f>IFERROR(CM60/CL60-1,"")</f>
        <v/>
      </c>
      <c r="CN61" s="241"/>
      <c r="CO61" s="683"/>
      <c r="CP61" s="241"/>
      <c r="CQ61" s="693"/>
      <c r="CT61" t="s">
        <v>965</v>
      </c>
      <c r="CU61" s="676">
        <v>0.125</v>
      </c>
      <c r="CV61" s="676">
        <v>0.13</v>
      </c>
      <c r="CW61" s="676">
        <v>0.13500000000000001</v>
      </c>
      <c r="CX61" s="676">
        <v>0.14000000000000001</v>
      </c>
      <c r="CY61" s="676">
        <v>0.14000000000000001</v>
      </c>
    </row>
    <row r="62" spans="2:105" ht="16.5" customHeight="1" x14ac:dyDescent="0.25">
      <c r="B62" s="702" t="s">
        <v>682</v>
      </c>
      <c r="C62" s="241"/>
      <c r="D62" s="241"/>
      <c r="E62" s="241"/>
      <c r="F62" s="241"/>
      <c r="G62" s="869"/>
      <c r="H62" s="241"/>
      <c r="I62" s="241"/>
      <c r="J62" s="241"/>
      <c r="K62" s="241"/>
      <c r="L62" s="869"/>
      <c r="M62" s="241"/>
      <c r="N62" s="241"/>
      <c r="O62" s="241"/>
      <c r="P62" s="241"/>
      <c r="Q62" s="869"/>
      <c r="R62" s="241"/>
      <c r="S62" s="241"/>
      <c r="T62" s="241"/>
      <c r="U62" s="241"/>
      <c r="V62" s="869"/>
      <c r="W62" s="241"/>
      <c r="X62" s="241"/>
      <c r="Y62" s="241"/>
      <c r="Z62" s="241"/>
      <c r="AA62" s="869"/>
      <c r="AB62" s="241"/>
      <c r="AC62" s="241"/>
      <c r="AD62" s="241"/>
      <c r="AE62" s="241"/>
      <c r="AF62" s="869"/>
      <c r="AG62" s="241"/>
      <c r="AH62" s="241"/>
      <c r="AI62" s="241"/>
      <c r="AJ62" s="241"/>
      <c r="AK62" s="869"/>
      <c r="AL62" s="241"/>
      <c r="AM62" s="241"/>
      <c r="AN62" s="241"/>
      <c r="AO62" s="241"/>
      <c r="AP62" s="869"/>
      <c r="AQ62" s="241"/>
      <c r="AR62" s="241"/>
      <c r="AS62" s="241"/>
      <c r="AT62" s="241"/>
      <c r="AU62" s="869"/>
      <c r="AV62" s="241"/>
      <c r="AW62" s="241"/>
      <c r="AX62" s="241"/>
      <c r="AY62" s="241"/>
      <c r="AZ62" s="869"/>
      <c r="BA62" s="241"/>
      <c r="BB62" s="241"/>
      <c r="BC62" s="241"/>
      <c r="BD62" s="241"/>
      <c r="BE62" s="869"/>
      <c r="BF62" s="241"/>
      <c r="BG62" s="241"/>
      <c r="BH62" s="241"/>
      <c r="BI62" s="241"/>
      <c r="BJ62" s="869"/>
      <c r="BK62" s="763">
        <f t="shared" ref="BK62:CD62" si="14">IFERROR((BK54+BK60-BF60)/BK54,"")</f>
        <v>1</v>
      </c>
      <c r="BL62" s="763">
        <f t="shared" si="14"/>
        <v>1</v>
      </c>
      <c r="BM62" s="763">
        <f t="shared" si="14"/>
        <v>1</v>
      </c>
      <c r="BN62" s="763">
        <f t="shared" si="14"/>
        <v>1</v>
      </c>
      <c r="BO62" s="934" t="str">
        <f t="shared" si="14"/>
        <v/>
      </c>
      <c r="BP62" s="763">
        <f t="shared" si="14"/>
        <v>1</v>
      </c>
      <c r="BQ62" s="763">
        <f t="shared" si="14"/>
        <v>1</v>
      </c>
      <c r="BR62" s="763">
        <f t="shared" si="14"/>
        <v>1</v>
      </c>
      <c r="BS62" s="763">
        <f t="shared" si="14"/>
        <v>1</v>
      </c>
      <c r="BT62" s="934">
        <f t="shared" si="14"/>
        <v>1</v>
      </c>
      <c r="BU62" s="763">
        <f t="shared" si="14"/>
        <v>1</v>
      </c>
      <c r="BV62" s="763">
        <f t="shared" si="14"/>
        <v>1</v>
      </c>
      <c r="BW62" s="763">
        <f t="shared" si="14"/>
        <v>1</v>
      </c>
      <c r="BX62" s="763">
        <f t="shared" si="14"/>
        <v>1</v>
      </c>
      <c r="BY62" s="934">
        <f t="shared" si="14"/>
        <v>1</v>
      </c>
      <c r="BZ62" s="763">
        <f t="shared" si="14"/>
        <v>1</v>
      </c>
      <c r="CA62" s="763">
        <f t="shared" si="14"/>
        <v>1</v>
      </c>
      <c r="CB62" s="763">
        <f t="shared" si="14"/>
        <v>1</v>
      </c>
      <c r="CC62" s="763">
        <f t="shared" si="14"/>
        <v>1</v>
      </c>
      <c r="CD62" s="934">
        <f t="shared" si="14"/>
        <v>1</v>
      </c>
      <c r="CE62" s="763"/>
      <c r="CF62" s="763"/>
      <c r="CG62" s="763"/>
      <c r="CH62" s="763"/>
      <c r="CI62" s="764">
        <f>IFERROR((CI54+CI60-CD60)/CI54,"")</f>
        <v>1</v>
      </c>
      <c r="CJ62" s="764">
        <f>IFERROR((CJ54+CJ60-CI60)/CJ54,"")</f>
        <v>1</v>
      </c>
      <c r="CK62" s="764">
        <f>IFERROR((CK54+CK60-CJ60)/CK54,"")</f>
        <v>1</v>
      </c>
      <c r="CL62" s="764">
        <f>IFERROR((CL54+CL60-CK60)/CL54,"")</f>
        <v>1</v>
      </c>
      <c r="CM62" s="764">
        <f>IFERROR((CM54+CM60-CL60)/CM54,"")</f>
        <v>1</v>
      </c>
      <c r="CN62" s="241"/>
      <c r="CO62" s="683"/>
      <c r="CP62" s="241"/>
      <c r="CQ62" s="693"/>
      <c r="CT62" t="s">
        <v>966</v>
      </c>
      <c r="CU62" s="676">
        <v>0.15</v>
      </c>
      <c r="CV62" s="676">
        <v>0.12</v>
      </c>
      <c r="CW62" s="676">
        <v>0.1</v>
      </c>
      <c r="CX62" s="676">
        <v>0.1</v>
      </c>
      <c r="CY62" s="676">
        <v>0.1</v>
      </c>
    </row>
    <row r="63" spans="2:105" ht="16.5" customHeight="1" x14ac:dyDescent="0.25">
      <c r="C63" s="291"/>
      <c r="D63" s="291"/>
      <c r="E63" s="291"/>
      <c r="F63" s="291"/>
      <c r="G63" s="864"/>
      <c r="H63" s="291"/>
      <c r="I63" s="291"/>
      <c r="J63" s="291"/>
      <c r="K63" s="291"/>
      <c r="L63" s="864"/>
      <c r="M63" s="291"/>
      <c r="N63" s="291"/>
      <c r="O63" s="291"/>
      <c r="P63" s="291"/>
      <c r="Q63" s="864"/>
      <c r="R63" s="291"/>
      <c r="S63" s="291"/>
      <c r="T63" s="291"/>
      <c r="U63" s="291"/>
      <c r="V63" s="864"/>
      <c r="W63" s="291"/>
      <c r="X63" s="291"/>
      <c r="Y63" s="291"/>
      <c r="Z63" s="291"/>
      <c r="AA63" s="864"/>
      <c r="AB63" s="291"/>
      <c r="AC63" s="291"/>
      <c r="AD63" s="291"/>
      <c r="AE63" s="291"/>
      <c r="AF63" s="864"/>
      <c r="AG63" s="291"/>
      <c r="AH63" s="291"/>
      <c r="AI63" s="291"/>
      <c r="AJ63" s="291"/>
      <c r="AK63" s="864"/>
      <c r="AL63" s="291"/>
      <c r="AM63" s="291"/>
      <c r="AN63" s="291"/>
      <c r="AO63" s="291"/>
      <c r="AP63" s="864"/>
      <c r="AQ63" s="291"/>
      <c r="AR63" s="291"/>
      <c r="AS63" s="291"/>
      <c r="AT63" s="291"/>
      <c r="AU63" s="864"/>
      <c r="AV63" s="291"/>
      <c r="AW63" s="291"/>
      <c r="AX63" s="291"/>
      <c r="AY63" s="291"/>
      <c r="AZ63" s="864"/>
      <c r="BA63" s="291"/>
      <c r="BB63" s="291"/>
      <c r="BC63" s="291"/>
      <c r="BD63" s="291"/>
      <c r="BE63" s="864"/>
      <c r="BF63" s="291"/>
      <c r="BG63" s="291"/>
      <c r="BH63" s="291"/>
      <c r="BI63" s="291"/>
      <c r="BJ63" s="864"/>
      <c r="BK63" s="291"/>
      <c r="BL63" s="291"/>
      <c r="BM63" s="291"/>
      <c r="BN63" s="291"/>
      <c r="BO63" s="864"/>
      <c r="BP63" s="291"/>
      <c r="BQ63" s="291"/>
      <c r="BR63" s="291"/>
      <c r="BS63" s="291"/>
      <c r="BT63" s="864"/>
      <c r="BU63" s="291"/>
      <c r="BV63" s="291"/>
      <c r="BW63" s="291"/>
      <c r="BX63" s="291"/>
      <c r="BY63" s="864"/>
      <c r="BZ63" s="291"/>
      <c r="CA63" s="291"/>
      <c r="CB63" s="291"/>
      <c r="CC63" s="291"/>
      <c r="CD63" s="864"/>
      <c r="CE63" s="291"/>
      <c r="CF63" s="291"/>
      <c r="CG63" s="291"/>
      <c r="CH63" s="291"/>
      <c r="CI63" s="749"/>
      <c r="CJ63" s="749"/>
      <c r="CK63" s="749"/>
      <c r="CL63" s="749"/>
      <c r="CM63" s="749"/>
      <c r="CN63" s="291"/>
      <c r="CO63" s="683"/>
      <c r="CP63" s="291"/>
      <c r="CQ63" s="693"/>
      <c r="CT63" t="s">
        <v>967</v>
      </c>
      <c r="CU63" s="676">
        <v>0.125</v>
      </c>
      <c r="CV63" s="676">
        <v>0.13</v>
      </c>
      <c r="CW63" s="676">
        <v>0.13500000000000001</v>
      </c>
      <c r="CX63" s="676">
        <v>0.14000000000000001</v>
      </c>
      <c r="CY63" s="676">
        <v>0.14000000000000001</v>
      </c>
    </row>
    <row r="64" spans="2:105" ht="16.5" customHeight="1" x14ac:dyDescent="0.25">
      <c r="B64" s="223" t="s">
        <v>691</v>
      </c>
      <c r="C64" s="224"/>
      <c r="D64" s="224"/>
      <c r="E64" s="224"/>
      <c r="F64" s="224"/>
      <c r="G64" s="867"/>
      <c r="H64" s="224"/>
      <c r="I64" s="224"/>
      <c r="J64" s="224"/>
      <c r="K64" s="224"/>
      <c r="L64" s="867"/>
      <c r="M64" s="224"/>
      <c r="N64" s="224"/>
      <c r="O64" s="224"/>
      <c r="P64" s="224"/>
      <c r="Q64" s="867"/>
      <c r="R64" s="224"/>
      <c r="S64" s="224"/>
      <c r="T64" s="224"/>
      <c r="U64" s="224"/>
      <c r="V64" s="867"/>
      <c r="W64" s="224"/>
      <c r="X64" s="224"/>
      <c r="Y64" s="224"/>
      <c r="Z64" s="224"/>
      <c r="AA64" s="867"/>
      <c r="AB64" s="224"/>
      <c r="AC64" s="224"/>
      <c r="AD64" s="224"/>
      <c r="AE64" s="224"/>
      <c r="AF64" s="867"/>
      <c r="AG64" s="224"/>
      <c r="AH64" s="224"/>
      <c r="AI64" s="224"/>
      <c r="AJ64" s="224"/>
      <c r="AK64" s="867"/>
      <c r="AL64" s="224"/>
      <c r="AM64" s="224"/>
      <c r="AN64" s="224"/>
      <c r="AO64" s="224"/>
      <c r="AP64" s="867"/>
      <c r="AQ64" s="224"/>
      <c r="AR64" s="224"/>
      <c r="AS64" s="224"/>
      <c r="AT64" s="224"/>
      <c r="AU64" s="867"/>
      <c r="AV64" s="224"/>
      <c r="AW64" s="224"/>
      <c r="AX64" s="224"/>
      <c r="AY64" s="224"/>
      <c r="AZ64" s="867"/>
      <c r="BA64" s="224"/>
      <c r="BB64" s="224"/>
      <c r="BC64" s="224"/>
      <c r="BD64" s="224"/>
      <c r="BE64" s="867"/>
      <c r="BF64" s="224"/>
      <c r="BG64" s="224"/>
      <c r="BH64" s="224"/>
      <c r="BI64" s="224"/>
      <c r="BJ64" s="867"/>
      <c r="BK64" s="224"/>
      <c r="BL64" s="224"/>
      <c r="BM64" s="224"/>
      <c r="BN64" s="224"/>
      <c r="BO64" s="867"/>
      <c r="BP64" s="224"/>
      <c r="BQ64" s="224"/>
      <c r="BR64" s="224"/>
      <c r="BS64" s="224"/>
      <c r="BT64" s="867"/>
      <c r="BU64" s="224"/>
      <c r="BV64" s="224"/>
      <c r="BW64" s="224"/>
      <c r="BX64" s="224"/>
      <c r="BY64" s="867"/>
      <c r="BZ64" s="224"/>
      <c r="CA64" s="224"/>
      <c r="CB64" s="224"/>
      <c r="CC64" s="224"/>
      <c r="CD64" s="867"/>
      <c r="CE64" s="224"/>
      <c r="CF64" s="224"/>
      <c r="CG64" s="224"/>
      <c r="CH64" s="224"/>
      <c r="CI64" s="224"/>
      <c r="CJ64" s="224"/>
      <c r="CK64" s="224"/>
      <c r="CL64" s="224"/>
      <c r="CM64" s="224"/>
      <c r="CN64" s="224"/>
      <c r="CO64" s="684"/>
      <c r="CP64" s="224"/>
      <c r="CQ64" s="693"/>
      <c r="CT64" t="s">
        <v>968</v>
      </c>
      <c r="CU64" s="676">
        <v>0.03</v>
      </c>
      <c r="CV64" s="676">
        <v>0.04</v>
      </c>
      <c r="CW64" s="676">
        <v>0.04</v>
      </c>
      <c r="CX64" s="676">
        <v>3.5000000000000003E-2</v>
      </c>
      <c r="CY64" s="676">
        <v>3.5000000000000003E-2</v>
      </c>
    </row>
    <row r="65" spans="2:103" ht="16.5" customHeight="1" x14ac:dyDescent="0.25">
      <c r="B65" s="12" t="s">
        <v>677</v>
      </c>
      <c r="C65" s="743"/>
      <c r="D65" s="743"/>
      <c r="E65" s="743"/>
      <c r="F65" s="743"/>
      <c r="G65" s="868"/>
      <c r="H65" s="743"/>
      <c r="I65" s="743"/>
      <c r="J65" s="743"/>
      <c r="K65" s="743"/>
      <c r="L65" s="868"/>
      <c r="M65" s="743"/>
      <c r="N65" s="743"/>
      <c r="O65" s="743"/>
      <c r="P65" s="743"/>
      <c r="Q65" s="868"/>
      <c r="R65" s="743"/>
      <c r="S65" s="743"/>
      <c r="T65" s="743"/>
      <c r="U65" s="743"/>
      <c r="V65" s="868"/>
      <c r="W65" s="743"/>
      <c r="X65" s="743"/>
      <c r="Y65" s="743"/>
      <c r="Z65" s="743"/>
      <c r="AA65" s="868"/>
      <c r="AB65" s="743"/>
      <c r="AC65" s="743"/>
      <c r="AD65" s="743"/>
      <c r="AE65" s="743"/>
      <c r="AF65" s="868"/>
      <c r="AG65" s="743"/>
      <c r="AH65" s="743"/>
      <c r="AI65" s="743"/>
      <c r="AJ65" s="743"/>
      <c r="AK65" s="868"/>
      <c r="AL65" s="743"/>
      <c r="AM65" s="291"/>
      <c r="AN65" s="291"/>
      <c r="AO65" s="291"/>
      <c r="AP65" s="864"/>
      <c r="AQ65" s="291"/>
      <c r="AR65" s="291"/>
      <c r="AS65" s="291"/>
      <c r="AT65" s="291"/>
      <c r="AU65" s="864"/>
      <c r="AV65" s="291"/>
      <c r="AW65" s="291"/>
      <c r="AX65" s="291"/>
      <c r="AY65" s="291"/>
      <c r="AZ65" s="864"/>
      <c r="BA65" s="291"/>
      <c r="BB65" s="291"/>
      <c r="BC65" s="291"/>
      <c r="BD65" s="291"/>
      <c r="BE65" s="864"/>
      <c r="BF65" s="291"/>
      <c r="BG65" s="291"/>
      <c r="BH65" s="291"/>
      <c r="BI65" s="291"/>
      <c r="BJ65" s="864"/>
      <c r="BK65" s="753">
        <v>117.36799999999999</v>
      </c>
      <c r="BL65" s="753">
        <v>119.179</v>
      </c>
      <c r="BM65" s="753">
        <v>137.126</v>
      </c>
      <c r="BN65" s="754">
        <f>BO65-BK65-BL65-BM65</f>
        <v>-373.673</v>
      </c>
      <c r="BO65" s="911"/>
      <c r="BP65" s="743">
        <v>132.459</v>
      </c>
      <c r="BQ65" s="743">
        <v>164.251</v>
      </c>
      <c r="BR65" s="743">
        <v>178.80799999999999</v>
      </c>
      <c r="BS65" s="291">
        <f>BT65-BP65-BQ65-BR65</f>
        <v>244.81400000000008</v>
      </c>
      <c r="BT65" s="868">
        <v>720.33199999999999</v>
      </c>
      <c r="BU65" s="743">
        <v>194.22200000000001</v>
      </c>
      <c r="BV65" s="743">
        <v>207.59399999999999</v>
      </c>
      <c r="BW65" s="743">
        <v>189.36500000000001</v>
      </c>
      <c r="BX65" s="291">
        <f>BY65-BU65-BV65-BW65</f>
        <v>220.38500000000005</v>
      </c>
      <c r="BY65" s="868">
        <v>811.56600000000003</v>
      </c>
      <c r="BZ65" s="743">
        <v>220.923</v>
      </c>
      <c r="CA65" s="743">
        <v>216.381</v>
      </c>
      <c r="CB65" s="743">
        <v>219.43600000000001</v>
      </c>
      <c r="CC65" s="291">
        <f>CD65-BZ65-CA65-CB65</f>
        <v>231.39599999999999</v>
      </c>
      <c r="CD65" s="868">
        <v>888.13599999999997</v>
      </c>
      <c r="CE65" s="743">
        <v>267.84300000000002</v>
      </c>
      <c r="CF65" s="743">
        <v>247.00700000000001</v>
      </c>
      <c r="CG65" s="291">
        <f>CB65*(1+CG66)</f>
        <v>247.96267999999998</v>
      </c>
      <c r="CH65" s="291">
        <f>CI65-CE65-CF65-CG65</f>
        <v>287.18331999999975</v>
      </c>
      <c r="CI65" s="749">
        <f>904*(1+CI66)</f>
        <v>1049.9959999999999</v>
      </c>
      <c r="CJ65" s="749">
        <f>CI65*(1+CJ66)</f>
        <v>1139.2456599999998</v>
      </c>
      <c r="CK65" s="749">
        <f>CJ65*(1+CK66)</f>
        <v>1218.9928561999998</v>
      </c>
      <c r="CL65" s="749">
        <f>CK65*(1+CL66)</f>
        <v>1286.0374632909998</v>
      </c>
      <c r="CM65" s="749">
        <f>CL65*(1+CM66)</f>
        <v>1343.9091491390946</v>
      </c>
      <c r="CN65" s="291"/>
      <c r="CO65" s="683">
        <v>7.0816341452523093E-2</v>
      </c>
      <c r="CP65" s="291"/>
      <c r="CQ65" s="694" t="s">
        <v>824</v>
      </c>
      <c r="CT65" t="s">
        <v>969</v>
      </c>
      <c r="CU65" s="676">
        <v>0.115</v>
      </c>
      <c r="CV65" s="676">
        <v>0.12</v>
      </c>
      <c r="CW65" s="676">
        <v>0.125</v>
      </c>
      <c r="CX65" s="676">
        <v>0.125</v>
      </c>
      <c r="CY65" s="676">
        <v>0.13</v>
      </c>
    </row>
    <row r="66" spans="2:103" ht="16.5" customHeight="1" x14ac:dyDescent="0.25">
      <c r="B66" s="690" t="s">
        <v>679</v>
      </c>
      <c r="C66" s="743"/>
      <c r="D66" s="743"/>
      <c r="E66" s="743"/>
      <c r="F66" s="743"/>
      <c r="G66" s="868"/>
      <c r="H66" s="743"/>
      <c r="I66" s="743"/>
      <c r="J66" s="743"/>
      <c r="K66" s="743"/>
      <c r="L66" s="868"/>
      <c r="M66" s="743"/>
      <c r="N66" s="743"/>
      <c r="O66" s="743"/>
      <c r="P66" s="743"/>
      <c r="Q66" s="868"/>
      <c r="R66" s="743"/>
      <c r="S66" s="743"/>
      <c r="T66" s="743"/>
      <c r="U66" s="743"/>
      <c r="V66" s="868"/>
      <c r="W66" s="743"/>
      <c r="X66" s="743"/>
      <c r="Y66" s="743"/>
      <c r="Z66" s="743"/>
      <c r="AA66" s="868"/>
      <c r="AB66" s="743"/>
      <c r="AC66" s="743"/>
      <c r="AD66" s="743"/>
      <c r="AE66" s="743"/>
      <c r="AF66" s="868"/>
      <c r="AG66" s="743"/>
      <c r="AH66" s="743"/>
      <c r="AI66" s="743"/>
      <c r="AJ66" s="743"/>
      <c r="AK66" s="868"/>
      <c r="AL66" s="743"/>
      <c r="AM66" s="291"/>
      <c r="AN66" s="291"/>
      <c r="AO66" s="291"/>
      <c r="AP66" s="864"/>
      <c r="AQ66" s="291"/>
      <c r="AR66" s="291"/>
      <c r="AS66" s="291"/>
      <c r="AT66" s="291"/>
      <c r="AU66" s="864"/>
      <c r="AV66" s="291"/>
      <c r="AW66" s="291"/>
      <c r="AX66" s="291"/>
      <c r="AY66" s="291"/>
      <c r="AZ66" s="864"/>
      <c r="BA66" s="291"/>
      <c r="BB66" s="291"/>
      <c r="BC66" s="291"/>
      <c r="BD66" s="291"/>
      <c r="BE66" s="864"/>
      <c r="BF66" s="291"/>
      <c r="BG66" s="291"/>
      <c r="BH66" s="291"/>
      <c r="BI66" s="291"/>
      <c r="BJ66" s="864"/>
      <c r="BK66" s="241" t="str">
        <f t="shared" ref="BK66:CD66" si="15">IFERROR(BK65/BF65-1,"")</f>
        <v/>
      </c>
      <c r="BL66" s="241" t="str">
        <f t="shared" si="15"/>
        <v/>
      </c>
      <c r="BM66" s="241" t="str">
        <f t="shared" si="15"/>
        <v/>
      </c>
      <c r="BN66" s="241" t="str">
        <f t="shared" si="15"/>
        <v/>
      </c>
      <c r="BO66" s="869" t="str">
        <f t="shared" si="15"/>
        <v/>
      </c>
      <c r="BP66" s="241">
        <f t="shared" si="15"/>
        <v>0.12857848817394868</v>
      </c>
      <c r="BQ66" s="241">
        <f t="shared" si="15"/>
        <v>0.37818743234965901</v>
      </c>
      <c r="BR66" s="241">
        <f t="shared" si="15"/>
        <v>0.30396861280865761</v>
      </c>
      <c r="BS66" s="241">
        <f t="shared" si="15"/>
        <v>-1.6551557110093587</v>
      </c>
      <c r="BT66" s="869" t="str">
        <f t="shared" si="15"/>
        <v/>
      </c>
      <c r="BU66" s="241">
        <f t="shared" si="15"/>
        <v>0.46628013196536289</v>
      </c>
      <c r="BV66" s="241">
        <f t="shared" si="15"/>
        <v>0.26388271608696434</v>
      </c>
      <c r="BW66" s="241">
        <f t="shared" si="15"/>
        <v>5.9040982506375572E-2</v>
      </c>
      <c r="BX66" s="241">
        <f t="shared" si="15"/>
        <v>-9.9785959953270775E-2</v>
      </c>
      <c r="BY66" s="869">
        <f t="shared" si="15"/>
        <v>0.12665548663671755</v>
      </c>
      <c r="BZ66" s="241">
        <f t="shared" si="15"/>
        <v>0.13747670191842332</v>
      </c>
      <c r="CA66" s="241">
        <f t="shared" si="15"/>
        <v>4.2327812942570597E-2</v>
      </c>
      <c r="CB66" s="241">
        <f t="shared" si="15"/>
        <v>0.1587991445092809</v>
      </c>
      <c r="CC66" s="241">
        <f t="shared" si="15"/>
        <v>4.9962565510356605E-2</v>
      </c>
      <c r="CD66" s="869">
        <f t="shared" si="15"/>
        <v>9.4348457180315481E-2</v>
      </c>
      <c r="CE66" s="241">
        <f>IFERROR(CE65/BZ65-1,"")</f>
        <v>0.21238168954794201</v>
      </c>
      <c r="CF66" s="241">
        <f>IFERROR(CF65/CA65-1,"")</f>
        <v>0.14153738082363976</v>
      </c>
      <c r="CG66" s="755">
        <v>0.13</v>
      </c>
      <c r="CH66" s="241">
        <f>IFERROR(CH65/CC65-1,"")</f>
        <v>0.24109025220833447</v>
      </c>
      <c r="CI66" s="756">
        <v>0.1615</v>
      </c>
      <c r="CJ66" s="756">
        <f>CHOOSE(MATCH($CO$3,{"Base";"Bull";"Bear"},0),CV60,CV70,CV80)</f>
        <v>8.5000000000000006E-2</v>
      </c>
      <c r="CK66" s="756">
        <f>CHOOSE(MATCH($CO$3,{"Base";"Bull";"Bear"},0),CW60,CW70,CW80)</f>
        <v>7.0000000000000007E-2</v>
      </c>
      <c r="CL66" s="756">
        <f>CHOOSE(MATCH($CO$3,{"Base";"Bull";"Bear"},0),CX60,CX70,CX80)</f>
        <v>5.5E-2</v>
      </c>
      <c r="CM66" s="756">
        <f>CHOOSE(MATCH($CO$3,{"Base";"Bull";"Bear"},0),CY60,CY70,CY80)</f>
        <v>4.4999999999999998E-2</v>
      </c>
      <c r="CN66" s="291"/>
      <c r="CO66" s="683"/>
      <c r="CP66" s="291"/>
      <c r="CQ66" s="694" t="s">
        <v>825</v>
      </c>
    </row>
    <row r="67" spans="2:103" ht="16.5" customHeight="1" x14ac:dyDescent="0.25">
      <c r="B67" s="12" t="s">
        <v>880</v>
      </c>
      <c r="C67" s="241"/>
      <c r="D67" s="241"/>
      <c r="E67" s="241"/>
      <c r="F67" s="241"/>
      <c r="G67" s="869"/>
      <c r="H67" s="241"/>
      <c r="I67" s="241"/>
      <c r="J67" s="241"/>
      <c r="K67" s="241"/>
      <c r="L67" s="869"/>
      <c r="M67" s="241"/>
      <c r="N67" s="241"/>
      <c r="O67" s="241"/>
      <c r="P67" s="241"/>
      <c r="Q67" s="869"/>
      <c r="R67" s="241"/>
      <c r="S67" s="241"/>
      <c r="T67" s="241"/>
      <c r="U67" s="241"/>
      <c r="V67" s="869"/>
      <c r="W67" s="241"/>
      <c r="X67" s="241"/>
      <c r="Y67" s="241"/>
      <c r="Z67" s="241"/>
      <c r="AA67" s="869"/>
      <c r="AB67" s="241"/>
      <c r="AC67" s="241"/>
      <c r="AD67" s="241"/>
      <c r="AE67" s="241"/>
      <c r="AF67" s="869"/>
      <c r="AG67" s="241"/>
      <c r="AH67" s="241"/>
      <c r="AI67" s="241"/>
      <c r="AJ67" s="241"/>
      <c r="AK67" s="869"/>
      <c r="AL67" s="241"/>
      <c r="AM67" s="241"/>
      <c r="AN67" s="241"/>
      <c r="AO67" s="241"/>
      <c r="AP67" s="869"/>
      <c r="AQ67" s="241"/>
      <c r="AR67" s="241"/>
      <c r="AS67" s="241"/>
      <c r="AT67" s="241"/>
      <c r="AU67" s="869"/>
      <c r="AV67" s="241"/>
      <c r="AW67" s="241"/>
      <c r="AX67" s="241"/>
      <c r="AY67" s="241"/>
      <c r="AZ67" s="869"/>
      <c r="BA67" s="241"/>
      <c r="BB67" s="241"/>
      <c r="BC67" s="241"/>
      <c r="BD67" s="241"/>
      <c r="BE67" s="869"/>
      <c r="BF67" s="241"/>
      <c r="BG67" s="241"/>
      <c r="BH67" s="241"/>
      <c r="BI67" s="241"/>
      <c r="BJ67" s="869"/>
      <c r="BK67" s="754"/>
      <c r="BL67" s="754"/>
      <c r="BM67" s="754"/>
      <c r="BN67" s="754">
        <f>BO67-BK67-BL67-BM67</f>
        <v>0</v>
      </c>
      <c r="BO67" s="911"/>
      <c r="BP67" s="743">
        <v>14.516999999999999</v>
      </c>
      <c r="BQ67" s="743">
        <v>15.680999999999999</v>
      </c>
      <c r="BR67" s="743">
        <v>19.745000000000001</v>
      </c>
      <c r="BS67" s="291">
        <f>BT67-BP67-BQ67-BR67</f>
        <v>10.682000000000006</v>
      </c>
      <c r="BT67" s="868">
        <v>60.625</v>
      </c>
      <c r="BU67" s="743">
        <v>20.626000000000001</v>
      </c>
      <c r="BV67" s="743">
        <v>24.844999999999999</v>
      </c>
      <c r="BW67" s="743">
        <v>24.367000000000001</v>
      </c>
      <c r="BX67" s="291">
        <f>BY67-BU67-BV67-BW67</f>
        <v>15.664999999999996</v>
      </c>
      <c r="BY67" s="868">
        <v>85.503</v>
      </c>
      <c r="BZ67" s="743">
        <v>24.204000000000001</v>
      </c>
      <c r="CA67" s="743">
        <v>25.591000000000001</v>
      </c>
      <c r="CB67" s="743">
        <v>32.622999999999998</v>
      </c>
      <c r="CC67" s="291">
        <f>CD67-BZ67-CA67-CB67</f>
        <v>16.338999999999999</v>
      </c>
      <c r="CD67" s="868">
        <v>98.757000000000005</v>
      </c>
      <c r="CE67" s="753">
        <v>28.390999999999998</v>
      </c>
      <c r="CF67" s="753">
        <v>29.393999999999998</v>
      </c>
      <c r="CG67" s="754">
        <f t="shared" ref="CG67:CM67" si="16">CG65*CG69</f>
        <v>29.259596239999997</v>
      </c>
      <c r="CH67" s="754">
        <f t="shared" si="16"/>
        <v>33.026081799999972</v>
      </c>
      <c r="CI67" s="757">
        <f t="shared" si="16"/>
        <v>120.74954</v>
      </c>
      <c r="CJ67" s="749">
        <f t="shared" si="16"/>
        <v>148.10193579999998</v>
      </c>
      <c r="CK67" s="749">
        <f t="shared" si="16"/>
        <v>164.56403558699998</v>
      </c>
      <c r="CL67" s="749">
        <f t="shared" si="16"/>
        <v>180.04524486073998</v>
      </c>
      <c r="CM67" s="749">
        <f t="shared" si="16"/>
        <v>188.14728087947324</v>
      </c>
      <c r="CN67" s="241"/>
      <c r="CO67" s="683"/>
      <c r="CP67" s="241"/>
      <c r="CQ67" s="693"/>
      <c r="CT67" s="968" t="s">
        <v>970</v>
      </c>
      <c r="CU67" s="968"/>
      <c r="CV67" s="968"/>
      <c r="CW67" s="968"/>
      <c r="CX67" s="968"/>
      <c r="CY67" s="968"/>
    </row>
    <row r="68" spans="2:103" ht="16.5" customHeight="1" x14ac:dyDescent="0.25">
      <c r="B68" s="12" t="s">
        <v>881</v>
      </c>
      <c r="C68" s="241"/>
      <c r="D68" s="241"/>
      <c r="E68" s="241"/>
      <c r="F68" s="241"/>
      <c r="G68" s="869"/>
      <c r="H68" s="241"/>
      <c r="I68" s="241"/>
      <c r="J68" s="241"/>
      <c r="K68" s="241"/>
      <c r="L68" s="869"/>
      <c r="M68" s="241"/>
      <c r="N68" s="241"/>
      <c r="O68" s="241"/>
      <c r="P68" s="241"/>
      <c r="Q68" s="869"/>
      <c r="R68" s="241"/>
      <c r="S68" s="241"/>
      <c r="T68" s="241"/>
      <c r="U68" s="241"/>
      <c r="V68" s="869"/>
      <c r="W68" s="241"/>
      <c r="X68" s="241"/>
      <c r="Y68" s="241"/>
      <c r="Z68" s="241"/>
      <c r="AA68" s="869"/>
      <c r="AB68" s="241"/>
      <c r="AC68" s="241"/>
      <c r="AD68" s="241"/>
      <c r="AE68" s="241"/>
      <c r="AF68" s="869"/>
      <c r="AG68" s="241"/>
      <c r="AH68" s="241"/>
      <c r="AI68" s="241"/>
      <c r="AJ68" s="241"/>
      <c r="AK68" s="869"/>
      <c r="AL68" s="241"/>
      <c r="AM68" s="241"/>
      <c r="AN68" s="241"/>
      <c r="AO68" s="241"/>
      <c r="AP68" s="869"/>
      <c r="AQ68" s="241"/>
      <c r="AR68" s="241"/>
      <c r="AS68" s="241"/>
      <c r="AT68" s="241"/>
      <c r="AU68" s="869"/>
      <c r="AV68" s="241"/>
      <c r="AW68" s="241"/>
      <c r="AX68" s="241"/>
      <c r="AY68" s="241"/>
      <c r="AZ68" s="869"/>
      <c r="BA68" s="241"/>
      <c r="BB68" s="241"/>
      <c r="BC68" s="241"/>
      <c r="BD68" s="241"/>
      <c r="BE68" s="869"/>
      <c r="BF68" s="241"/>
      <c r="BG68" s="241"/>
      <c r="BH68" s="241"/>
      <c r="BI68" s="241"/>
      <c r="BJ68" s="869"/>
      <c r="BK68" s="241" t="str">
        <f t="shared" ref="BK68:CD68" si="17">IFERROR(BK67/BF67-1,"")</f>
        <v/>
      </c>
      <c r="BL68" s="241" t="str">
        <f t="shared" si="17"/>
        <v/>
      </c>
      <c r="BM68" s="241" t="str">
        <f t="shared" si="17"/>
        <v/>
      </c>
      <c r="BN68" s="241" t="str">
        <f t="shared" si="17"/>
        <v/>
      </c>
      <c r="BO68" s="869" t="str">
        <f t="shared" si="17"/>
        <v/>
      </c>
      <c r="BP68" s="241" t="str">
        <f t="shared" si="17"/>
        <v/>
      </c>
      <c r="BQ68" s="241" t="str">
        <f t="shared" si="17"/>
        <v/>
      </c>
      <c r="BR68" s="241" t="str">
        <f t="shared" si="17"/>
        <v/>
      </c>
      <c r="BS68" s="241" t="str">
        <f t="shared" si="17"/>
        <v/>
      </c>
      <c r="BT68" s="869" t="str">
        <f t="shared" si="17"/>
        <v/>
      </c>
      <c r="BU68" s="241">
        <f t="shared" si="17"/>
        <v>0.42081697320383005</v>
      </c>
      <c r="BV68" s="241">
        <f t="shared" si="17"/>
        <v>0.58440150500605825</v>
      </c>
      <c r="BW68" s="241">
        <f t="shared" si="17"/>
        <v>0.23408457837427199</v>
      </c>
      <c r="BX68" s="241">
        <f t="shared" si="17"/>
        <v>0.46648567683954201</v>
      </c>
      <c r="BY68" s="869">
        <f t="shared" si="17"/>
        <v>0.41035876288659789</v>
      </c>
      <c r="BZ68" s="241">
        <f t="shared" si="17"/>
        <v>0.17347037719383307</v>
      </c>
      <c r="CA68" s="241">
        <f t="shared" si="17"/>
        <v>3.0026162205675222E-2</v>
      </c>
      <c r="CB68" s="241">
        <f t="shared" si="17"/>
        <v>0.33881889440636903</v>
      </c>
      <c r="CC68" s="241">
        <f t="shared" si="17"/>
        <v>4.3025853814235848E-2</v>
      </c>
      <c r="CD68" s="869">
        <f t="shared" si="17"/>
        <v>0.15501210483842676</v>
      </c>
      <c r="CE68" s="241">
        <f>IFERROR(CE67/BZ67-1,"")</f>
        <v>0.17298793587836703</v>
      </c>
      <c r="CF68" s="241">
        <f>IFERROR(CF67/CA67-1,"")</f>
        <v>0.14860693212457488</v>
      </c>
      <c r="CG68" s="241">
        <f>IFERROR(CG67/CB67-1,"")</f>
        <v>-0.10309915581031792</v>
      </c>
      <c r="CH68" s="241">
        <f>IFERROR(CH67/CC67-1,"")</f>
        <v>1.0213037395189408</v>
      </c>
      <c r="CI68" s="751">
        <f>IFERROR(CI67/CD67-1,"")</f>
        <v>0.22269347995585109</v>
      </c>
      <c r="CJ68" s="751">
        <f>IFERROR(CJ67/CI67-1,"")</f>
        <v>0.22652173913043461</v>
      </c>
      <c r="CK68" s="751">
        <f>IFERROR(CK67/CJ67-1,"")</f>
        <v>0.11115384615384616</v>
      </c>
      <c r="CL68" s="751">
        <f>IFERROR(CL67/CK67-1,"")</f>
        <v>9.4074074074074199E-2</v>
      </c>
      <c r="CM68" s="751">
        <f>IFERROR(CM67/CL67-1,"")</f>
        <v>4.4999999999999707E-2</v>
      </c>
      <c r="CN68" s="241"/>
      <c r="CO68" s="683"/>
      <c r="CP68" s="241"/>
      <c r="CQ68" s="693"/>
      <c r="CT68" t="s">
        <v>962</v>
      </c>
      <c r="CU68" s="676">
        <v>0.12</v>
      </c>
      <c r="CV68" s="676">
        <v>0.1</v>
      </c>
      <c r="CW68" s="676">
        <v>0.08</v>
      </c>
      <c r="CX68" s="676">
        <v>7.0000000000000007E-2</v>
      </c>
      <c r="CY68" s="676">
        <v>6.5000000000000002E-2</v>
      </c>
    </row>
    <row r="69" spans="2:103" ht="16.5" customHeight="1" x14ac:dyDescent="0.25">
      <c r="B69" s="12" t="s">
        <v>181</v>
      </c>
      <c r="C69" s="743"/>
      <c r="D69" s="743"/>
      <c r="E69" s="743"/>
      <c r="F69" s="743"/>
      <c r="G69" s="868"/>
      <c r="H69" s="743"/>
      <c r="I69" s="743"/>
      <c r="J69" s="743"/>
      <c r="K69" s="743"/>
      <c r="L69" s="868"/>
      <c r="M69" s="743"/>
      <c r="N69" s="743"/>
      <c r="O69" s="743"/>
      <c r="P69" s="743"/>
      <c r="Q69" s="868"/>
      <c r="R69" s="743"/>
      <c r="S69" s="743"/>
      <c r="T69" s="743"/>
      <c r="U69" s="743"/>
      <c r="V69" s="868"/>
      <c r="W69" s="743"/>
      <c r="X69" s="743"/>
      <c r="Y69" s="743"/>
      <c r="Z69" s="743"/>
      <c r="AA69" s="868"/>
      <c r="AB69" s="743"/>
      <c r="AC69" s="743"/>
      <c r="AD69" s="743"/>
      <c r="AE69" s="743"/>
      <c r="AF69" s="868"/>
      <c r="AG69" s="743"/>
      <c r="AH69" s="743"/>
      <c r="AI69" s="743"/>
      <c r="AJ69" s="743"/>
      <c r="AK69" s="868"/>
      <c r="AL69" s="743"/>
      <c r="AM69" s="291"/>
      <c r="AN69" s="291"/>
      <c r="AO69" s="291"/>
      <c r="AP69" s="864"/>
      <c r="AQ69" s="291"/>
      <c r="AR69" s="291"/>
      <c r="AS69" s="291"/>
      <c r="AT69" s="291"/>
      <c r="AU69" s="864"/>
      <c r="AV69" s="291"/>
      <c r="AW69" s="291"/>
      <c r="AX69" s="291"/>
      <c r="AY69" s="291"/>
      <c r="AZ69" s="864"/>
      <c r="BA69" s="291"/>
      <c r="BB69" s="291"/>
      <c r="BC69" s="291"/>
      <c r="BD69" s="291"/>
      <c r="BE69" s="864"/>
      <c r="BF69" s="291"/>
      <c r="BG69" s="291"/>
      <c r="BH69" s="291"/>
      <c r="BI69" s="291"/>
      <c r="BJ69" s="864"/>
      <c r="BK69" s="241">
        <f t="shared" ref="BK69:CD69" si="18">IFERROR(BK67/BK65,"")</f>
        <v>0</v>
      </c>
      <c r="BL69" s="241">
        <f t="shared" si="18"/>
        <v>0</v>
      </c>
      <c r="BM69" s="241">
        <f t="shared" si="18"/>
        <v>0</v>
      </c>
      <c r="BN69" s="241">
        <f t="shared" si="18"/>
        <v>0</v>
      </c>
      <c r="BO69" s="869" t="str">
        <f t="shared" si="18"/>
        <v/>
      </c>
      <c r="BP69" s="241">
        <f t="shared" si="18"/>
        <v>0.1095961769302199</v>
      </c>
      <c r="BQ69" s="241">
        <f t="shared" si="18"/>
        <v>9.5469738388198541E-2</v>
      </c>
      <c r="BR69" s="241">
        <f t="shared" si="18"/>
        <v>0.11042570802201244</v>
      </c>
      <c r="BS69" s="241">
        <f t="shared" si="18"/>
        <v>4.3633125556544979E-2</v>
      </c>
      <c r="BT69" s="869">
        <f t="shared" si="18"/>
        <v>8.4162580587840055E-2</v>
      </c>
      <c r="BU69" s="241">
        <f t="shared" si="18"/>
        <v>0.10619806201151261</v>
      </c>
      <c r="BV69" s="241">
        <f t="shared" si="18"/>
        <v>0.11968072294960355</v>
      </c>
      <c r="BW69" s="241">
        <f t="shared" si="18"/>
        <v>0.12867742191006787</v>
      </c>
      <c r="BX69" s="241">
        <f t="shared" si="18"/>
        <v>7.108015518297521E-2</v>
      </c>
      <c r="BY69" s="869">
        <f t="shared" si="18"/>
        <v>0.10535557182040647</v>
      </c>
      <c r="BZ69" s="241">
        <f t="shared" si="18"/>
        <v>0.10955853396884888</v>
      </c>
      <c r="CA69" s="241">
        <f t="shared" si="18"/>
        <v>0.11826823981772892</v>
      </c>
      <c r="CB69" s="241">
        <f t="shared" si="18"/>
        <v>0.14866749302757978</v>
      </c>
      <c r="CC69" s="241">
        <f t="shared" si="18"/>
        <v>7.0610555065774683E-2</v>
      </c>
      <c r="CD69" s="869">
        <f t="shared" si="18"/>
        <v>0.11119580784924832</v>
      </c>
      <c r="CE69" s="241">
        <f>IFERROR(CE67/CE65,"")</f>
        <v>0.10599866339609397</v>
      </c>
      <c r="CF69" s="241">
        <f>IFERROR(CF67/CF65,"")</f>
        <v>0.11900067609419974</v>
      </c>
      <c r="CG69" s="755">
        <v>0.11799999999999999</v>
      </c>
      <c r="CH69" s="755">
        <v>0.115</v>
      </c>
      <c r="CI69" s="756">
        <v>0.115</v>
      </c>
      <c r="CJ69" s="756">
        <f>CHOOSE(MATCH($CO$3,{"Base";"Bull";"Bear"},0),CV61,CV71,CV81)</f>
        <v>0.13</v>
      </c>
      <c r="CK69" s="756">
        <f>CHOOSE(MATCH($CO$3,{"Base";"Bull";"Bear"},0),CW61,CW71,CW81)</f>
        <v>0.13500000000000001</v>
      </c>
      <c r="CL69" s="756">
        <f>CHOOSE(MATCH($CO$3,{"Base";"Bull";"Bear"},0),CX61,CX71,CX81)</f>
        <v>0.14000000000000001</v>
      </c>
      <c r="CM69" s="756">
        <f>CHOOSE(MATCH($CO$3,{"Base";"Bull";"Bear"},0),CY61,CY71,CY81)</f>
        <v>0.14000000000000001</v>
      </c>
      <c r="CN69" s="291"/>
      <c r="CO69" s="683"/>
      <c r="CP69" s="291"/>
      <c r="CQ69" s="693"/>
      <c r="CT69" t="s">
        <v>963</v>
      </c>
      <c r="CU69" s="676">
        <v>0.13</v>
      </c>
      <c r="CV69" s="676">
        <v>0.13500000000000001</v>
      </c>
      <c r="CW69" s="676">
        <v>0.14000000000000001</v>
      </c>
      <c r="CX69" s="676">
        <v>0.14499999999999999</v>
      </c>
      <c r="CY69" s="676">
        <v>0.15</v>
      </c>
    </row>
    <row r="70" spans="2:103" ht="16.5" customHeight="1" x14ac:dyDescent="0.25">
      <c r="B70" s="12" t="s">
        <v>882</v>
      </c>
      <c r="C70" s="241"/>
      <c r="D70" s="241"/>
      <c r="E70" s="241"/>
      <c r="F70" s="241"/>
      <c r="G70" s="869"/>
      <c r="H70" s="241"/>
      <c r="I70" s="241"/>
      <c r="J70" s="241"/>
      <c r="K70" s="241"/>
      <c r="L70" s="869"/>
      <c r="M70" s="241"/>
      <c r="N70" s="241"/>
      <c r="O70" s="241"/>
      <c r="P70" s="241"/>
      <c r="Q70" s="869"/>
      <c r="R70" s="241"/>
      <c r="S70" s="241"/>
      <c r="T70" s="241"/>
      <c r="U70" s="241"/>
      <c r="V70" s="869"/>
      <c r="W70" s="241"/>
      <c r="X70" s="241"/>
      <c r="Y70" s="241"/>
      <c r="Z70" s="241"/>
      <c r="AA70" s="869"/>
      <c r="AB70" s="241"/>
      <c r="AC70" s="241"/>
      <c r="AD70" s="241"/>
      <c r="AE70" s="241"/>
      <c r="AF70" s="869"/>
      <c r="AG70" s="241"/>
      <c r="AH70" s="241"/>
      <c r="AI70" s="241"/>
      <c r="AJ70" s="241"/>
      <c r="AK70" s="869"/>
      <c r="AL70" s="241"/>
      <c r="AM70" s="241"/>
      <c r="AN70" s="241"/>
      <c r="AO70" s="241"/>
      <c r="AP70" s="869"/>
      <c r="AQ70" s="241"/>
      <c r="AR70" s="241"/>
      <c r="AS70" s="241"/>
      <c r="AT70" s="241"/>
      <c r="AU70" s="869"/>
      <c r="AV70" s="241"/>
      <c r="AW70" s="241"/>
      <c r="AX70" s="241"/>
      <c r="AY70" s="241"/>
      <c r="AZ70" s="869"/>
      <c r="BA70" s="241"/>
      <c r="BB70" s="241"/>
      <c r="BC70" s="241"/>
      <c r="BD70" s="241"/>
      <c r="BE70" s="869"/>
      <c r="BF70" s="241"/>
      <c r="BG70" s="241"/>
      <c r="BH70" s="241"/>
      <c r="BI70" s="241"/>
      <c r="BJ70" s="869"/>
      <c r="BK70" s="241">
        <f t="shared" ref="BK70:CD70" si="19">IFERROR((BK67-BF67)/(BK65-BF65),"")</f>
        <v>0</v>
      </c>
      <c r="BL70" s="241">
        <f t="shared" si="19"/>
        <v>0</v>
      </c>
      <c r="BM70" s="241">
        <f t="shared" si="19"/>
        <v>0</v>
      </c>
      <c r="BN70" s="241">
        <f t="shared" si="19"/>
        <v>0</v>
      </c>
      <c r="BO70" s="869" t="str">
        <f t="shared" si="19"/>
        <v/>
      </c>
      <c r="BP70" s="758">
        <f t="shared" si="19"/>
        <v>0.96196408455370697</v>
      </c>
      <c r="BQ70" s="758">
        <f t="shared" si="19"/>
        <v>0.34791001064962723</v>
      </c>
      <c r="BR70" s="758">
        <f t="shared" si="19"/>
        <v>0.47370567631111765</v>
      </c>
      <c r="BS70" s="758">
        <f t="shared" si="19"/>
        <v>1.7271179507410833E-2</v>
      </c>
      <c r="BT70" s="886">
        <f t="shared" si="19"/>
        <v>8.4162580587840055E-2</v>
      </c>
      <c r="BU70" s="758">
        <f t="shared" si="19"/>
        <v>9.8910350857309412E-2</v>
      </c>
      <c r="BV70" s="758">
        <f t="shared" si="19"/>
        <v>0.2114297579770667</v>
      </c>
      <c r="BW70" s="758">
        <f t="shared" si="19"/>
        <v>0.43781377285213535</v>
      </c>
      <c r="BX70" s="758">
        <f t="shared" si="19"/>
        <v>-0.20397887756355085</v>
      </c>
      <c r="BY70" s="886">
        <f t="shared" si="19"/>
        <v>0.27268342942324125</v>
      </c>
      <c r="BZ70" s="758">
        <f t="shared" si="19"/>
        <v>0.13400247181753494</v>
      </c>
      <c r="CA70" s="758">
        <f t="shared" si="19"/>
        <v>8.4898144986912671E-2</v>
      </c>
      <c r="CB70" s="758">
        <f t="shared" si="19"/>
        <v>0.2745502311196833</v>
      </c>
      <c r="CC70" s="758">
        <f t="shared" si="19"/>
        <v>6.1211515756970918E-2</v>
      </c>
      <c r="CD70" s="886">
        <f t="shared" si="19"/>
        <v>0.17309651299464562</v>
      </c>
      <c r="CE70" s="758"/>
      <c r="CF70" s="758"/>
      <c r="CG70" s="758"/>
      <c r="CH70" s="758"/>
      <c r="CI70" s="759">
        <f>IFERROR((CI67-CD67)/(CI65-CD65),"")</f>
        <v>0.13587384159149885</v>
      </c>
      <c r="CJ70" s="759">
        <f>IFERROR((CJ67-CI67)/(CJ65-CI65),"")</f>
        <v>0.30647058823529411</v>
      </c>
      <c r="CK70" s="759">
        <f>IFERROR((CK67-CJ67)/(CK65-CJ65),"")</f>
        <v>0.20642857142857152</v>
      </c>
      <c r="CL70" s="759">
        <f>IFERROR((CL67-CK67)/(CL65-CK65),"")</f>
        <v>0.23090909090909104</v>
      </c>
      <c r="CM70" s="759">
        <f>IFERROR((CM67-CL67)/(CM65-CL65),"")</f>
        <v>0.13999999999999979</v>
      </c>
      <c r="CN70" s="241"/>
      <c r="CO70" s="683"/>
      <c r="CP70" s="241"/>
      <c r="CQ70" s="693"/>
      <c r="CT70" t="s">
        <v>964</v>
      </c>
      <c r="CU70" s="676">
        <v>0.14000000000000001</v>
      </c>
      <c r="CV70" s="676">
        <v>0.115</v>
      </c>
      <c r="CW70" s="676">
        <v>0.09</v>
      </c>
      <c r="CX70" s="676">
        <v>7.4999999999999997E-2</v>
      </c>
      <c r="CY70" s="676">
        <v>0.06</v>
      </c>
    </row>
    <row r="71" spans="2:103" ht="16.5" customHeight="1" x14ac:dyDescent="0.25">
      <c r="B71" s="702" t="s">
        <v>681</v>
      </c>
      <c r="C71" s="241"/>
      <c r="D71" s="241"/>
      <c r="E71" s="241"/>
      <c r="F71" s="241"/>
      <c r="G71" s="869"/>
      <c r="H71" s="241"/>
      <c r="I71" s="241"/>
      <c r="J71" s="241"/>
      <c r="K71" s="241"/>
      <c r="L71" s="869"/>
      <c r="M71" s="241"/>
      <c r="N71" s="241"/>
      <c r="O71" s="241"/>
      <c r="P71" s="241"/>
      <c r="Q71" s="869"/>
      <c r="R71" s="241"/>
      <c r="S71" s="241"/>
      <c r="T71" s="241"/>
      <c r="U71" s="241"/>
      <c r="V71" s="869"/>
      <c r="W71" s="241"/>
      <c r="X71" s="241"/>
      <c r="Y71" s="241"/>
      <c r="Z71" s="241"/>
      <c r="AA71" s="869"/>
      <c r="AB71" s="241"/>
      <c r="AC71" s="241"/>
      <c r="AD71" s="241"/>
      <c r="AE71" s="241"/>
      <c r="AF71" s="869"/>
      <c r="AG71" s="241"/>
      <c r="AH71" s="241"/>
      <c r="AI71" s="241"/>
      <c r="AJ71" s="241"/>
      <c r="AK71" s="869"/>
      <c r="AL71" s="241"/>
      <c r="AM71" s="241"/>
      <c r="AN71" s="241"/>
      <c r="AO71" s="241"/>
      <c r="AP71" s="869"/>
      <c r="AQ71" s="241"/>
      <c r="AR71" s="241"/>
      <c r="AS71" s="241"/>
      <c r="AT71" s="241"/>
      <c r="AU71" s="869"/>
      <c r="AV71" s="241"/>
      <c r="AW71" s="241"/>
      <c r="AX71" s="241"/>
      <c r="AY71" s="241"/>
      <c r="AZ71" s="869"/>
      <c r="BA71" s="241"/>
      <c r="BB71" s="241"/>
      <c r="BC71" s="241"/>
      <c r="BD71" s="241"/>
      <c r="BE71" s="869"/>
      <c r="BF71" s="241"/>
      <c r="BG71" s="241"/>
      <c r="BH71" s="241"/>
      <c r="BI71" s="241"/>
      <c r="BJ71" s="869"/>
      <c r="BK71" s="760"/>
      <c r="BL71" s="760"/>
      <c r="BM71" s="760"/>
      <c r="BN71" s="760"/>
      <c r="BO71" s="932"/>
      <c r="BP71" s="760"/>
      <c r="BQ71" s="760"/>
      <c r="BR71" s="760"/>
      <c r="BS71" s="760"/>
      <c r="BT71" s="932"/>
      <c r="BU71" s="760"/>
      <c r="BV71" s="760"/>
      <c r="BW71" s="760"/>
      <c r="BX71" s="760"/>
      <c r="BY71" s="932"/>
      <c r="BZ71" s="760"/>
      <c r="CA71" s="760"/>
      <c r="CB71" s="760"/>
      <c r="CC71" s="760"/>
      <c r="CD71" s="932"/>
      <c r="CE71" s="760"/>
      <c r="CF71" s="760"/>
      <c r="CG71" s="760"/>
      <c r="CH71" s="760"/>
      <c r="CI71" s="761"/>
      <c r="CJ71" s="761"/>
      <c r="CK71" s="761"/>
      <c r="CL71" s="761"/>
      <c r="CM71" s="761"/>
      <c r="CN71" s="241"/>
      <c r="CO71" s="683"/>
      <c r="CP71" s="241"/>
      <c r="CQ71" s="693"/>
      <c r="CT71" t="s">
        <v>965</v>
      </c>
      <c r="CU71" s="676">
        <v>0.14000000000000001</v>
      </c>
      <c r="CV71" s="676">
        <v>0.14499999999999999</v>
      </c>
      <c r="CW71" s="676">
        <v>0.15</v>
      </c>
      <c r="CX71" s="676">
        <v>0.155</v>
      </c>
      <c r="CY71" s="676">
        <v>0.155</v>
      </c>
    </row>
    <row r="72" spans="2:103" ht="16.5" customHeight="1" x14ac:dyDescent="0.25">
      <c r="B72" s="702" t="s">
        <v>883</v>
      </c>
      <c r="C72" s="241"/>
      <c r="D72" s="241"/>
      <c r="E72" s="241"/>
      <c r="F72" s="241"/>
      <c r="G72" s="869"/>
      <c r="H72" s="241"/>
      <c r="I72" s="241"/>
      <c r="J72" s="241"/>
      <c r="K72" s="241"/>
      <c r="L72" s="869"/>
      <c r="M72" s="241"/>
      <c r="N72" s="241"/>
      <c r="O72" s="241"/>
      <c r="P72" s="241"/>
      <c r="Q72" s="869"/>
      <c r="R72" s="241"/>
      <c r="S72" s="241"/>
      <c r="T72" s="241"/>
      <c r="U72" s="241"/>
      <c r="V72" s="869"/>
      <c r="W72" s="241"/>
      <c r="X72" s="241"/>
      <c r="Y72" s="241"/>
      <c r="Z72" s="241"/>
      <c r="AA72" s="869"/>
      <c r="AB72" s="241"/>
      <c r="AC72" s="241"/>
      <c r="AD72" s="241"/>
      <c r="AE72" s="241"/>
      <c r="AF72" s="869"/>
      <c r="AG72" s="241"/>
      <c r="AH72" s="241"/>
      <c r="AI72" s="241"/>
      <c r="AJ72" s="241"/>
      <c r="AK72" s="869"/>
      <c r="AL72" s="241"/>
      <c r="AM72" s="241"/>
      <c r="AN72" s="241"/>
      <c r="AO72" s="241"/>
      <c r="AP72" s="869"/>
      <c r="AQ72" s="241"/>
      <c r="AR72" s="241"/>
      <c r="AS72" s="241"/>
      <c r="AT72" s="241"/>
      <c r="AU72" s="869"/>
      <c r="AV72" s="241"/>
      <c r="AW72" s="241"/>
      <c r="AX72" s="241"/>
      <c r="AY72" s="241"/>
      <c r="AZ72" s="869"/>
      <c r="BA72" s="241"/>
      <c r="BB72" s="241"/>
      <c r="BC72" s="241"/>
      <c r="BD72" s="241"/>
      <c r="BE72" s="869"/>
      <c r="BF72" s="241"/>
      <c r="BG72" s="241"/>
      <c r="BH72" s="241"/>
      <c r="BI72" s="241"/>
      <c r="BJ72" s="869"/>
      <c r="BK72" s="762" t="str">
        <f t="shared" ref="BK72:CD72" si="20">IFERROR(BK71/BF71-1,"")</f>
        <v/>
      </c>
      <c r="BL72" s="762" t="str">
        <f t="shared" si="20"/>
        <v/>
      </c>
      <c r="BM72" s="762" t="str">
        <f t="shared" si="20"/>
        <v/>
      </c>
      <c r="BN72" s="762" t="str">
        <f t="shared" si="20"/>
        <v/>
      </c>
      <c r="BO72" s="933" t="str">
        <f t="shared" si="20"/>
        <v/>
      </c>
      <c r="BP72" s="762" t="str">
        <f t="shared" si="20"/>
        <v/>
      </c>
      <c r="BQ72" s="762" t="str">
        <f t="shared" si="20"/>
        <v/>
      </c>
      <c r="BR72" s="762" t="str">
        <f t="shared" si="20"/>
        <v/>
      </c>
      <c r="BS72" s="762" t="str">
        <f t="shared" si="20"/>
        <v/>
      </c>
      <c r="BT72" s="933" t="str">
        <f t="shared" si="20"/>
        <v/>
      </c>
      <c r="BU72" s="762" t="str">
        <f t="shared" si="20"/>
        <v/>
      </c>
      <c r="BV72" s="762" t="str">
        <f t="shared" si="20"/>
        <v/>
      </c>
      <c r="BW72" s="762" t="str">
        <f t="shared" si="20"/>
        <v/>
      </c>
      <c r="BX72" s="762" t="str">
        <f t="shared" si="20"/>
        <v/>
      </c>
      <c r="BY72" s="933" t="str">
        <f t="shared" si="20"/>
        <v/>
      </c>
      <c r="BZ72" s="762" t="str">
        <f t="shared" si="20"/>
        <v/>
      </c>
      <c r="CA72" s="762" t="str">
        <f t="shared" si="20"/>
        <v/>
      </c>
      <c r="CB72" s="762" t="str">
        <f t="shared" si="20"/>
        <v/>
      </c>
      <c r="CC72" s="762" t="str">
        <f t="shared" si="20"/>
        <v/>
      </c>
      <c r="CD72" s="933" t="str">
        <f t="shared" si="20"/>
        <v/>
      </c>
      <c r="CE72" s="762"/>
      <c r="CF72" s="762"/>
      <c r="CG72" s="762"/>
      <c r="CH72" s="762"/>
      <c r="CI72" s="751" t="str">
        <f>IFERROR(CI71/CD71-1,"")</f>
        <v/>
      </c>
      <c r="CJ72" s="751" t="str">
        <f>IFERROR(CJ71/CI71-1,"")</f>
        <v/>
      </c>
      <c r="CK72" s="751" t="str">
        <f>IFERROR(CK71/CJ71-1,"")</f>
        <v/>
      </c>
      <c r="CL72" s="751" t="str">
        <f>IFERROR(CL71/CK71-1,"")</f>
        <v/>
      </c>
      <c r="CM72" s="751" t="str">
        <f>IFERROR(CM71/CL71-1,"")</f>
        <v/>
      </c>
      <c r="CN72" s="241"/>
      <c r="CO72" s="683"/>
      <c r="CP72" s="241"/>
      <c r="CQ72" s="693"/>
      <c r="CT72" t="s">
        <v>966</v>
      </c>
      <c r="CU72" s="676">
        <v>0.2</v>
      </c>
      <c r="CV72" s="676">
        <v>0.16</v>
      </c>
      <c r="CW72" s="676">
        <v>0.13</v>
      </c>
      <c r="CX72" s="676">
        <v>0.12</v>
      </c>
      <c r="CY72" s="676">
        <v>0.12</v>
      </c>
    </row>
    <row r="73" spans="2:103" ht="16.5" customHeight="1" x14ac:dyDescent="0.25">
      <c r="B73" s="702" t="s">
        <v>682</v>
      </c>
      <c r="C73" s="241"/>
      <c r="D73" s="241"/>
      <c r="E73" s="241"/>
      <c r="F73" s="241"/>
      <c r="G73" s="869"/>
      <c r="H73" s="241"/>
      <c r="I73" s="241"/>
      <c r="J73" s="241"/>
      <c r="K73" s="241"/>
      <c r="L73" s="869"/>
      <c r="M73" s="241"/>
      <c r="N73" s="241"/>
      <c r="O73" s="241"/>
      <c r="P73" s="241"/>
      <c r="Q73" s="869"/>
      <c r="R73" s="241"/>
      <c r="S73" s="241"/>
      <c r="T73" s="241"/>
      <c r="U73" s="241"/>
      <c r="V73" s="869"/>
      <c r="W73" s="241"/>
      <c r="X73" s="241"/>
      <c r="Y73" s="241"/>
      <c r="Z73" s="241"/>
      <c r="AA73" s="869"/>
      <c r="AB73" s="241"/>
      <c r="AC73" s="241"/>
      <c r="AD73" s="241"/>
      <c r="AE73" s="241"/>
      <c r="AF73" s="869"/>
      <c r="AG73" s="241"/>
      <c r="AH73" s="241"/>
      <c r="AI73" s="241"/>
      <c r="AJ73" s="241"/>
      <c r="AK73" s="869"/>
      <c r="AL73" s="241"/>
      <c r="AM73" s="241"/>
      <c r="AN73" s="241"/>
      <c r="AO73" s="241"/>
      <c r="AP73" s="869"/>
      <c r="AQ73" s="241"/>
      <c r="AR73" s="241"/>
      <c r="AS73" s="241"/>
      <c r="AT73" s="241"/>
      <c r="AU73" s="869"/>
      <c r="AV73" s="241"/>
      <c r="AW73" s="241"/>
      <c r="AX73" s="241"/>
      <c r="AY73" s="241"/>
      <c r="AZ73" s="869"/>
      <c r="BA73" s="241"/>
      <c r="BB73" s="241"/>
      <c r="BC73" s="241"/>
      <c r="BD73" s="241"/>
      <c r="BE73" s="869"/>
      <c r="BF73" s="241"/>
      <c r="BG73" s="241"/>
      <c r="BH73" s="241"/>
      <c r="BI73" s="241"/>
      <c r="BJ73" s="869"/>
      <c r="BK73" s="763">
        <f t="shared" ref="BK73:CD73" si="21">IFERROR((BK65+BK71-BF71)/BK65,"")</f>
        <v>1</v>
      </c>
      <c r="BL73" s="763">
        <f t="shared" si="21"/>
        <v>1</v>
      </c>
      <c r="BM73" s="763">
        <f t="shared" si="21"/>
        <v>1</v>
      </c>
      <c r="BN73" s="763">
        <f t="shared" si="21"/>
        <v>1</v>
      </c>
      <c r="BO73" s="934" t="str">
        <f t="shared" si="21"/>
        <v/>
      </c>
      <c r="BP73" s="763">
        <f t="shared" si="21"/>
        <v>1</v>
      </c>
      <c r="BQ73" s="763">
        <f t="shared" si="21"/>
        <v>1</v>
      </c>
      <c r="BR73" s="763">
        <f t="shared" si="21"/>
        <v>1</v>
      </c>
      <c r="BS73" s="763">
        <f t="shared" si="21"/>
        <v>1</v>
      </c>
      <c r="BT73" s="934">
        <f t="shared" si="21"/>
        <v>1</v>
      </c>
      <c r="BU73" s="763">
        <f t="shared" si="21"/>
        <v>1</v>
      </c>
      <c r="BV73" s="763">
        <f t="shared" si="21"/>
        <v>1</v>
      </c>
      <c r="BW73" s="763">
        <f t="shared" si="21"/>
        <v>1</v>
      </c>
      <c r="BX73" s="763">
        <f t="shared" si="21"/>
        <v>1</v>
      </c>
      <c r="BY73" s="934">
        <f t="shared" si="21"/>
        <v>1</v>
      </c>
      <c r="BZ73" s="763">
        <f t="shared" si="21"/>
        <v>1</v>
      </c>
      <c r="CA73" s="763">
        <f t="shared" si="21"/>
        <v>1</v>
      </c>
      <c r="CB73" s="763">
        <f t="shared" si="21"/>
        <v>1</v>
      </c>
      <c r="CC73" s="763">
        <f t="shared" si="21"/>
        <v>1</v>
      </c>
      <c r="CD73" s="934">
        <f t="shared" si="21"/>
        <v>1</v>
      </c>
      <c r="CE73" s="763"/>
      <c r="CF73" s="763"/>
      <c r="CG73" s="763"/>
      <c r="CH73" s="763"/>
      <c r="CI73" s="764">
        <f>IFERROR((CI65+CI71-CD71)/CI65,"")</f>
        <v>1</v>
      </c>
      <c r="CJ73" s="764">
        <f>IFERROR((CJ65+CJ71-CI71)/CJ65,"")</f>
        <v>1</v>
      </c>
      <c r="CK73" s="764">
        <f>IFERROR((CK65+CK71-CJ71)/CK65,"")</f>
        <v>1</v>
      </c>
      <c r="CL73" s="764">
        <f>IFERROR((CL65+CL71-CK71)/CL65,"")</f>
        <v>1</v>
      </c>
      <c r="CM73" s="764">
        <f>IFERROR((CM65+CM71-CL71)/CM65,"")</f>
        <v>1</v>
      </c>
      <c r="CN73" s="241"/>
      <c r="CO73" s="683"/>
      <c r="CP73" s="241"/>
      <c r="CQ73" s="693"/>
      <c r="CT73" t="s">
        <v>967</v>
      </c>
      <c r="CU73" s="676">
        <v>0.14000000000000001</v>
      </c>
      <c r="CV73" s="676">
        <v>0.14499999999999999</v>
      </c>
      <c r="CW73" s="676">
        <v>0.15</v>
      </c>
      <c r="CX73" s="676">
        <v>0.155</v>
      </c>
      <c r="CY73" s="676">
        <v>0.155</v>
      </c>
    </row>
    <row r="74" spans="2:103" ht="16.5" customHeight="1" x14ac:dyDescent="0.25">
      <c r="C74" s="291"/>
      <c r="D74" s="291"/>
      <c r="E74" s="291"/>
      <c r="F74" s="291"/>
      <c r="G74" s="864"/>
      <c r="H74" s="291"/>
      <c r="I74" s="291"/>
      <c r="J74" s="291"/>
      <c r="K74" s="291"/>
      <c r="L74" s="864"/>
      <c r="M74" s="291"/>
      <c r="N74" s="291"/>
      <c r="O74" s="291"/>
      <c r="P74" s="291"/>
      <c r="Q74" s="864"/>
      <c r="R74" s="291"/>
      <c r="S74" s="291"/>
      <c r="T74" s="291"/>
      <c r="U74" s="291"/>
      <c r="V74" s="864"/>
      <c r="W74" s="291"/>
      <c r="X74" s="291"/>
      <c r="Y74" s="291"/>
      <c r="Z74" s="291"/>
      <c r="AA74" s="864"/>
      <c r="AB74" s="291"/>
      <c r="AC74" s="291"/>
      <c r="AD74" s="291"/>
      <c r="AE74" s="291"/>
      <c r="AF74" s="864"/>
      <c r="AG74" s="291"/>
      <c r="AH74" s="291"/>
      <c r="AI74" s="291"/>
      <c r="AJ74" s="291"/>
      <c r="AK74" s="864"/>
      <c r="AL74" s="291"/>
      <c r="AM74" s="291"/>
      <c r="AN74" s="291"/>
      <c r="AO74" s="291"/>
      <c r="AP74" s="864"/>
      <c r="AQ74" s="291"/>
      <c r="AR74" s="291"/>
      <c r="AS74" s="291"/>
      <c r="AT74" s="291"/>
      <c r="AU74" s="864"/>
      <c r="AV74" s="291"/>
      <c r="AW74" s="291"/>
      <c r="AX74" s="291"/>
      <c r="AY74" s="291"/>
      <c r="AZ74" s="864"/>
      <c r="BA74" s="291"/>
      <c r="BB74" s="291"/>
      <c r="BC74" s="291"/>
      <c r="BD74" s="291"/>
      <c r="BE74" s="864"/>
      <c r="BF74" s="291"/>
      <c r="BG74" s="291"/>
      <c r="BH74" s="291"/>
      <c r="BI74" s="291"/>
      <c r="BJ74" s="864"/>
      <c r="BK74" s="291"/>
      <c r="BL74" s="291"/>
      <c r="BM74" s="291"/>
      <c r="BN74" s="291"/>
      <c r="BO74" s="864"/>
      <c r="BP74" s="291"/>
      <c r="BQ74" s="291"/>
      <c r="BR74" s="291"/>
      <c r="BS74" s="291"/>
      <c r="BT74" s="864"/>
      <c r="BU74" s="291"/>
      <c r="BV74" s="291"/>
      <c r="BW74" s="291"/>
      <c r="BX74" s="291"/>
      <c r="BY74" s="864"/>
      <c r="BZ74" s="291"/>
      <c r="CA74" s="291"/>
      <c r="CB74" s="291"/>
      <c r="CC74" s="291"/>
      <c r="CD74" s="864"/>
      <c r="CE74" s="291"/>
      <c r="CF74" s="291"/>
      <c r="CG74" s="291"/>
      <c r="CH74" s="291"/>
      <c r="CI74" s="749"/>
      <c r="CJ74" s="749"/>
      <c r="CK74" s="749"/>
      <c r="CL74" s="749"/>
      <c r="CM74" s="749"/>
      <c r="CN74" s="291"/>
      <c r="CO74" s="683"/>
      <c r="CP74" s="291"/>
      <c r="CQ74" s="693"/>
      <c r="CT74" t="s">
        <v>968</v>
      </c>
      <c r="CU74" s="676">
        <v>0.05</v>
      </c>
      <c r="CV74" s="676">
        <v>5.5E-2</v>
      </c>
      <c r="CW74" s="676">
        <v>5.5E-2</v>
      </c>
      <c r="CX74" s="676">
        <v>0.05</v>
      </c>
      <c r="CY74" s="676">
        <v>0.05</v>
      </c>
    </row>
    <row r="75" spans="2:103" ht="16.5" customHeight="1" x14ac:dyDescent="0.25">
      <c r="B75" s="223" t="s">
        <v>692</v>
      </c>
      <c r="C75" s="224"/>
      <c r="D75" s="224"/>
      <c r="E75" s="224"/>
      <c r="F75" s="224"/>
      <c r="G75" s="867"/>
      <c r="H75" s="224"/>
      <c r="I75" s="224"/>
      <c r="J75" s="224"/>
      <c r="K75" s="224"/>
      <c r="L75" s="867"/>
      <c r="M75" s="224"/>
      <c r="N75" s="224"/>
      <c r="O75" s="224"/>
      <c r="P75" s="224"/>
      <c r="Q75" s="867"/>
      <c r="R75" s="224"/>
      <c r="S75" s="224"/>
      <c r="T75" s="224"/>
      <c r="U75" s="224"/>
      <c r="V75" s="867"/>
      <c r="W75" s="224"/>
      <c r="X75" s="224"/>
      <c r="Y75" s="224"/>
      <c r="Z75" s="224"/>
      <c r="AA75" s="867"/>
      <c r="AB75" s="224"/>
      <c r="AC75" s="224"/>
      <c r="AD75" s="224"/>
      <c r="AE75" s="224"/>
      <c r="AF75" s="867"/>
      <c r="AG75" s="224"/>
      <c r="AH75" s="224"/>
      <c r="AI75" s="224"/>
      <c r="AJ75" s="224"/>
      <c r="AK75" s="867"/>
      <c r="AL75" s="224"/>
      <c r="AM75" s="224"/>
      <c r="AN75" s="224"/>
      <c r="AO75" s="224"/>
      <c r="AP75" s="867"/>
      <c r="AQ75" s="224"/>
      <c r="AR75" s="224"/>
      <c r="AS75" s="224"/>
      <c r="AT75" s="224"/>
      <c r="AU75" s="867"/>
      <c r="AV75" s="224"/>
      <c r="AW75" s="224"/>
      <c r="AX75" s="224"/>
      <c r="AY75" s="224"/>
      <c r="AZ75" s="867"/>
      <c r="BA75" s="224"/>
      <c r="BB75" s="224"/>
      <c r="BC75" s="224"/>
      <c r="BD75" s="224"/>
      <c r="BE75" s="867"/>
      <c r="BF75" s="224"/>
      <c r="BG75" s="224"/>
      <c r="BH75" s="224"/>
      <c r="BI75" s="224"/>
      <c r="BJ75" s="867"/>
      <c r="BK75" s="224"/>
      <c r="BL75" s="224"/>
      <c r="BM75" s="224"/>
      <c r="BN75" s="224"/>
      <c r="BO75" s="867"/>
      <c r="BP75" s="224"/>
      <c r="BQ75" s="224"/>
      <c r="BR75" s="224"/>
      <c r="BS75" s="224"/>
      <c r="BT75" s="867"/>
      <c r="BU75" s="224"/>
      <c r="BV75" s="224"/>
      <c r="BW75" s="224"/>
      <c r="BX75" s="224"/>
      <c r="BY75" s="867"/>
      <c r="BZ75" s="224"/>
      <c r="CA75" s="224"/>
      <c r="CB75" s="224"/>
      <c r="CC75" s="224"/>
      <c r="CD75" s="867"/>
      <c r="CE75" s="224"/>
      <c r="CF75" s="224"/>
      <c r="CG75" s="224"/>
      <c r="CH75" s="224"/>
      <c r="CI75" s="224"/>
      <c r="CJ75" s="224"/>
      <c r="CK75" s="224"/>
      <c r="CL75" s="224"/>
      <c r="CM75" s="224"/>
      <c r="CN75" s="224"/>
      <c r="CO75" s="684"/>
      <c r="CP75" s="224"/>
      <c r="CQ75" s="693"/>
      <c r="CT75" t="s">
        <v>969</v>
      </c>
      <c r="CU75" s="676">
        <v>0.13</v>
      </c>
      <c r="CV75" s="676">
        <v>0.13500000000000001</v>
      </c>
      <c r="CW75" s="676">
        <v>0.14000000000000001</v>
      </c>
      <c r="CX75" s="676">
        <v>0.14000000000000001</v>
      </c>
      <c r="CY75" s="676">
        <v>0.14499999999999999</v>
      </c>
    </row>
    <row r="76" spans="2:103" ht="16.5" customHeight="1" x14ac:dyDescent="0.25">
      <c r="B76" s="12" t="s">
        <v>677</v>
      </c>
      <c r="C76" s="743"/>
      <c r="D76" s="743"/>
      <c r="E76" s="743"/>
      <c r="F76" s="743"/>
      <c r="G76" s="868"/>
      <c r="H76" s="743"/>
      <c r="I76" s="743"/>
      <c r="J76" s="743"/>
      <c r="K76" s="743"/>
      <c r="L76" s="868"/>
      <c r="M76" s="743"/>
      <c r="N76" s="743"/>
      <c r="O76" s="743"/>
      <c r="P76" s="743"/>
      <c r="Q76" s="868"/>
      <c r="R76" s="743"/>
      <c r="S76" s="743"/>
      <c r="T76" s="743"/>
      <c r="U76" s="743"/>
      <c r="V76" s="868"/>
      <c r="W76" s="743"/>
      <c r="X76" s="743"/>
      <c r="Y76" s="743"/>
      <c r="Z76" s="743"/>
      <c r="AA76" s="868"/>
      <c r="AB76" s="743"/>
      <c r="AC76" s="743"/>
      <c r="AD76" s="743"/>
      <c r="AE76" s="743"/>
      <c r="AF76" s="868"/>
      <c r="AG76" s="743"/>
      <c r="AH76" s="743"/>
      <c r="AI76" s="743"/>
      <c r="AJ76" s="743"/>
      <c r="AK76" s="868"/>
      <c r="AL76" s="743"/>
      <c r="AM76" s="291"/>
      <c r="AN76" s="291"/>
      <c r="AO76" s="291"/>
      <c r="AP76" s="864"/>
      <c r="AQ76" s="291"/>
      <c r="AR76" s="291"/>
      <c r="AS76" s="291"/>
      <c r="AT76" s="291"/>
      <c r="AU76" s="864"/>
      <c r="AV76" s="291"/>
      <c r="AW76" s="291"/>
      <c r="AX76" s="291"/>
      <c r="AY76" s="291"/>
      <c r="AZ76" s="864"/>
      <c r="BA76" s="291"/>
      <c r="BB76" s="291"/>
      <c r="BC76" s="291"/>
      <c r="BD76" s="291"/>
      <c r="BE76" s="864"/>
      <c r="BF76" s="291"/>
      <c r="BG76" s="291"/>
      <c r="BH76" s="291"/>
      <c r="BI76" s="291"/>
      <c r="BJ76" s="864"/>
      <c r="BK76" s="753">
        <v>207.85599999999999</v>
      </c>
      <c r="BL76" s="753">
        <v>223.34899999999999</v>
      </c>
      <c r="BM76" s="753">
        <v>223.64400000000001</v>
      </c>
      <c r="BN76" s="754">
        <f>BO76-BK76-BL76-BM76</f>
        <v>-654.84899999999993</v>
      </c>
      <c r="BO76" s="911"/>
      <c r="BP76" s="743">
        <v>217.785</v>
      </c>
      <c r="BQ76" s="743">
        <v>245.85300000000001</v>
      </c>
      <c r="BR76" s="743">
        <v>242.40199999999999</v>
      </c>
      <c r="BS76" s="291">
        <f>BT76-BP76-BQ76-BR76</f>
        <v>-40.156999999999925</v>
      </c>
      <c r="BT76" s="937">
        <v>665.88300000000004</v>
      </c>
      <c r="BU76" s="743">
        <v>230.12799999999999</v>
      </c>
      <c r="BV76" s="743">
        <v>266.78699999999998</v>
      </c>
      <c r="BW76" s="743">
        <v>258.40899999999999</v>
      </c>
      <c r="BX76" s="291">
        <f>BY76-BU76-BV76-BW76</f>
        <v>32.77600000000001</v>
      </c>
      <c r="BY76" s="937">
        <v>788.1</v>
      </c>
      <c r="BZ76" s="743">
        <v>247.78399999999999</v>
      </c>
      <c r="CA76" s="743">
        <v>270.18400000000003</v>
      </c>
      <c r="CB76" s="743">
        <v>287.70499999999998</v>
      </c>
      <c r="CC76" s="291">
        <f>CD76-BZ76-CA76-CB76</f>
        <v>98.206000000000017</v>
      </c>
      <c r="CD76" s="868">
        <v>903.87900000000002</v>
      </c>
      <c r="CE76" s="743">
        <v>324.27800000000002</v>
      </c>
      <c r="CF76" s="743">
        <v>313.59300000000002</v>
      </c>
      <c r="CG76" s="291">
        <f>CB76*(1+CG77)</f>
        <v>325.10664999999995</v>
      </c>
      <c r="CH76" s="291">
        <f>CI76-CE76-CF76-CG76</f>
        <v>302.05815000000007</v>
      </c>
      <c r="CI76" s="749">
        <f>1113*(1+CI77)</f>
        <v>1265.0358000000001</v>
      </c>
      <c r="CJ76" s="749">
        <f>CI76*(1+CJ77)</f>
        <v>1416.8400960000004</v>
      </c>
      <c r="CK76" s="749">
        <f>CJ76*(1+CK77)</f>
        <v>1558.5241056000004</v>
      </c>
      <c r="CL76" s="749">
        <f>CK76*(1+CL77)</f>
        <v>1714.3765161600006</v>
      </c>
      <c r="CM76" s="749">
        <f>CL76*(1+CM77)</f>
        <v>1885.8141677760009</v>
      </c>
      <c r="CN76" s="291"/>
      <c r="CO76" s="683">
        <v>7.1894328276929306E-2</v>
      </c>
      <c r="CP76" s="291"/>
      <c r="CQ76" s="694" t="s">
        <v>826</v>
      </c>
    </row>
    <row r="77" spans="2:103" ht="16.5" customHeight="1" x14ac:dyDescent="0.25">
      <c r="B77" s="690" t="s">
        <v>679</v>
      </c>
      <c r="C77" s="743"/>
      <c r="D77" s="743"/>
      <c r="E77" s="743"/>
      <c r="F77" s="743"/>
      <c r="G77" s="868"/>
      <c r="H77" s="743"/>
      <c r="I77" s="743"/>
      <c r="J77" s="743"/>
      <c r="K77" s="743"/>
      <c r="L77" s="868"/>
      <c r="M77" s="743"/>
      <c r="N77" s="743"/>
      <c r="O77" s="743"/>
      <c r="P77" s="743"/>
      <c r="Q77" s="868"/>
      <c r="R77" s="743"/>
      <c r="S77" s="743"/>
      <c r="T77" s="743"/>
      <c r="U77" s="743"/>
      <c r="V77" s="868"/>
      <c r="W77" s="743"/>
      <c r="X77" s="743"/>
      <c r="Y77" s="743"/>
      <c r="Z77" s="743"/>
      <c r="AA77" s="868"/>
      <c r="AB77" s="743"/>
      <c r="AC77" s="743"/>
      <c r="AD77" s="743"/>
      <c r="AE77" s="743"/>
      <c r="AF77" s="868"/>
      <c r="AG77" s="743"/>
      <c r="AH77" s="743"/>
      <c r="AI77" s="743"/>
      <c r="AJ77" s="743"/>
      <c r="AK77" s="868"/>
      <c r="AL77" s="743"/>
      <c r="AM77" s="291"/>
      <c r="AN77" s="291"/>
      <c r="AO77" s="291"/>
      <c r="AP77" s="864"/>
      <c r="AQ77" s="291"/>
      <c r="AR77" s="291"/>
      <c r="AS77" s="291"/>
      <c r="AT77" s="291"/>
      <c r="AU77" s="864"/>
      <c r="AV77" s="291"/>
      <c r="AW77" s="291"/>
      <c r="AX77" s="291"/>
      <c r="AY77" s="291"/>
      <c r="AZ77" s="864"/>
      <c r="BA77" s="291"/>
      <c r="BB77" s="291"/>
      <c r="BC77" s="291"/>
      <c r="BD77" s="291"/>
      <c r="BE77" s="864"/>
      <c r="BF77" s="291"/>
      <c r="BG77" s="291"/>
      <c r="BH77" s="291"/>
      <c r="BI77" s="291"/>
      <c r="BJ77" s="864"/>
      <c r="BK77" s="241" t="str">
        <f t="shared" ref="BK77:CD77" si="22">IFERROR(BK76/BF76-1,"")</f>
        <v/>
      </c>
      <c r="BL77" s="241" t="str">
        <f t="shared" si="22"/>
        <v/>
      </c>
      <c r="BM77" s="241" t="str">
        <f t="shared" si="22"/>
        <v/>
      </c>
      <c r="BN77" s="241" t="str">
        <f t="shared" si="22"/>
        <v/>
      </c>
      <c r="BO77" s="869" t="str">
        <f t="shared" si="22"/>
        <v/>
      </c>
      <c r="BP77" s="241">
        <f t="shared" si="22"/>
        <v>4.7768647525209706E-2</v>
      </c>
      <c r="BQ77" s="241">
        <f t="shared" si="22"/>
        <v>0.10075711106832808</v>
      </c>
      <c r="BR77" s="241">
        <f t="shared" si="22"/>
        <v>8.3874371769419254E-2</v>
      </c>
      <c r="BS77" s="241">
        <f t="shared" si="22"/>
        <v>-0.93867746610287273</v>
      </c>
      <c r="BT77" s="869" t="str">
        <f t="shared" si="22"/>
        <v/>
      </c>
      <c r="BU77" s="241">
        <f t="shared" si="22"/>
        <v>5.6675161282916608E-2</v>
      </c>
      <c r="BV77" s="241">
        <f t="shared" si="22"/>
        <v>8.5148442361899113E-2</v>
      </c>
      <c r="BW77" s="241">
        <f t="shared" si="22"/>
        <v>6.6034933705167553E-2</v>
      </c>
      <c r="BX77" s="241">
        <f t="shared" si="22"/>
        <v>-1.8161964290161134</v>
      </c>
      <c r="BY77" s="869">
        <f t="shared" si="22"/>
        <v>0.1835412527425988</v>
      </c>
      <c r="BZ77" s="241">
        <f t="shared" si="22"/>
        <v>7.6722519641243103E-2</v>
      </c>
      <c r="CA77" s="241">
        <f t="shared" si="22"/>
        <v>1.2733004231840539E-2</v>
      </c>
      <c r="CB77" s="241">
        <f t="shared" si="22"/>
        <v>0.11337066433444654</v>
      </c>
      <c r="CC77" s="241">
        <f t="shared" si="22"/>
        <v>1.9962777642177199</v>
      </c>
      <c r="CD77" s="869">
        <f t="shared" si="22"/>
        <v>0.14690902169775399</v>
      </c>
      <c r="CE77" s="241">
        <f>IFERROR(CE76/BZ76-1,"")</f>
        <v>0.30871242695250722</v>
      </c>
      <c r="CF77" s="241">
        <f>IFERROR(CF76/CA76-1,"")</f>
        <v>0.16066458413525586</v>
      </c>
      <c r="CG77" s="755">
        <v>0.13</v>
      </c>
      <c r="CH77" s="241">
        <f>IFERROR(CH76/CC76-1,"")</f>
        <v>2.0757606459890434</v>
      </c>
      <c r="CI77" s="756">
        <v>0.1366</v>
      </c>
      <c r="CJ77" s="756">
        <f>CHOOSE(MATCH($CO$3,{"Base";"Bull";"Bear"},0),CV62,CV72,CV82)</f>
        <v>0.12</v>
      </c>
      <c r="CK77" s="756">
        <f>CHOOSE(MATCH($CO$3,{"Base";"Bull";"Bear"},0),CW62,CW72,CW82)</f>
        <v>0.1</v>
      </c>
      <c r="CL77" s="756">
        <f>CHOOSE(MATCH($CO$3,{"Base";"Bull";"Bear"},0),CX62,CX72,CX82)</f>
        <v>0.1</v>
      </c>
      <c r="CM77" s="756">
        <f>CHOOSE(MATCH($CO$3,{"Base";"Bull";"Bear"},0),CY62,CY72,CY82)</f>
        <v>0.1</v>
      </c>
      <c r="CN77" s="291"/>
      <c r="CO77" s="683"/>
      <c r="CP77" s="291"/>
      <c r="CQ77" s="694" t="s">
        <v>827</v>
      </c>
      <c r="CT77" s="969" t="s">
        <v>971</v>
      </c>
      <c r="CU77" s="969"/>
      <c r="CV77" s="969"/>
      <c r="CW77" s="969"/>
      <c r="CX77" s="969"/>
      <c r="CY77" s="969"/>
    </row>
    <row r="78" spans="2:103" ht="16.5" customHeight="1" x14ac:dyDescent="0.25">
      <c r="B78" s="12" t="s">
        <v>880</v>
      </c>
      <c r="C78" s="241"/>
      <c r="D78" s="241"/>
      <c r="E78" s="241"/>
      <c r="F78" s="241"/>
      <c r="G78" s="869"/>
      <c r="H78" s="241"/>
      <c r="I78" s="241"/>
      <c r="J78" s="241"/>
      <c r="K78" s="241"/>
      <c r="L78" s="869"/>
      <c r="M78" s="241"/>
      <c r="N78" s="241"/>
      <c r="O78" s="241"/>
      <c r="P78" s="241"/>
      <c r="Q78" s="869"/>
      <c r="R78" s="241"/>
      <c r="S78" s="241"/>
      <c r="T78" s="241"/>
      <c r="U78" s="241"/>
      <c r="V78" s="869"/>
      <c r="W78" s="241"/>
      <c r="X78" s="241"/>
      <c r="Y78" s="241"/>
      <c r="Z78" s="241"/>
      <c r="AA78" s="869"/>
      <c r="AB78" s="241"/>
      <c r="AC78" s="241"/>
      <c r="AD78" s="241"/>
      <c r="AE78" s="241"/>
      <c r="AF78" s="869"/>
      <c r="AG78" s="241"/>
      <c r="AH78" s="241"/>
      <c r="AI78" s="241"/>
      <c r="AJ78" s="241"/>
      <c r="AK78" s="869"/>
      <c r="AL78" s="241"/>
      <c r="AM78" s="241"/>
      <c r="AN78" s="241"/>
      <c r="AO78" s="241"/>
      <c r="AP78" s="869"/>
      <c r="AQ78" s="241"/>
      <c r="AR78" s="241"/>
      <c r="AS78" s="241"/>
      <c r="AT78" s="241"/>
      <c r="AU78" s="869"/>
      <c r="AV78" s="241"/>
      <c r="AW78" s="241"/>
      <c r="AX78" s="241"/>
      <c r="AY78" s="241"/>
      <c r="AZ78" s="869"/>
      <c r="BA78" s="241"/>
      <c r="BB78" s="241"/>
      <c r="BC78" s="241"/>
      <c r="BD78" s="241"/>
      <c r="BE78" s="869"/>
      <c r="BF78" s="241"/>
      <c r="BG78" s="241"/>
      <c r="BH78" s="241"/>
      <c r="BI78" s="241"/>
      <c r="BJ78" s="869"/>
      <c r="BK78" s="754"/>
      <c r="BL78" s="754"/>
      <c r="BM78" s="754"/>
      <c r="BN78" s="754">
        <f>BO78-BK78-BL78-BM78</f>
        <v>0</v>
      </c>
      <c r="BO78" s="911"/>
      <c r="BP78" s="743">
        <v>20.294</v>
      </c>
      <c r="BQ78" s="743">
        <v>27.507000000000001</v>
      </c>
      <c r="BR78" s="743">
        <v>18.585000000000001</v>
      </c>
      <c r="BS78" s="291">
        <f>BT78-BP78-BQ78-BR78</f>
        <v>19.651000000000003</v>
      </c>
      <c r="BT78" s="868">
        <v>86.037000000000006</v>
      </c>
      <c r="BU78" s="743">
        <v>25.297000000000001</v>
      </c>
      <c r="BV78" s="743">
        <v>42.243000000000002</v>
      </c>
      <c r="BW78" s="743">
        <v>32.634999999999998</v>
      </c>
      <c r="BX78" s="291">
        <f>BY78-BU78-BV78-BW78</f>
        <v>-1.2980000000000018</v>
      </c>
      <c r="BY78" s="868">
        <v>98.876999999999995</v>
      </c>
      <c r="BZ78" s="743">
        <v>28.539000000000001</v>
      </c>
      <c r="CA78" s="743">
        <v>32.780999999999999</v>
      </c>
      <c r="CB78" s="743">
        <v>38.261000000000003</v>
      </c>
      <c r="CC78" s="291">
        <f>CD78-BZ78-CA78-CB78</f>
        <v>12.212000000000003</v>
      </c>
      <c r="CD78" s="868">
        <v>111.79300000000001</v>
      </c>
      <c r="CE78" s="753">
        <v>42.805</v>
      </c>
      <c r="CF78" s="753">
        <v>43.276000000000003</v>
      </c>
      <c r="CG78" s="754">
        <f t="shared" ref="CG78:CM78" si="23">CG76*CG80</f>
        <v>45.514930999999997</v>
      </c>
      <c r="CH78" s="754">
        <f t="shared" si="23"/>
        <v>42.28814100000001</v>
      </c>
      <c r="CI78" s="757">
        <f t="shared" si="23"/>
        <v>175.83997620000002</v>
      </c>
      <c r="CJ78" s="749">
        <f t="shared" si="23"/>
        <v>184.18921248000007</v>
      </c>
      <c r="CK78" s="749">
        <f t="shared" si="23"/>
        <v>210.40075425600008</v>
      </c>
      <c r="CL78" s="749">
        <f t="shared" si="23"/>
        <v>240.0127122624001</v>
      </c>
      <c r="CM78" s="749">
        <f t="shared" si="23"/>
        <v>264.01398348864012</v>
      </c>
      <c r="CN78" s="241"/>
      <c r="CO78" s="683"/>
      <c r="CP78" s="241"/>
      <c r="CQ78" s="693"/>
      <c r="CT78" t="s">
        <v>962</v>
      </c>
      <c r="CU78" s="676">
        <v>0.04</v>
      </c>
      <c r="CV78" s="676">
        <v>0.03</v>
      </c>
      <c r="CW78" s="676">
        <v>0.02</v>
      </c>
      <c r="CX78" s="676">
        <v>0.02</v>
      </c>
      <c r="CY78" s="676">
        <v>0.02</v>
      </c>
    </row>
    <row r="79" spans="2:103" ht="16.5" customHeight="1" x14ac:dyDescent="0.25">
      <c r="B79" s="12" t="s">
        <v>881</v>
      </c>
      <c r="C79" s="241"/>
      <c r="D79" s="241"/>
      <c r="E79" s="241"/>
      <c r="F79" s="241"/>
      <c r="G79" s="869"/>
      <c r="H79" s="241"/>
      <c r="I79" s="241"/>
      <c r="J79" s="241"/>
      <c r="K79" s="241"/>
      <c r="L79" s="869"/>
      <c r="M79" s="241"/>
      <c r="N79" s="241"/>
      <c r="O79" s="241"/>
      <c r="P79" s="241"/>
      <c r="Q79" s="869"/>
      <c r="R79" s="241"/>
      <c r="S79" s="241"/>
      <c r="T79" s="241"/>
      <c r="U79" s="241"/>
      <c r="V79" s="869"/>
      <c r="W79" s="241"/>
      <c r="X79" s="241"/>
      <c r="Y79" s="241"/>
      <c r="Z79" s="241"/>
      <c r="AA79" s="869"/>
      <c r="AB79" s="241"/>
      <c r="AC79" s="241"/>
      <c r="AD79" s="241"/>
      <c r="AE79" s="241"/>
      <c r="AF79" s="869"/>
      <c r="AG79" s="241"/>
      <c r="AH79" s="241"/>
      <c r="AI79" s="241"/>
      <c r="AJ79" s="241"/>
      <c r="AK79" s="869"/>
      <c r="AL79" s="241"/>
      <c r="AM79" s="241"/>
      <c r="AN79" s="241"/>
      <c r="AO79" s="241"/>
      <c r="AP79" s="869"/>
      <c r="AQ79" s="241"/>
      <c r="AR79" s="241"/>
      <c r="AS79" s="241"/>
      <c r="AT79" s="241"/>
      <c r="AU79" s="869"/>
      <c r="AV79" s="241"/>
      <c r="AW79" s="241"/>
      <c r="AX79" s="241"/>
      <c r="AY79" s="241"/>
      <c r="AZ79" s="869"/>
      <c r="BA79" s="241"/>
      <c r="BB79" s="241"/>
      <c r="BC79" s="241"/>
      <c r="BD79" s="241"/>
      <c r="BE79" s="869"/>
      <c r="BF79" s="241"/>
      <c r="BG79" s="241"/>
      <c r="BH79" s="241"/>
      <c r="BI79" s="241"/>
      <c r="BJ79" s="869"/>
      <c r="BK79" s="241" t="str">
        <f t="shared" ref="BK79:CD79" si="24">IFERROR(BK78/BF78-1,"")</f>
        <v/>
      </c>
      <c r="BL79" s="241" t="str">
        <f t="shared" si="24"/>
        <v/>
      </c>
      <c r="BM79" s="241" t="str">
        <f t="shared" si="24"/>
        <v/>
      </c>
      <c r="BN79" s="241" t="str">
        <f t="shared" si="24"/>
        <v/>
      </c>
      <c r="BO79" s="869" t="str">
        <f t="shared" si="24"/>
        <v/>
      </c>
      <c r="BP79" s="241" t="str">
        <f t="shared" si="24"/>
        <v/>
      </c>
      <c r="BQ79" s="241" t="str">
        <f t="shared" si="24"/>
        <v/>
      </c>
      <c r="BR79" s="241" t="str">
        <f t="shared" si="24"/>
        <v/>
      </c>
      <c r="BS79" s="241" t="str">
        <f t="shared" si="24"/>
        <v/>
      </c>
      <c r="BT79" s="869" t="str">
        <f t="shared" si="24"/>
        <v/>
      </c>
      <c r="BU79" s="241">
        <f t="shared" si="24"/>
        <v>0.24652606681777867</v>
      </c>
      <c r="BV79" s="241">
        <f t="shared" si="24"/>
        <v>0.53571818082669864</v>
      </c>
      <c r="BW79" s="241">
        <f t="shared" si="24"/>
        <v>0.75598601022329825</v>
      </c>
      <c r="BX79" s="241">
        <f t="shared" si="24"/>
        <v>-1.0660526181873697</v>
      </c>
      <c r="BY79" s="869">
        <f t="shared" si="24"/>
        <v>0.149238118483908</v>
      </c>
      <c r="BZ79" s="241">
        <f t="shared" si="24"/>
        <v>0.12815748903031987</v>
      </c>
      <c r="CA79" s="241">
        <f t="shared" si="24"/>
        <v>-0.22398977345359006</v>
      </c>
      <c r="CB79" s="241">
        <f t="shared" si="24"/>
        <v>0.17239160410602139</v>
      </c>
      <c r="CC79" s="241">
        <f t="shared" si="24"/>
        <v>-10.408320493066245</v>
      </c>
      <c r="CD79" s="869">
        <f t="shared" si="24"/>
        <v>0.13062694054228996</v>
      </c>
      <c r="CE79" s="241">
        <f>IFERROR(CE78/BZ78-1,"")</f>
        <v>0.49987736080451306</v>
      </c>
      <c r="CF79" s="241">
        <f>IFERROR(CF78/CA78-1,"")</f>
        <v>0.32015496781672326</v>
      </c>
      <c r="CG79" s="241">
        <f>IFERROR(CG78/CB78-1,"")</f>
        <v>0.18959073207704957</v>
      </c>
      <c r="CH79" s="241">
        <f>IFERROR(CH78/CC78-1,"")</f>
        <v>2.4628349983622666</v>
      </c>
      <c r="CI79" s="751">
        <f>IFERROR(CI78/CD78-1,"")</f>
        <v>0.57290685642213757</v>
      </c>
      <c r="CJ79" s="751">
        <f>IFERROR(CJ78/CI78-1,"")</f>
        <v>4.7482014388489535E-2</v>
      </c>
      <c r="CK79" s="751">
        <f>IFERROR(CK78/CJ78-1,"")</f>
        <v>0.14230769230769225</v>
      </c>
      <c r="CL79" s="751">
        <f>IFERROR(CL78/CK78-1,"")</f>
        <v>0.14074074074074083</v>
      </c>
      <c r="CM79" s="751">
        <f>IFERROR(CM78/CL78-1,"")</f>
        <v>0.10000000000000009</v>
      </c>
      <c r="CN79" s="241"/>
      <c r="CO79" s="683"/>
      <c r="CP79" s="241"/>
      <c r="CQ79" s="693"/>
      <c r="CT79" t="s">
        <v>963</v>
      </c>
      <c r="CU79" s="676">
        <v>9.5000000000000001E-2</v>
      </c>
      <c r="CV79" s="676">
        <v>0.1</v>
      </c>
      <c r="CW79" s="676">
        <v>0.105</v>
      </c>
      <c r="CX79" s="676">
        <v>0.11</v>
      </c>
      <c r="CY79" s="676">
        <v>0.11</v>
      </c>
    </row>
    <row r="80" spans="2:103" ht="16.5" customHeight="1" x14ac:dyDescent="0.25">
      <c r="B80" s="12" t="s">
        <v>181</v>
      </c>
      <c r="C80" s="743"/>
      <c r="D80" s="743"/>
      <c r="E80" s="743"/>
      <c r="F80" s="743"/>
      <c r="G80" s="868"/>
      <c r="H80" s="743"/>
      <c r="I80" s="743"/>
      <c r="J80" s="743"/>
      <c r="K80" s="743"/>
      <c r="L80" s="868"/>
      <c r="M80" s="743"/>
      <c r="N80" s="743"/>
      <c r="O80" s="743"/>
      <c r="P80" s="743"/>
      <c r="Q80" s="868"/>
      <c r="R80" s="743"/>
      <c r="S80" s="743"/>
      <c r="T80" s="743"/>
      <c r="U80" s="743"/>
      <c r="V80" s="868"/>
      <c r="W80" s="743"/>
      <c r="X80" s="743"/>
      <c r="Y80" s="743"/>
      <c r="Z80" s="743"/>
      <c r="AA80" s="868"/>
      <c r="AB80" s="743"/>
      <c r="AC80" s="743"/>
      <c r="AD80" s="743"/>
      <c r="AE80" s="743"/>
      <c r="AF80" s="868"/>
      <c r="AG80" s="743"/>
      <c r="AH80" s="743"/>
      <c r="AI80" s="743"/>
      <c r="AJ80" s="743"/>
      <c r="AK80" s="868"/>
      <c r="AL80" s="743"/>
      <c r="AM80" s="291"/>
      <c r="AN80" s="291"/>
      <c r="AO80" s="291"/>
      <c r="AP80" s="864"/>
      <c r="AQ80" s="291"/>
      <c r="AR80" s="291"/>
      <c r="AS80" s="291"/>
      <c r="AT80" s="291"/>
      <c r="AU80" s="864"/>
      <c r="AV80" s="291"/>
      <c r="AW80" s="291"/>
      <c r="AX80" s="291"/>
      <c r="AY80" s="291"/>
      <c r="AZ80" s="864"/>
      <c r="BA80" s="291"/>
      <c r="BB80" s="291"/>
      <c r="BC80" s="291"/>
      <c r="BD80" s="291"/>
      <c r="BE80" s="864"/>
      <c r="BF80" s="291"/>
      <c r="BG80" s="291"/>
      <c r="BH80" s="291"/>
      <c r="BI80" s="291"/>
      <c r="BJ80" s="864"/>
      <c r="BK80" s="241">
        <f t="shared" ref="BK80:CD80" si="25">IFERROR(BK78/BK76,"")</f>
        <v>0</v>
      </c>
      <c r="BL80" s="241">
        <f t="shared" si="25"/>
        <v>0</v>
      </c>
      <c r="BM80" s="241">
        <f t="shared" si="25"/>
        <v>0</v>
      </c>
      <c r="BN80" s="241">
        <f t="shared" si="25"/>
        <v>0</v>
      </c>
      <c r="BO80" s="869" t="str">
        <f t="shared" si="25"/>
        <v/>
      </c>
      <c r="BP80" s="241">
        <f t="shared" si="25"/>
        <v>9.3183644419955469E-2</v>
      </c>
      <c r="BQ80" s="241">
        <f t="shared" si="25"/>
        <v>0.11188393064148089</v>
      </c>
      <c r="BR80" s="241">
        <f t="shared" si="25"/>
        <v>7.6670159487132947E-2</v>
      </c>
      <c r="BS80" s="241">
        <f t="shared" si="25"/>
        <v>-0.48935428443359913</v>
      </c>
      <c r="BT80" s="869">
        <f t="shared" si="25"/>
        <v>0.12920738327904452</v>
      </c>
      <c r="BU80" s="241">
        <f t="shared" si="25"/>
        <v>0.10992578043523606</v>
      </c>
      <c r="BV80" s="241">
        <f t="shared" si="25"/>
        <v>0.15833979916562654</v>
      </c>
      <c r="BW80" s="241">
        <f t="shared" si="25"/>
        <v>0.12629204091188773</v>
      </c>
      <c r="BX80" s="241">
        <f t="shared" si="25"/>
        <v>-3.9602147913107191E-2</v>
      </c>
      <c r="BY80" s="869">
        <f t="shared" si="25"/>
        <v>0.12546250475827939</v>
      </c>
      <c r="BZ80" s="241">
        <f t="shared" si="25"/>
        <v>0.1151769282923837</v>
      </c>
      <c r="CA80" s="241">
        <f t="shared" si="25"/>
        <v>0.12132842803422851</v>
      </c>
      <c r="CB80" s="241">
        <f t="shared" si="25"/>
        <v>0.132986913678942</v>
      </c>
      <c r="CC80" s="241">
        <f t="shared" si="25"/>
        <v>0.12435085432661956</v>
      </c>
      <c r="CD80" s="869">
        <f t="shared" si="25"/>
        <v>0.1236813777065293</v>
      </c>
      <c r="CE80" s="241">
        <f>IFERROR(CE78/CE76,"")</f>
        <v>0.1320009374672349</v>
      </c>
      <c r="CF80" s="241">
        <f>IFERROR(CF78/CF76,"")</f>
        <v>0.1380005293485505</v>
      </c>
      <c r="CG80" s="755">
        <v>0.14000000000000001</v>
      </c>
      <c r="CH80" s="755">
        <v>0.14000000000000001</v>
      </c>
      <c r="CI80" s="756">
        <v>0.13900000000000001</v>
      </c>
      <c r="CJ80" s="756">
        <f>CHOOSE(MATCH($CO$3,{"Base";"Bull";"Bear"},0),CV63,CV73,CV83)</f>
        <v>0.13</v>
      </c>
      <c r="CK80" s="756">
        <f>CHOOSE(MATCH($CO$3,{"Base";"Bull";"Bear"},0),CW63,CW73,CW83)</f>
        <v>0.13500000000000001</v>
      </c>
      <c r="CL80" s="756">
        <f>CHOOSE(MATCH($CO$3,{"Base";"Bull";"Bear"},0),CX63,CX73,CX83)</f>
        <v>0.14000000000000001</v>
      </c>
      <c r="CM80" s="756">
        <f>CHOOSE(MATCH($CO$3,{"Base";"Bull";"Bear"},0),CY63,CY73,CY83)</f>
        <v>0.14000000000000001</v>
      </c>
      <c r="CN80" s="291"/>
      <c r="CO80" s="683"/>
      <c r="CP80" s="291"/>
      <c r="CQ80" s="693"/>
      <c r="CT80" t="s">
        <v>964</v>
      </c>
      <c r="CU80" s="676">
        <v>0.05</v>
      </c>
      <c r="CV80" s="676">
        <v>0.04</v>
      </c>
      <c r="CW80" s="676">
        <v>0.03</v>
      </c>
      <c r="CX80" s="676">
        <v>0.02</v>
      </c>
      <c r="CY80" s="676">
        <v>0.02</v>
      </c>
    </row>
    <row r="81" spans="2:103" ht="16.5" customHeight="1" x14ac:dyDescent="0.25">
      <c r="B81" s="12" t="s">
        <v>882</v>
      </c>
      <c r="C81" s="241"/>
      <c r="D81" s="241"/>
      <c r="E81" s="241"/>
      <c r="F81" s="241"/>
      <c r="G81" s="869"/>
      <c r="H81" s="241"/>
      <c r="I81" s="241"/>
      <c r="J81" s="241"/>
      <c r="K81" s="241"/>
      <c r="L81" s="869"/>
      <c r="M81" s="241"/>
      <c r="N81" s="241"/>
      <c r="O81" s="241"/>
      <c r="P81" s="241"/>
      <c r="Q81" s="869"/>
      <c r="R81" s="241"/>
      <c r="S81" s="241"/>
      <c r="T81" s="241"/>
      <c r="U81" s="241"/>
      <c r="V81" s="869"/>
      <c r="W81" s="241"/>
      <c r="X81" s="241"/>
      <c r="Y81" s="241"/>
      <c r="Z81" s="241"/>
      <c r="AA81" s="869"/>
      <c r="AB81" s="241"/>
      <c r="AC81" s="241"/>
      <c r="AD81" s="241"/>
      <c r="AE81" s="241"/>
      <c r="AF81" s="869"/>
      <c r="AG81" s="241"/>
      <c r="AH81" s="241"/>
      <c r="AI81" s="241"/>
      <c r="AJ81" s="241"/>
      <c r="AK81" s="869"/>
      <c r="AL81" s="241"/>
      <c r="AM81" s="241"/>
      <c r="AN81" s="241"/>
      <c r="AO81" s="241"/>
      <c r="AP81" s="869"/>
      <c r="AQ81" s="241"/>
      <c r="AR81" s="241"/>
      <c r="AS81" s="241"/>
      <c r="AT81" s="241"/>
      <c r="AU81" s="869"/>
      <c r="AV81" s="241"/>
      <c r="AW81" s="241"/>
      <c r="AX81" s="241"/>
      <c r="AY81" s="241"/>
      <c r="AZ81" s="869"/>
      <c r="BA81" s="241"/>
      <c r="BB81" s="241"/>
      <c r="BC81" s="241"/>
      <c r="BD81" s="241"/>
      <c r="BE81" s="869"/>
      <c r="BF81" s="241"/>
      <c r="BG81" s="241"/>
      <c r="BH81" s="241"/>
      <c r="BI81" s="241"/>
      <c r="BJ81" s="869"/>
      <c r="BK81" s="241">
        <f t="shared" ref="BK81:CD81" si="26">IFERROR((BK78-BF78)/(BK76-BF76),"")</f>
        <v>0</v>
      </c>
      <c r="BL81" s="241">
        <f t="shared" si="26"/>
        <v>0</v>
      </c>
      <c r="BM81" s="241">
        <f t="shared" si="26"/>
        <v>0</v>
      </c>
      <c r="BN81" s="241">
        <f t="shared" si="26"/>
        <v>0</v>
      </c>
      <c r="BO81" s="869" t="str">
        <f t="shared" si="26"/>
        <v/>
      </c>
      <c r="BP81" s="758">
        <f t="shared" si="26"/>
        <v>2.0439117735925065</v>
      </c>
      <c r="BQ81" s="758">
        <f t="shared" si="26"/>
        <v>1.2223160327052958</v>
      </c>
      <c r="BR81" s="758">
        <f t="shared" si="26"/>
        <v>0.9907772683654984</v>
      </c>
      <c r="BS81" s="758">
        <f t="shared" si="26"/>
        <v>3.1968855947368771E-2</v>
      </c>
      <c r="BT81" s="886">
        <f t="shared" si="26"/>
        <v>0.12920738327904452</v>
      </c>
      <c r="BU81" s="758">
        <f t="shared" si="26"/>
        <v>0.40533095681762976</v>
      </c>
      <c r="BV81" s="758">
        <f t="shared" si="26"/>
        <v>0.70392662654055715</v>
      </c>
      <c r="BW81" s="758">
        <f t="shared" si="26"/>
        <v>0.8777409883176106</v>
      </c>
      <c r="BX81" s="758">
        <f t="shared" si="26"/>
        <v>-0.28723623051293684</v>
      </c>
      <c r="BY81" s="886">
        <f t="shared" si="26"/>
        <v>0.10505903434055812</v>
      </c>
      <c r="BZ81" s="758">
        <f t="shared" si="26"/>
        <v>0.18362029904848209</v>
      </c>
      <c r="CA81" s="758">
        <f t="shared" si="26"/>
        <v>-2.7853988813658725</v>
      </c>
      <c r="CB81" s="758">
        <f t="shared" si="26"/>
        <v>0.19203986892408542</v>
      </c>
      <c r="CC81" s="758">
        <f t="shared" si="26"/>
        <v>0.20648020785572374</v>
      </c>
      <c r="CD81" s="886">
        <f t="shared" si="26"/>
        <v>0.11155736359788918</v>
      </c>
      <c r="CE81" s="758"/>
      <c r="CF81" s="758"/>
      <c r="CG81" s="758"/>
      <c r="CH81" s="758"/>
      <c r="CI81" s="759">
        <f>IFERROR((CI78-CD78)/(CI76-CD76),"")</f>
        <v>0.17733841976670522</v>
      </c>
      <c r="CJ81" s="759">
        <f>IFERROR((CJ78-CI78)/(CJ76-CI76),"")</f>
        <v>5.5000000000000188E-2</v>
      </c>
      <c r="CK81" s="759">
        <f>IFERROR((CK78-CJ78)/(CK76-CJ76),"")</f>
        <v>0.18500000000000003</v>
      </c>
      <c r="CL81" s="759">
        <f>IFERROR((CL78-CK78)/(CL76-CK76),"")</f>
        <v>0.18999999999999989</v>
      </c>
      <c r="CM81" s="759">
        <f>IFERROR((CM78-CL78)/(CM76-CL76),"")</f>
        <v>0.1399999999999999</v>
      </c>
      <c r="CN81" s="241"/>
      <c r="CO81" s="683"/>
      <c r="CP81" s="241"/>
      <c r="CQ81" s="693"/>
      <c r="CT81" t="s">
        <v>965</v>
      </c>
      <c r="CU81" s="676">
        <v>0.105</v>
      </c>
      <c r="CV81" s="676">
        <v>0.11</v>
      </c>
      <c r="CW81" s="676">
        <v>0.115</v>
      </c>
      <c r="CX81" s="676">
        <v>0.12</v>
      </c>
      <c r="CY81" s="676">
        <v>0.12</v>
      </c>
    </row>
    <row r="82" spans="2:103" ht="16.5" customHeight="1" x14ac:dyDescent="0.25">
      <c r="B82" s="702" t="s">
        <v>681</v>
      </c>
      <c r="C82" s="241"/>
      <c r="D82" s="241"/>
      <c r="E82" s="241"/>
      <c r="F82" s="241"/>
      <c r="G82" s="869"/>
      <c r="H82" s="241"/>
      <c r="I82" s="241"/>
      <c r="J82" s="241"/>
      <c r="K82" s="241"/>
      <c r="L82" s="869"/>
      <c r="M82" s="241"/>
      <c r="N82" s="241"/>
      <c r="O82" s="241"/>
      <c r="P82" s="241"/>
      <c r="Q82" s="869"/>
      <c r="R82" s="241"/>
      <c r="S82" s="241"/>
      <c r="T82" s="241"/>
      <c r="U82" s="241"/>
      <c r="V82" s="869"/>
      <c r="W82" s="241"/>
      <c r="X82" s="241"/>
      <c r="Y82" s="241"/>
      <c r="Z82" s="241"/>
      <c r="AA82" s="869"/>
      <c r="AB82" s="241"/>
      <c r="AC82" s="241"/>
      <c r="AD82" s="241"/>
      <c r="AE82" s="241"/>
      <c r="AF82" s="869"/>
      <c r="AG82" s="241"/>
      <c r="AH82" s="241"/>
      <c r="AI82" s="241"/>
      <c r="AJ82" s="241"/>
      <c r="AK82" s="869"/>
      <c r="AL82" s="241"/>
      <c r="AM82" s="241"/>
      <c r="AN82" s="241"/>
      <c r="AO82" s="241"/>
      <c r="AP82" s="869"/>
      <c r="AQ82" s="241"/>
      <c r="AR82" s="241"/>
      <c r="AS82" s="241"/>
      <c r="AT82" s="241"/>
      <c r="AU82" s="869"/>
      <c r="AV82" s="241"/>
      <c r="AW82" s="241"/>
      <c r="AX82" s="241"/>
      <c r="AY82" s="241"/>
      <c r="AZ82" s="869"/>
      <c r="BA82" s="241"/>
      <c r="BB82" s="241"/>
      <c r="BC82" s="241"/>
      <c r="BD82" s="241"/>
      <c r="BE82" s="869"/>
      <c r="BF82" s="241"/>
      <c r="BG82" s="241"/>
      <c r="BH82" s="241"/>
      <c r="BI82" s="241"/>
      <c r="BJ82" s="869"/>
      <c r="BK82" s="760"/>
      <c r="BL82" s="760"/>
      <c r="BM82" s="760"/>
      <c r="BN82" s="760"/>
      <c r="BO82" s="932"/>
      <c r="BP82" s="760"/>
      <c r="BQ82" s="760"/>
      <c r="BR82" s="760"/>
      <c r="BS82" s="760"/>
      <c r="BT82" s="932"/>
      <c r="BU82" s="760"/>
      <c r="BV82" s="760"/>
      <c r="BW82" s="760"/>
      <c r="BX82" s="760"/>
      <c r="BY82" s="932"/>
      <c r="BZ82" s="760"/>
      <c r="CA82" s="760"/>
      <c r="CB82" s="760"/>
      <c r="CC82" s="760"/>
      <c r="CD82" s="932"/>
      <c r="CE82" s="760"/>
      <c r="CF82" s="760"/>
      <c r="CG82" s="760"/>
      <c r="CH82" s="760"/>
      <c r="CI82" s="761"/>
      <c r="CJ82" s="761"/>
      <c r="CK82" s="761"/>
      <c r="CL82" s="761"/>
      <c r="CM82" s="761"/>
      <c r="CN82" s="241"/>
      <c r="CO82" s="683"/>
      <c r="CP82" s="241"/>
      <c r="CQ82" s="693"/>
      <c r="CT82" t="s">
        <v>966</v>
      </c>
      <c r="CU82" s="676">
        <v>0.08</v>
      </c>
      <c r="CV82" s="676">
        <v>0.06</v>
      </c>
      <c r="CW82" s="676">
        <v>0.05</v>
      </c>
      <c r="CX82" s="676">
        <v>0.05</v>
      </c>
      <c r="CY82" s="676">
        <v>0.05</v>
      </c>
    </row>
    <row r="83" spans="2:103" ht="16.5" customHeight="1" x14ac:dyDescent="0.25">
      <c r="B83" s="702" t="s">
        <v>883</v>
      </c>
      <c r="C83" s="241"/>
      <c r="D83" s="241"/>
      <c r="E83" s="241"/>
      <c r="F83" s="241"/>
      <c r="G83" s="869"/>
      <c r="H83" s="241"/>
      <c r="I83" s="241"/>
      <c r="J83" s="241"/>
      <c r="K83" s="241"/>
      <c r="L83" s="869"/>
      <c r="M83" s="241"/>
      <c r="N83" s="241"/>
      <c r="O83" s="241"/>
      <c r="P83" s="241"/>
      <c r="Q83" s="869"/>
      <c r="R83" s="241"/>
      <c r="S83" s="241"/>
      <c r="T83" s="241"/>
      <c r="U83" s="241"/>
      <c r="V83" s="869"/>
      <c r="W83" s="241"/>
      <c r="X83" s="241"/>
      <c r="Y83" s="241"/>
      <c r="Z83" s="241"/>
      <c r="AA83" s="869"/>
      <c r="AB83" s="241"/>
      <c r="AC83" s="241"/>
      <c r="AD83" s="241"/>
      <c r="AE83" s="241"/>
      <c r="AF83" s="869"/>
      <c r="AG83" s="241"/>
      <c r="AH83" s="241"/>
      <c r="AI83" s="241"/>
      <c r="AJ83" s="241"/>
      <c r="AK83" s="869"/>
      <c r="AL83" s="241"/>
      <c r="AM83" s="241"/>
      <c r="AN83" s="241"/>
      <c r="AO83" s="241"/>
      <c r="AP83" s="869"/>
      <c r="AQ83" s="241"/>
      <c r="AR83" s="241"/>
      <c r="AS83" s="241"/>
      <c r="AT83" s="241"/>
      <c r="AU83" s="869"/>
      <c r="AV83" s="241"/>
      <c r="AW83" s="241"/>
      <c r="AX83" s="241"/>
      <c r="AY83" s="241"/>
      <c r="AZ83" s="869"/>
      <c r="BA83" s="241"/>
      <c r="BB83" s="241"/>
      <c r="BC83" s="241"/>
      <c r="BD83" s="241"/>
      <c r="BE83" s="869"/>
      <c r="BF83" s="241"/>
      <c r="BG83" s="241"/>
      <c r="BH83" s="241"/>
      <c r="BI83" s="241"/>
      <c r="BJ83" s="869"/>
      <c r="BK83" s="762" t="str">
        <f t="shared" ref="BK83:CD83" si="27">IFERROR(BK82/BF82-1,"")</f>
        <v/>
      </c>
      <c r="BL83" s="762" t="str">
        <f t="shared" si="27"/>
        <v/>
      </c>
      <c r="BM83" s="762" t="str">
        <f t="shared" si="27"/>
        <v/>
      </c>
      <c r="BN83" s="762" t="str">
        <f t="shared" si="27"/>
        <v/>
      </c>
      <c r="BO83" s="933" t="str">
        <f t="shared" si="27"/>
        <v/>
      </c>
      <c r="BP83" s="762" t="str">
        <f t="shared" si="27"/>
        <v/>
      </c>
      <c r="BQ83" s="762" t="str">
        <f t="shared" si="27"/>
        <v/>
      </c>
      <c r="BR83" s="762" t="str">
        <f t="shared" si="27"/>
        <v/>
      </c>
      <c r="BS83" s="762" t="str">
        <f t="shared" si="27"/>
        <v/>
      </c>
      <c r="BT83" s="933" t="str">
        <f t="shared" si="27"/>
        <v/>
      </c>
      <c r="BU83" s="762" t="str">
        <f t="shared" si="27"/>
        <v/>
      </c>
      <c r="BV83" s="762" t="str">
        <f t="shared" si="27"/>
        <v/>
      </c>
      <c r="BW83" s="762" t="str">
        <f t="shared" si="27"/>
        <v/>
      </c>
      <c r="BX83" s="762" t="str">
        <f t="shared" si="27"/>
        <v/>
      </c>
      <c r="BY83" s="933" t="str">
        <f t="shared" si="27"/>
        <v/>
      </c>
      <c r="BZ83" s="762" t="str">
        <f t="shared" si="27"/>
        <v/>
      </c>
      <c r="CA83" s="762" t="str">
        <f t="shared" si="27"/>
        <v/>
      </c>
      <c r="CB83" s="762" t="str">
        <f t="shared" si="27"/>
        <v/>
      </c>
      <c r="CC83" s="762" t="str">
        <f t="shared" si="27"/>
        <v/>
      </c>
      <c r="CD83" s="933" t="str">
        <f t="shared" si="27"/>
        <v/>
      </c>
      <c r="CE83" s="762"/>
      <c r="CF83" s="762"/>
      <c r="CG83" s="762"/>
      <c r="CH83" s="762"/>
      <c r="CI83" s="751" t="str">
        <f>IFERROR(CI82/CD82-1,"")</f>
        <v/>
      </c>
      <c r="CJ83" s="751" t="str">
        <f>IFERROR(CJ82/CI82-1,"")</f>
        <v/>
      </c>
      <c r="CK83" s="751" t="str">
        <f>IFERROR(CK82/CJ82-1,"")</f>
        <v/>
      </c>
      <c r="CL83" s="751" t="str">
        <f>IFERROR(CL82/CK82-1,"")</f>
        <v/>
      </c>
      <c r="CM83" s="751" t="str">
        <f>IFERROR(CM82/CL82-1,"")</f>
        <v/>
      </c>
      <c r="CN83" s="241"/>
      <c r="CO83" s="683"/>
      <c r="CP83" s="241"/>
      <c r="CQ83" s="693"/>
      <c r="CT83" t="s">
        <v>967</v>
      </c>
      <c r="CU83" s="676">
        <v>0.105</v>
      </c>
      <c r="CV83" s="676">
        <v>0.11</v>
      </c>
      <c r="CW83" s="676">
        <v>0.115</v>
      </c>
      <c r="CX83" s="676">
        <v>0.12</v>
      </c>
      <c r="CY83" s="676">
        <v>0.12</v>
      </c>
    </row>
    <row r="84" spans="2:103" ht="16.5" customHeight="1" x14ac:dyDescent="0.25">
      <c r="B84" s="702" t="s">
        <v>682</v>
      </c>
      <c r="C84" s="241"/>
      <c r="D84" s="241"/>
      <c r="E84" s="241"/>
      <c r="F84" s="241"/>
      <c r="G84" s="869"/>
      <c r="H84" s="241"/>
      <c r="I84" s="241"/>
      <c r="J84" s="241"/>
      <c r="K84" s="241"/>
      <c r="L84" s="869"/>
      <c r="M84" s="241"/>
      <c r="N84" s="241"/>
      <c r="O84" s="241"/>
      <c r="P84" s="241"/>
      <c r="Q84" s="869"/>
      <c r="R84" s="241"/>
      <c r="S84" s="241"/>
      <c r="T84" s="241"/>
      <c r="U84" s="241"/>
      <c r="V84" s="869"/>
      <c r="W84" s="241"/>
      <c r="X84" s="241"/>
      <c r="Y84" s="241"/>
      <c r="Z84" s="241"/>
      <c r="AA84" s="869"/>
      <c r="AB84" s="241"/>
      <c r="AC84" s="241"/>
      <c r="AD84" s="241"/>
      <c r="AE84" s="241"/>
      <c r="AF84" s="869"/>
      <c r="AG84" s="241"/>
      <c r="AH84" s="241"/>
      <c r="AI84" s="241"/>
      <c r="AJ84" s="241"/>
      <c r="AK84" s="869"/>
      <c r="AL84" s="241"/>
      <c r="AM84" s="241"/>
      <c r="AN84" s="241"/>
      <c r="AO84" s="241"/>
      <c r="AP84" s="869"/>
      <c r="AQ84" s="241"/>
      <c r="AR84" s="241"/>
      <c r="AS84" s="241"/>
      <c r="AT84" s="241"/>
      <c r="AU84" s="869"/>
      <c r="AV84" s="241"/>
      <c r="AW84" s="241"/>
      <c r="AX84" s="241"/>
      <c r="AY84" s="241"/>
      <c r="AZ84" s="869"/>
      <c r="BA84" s="241"/>
      <c r="BB84" s="241"/>
      <c r="BC84" s="241"/>
      <c r="BD84" s="241"/>
      <c r="BE84" s="869"/>
      <c r="BF84" s="241"/>
      <c r="BG84" s="241"/>
      <c r="BH84" s="241"/>
      <c r="BI84" s="241"/>
      <c r="BJ84" s="869"/>
      <c r="BK84" s="763">
        <f t="shared" ref="BK84:CD84" si="28">IFERROR((BK76+BK82-BF82)/BK76,"")</f>
        <v>1</v>
      </c>
      <c r="BL84" s="763">
        <f t="shared" si="28"/>
        <v>1</v>
      </c>
      <c r="BM84" s="763">
        <f t="shared" si="28"/>
        <v>1</v>
      </c>
      <c r="BN84" s="763">
        <f t="shared" si="28"/>
        <v>1</v>
      </c>
      <c r="BO84" s="934" t="str">
        <f t="shared" si="28"/>
        <v/>
      </c>
      <c r="BP84" s="763">
        <f t="shared" si="28"/>
        <v>1</v>
      </c>
      <c r="BQ84" s="763">
        <f t="shared" si="28"/>
        <v>1</v>
      </c>
      <c r="BR84" s="763">
        <f t="shared" si="28"/>
        <v>1</v>
      </c>
      <c r="BS84" s="763">
        <f t="shared" si="28"/>
        <v>1</v>
      </c>
      <c r="BT84" s="934">
        <f t="shared" si="28"/>
        <v>1</v>
      </c>
      <c r="BU84" s="763">
        <f t="shared" si="28"/>
        <v>1</v>
      </c>
      <c r="BV84" s="763">
        <f t="shared" si="28"/>
        <v>1</v>
      </c>
      <c r="BW84" s="763">
        <f t="shared" si="28"/>
        <v>1</v>
      </c>
      <c r="BX84" s="763">
        <f t="shared" si="28"/>
        <v>1</v>
      </c>
      <c r="BY84" s="934">
        <f t="shared" si="28"/>
        <v>1</v>
      </c>
      <c r="BZ84" s="763">
        <f t="shared" si="28"/>
        <v>1</v>
      </c>
      <c r="CA84" s="763">
        <f t="shared" si="28"/>
        <v>1</v>
      </c>
      <c r="CB84" s="763">
        <f t="shared" si="28"/>
        <v>1</v>
      </c>
      <c r="CC84" s="763">
        <f t="shared" si="28"/>
        <v>1</v>
      </c>
      <c r="CD84" s="934">
        <f t="shared" si="28"/>
        <v>1</v>
      </c>
      <c r="CE84" s="763"/>
      <c r="CF84" s="763"/>
      <c r="CG84" s="763"/>
      <c r="CH84" s="763"/>
      <c r="CI84" s="764">
        <f>IFERROR((CI76+CI82-CD82)/CI76,"")</f>
        <v>1</v>
      </c>
      <c r="CJ84" s="764">
        <f>IFERROR((CJ76+CJ82-CI82)/CJ76,"")</f>
        <v>1</v>
      </c>
      <c r="CK84" s="764">
        <f>IFERROR((CK76+CK82-CJ82)/CK76,"")</f>
        <v>1</v>
      </c>
      <c r="CL84" s="764">
        <f>IFERROR((CL76+CL82-CK82)/CL76,"")</f>
        <v>1</v>
      </c>
      <c r="CM84" s="764">
        <f>IFERROR((CM76+CM82-CL82)/CM76,"")</f>
        <v>1</v>
      </c>
      <c r="CN84" s="241"/>
      <c r="CO84" s="683"/>
      <c r="CP84" s="241"/>
      <c r="CQ84" s="693"/>
      <c r="CT84" t="s">
        <v>968</v>
      </c>
      <c r="CU84" s="676">
        <v>0.01</v>
      </c>
      <c r="CV84" s="676">
        <v>0.01</v>
      </c>
      <c r="CW84" s="676">
        <v>1.4999999999999999E-2</v>
      </c>
      <c r="CX84" s="676">
        <v>1.4999999999999999E-2</v>
      </c>
      <c r="CY84" s="676">
        <v>0.02</v>
      </c>
    </row>
    <row r="85" spans="2:103" ht="16.5" customHeight="1" x14ac:dyDescent="0.25">
      <c r="C85" s="291"/>
      <c r="D85" s="291"/>
      <c r="E85" s="291"/>
      <c r="F85" s="291"/>
      <c r="G85" s="864"/>
      <c r="H85" s="291"/>
      <c r="I85" s="291"/>
      <c r="J85" s="291"/>
      <c r="K85" s="291"/>
      <c r="L85" s="864"/>
      <c r="M85" s="291"/>
      <c r="N85" s="291"/>
      <c r="O85" s="291"/>
      <c r="P85" s="291"/>
      <c r="Q85" s="864"/>
      <c r="R85" s="291"/>
      <c r="S85" s="291"/>
      <c r="T85" s="291"/>
      <c r="U85" s="291"/>
      <c r="V85" s="864"/>
      <c r="W85" s="291"/>
      <c r="X85" s="291"/>
      <c r="Y85" s="291"/>
      <c r="Z85" s="291"/>
      <c r="AA85" s="864"/>
      <c r="AB85" s="291"/>
      <c r="AC85" s="291"/>
      <c r="AD85" s="291"/>
      <c r="AE85" s="291"/>
      <c r="AF85" s="864"/>
      <c r="AG85" s="291"/>
      <c r="AH85" s="291"/>
      <c r="AI85" s="291"/>
      <c r="AJ85" s="291"/>
      <c r="AK85" s="864"/>
      <c r="AL85" s="291"/>
      <c r="AM85" s="291"/>
      <c r="AN85" s="291"/>
      <c r="AO85" s="291"/>
      <c r="AP85" s="864"/>
      <c r="AQ85" s="291"/>
      <c r="AR85" s="291"/>
      <c r="AS85" s="291"/>
      <c r="AT85" s="291"/>
      <c r="AU85" s="864"/>
      <c r="AV85" s="291"/>
      <c r="AW85" s="291"/>
      <c r="AX85" s="291"/>
      <c r="AY85" s="291"/>
      <c r="AZ85" s="864"/>
      <c r="BA85" s="291"/>
      <c r="BB85" s="291"/>
      <c r="BC85" s="291"/>
      <c r="BD85" s="291"/>
      <c r="BE85" s="864"/>
      <c r="BF85" s="291"/>
      <c r="BG85" s="291"/>
      <c r="BH85" s="291"/>
      <c r="BI85" s="291"/>
      <c r="BJ85" s="864"/>
      <c r="BK85" s="291"/>
      <c r="BL85" s="291"/>
      <c r="BM85" s="291"/>
      <c r="BN85" s="291"/>
      <c r="BO85" s="864"/>
      <c r="BP85" s="291"/>
      <c r="BQ85" s="291"/>
      <c r="BR85" s="291"/>
      <c r="BS85" s="291"/>
      <c r="BT85" s="864"/>
      <c r="BU85" s="291"/>
      <c r="BV85" s="291"/>
      <c r="BW85" s="291"/>
      <c r="BX85" s="291"/>
      <c r="BY85" s="864"/>
      <c r="BZ85" s="291"/>
      <c r="CA85" s="291"/>
      <c r="CB85" s="291"/>
      <c r="CC85" s="291"/>
      <c r="CD85" s="864"/>
      <c r="CE85" s="291"/>
      <c r="CF85" s="291"/>
      <c r="CG85" s="291"/>
      <c r="CH85" s="291"/>
      <c r="CI85" s="749"/>
      <c r="CJ85" s="749"/>
      <c r="CK85" s="749"/>
      <c r="CL85" s="749"/>
      <c r="CM85" s="749"/>
      <c r="CN85" s="291"/>
      <c r="CO85" s="683"/>
      <c r="CP85" s="291"/>
      <c r="CQ85" s="693"/>
      <c r="CT85" t="s">
        <v>969</v>
      </c>
      <c r="CU85" s="676">
        <v>0.1</v>
      </c>
      <c r="CV85" s="676">
        <v>0.105</v>
      </c>
      <c r="CW85" s="676">
        <v>0.11</v>
      </c>
      <c r="CX85" s="676">
        <v>0.11</v>
      </c>
      <c r="CY85" s="676">
        <v>0.115</v>
      </c>
    </row>
    <row r="86" spans="2:103" ht="16.5" customHeight="1" x14ac:dyDescent="0.25">
      <c r="B86" s="223" t="s">
        <v>693</v>
      </c>
      <c r="C86" s="224"/>
      <c r="D86" s="224"/>
      <c r="E86" s="224"/>
      <c r="F86" s="224"/>
      <c r="G86" s="867"/>
      <c r="H86" s="224"/>
      <c r="I86" s="224"/>
      <c r="J86" s="224"/>
      <c r="K86" s="224"/>
      <c r="L86" s="867"/>
      <c r="M86" s="224"/>
      <c r="N86" s="224"/>
      <c r="O86" s="224"/>
      <c r="P86" s="224"/>
      <c r="Q86" s="867"/>
      <c r="R86" s="224"/>
      <c r="S86" s="224"/>
      <c r="T86" s="224"/>
      <c r="U86" s="224"/>
      <c r="V86" s="867"/>
      <c r="W86" s="224"/>
      <c r="X86" s="224"/>
      <c r="Y86" s="224"/>
      <c r="Z86" s="224"/>
      <c r="AA86" s="867"/>
      <c r="AB86" s="224"/>
      <c r="AC86" s="224"/>
      <c r="AD86" s="224"/>
      <c r="AE86" s="224"/>
      <c r="AF86" s="867"/>
      <c r="AG86" s="224"/>
      <c r="AH86" s="224"/>
      <c r="AI86" s="224"/>
      <c r="AJ86" s="224"/>
      <c r="AK86" s="867"/>
      <c r="AL86" s="224"/>
      <c r="AM86" s="224"/>
      <c r="AN86" s="224"/>
      <c r="AO86" s="224"/>
      <c r="AP86" s="867"/>
      <c r="AQ86" s="224"/>
      <c r="AR86" s="224"/>
      <c r="AS86" s="224"/>
      <c r="AT86" s="224"/>
      <c r="AU86" s="867"/>
      <c r="AV86" s="224"/>
      <c r="AW86" s="224"/>
      <c r="AX86" s="224"/>
      <c r="AY86" s="224"/>
      <c r="AZ86" s="867"/>
      <c r="BA86" s="224"/>
      <c r="BB86" s="224"/>
      <c r="BC86" s="224"/>
      <c r="BD86" s="224"/>
      <c r="BE86" s="867"/>
      <c r="BF86" s="224"/>
      <c r="BG86" s="224"/>
      <c r="BH86" s="224"/>
      <c r="BI86" s="224"/>
      <c r="BJ86" s="867"/>
      <c r="BK86" s="224"/>
      <c r="BL86" s="224"/>
      <c r="BM86" s="224"/>
      <c r="BN86" s="224"/>
      <c r="BO86" s="867"/>
      <c r="BP86" s="224"/>
      <c r="BQ86" s="224"/>
      <c r="BR86" s="224"/>
      <c r="BS86" s="224"/>
      <c r="BT86" s="867"/>
      <c r="BU86" s="224"/>
      <c r="BV86" s="224"/>
      <c r="BW86" s="224"/>
      <c r="BX86" s="224"/>
      <c r="BY86" s="867"/>
      <c r="BZ86" s="224"/>
      <c r="CA86" s="224"/>
      <c r="CB86" s="224"/>
      <c r="CC86" s="224"/>
      <c r="CD86" s="867"/>
      <c r="CE86" s="224"/>
      <c r="CF86" s="224"/>
      <c r="CG86" s="224"/>
      <c r="CH86" s="224"/>
      <c r="CI86" s="224"/>
      <c r="CJ86" s="224"/>
      <c r="CK86" s="224"/>
      <c r="CL86" s="224"/>
      <c r="CM86" s="224"/>
      <c r="CN86" s="224"/>
      <c r="CO86" s="684"/>
      <c r="CP86" s="224"/>
      <c r="CQ86" s="693"/>
    </row>
    <row r="87" spans="2:103" ht="16.5" customHeight="1" x14ac:dyDescent="0.25">
      <c r="B87" s="12" t="s">
        <v>677</v>
      </c>
      <c r="C87" s="743"/>
      <c r="D87" s="743"/>
      <c r="E87" s="743"/>
      <c r="F87" s="743"/>
      <c r="G87" s="868"/>
      <c r="H87" s="743"/>
      <c r="I87" s="743"/>
      <c r="J87" s="743"/>
      <c r="K87" s="743"/>
      <c r="L87" s="868"/>
      <c r="M87" s="743"/>
      <c r="N87" s="743"/>
      <c r="O87" s="743"/>
      <c r="P87" s="743"/>
      <c r="Q87" s="868"/>
      <c r="R87" s="743"/>
      <c r="S87" s="743"/>
      <c r="T87" s="743"/>
      <c r="U87" s="743"/>
      <c r="V87" s="868"/>
      <c r="W87" s="743"/>
      <c r="X87" s="743"/>
      <c r="Y87" s="743"/>
      <c r="Z87" s="743"/>
      <c r="AA87" s="868"/>
      <c r="AB87" s="743"/>
      <c r="AC87" s="743"/>
      <c r="AD87" s="743"/>
      <c r="AE87" s="743"/>
      <c r="AF87" s="868"/>
      <c r="AG87" s="743"/>
      <c r="AH87" s="743"/>
      <c r="AI87" s="743"/>
      <c r="AJ87" s="743"/>
      <c r="AK87" s="868"/>
      <c r="AL87" s="743"/>
      <c r="AM87" s="291"/>
      <c r="AN87" s="291"/>
      <c r="AO87" s="291"/>
      <c r="AP87" s="864"/>
      <c r="AQ87" s="291"/>
      <c r="AR87" s="291"/>
      <c r="AS87" s="291"/>
      <c r="AT87" s="291"/>
      <c r="AU87" s="864"/>
      <c r="AV87" s="291"/>
      <c r="AW87" s="291"/>
      <c r="AX87" s="291"/>
      <c r="AY87" s="291"/>
      <c r="AZ87" s="864"/>
      <c r="BA87" s="291"/>
      <c r="BB87" s="291"/>
      <c r="BC87" s="291"/>
      <c r="BD87" s="291"/>
      <c r="BE87" s="864"/>
      <c r="BF87" s="291"/>
      <c r="BG87" s="291"/>
      <c r="BH87" s="291"/>
      <c r="BI87" s="291"/>
      <c r="BJ87" s="864"/>
      <c r="BK87" s="753">
        <v>212.91300000000001</v>
      </c>
      <c r="BL87" s="753">
        <v>236.17</v>
      </c>
      <c r="BM87" s="753">
        <v>231.25</v>
      </c>
      <c r="BN87" s="754">
        <f>BO87-BK87-BL87-BM87</f>
        <v>-680.33299999999997</v>
      </c>
      <c r="BO87" s="911"/>
      <c r="BP87" s="743">
        <v>232.059</v>
      </c>
      <c r="BQ87" s="743">
        <v>243.935</v>
      </c>
      <c r="BR87" s="743">
        <v>252.749</v>
      </c>
      <c r="BS87" s="291">
        <f>BT87-BP87-BQ87-BR87</f>
        <v>253.98100000000008</v>
      </c>
      <c r="BT87" s="868">
        <v>982.72400000000005</v>
      </c>
      <c r="BU87" s="743">
        <v>246.256</v>
      </c>
      <c r="BV87" s="743">
        <v>253.422</v>
      </c>
      <c r="BW87" s="743">
        <v>249.78399999999999</v>
      </c>
      <c r="BX87" s="291">
        <f>BY87-BU87-BV87-BW87</f>
        <v>241.68399999999997</v>
      </c>
      <c r="BY87" s="868">
        <v>991.14599999999996</v>
      </c>
      <c r="BZ87" s="743">
        <v>228.18799999999999</v>
      </c>
      <c r="CA87" s="743">
        <v>234.42599999999999</v>
      </c>
      <c r="CB87" s="743">
        <v>239.56</v>
      </c>
      <c r="CC87" s="291">
        <f>CD87-BZ87-CA87-CB87</f>
        <v>253.40700000000004</v>
      </c>
      <c r="CD87" s="868">
        <v>955.58100000000002</v>
      </c>
      <c r="CE87" s="743">
        <v>260.81400000000002</v>
      </c>
      <c r="CF87" s="743">
        <v>255.858</v>
      </c>
      <c r="CG87" s="291">
        <f>CB87*(1+CG88)</f>
        <v>256.32920000000001</v>
      </c>
      <c r="CH87" s="291">
        <f>CI87-CE87-CF87-CG87</f>
        <v>226.97480000000002</v>
      </c>
      <c r="CI87" s="749">
        <f>956*(1+CI88)</f>
        <v>999.976</v>
      </c>
      <c r="CJ87" s="749">
        <f>CI87*(1+CJ88)</f>
        <v>1039.97504</v>
      </c>
      <c r="CK87" s="749">
        <f>CJ87*(1+CK88)</f>
        <v>1081.5740416000001</v>
      </c>
      <c r="CL87" s="749">
        <f>CK87*(1+CL88)</f>
        <v>1119.429133056</v>
      </c>
      <c r="CM87" s="749">
        <f>CL87*(1+CM88)</f>
        <v>1158.6091527129599</v>
      </c>
      <c r="CN87" s="291"/>
      <c r="CO87" s="683">
        <v>3.59932375934673E-2</v>
      </c>
      <c r="CP87" s="291"/>
      <c r="CQ87" s="694" t="s">
        <v>828</v>
      </c>
    </row>
    <row r="88" spans="2:103" ht="16.5" customHeight="1" x14ac:dyDescent="0.25">
      <c r="B88" s="690" t="s">
        <v>679</v>
      </c>
      <c r="C88" s="743"/>
      <c r="D88" s="743"/>
      <c r="E88" s="743"/>
      <c r="F88" s="743"/>
      <c r="G88" s="868"/>
      <c r="H88" s="743"/>
      <c r="I88" s="743"/>
      <c r="J88" s="743"/>
      <c r="K88" s="743"/>
      <c r="L88" s="868"/>
      <c r="M88" s="743"/>
      <c r="N88" s="743"/>
      <c r="O88" s="743"/>
      <c r="P88" s="743"/>
      <c r="Q88" s="868"/>
      <c r="R88" s="743"/>
      <c r="S88" s="743"/>
      <c r="T88" s="743"/>
      <c r="U88" s="743"/>
      <c r="V88" s="868"/>
      <c r="W88" s="743"/>
      <c r="X88" s="743"/>
      <c r="Y88" s="743"/>
      <c r="Z88" s="743"/>
      <c r="AA88" s="868"/>
      <c r="AB88" s="743"/>
      <c r="AC88" s="743"/>
      <c r="AD88" s="743"/>
      <c r="AE88" s="743"/>
      <c r="AF88" s="868"/>
      <c r="AG88" s="743"/>
      <c r="AH88" s="743"/>
      <c r="AI88" s="743"/>
      <c r="AJ88" s="743"/>
      <c r="AK88" s="868"/>
      <c r="AL88" s="743"/>
      <c r="AM88" s="291"/>
      <c r="AN88" s="291"/>
      <c r="AO88" s="291"/>
      <c r="AP88" s="864"/>
      <c r="AQ88" s="291"/>
      <c r="AR88" s="291"/>
      <c r="AS88" s="291"/>
      <c r="AT88" s="291"/>
      <c r="AU88" s="864"/>
      <c r="AV88" s="291"/>
      <c r="AW88" s="291"/>
      <c r="AX88" s="291"/>
      <c r="AY88" s="291"/>
      <c r="AZ88" s="864"/>
      <c r="BA88" s="291"/>
      <c r="BB88" s="291"/>
      <c r="BC88" s="291"/>
      <c r="BD88" s="291"/>
      <c r="BE88" s="864"/>
      <c r="BF88" s="291"/>
      <c r="BG88" s="291"/>
      <c r="BH88" s="291"/>
      <c r="BI88" s="291"/>
      <c r="BJ88" s="864"/>
      <c r="BK88" s="241" t="str">
        <f t="shared" ref="BK88:CD88" si="29">IFERROR(BK87/BF87-1,"")</f>
        <v/>
      </c>
      <c r="BL88" s="241" t="str">
        <f t="shared" si="29"/>
        <v/>
      </c>
      <c r="BM88" s="241" t="str">
        <f t="shared" si="29"/>
        <v/>
      </c>
      <c r="BN88" s="241" t="str">
        <f t="shared" si="29"/>
        <v/>
      </c>
      <c r="BO88" s="869" t="str">
        <f t="shared" si="29"/>
        <v/>
      </c>
      <c r="BP88" s="241">
        <f t="shared" si="29"/>
        <v>8.9924053486635236E-2</v>
      </c>
      <c r="BQ88" s="241">
        <f t="shared" si="29"/>
        <v>3.2878858449422177E-2</v>
      </c>
      <c r="BR88" s="241">
        <f t="shared" si="29"/>
        <v>9.2968648648648733E-2</v>
      </c>
      <c r="BS88" s="241">
        <f t="shared" si="29"/>
        <v>-1.3733186542472584</v>
      </c>
      <c r="BT88" s="869" t="str">
        <f t="shared" si="29"/>
        <v/>
      </c>
      <c r="BU88" s="241">
        <f t="shared" si="29"/>
        <v>6.1178407215406461E-2</v>
      </c>
      <c r="BV88" s="241">
        <f t="shared" si="29"/>
        <v>3.8891507983684237E-2</v>
      </c>
      <c r="BW88" s="241">
        <f t="shared" si="29"/>
        <v>-1.1731005859568211E-2</v>
      </c>
      <c r="BX88" s="241">
        <f t="shared" si="29"/>
        <v>-4.8417007571432968E-2</v>
      </c>
      <c r="BY88" s="869">
        <f t="shared" si="29"/>
        <v>8.5700562925092871E-3</v>
      </c>
      <c r="BZ88" s="241">
        <f t="shared" si="29"/>
        <v>-7.3370801117536244E-2</v>
      </c>
      <c r="CA88" s="241">
        <f t="shared" si="29"/>
        <v>-7.4957975234983598E-2</v>
      </c>
      <c r="CB88" s="241">
        <f t="shared" si="29"/>
        <v>-4.093136469909997E-2</v>
      </c>
      <c r="CC88" s="241">
        <f t="shared" si="29"/>
        <v>4.850548650303721E-2</v>
      </c>
      <c r="CD88" s="869">
        <f t="shared" si="29"/>
        <v>-3.5882705474269083E-2</v>
      </c>
      <c r="CE88" s="241">
        <f>IFERROR(CE87/BZ87-1,"")</f>
        <v>0.14297859659578949</v>
      </c>
      <c r="CF88" s="241">
        <f>IFERROR(CF87/CA87-1,"")</f>
        <v>9.1423306288551665E-2</v>
      </c>
      <c r="CG88" s="755">
        <v>7.0000000000000007E-2</v>
      </c>
      <c r="CH88" s="241">
        <f>IFERROR(CH87/CC87-1,"")</f>
        <v>-0.10430730011404588</v>
      </c>
      <c r="CI88" s="756">
        <v>4.5999999999999999E-2</v>
      </c>
      <c r="CJ88" s="756">
        <f>CHOOSE(MATCH($CO$3,{"Base";"Bull";"Bear"},0),CV64,CV74,CV84)</f>
        <v>0.04</v>
      </c>
      <c r="CK88" s="756">
        <f>CHOOSE(MATCH($CO$3,{"Base";"Bull";"Bear"},0),CW64,CW74,CW84)</f>
        <v>0.04</v>
      </c>
      <c r="CL88" s="756">
        <f>CHOOSE(MATCH($CO$3,{"Base";"Bull";"Bear"},0),CX64,CX74,CX84)</f>
        <v>3.5000000000000003E-2</v>
      </c>
      <c r="CM88" s="756">
        <f>CHOOSE(MATCH($CO$3,{"Base";"Bull";"Bear"},0),CY64,CY74,CY84)</f>
        <v>3.5000000000000003E-2</v>
      </c>
      <c r="CN88" s="291"/>
      <c r="CO88" s="683"/>
      <c r="CP88" s="291"/>
      <c r="CQ88" s="694" t="s">
        <v>829</v>
      </c>
    </row>
    <row r="89" spans="2:103" ht="16.5" customHeight="1" x14ac:dyDescent="0.25">
      <c r="B89" s="12" t="s">
        <v>880</v>
      </c>
      <c r="C89" s="241"/>
      <c r="D89" s="241"/>
      <c r="E89" s="241"/>
      <c r="F89" s="241"/>
      <c r="G89" s="869"/>
      <c r="H89" s="241"/>
      <c r="I89" s="241"/>
      <c r="J89" s="241"/>
      <c r="K89" s="241"/>
      <c r="L89" s="869"/>
      <c r="M89" s="241"/>
      <c r="N89" s="241"/>
      <c r="O89" s="241"/>
      <c r="P89" s="241"/>
      <c r="Q89" s="869"/>
      <c r="R89" s="241"/>
      <c r="S89" s="241"/>
      <c r="T89" s="241"/>
      <c r="U89" s="241"/>
      <c r="V89" s="869"/>
      <c r="W89" s="241"/>
      <c r="X89" s="241"/>
      <c r="Y89" s="241"/>
      <c r="Z89" s="241"/>
      <c r="AA89" s="869"/>
      <c r="AB89" s="241"/>
      <c r="AC89" s="241"/>
      <c r="AD89" s="241"/>
      <c r="AE89" s="241"/>
      <c r="AF89" s="869"/>
      <c r="AG89" s="241"/>
      <c r="AH89" s="241"/>
      <c r="AI89" s="241"/>
      <c r="AJ89" s="241"/>
      <c r="AK89" s="869"/>
      <c r="AL89" s="241"/>
      <c r="AM89" s="241"/>
      <c r="AN89" s="241"/>
      <c r="AO89" s="241"/>
      <c r="AP89" s="869"/>
      <c r="AQ89" s="241"/>
      <c r="AR89" s="241"/>
      <c r="AS89" s="241"/>
      <c r="AT89" s="241"/>
      <c r="AU89" s="869"/>
      <c r="AV89" s="241"/>
      <c r="AW89" s="241"/>
      <c r="AX89" s="241"/>
      <c r="AY89" s="241"/>
      <c r="AZ89" s="869"/>
      <c r="BA89" s="241"/>
      <c r="BB89" s="241"/>
      <c r="BC89" s="241"/>
      <c r="BD89" s="241"/>
      <c r="BE89" s="869"/>
      <c r="BF89" s="241"/>
      <c r="BG89" s="241"/>
      <c r="BH89" s="241"/>
      <c r="BI89" s="241"/>
      <c r="BJ89" s="869"/>
      <c r="BK89" s="754"/>
      <c r="BL89" s="754"/>
      <c r="BM89" s="754"/>
      <c r="BN89" s="754">
        <f>BO89-BK89-BL89-BM89</f>
        <v>0</v>
      </c>
      <c r="BO89" s="911"/>
      <c r="BP89" s="743">
        <v>36.750999999999998</v>
      </c>
      <c r="BQ89" s="743">
        <v>24.396999999999998</v>
      </c>
      <c r="BR89" s="743">
        <v>28.035</v>
      </c>
      <c r="BS89" s="291">
        <f>BT89-BP89-BQ89-BR89</f>
        <v>12.086000000000002</v>
      </c>
      <c r="BT89" s="868">
        <v>101.26900000000001</v>
      </c>
      <c r="BU89" s="743">
        <v>29.024000000000001</v>
      </c>
      <c r="BV89" s="743">
        <v>28.155000000000001</v>
      </c>
      <c r="BW89" s="743">
        <v>24.413</v>
      </c>
      <c r="BX89" s="291">
        <f>BY89-BU89-BV89-BW89</f>
        <v>11.608000000000001</v>
      </c>
      <c r="BY89" s="868">
        <v>93.2</v>
      </c>
      <c r="BZ89" s="743">
        <v>25.498000000000001</v>
      </c>
      <c r="CA89" s="743">
        <v>27.213000000000001</v>
      </c>
      <c r="CB89" s="743">
        <v>22.989000000000001</v>
      </c>
      <c r="CC89" s="291">
        <f>CD89-BZ89-CA89-CB89</f>
        <v>32.218999999999994</v>
      </c>
      <c r="CD89" s="868">
        <v>107.919</v>
      </c>
      <c r="CE89" s="753">
        <v>36.253</v>
      </c>
      <c r="CF89" s="753">
        <v>33.005000000000003</v>
      </c>
      <c r="CG89" s="754">
        <f t="shared" ref="CG89:CM89" si="30">CG87*CG91</f>
        <v>37.424063199999999</v>
      </c>
      <c r="CH89" s="754">
        <f t="shared" si="30"/>
        <v>35.181094000000002</v>
      </c>
      <c r="CI89" s="757">
        <f t="shared" si="30"/>
        <v>142.996568</v>
      </c>
      <c r="CJ89" s="749">
        <f t="shared" si="30"/>
        <v>124.7970048</v>
      </c>
      <c r="CK89" s="749">
        <f t="shared" si="30"/>
        <v>135.19675520000001</v>
      </c>
      <c r="CL89" s="749">
        <f t="shared" si="30"/>
        <v>139.92864163199999</v>
      </c>
      <c r="CM89" s="749">
        <f t="shared" si="30"/>
        <v>150.6191898526848</v>
      </c>
      <c r="CN89" s="241"/>
      <c r="CO89" s="683"/>
      <c r="CP89" s="241"/>
      <c r="CQ89" s="693"/>
    </row>
    <row r="90" spans="2:103" ht="16.5" customHeight="1" x14ac:dyDescent="0.25">
      <c r="B90" s="12" t="s">
        <v>881</v>
      </c>
      <c r="C90" s="241"/>
      <c r="D90" s="241"/>
      <c r="E90" s="241"/>
      <c r="F90" s="241"/>
      <c r="G90" s="869"/>
      <c r="H90" s="241"/>
      <c r="I90" s="241"/>
      <c r="J90" s="241"/>
      <c r="K90" s="241"/>
      <c r="L90" s="869"/>
      <c r="M90" s="241"/>
      <c r="N90" s="241"/>
      <c r="O90" s="241"/>
      <c r="P90" s="241"/>
      <c r="Q90" s="869"/>
      <c r="R90" s="241"/>
      <c r="S90" s="241"/>
      <c r="T90" s="241"/>
      <c r="U90" s="241"/>
      <c r="V90" s="869"/>
      <c r="W90" s="241"/>
      <c r="X90" s="241"/>
      <c r="Y90" s="241"/>
      <c r="Z90" s="241"/>
      <c r="AA90" s="869"/>
      <c r="AB90" s="241"/>
      <c r="AC90" s="241"/>
      <c r="AD90" s="241"/>
      <c r="AE90" s="241"/>
      <c r="AF90" s="869"/>
      <c r="AG90" s="241"/>
      <c r="AH90" s="241"/>
      <c r="AI90" s="241"/>
      <c r="AJ90" s="241"/>
      <c r="AK90" s="869"/>
      <c r="AL90" s="241"/>
      <c r="AM90" s="241"/>
      <c r="AN90" s="241"/>
      <c r="AO90" s="241"/>
      <c r="AP90" s="869"/>
      <c r="AQ90" s="241"/>
      <c r="AR90" s="241"/>
      <c r="AS90" s="241"/>
      <c r="AT90" s="241"/>
      <c r="AU90" s="869"/>
      <c r="AV90" s="241"/>
      <c r="AW90" s="241"/>
      <c r="AX90" s="241"/>
      <c r="AY90" s="241"/>
      <c r="AZ90" s="869"/>
      <c r="BA90" s="241"/>
      <c r="BB90" s="241"/>
      <c r="BC90" s="241"/>
      <c r="BD90" s="241"/>
      <c r="BE90" s="869"/>
      <c r="BF90" s="241"/>
      <c r="BG90" s="241"/>
      <c r="BH90" s="241"/>
      <c r="BI90" s="241"/>
      <c r="BJ90" s="869"/>
      <c r="BK90" s="241" t="str">
        <f t="shared" ref="BK90:CD90" si="31">IFERROR(BK89/BF89-1,"")</f>
        <v/>
      </c>
      <c r="BL90" s="241" t="str">
        <f t="shared" si="31"/>
        <v/>
      </c>
      <c r="BM90" s="241" t="str">
        <f t="shared" si="31"/>
        <v/>
      </c>
      <c r="BN90" s="241" t="str">
        <f t="shared" si="31"/>
        <v/>
      </c>
      <c r="BO90" s="869" t="str">
        <f t="shared" si="31"/>
        <v/>
      </c>
      <c r="BP90" s="241" t="str">
        <f t="shared" si="31"/>
        <v/>
      </c>
      <c r="BQ90" s="241" t="str">
        <f t="shared" si="31"/>
        <v/>
      </c>
      <c r="BR90" s="241" t="str">
        <f t="shared" si="31"/>
        <v/>
      </c>
      <c r="BS90" s="241" t="str">
        <f t="shared" si="31"/>
        <v/>
      </c>
      <c r="BT90" s="869" t="str">
        <f t="shared" si="31"/>
        <v/>
      </c>
      <c r="BU90" s="241">
        <f t="shared" si="31"/>
        <v>-0.21025278223721799</v>
      </c>
      <c r="BV90" s="241">
        <f t="shared" si="31"/>
        <v>0.15403533221297705</v>
      </c>
      <c r="BW90" s="241">
        <f t="shared" si="31"/>
        <v>-0.12919564829677188</v>
      </c>
      <c r="BX90" s="241">
        <f t="shared" si="31"/>
        <v>-3.9549892437531153E-2</v>
      </c>
      <c r="BY90" s="869">
        <f t="shared" si="31"/>
        <v>-7.9678875075294586E-2</v>
      </c>
      <c r="BZ90" s="241">
        <f t="shared" si="31"/>
        <v>-0.12148566703417862</v>
      </c>
      <c r="CA90" s="241">
        <f t="shared" si="31"/>
        <v>-3.345764517847627E-2</v>
      </c>
      <c r="CB90" s="241">
        <f t="shared" si="31"/>
        <v>-5.8329578503256485E-2</v>
      </c>
      <c r="CC90" s="241">
        <f t="shared" si="31"/>
        <v>1.7755858028945548</v>
      </c>
      <c r="CD90" s="869">
        <f t="shared" si="31"/>
        <v>0.15792918454935623</v>
      </c>
      <c r="CE90" s="241">
        <f>IFERROR(CE89/BZ89-1,"")</f>
        <v>0.42179778806180868</v>
      </c>
      <c r="CF90" s="241">
        <f>IFERROR(CF89/CA89-1,"")</f>
        <v>0.21283945173262775</v>
      </c>
      <c r="CG90" s="241">
        <f>IFERROR(CG89/CB89-1,"")</f>
        <v>0.62791174909739422</v>
      </c>
      <c r="CH90" s="241">
        <f>IFERROR(CH89/CC89-1,"")</f>
        <v>9.1936248797293674E-2</v>
      </c>
      <c r="CI90" s="751">
        <f>IFERROR(CI89/CD89-1,"")</f>
        <v>0.3250360733513098</v>
      </c>
      <c r="CJ90" s="751">
        <f>IFERROR(CJ89/CI89-1,"")</f>
        <v>-0.12727272727272732</v>
      </c>
      <c r="CK90" s="751">
        <f>IFERROR(CK89/CJ89-1,"")</f>
        <v>8.3333333333333481E-2</v>
      </c>
      <c r="CL90" s="751">
        <f>IFERROR(CL89/CK89-1,"")</f>
        <v>3.499999999999992E-2</v>
      </c>
      <c r="CM90" s="751">
        <f>IFERROR(CM89/CL89-1,"")</f>
        <v>7.6400000000000023E-2</v>
      </c>
      <c r="CN90" s="241"/>
      <c r="CO90" s="683"/>
      <c r="CP90" s="241"/>
      <c r="CQ90" s="693"/>
    </row>
    <row r="91" spans="2:103" ht="16.5" customHeight="1" x14ac:dyDescent="0.25">
      <c r="B91" s="12" t="s">
        <v>181</v>
      </c>
      <c r="C91" s="743"/>
      <c r="D91" s="743"/>
      <c r="E91" s="743"/>
      <c r="F91" s="743"/>
      <c r="G91" s="868"/>
      <c r="H91" s="743"/>
      <c r="I91" s="743"/>
      <c r="J91" s="743"/>
      <c r="K91" s="743"/>
      <c r="L91" s="868"/>
      <c r="M91" s="743"/>
      <c r="N91" s="743"/>
      <c r="O91" s="743"/>
      <c r="P91" s="743"/>
      <c r="Q91" s="868"/>
      <c r="R91" s="743"/>
      <c r="S91" s="743"/>
      <c r="T91" s="743"/>
      <c r="U91" s="743"/>
      <c r="V91" s="868"/>
      <c r="W91" s="743"/>
      <c r="X91" s="743"/>
      <c r="Y91" s="743"/>
      <c r="Z91" s="743"/>
      <c r="AA91" s="868"/>
      <c r="AB91" s="743"/>
      <c r="AC91" s="743"/>
      <c r="AD91" s="743"/>
      <c r="AE91" s="743"/>
      <c r="AF91" s="868"/>
      <c r="AG91" s="743"/>
      <c r="AH91" s="743"/>
      <c r="AI91" s="743"/>
      <c r="AJ91" s="743"/>
      <c r="AK91" s="868"/>
      <c r="AL91" s="743"/>
      <c r="AM91" s="291"/>
      <c r="AN91" s="291"/>
      <c r="AO91" s="291"/>
      <c r="AP91" s="864"/>
      <c r="AQ91" s="291"/>
      <c r="AR91" s="291"/>
      <c r="AS91" s="291"/>
      <c r="AT91" s="291"/>
      <c r="AU91" s="864"/>
      <c r="AV91" s="291"/>
      <c r="AW91" s="291"/>
      <c r="AX91" s="291"/>
      <c r="AY91" s="291"/>
      <c r="AZ91" s="864"/>
      <c r="BA91" s="291"/>
      <c r="BB91" s="291"/>
      <c r="BC91" s="291"/>
      <c r="BD91" s="291"/>
      <c r="BE91" s="864"/>
      <c r="BF91" s="291"/>
      <c r="BG91" s="291"/>
      <c r="BH91" s="291"/>
      <c r="BI91" s="291"/>
      <c r="BJ91" s="864"/>
      <c r="BK91" s="241">
        <f t="shared" ref="BK91:CD91" si="32">IFERROR(BK89/BK87,"")</f>
        <v>0</v>
      </c>
      <c r="BL91" s="241">
        <f t="shared" si="32"/>
        <v>0</v>
      </c>
      <c r="BM91" s="241">
        <f t="shared" si="32"/>
        <v>0</v>
      </c>
      <c r="BN91" s="241">
        <f t="shared" si="32"/>
        <v>0</v>
      </c>
      <c r="BO91" s="869" t="str">
        <f t="shared" si="32"/>
        <v/>
      </c>
      <c r="BP91" s="241">
        <f t="shared" si="32"/>
        <v>0.15836920783076716</v>
      </c>
      <c r="BQ91" s="241">
        <f t="shared" si="32"/>
        <v>0.1000143480845307</v>
      </c>
      <c r="BR91" s="241">
        <f t="shared" si="32"/>
        <v>0.11092032015952585</v>
      </c>
      <c r="BS91" s="241">
        <f t="shared" si="32"/>
        <v>4.7586236765742314E-2</v>
      </c>
      <c r="BT91" s="869">
        <f t="shared" si="32"/>
        <v>0.1030492793500515</v>
      </c>
      <c r="BU91" s="241">
        <f t="shared" si="32"/>
        <v>0.11786108764862582</v>
      </c>
      <c r="BV91" s="241">
        <f t="shared" si="32"/>
        <v>0.11109927314913465</v>
      </c>
      <c r="BW91" s="241">
        <f t="shared" si="32"/>
        <v>9.7736444287864724E-2</v>
      </c>
      <c r="BX91" s="241">
        <f t="shared" si="32"/>
        <v>4.8029658562420356E-2</v>
      </c>
      <c r="BY91" s="869">
        <f t="shared" si="32"/>
        <v>9.4032564324529389E-2</v>
      </c>
      <c r="BZ91" s="241">
        <f t="shared" si="32"/>
        <v>0.11174119585604853</v>
      </c>
      <c r="CA91" s="241">
        <f t="shared" si="32"/>
        <v>0.11608354022164778</v>
      </c>
      <c r="CB91" s="241">
        <f t="shared" si="32"/>
        <v>9.5963432960427447E-2</v>
      </c>
      <c r="CC91" s="241">
        <f t="shared" si="32"/>
        <v>0.12714329122715626</v>
      </c>
      <c r="CD91" s="869">
        <f t="shared" si="32"/>
        <v>0.11293548113660694</v>
      </c>
      <c r="CE91" s="241">
        <f>IFERROR(CE89/CE87,"")</f>
        <v>0.13899944021409893</v>
      </c>
      <c r="CF91" s="241">
        <f>IFERROR(CF89/CF87,"")</f>
        <v>0.12899733445895772</v>
      </c>
      <c r="CG91" s="755">
        <v>0.14599999999999999</v>
      </c>
      <c r="CH91" s="755">
        <v>0.155</v>
      </c>
      <c r="CI91" s="756">
        <v>0.14299999999999999</v>
      </c>
      <c r="CJ91" s="756">
        <f>CHOOSE(MATCH($CO$3,{"Base";"Bull";"Bear"},0),CV65,CV75,CV85)</f>
        <v>0.12</v>
      </c>
      <c r="CK91" s="756">
        <f>CHOOSE(MATCH($CO$3,{"Base";"Bull";"Bear"},0),CW65,CW75,CW85)</f>
        <v>0.125</v>
      </c>
      <c r="CL91" s="756">
        <f>CHOOSE(MATCH($CO$3,{"Base";"Bull";"Bear"},0),CX65,CX75,CX85)</f>
        <v>0.125</v>
      </c>
      <c r="CM91" s="756">
        <f>CHOOSE(MATCH($CO$3,{"Base";"Bull";"Bear"},0),CY65,CY75,CY85)</f>
        <v>0.13</v>
      </c>
      <c r="CN91" s="291"/>
      <c r="CO91" s="683"/>
      <c r="CP91" s="291"/>
      <c r="CQ91" s="693"/>
    </row>
    <row r="92" spans="2:103" ht="16.5" customHeight="1" x14ac:dyDescent="0.25">
      <c r="B92" s="12" t="s">
        <v>882</v>
      </c>
      <c r="C92" s="241"/>
      <c r="D92" s="241"/>
      <c r="E92" s="241"/>
      <c r="F92" s="241"/>
      <c r="G92" s="869"/>
      <c r="H92" s="241"/>
      <c r="I92" s="241"/>
      <c r="J92" s="241"/>
      <c r="K92" s="241"/>
      <c r="L92" s="869"/>
      <c r="M92" s="241"/>
      <c r="N92" s="241"/>
      <c r="O92" s="241"/>
      <c r="P92" s="241"/>
      <c r="Q92" s="869"/>
      <c r="R92" s="241"/>
      <c r="S92" s="241"/>
      <c r="T92" s="241"/>
      <c r="U92" s="241"/>
      <c r="V92" s="869"/>
      <c r="W92" s="241"/>
      <c r="X92" s="241"/>
      <c r="Y92" s="241"/>
      <c r="Z92" s="241"/>
      <c r="AA92" s="869"/>
      <c r="AB92" s="241"/>
      <c r="AC92" s="241"/>
      <c r="AD92" s="241"/>
      <c r="AE92" s="241"/>
      <c r="AF92" s="869"/>
      <c r="AG92" s="241"/>
      <c r="AH92" s="241"/>
      <c r="AI92" s="241"/>
      <c r="AJ92" s="241"/>
      <c r="AK92" s="869"/>
      <c r="AL92" s="241"/>
      <c r="AM92" s="241"/>
      <c r="AN92" s="241"/>
      <c r="AO92" s="241"/>
      <c r="AP92" s="869"/>
      <c r="AQ92" s="241"/>
      <c r="AR92" s="241"/>
      <c r="AS92" s="241"/>
      <c r="AT92" s="241"/>
      <c r="AU92" s="869"/>
      <c r="AV92" s="241"/>
      <c r="AW92" s="241"/>
      <c r="AX92" s="241"/>
      <c r="AY92" s="241"/>
      <c r="AZ92" s="869"/>
      <c r="BA92" s="241"/>
      <c r="BB92" s="241"/>
      <c r="BC92" s="241"/>
      <c r="BD92" s="241"/>
      <c r="BE92" s="869"/>
      <c r="BF92" s="241"/>
      <c r="BG92" s="241"/>
      <c r="BH92" s="241"/>
      <c r="BI92" s="241"/>
      <c r="BJ92" s="869"/>
      <c r="BK92" s="241">
        <f t="shared" ref="BK92:CD92" si="33">IFERROR((BK89-BF89)/(BK87-BF87),"")</f>
        <v>0</v>
      </c>
      <c r="BL92" s="241">
        <f t="shared" si="33"/>
        <v>0</v>
      </c>
      <c r="BM92" s="241">
        <f t="shared" si="33"/>
        <v>0</v>
      </c>
      <c r="BN92" s="241">
        <f t="shared" si="33"/>
        <v>0</v>
      </c>
      <c r="BO92" s="869" t="str">
        <f t="shared" si="33"/>
        <v/>
      </c>
      <c r="BP92" s="758">
        <f t="shared" si="33"/>
        <v>1.9195132142484082</v>
      </c>
      <c r="BQ92" s="758">
        <f t="shared" si="33"/>
        <v>3.1419188667095881</v>
      </c>
      <c r="BR92" s="758">
        <f t="shared" si="33"/>
        <v>1.3040141401925673</v>
      </c>
      <c r="BS92" s="758">
        <f t="shared" si="33"/>
        <v>1.2935693995808691E-2</v>
      </c>
      <c r="BT92" s="886">
        <f t="shared" si="33"/>
        <v>0.1030492793500515</v>
      </c>
      <c r="BU92" s="758">
        <f t="shared" si="33"/>
        <v>-0.54426991617947418</v>
      </c>
      <c r="BV92" s="758">
        <f t="shared" si="33"/>
        <v>0.39612100769474068</v>
      </c>
      <c r="BW92" s="758">
        <f t="shared" si="33"/>
        <v>1.2215851602023595</v>
      </c>
      <c r="BX92" s="758">
        <f t="shared" si="33"/>
        <v>3.8871269415304319E-2</v>
      </c>
      <c r="BY92" s="886">
        <f t="shared" si="33"/>
        <v>-0.95808596532891088</v>
      </c>
      <c r="BZ92" s="758">
        <f t="shared" si="33"/>
        <v>0.19515164932477294</v>
      </c>
      <c r="CA92" s="758">
        <f t="shared" si="33"/>
        <v>4.958938723941881E-2</v>
      </c>
      <c r="CB92" s="758">
        <f t="shared" si="33"/>
        <v>0.13928012519561825</v>
      </c>
      <c r="CC92" s="758">
        <f t="shared" si="33"/>
        <v>1.7581677045124857</v>
      </c>
      <c r="CD92" s="886">
        <f t="shared" si="33"/>
        <v>-0.41386194292141204</v>
      </c>
      <c r="CE92" s="758"/>
      <c r="CF92" s="758"/>
      <c r="CG92" s="758"/>
      <c r="CH92" s="758"/>
      <c r="CI92" s="759">
        <f>IFERROR((CI89-CD89)/(CI87-CD87),"")</f>
        <v>0.79012429327627021</v>
      </c>
      <c r="CJ92" s="759">
        <f>IFERROR((CJ89-CI89)/(CJ87-CI87),"")</f>
        <v>-0.45499999999999957</v>
      </c>
      <c r="CK92" s="759">
        <f>IFERROR((CK89-CJ89)/(CK87-CJ87),"")</f>
        <v>0.25</v>
      </c>
      <c r="CL92" s="759">
        <f>IFERROR((CL89-CK89)/(CL87-CK87),"")</f>
        <v>0.125</v>
      </c>
      <c r="CM92" s="759">
        <f>IFERROR((CM89-CL89)/(CM87-CL87),"")</f>
        <v>0.27285714285714308</v>
      </c>
      <c r="CN92" s="241"/>
      <c r="CO92" s="683"/>
      <c r="CP92" s="241"/>
      <c r="CQ92" s="693"/>
    </row>
    <row r="93" spans="2:103" ht="16.5" customHeight="1" x14ac:dyDescent="0.25">
      <c r="B93" s="702" t="s">
        <v>681</v>
      </c>
      <c r="C93" s="241"/>
      <c r="D93" s="241"/>
      <c r="E93" s="241"/>
      <c r="F93" s="241"/>
      <c r="G93" s="869"/>
      <c r="H93" s="241"/>
      <c r="I93" s="241"/>
      <c r="J93" s="241"/>
      <c r="K93" s="241"/>
      <c r="L93" s="869"/>
      <c r="M93" s="241"/>
      <c r="N93" s="241"/>
      <c r="O93" s="241"/>
      <c r="P93" s="241"/>
      <c r="Q93" s="869"/>
      <c r="R93" s="241"/>
      <c r="S93" s="241"/>
      <c r="T93" s="241"/>
      <c r="U93" s="241"/>
      <c r="V93" s="869"/>
      <c r="W93" s="241"/>
      <c r="X93" s="241"/>
      <c r="Y93" s="241"/>
      <c r="Z93" s="241"/>
      <c r="AA93" s="869"/>
      <c r="AB93" s="241"/>
      <c r="AC93" s="241"/>
      <c r="AD93" s="241"/>
      <c r="AE93" s="241"/>
      <c r="AF93" s="869"/>
      <c r="AG93" s="241"/>
      <c r="AH93" s="241"/>
      <c r="AI93" s="241"/>
      <c r="AJ93" s="241"/>
      <c r="AK93" s="869"/>
      <c r="AL93" s="241"/>
      <c r="AM93" s="241"/>
      <c r="AN93" s="241"/>
      <c r="AO93" s="241"/>
      <c r="AP93" s="869"/>
      <c r="AQ93" s="241"/>
      <c r="AR93" s="241"/>
      <c r="AS93" s="241"/>
      <c r="AT93" s="241"/>
      <c r="AU93" s="869"/>
      <c r="AV93" s="241"/>
      <c r="AW93" s="241"/>
      <c r="AX93" s="241"/>
      <c r="AY93" s="241"/>
      <c r="AZ93" s="869"/>
      <c r="BA93" s="241"/>
      <c r="BB93" s="241"/>
      <c r="BC93" s="241"/>
      <c r="BD93" s="241"/>
      <c r="BE93" s="869"/>
      <c r="BF93" s="241"/>
      <c r="BG93" s="241"/>
      <c r="BH93" s="241"/>
      <c r="BI93" s="241"/>
      <c r="BJ93" s="869"/>
      <c r="BK93" s="760"/>
      <c r="BL93" s="760"/>
      <c r="BM93" s="760"/>
      <c r="BN93" s="760"/>
      <c r="BO93" s="932"/>
      <c r="BP93" s="760"/>
      <c r="BQ93" s="760"/>
      <c r="BR93" s="760"/>
      <c r="BS93" s="760"/>
      <c r="BT93" s="932"/>
      <c r="BU93" s="760"/>
      <c r="BV93" s="760"/>
      <c r="BW93" s="760"/>
      <c r="BX93" s="760"/>
      <c r="BY93" s="932"/>
      <c r="BZ93" s="760"/>
      <c r="CA93" s="760"/>
      <c r="CB93" s="760"/>
      <c r="CC93" s="760"/>
      <c r="CD93" s="932"/>
      <c r="CE93" s="760"/>
      <c r="CF93" s="760"/>
      <c r="CG93" s="760"/>
      <c r="CH93" s="760"/>
      <c r="CI93" s="761"/>
      <c r="CJ93" s="761"/>
      <c r="CK93" s="761"/>
      <c r="CL93" s="761"/>
      <c r="CM93" s="761"/>
      <c r="CN93" s="241"/>
      <c r="CO93" s="683"/>
      <c r="CP93" s="241"/>
      <c r="CQ93" s="693"/>
    </row>
    <row r="94" spans="2:103" ht="16.5" customHeight="1" x14ac:dyDescent="0.25">
      <c r="B94" s="702" t="s">
        <v>883</v>
      </c>
      <c r="C94" s="241"/>
      <c r="D94" s="241"/>
      <c r="E94" s="241"/>
      <c r="F94" s="241"/>
      <c r="G94" s="869"/>
      <c r="H94" s="241"/>
      <c r="I94" s="241"/>
      <c r="J94" s="241"/>
      <c r="K94" s="241"/>
      <c r="L94" s="869"/>
      <c r="M94" s="241"/>
      <c r="N94" s="241"/>
      <c r="O94" s="241"/>
      <c r="P94" s="241"/>
      <c r="Q94" s="869"/>
      <c r="R94" s="241"/>
      <c r="S94" s="241"/>
      <c r="T94" s="241"/>
      <c r="U94" s="241"/>
      <c r="V94" s="869"/>
      <c r="W94" s="241"/>
      <c r="X94" s="241"/>
      <c r="Y94" s="241"/>
      <c r="Z94" s="241"/>
      <c r="AA94" s="869"/>
      <c r="AB94" s="241"/>
      <c r="AC94" s="241"/>
      <c r="AD94" s="241"/>
      <c r="AE94" s="241"/>
      <c r="AF94" s="869"/>
      <c r="AG94" s="241"/>
      <c r="AH94" s="241"/>
      <c r="AI94" s="241"/>
      <c r="AJ94" s="241"/>
      <c r="AK94" s="869"/>
      <c r="AL94" s="241"/>
      <c r="AM94" s="241"/>
      <c r="AN94" s="241"/>
      <c r="AO94" s="241"/>
      <c r="AP94" s="869"/>
      <c r="AQ94" s="241"/>
      <c r="AR94" s="241"/>
      <c r="AS94" s="241"/>
      <c r="AT94" s="241"/>
      <c r="AU94" s="869"/>
      <c r="AV94" s="241"/>
      <c r="AW94" s="241"/>
      <c r="AX94" s="241"/>
      <c r="AY94" s="241"/>
      <c r="AZ94" s="869"/>
      <c r="BA94" s="241"/>
      <c r="BB94" s="241"/>
      <c r="BC94" s="241"/>
      <c r="BD94" s="241"/>
      <c r="BE94" s="869"/>
      <c r="BF94" s="241"/>
      <c r="BG94" s="241"/>
      <c r="BH94" s="241"/>
      <c r="BI94" s="241"/>
      <c r="BJ94" s="869"/>
      <c r="BK94" s="762" t="str">
        <f t="shared" ref="BK94:CD94" si="34">IFERROR(BK93/BF93-1,"")</f>
        <v/>
      </c>
      <c r="BL94" s="762" t="str">
        <f t="shared" si="34"/>
        <v/>
      </c>
      <c r="BM94" s="762" t="str">
        <f t="shared" si="34"/>
        <v/>
      </c>
      <c r="BN94" s="762" t="str">
        <f t="shared" si="34"/>
        <v/>
      </c>
      <c r="BO94" s="933" t="str">
        <f t="shared" si="34"/>
        <v/>
      </c>
      <c r="BP94" s="762" t="str">
        <f t="shared" si="34"/>
        <v/>
      </c>
      <c r="BQ94" s="762" t="str">
        <f t="shared" si="34"/>
        <v/>
      </c>
      <c r="BR94" s="762" t="str">
        <f t="shared" si="34"/>
        <v/>
      </c>
      <c r="BS94" s="762" t="str">
        <f t="shared" si="34"/>
        <v/>
      </c>
      <c r="BT94" s="933" t="str">
        <f t="shared" si="34"/>
        <v/>
      </c>
      <c r="BU94" s="762" t="str">
        <f t="shared" si="34"/>
        <v/>
      </c>
      <c r="BV94" s="762" t="str">
        <f t="shared" si="34"/>
        <v/>
      </c>
      <c r="BW94" s="762" t="str">
        <f t="shared" si="34"/>
        <v/>
      </c>
      <c r="BX94" s="762" t="str">
        <f t="shared" si="34"/>
        <v/>
      </c>
      <c r="BY94" s="933" t="str">
        <f t="shared" si="34"/>
        <v/>
      </c>
      <c r="BZ94" s="762" t="str">
        <f t="shared" si="34"/>
        <v/>
      </c>
      <c r="CA94" s="762" t="str">
        <f t="shared" si="34"/>
        <v/>
      </c>
      <c r="CB94" s="762" t="str">
        <f t="shared" si="34"/>
        <v/>
      </c>
      <c r="CC94" s="762" t="str">
        <f t="shared" si="34"/>
        <v/>
      </c>
      <c r="CD94" s="933" t="str">
        <f t="shared" si="34"/>
        <v/>
      </c>
      <c r="CE94" s="762"/>
      <c r="CF94" s="762"/>
      <c r="CG94" s="762"/>
      <c r="CH94" s="762"/>
      <c r="CI94" s="751" t="str">
        <f>IFERROR(CI93/CD93-1,"")</f>
        <v/>
      </c>
      <c r="CJ94" s="751" t="str">
        <f>IFERROR(CJ93/CI93-1,"")</f>
        <v/>
      </c>
      <c r="CK94" s="751" t="str">
        <f>IFERROR(CK93/CJ93-1,"")</f>
        <v/>
      </c>
      <c r="CL94" s="751" t="str">
        <f>IFERROR(CL93/CK93-1,"")</f>
        <v/>
      </c>
      <c r="CM94" s="751" t="str">
        <f>IFERROR(CM93/CL93-1,"")</f>
        <v/>
      </c>
      <c r="CN94" s="241"/>
      <c r="CO94" s="683"/>
      <c r="CP94" s="241"/>
      <c r="CQ94" s="693"/>
    </row>
    <row r="95" spans="2:103" ht="16.5" customHeight="1" x14ac:dyDescent="0.25">
      <c r="B95" s="702" t="s">
        <v>682</v>
      </c>
      <c r="C95" s="241"/>
      <c r="D95" s="241"/>
      <c r="E95" s="241"/>
      <c r="F95" s="241"/>
      <c r="G95" s="869"/>
      <c r="H95" s="241"/>
      <c r="I95" s="241"/>
      <c r="J95" s="241"/>
      <c r="K95" s="241"/>
      <c r="L95" s="869"/>
      <c r="M95" s="241"/>
      <c r="N95" s="241"/>
      <c r="O95" s="241"/>
      <c r="P95" s="241"/>
      <c r="Q95" s="869"/>
      <c r="R95" s="241"/>
      <c r="S95" s="241"/>
      <c r="T95" s="241"/>
      <c r="U95" s="241"/>
      <c r="V95" s="869"/>
      <c r="W95" s="241"/>
      <c r="X95" s="241"/>
      <c r="Y95" s="241"/>
      <c r="Z95" s="241"/>
      <c r="AA95" s="869"/>
      <c r="AB95" s="241"/>
      <c r="AC95" s="241"/>
      <c r="AD95" s="241"/>
      <c r="AE95" s="241"/>
      <c r="AF95" s="869"/>
      <c r="AG95" s="241"/>
      <c r="AH95" s="241"/>
      <c r="AI95" s="241"/>
      <c r="AJ95" s="241"/>
      <c r="AK95" s="869"/>
      <c r="AL95" s="241"/>
      <c r="AM95" s="241"/>
      <c r="AN95" s="241"/>
      <c r="AO95" s="241"/>
      <c r="AP95" s="869"/>
      <c r="AQ95" s="241"/>
      <c r="AR95" s="241"/>
      <c r="AS95" s="241"/>
      <c r="AT95" s="241"/>
      <c r="AU95" s="869"/>
      <c r="AV95" s="241"/>
      <c r="AW95" s="241"/>
      <c r="AX95" s="241"/>
      <c r="AY95" s="241"/>
      <c r="AZ95" s="869"/>
      <c r="BA95" s="241"/>
      <c r="BB95" s="241"/>
      <c r="BC95" s="241"/>
      <c r="BD95" s="241"/>
      <c r="BE95" s="869"/>
      <c r="BF95" s="241"/>
      <c r="BG95" s="241"/>
      <c r="BH95" s="241"/>
      <c r="BI95" s="241"/>
      <c r="BJ95" s="869"/>
      <c r="BK95" s="763">
        <f t="shared" ref="BK95:CD95" si="35">IFERROR((BK87+BK93-BF93)/BK87,"")</f>
        <v>1</v>
      </c>
      <c r="BL95" s="763">
        <f t="shared" si="35"/>
        <v>1</v>
      </c>
      <c r="BM95" s="763">
        <f t="shared" si="35"/>
        <v>1</v>
      </c>
      <c r="BN95" s="763">
        <f t="shared" si="35"/>
        <v>1</v>
      </c>
      <c r="BO95" s="934" t="str">
        <f t="shared" si="35"/>
        <v/>
      </c>
      <c r="BP95" s="763">
        <f t="shared" si="35"/>
        <v>1</v>
      </c>
      <c r="BQ95" s="763">
        <f t="shared" si="35"/>
        <v>1</v>
      </c>
      <c r="BR95" s="763">
        <f t="shared" si="35"/>
        <v>1</v>
      </c>
      <c r="BS95" s="763">
        <f t="shared" si="35"/>
        <v>1</v>
      </c>
      <c r="BT95" s="934">
        <f t="shared" si="35"/>
        <v>1</v>
      </c>
      <c r="BU95" s="763">
        <f t="shared" si="35"/>
        <v>1</v>
      </c>
      <c r="BV95" s="763">
        <f t="shared" si="35"/>
        <v>1</v>
      </c>
      <c r="BW95" s="763">
        <f t="shared" si="35"/>
        <v>1</v>
      </c>
      <c r="BX95" s="763">
        <f t="shared" si="35"/>
        <v>1</v>
      </c>
      <c r="BY95" s="934">
        <f t="shared" si="35"/>
        <v>1</v>
      </c>
      <c r="BZ95" s="763">
        <f t="shared" si="35"/>
        <v>1</v>
      </c>
      <c r="CA95" s="763">
        <f t="shared" si="35"/>
        <v>1</v>
      </c>
      <c r="CB95" s="763">
        <f t="shared" si="35"/>
        <v>1</v>
      </c>
      <c r="CC95" s="763">
        <f t="shared" si="35"/>
        <v>1</v>
      </c>
      <c r="CD95" s="934">
        <f t="shared" si="35"/>
        <v>1</v>
      </c>
      <c r="CE95" s="763"/>
      <c r="CF95" s="763"/>
      <c r="CG95" s="763"/>
      <c r="CH95" s="763"/>
      <c r="CI95" s="764">
        <f>IFERROR((CI87+CI93-CD93)/CI87,"")</f>
        <v>1</v>
      </c>
      <c r="CJ95" s="764">
        <f>IFERROR((CJ87+CJ93-CI93)/CJ87,"")</f>
        <v>1</v>
      </c>
      <c r="CK95" s="764">
        <f>IFERROR((CK87+CK93-CJ93)/CK87,"")</f>
        <v>1</v>
      </c>
      <c r="CL95" s="764">
        <f>IFERROR((CL87+CL93-CK93)/CL87,"")</f>
        <v>1</v>
      </c>
      <c r="CM95" s="764">
        <f>IFERROR((CM87+CM93-CL93)/CM87,"")</f>
        <v>1</v>
      </c>
      <c r="CN95" s="241"/>
      <c r="CO95" s="683"/>
      <c r="CP95" s="241"/>
      <c r="CQ95" s="693"/>
    </row>
    <row r="96" spans="2:103" ht="16.5" customHeight="1" x14ac:dyDescent="0.25">
      <c r="C96" s="291"/>
      <c r="D96" s="291"/>
      <c r="E96" s="291"/>
      <c r="F96" s="291"/>
      <c r="G96" s="864"/>
      <c r="H96" s="291"/>
      <c r="I96" s="291"/>
      <c r="J96" s="291"/>
      <c r="K96" s="291"/>
      <c r="L96" s="864"/>
      <c r="M96" s="291"/>
      <c r="N96" s="291"/>
      <c r="O96" s="291"/>
      <c r="P96" s="291"/>
      <c r="Q96" s="864"/>
      <c r="R96" s="291"/>
      <c r="S96" s="291"/>
      <c r="T96" s="291"/>
      <c r="U96" s="291"/>
      <c r="V96" s="864"/>
      <c r="W96" s="291"/>
      <c r="X96" s="291"/>
      <c r="Y96" s="291"/>
      <c r="Z96" s="291"/>
      <c r="AA96" s="864"/>
      <c r="AB96" s="291"/>
      <c r="AC96" s="291"/>
      <c r="AD96" s="291"/>
      <c r="AE96" s="291"/>
      <c r="AF96" s="864"/>
      <c r="AG96" s="291"/>
      <c r="AH96" s="291"/>
      <c r="AI96" s="291"/>
      <c r="AJ96" s="291"/>
      <c r="AK96" s="864"/>
      <c r="AL96" s="291"/>
      <c r="AM96" s="291"/>
      <c r="AN96" s="291"/>
      <c r="AO96" s="291"/>
      <c r="AP96" s="864"/>
      <c r="AQ96" s="291"/>
      <c r="AR96" s="291"/>
      <c r="AS96" s="291"/>
      <c r="AT96" s="291"/>
      <c r="AU96" s="864"/>
      <c r="AV96" s="291"/>
      <c r="AW96" s="291"/>
      <c r="AX96" s="291"/>
      <c r="AY96" s="291"/>
      <c r="AZ96" s="864"/>
      <c r="BA96" s="291"/>
      <c r="BB96" s="291"/>
      <c r="BC96" s="291"/>
      <c r="BD96" s="291"/>
      <c r="BE96" s="864"/>
      <c r="BF96" s="291"/>
      <c r="BG96" s="291"/>
      <c r="BH96" s="291"/>
      <c r="BI96" s="291"/>
      <c r="BJ96" s="864"/>
      <c r="BK96" s="291"/>
      <c r="BL96" s="291"/>
      <c r="BM96" s="291"/>
      <c r="BN96" s="291"/>
      <c r="BO96" s="864"/>
      <c r="BP96" s="291"/>
      <c r="BQ96" s="291"/>
      <c r="BR96" s="291"/>
      <c r="BS96" s="291"/>
      <c r="BT96" s="864"/>
      <c r="BU96" s="291"/>
      <c r="BV96" s="291"/>
      <c r="BW96" s="291"/>
      <c r="BX96" s="291"/>
      <c r="BY96" s="864"/>
      <c r="BZ96" s="291"/>
      <c r="CA96" s="291"/>
      <c r="CB96" s="291"/>
      <c r="CC96" s="291"/>
      <c r="CD96" s="864"/>
      <c r="CE96" s="291"/>
      <c r="CF96" s="291"/>
      <c r="CG96" s="291"/>
      <c r="CH96" s="291"/>
      <c r="CI96" s="749"/>
      <c r="CJ96" s="749"/>
      <c r="CK96" s="749"/>
      <c r="CL96" s="749"/>
      <c r="CM96" s="749"/>
      <c r="CN96" s="291"/>
      <c r="CO96" s="683"/>
      <c r="CP96" s="291"/>
      <c r="CQ96" s="693"/>
    </row>
    <row r="97" spans="2:95" ht="16.5" customHeight="1" x14ac:dyDescent="0.25">
      <c r="B97" s="223" t="s">
        <v>694</v>
      </c>
      <c r="C97" s="224"/>
      <c r="D97" s="224"/>
      <c r="E97" s="224"/>
      <c r="F97" s="224"/>
      <c r="G97" s="867"/>
      <c r="H97" s="224"/>
      <c r="I97" s="224"/>
      <c r="J97" s="224"/>
      <c r="K97" s="224"/>
      <c r="L97" s="867"/>
      <c r="M97" s="224"/>
      <c r="N97" s="224"/>
      <c r="O97" s="224"/>
      <c r="P97" s="224"/>
      <c r="Q97" s="867"/>
      <c r="R97" s="224"/>
      <c r="S97" s="224"/>
      <c r="T97" s="224"/>
      <c r="U97" s="224"/>
      <c r="V97" s="867"/>
      <c r="W97" s="224"/>
      <c r="X97" s="224"/>
      <c r="Y97" s="224"/>
      <c r="Z97" s="224"/>
      <c r="AA97" s="867"/>
      <c r="AB97" s="224"/>
      <c r="AC97" s="224"/>
      <c r="AD97" s="224"/>
      <c r="AE97" s="224"/>
      <c r="AF97" s="867"/>
      <c r="AG97" s="224"/>
      <c r="AH97" s="224"/>
      <c r="AI97" s="224"/>
      <c r="AJ97" s="224"/>
      <c r="AK97" s="867"/>
      <c r="AL97" s="224"/>
      <c r="AM97" s="224"/>
      <c r="AN97" s="224"/>
      <c r="AO97" s="224"/>
      <c r="AP97" s="867"/>
      <c r="AQ97" s="224"/>
      <c r="AR97" s="224"/>
      <c r="AS97" s="224"/>
      <c r="AT97" s="224"/>
      <c r="AU97" s="867"/>
      <c r="AV97" s="224"/>
      <c r="AW97" s="224"/>
      <c r="AX97" s="224"/>
      <c r="AY97" s="224"/>
      <c r="AZ97" s="867"/>
      <c r="BA97" s="224"/>
      <c r="BB97" s="224"/>
      <c r="BC97" s="224"/>
      <c r="BD97" s="224"/>
      <c r="BE97" s="867"/>
      <c r="BF97" s="224"/>
      <c r="BG97" s="224"/>
      <c r="BH97" s="224"/>
      <c r="BI97" s="224"/>
      <c r="BJ97" s="867"/>
      <c r="BK97" s="224"/>
      <c r="BL97" s="224"/>
      <c r="BM97" s="224"/>
      <c r="BN97" s="224"/>
      <c r="BO97" s="867"/>
      <c r="BP97" s="224"/>
      <c r="BQ97" s="224"/>
      <c r="BR97" s="224"/>
      <c r="BS97" s="224"/>
      <c r="BT97" s="867"/>
      <c r="BU97" s="224"/>
      <c r="BV97" s="224"/>
      <c r="BW97" s="224"/>
      <c r="BX97" s="224"/>
      <c r="BY97" s="867"/>
      <c r="BZ97" s="224"/>
      <c r="CA97" s="224"/>
      <c r="CB97" s="224"/>
      <c r="CC97" s="224"/>
      <c r="CD97" s="867"/>
      <c r="CE97" s="224"/>
      <c r="CF97" s="224"/>
      <c r="CG97" s="224"/>
      <c r="CH97" s="224"/>
      <c r="CI97" s="224"/>
      <c r="CJ97" s="224"/>
      <c r="CK97" s="224"/>
      <c r="CL97" s="224"/>
      <c r="CM97" s="224"/>
      <c r="CN97" s="224"/>
      <c r="CO97" s="684"/>
      <c r="CP97" s="224"/>
      <c r="CQ97" s="693"/>
    </row>
    <row r="98" spans="2:95" ht="16.5" customHeight="1" x14ac:dyDescent="0.25">
      <c r="B98" s="12" t="s">
        <v>677</v>
      </c>
      <c r="C98" s="291"/>
      <c r="D98" s="291"/>
      <c r="E98" s="291"/>
      <c r="F98" s="291"/>
      <c r="G98" s="864">
        <f>G114</f>
        <v>2114.252</v>
      </c>
      <c r="H98" s="291"/>
      <c r="I98" s="291"/>
      <c r="J98" s="291"/>
      <c r="K98" s="291"/>
      <c r="L98" s="864">
        <f>L114</f>
        <v>2330.6799999999998</v>
      </c>
      <c r="M98" s="291"/>
      <c r="N98" s="291"/>
      <c r="O98" s="291"/>
      <c r="P98" s="291"/>
      <c r="Q98" s="864">
        <f>Q114</f>
        <v>2469.5360000000001</v>
      </c>
      <c r="R98" s="291"/>
      <c r="S98" s="291"/>
      <c r="T98" s="291"/>
      <c r="U98" s="291"/>
      <c r="V98" s="864">
        <f>V114</f>
        <v>2610.3110000000001</v>
      </c>
      <c r="W98" s="291"/>
      <c r="X98" s="291"/>
      <c r="Y98" s="291"/>
      <c r="Z98" s="291"/>
      <c r="AA98" s="864">
        <f>AA114</f>
        <v>2648.3850000000002</v>
      </c>
      <c r="AB98" s="291"/>
      <c r="AC98" s="291"/>
      <c r="AD98" s="291"/>
      <c r="AE98" s="291"/>
      <c r="AF98" s="864">
        <f>AF114</f>
        <v>2525.5320000000002</v>
      </c>
      <c r="AG98" s="291"/>
      <c r="AH98" s="291"/>
      <c r="AI98" s="291"/>
      <c r="AJ98" s="291"/>
      <c r="AK98" s="864">
        <f>AK114</f>
        <v>2411.9369999999999</v>
      </c>
      <c r="AL98" s="291"/>
      <c r="AM98" s="291"/>
      <c r="AN98" s="291"/>
      <c r="AO98" s="291"/>
      <c r="AP98" s="864">
        <f>AP114</f>
        <v>2497.5239999999999</v>
      </c>
      <c r="AQ98" s="291"/>
      <c r="AR98" s="291"/>
      <c r="AS98" s="291"/>
      <c r="AT98" s="291"/>
      <c r="AU98" s="864">
        <f>AU114</f>
        <v>2709.4679999999998</v>
      </c>
      <c r="AV98" s="291"/>
      <c r="AW98" s="291"/>
      <c r="AX98" s="291"/>
      <c r="AY98" s="291"/>
      <c r="AZ98" s="864">
        <f>AZ114</f>
        <v>2904.663</v>
      </c>
      <c r="BA98" s="291"/>
      <c r="BB98" s="291"/>
      <c r="BC98" s="291"/>
      <c r="BD98" s="291"/>
      <c r="BE98" s="864">
        <f>BE114</f>
        <v>2884.5540000000001</v>
      </c>
      <c r="BF98" s="291"/>
      <c r="BG98" s="291"/>
      <c r="BH98" s="291"/>
      <c r="BI98" s="291"/>
      <c r="BJ98" s="864">
        <f>BJ114</f>
        <v>2851.9929999999999</v>
      </c>
      <c r="BK98" s="765">
        <f>BK54+BK65+BK76+BK87</f>
        <v>724.08600000000001</v>
      </c>
      <c r="BL98" s="765">
        <f>BL54+BL65+BL76+BL87</f>
        <v>770.78699999999992</v>
      </c>
      <c r="BM98" s="765">
        <f>BM54+BM65+BM76+BM87</f>
        <v>772.91100000000006</v>
      </c>
      <c r="BN98" s="765">
        <f>BN54+BN65+BN76+BN87</f>
        <v>-2267.7840000000001</v>
      </c>
      <c r="BO98" s="864">
        <f>BO114</f>
        <v>3035.7830000000004</v>
      </c>
      <c r="BP98" s="291">
        <f t="shared" ref="BP98:CM98" si="36">BP54+BP65+BP76+BP87</f>
        <v>760.10299999999995</v>
      </c>
      <c r="BQ98" s="291">
        <f t="shared" si="36"/>
        <v>836.79199999999992</v>
      </c>
      <c r="BR98" s="291">
        <f t="shared" si="36"/>
        <v>850.17599999999993</v>
      </c>
      <c r="BS98" s="291">
        <f t="shared" si="36"/>
        <v>869.11900000000037</v>
      </c>
      <c r="BT98" s="864">
        <f t="shared" si="36"/>
        <v>3316.1900000000005</v>
      </c>
      <c r="BU98" s="291">
        <f t="shared" si="36"/>
        <v>856.85</v>
      </c>
      <c r="BV98" s="291">
        <f t="shared" si="36"/>
        <v>930.303</v>
      </c>
      <c r="BW98" s="291">
        <f t="shared" si="36"/>
        <v>904.73500000000001</v>
      </c>
      <c r="BX98" s="291">
        <f t="shared" si="36"/>
        <v>917.07200000000012</v>
      </c>
      <c r="BY98" s="864">
        <f t="shared" si="36"/>
        <v>3608.96</v>
      </c>
      <c r="BZ98" s="291">
        <f t="shared" si="36"/>
        <v>910.31499999999994</v>
      </c>
      <c r="CA98" s="291">
        <f t="shared" si="36"/>
        <v>934.83999999999992</v>
      </c>
      <c r="CB98" s="291">
        <f t="shared" si="36"/>
        <v>971.36300000000006</v>
      </c>
      <c r="CC98" s="291">
        <f t="shared" si="36"/>
        <v>1044.106</v>
      </c>
      <c r="CD98" s="864">
        <f t="shared" si="36"/>
        <v>3860.6240000000003</v>
      </c>
      <c r="CE98" s="291">
        <f>CE54+CE65+CE76+CE87</f>
        <v>1100.346</v>
      </c>
      <c r="CF98" s="291">
        <f>CF54+CF65+CF76+CF87</f>
        <v>1051.9469999999999</v>
      </c>
      <c r="CG98" s="291">
        <f>CG54+CG65+CG76+CG87</f>
        <v>1076.52673</v>
      </c>
      <c r="CH98" s="291">
        <f>CH54+CH65+CH76+CH87</f>
        <v>1036.1704699999998</v>
      </c>
      <c r="CI98" s="749">
        <f t="shared" si="36"/>
        <v>4264.9902000000002</v>
      </c>
      <c r="CJ98" s="749">
        <f t="shared" si="36"/>
        <v>4612.541964</v>
      </c>
      <c r="CK98" s="749">
        <f t="shared" si="36"/>
        <v>4936.5610414800003</v>
      </c>
      <c r="CL98" s="749">
        <f t="shared" si="36"/>
        <v>5256.5740026814001</v>
      </c>
      <c r="CM98" s="749">
        <f t="shared" si="36"/>
        <v>5581.8999043111753</v>
      </c>
      <c r="CN98" s="678"/>
      <c r="CO98" s="683">
        <v>6.0561927220808401E-2</v>
      </c>
      <c r="CP98" s="678"/>
      <c r="CQ98" s="693"/>
    </row>
    <row r="99" spans="2:95" ht="16.5" customHeight="1" x14ac:dyDescent="0.25">
      <c r="B99" s="690" t="s">
        <v>679</v>
      </c>
      <c r="C99" s="274"/>
      <c r="D99" s="274"/>
      <c r="E99" s="274"/>
      <c r="F99" s="274"/>
      <c r="G99" s="864"/>
      <c r="H99" s="291"/>
      <c r="I99" s="291"/>
      <c r="J99" s="291"/>
      <c r="K99" s="291"/>
      <c r="L99" s="869">
        <f>IFERROR(L98/G98-1,"")</f>
        <v>0.10236622692091579</v>
      </c>
      <c r="M99" s="291"/>
      <c r="N99" s="291"/>
      <c r="O99" s="291"/>
      <c r="P99" s="291"/>
      <c r="Q99" s="869">
        <f>IFERROR(Q98/L98-1,"")</f>
        <v>5.9577462371496859E-2</v>
      </c>
      <c r="R99" s="291"/>
      <c r="S99" s="291"/>
      <c r="T99" s="291"/>
      <c r="U99" s="291"/>
      <c r="V99" s="869">
        <f>IFERROR(V98/Q98-1,"")</f>
        <v>5.7004635688647554E-2</v>
      </c>
      <c r="W99" s="291"/>
      <c r="X99" s="291"/>
      <c r="Y99" s="291"/>
      <c r="Z99" s="291"/>
      <c r="AA99" s="869">
        <f>IFERROR(AA98/V98-1,"")</f>
        <v>1.4586001438142926E-2</v>
      </c>
      <c r="AB99" s="291"/>
      <c r="AC99" s="291"/>
      <c r="AD99" s="291"/>
      <c r="AE99" s="291"/>
      <c r="AF99" s="869">
        <f>IFERROR(AF98/AA98-1,"")</f>
        <v>-4.6387892998940861E-2</v>
      </c>
      <c r="AG99" s="291"/>
      <c r="AH99" s="291"/>
      <c r="AI99" s="291"/>
      <c r="AJ99" s="291"/>
      <c r="AK99" s="869">
        <f>IFERROR(AK98/AF98-1,"")</f>
        <v>-4.4978642123718937E-2</v>
      </c>
      <c r="AL99" s="291"/>
      <c r="AM99" s="291"/>
      <c r="AN99" s="291"/>
      <c r="AO99" s="291"/>
      <c r="AP99" s="869">
        <f>IFERROR(AP98/AK98-1,"")</f>
        <v>3.548475768645698E-2</v>
      </c>
      <c r="AQ99" s="291"/>
      <c r="AR99" s="291"/>
      <c r="AS99" s="291"/>
      <c r="AT99" s="291"/>
      <c r="AU99" s="869">
        <f>IFERROR(AU98/AP98-1,"")</f>
        <v>8.4861646975164184E-2</v>
      </c>
      <c r="AV99" s="291"/>
      <c r="AW99" s="291"/>
      <c r="AX99" s="291"/>
      <c r="AY99" s="291"/>
      <c r="AZ99" s="869">
        <f>IFERROR(AZ98/AU98-1,"")</f>
        <v>7.2041817803347508E-2</v>
      </c>
      <c r="BA99" s="291"/>
      <c r="BB99" s="291"/>
      <c r="BC99" s="291"/>
      <c r="BD99" s="291"/>
      <c r="BE99" s="869">
        <f>IFERROR(BE98/AZ98-1,"")</f>
        <v>-6.9230062144902682E-3</v>
      </c>
      <c r="BF99" s="291"/>
      <c r="BG99" s="291"/>
      <c r="BH99" s="291"/>
      <c r="BI99" s="291"/>
      <c r="BJ99" s="869">
        <f t="shared" ref="BJ99:CD99" si="37">IFERROR(BJ98/BE98-1,"")</f>
        <v>-1.1288053543112797E-2</v>
      </c>
      <c r="BK99" s="241" t="str">
        <f t="shared" si="37"/>
        <v/>
      </c>
      <c r="BL99" s="241" t="str">
        <f t="shared" si="37"/>
        <v/>
      </c>
      <c r="BM99" s="241" t="str">
        <f t="shared" si="37"/>
        <v/>
      </c>
      <c r="BN99" s="241" t="str">
        <f t="shared" si="37"/>
        <v/>
      </c>
      <c r="BO99" s="869">
        <f t="shared" si="37"/>
        <v>6.4442654662897336E-2</v>
      </c>
      <c r="BP99" s="241">
        <f t="shared" si="37"/>
        <v>4.9741329068646367E-2</v>
      </c>
      <c r="BQ99" s="241">
        <f t="shared" si="37"/>
        <v>8.5633255361079019E-2</v>
      </c>
      <c r="BR99" s="241">
        <f t="shared" si="37"/>
        <v>9.9966231558355156E-2</v>
      </c>
      <c r="BS99" s="241">
        <f t="shared" si="37"/>
        <v>-1.3832459352389823</v>
      </c>
      <c r="BT99" s="869">
        <f t="shared" si="37"/>
        <v>9.236727394546973E-2</v>
      </c>
      <c r="BU99" s="241">
        <f t="shared" si="37"/>
        <v>0.12728143422667726</v>
      </c>
      <c r="BV99" s="241">
        <f t="shared" si="37"/>
        <v>0.11174939530970662</v>
      </c>
      <c r="BW99" s="241">
        <f t="shared" si="37"/>
        <v>6.4173771077988606E-2</v>
      </c>
      <c r="BX99" s="241">
        <f t="shared" si="37"/>
        <v>5.5174262672890384E-2</v>
      </c>
      <c r="BY99" s="869">
        <f t="shared" si="37"/>
        <v>8.8285050012212762E-2</v>
      </c>
      <c r="BZ99" s="758">
        <f t="shared" si="37"/>
        <v>6.2397152360389674E-2</v>
      </c>
      <c r="CA99" s="758">
        <f t="shared" si="37"/>
        <v>4.8769056963160473E-3</v>
      </c>
      <c r="CB99" s="758">
        <f t="shared" si="37"/>
        <v>7.3643663614207489E-2</v>
      </c>
      <c r="CC99" s="758">
        <f t="shared" si="37"/>
        <v>0.13852129385697065</v>
      </c>
      <c r="CD99" s="869">
        <f t="shared" si="37"/>
        <v>6.9733108707217717E-2</v>
      </c>
      <c r="CE99" s="241">
        <f>IFERROR(CE98/BZ98-1,"")</f>
        <v>0.20875301406655944</v>
      </c>
      <c r="CF99" s="241">
        <f>IFERROR(CF98/CA98-1,"")</f>
        <v>0.12526956484532104</v>
      </c>
      <c r="CG99" s="241">
        <f>IFERROR(CG98/CB98-1,"")</f>
        <v>0.10826408870834081</v>
      </c>
      <c r="CH99" s="241">
        <f>IFERROR(CH98/CC98-1,"")</f>
        <v>-7.600310696423751E-3</v>
      </c>
      <c r="CI99" s="759">
        <f>IFERROR(CI98/CD98-1,"")</f>
        <v>0.10474115065336576</v>
      </c>
      <c r="CJ99" s="759">
        <f>IFERROR(CJ98/CI98-1,"")</f>
        <v>8.1489463680362029E-2</v>
      </c>
      <c r="CK99" s="759">
        <f>IFERROR(CK98/CJ98-1,"")</f>
        <v>7.0247399375205077E-2</v>
      </c>
      <c r="CL99" s="759">
        <f>IFERROR(CL98/CK98-1,"")</f>
        <v>6.4825079344194458E-2</v>
      </c>
      <c r="CM99" s="759">
        <f>IFERROR(CM98/CL98-1,"")</f>
        <v>6.1889341130520581E-2</v>
      </c>
      <c r="CN99" s="766"/>
      <c r="CO99" s="708"/>
      <c r="CP99" s="291"/>
      <c r="CQ99" s="693"/>
    </row>
    <row r="100" spans="2:95" ht="16.5" customHeight="1" x14ac:dyDescent="0.25">
      <c r="B100" s="690" t="s">
        <v>1028</v>
      </c>
      <c r="C100" s="274"/>
      <c r="D100" s="274"/>
      <c r="E100" s="274"/>
      <c r="F100" s="274"/>
      <c r="G100" s="864"/>
      <c r="H100" s="291"/>
      <c r="I100" s="291"/>
      <c r="J100" s="291"/>
      <c r="K100" s="291"/>
      <c r="L100" s="907">
        <v>7.0000000000000001E-3</v>
      </c>
      <c r="M100" s="291"/>
      <c r="N100" s="291"/>
      <c r="O100" s="291"/>
      <c r="P100" s="291"/>
      <c r="Q100" s="907">
        <v>8.9999999999999993E-3</v>
      </c>
      <c r="R100" s="291"/>
      <c r="S100" s="291"/>
      <c r="T100" s="291"/>
      <c r="U100" s="291"/>
      <c r="V100" s="907">
        <v>0.04</v>
      </c>
      <c r="W100" s="291"/>
      <c r="X100" s="291"/>
      <c r="Y100" s="291"/>
      <c r="Z100" s="291"/>
      <c r="AA100" s="907">
        <v>8.0000000000000002E-3</v>
      </c>
      <c r="AB100" s="291"/>
      <c r="AC100" s="291"/>
      <c r="AD100" s="291"/>
      <c r="AE100" s="291"/>
      <c r="AF100" s="907">
        <v>4.0000000000000001E-3</v>
      </c>
      <c r="AG100" s="291"/>
      <c r="AH100" s="291"/>
      <c r="AI100" s="291"/>
      <c r="AJ100" s="291"/>
      <c r="AK100" s="907">
        <v>0</v>
      </c>
      <c r="AL100" s="291"/>
      <c r="AM100" s="291"/>
      <c r="AN100" s="291"/>
      <c r="AO100" s="291"/>
      <c r="AP100" s="907">
        <v>5.0000000000000001E-3</v>
      </c>
      <c r="AQ100" s="291"/>
      <c r="AR100" s="291"/>
      <c r="AS100" s="291"/>
      <c r="AT100" s="291"/>
      <c r="AU100" s="907">
        <v>1.6E-2</v>
      </c>
      <c r="AV100" s="291"/>
      <c r="AW100" s="291"/>
      <c r="AX100" s="291"/>
      <c r="AY100" s="291"/>
      <c r="AZ100" s="907">
        <v>0</v>
      </c>
      <c r="BA100" s="291"/>
      <c r="BB100" s="291"/>
      <c r="BC100" s="291"/>
      <c r="BD100" s="291"/>
      <c r="BE100" s="907">
        <v>0</v>
      </c>
      <c r="BF100" s="291"/>
      <c r="BG100" s="291"/>
      <c r="BH100" s="291"/>
      <c r="BI100" s="291"/>
      <c r="BJ100" s="907">
        <v>-1.4E-2</v>
      </c>
      <c r="BK100" s="241"/>
      <c r="BL100" s="241"/>
      <c r="BM100" s="241"/>
      <c r="BN100" s="241"/>
      <c r="BO100" s="907">
        <v>4.0000000000000001E-3</v>
      </c>
      <c r="BP100" s="241"/>
      <c r="BQ100" s="241"/>
      <c r="BR100" s="241"/>
      <c r="BS100" s="241"/>
      <c r="BT100" s="907">
        <v>2E-3</v>
      </c>
      <c r="BU100" s="241"/>
      <c r="BV100" s="241"/>
      <c r="BW100" s="241"/>
      <c r="BX100" s="241"/>
      <c r="BY100" s="907">
        <v>2E-3</v>
      </c>
      <c r="BZ100" s="758"/>
      <c r="CA100" s="758"/>
      <c r="CB100" s="758"/>
      <c r="CC100" s="758"/>
      <c r="CD100" s="907">
        <v>-1.0999999999999999E-2</v>
      </c>
      <c r="CE100" s="767"/>
      <c r="CF100" s="767"/>
      <c r="CG100" s="767"/>
      <c r="CH100" s="767"/>
      <c r="CI100" s="768">
        <v>0</v>
      </c>
      <c r="CJ100" s="759">
        <v>0</v>
      </c>
      <c r="CK100" s="759">
        <v>0</v>
      </c>
      <c r="CL100" s="759">
        <v>0</v>
      </c>
      <c r="CM100" s="759">
        <v>0</v>
      </c>
      <c r="CN100" s="766"/>
      <c r="CO100" s="708"/>
      <c r="CP100" s="291"/>
      <c r="CQ100" s="693"/>
    </row>
    <row r="101" spans="2:95" ht="16.5" customHeight="1" x14ac:dyDescent="0.25">
      <c r="B101" s="690" t="s">
        <v>1029</v>
      </c>
      <c r="C101" s="274"/>
      <c r="D101" s="274"/>
      <c r="E101" s="274"/>
      <c r="F101" s="274"/>
      <c r="G101" s="864"/>
      <c r="H101" s="291"/>
      <c r="I101" s="291"/>
      <c r="J101" s="291"/>
      <c r="K101" s="291"/>
      <c r="L101" s="869">
        <f>IFERROR(L99-L100,"")</f>
        <v>9.5366226920915786E-2</v>
      </c>
      <c r="M101" s="291"/>
      <c r="N101" s="291"/>
      <c r="O101" s="291"/>
      <c r="P101" s="291"/>
      <c r="Q101" s="869">
        <f>IFERROR(Q99-Q100,"")</f>
        <v>5.0577462371496858E-2</v>
      </c>
      <c r="R101" s="291"/>
      <c r="S101" s="291"/>
      <c r="T101" s="291"/>
      <c r="U101" s="291"/>
      <c r="V101" s="869">
        <f>IFERROR(V99-V100,"")</f>
        <v>1.7004635688647553E-2</v>
      </c>
      <c r="W101" s="291"/>
      <c r="X101" s="291"/>
      <c r="Y101" s="291"/>
      <c r="Z101" s="291"/>
      <c r="AA101" s="869">
        <f>IFERROR(AA99-AA100,"")</f>
        <v>6.5860014381429258E-3</v>
      </c>
      <c r="AB101" s="291"/>
      <c r="AC101" s="291"/>
      <c r="AD101" s="291"/>
      <c r="AE101" s="291"/>
      <c r="AF101" s="869">
        <f>IFERROR(AF99-AF100,"")</f>
        <v>-5.0387892998940864E-2</v>
      </c>
      <c r="AG101" s="291"/>
      <c r="AH101" s="291"/>
      <c r="AI101" s="291"/>
      <c r="AJ101" s="291"/>
      <c r="AK101" s="869">
        <f>IFERROR(AK99-AK100,"")</f>
        <v>-4.4978642123718937E-2</v>
      </c>
      <c r="AL101" s="291"/>
      <c r="AM101" s="291"/>
      <c r="AN101" s="291"/>
      <c r="AO101" s="291"/>
      <c r="AP101" s="869">
        <f>IFERROR(AP99-AP100,"")</f>
        <v>3.0484757686456979E-2</v>
      </c>
      <c r="AQ101" s="291"/>
      <c r="AR101" s="291"/>
      <c r="AS101" s="291"/>
      <c r="AT101" s="291"/>
      <c r="AU101" s="869">
        <f>IFERROR(AU99-AU100,"")</f>
        <v>6.8861646975164184E-2</v>
      </c>
      <c r="AV101" s="291"/>
      <c r="AW101" s="291"/>
      <c r="AX101" s="291"/>
      <c r="AY101" s="291"/>
      <c r="AZ101" s="869">
        <f>IFERROR(AZ99-AZ100,"")</f>
        <v>7.2041817803347508E-2</v>
      </c>
      <c r="BA101" s="291"/>
      <c r="BB101" s="291"/>
      <c r="BC101" s="291"/>
      <c r="BD101" s="291"/>
      <c r="BE101" s="869">
        <f>IFERROR(BE99-BE100,"")</f>
        <v>-6.9230062144902682E-3</v>
      </c>
      <c r="BF101" s="291"/>
      <c r="BG101" s="291"/>
      <c r="BH101" s="291"/>
      <c r="BI101" s="291"/>
      <c r="BJ101" s="869">
        <f>IFERROR(BJ99-BJ100,"")</f>
        <v>2.7119464568872032E-3</v>
      </c>
      <c r="BK101" s="241"/>
      <c r="BL101" s="241"/>
      <c r="BM101" s="241"/>
      <c r="BN101" s="241"/>
      <c r="BO101" s="869">
        <f>IFERROR(BO99-BO100,"")</f>
        <v>6.0442654662897333E-2</v>
      </c>
      <c r="BP101" s="241"/>
      <c r="BQ101" s="241"/>
      <c r="BR101" s="241"/>
      <c r="BS101" s="241"/>
      <c r="BT101" s="869">
        <f>IFERROR(BT99-BT100,"")</f>
        <v>9.0367273945469728E-2</v>
      </c>
      <c r="BU101" s="241"/>
      <c r="BV101" s="241"/>
      <c r="BW101" s="241"/>
      <c r="BX101" s="241"/>
      <c r="BY101" s="869">
        <f>IFERROR(BY99-BY100,"")</f>
        <v>8.6285050012212761E-2</v>
      </c>
      <c r="BZ101" s="758"/>
      <c r="CA101" s="758"/>
      <c r="CB101" s="758"/>
      <c r="CC101" s="758"/>
      <c r="CD101" s="869">
        <f t="shared" ref="CD101:CM101" si="38">IFERROR(CD99-CD100,"")</f>
        <v>8.0733108707217713E-2</v>
      </c>
      <c r="CE101" s="241"/>
      <c r="CF101" s="241"/>
      <c r="CG101" s="241"/>
      <c r="CH101" s="241"/>
      <c r="CI101" s="759">
        <f t="shared" si="38"/>
        <v>0.10474115065336576</v>
      </c>
      <c r="CJ101" s="759">
        <f t="shared" si="38"/>
        <v>8.1489463680362029E-2</v>
      </c>
      <c r="CK101" s="759">
        <f t="shared" si="38"/>
        <v>7.0247399375205077E-2</v>
      </c>
      <c r="CL101" s="759">
        <f t="shared" si="38"/>
        <v>6.4825079344194458E-2</v>
      </c>
      <c r="CM101" s="759">
        <f t="shared" si="38"/>
        <v>6.1889341130520581E-2</v>
      </c>
      <c r="CN101" s="766"/>
      <c r="CO101" s="708"/>
      <c r="CP101" s="291"/>
      <c r="CQ101" s="693"/>
    </row>
    <row r="102" spans="2:95" ht="16.5" customHeight="1" x14ac:dyDescent="0.25">
      <c r="B102" s="12" t="s">
        <v>880</v>
      </c>
      <c r="C102" s="241"/>
      <c r="D102" s="241"/>
      <c r="E102" s="241"/>
      <c r="F102" s="241"/>
      <c r="G102" s="869"/>
      <c r="H102" s="241"/>
      <c r="I102" s="241"/>
      <c r="J102" s="241"/>
      <c r="K102" s="241"/>
      <c r="L102" s="869"/>
      <c r="M102" s="241"/>
      <c r="N102" s="241"/>
      <c r="O102" s="241"/>
      <c r="P102" s="241"/>
      <c r="Q102" s="869"/>
      <c r="R102" s="241"/>
      <c r="S102" s="241"/>
      <c r="T102" s="241"/>
      <c r="U102" s="241"/>
      <c r="V102" s="869"/>
      <c r="W102" s="241"/>
      <c r="X102" s="241"/>
      <c r="Y102" s="241"/>
      <c r="Z102" s="241"/>
      <c r="AA102" s="869"/>
      <c r="AB102" s="241"/>
      <c r="AC102" s="241"/>
      <c r="AD102" s="241"/>
      <c r="AE102" s="241"/>
      <c r="AF102" s="869"/>
      <c r="AG102" s="241"/>
      <c r="AH102" s="241"/>
      <c r="AI102" s="241"/>
      <c r="AJ102" s="241"/>
      <c r="AK102" s="869"/>
      <c r="AL102" s="241"/>
      <c r="AM102" s="241"/>
      <c r="AN102" s="241"/>
      <c r="AO102" s="241"/>
      <c r="AP102" s="869"/>
      <c r="AQ102" s="241"/>
      <c r="AR102" s="241"/>
      <c r="AS102" s="241"/>
      <c r="AT102" s="241"/>
      <c r="AU102" s="869"/>
      <c r="AV102" s="241"/>
      <c r="AW102" s="241"/>
      <c r="AX102" s="241"/>
      <c r="AY102" s="241"/>
      <c r="AZ102" s="869"/>
      <c r="BA102" s="241"/>
      <c r="BB102" s="241"/>
      <c r="BC102" s="241"/>
      <c r="BD102" s="241"/>
      <c r="BE102" s="869"/>
      <c r="BF102" s="241"/>
      <c r="BG102" s="241"/>
      <c r="BH102" s="241"/>
      <c r="BI102" s="241"/>
      <c r="BJ102" s="869"/>
      <c r="BK102" s="754">
        <f t="shared" ref="BK102:CM102" si="39">BK56+BK67+BK78+BK89</f>
        <v>0</v>
      </c>
      <c r="BL102" s="754">
        <f t="shared" si="39"/>
        <v>0</v>
      </c>
      <c r="BM102" s="754">
        <f t="shared" si="39"/>
        <v>0</v>
      </c>
      <c r="BN102" s="754">
        <f t="shared" si="39"/>
        <v>0</v>
      </c>
      <c r="BO102" s="911">
        <f t="shared" si="39"/>
        <v>0</v>
      </c>
      <c r="BP102" s="291">
        <f t="shared" si="39"/>
        <v>86.763000000000005</v>
      </c>
      <c r="BQ102" s="291">
        <f t="shared" si="39"/>
        <v>83.765999999999991</v>
      </c>
      <c r="BR102" s="291">
        <f t="shared" si="39"/>
        <v>84.50800000000001</v>
      </c>
      <c r="BS102" s="291">
        <f t="shared" si="39"/>
        <v>89.001000000000019</v>
      </c>
      <c r="BT102" s="864">
        <f t="shared" si="39"/>
        <v>344.03800000000001</v>
      </c>
      <c r="BU102" s="291">
        <f t="shared" si="39"/>
        <v>94.536000000000001</v>
      </c>
      <c r="BV102" s="291">
        <f t="shared" si="39"/>
        <v>112.012</v>
      </c>
      <c r="BW102" s="291">
        <f t="shared" si="39"/>
        <v>105.38</v>
      </c>
      <c r="BX102" s="291">
        <f t="shared" si="39"/>
        <v>92.537000000000006</v>
      </c>
      <c r="BY102" s="864">
        <f t="shared" si="39"/>
        <v>404.46499999999997</v>
      </c>
      <c r="BZ102" s="291">
        <f t="shared" si="39"/>
        <v>101.15700000000001</v>
      </c>
      <c r="CA102" s="291">
        <f t="shared" si="39"/>
        <v>109.30699999999999</v>
      </c>
      <c r="CB102" s="291">
        <f t="shared" si="39"/>
        <v>111.867</v>
      </c>
      <c r="CC102" s="291">
        <f t="shared" si="39"/>
        <v>127.27499999999999</v>
      </c>
      <c r="CD102" s="864">
        <f t="shared" si="39"/>
        <v>449.60599999999999</v>
      </c>
      <c r="CE102" s="291">
        <f>CE56+CE67+CE78+CE89</f>
        <v>135.57999999999998</v>
      </c>
      <c r="CF102" s="291">
        <f>CF56+CF67+CF78+CF89</f>
        <v>137.93700000000001</v>
      </c>
      <c r="CG102" s="291">
        <f>CG56+CG67+CG78+CG89</f>
        <v>146.79653844000001</v>
      </c>
      <c r="CH102" s="291">
        <f>CH56+CH67+CH78+CH89</f>
        <v>140.62904219999999</v>
      </c>
      <c r="CI102" s="749">
        <f t="shared" si="39"/>
        <v>570.68365540000002</v>
      </c>
      <c r="CJ102" s="749">
        <f t="shared" si="39"/>
        <v>579.06589324000004</v>
      </c>
      <c r="CK102" s="749">
        <f t="shared" si="39"/>
        <v>644.8452998030001</v>
      </c>
      <c r="CL102" s="749">
        <f t="shared" si="39"/>
        <v>707.76161447781215</v>
      </c>
      <c r="CM102" s="749">
        <f t="shared" si="39"/>
        <v>757.9442207296039</v>
      </c>
      <c r="CN102" s="241"/>
      <c r="CO102" s="683">
        <v>9.2175740530090894E-2</v>
      </c>
      <c r="CP102" s="241"/>
      <c r="CQ102" s="693"/>
    </row>
    <row r="103" spans="2:95" ht="16.5" customHeight="1" x14ac:dyDescent="0.25">
      <c r="B103" s="12" t="s">
        <v>881</v>
      </c>
      <c r="C103" s="241"/>
      <c r="D103" s="241"/>
      <c r="E103" s="241"/>
      <c r="F103" s="241"/>
      <c r="G103" s="869"/>
      <c r="H103" s="241"/>
      <c r="I103" s="241"/>
      <c r="J103" s="241"/>
      <c r="K103" s="241"/>
      <c r="L103" s="869"/>
      <c r="M103" s="241"/>
      <c r="N103" s="241"/>
      <c r="O103" s="241"/>
      <c r="P103" s="241"/>
      <c r="Q103" s="869"/>
      <c r="R103" s="241"/>
      <c r="S103" s="241"/>
      <c r="T103" s="241"/>
      <c r="U103" s="241"/>
      <c r="V103" s="869"/>
      <c r="W103" s="241"/>
      <c r="X103" s="241"/>
      <c r="Y103" s="241"/>
      <c r="Z103" s="241"/>
      <c r="AA103" s="869"/>
      <c r="AB103" s="241"/>
      <c r="AC103" s="241"/>
      <c r="AD103" s="241"/>
      <c r="AE103" s="241"/>
      <c r="AF103" s="869"/>
      <c r="AG103" s="241"/>
      <c r="AH103" s="241"/>
      <c r="AI103" s="241"/>
      <c r="AJ103" s="241"/>
      <c r="AK103" s="869"/>
      <c r="AL103" s="241"/>
      <c r="AM103" s="241"/>
      <c r="AN103" s="241"/>
      <c r="AO103" s="241"/>
      <c r="AP103" s="869"/>
      <c r="AQ103" s="241"/>
      <c r="AR103" s="241"/>
      <c r="AS103" s="241"/>
      <c r="AT103" s="241"/>
      <c r="AU103" s="869"/>
      <c r="AV103" s="241"/>
      <c r="AW103" s="241"/>
      <c r="AX103" s="241"/>
      <c r="AY103" s="241"/>
      <c r="AZ103" s="869"/>
      <c r="BA103" s="241"/>
      <c r="BB103" s="241"/>
      <c r="BC103" s="241"/>
      <c r="BD103" s="241"/>
      <c r="BE103" s="869"/>
      <c r="BF103" s="241"/>
      <c r="BG103" s="241"/>
      <c r="BH103" s="241"/>
      <c r="BI103" s="241"/>
      <c r="BJ103" s="869"/>
      <c r="BK103" s="241" t="str">
        <f t="shared" ref="BK103:CD103" si="40">IFERROR(BK102/BF102-1,"")</f>
        <v/>
      </c>
      <c r="BL103" s="241" t="str">
        <f t="shared" si="40"/>
        <v/>
      </c>
      <c r="BM103" s="241" t="str">
        <f t="shared" si="40"/>
        <v/>
      </c>
      <c r="BN103" s="241" t="str">
        <f t="shared" si="40"/>
        <v/>
      </c>
      <c r="BO103" s="869" t="str">
        <f t="shared" si="40"/>
        <v/>
      </c>
      <c r="BP103" s="241" t="str">
        <f t="shared" si="40"/>
        <v/>
      </c>
      <c r="BQ103" s="241" t="str">
        <f t="shared" si="40"/>
        <v/>
      </c>
      <c r="BR103" s="241" t="str">
        <f t="shared" si="40"/>
        <v/>
      </c>
      <c r="BS103" s="241" t="str">
        <f t="shared" si="40"/>
        <v/>
      </c>
      <c r="BT103" s="869" t="str">
        <f t="shared" si="40"/>
        <v/>
      </c>
      <c r="BU103" s="241">
        <f t="shared" si="40"/>
        <v>8.958888005255683E-2</v>
      </c>
      <c r="BV103" s="241">
        <f t="shared" si="40"/>
        <v>0.3372012511042668</v>
      </c>
      <c r="BW103" s="241">
        <f t="shared" si="40"/>
        <v>0.24698253419794547</v>
      </c>
      <c r="BX103" s="241">
        <f t="shared" si="40"/>
        <v>3.9729890675385571E-2</v>
      </c>
      <c r="BY103" s="869">
        <f t="shared" si="40"/>
        <v>0.17564048157470968</v>
      </c>
      <c r="BZ103" s="241">
        <f t="shared" si="40"/>
        <v>7.0036811373445085E-2</v>
      </c>
      <c r="CA103" s="241">
        <f t="shared" si="40"/>
        <v>-2.4149198300182251E-2</v>
      </c>
      <c r="CB103" s="241">
        <f t="shared" si="40"/>
        <v>6.1558170430821901E-2</v>
      </c>
      <c r="CC103" s="241">
        <f t="shared" si="40"/>
        <v>0.37539578763089332</v>
      </c>
      <c r="CD103" s="869">
        <f t="shared" si="40"/>
        <v>0.1116066903193107</v>
      </c>
      <c r="CE103" s="241">
        <f>IFERROR(CE102/BZ102-1,"")</f>
        <v>0.34029281216327067</v>
      </c>
      <c r="CF103" s="241">
        <f>IFERROR(CF102/CA102-1,"")</f>
        <v>0.26192284117211173</v>
      </c>
      <c r="CG103" s="241">
        <f>IFERROR(CG102/CB102-1,"")</f>
        <v>0.31224166590683589</v>
      </c>
      <c r="CH103" s="241">
        <f>IFERROR(CH102/CC102-1,"")</f>
        <v>0.10492274366529175</v>
      </c>
      <c r="CI103" s="751">
        <f>IFERROR(CI102/CD102-1,"")</f>
        <v>0.26929724114002052</v>
      </c>
      <c r="CJ103" s="751">
        <f>IFERROR(CJ102/CI102-1,"")</f>
        <v>1.4688063624539671E-2</v>
      </c>
      <c r="CK103" s="751">
        <f>IFERROR(CK102/CJ102-1,"")</f>
        <v>0.11359571912438149</v>
      </c>
      <c r="CL103" s="751">
        <f>IFERROR(CL102/CK102-1,"")</f>
        <v>9.7568075155441081E-2</v>
      </c>
      <c r="CM103" s="751">
        <f>IFERROR(CM102/CL102-1,"")</f>
        <v>7.090326068165842E-2</v>
      </c>
      <c r="CN103" s="241"/>
      <c r="CO103" s="683"/>
      <c r="CP103" s="241"/>
      <c r="CQ103" s="693"/>
    </row>
    <row r="104" spans="2:95" ht="16.5" customHeight="1" x14ac:dyDescent="0.25">
      <c r="B104" s="12" t="s">
        <v>181</v>
      </c>
      <c r="C104" s="743"/>
      <c r="D104" s="743"/>
      <c r="E104" s="743"/>
      <c r="F104" s="743"/>
      <c r="G104" s="868"/>
      <c r="H104" s="743"/>
      <c r="I104" s="743"/>
      <c r="J104" s="743"/>
      <c r="K104" s="743"/>
      <c r="L104" s="868"/>
      <c r="M104" s="743"/>
      <c r="N104" s="743"/>
      <c r="O104" s="743"/>
      <c r="P104" s="743"/>
      <c r="Q104" s="868"/>
      <c r="R104" s="743"/>
      <c r="S104" s="743"/>
      <c r="T104" s="743"/>
      <c r="U104" s="743"/>
      <c r="V104" s="868"/>
      <c r="W104" s="743"/>
      <c r="X104" s="743"/>
      <c r="Y104" s="743"/>
      <c r="Z104" s="743"/>
      <c r="AA104" s="868"/>
      <c r="AB104" s="743"/>
      <c r="AC104" s="743"/>
      <c r="AD104" s="743"/>
      <c r="AE104" s="743"/>
      <c r="AF104" s="868"/>
      <c r="AG104" s="743"/>
      <c r="AH104" s="743"/>
      <c r="AI104" s="743"/>
      <c r="AJ104" s="743"/>
      <c r="AK104" s="868"/>
      <c r="AL104" s="743"/>
      <c r="AM104" s="291"/>
      <c r="AN104" s="291"/>
      <c r="AO104" s="291"/>
      <c r="AP104" s="864"/>
      <c r="AQ104" s="291"/>
      <c r="AR104" s="291"/>
      <c r="AS104" s="291"/>
      <c r="AT104" s="291"/>
      <c r="AU104" s="864"/>
      <c r="AV104" s="291"/>
      <c r="AW104" s="291"/>
      <c r="AX104" s="291"/>
      <c r="AY104" s="291"/>
      <c r="AZ104" s="864"/>
      <c r="BA104" s="291"/>
      <c r="BB104" s="291"/>
      <c r="BC104" s="291"/>
      <c r="BD104" s="291"/>
      <c r="BE104" s="864"/>
      <c r="BF104" s="291"/>
      <c r="BG104" s="291"/>
      <c r="BH104" s="291"/>
      <c r="BI104" s="291"/>
      <c r="BJ104" s="864"/>
      <c r="BK104" s="241">
        <f t="shared" ref="BK104:CM104" si="41">IFERROR(BK102/BK98,"")</f>
        <v>0</v>
      </c>
      <c r="BL104" s="241">
        <f t="shared" si="41"/>
        <v>0</v>
      </c>
      <c r="BM104" s="241">
        <f t="shared" si="41"/>
        <v>0</v>
      </c>
      <c r="BN104" s="241">
        <f t="shared" si="41"/>
        <v>0</v>
      </c>
      <c r="BO104" s="869">
        <f t="shared" si="41"/>
        <v>0</v>
      </c>
      <c r="BP104" s="241">
        <f t="shared" si="41"/>
        <v>0.11414637226796896</v>
      </c>
      <c r="BQ104" s="241">
        <f t="shared" si="41"/>
        <v>0.10010372948116139</v>
      </c>
      <c r="BR104" s="241">
        <f t="shared" si="41"/>
        <v>9.9400594700391462E-2</v>
      </c>
      <c r="BS104" s="241">
        <f t="shared" si="41"/>
        <v>0.10240369845786364</v>
      </c>
      <c r="BT104" s="869">
        <f>IFERROR(BT102/BT98,"")</f>
        <v>0.10374496033098222</v>
      </c>
      <c r="BU104" s="241">
        <f t="shared" si="41"/>
        <v>0.11032969597945964</v>
      </c>
      <c r="BV104" s="241">
        <f t="shared" si="41"/>
        <v>0.12040378242357598</v>
      </c>
      <c r="BW104" s="241">
        <f t="shared" si="41"/>
        <v>0.11647609521019966</v>
      </c>
      <c r="BX104" s="241">
        <f t="shared" si="41"/>
        <v>0.10090483626149309</v>
      </c>
      <c r="BY104" s="869">
        <f t="shared" si="41"/>
        <v>0.1120724530058521</v>
      </c>
      <c r="BZ104" s="241">
        <f t="shared" si="41"/>
        <v>0.11112307278249839</v>
      </c>
      <c r="CA104" s="241">
        <f t="shared" si="41"/>
        <v>0.11692589106157203</v>
      </c>
      <c r="CB104" s="241">
        <f t="shared" si="41"/>
        <v>0.11516497951847043</v>
      </c>
      <c r="CC104" s="241">
        <f t="shared" si="41"/>
        <v>0.12189854286825283</v>
      </c>
      <c r="CD104" s="869">
        <f t="shared" si="41"/>
        <v>0.11645941174276489</v>
      </c>
      <c r="CE104" s="241">
        <f>IFERROR(CE102/CE98,"")</f>
        <v>0.1232157884883482</v>
      </c>
      <c r="CF104" s="241">
        <f>IFERROR(CF102/CF98,"")</f>
        <v>0.13112542742172376</v>
      </c>
      <c r="CG104" s="241">
        <f>IFERROR(CG102/CG98,"")</f>
        <v>0.13636125731871052</v>
      </c>
      <c r="CH104" s="241">
        <f>IFERROR(CH102/CH98,"")</f>
        <v>0.1357199864999048</v>
      </c>
      <c r="CI104" s="751">
        <f t="shared" si="41"/>
        <v>0.13380655725774002</v>
      </c>
      <c r="CJ104" s="751">
        <f t="shared" si="41"/>
        <v>0.12554159891866515</v>
      </c>
      <c r="CK104" s="751">
        <f t="shared" si="41"/>
        <v>0.13062642077847639</v>
      </c>
      <c r="CL104" s="751">
        <f t="shared" si="41"/>
        <v>0.1346431371681974</v>
      </c>
      <c r="CM104" s="751">
        <f t="shared" si="41"/>
        <v>0.13578606455200073</v>
      </c>
      <c r="CN104" s="291"/>
      <c r="CO104" s="683"/>
      <c r="CP104" s="291"/>
      <c r="CQ104" s="693"/>
    </row>
    <row r="105" spans="2:95" ht="16.5" customHeight="1" x14ac:dyDescent="0.25">
      <c r="B105" s="12" t="s">
        <v>882</v>
      </c>
      <c r="C105" s="743"/>
      <c r="D105" s="743"/>
      <c r="E105" s="743"/>
      <c r="F105" s="743"/>
      <c r="G105" s="868"/>
      <c r="H105" s="743"/>
      <c r="I105" s="743"/>
      <c r="J105" s="743"/>
      <c r="K105" s="743"/>
      <c r="L105" s="868"/>
      <c r="M105" s="743"/>
      <c r="N105" s="743"/>
      <c r="O105" s="743"/>
      <c r="P105" s="743"/>
      <c r="Q105" s="868"/>
      <c r="R105" s="743"/>
      <c r="S105" s="743"/>
      <c r="T105" s="743"/>
      <c r="U105" s="743"/>
      <c r="V105" s="868"/>
      <c r="W105" s="743"/>
      <c r="X105" s="743"/>
      <c r="Y105" s="743"/>
      <c r="Z105" s="743"/>
      <c r="AA105" s="868"/>
      <c r="AB105" s="743"/>
      <c r="AC105" s="743"/>
      <c r="AD105" s="743"/>
      <c r="AE105" s="743"/>
      <c r="AF105" s="868"/>
      <c r="AG105" s="743"/>
      <c r="AH105" s="743"/>
      <c r="AI105" s="743"/>
      <c r="AJ105" s="743"/>
      <c r="AK105" s="868"/>
      <c r="AL105" s="743"/>
      <c r="AM105" s="291"/>
      <c r="AN105" s="291"/>
      <c r="AO105" s="291"/>
      <c r="AP105" s="864"/>
      <c r="AQ105" s="291"/>
      <c r="AR105" s="291"/>
      <c r="AS105" s="291"/>
      <c r="AT105" s="291"/>
      <c r="AU105" s="864"/>
      <c r="AV105" s="291"/>
      <c r="AW105" s="291"/>
      <c r="AX105" s="291"/>
      <c r="AY105" s="291"/>
      <c r="AZ105" s="864"/>
      <c r="BA105" s="291"/>
      <c r="BB105" s="291"/>
      <c r="BC105" s="291"/>
      <c r="BD105" s="291"/>
      <c r="BE105" s="864"/>
      <c r="BF105" s="291"/>
      <c r="BG105" s="291"/>
      <c r="BH105" s="291"/>
      <c r="BI105" s="291"/>
      <c r="BJ105" s="864"/>
      <c r="BK105" s="241">
        <f t="shared" ref="BK105:CD105" si="42">IFERROR((BK102-BF102)/(BK98-BF98),"")</f>
        <v>0</v>
      </c>
      <c r="BL105" s="241">
        <f t="shared" si="42"/>
        <v>0</v>
      </c>
      <c r="BM105" s="241">
        <f t="shared" si="42"/>
        <v>0</v>
      </c>
      <c r="BN105" s="241">
        <f t="shared" si="42"/>
        <v>0</v>
      </c>
      <c r="BO105" s="869">
        <f t="shared" si="42"/>
        <v>0</v>
      </c>
      <c r="BP105" s="758">
        <f t="shared" si="42"/>
        <v>2.408945775605968</v>
      </c>
      <c r="BQ105" s="758">
        <f t="shared" si="42"/>
        <v>1.2690856753276267</v>
      </c>
      <c r="BR105" s="758">
        <f t="shared" si="42"/>
        <v>1.0937423154080133</v>
      </c>
      <c r="BS105" s="758">
        <f t="shared" si="42"/>
        <v>2.8372251229955153E-2</v>
      </c>
      <c r="BT105" s="886">
        <f t="shared" si="42"/>
        <v>1.2269237215904019</v>
      </c>
      <c r="BU105" s="758">
        <f t="shared" si="42"/>
        <v>8.0343576545009052E-2</v>
      </c>
      <c r="BV105" s="758">
        <f t="shared" si="42"/>
        <v>0.3020607201291825</v>
      </c>
      <c r="BW105" s="758">
        <f t="shared" si="42"/>
        <v>0.3825583313477145</v>
      </c>
      <c r="BX105" s="758">
        <f t="shared" si="42"/>
        <v>7.3738869309532371E-2</v>
      </c>
      <c r="BY105" s="886">
        <f t="shared" si="42"/>
        <v>0.20639751340642845</v>
      </c>
      <c r="BZ105" s="758">
        <f t="shared" si="42"/>
        <v>0.12383802487608753</v>
      </c>
      <c r="CA105" s="758">
        <f t="shared" si="42"/>
        <v>-0.59620894864449192</v>
      </c>
      <c r="CB105" s="758">
        <f t="shared" si="42"/>
        <v>9.7361469652398461E-2</v>
      </c>
      <c r="CC105" s="758">
        <f t="shared" si="42"/>
        <v>0.27345435080372199</v>
      </c>
      <c r="CD105" s="886">
        <f t="shared" si="42"/>
        <v>0.17937011253099364</v>
      </c>
      <c r="CE105" s="758">
        <f>IFERROR((CE102-BZ102)/(CE98-BZ98),"")</f>
        <v>0.18114412911577565</v>
      </c>
      <c r="CF105" s="758">
        <f>IFERROR((CF102-CA102)/(CF98-CA98),"")</f>
        <v>0.24447727292134569</v>
      </c>
      <c r="CG105" s="758"/>
      <c r="CH105" s="758"/>
      <c r="CI105" s="759">
        <f>IFERROR((CI102-CD102)/(CI98-CD98),"")</f>
        <v>0.29942575665325155</v>
      </c>
      <c r="CJ105" s="759">
        <f>IFERROR((CJ102-CI102)/(CJ98-CI98),"")</f>
        <v>2.4117955102653486E-2</v>
      </c>
      <c r="CK105" s="759">
        <f>IFERROR((CK102-CJ102)/(CK98-CJ98),"")</f>
        <v>0.20301090625461773</v>
      </c>
      <c r="CL105" s="759">
        <f>IFERROR((CL102-CK102)/(CL98-CK98),"")</f>
        <v>0.19660552009709298</v>
      </c>
      <c r="CM105" s="759">
        <f>IFERROR((CM102-CL102)/(CM98-CL98),"")</f>
        <v>0.15425333796169774</v>
      </c>
      <c r="CN105" s="291"/>
      <c r="CO105" s="683"/>
      <c r="CP105" s="291"/>
      <c r="CQ105" s="693"/>
    </row>
    <row r="106" spans="2:95" ht="16.5" customHeight="1" x14ac:dyDescent="0.25">
      <c r="B106" s="699" t="s">
        <v>885</v>
      </c>
      <c r="C106" s="743"/>
      <c r="D106" s="743"/>
      <c r="E106" s="743"/>
      <c r="F106" s="743"/>
      <c r="G106" s="868"/>
      <c r="H106" s="743"/>
      <c r="I106" s="743"/>
      <c r="J106" s="743"/>
      <c r="K106" s="743"/>
      <c r="L106" s="868"/>
      <c r="M106" s="743"/>
      <c r="N106" s="743"/>
      <c r="O106" s="743"/>
      <c r="P106" s="743"/>
      <c r="Q106" s="868"/>
      <c r="R106" s="743"/>
      <c r="S106" s="743"/>
      <c r="T106" s="743"/>
      <c r="U106" s="743"/>
      <c r="V106" s="868"/>
      <c r="W106" s="743"/>
      <c r="X106" s="743"/>
      <c r="Y106" s="743"/>
      <c r="Z106" s="743"/>
      <c r="AA106" s="868"/>
      <c r="AB106" s="743"/>
      <c r="AC106" s="743"/>
      <c r="AD106" s="743"/>
      <c r="AE106" s="743"/>
      <c r="AF106" s="868"/>
      <c r="AG106" s="743"/>
      <c r="AH106" s="743"/>
      <c r="AI106" s="743"/>
      <c r="AJ106" s="743"/>
      <c r="AK106" s="868"/>
      <c r="AL106" s="743"/>
      <c r="AM106" s="291"/>
      <c r="AN106" s="291"/>
      <c r="AO106" s="291"/>
      <c r="AP106" s="864"/>
      <c r="AQ106" s="291"/>
      <c r="AR106" s="291"/>
      <c r="AS106" s="291"/>
      <c r="AT106" s="291"/>
      <c r="AU106" s="864"/>
      <c r="AV106" s="291"/>
      <c r="AW106" s="291"/>
      <c r="AX106" s="291"/>
      <c r="AY106" s="291"/>
      <c r="AZ106" s="864"/>
      <c r="BA106" s="291"/>
      <c r="BB106" s="291"/>
      <c r="BC106" s="291"/>
      <c r="BD106" s="291"/>
      <c r="BE106" s="864"/>
      <c r="BF106" s="769">
        <v>1898</v>
      </c>
      <c r="BG106" s="769">
        <v>1900</v>
      </c>
      <c r="BH106" s="769">
        <v>2000</v>
      </c>
      <c r="BI106" s="769">
        <v>1900</v>
      </c>
      <c r="BJ106" s="926">
        <v>1900</v>
      </c>
      <c r="BK106" s="769">
        <v>2200</v>
      </c>
      <c r="BL106" s="769">
        <v>2300</v>
      </c>
      <c r="BM106" s="769">
        <v>2200</v>
      </c>
      <c r="BN106" s="769">
        <v>2000</v>
      </c>
      <c r="BO106" s="926">
        <v>2000</v>
      </c>
      <c r="BP106" s="769">
        <v>2343</v>
      </c>
      <c r="BQ106" s="769">
        <v>2300</v>
      </c>
      <c r="BR106" s="769">
        <v>2300</v>
      </c>
      <c r="BS106" s="769">
        <v>2420</v>
      </c>
      <c r="BT106" s="926">
        <v>2420</v>
      </c>
      <c r="BU106" s="769">
        <v>2500</v>
      </c>
      <c r="BV106" s="769">
        <v>2500</v>
      </c>
      <c r="BW106" s="769">
        <v>2450</v>
      </c>
      <c r="BX106" s="769">
        <v>2500</v>
      </c>
      <c r="BY106" s="926">
        <v>2500</v>
      </c>
      <c r="BZ106" s="769">
        <v>2500</v>
      </c>
      <c r="CA106" s="769">
        <v>2490</v>
      </c>
      <c r="CB106" s="769">
        <v>2650</v>
      </c>
      <c r="CC106" s="769">
        <v>3000</v>
      </c>
      <c r="CD106" s="926">
        <v>3000</v>
      </c>
      <c r="CE106" s="769">
        <v>3260</v>
      </c>
      <c r="CF106" s="769">
        <v>3310</v>
      </c>
      <c r="CG106" s="770">
        <f>ROUND((CE106+CF106+CI106)/3,0)</f>
        <v>3295</v>
      </c>
      <c r="CH106" s="770">
        <f>CI106</f>
        <v>3314.2234519600975</v>
      </c>
      <c r="CI106" s="752">
        <f>CD106*(1+CI99)</f>
        <v>3314.2234519600975</v>
      </c>
      <c r="CJ106" s="752">
        <f>CI106*(1+CJ99)</f>
        <v>3584.2977435772041</v>
      </c>
      <c r="CK106" s="752">
        <f>CJ106*(1+CK99)</f>
        <v>3836.0853386499184</v>
      </c>
      <c r="CL106" s="752">
        <f>CK106*(1+CL99)</f>
        <v>4084.7598750990005</v>
      </c>
      <c r="CM106" s="752">
        <f>CL106*(1+CM99)</f>
        <v>4337.5629724452656</v>
      </c>
      <c r="CN106" s="291"/>
      <c r="CO106" s="683"/>
      <c r="CP106" s="291"/>
      <c r="CQ106" s="693"/>
    </row>
    <row r="107" spans="2:95" ht="16.5" customHeight="1" x14ac:dyDescent="0.25">
      <c r="B107" s="697" t="s">
        <v>886</v>
      </c>
      <c r="C107" s="743"/>
      <c r="D107" s="743"/>
      <c r="E107" s="743"/>
      <c r="F107" s="743"/>
      <c r="G107" s="868"/>
      <c r="H107" s="743"/>
      <c r="I107" s="743"/>
      <c r="J107" s="743"/>
      <c r="K107" s="743"/>
      <c r="L107" s="868"/>
      <c r="M107" s="743"/>
      <c r="N107" s="743"/>
      <c r="O107" s="743"/>
      <c r="P107" s="743"/>
      <c r="Q107" s="868"/>
      <c r="R107" s="743"/>
      <c r="S107" s="743"/>
      <c r="T107" s="743"/>
      <c r="U107" s="743"/>
      <c r="V107" s="868"/>
      <c r="W107" s="743"/>
      <c r="X107" s="743"/>
      <c r="Y107" s="743"/>
      <c r="Z107" s="743"/>
      <c r="AA107" s="868"/>
      <c r="AB107" s="743"/>
      <c r="AC107" s="743"/>
      <c r="AD107" s="743"/>
      <c r="AE107" s="743"/>
      <c r="AF107" s="868"/>
      <c r="AG107" s="743"/>
      <c r="AH107" s="743"/>
      <c r="AI107" s="743"/>
      <c r="AJ107" s="743"/>
      <c r="AK107" s="868"/>
      <c r="AL107" s="743"/>
      <c r="AM107" s="291"/>
      <c r="AN107" s="291"/>
      <c r="AO107" s="291"/>
      <c r="AP107" s="864"/>
      <c r="AQ107" s="291"/>
      <c r="AR107" s="291"/>
      <c r="AS107" s="291"/>
      <c r="AT107" s="291"/>
      <c r="AU107" s="864"/>
      <c r="AV107" s="291"/>
      <c r="AW107" s="291"/>
      <c r="AX107" s="291"/>
      <c r="AY107" s="291"/>
      <c r="AZ107" s="864"/>
      <c r="BA107" s="291"/>
      <c r="BB107" s="291"/>
      <c r="BC107" s="291"/>
      <c r="BD107" s="291"/>
      <c r="BE107" s="864"/>
      <c r="BF107" s="771"/>
      <c r="BG107" s="771"/>
      <c r="BH107" s="771"/>
      <c r="BI107" s="771"/>
      <c r="BJ107" s="927"/>
      <c r="BK107" s="241">
        <f t="shared" ref="BK107:CD107" si="43">IFERROR(BK106/BF106-1,"")</f>
        <v>0.15911485774499479</v>
      </c>
      <c r="BL107" s="241">
        <f t="shared" si="43"/>
        <v>0.21052631578947367</v>
      </c>
      <c r="BM107" s="241">
        <f t="shared" si="43"/>
        <v>0.10000000000000009</v>
      </c>
      <c r="BN107" s="241">
        <f t="shared" si="43"/>
        <v>5.2631578947368363E-2</v>
      </c>
      <c r="BO107" s="869">
        <f t="shared" si="43"/>
        <v>5.2631578947368363E-2</v>
      </c>
      <c r="BP107" s="241">
        <f t="shared" si="43"/>
        <v>6.4999999999999947E-2</v>
      </c>
      <c r="BQ107" s="241">
        <f t="shared" si="43"/>
        <v>0</v>
      </c>
      <c r="BR107" s="241">
        <f t="shared" si="43"/>
        <v>4.5454545454545414E-2</v>
      </c>
      <c r="BS107" s="241">
        <f t="shared" si="43"/>
        <v>0.20999999999999996</v>
      </c>
      <c r="BT107" s="869">
        <f t="shared" si="43"/>
        <v>0.20999999999999996</v>
      </c>
      <c r="BU107" s="241">
        <f t="shared" si="43"/>
        <v>6.7008109261630366E-2</v>
      </c>
      <c r="BV107" s="241">
        <f t="shared" si="43"/>
        <v>8.6956521739130377E-2</v>
      </c>
      <c r="BW107" s="241">
        <f t="shared" si="43"/>
        <v>6.5217391304347894E-2</v>
      </c>
      <c r="BX107" s="241">
        <f t="shared" si="43"/>
        <v>3.3057851239669311E-2</v>
      </c>
      <c r="BY107" s="869">
        <f t="shared" si="43"/>
        <v>3.3057851239669311E-2</v>
      </c>
      <c r="BZ107" s="241">
        <f t="shared" si="43"/>
        <v>0</v>
      </c>
      <c r="CA107" s="241">
        <f t="shared" si="43"/>
        <v>-4.0000000000000036E-3</v>
      </c>
      <c r="CB107" s="241">
        <f t="shared" si="43"/>
        <v>8.163265306122458E-2</v>
      </c>
      <c r="CC107" s="241">
        <f t="shared" si="43"/>
        <v>0.19999999999999996</v>
      </c>
      <c r="CD107" s="869">
        <f t="shared" si="43"/>
        <v>0.19999999999999996</v>
      </c>
      <c r="CE107" s="241">
        <f>IFERROR(CE106/BZ106-1,"")</f>
        <v>0.30400000000000005</v>
      </c>
      <c r="CF107" s="241">
        <f>IFERROR(CF106/CA106-1,"")</f>
        <v>0.32931726907630532</v>
      </c>
      <c r="CG107" s="241">
        <f>IFERROR(CG106/CB106-1,"")</f>
        <v>0.2433962264150944</v>
      </c>
      <c r="CH107" s="241">
        <f>IFERROR(CH106/CC106-1,"")</f>
        <v>0.10474115065336576</v>
      </c>
      <c r="CI107" s="751">
        <f>IFERROR(CI106/CD106-1,"")</f>
        <v>0.10474115065336576</v>
      </c>
      <c r="CJ107" s="751">
        <f>IFERROR(CJ106/CI106-1,"")</f>
        <v>8.1489463680362029E-2</v>
      </c>
      <c r="CK107" s="751">
        <f>IFERROR(CK106/CJ106-1,"")</f>
        <v>7.0247399375205077E-2</v>
      </c>
      <c r="CL107" s="751">
        <f>IFERROR(CL106/CK106-1,"")</f>
        <v>6.4825079344194458E-2</v>
      </c>
      <c r="CM107" s="751">
        <f>IFERROR(CM106/CL106-1,"")</f>
        <v>6.1889341130520581E-2</v>
      </c>
      <c r="CN107" s="291"/>
      <c r="CO107" s="683"/>
      <c r="CP107" s="291"/>
      <c r="CQ107" s="693"/>
    </row>
    <row r="108" spans="2:95" ht="16.5" customHeight="1" x14ac:dyDescent="0.25">
      <c r="B108" s="705" t="s">
        <v>695</v>
      </c>
      <c r="C108" s="743"/>
      <c r="D108" s="743"/>
      <c r="E108" s="743"/>
      <c r="F108" s="743"/>
      <c r="G108" s="868"/>
      <c r="H108" s="743"/>
      <c r="I108" s="743"/>
      <c r="J108" s="743"/>
      <c r="K108" s="743"/>
      <c r="L108" s="868"/>
      <c r="M108" s="743"/>
      <c r="N108" s="743"/>
      <c r="O108" s="743"/>
      <c r="P108" s="743"/>
      <c r="Q108" s="868"/>
      <c r="R108" s="743"/>
      <c r="S108" s="743"/>
      <c r="T108" s="743"/>
      <c r="U108" s="743"/>
      <c r="V108" s="868"/>
      <c r="W108" s="743"/>
      <c r="X108" s="743"/>
      <c r="Y108" s="743"/>
      <c r="Z108" s="743"/>
      <c r="AA108" s="868"/>
      <c r="AB108" s="743"/>
      <c r="AC108" s="743"/>
      <c r="AD108" s="743"/>
      <c r="AE108" s="743"/>
      <c r="AF108" s="868"/>
      <c r="AG108" s="743"/>
      <c r="AH108" s="743"/>
      <c r="AI108" s="743"/>
      <c r="AJ108" s="743"/>
      <c r="AK108" s="868"/>
      <c r="AL108" s="743"/>
      <c r="AM108" s="291"/>
      <c r="AN108" s="291"/>
      <c r="AO108" s="291"/>
      <c r="AP108" s="864"/>
      <c r="AQ108" s="291"/>
      <c r="AR108" s="291"/>
      <c r="AS108" s="291"/>
      <c r="AT108" s="291"/>
      <c r="AU108" s="864"/>
      <c r="AV108" s="291"/>
      <c r="AW108" s="291"/>
      <c r="AX108" s="291"/>
      <c r="AY108" s="291"/>
      <c r="AZ108" s="864"/>
      <c r="BA108" s="291"/>
      <c r="BB108" s="291"/>
      <c r="BC108" s="291"/>
      <c r="BD108" s="291"/>
      <c r="BE108" s="864"/>
      <c r="BF108" s="772"/>
      <c r="BG108" s="772"/>
      <c r="BH108" s="772"/>
      <c r="BI108" s="772"/>
      <c r="BJ108" s="928"/>
      <c r="BK108" s="772"/>
      <c r="BL108" s="772"/>
      <c r="BM108" s="772"/>
      <c r="BN108" s="772"/>
      <c r="BO108" s="928"/>
      <c r="BP108" s="772"/>
      <c r="BQ108" s="772"/>
      <c r="BR108" s="772"/>
      <c r="BS108" s="772"/>
      <c r="BT108" s="868">
        <v>5150</v>
      </c>
      <c r="BU108" s="772"/>
      <c r="BV108" s="772"/>
      <c r="BW108" s="772"/>
      <c r="BX108" s="772"/>
      <c r="BY108" s="868">
        <v>5060</v>
      </c>
      <c r="BZ108" s="772"/>
      <c r="CA108" s="772"/>
      <c r="CB108" s="772"/>
      <c r="CC108" s="772"/>
      <c r="CD108" s="868">
        <v>6010</v>
      </c>
      <c r="CE108" s="291">
        <f>CE106*2</f>
        <v>6520</v>
      </c>
      <c r="CF108" s="291">
        <f>CF106*2</f>
        <v>6620</v>
      </c>
      <c r="CG108" s="291">
        <f>CG106*2</f>
        <v>6590</v>
      </c>
      <c r="CH108" s="291">
        <f>CI108</f>
        <v>6639.4943154267285</v>
      </c>
      <c r="CI108" s="749">
        <f>CD108*(1+CI99)</f>
        <v>6639.4943154267285</v>
      </c>
      <c r="CJ108" s="749">
        <f>CI108*(1+CJ99)</f>
        <v>7180.5431462996648</v>
      </c>
      <c r="CK108" s="749">
        <f>CJ108*(1+CK99)</f>
        <v>7684.9576284286686</v>
      </c>
      <c r="CL108" s="749">
        <f>CK108*(1+CL99)</f>
        <v>8183.1356164483295</v>
      </c>
      <c r="CM108" s="749">
        <f>CL108*(1+CM99)</f>
        <v>8689.5844881320136</v>
      </c>
      <c r="CN108" s="291"/>
      <c r="CO108" s="683"/>
      <c r="CP108" s="291"/>
      <c r="CQ108" s="693"/>
    </row>
    <row r="109" spans="2:95" ht="16.5" customHeight="1" x14ac:dyDescent="0.25">
      <c r="B109" s="12" t="s">
        <v>884</v>
      </c>
      <c r="C109" s="743"/>
      <c r="D109" s="743"/>
      <c r="E109" s="743"/>
      <c r="F109" s="743"/>
      <c r="G109" s="868"/>
      <c r="H109" s="743"/>
      <c r="I109" s="743"/>
      <c r="J109" s="743"/>
      <c r="K109" s="743"/>
      <c r="L109" s="868"/>
      <c r="M109" s="743"/>
      <c r="N109" s="743"/>
      <c r="O109" s="743"/>
      <c r="P109" s="743"/>
      <c r="Q109" s="868"/>
      <c r="R109" s="743"/>
      <c r="S109" s="743"/>
      <c r="T109" s="743"/>
      <c r="U109" s="743"/>
      <c r="V109" s="868"/>
      <c r="W109" s="743"/>
      <c r="X109" s="743"/>
      <c r="Y109" s="743"/>
      <c r="Z109" s="743"/>
      <c r="AA109" s="868"/>
      <c r="AB109" s="743"/>
      <c r="AC109" s="743"/>
      <c r="AD109" s="743"/>
      <c r="AE109" s="743"/>
      <c r="AF109" s="868"/>
      <c r="AG109" s="743"/>
      <c r="AH109" s="743"/>
      <c r="AI109" s="743"/>
      <c r="AJ109" s="743"/>
      <c r="AK109" s="868"/>
      <c r="AL109" s="743"/>
      <c r="AM109" s="291"/>
      <c r="AN109" s="291"/>
      <c r="AO109" s="291"/>
      <c r="AP109" s="864"/>
      <c r="AQ109" s="291"/>
      <c r="AR109" s="291"/>
      <c r="AS109" s="291"/>
      <c r="AT109" s="291"/>
      <c r="AU109" s="864"/>
      <c r="AV109" s="291"/>
      <c r="AW109" s="291"/>
      <c r="AX109" s="291"/>
      <c r="AY109" s="291"/>
      <c r="AZ109" s="864"/>
      <c r="BA109" s="291"/>
      <c r="BB109" s="291"/>
      <c r="BC109" s="291"/>
      <c r="BD109" s="291"/>
      <c r="BE109" s="864"/>
      <c r="BF109" s="291"/>
      <c r="BG109" s="291"/>
      <c r="BH109" s="291"/>
      <c r="BI109" s="291"/>
      <c r="BJ109" s="864"/>
      <c r="BK109" s="241" t="str">
        <f t="shared" ref="BK109:CD109" si="44">IFERROR(BK108/BF108-1,"")</f>
        <v/>
      </c>
      <c r="BL109" s="241" t="str">
        <f t="shared" si="44"/>
        <v/>
      </c>
      <c r="BM109" s="241" t="str">
        <f t="shared" si="44"/>
        <v/>
      </c>
      <c r="BN109" s="241" t="str">
        <f t="shared" si="44"/>
        <v/>
      </c>
      <c r="BO109" s="869" t="str">
        <f t="shared" si="44"/>
        <v/>
      </c>
      <c r="BP109" s="241" t="str">
        <f t="shared" si="44"/>
        <v/>
      </c>
      <c r="BQ109" s="241" t="str">
        <f t="shared" si="44"/>
        <v/>
      </c>
      <c r="BR109" s="241" t="str">
        <f t="shared" si="44"/>
        <v/>
      </c>
      <c r="BS109" s="241" t="str">
        <f t="shared" si="44"/>
        <v/>
      </c>
      <c r="BT109" s="869" t="str">
        <f t="shared" si="44"/>
        <v/>
      </c>
      <c r="BU109" s="241" t="str">
        <f t="shared" si="44"/>
        <v/>
      </c>
      <c r="BV109" s="241" t="str">
        <f t="shared" si="44"/>
        <v/>
      </c>
      <c r="BW109" s="241" t="str">
        <f t="shared" si="44"/>
        <v/>
      </c>
      <c r="BX109" s="241" t="str">
        <f t="shared" si="44"/>
        <v/>
      </c>
      <c r="BY109" s="869">
        <f t="shared" si="44"/>
        <v>-1.747572815533982E-2</v>
      </c>
      <c r="BZ109" s="241" t="str">
        <f t="shared" si="44"/>
        <v/>
      </c>
      <c r="CA109" s="241" t="str">
        <f t="shared" si="44"/>
        <v/>
      </c>
      <c r="CB109" s="241" t="str">
        <f t="shared" si="44"/>
        <v/>
      </c>
      <c r="CC109" s="241" t="str">
        <f t="shared" si="44"/>
        <v/>
      </c>
      <c r="CD109" s="869">
        <f t="shared" si="44"/>
        <v>0.18774703557312256</v>
      </c>
      <c r="CE109" s="241" t="str">
        <f>IFERROR(CE108/BZ108-1,"")</f>
        <v/>
      </c>
      <c r="CF109" s="241" t="str">
        <f>IFERROR(CF108/CA108-1,"")</f>
        <v/>
      </c>
      <c r="CG109" s="241" t="str">
        <f>IFERROR(CG108/CB108-1,"")</f>
        <v/>
      </c>
      <c r="CH109" s="241" t="str">
        <f>IFERROR(CH108/CC108-1,"")</f>
        <v/>
      </c>
      <c r="CI109" s="751">
        <f>IFERROR(CI108/CD108-1,"")</f>
        <v>0.10474115065336576</v>
      </c>
      <c r="CJ109" s="751">
        <f>IFERROR(CJ108/CI108-1,"")</f>
        <v>8.1489463680362029E-2</v>
      </c>
      <c r="CK109" s="751">
        <f>IFERROR(CK108/CJ108-1,"")</f>
        <v>7.0247399375205077E-2</v>
      </c>
      <c r="CL109" s="751">
        <f>IFERROR(CL108/CK108-1,"")</f>
        <v>6.4825079344194458E-2</v>
      </c>
      <c r="CM109" s="751">
        <f>IFERROR(CM108/CL108-1,"")</f>
        <v>6.1889341130520581E-2</v>
      </c>
      <c r="CN109" s="291"/>
      <c r="CO109" s="683"/>
      <c r="CP109" s="291"/>
      <c r="CQ109" s="693"/>
    </row>
    <row r="110" spans="2:95" ht="16.5" customHeight="1" x14ac:dyDescent="0.25">
      <c r="B110" s="12" t="s">
        <v>682</v>
      </c>
      <c r="C110" s="291"/>
      <c r="D110" s="291"/>
      <c r="E110" s="291"/>
      <c r="F110" s="291"/>
      <c r="G110" s="864"/>
      <c r="H110" s="291"/>
      <c r="I110" s="291"/>
      <c r="J110" s="291"/>
      <c r="K110" s="291"/>
      <c r="L110" s="864"/>
      <c r="M110" s="291"/>
      <c r="N110" s="291"/>
      <c r="O110" s="291"/>
      <c r="P110" s="291"/>
      <c r="Q110" s="864"/>
      <c r="R110" s="291"/>
      <c r="S110" s="291"/>
      <c r="T110" s="291"/>
      <c r="U110" s="291"/>
      <c r="V110" s="864"/>
      <c r="W110" s="291"/>
      <c r="X110" s="291"/>
      <c r="Y110" s="291"/>
      <c r="Z110" s="291"/>
      <c r="AA110" s="864"/>
      <c r="AB110" s="291"/>
      <c r="AC110" s="291"/>
      <c r="AD110" s="291"/>
      <c r="AE110" s="291"/>
      <c r="AF110" s="864"/>
      <c r="AG110" s="291"/>
      <c r="AH110" s="291"/>
      <c r="AI110" s="291"/>
      <c r="AJ110" s="291"/>
      <c r="AK110" s="864"/>
      <c r="AL110" s="291"/>
      <c r="AM110" s="291"/>
      <c r="AN110" s="291"/>
      <c r="AO110" s="291"/>
      <c r="AP110" s="864"/>
      <c r="AQ110" s="291"/>
      <c r="AR110" s="291"/>
      <c r="AS110" s="291"/>
      <c r="AT110" s="291"/>
      <c r="AU110" s="864"/>
      <c r="AV110" s="291"/>
      <c r="AW110" s="291"/>
      <c r="AX110" s="291"/>
      <c r="AY110" s="291"/>
      <c r="AZ110" s="864"/>
      <c r="BA110" s="291"/>
      <c r="BB110" s="291"/>
      <c r="BC110" s="291"/>
      <c r="BD110" s="291"/>
      <c r="BE110" s="864"/>
      <c r="BF110" s="291"/>
      <c r="BG110" s="291"/>
      <c r="BH110" s="291"/>
      <c r="BI110" s="291"/>
      <c r="BJ110" s="864"/>
      <c r="BK110" s="773">
        <f t="shared" ref="BK110:CD110" si="45">IFERROR((BK98+BK108-BF108)/BK98,"")</f>
        <v>1</v>
      </c>
      <c r="BL110" s="773">
        <f t="shared" si="45"/>
        <v>1</v>
      </c>
      <c r="BM110" s="773">
        <f t="shared" si="45"/>
        <v>1</v>
      </c>
      <c r="BN110" s="773">
        <f t="shared" si="45"/>
        <v>1</v>
      </c>
      <c r="BO110" s="935">
        <f t="shared" si="45"/>
        <v>1</v>
      </c>
      <c r="BP110" s="773">
        <f t="shared" si="45"/>
        <v>1</v>
      </c>
      <c r="BQ110" s="773">
        <f t="shared" si="45"/>
        <v>1</v>
      </c>
      <c r="BR110" s="773">
        <f t="shared" si="45"/>
        <v>1</v>
      </c>
      <c r="BS110" s="773">
        <f t="shared" si="45"/>
        <v>1</v>
      </c>
      <c r="BT110" s="935">
        <f t="shared" si="45"/>
        <v>2.5529870122037637</v>
      </c>
      <c r="BU110" s="773">
        <f t="shared" si="45"/>
        <v>1</v>
      </c>
      <c r="BV110" s="773">
        <f t="shared" si="45"/>
        <v>1</v>
      </c>
      <c r="BW110" s="773">
        <f t="shared" si="45"/>
        <v>1</v>
      </c>
      <c r="BX110" s="773">
        <f t="shared" si="45"/>
        <v>1</v>
      </c>
      <c r="BY110" s="935">
        <f t="shared" si="45"/>
        <v>0.97506206774250725</v>
      </c>
      <c r="BZ110" s="773">
        <f t="shared" si="45"/>
        <v>1</v>
      </c>
      <c r="CA110" s="773">
        <f t="shared" si="45"/>
        <v>1</v>
      </c>
      <c r="CB110" s="773">
        <f t="shared" si="45"/>
        <v>1</v>
      </c>
      <c r="CC110" s="773">
        <f t="shared" si="45"/>
        <v>1</v>
      </c>
      <c r="CD110" s="935">
        <f t="shared" si="45"/>
        <v>1.2460742097650535</v>
      </c>
      <c r="CE110" s="773"/>
      <c r="CF110" s="773"/>
      <c r="CG110" s="773"/>
      <c r="CH110" s="773"/>
      <c r="CI110" s="764">
        <f>IFERROR((CI98+CI108-CD108)/CI98,"")</f>
        <v>1.1475957237666636</v>
      </c>
      <c r="CJ110" s="764">
        <f>IFERROR((CJ98+CJ108-CI108)/CJ98,"")</f>
        <v>1.1172994923614175</v>
      </c>
      <c r="CK110" s="764">
        <f>IFERROR((CK98+CK108-CJ108)/CK98,"")</f>
        <v>1.1021793264360769</v>
      </c>
      <c r="CL110" s="764">
        <f>IFERROR((CL98+CL108-CK108)/CL98,"")</f>
        <v>1.0947723722267657</v>
      </c>
      <c r="CM110" s="764">
        <f>IFERROR((CM98+CM108-CL108)/CM98,"")</f>
        <v>1.0907305541778933</v>
      </c>
      <c r="CN110" s="291"/>
      <c r="CO110" s="683"/>
      <c r="CP110" s="291"/>
      <c r="CQ110" s="693"/>
    </row>
    <row r="111" spans="2:95" ht="16.5" customHeight="1" x14ac:dyDescent="0.25">
      <c r="C111" s="291"/>
      <c r="D111" s="291"/>
      <c r="E111" s="291"/>
      <c r="F111" s="291"/>
      <c r="G111" s="864"/>
      <c r="H111" s="291"/>
      <c r="I111" s="291"/>
      <c r="J111" s="291"/>
      <c r="K111" s="291"/>
      <c r="L111" s="864"/>
      <c r="M111" s="291"/>
      <c r="N111" s="291"/>
      <c r="O111" s="291"/>
      <c r="P111" s="291"/>
      <c r="Q111" s="864"/>
      <c r="R111" s="291"/>
      <c r="S111" s="291"/>
      <c r="T111" s="291"/>
      <c r="U111" s="291"/>
      <c r="V111" s="864"/>
      <c r="W111" s="291"/>
      <c r="X111" s="291"/>
      <c r="Y111" s="291"/>
      <c r="Z111" s="291"/>
      <c r="AA111" s="864"/>
      <c r="AB111" s="291"/>
      <c r="AC111" s="291"/>
      <c r="AD111" s="291"/>
      <c r="AE111" s="291"/>
      <c r="AF111" s="864"/>
      <c r="AG111" s="291"/>
      <c r="AH111" s="291"/>
      <c r="AI111" s="291"/>
      <c r="AJ111" s="291"/>
      <c r="AK111" s="864"/>
      <c r="AL111" s="291"/>
      <c r="AM111" s="291"/>
      <c r="AN111" s="291"/>
      <c r="AO111" s="291"/>
      <c r="AP111" s="864"/>
      <c r="AQ111" s="291"/>
      <c r="AR111" s="291"/>
      <c r="AS111" s="291"/>
      <c r="AT111" s="291"/>
      <c r="AU111" s="864"/>
      <c r="AV111" s="291"/>
      <c r="AW111" s="291"/>
      <c r="AX111" s="291"/>
      <c r="AY111" s="291"/>
      <c r="AZ111" s="864"/>
      <c r="BA111" s="291"/>
      <c r="BB111" s="291"/>
      <c r="BC111" s="291"/>
      <c r="BD111" s="291"/>
      <c r="BE111" s="864"/>
      <c r="BF111" s="291"/>
      <c r="BG111" s="291"/>
      <c r="BH111" s="291"/>
      <c r="BI111" s="291"/>
      <c r="BJ111" s="864"/>
      <c r="BK111" s="291"/>
      <c r="BL111" s="291"/>
      <c r="BM111" s="291"/>
      <c r="BN111" s="291"/>
      <c r="BO111" s="864"/>
      <c r="BP111" s="291"/>
      <c r="BQ111" s="291"/>
      <c r="BR111" s="291"/>
      <c r="BS111" s="291"/>
      <c r="BT111" s="864"/>
      <c r="BU111" s="291"/>
      <c r="BV111" s="291"/>
      <c r="BW111" s="291"/>
      <c r="BX111" s="291"/>
      <c r="BY111" s="864"/>
      <c r="BZ111" s="291"/>
      <c r="CA111" s="291"/>
      <c r="CB111" s="291"/>
      <c r="CC111" s="291"/>
      <c r="CD111" s="864"/>
      <c r="CE111" s="291"/>
      <c r="CF111" s="291"/>
      <c r="CG111" s="291"/>
      <c r="CH111" s="291"/>
      <c r="CI111" s="749"/>
      <c r="CJ111" s="749"/>
      <c r="CK111" s="749"/>
      <c r="CL111" s="749"/>
      <c r="CM111" s="749"/>
      <c r="CN111" s="291"/>
      <c r="CO111" s="683"/>
      <c r="CP111" s="291"/>
      <c r="CQ111" s="693"/>
    </row>
    <row r="112" spans="2:95" ht="16.5" customHeight="1" x14ac:dyDescent="0.25">
      <c r="B112" s="221" t="s">
        <v>696</v>
      </c>
      <c r="C112" s="222"/>
      <c r="D112" s="222"/>
      <c r="E112" s="222"/>
      <c r="F112" s="222"/>
      <c r="G112" s="865"/>
      <c r="H112" s="222"/>
      <c r="I112" s="222"/>
      <c r="J112" s="222"/>
      <c r="K112" s="222"/>
      <c r="L112" s="865"/>
      <c r="M112" s="222"/>
      <c r="N112" s="222"/>
      <c r="O112" s="222"/>
      <c r="P112" s="222"/>
      <c r="Q112" s="865"/>
      <c r="R112" s="222"/>
      <c r="S112" s="222"/>
      <c r="T112" s="222"/>
      <c r="U112" s="222"/>
      <c r="V112" s="865"/>
      <c r="W112" s="222"/>
      <c r="X112" s="222"/>
      <c r="Y112" s="222"/>
      <c r="Z112" s="222"/>
      <c r="AA112" s="865"/>
      <c r="AB112" s="222"/>
      <c r="AC112" s="222"/>
      <c r="AD112" s="222"/>
      <c r="AE112" s="222"/>
      <c r="AF112" s="865"/>
      <c r="AG112" s="222"/>
      <c r="AH112" s="222"/>
      <c r="AI112" s="222"/>
      <c r="AJ112" s="222"/>
      <c r="AK112" s="865"/>
      <c r="AL112" s="222"/>
      <c r="AM112" s="222"/>
      <c r="AN112" s="222"/>
      <c r="AO112" s="222"/>
      <c r="AP112" s="865"/>
      <c r="AQ112" s="222"/>
      <c r="AR112" s="222"/>
      <c r="AS112" s="222"/>
      <c r="AT112" s="222"/>
      <c r="AU112" s="865"/>
      <c r="AV112" s="222"/>
      <c r="AW112" s="222"/>
      <c r="AX112" s="222"/>
      <c r="AY112" s="222"/>
      <c r="AZ112" s="865"/>
      <c r="BA112" s="222"/>
      <c r="BB112" s="222"/>
      <c r="BC112" s="222"/>
      <c r="BD112" s="222"/>
      <c r="BE112" s="865"/>
      <c r="BF112" s="222"/>
      <c r="BG112" s="222"/>
      <c r="BH112" s="222"/>
      <c r="BI112" s="222"/>
      <c r="BJ112" s="865"/>
      <c r="BK112" s="222"/>
      <c r="BL112" s="222"/>
      <c r="BM112" s="222"/>
      <c r="BN112" s="222"/>
      <c r="BO112" s="865"/>
      <c r="BP112" s="222"/>
      <c r="BQ112" s="222"/>
      <c r="BR112" s="222"/>
      <c r="BS112" s="222"/>
      <c r="BT112" s="865"/>
      <c r="BU112" s="222"/>
      <c r="BV112" s="222"/>
      <c r="BW112" s="222"/>
      <c r="BX112" s="222"/>
      <c r="BY112" s="865"/>
      <c r="BZ112" s="222"/>
      <c r="CA112" s="222"/>
      <c r="CB112" s="222"/>
      <c r="CC112" s="222"/>
      <c r="CD112" s="865"/>
      <c r="CE112" s="222"/>
      <c r="CF112" s="222"/>
      <c r="CG112" s="222"/>
      <c r="CH112" s="222"/>
      <c r="CI112" s="222"/>
      <c r="CJ112" s="222"/>
      <c r="CK112" s="222"/>
      <c r="CL112" s="222"/>
      <c r="CM112" s="222"/>
      <c r="CN112" s="222"/>
      <c r="CO112" s="687"/>
      <c r="CP112" s="222"/>
      <c r="CQ112" s="692" t="s">
        <v>830</v>
      </c>
    </row>
    <row r="113" spans="2:95" ht="16.5" customHeight="1" x14ac:dyDescent="0.25">
      <c r="C113" s="291"/>
      <c r="D113" s="291"/>
      <c r="E113" s="291"/>
      <c r="F113" s="291"/>
      <c r="G113" s="864"/>
      <c r="H113" s="291"/>
      <c r="I113" s="291"/>
      <c r="J113" s="291"/>
      <c r="K113" s="291"/>
      <c r="L113" s="864"/>
      <c r="M113" s="291"/>
      <c r="N113" s="291"/>
      <c r="O113" s="291"/>
      <c r="P113" s="291"/>
      <c r="Q113" s="864"/>
      <c r="R113" s="291"/>
      <c r="S113" s="291"/>
      <c r="T113" s="291"/>
      <c r="U113" s="291"/>
      <c r="V113" s="864"/>
      <c r="W113" s="291"/>
      <c r="X113" s="291"/>
      <c r="Y113" s="291"/>
      <c r="Z113" s="291"/>
      <c r="AA113" s="864"/>
      <c r="AB113" s="291"/>
      <c r="AC113" s="291"/>
      <c r="AD113" s="291"/>
      <c r="AE113" s="291"/>
      <c r="AF113" s="864"/>
      <c r="AG113" s="291"/>
      <c r="AH113" s="291"/>
      <c r="AI113" s="291"/>
      <c r="AJ113" s="291"/>
      <c r="AK113" s="864"/>
      <c r="AL113" s="291"/>
      <c r="AM113" s="291"/>
      <c r="AN113" s="291"/>
      <c r="AO113" s="291"/>
      <c r="AP113" s="864"/>
      <c r="AQ113" s="291"/>
      <c r="AR113" s="291"/>
      <c r="AS113" s="291"/>
      <c r="AT113" s="291"/>
      <c r="AU113" s="864"/>
      <c r="AV113" s="291"/>
      <c r="AW113" s="291"/>
      <c r="AX113" s="291"/>
      <c r="AY113" s="291"/>
      <c r="AZ113" s="864"/>
      <c r="BA113" s="291"/>
      <c r="BB113" s="291"/>
      <c r="BC113" s="291"/>
      <c r="BD113" s="291"/>
      <c r="BE113" s="864"/>
      <c r="BF113" s="291"/>
      <c r="BG113" s="291"/>
      <c r="BH113" s="291"/>
      <c r="BI113" s="291"/>
      <c r="BJ113" s="864"/>
      <c r="BK113" s="291"/>
      <c r="BL113" s="291"/>
      <c r="BM113" s="291"/>
      <c r="BN113" s="291"/>
      <c r="BO113" s="864"/>
      <c r="BP113" s="291"/>
      <c r="BQ113" s="291"/>
      <c r="BR113" s="291"/>
      <c r="BS113" s="291"/>
      <c r="BT113" s="864"/>
      <c r="BU113" s="291"/>
      <c r="BV113" s="291"/>
      <c r="BW113" s="291"/>
      <c r="BX113" s="291"/>
      <c r="BY113" s="864"/>
      <c r="BZ113" s="291"/>
      <c r="CA113" s="291"/>
      <c r="CB113" s="291"/>
      <c r="CC113" s="291"/>
      <c r="CD113" s="864"/>
      <c r="CE113" s="291"/>
      <c r="CF113" s="291"/>
      <c r="CG113" s="291"/>
      <c r="CH113" s="291"/>
      <c r="CI113" s="749"/>
      <c r="CJ113" s="749"/>
      <c r="CK113" s="749"/>
      <c r="CL113" s="749"/>
      <c r="CM113" s="749"/>
      <c r="CN113" s="291"/>
      <c r="CO113" s="683"/>
      <c r="CP113" s="291"/>
      <c r="CQ113" s="693"/>
    </row>
    <row r="114" spans="2:95" ht="16.5" customHeight="1" x14ac:dyDescent="0.25">
      <c r="B114" t="s">
        <v>697</v>
      </c>
      <c r="C114" s="743"/>
      <c r="D114" s="743"/>
      <c r="E114" s="743"/>
      <c r="F114" s="743"/>
      <c r="G114" s="868">
        <v>2114.252</v>
      </c>
      <c r="H114" s="743"/>
      <c r="I114" s="743"/>
      <c r="J114" s="743"/>
      <c r="K114" s="743"/>
      <c r="L114" s="868">
        <v>2330.6799999999998</v>
      </c>
      <c r="M114" s="743"/>
      <c r="N114" s="743"/>
      <c r="O114" s="743"/>
      <c r="P114" s="743"/>
      <c r="Q114" s="868">
        <v>2469.5360000000001</v>
      </c>
      <c r="R114" s="743"/>
      <c r="S114" s="743"/>
      <c r="T114" s="743"/>
      <c r="U114" s="743"/>
      <c r="V114" s="868">
        <v>2610.3110000000001</v>
      </c>
      <c r="W114" s="743"/>
      <c r="X114" s="743"/>
      <c r="Y114" s="743"/>
      <c r="Z114" s="743"/>
      <c r="AA114" s="868">
        <v>2648.3850000000002</v>
      </c>
      <c r="AB114" s="743"/>
      <c r="AC114" s="743"/>
      <c r="AD114" s="743"/>
      <c r="AE114" s="743"/>
      <c r="AF114" s="868">
        <v>2525.5320000000002</v>
      </c>
      <c r="AG114" s="743"/>
      <c r="AH114" s="743"/>
      <c r="AI114" s="743"/>
      <c r="AJ114" s="743"/>
      <c r="AK114" s="868">
        <v>2411.9369999999999</v>
      </c>
      <c r="AL114" s="743"/>
      <c r="AM114" s="291"/>
      <c r="AN114" s="291"/>
      <c r="AO114" s="291"/>
      <c r="AP114" s="868">
        <v>2497.5239999999999</v>
      </c>
      <c r="AQ114" s="291"/>
      <c r="AR114" s="291"/>
      <c r="AS114" s="291"/>
      <c r="AT114" s="291"/>
      <c r="AU114" s="868">
        <v>2709.4679999999998</v>
      </c>
      <c r="AV114" s="291"/>
      <c r="AW114" s="291"/>
      <c r="AX114" s="291"/>
      <c r="AY114" s="291"/>
      <c r="AZ114" s="868">
        <v>2904.663</v>
      </c>
      <c r="BA114" s="291"/>
      <c r="BB114" s="291"/>
      <c r="BC114" s="291"/>
      <c r="BD114" s="291"/>
      <c r="BE114" s="868">
        <v>2884.5540000000001</v>
      </c>
      <c r="BF114" s="743">
        <v>683.95399999999995</v>
      </c>
      <c r="BG114" s="743">
        <v>736.40200000000004</v>
      </c>
      <c r="BH114" s="743">
        <v>707.35199999999998</v>
      </c>
      <c r="BI114" s="743">
        <v>724.28499999999997</v>
      </c>
      <c r="BJ114" s="864">
        <f>SUM(BF114:BI114)</f>
        <v>2851.9929999999999</v>
      </c>
      <c r="BK114" s="743">
        <v>724.08600000000001</v>
      </c>
      <c r="BL114" s="743">
        <v>770.78700000000003</v>
      </c>
      <c r="BM114" s="743">
        <v>772.91099999999994</v>
      </c>
      <c r="BN114" s="743">
        <v>767.99900000000002</v>
      </c>
      <c r="BO114" s="864">
        <f>SUM(BK114:BN114)</f>
        <v>3035.7830000000004</v>
      </c>
      <c r="BP114" s="743">
        <v>760.10299999999995</v>
      </c>
      <c r="BQ114" s="743">
        <v>836.79200000000003</v>
      </c>
      <c r="BR114" s="743">
        <v>850.17600000000004</v>
      </c>
      <c r="BS114" s="743">
        <v>869.11900000000003</v>
      </c>
      <c r="BT114" s="864">
        <f>SUM(BP114:BS114)</f>
        <v>3316.19</v>
      </c>
      <c r="BU114" s="743">
        <v>856.85</v>
      </c>
      <c r="BV114" s="743">
        <v>930.303</v>
      </c>
      <c r="BW114" s="743">
        <v>904.73500000000001</v>
      </c>
      <c r="BX114" s="743">
        <v>917.072</v>
      </c>
      <c r="BY114" s="864">
        <f>SUM(BU114:BX114)</f>
        <v>3608.96</v>
      </c>
      <c r="BZ114" s="743">
        <v>910.31500000000005</v>
      </c>
      <c r="CA114" s="743">
        <v>934.84</v>
      </c>
      <c r="CB114" s="743">
        <v>971.36300000000006</v>
      </c>
      <c r="CC114" s="743">
        <v>1044.106</v>
      </c>
      <c r="CD114" s="864">
        <f>SUM(BZ114:CC114)</f>
        <v>3860.6239999999998</v>
      </c>
      <c r="CE114" s="743">
        <v>1100.346</v>
      </c>
      <c r="CF114" s="743">
        <v>1051.9469999999999</v>
      </c>
      <c r="CG114" s="291">
        <f t="shared" ref="CG114:CM114" si="46">CG98</f>
        <v>1076.52673</v>
      </c>
      <c r="CH114" s="291">
        <f t="shared" si="46"/>
        <v>1036.1704699999998</v>
      </c>
      <c r="CI114" s="749">
        <f t="shared" si="46"/>
        <v>4264.9902000000002</v>
      </c>
      <c r="CJ114" s="749">
        <f t="shared" si="46"/>
        <v>4612.541964</v>
      </c>
      <c r="CK114" s="749">
        <f t="shared" si="46"/>
        <v>4936.5610414800003</v>
      </c>
      <c r="CL114" s="749">
        <f t="shared" si="46"/>
        <v>5256.5740026814001</v>
      </c>
      <c r="CM114" s="749">
        <f t="shared" si="46"/>
        <v>5581.8999043111753</v>
      </c>
      <c r="CN114" s="291"/>
      <c r="CO114" s="683">
        <f>(CM114/CD114)^(1/5)-1</f>
        <v>7.6526952782249413E-2</v>
      </c>
      <c r="CP114" s="291"/>
      <c r="CQ114" s="694" t="s">
        <v>831</v>
      </c>
    </row>
    <row r="115" spans="2:95" ht="16.5" customHeight="1" x14ac:dyDescent="0.25">
      <c r="B115" t="s">
        <v>698</v>
      </c>
      <c r="C115" s="825"/>
      <c r="D115" s="825"/>
      <c r="E115" s="825"/>
      <c r="F115" s="825"/>
      <c r="G115" s="872">
        <v>1501.6410000000001</v>
      </c>
      <c r="H115" s="825"/>
      <c r="I115" s="825"/>
      <c r="J115" s="825"/>
      <c r="K115" s="825"/>
      <c r="L115" s="872">
        <v>1651.203</v>
      </c>
      <c r="M115" s="825"/>
      <c r="N115" s="825"/>
      <c r="O115" s="825"/>
      <c r="P115" s="825"/>
      <c r="Q115" s="872">
        <v>1724.232</v>
      </c>
      <c r="R115" s="825"/>
      <c r="S115" s="825"/>
      <c r="T115" s="825"/>
      <c r="U115" s="825"/>
      <c r="V115" s="872">
        <v>1826.5609999999999</v>
      </c>
      <c r="W115" s="825"/>
      <c r="X115" s="825"/>
      <c r="Y115" s="825"/>
      <c r="Z115" s="825"/>
      <c r="AA115" s="872">
        <v>1850.809</v>
      </c>
      <c r="AB115" s="825"/>
      <c r="AC115" s="825"/>
      <c r="AD115" s="825"/>
      <c r="AE115" s="825"/>
      <c r="AF115" s="872">
        <v>1788.828</v>
      </c>
      <c r="AG115" s="825"/>
      <c r="AH115" s="825"/>
      <c r="AI115" s="825"/>
      <c r="AJ115" s="825"/>
      <c r="AK115" s="872">
        <v>1700.354</v>
      </c>
      <c r="AL115" s="825"/>
      <c r="AM115" s="826"/>
      <c r="AN115" s="826"/>
      <c r="AO115" s="826"/>
      <c r="AP115" s="872">
        <v>1766.002</v>
      </c>
      <c r="AQ115" s="826"/>
      <c r="AR115" s="826"/>
      <c r="AS115" s="826"/>
      <c r="AT115" s="826"/>
      <c r="AU115" s="872">
        <v>1923.1790000000001</v>
      </c>
      <c r="AV115" s="826"/>
      <c r="AW115" s="826"/>
      <c r="AX115" s="826"/>
      <c r="AY115" s="826"/>
      <c r="AZ115" s="872">
        <v>2088.8310000000001</v>
      </c>
      <c r="BA115" s="826"/>
      <c r="BB115" s="826"/>
      <c r="BC115" s="826"/>
      <c r="BD115" s="826"/>
      <c r="BE115" s="872">
        <v>2140.8580000000002</v>
      </c>
      <c r="BF115" s="825">
        <v>494.31099999999998</v>
      </c>
      <c r="BG115" s="825">
        <v>536.49300000000005</v>
      </c>
      <c r="BH115" s="825">
        <v>516.75</v>
      </c>
      <c r="BI115" s="825">
        <v>528.71600000000001</v>
      </c>
      <c r="BJ115" s="878">
        <f>SUM(BF115:BI115)</f>
        <v>2076.27</v>
      </c>
      <c r="BK115" s="825">
        <v>529.70600000000002</v>
      </c>
      <c r="BL115" s="825">
        <v>556.07000000000005</v>
      </c>
      <c r="BM115" s="825">
        <v>560.96600000000001</v>
      </c>
      <c r="BN115" s="825">
        <v>564.64200000000005</v>
      </c>
      <c r="BO115" s="878">
        <f>SUM(BK115:BN115)</f>
        <v>2211.384</v>
      </c>
      <c r="BP115" s="825">
        <v>556.41700000000003</v>
      </c>
      <c r="BQ115" s="825">
        <v>615.47699999999998</v>
      </c>
      <c r="BR115" s="825">
        <v>627.54300000000001</v>
      </c>
      <c r="BS115" s="825">
        <v>614.65300000000002</v>
      </c>
      <c r="BT115" s="878">
        <f>SUM(BP115:BS115)</f>
        <v>2414.09</v>
      </c>
      <c r="BU115" s="825">
        <v>623.65099999999995</v>
      </c>
      <c r="BV115" s="825">
        <v>663.35</v>
      </c>
      <c r="BW115" s="825">
        <v>651.67200000000003</v>
      </c>
      <c r="BX115" s="825">
        <v>650.85199999999998</v>
      </c>
      <c r="BY115" s="878">
        <f>SUM(BU115:BX115)</f>
        <v>2589.5250000000001</v>
      </c>
      <c r="BZ115" s="825">
        <v>668.04</v>
      </c>
      <c r="CA115" s="825">
        <v>676.64800000000002</v>
      </c>
      <c r="CB115" s="825">
        <v>699.68499999999995</v>
      </c>
      <c r="CC115" s="825">
        <v>750.42899999999997</v>
      </c>
      <c r="CD115" s="878">
        <f>SUM(BZ115:CC115)</f>
        <v>2794.8020000000001</v>
      </c>
      <c r="CE115" s="743">
        <v>806.10599999999999</v>
      </c>
      <c r="CF115" s="743">
        <v>764.39200000000005</v>
      </c>
      <c r="CG115" s="291">
        <f>CG114-CG116</f>
        <v>764.47661789860513</v>
      </c>
      <c r="CH115" s="291">
        <f>CH114-CH116</f>
        <v>735.81832610139418</v>
      </c>
      <c r="CI115" s="851">
        <f>CI114*(1-CI165)</f>
        <v>3070.7929439999998</v>
      </c>
      <c r="CJ115" s="851">
        <f>CJ114*(1-CJ165)</f>
        <v>3297.9675042600002</v>
      </c>
      <c r="CK115" s="851">
        <f>CK114*(1-CK165)</f>
        <v>3504.9583394507999</v>
      </c>
      <c r="CL115" s="851">
        <f>CL114*(1-CL165)</f>
        <v>3705.8846718903874</v>
      </c>
      <c r="CM115" s="851">
        <f>CM114*(1-CM165)</f>
        <v>3907.3299330178224</v>
      </c>
      <c r="CN115" s="291"/>
      <c r="CO115" s="683"/>
      <c r="CP115" s="291"/>
      <c r="CQ115" s="694" t="s">
        <v>832</v>
      </c>
    </row>
    <row r="116" spans="2:95" ht="16.5" customHeight="1" x14ac:dyDescent="0.25">
      <c r="B116" s="8" t="s">
        <v>6</v>
      </c>
      <c r="C116" s="678"/>
      <c r="D116" s="678"/>
      <c r="E116" s="678"/>
      <c r="F116" s="678"/>
      <c r="G116" s="870">
        <f>G114-G115-IFERROR(G120,0)</f>
        <v>612.61099999999988</v>
      </c>
      <c r="H116" s="678"/>
      <c r="I116" s="678"/>
      <c r="J116" s="678"/>
      <c r="K116" s="678"/>
      <c r="L116" s="870">
        <f>L114-L115-IFERROR(L120,0)</f>
        <v>679.47699999999986</v>
      </c>
      <c r="M116" s="678"/>
      <c r="N116" s="678"/>
      <c r="O116" s="678"/>
      <c r="P116" s="678"/>
      <c r="Q116" s="870">
        <f>Q114-Q115-IFERROR(Q120,0)</f>
        <v>745.30400000000009</v>
      </c>
      <c r="R116" s="678"/>
      <c r="S116" s="678"/>
      <c r="T116" s="678"/>
      <c r="U116" s="678"/>
      <c r="V116" s="870">
        <f>V114-V115-IFERROR(V120,0)</f>
        <v>783.75000000000023</v>
      </c>
      <c r="W116" s="678"/>
      <c r="X116" s="678"/>
      <c r="Y116" s="678"/>
      <c r="Z116" s="678"/>
      <c r="AA116" s="870">
        <f>AA114-AA115-IFERROR(AA120,0)</f>
        <v>797.57600000000025</v>
      </c>
      <c r="AB116" s="678"/>
      <c r="AC116" s="678"/>
      <c r="AD116" s="678"/>
      <c r="AE116" s="678"/>
      <c r="AF116" s="870">
        <f>AF114-AF115-IFERROR(AF120,0)</f>
        <v>736.70400000000018</v>
      </c>
      <c r="AG116" s="678"/>
      <c r="AH116" s="678"/>
      <c r="AI116" s="678"/>
      <c r="AJ116" s="678"/>
      <c r="AK116" s="870">
        <f>AK114-AK115-IFERROR(AK120,0)</f>
        <v>711.58299999999986</v>
      </c>
      <c r="AL116" s="678"/>
      <c r="AM116" s="678"/>
      <c r="AN116" s="678"/>
      <c r="AO116" s="678"/>
      <c r="AP116" s="870">
        <f>AP114-AP115-IFERROR(AP120,0)</f>
        <v>731.52199999999993</v>
      </c>
      <c r="AQ116" s="678"/>
      <c r="AR116" s="678"/>
      <c r="AS116" s="678"/>
      <c r="AT116" s="678"/>
      <c r="AU116" s="870">
        <f>AU114-AU115-IFERROR(AU120,0)</f>
        <v>774.09099999999978</v>
      </c>
      <c r="AV116" s="678"/>
      <c r="AW116" s="678"/>
      <c r="AX116" s="678"/>
      <c r="AY116" s="678"/>
      <c r="AZ116" s="870">
        <f>AZ114-AZ115-IFERROR(AZ120,0)</f>
        <v>815.83199999999988</v>
      </c>
      <c r="BA116" s="678"/>
      <c r="BB116" s="678"/>
      <c r="BC116" s="678"/>
      <c r="BD116" s="678"/>
      <c r="BE116" s="870">
        <f t="shared" ref="BE116:CD116" si="47">BE114-BE115-IFERROR(BE120,0)</f>
        <v>743.69599999999991</v>
      </c>
      <c r="BF116" s="678">
        <f t="shared" si="47"/>
        <v>189.64299999999997</v>
      </c>
      <c r="BG116" s="678">
        <f t="shared" si="47"/>
        <v>199.90899999999999</v>
      </c>
      <c r="BH116" s="678">
        <f t="shared" si="47"/>
        <v>190.60199999999998</v>
      </c>
      <c r="BI116" s="678">
        <f t="shared" si="47"/>
        <v>195.56899999999996</v>
      </c>
      <c r="BJ116" s="870">
        <f t="shared" si="47"/>
        <v>775.72299999999996</v>
      </c>
      <c r="BK116" s="678">
        <f t="shared" si="47"/>
        <v>192.88</v>
      </c>
      <c r="BL116" s="678">
        <f t="shared" si="47"/>
        <v>213.01199999999997</v>
      </c>
      <c r="BM116" s="678">
        <f t="shared" si="47"/>
        <v>211.74299999999994</v>
      </c>
      <c r="BN116" s="678">
        <f t="shared" si="47"/>
        <v>203.16599999999997</v>
      </c>
      <c r="BO116" s="870">
        <f t="shared" si="47"/>
        <v>820.80100000000039</v>
      </c>
      <c r="BP116" s="678">
        <f t="shared" si="47"/>
        <v>203.68599999999992</v>
      </c>
      <c r="BQ116" s="678">
        <f t="shared" si="47"/>
        <v>221.31500000000005</v>
      </c>
      <c r="BR116" s="678">
        <f t="shared" si="47"/>
        <v>222.63300000000004</v>
      </c>
      <c r="BS116" s="678">
        <f t="shared" si="47"/>
        <v>250.12100000000001</v>
      </c>
      <c r="BT116" s="870">
        <f t="shared" si="47"/>
        <v>897.75499999999988</v>
      </c>
      <c r="BU116" s="678">
        <f t="shared" si="47"/>
        <v>233.19900000000007</v>
      </c>
      <c r="BV116" s="678">
        <f t="shared" si="47"/>
        <v>266.77799999999996</v>
      </c>
      <c r="BW116" s="678">
        <f t="shared" si="47"/>
        <v>251.46299999999999</v>
      </c>
      <c r="BX116" s="678">
        <f t="shared" si="47"/>
        <v>260.96800000000002</v>
      </c>
      <c r="BY116" s="870">
        <f t="shared" si="47"/>
        <v>1012.4079999999999</v>
      </c>
      <c r="BZ116" s="678">
        <f t="shared" si="47"/>
        <v>242.27500000000009</v>
      </c>
      <c r="CA116" s="678">
        <f t="shared" si="47"/>
        <v>256.04300000000001</v>
      </c>
      <c r="CB116" s="678">
        <f t="shared" si="47"/>
        <v>265.83900000000011</v>
      </c>
      <c r="CC116" s="678">
        <f t="shared" si="47"/>
        <v>293.19100000000003</v>
      </c>
      <c r="CD116" s="870">
        <f t="shared" si="47"/>
        <v>1057.3479999999997</v>
      </c>
      <c r="CE116" s="678">
        <f>CE114-CE115-IFERROR(CE120,0)</f>
        <v>294.24</v>
      </c>
      <c r="CF116" s="678">
        <f>CF114-CF115-IFERROR(CF120,0)</f>
        <v>287.55499999999984</v>
      </c>
      <c r="CG116" s="678">
        <f>CG114*((CI116-CE116-CF116)/(CI114-CE114-CF114))</f>
        <v>312.05011210139497</v>
      </c>
      <c r="CH116" s="678">
        <f>CI116-CE116-CF116-CG116</f>
        <v>300.35214389860556</v>
      </c>
      <c r="CI116" s="752">
        <f>CI114-CI115</f>
        <v>1194.1972560000004</v>
      </c>
      <c r="CJ116" s="752">
        <f>CJ114-CJ115</f>
        <v>1314.5744597399998</v>
      </c>
      <c r="CK116" s="752">
        <f>CK114-CK115</f>
        <v>1431.6027020292004</v>
      </c>
      <c r="CL116" s="752">
        <f>CL114-CL115</f>
        <v>1550.6893307910127</v>
      </c>
      <c r="CM116" s="752">
        <f>CM114-CM115</f>
        <v>1674.5699712933529</v>
      </c>
      <c r="CN116" s="678"/>
      <c r="CO116" s="685"/>
      <c r="CP116" s="678"/>
      <c r="CQ116" s="694" t="s">
        <v>833</v>
      </c>
    </row>
    <row r="117" spans="2:95" ht="16.5" customHeight="1" x14ac:dyDescent="0.25">
      <c r="B117" t="s">
        <v>699</v>
      </c>
      <c r="C117" s="743"/>
      <c r="D117" s="743"/>
      <c r="E117" s="743"/>
      <c r="F117" s="743"/>
      <c r="G117" s="868">
        <v>102.6</v>
      </c>
      <c r="H117" s="743"/>
      <c r="I117" s="743"/>
      <c r="J117" s="743"/>
      <c r="K117" s="743"/>
      <c r="L117" s="868">
        <v>106.38500000000001</v>
      </c>
      <c r="M117" s="743"/>
      <c r="N117" s="743"/>
      <c r="O117" s="743"/>
      <c r="P117" s="743"/>
      <c r="Q117" s="868">
        <v>116.40300000000001</v>
      </c>
      <c r="R117" s="743"/>
      <c r="S117" s="743"/>
      <c r="T117" s="743"/>
      <c r="U117" s="743"/>
      <c r="V117" s="868">
        <v>134.65199999999999</v>
      </c>
      <c r="W117" s="743"/>
      <c r="X117" s="743"/>
      <c r="Y117" s="743"/>
      <c r="Z117" s="743"/>
      <c r="AA117" s="868">
        <v>139.46199999999999</v>
      </c>
      <c r="AB117" s="743"/>
      <c r="AC117" s="743"/>
      <c r="AD117" s="743"/>
      <c r="AE117" s="743"/>
      <c r="AF117" s="868">
        <v>132.27099999999999</v>
      </c>
      <c r="AG117" s="743"/>
      <c r="AH117" s="743"/>
      <c r="AI117" s="743"/>
      <c r="AJ117" s="743"/>
      <c r="AK117" s="868">
        <v>147.33600000000001</v>
      </c>
      <c r="AL117" s="743"/>
      <c r="AM117" s="291"/>
      <c r="AN117" s="291"/>
      <c r="AO117" s="291"/>
      <c r="AP117" s="868">
        <v>144.15700000000001</v>
      </c>
      <c r="AQ117" s="291"/>
      <c r="AR117" s="291"/>
      <c r="AS117" s="291"/>
      <c r="AT117" s="291"/>
      <c r="AU117" s="868">
        <v>129.83799999999999</v>
      </c>
      <c r="AV117" s="291"/>
      <c r="AW117" s="291"/>
      <c r="AX117" s="291"/>
      <c r="AY117" s="291"/>
      <c r="AZ117" s="868">
        <v>126.453</v>
      </c>
      <c r="BA117" s="291"/>
      <c r="BB117" s="291"/>
      <c r="BC117" s="291"/>
      <c r="BD117" s="291"/>
      <c r="BE117" s="868">
        <v>110.86499999999999</v>
      </c>
      <c r="BF117" s="743">
        <v>28.007999999999999</v>
      </c>
      <c r="BG117" s="743">
        <v>30.452999999999999</v>
      </c>
      <c r="BH117" s="743">
        <v>33.094999999999999</v>
      </c>
      <c r="BI117" s="743">
        <v>33.972000000000001</v>
      </c>
      <c r="BJ117" s="864">
        <f t="shared" ref="BJ117:BJ125" si="48">SUM(BF117:BI117)</f>
        <v>125.52799999999999</v>
      </c>
      <c r="BK117" s="743">
        <v>27.707999999999998</v>
      </c>
      <c r="BL117" s="743">
        <v>30.72</v>
      </c>
      <c r="BM117" s="743">
        <v>25.89</v>
      </c>
      <c r="BN117" s="743">
        <v>25.209</v>
      </c>
      <c r="BO117" s="864">
        <f t="shared" ref="BO117:BO125" si="49">SUM(BK117:BN117)</f>
        <v>109.527</v>
      </c>
      <c r="BP117" s="743">
        <v>23.861999999999998</v>
      </c>
      <c r="BQ117" s="743">
        <v>26.742999999999999</v>
      </c>
      <c r="BR117" s="743">
        <v>26.501999999999999</v>
      </c>
      <c r="BS117" s="743">
        <v>29.443999999999999</v>
      </c>
      <c r="BT117" s="864">
        <f t="shared" ref="BT117:BT125" si="50">SUM(BP117:BS117)</f>
        <v>106.551</v>
      </c>
      <c r="BU117" s="743">
        <v>30.579000000000001</v>
      </c>
      <c r="BV117" s="743">
        <v>28.382000000000001</v>
      </c>
      <c r="BW117" s="743">
        <v>27.791</v>
      </c>
      <c r="BX117" s="743">
        <v>26.021000000000001</v>
      </c>
      <c r="BY117" s="864">
        <f t="shared" ref="BY117:BY125" si="51">SUM(BU117:BX117)</f>
        <v>112.773</v>
      </c>
      <c r="BZ117" s="743">
        <v>23.605</v>
      </c>
      <c r="CA117" s="743">
        <v>24.481000000000002</v>
      </c>
      <c r="CB117" s="743">
        <v>21.905999999999999</v>
      </c>
      <c r="CC117" s="743">
        <v>23.678999999999998</v>
      </c>
      <c r="CD117" s="864">
        <f t="shared" ref="CD117:CD125" si="52">SUM(BZ117:CC117)</f>
        <v>93.670999999999992</v>
      </c>
      <c r="CE117" s="743">
        <v>24.634</v>
      </c>
      <c r="CF117" s="743">
        <v>26.661999999999999</v>
      </c>
      <c r="CG117" s="291">
        <f>(CI117-CE117-CF117)/2</f>
        <v>27.664377500000004</v>
      </c>
      <c r="CH117" s="291">
        <f>CI117-CE117-CF117-CG117</f>
        <v>27.664377500000004</v>
      </c>
      <c r="CI117" s="749">
        <f>CI114*CI166</f>
        <v>106.62475500000001</v>
      </c>
      <c r="CJ117" s="749">
        <f>CJ114*CJ166</f>
        <v>126.84490401000001</v>
      </c>
      <c r="CK117" s="749">
        <f>CK114*CK166</f>
        <v>148.09683124439999</v>
      </c>
      <c r="CL117" s="749">
        <f>CL114*CL166</f>
        <v>157.69722008044201</v>
      </c>
      <c r="CM117" s="749">
        <f>CM114*CM166</f>
        <v>167.45699712933526</v>
      </c>
      <c r="CN117" s="291"/>
      <c r="CO117" s="683"/>
      <c r="CP117" s="291"/>
      <c r="CQ117" s="694" t="s">
        <v>834</v>
      </c>
    </row>
    <row r="118" spans="2:95" ht="16.5" customHeight="1" x14ac:dyDescent="0.25">
      <c r="B118" t="s">
        <v>700</v>
      </c>
      <c r="C118" s="743"/>
      <c r="D118" s="743"/>
      <c r="E118" s="743"/>
      <c r="F118" s="743"/>
      <c r="G118" s="868">
        <v>313.40800000000002</v>
      </c>
      <c r="H118" s="743"/>
      <c r="I118" s="743"/>
      <c r="J118" s="743"/>
      <c r="K118" s="743"/>
      <c r="L118" s="868">
        <v>353.964</v>
      </c>
      <c r="M118" s="743"/>
      <c r="N118" s="743"/>
      <c r="O118" s="743"/>
      <c r="P118" s="743"/>
      <c r="Q118" s="868">
        <v>385.05099999999999</v>
      </c>
      <c r="R118" s="743"/>
      <c r="S118" s="743"/>
      <c r="T118" s="743"/>
      <c r="U118" s="743"/>
      <c r="V118" s="868">
        <v>396.63600000000002</v>
      </c>
      <c r="W118" s="743"/>
      <c r="X118" s="743"/>
      <c r="Y118" s="743"/>
      <c r="Z118" s="743"/>
      <c r="AA118" s="868">
        <v>403.48700000000002</v>
      </c>
      <c r="AB118" s="743"/>
      <c r="AC118" s="743"/>
      <c r="AD118" s="743"/>
      <c r="AE118" s="743"/>
      <c r="AF118" s="868">
        <v>371.49799999999999</v>
      </c>
      <c r="AG118" s="743"/>
      <c r="AH118" s="743"/>
      <c r="AI118" s="743"/>
      <c r="AJ118" s="743"/>
      <c r="AK118" s="868">
        <v>339.97800000000001</v>
      </c>
      <c r="AL118" s="743"/>
      <c r="AM118" s="291"/>
      <c r="AN118" s="291"/>
      <c r="AO118" s="291"/>
      <c r="AP118" s="868">
        <v>356.08499999999998</v>
      </c>
      <c r="AQ118" s="291"/>
      <c r="AR118" s="291"/>
      <c r="AS118" s="291"/>
      <c r="AT118" s="291"/>
      <c r="AU118" s="868">
        <v>388.43400000000003</v>
      </c>
      <c r="AV118" s="291"/>
      <c r="AW118" s="291"/>
      <c r="AX118" s="291"/>
      <c r="AY118" s="291"/>
      <c r="AZ118" s="868">
        <v>404.65300000000002</v>
      </c>
      <c r="BA118" s="291"/>
      <c r="BB118" s="291"/>
      <c r="BC118" s="291"/>
      <c r="BD118" s="291"/>
      <c r="BE118" s="868">
        <v>397.947</v>
      </c>
      <c r="BF118" s="743">
        <v>99.602999999999994</v>
      </c>
      <c r="BG118" s="743">
        <v>105.131</v>
      </c>
      <c r="BH118" s="743">
        <v>100.59699999999999</v>
      </c>
      <c r="BI118" s="743">
        <v>106.697</v>
      </c>
      <c r="BJ118" s="864">
        <f t="shared" si="48"/>
        <v>412.02799999999996</v>
      </c>
      <c r="BK118" s="743">
        <v>111.797</v>
      </c>
      <c r="BL118" s="743">
        <v>111.01900000000001</v>
      </c>
      <c r="BM118" s="743">
        <v>113.886</v>
      </c>
      <c r="BN118" s="743">
        <v>111.82899999999999</v>
      </c>
      <c r="BO118" s="864">
        <f t="shared" si="49"/>
        <v>448.53100000000001</v>
      </c>
      <c r="BP118" s="743">
        <v>113.16500000000001</v>
      </c>
      <c r="BQ118" s="743">
        <v>116.69499999999999</v>
      </c>
      <c r="BR118" s="743">
        <v>121.935</v>
      </c>
      <c r="BS118" s="743">
        <v>123.142</v>
      </c>
      <c r="BT118" s="864">
        <f t="shared" si="50"/>
        <v>474.93700000000001</v>
      </c>
      <c r="BU118" s="743">
        <v>118.72499999999999</v>
      </c>
      <c r="BV118" s="743">
        <v>124.961</v>
      </c>
      <c r="BW118" s="743">
        <v>126.361</v>
      </c>
      <c r="BX118" s="743">
        <v>131.20599999999999</v>
      </c>
      <c r="BY118" s="864">
        <f t="shared" si="51"/>
        <v>501.25299999999993</v>
      </c>
      <c r="BZ118" s="743">
        <v>127.78100000000001</v>
      </c>
      <c r="CA118" s="743">
        <v>133.102</v>
      </c>
      <c r="CB118" s="743">
        <v>138.80099999999999</v>
      </c>
      <c r="CC118" s="743">
        <v>154.28399999999999</v>
      </c>
      <c r="CD118" s="864">
        <f t="shared" si="52"/>
        <v>553.96800000000007</v>
      </c>
      <c r="CE118" s="743">
        <v>148.959</v>
      </c>
      <c r="CF118" s="743">
        <v>136.32400000000001</v>
      </c>
      <c r="CG118" s="291">
        <f>(CI118-CE118-CF118)/2</f>
        <v>155.90781400000003</v>
      </c>
      <c r="CH118" s="291">
        <f>CI118-CE118-CF118-CG118</f>
        <v>155.90781400000003</v>
      </c>
      <c r="CI118" s="749">
        <f>CI114*CI167</f>
        <v>597.09862800000008</v>
      </c>
      <c r="CJ118" s="749">
        <f>CJ114*CJ167</f>
        <v>634.22452005000002</v>
      </c>
      <c r="CK118" s="749">
        <f>CK114*CK167</f>
        <v>666.43574059980006</v>
      </c>
      <c r="CL118" s="749">
        <f>CL114*CL167</f>
        <v>696.49605535528553</v>
      </c>
      <c r="CM118" s="749">
        <f>CM114*CM167</f>
        <v>725.64698756045277</v>
      </c>
      <c r="CN118" s="291"/>
      <c r="CO118" s="683"/>
      <c r="CP118" s="291"/>
      <c r="CQ118" s="694" t="s">
        <v>835</v>
      </c>
    </row>
    <row r="119" spans="2:95" ht="16.5" customHeight="1" x14ac:dyDescent="0.25">
      <c r="B119" t="s">
        <v>701</v>
      </c>
      <c r="C119" s="743"/>
      <c r="D119" s="743"/>
      <c r="E119" s="743"/>
      <c r="F119" s="743"/>
      <c r="G119" s="868">
        <v>5.125</v>
      </c>
      <c r="H119" s="743"/>
      <c r="I119" s="743"/>
      <c r="J119" s="743"/>
      <c r="K119" s="743"/>
      <c r="L119" s="868">
        <v>0.751</v>
      </c>
      <c r="M119" s="743"/>
      <c r="N119" s="743"/>
      <c r="O119" s="743"/>
      <c r="P119" s="743"/>
      <c r="Q119" s="868">
        <v>0</v>
      </c>
      <c r="R119" s="743"/>
      <c r="S119" s="743"/>
      <c r="T119" s="743"/>
      <c r="U119" s="743"/>
      <c r="V119" s="868">
        <v>14.074999999999999</v>
      </c>
      <c r="W119" s="743"/>
      <c r="X119" s="743"/>
      <c r="Y119" s="743"/>
      <c r="Z119" s="743"/>
      <c r="AA119" s="868">
        <v>12.913</v>
      </c>
      <c r="AB119" s="743"/>
      <c r="AC119" s="743"/>
      <c r="AD119" s="743"/>
      <c r="AE119" s="743"/>
      <c r="AF119" s="868">
        <v>15.449</v>
      </c>
      <c r="AG119" s="743"/>
      <c r="AH119" s="743"/>
      <c r="AI119" s="743"/>
      <c r="AJ119" s="743"/>
      <c r="AK119" s="868">
        <v>15.393000000000001</v>
      </c>
      <c r="AL119" s="743"/>
      <c r="AM119" s="291"/>
      <c r="AN119" s="291"/>
      <c r="AO119" s="291"/>
      <c r="AP119" s="868">
        <v>0</v>
      </c>
      <c r="AQ119" s="291"/>
      <c r="AR119" s="291"/>
      <c r="AS119" s="291"/>
      <c r="AT119" s="291"/>
      <c r="AU119" s="868">
        <v>28.794</v>
      </c>
      <c r="AV119" s="291"/>
      <c r="AW119" s="291"/>
      <c r="AX119" s="291"/>
      <c r="AY119" s="291"/>
      <c r="AZ119" s="868">
        <v>0</v>
      </c>
      <c r="BA119" s="291"/>
      <c r="BB119" s="291"/>
      <c r="BC119" s="291"/>
      <c r="BD119" s="291"/>
      <c r="BE119" s="868">
        <v>10.7</v>
      </c>
      <c r="BF119" s="291"/>
      <c r="BG119" s="291"/>
      <c r="BH119" s="743">
        <v>0</v>
      </c>
      <c r="BI119" s="743">
        <v>0</v>
      </c>
      <c r="BJ119" s="864">
        <f t="shared" si="48"/>
        <v>0</v>
      </c>
      <c r="BK119" s="291"/>
      <c r="BL119" s="743">
        <v>7.7930000000000001</v>
      </c>
      <c r="BM119" s="743">
        <v>0.57599999999999996</v>
      </c>
      <c r="BN119" s="743">
        <v>1.1399999999999999</v>
      </c>
      <c r="BO119" s="864">
        <f t="shared" si="49"/>
        <v>9.5090000000000003</v>
      </c>
      <c r="BP119" s="743">
        <v>1.0780000000000001</v>
      </c>
      <c r="BQ119" s="743">
        <v>2.0169999999999999</v>
      </c>
      <c r="BR119" s="743">
        <v>1.6419999999999999</v>
      </c>
      <c r="BS119" s="743">
        <v>3.26</v>
      </c>
      <c r="BT119" s="864">
        <f t="shared" si="50"/>
        <v>7.9969999999999999</v>
      </c>
      <c r="BU119" s="743">
        <v>1.889</v>
      </c>
      <c r="BV119" s="743">
        <v>6.75</v>
      </c>
      <c r="BW119" s="743">
        <v>3.984</v>
      </c>
      <c r="BX119" s="743">
        <v>11.164999999999999</v>
      </c>
      <c r="BY119" s="864">
        <f t="shared" si="51"/>
        <v>23.787999999999997</v>
      </c>
      <c r="BZ119" s="743">
        <v>3.7839999999999998</v>
      </c>
      <c r="CA119" s="743">
        <v>2.4249999999999998</v>
      </c>
      <c r="CB119" s="743">
        <v>2.85</v>
      </c>
      <c r="CC119" s="743">
        <v>0.95599999999999996</v>
      </c>
      <c r="CD119" s="864">
        <f t="shared" si="52"/>
        <v>10.014999999999999</v>
      </c>
      <c r="CE119" s="743">
        <v>1</v>
      </c>
      <c r="CF119" s="743">
        <v>1.5049999999999999</v>
      </c>
      <c r="CG119" s="291">
        <f>(CI119-CE119-CF119)/2</f>
        <v>2.085833333333333</v>
      </c>
      <c r="CH119" s="291">
        <f>CI119-CE119-CF119-CG119</f>
        <v>2.085833333333333</v>
      </c>
      <c r="CI119" s="749">
        <f>CD119*2/3</f>
        <v>6.6766666666666659</v>
      </c>
      <c r="CJ119" s="774">
        <f>CI119*2/3</f>
        <v>4.4511111111111106</v>
      </c>
      <c r="CK119" s="774">
        <f>CJ119*2/3</f>
        <v>2.967407407407407</v>
      </c>
      <c r="CL119" s="774">
        <f>CK119*2/3</f>
        <v>1.9782716049382714</v>
      </c>
      <c r="CM119" s="774">
        <f>CL119*2/3</f>
        <v>1.3188477366255142</v>
      </c>
      <c r="CN119" s="291"/>
      <c r="CO119" s="683"/>
      <c r="CP119" s="291"/>
      <c r="CQ119" s="694" t="s">
        <v>836</v>
      </c>
    </row>
    <row r="120" spans="2:95" ht="16.5" customHeight="1" x14ac:dyDescent="0.25">
      <c r="B120" t="s">
        <v>811</v>
      </c>
      <c r="C120" s="743"/>
      <c r="D120" s="743"/>
      <c r="E120" s="743"/>
      <c r="F120" s="743"/>
      <c r="G120" s="868"/>
      <c r="H120" s="743"/>
      <c r="I120" s="743"/>
      <c r="J120" s="743"/>
      <c r="K120" s="743"/>
      <c r="L120" s="868"/>
      <c r="M120" s="743"/>
      <c r="N120" s="743"/>
      <c r="O120" s="743"/>
      <c r="P120" s="743"/>
      <c r="Q120" s="868"/>
      <c r="R120" s="743"/>
      <c r="S120" s="743"/>
      <c r="T120" s="743"/>
      <c r="U120" s="743"/>
      <c r="V120" s="868"/>
      <c r="W120" s="743"/>
      <c r="X120" s="743"/>
      <c r="Y120" s="743"/>
      <c r="Z120" s="743"/>
      <c r="AA120" s="868"/>
      <c r="AB120" s="743"/>
      <c r="AC120" s="743"/>
      <c r="AD120" s="743"/>
      <c r="AE120" s="743"/>
      <c r="AF120" s="868"/>
      <c r="AG120" s="743"/>
      <c r="AH120" s="743"/>
      <c r="AI120" s="743"/>
      <c r="AJ120" s="743"/>
      <c r="AK120" s="868"/>
      <c r="AL120" s="743"/>
      <c r="AM120" s="291"/>
      <c r="AN120" s="291"/>
      <c r="AO120" s="291"/>
      <c r="AP120" s="864"/>
      <c r="AQ120" s="291"/>
      <c r="AR120" s="291"/>
      <c r="AS120" s="291"/>
      <c r="AT120" s="291"/>
      <c r="AU120" s="864">
        <v>12.198</v>
      </c>
      <c r="AV120" s="291"/>
      <c r="AW120" s="291"/>
      <c r="AX120" s="291"/>
      <c r="AY120" s="291"/>
      <c r="AZ120" s="864"/>
      <c r="BA120" s="291"/>
      <c r="BB120" s="291"/>
      <c r="BC120" s="291"/>
      <c r="BD120" s="291"/>
      <c r="BE120" s="864"/>
      <c r="BF120" s="291"/>
      <c r="BG120" s="291"/>
      <c r="BH120" s="743">
        <v>0</v>
      </c>
      <c r="BI120" s="743">
        <v>0</v>
      </c>
      <c r="BJ120" s="864">
        <f t="shared" si="48"/>
        <v>0</v>
      </c>
      <c r="BK120" s="743">
        <v>1.5</v>
      </c>
      <c r="BL120" s="743">
        <v>1.7050000000000001</v>
      </c>
      <c r="BM120" s="743">
        <v>0.20200000000000001</v>
      </c>
      <c r="BN120" s="743">
        <v>0.191</v>
      </c>
      <c r="BO120" s="864">
        <f t="shared" si="49"/>
        <v>3.5979999999999999</v>
      </c>
      <c r="BP120" s="743">
        <v>0</v>
      </c>
      <c r="BQ120" s="743">
        <v>0</v>
      </c>
      <c r="BR120" s="743">
        <v>0</v>
      </c>
      <c r="BS120" s="743">
        <v>4.3449999999999998</v>
      </c>
      <c r="BT120" s="864">
        <f t="shared" si="50"/>
        <v>4.3449999999999998</v>
      </c>
      <c r="BU120" s="291"/>
      <c r="BV120" s="743">
        <v>0.17499999999999999</v>
      </c>
      <c r="BW120" s="743">
        <v>1.6</v>
      </c>
      <c r="BX120" s="743">
        <v>5.2519999999999998</v>
      </c>
      <c r="BY120" s="864">
        <f t="shared" si="51"/>
        <v>7.0270000000000001</v>
      </c>
      <c r="BZ120" s="291"/>
      <c r="CA120" s="743">
        <v>2.149</v>
      </c>
      <c r="CB120" s="743">
        <v>5.8390000000000004</v>
      </c>
      <c r="CC120" s="743">
        <v>0.48599999999999999</v>
      </c>
      <c r="CD120" s="864">
        <f t="shared" si="52"/>
        <v>8.4740000000000002</v>
      </c>
      <c r="CE120" s="743">
        <v>0</v>
      </c>
      <c r="CF120" s="743">
        <v>0</v>
      </c>
      <c r="CG120" s="743">
        <v>0</v>
      </c>
      <c r="CH120" s="743">
        <v>0</v>
      </c>
      <c r="CI120" s="749"/>
      <c r="CJ120" s="749"/>
      <c r="CK120" s="749"/>
      <c r="CL120" s="749"/>
      <c r="CM120" s="749"/>
      <c r="CN120" s="291"/>
      <c r="CO120" s="683"/>
      <c r="CP120" s="291"/>
      <c r="CQ120" s="693"/>
    </row>
    <row r="121" spans="2:95" ht="16.5" customHeight="1" x14ac:dyDescent="0.25">
      <c r="B121" t="s">
        <v>812</v>
      </c>
      <c r="C121" s="743"/>
      <c r="D121" s="743"/>
      <c r="E121" s="743"/>
      <c r="F121" s="743"/>
      <c r="G121" s="868"/>
      <c r="H121" s="743"/>
      <c r="I121" s="743"/>
      <c r="J121" s="743"/>
      <c r="K121" s="743"/>
      <c r="L121" s="868"/>
      <c r="M121" s="743"/>
      <c r="N121" s="743"/>
      <c r="O121" s="743"/>
      <c r="P121" s="743"/>
      <c r="Q121" s="868"/>
      <c r="R121" s="743"/>
      <c r="S121" s="743"/>
      <c r="T121" s="743"/>
      <c r="U121" s="743"/>
      <c r="V121" s="868"/>
      <c r="W121" s="743"/>
      <c r="X121" s="743"/>
      <c r="Y121" s="743"/>
      <c r="Z121" s="743"/>
      <c r="AA121" s="868"/>
      <c r="AB121" s="743"/>
      <c r="AC121" s="743"/>
      <c r="AD121" s="743"/>
      <c r="AE121" s="743"/>
      <c r="AF121" s="868"/>
      <c r="AG121" s="743"/>
      <c r="AH121" s="743"/>
      <c r="AI121" s="743"/>
      <c r="AJ121" s="743"/>
      <c r="AK121" s="868"/>
      <c r="AL121" s="743"/>
      <c r="AM121" s="291"/>
      <c r="AN121" s="291"/>
      <c r="AO121" s="291"/>
      <c r="AP121" s="864"/>
      <c r="AQ121" s="291"/>
      <c r="AR121" s="291"/>
      <c r="AS121" s="291"/>
      <c r="AT121" s="291"/>
      <c r="AU121" s="864"/>
      <c r="AV121" s="291"/>
      <c r="AW121" s="291"/>
      <c r="AX121" s="291"/>
      <c r="AY121" s="291"/>
      <c r="AZ121" s="864"/>
      <c r="BA121" s="291"/>
      <c r="BB121" s="291"/>
      <c r="BC121" s="291"/>
      <c r="BD121" s="291"/>
      <c r="BE121" s="864"/>
      <c r="BF121" s="291"/>
      <c r="BG121" s="291"/>
      <c r="BH121" s="743">
        <v>0</v>
      </c>
      <c r="BI121" s="743">
        <v>1.5</v>
      </c>
      <c r="BJ121" s="864">
        <f t="shared" si="48"/>
        <v>1.5</v>
      </c>
      <c r="BK121" s="291"/>
      <c r="BL121" s="743">
        <v>15.236000000000001</v>
      </c>
      <c r="BM121" s="743">
        <v>0.69199999999999995</v>
      </c>
      <c r="BN121" s="743">
        <v>2.125</v>
      </c>
      <c r="BO121" s="864">
        <f t="shared" si="49"/>
        <v>18.053000000000001</v>
      </c>
      <c r="BP121" s="291"/>
      <c r="BQ121" s="743">
        <v>1.2190000000000001</v>
      </c>
      <c r="BR121" s="743">
        <v>0.435</v>
      </c>
      <c r="BS121" s="743">
        <v>12.974</v>
      </c>
      <c r="BT121" s="864">
        <f t="shared" si="50"/>
        <v>14.628</v>
      </c>
      <c r="BU121" s="291"/>
      <c r="BV121" s="743">
        <v>6.75</v>
      </c>
      <c r="BW121" s="743">
        <v>0.112</v>
      </c>
      <c r="BX121" s="743">
        <v>15.287000000000001</v>
      </c>
      <c r="BY121" s="864">
        <f t="shared" si="51"/>
        <v>22.149000000000001</v>
      </c>
      <c r="BZ121" s="291"/>
      <c r="CA121" s="743">
        <v>0</v>
      </c>
      <c r="CB121" s="743">
        <v>3</v>
      </c>
      <c r="CC121" s="743">
        <v>2.3740000000000001</v>
      </c>
      <c r="CD121" s="864">
        <f t="shared" si="52"/>
        <v>5.3740000000000006</v>
      </c>
      <c r="CE121" s="743">
        <v>0</v>
      </c>
      <c r="CF121" s="743">
        <v>0</v>
      </c>
      <c r="CG121" s="743">
        <v>0</v>
      </c>
      <c r="CH121" s="743">
        <v>0</v>
      </c>
      <c r="CI121" s="749"/>
      <c r="CJ121" s="749"/>
      <c r="CK121" s="749"/>
      <c r="CL121" s="749"/>
      <c r="CM121" s="749"/>
      <c r="CN121" s="291"/>
      <c r="CO121" s="683"/>
      <c r="CP121" s="291"/>
      <c r="CQ121" s="693"/>
    </row>
    <row r="122" spans="2:95" ht="16.5" customHeight="1" x14ac:dyDescent="0.25">
      <c r="B122" t="s">
        <v>813</v>
      </c>
      <c r="C122" s="743"/>
      <c r="D122" s="743"/>
      <c r="E122" s="743"/>
      <c r="F122" s="743"/>
      <c r="G122" s="868"/>
      <c r="H122" s="743"/>
      <c r="I122" s="743"/>
      <c r="J122" s="743"/>
      <c r="K122" s="743"/>
      <c r="L122" s="868"/>
      <c r="M122" s="743"/>
      <c r="N122" s="743"/>
      <c r="O122" s="743"/>
      <c r="P122" s="743"/>
      <c r="Q122" s="868"/>
      <c r="R122" s="743"/>
      <c r="S122" s="743"/>
      <c r="T122" s="743"/>
      <c r="U122" s="743"/>
      <c r="V122" s="868"/>
      <c r="W122" s="743"/>
      <c r="X122" s="743"/>
      <c r="Y122" s="743"/>
      <c r="Z122" s="743"/>
      <c r="AA122" s="868"/>
      <c r="AB122" s="743"/>
      <c r="AC122" s="743"/>
      <c r="AD122" s="743"/>
      <c r="AE122" s="743"/>
      <c r="AF122" s="868"/>
      <c r="AG122" s="743"/>
      <c r="AH122" s="743"/>
      <c r="AI122" s="743"/>
      <c r="AJ122" s="743"/>
      <c r="AK122" s="868"/>
      <c r="AL122" s="743"/>
      <c r="AM122" s="291"/>
      <c r="AN122" s="291"/>
      <c r="AO122" s="291"/>
      <c r="AP122" s="864"/>
      <c r="AQ122" s="291"/>
      <c r="AR122" s="291"/>
      <c r="AS122" s="291"/>
      <c r="AT122" s="291"/>
      <c r="AU122" s="864"/>
      <c r="AV122" s="291"/>
      <c r="AW122" s="291"/>
      <c r="AX122" s="291"/>
      <c r="AY122" s="291"/>
      <c r="AZ122" s="864"/>
      <c r="BA122" s="291"/>
      <c r="BB122" s="291"/>
      <c r="BC122" s="291"/>
      <c r="BD122" s="291"/>
      <c r="BE122" s="864"/>
      <c r="BF122" s="291"/>
      <c r="BG122" s="291"/>
      <c r="BH122" s="291"/>
      <c r="BI122" s="743">
        <v>-1.536</v>
      </c>
      <c r="BJ122" s="864">
        <f t="shared" si="48"/>
        <v>-1.536</v>
      </c>
      <c r="BK122" s="291"/>
      <c r="BL122" s="291"/>
      <c r="BM122" s="291"/>
      <c r="BN122" s="743">
        <v>-3.3460000000000001</v>
      </c>
      <c r="BO122" s="864">
        <f t="shared" si="49"/>
        <v>-3.3460000000000001</v>
      </c>
      <c r="BP122" s="291"/>
      <c r="BQ122" s="291"/>
      <c r="BR122" s="291"/>
      <c r="BS122" s="743">
        <v>0.9</v>
      </c>
      <c r="BT122" s="864">
        <f t="shared" si="50"/>
        <v>0.9</v>
      </c>
      <c r="BU122" s="291"/>
      <c r="BV122" s="291"/>
      <c r="BW122" s="291"/>
      <c r="BX122" s="743">
        <v>0</v>
      </c>
      <c r="BY122" s="864">
        <f t="shared" si="51"/>
        <v>0</v>
      </c>
      <c r="BZ122" s="291"/>
      <c r="CA122" s="291"/>
      <c r="CB122" s="291"/>
      <c r="CC122" s="743">
        <v>0</v>
      </c>
      <c r="CD122" s="864">
        <f t="shared" si="52"/>
        <v>0</v>
      </c>
      <c r="CE122" s="743">
        <v>0</v>
      </c>
      <c r="CF122" s="743">
        <v>0</v>
      </c>
      <c r="CG122" s="743">
        <v>0</v>
      </c>
      <c r="CH122" s="743">
        <v>0</v>
      </c>
      <c r="CI122" s="749"/>
      <c r="CJ122" s="749"/>
      <c r="CK122" s="749"/>
      <c r="CL122" s="749"/>
      <c r="CM122" s="749"/>
      <c r="CN122" s="291"/>
      <c r="CO122" s="683"/>
      <c r="CP122" s="291"/>
      <c r="CQ122" s="693"/>
    </row>
    <row r="123" spans="2:95" ht="16.5" customHeight="1" x14ac:dyDescent="0.25">
      <c r="B123" t="s">
        <v>814</v>
      </c>
      <c r="C123" s="743"/>
      <c r="D123" s="743"/>
      <c r="E123" s="743"/>
      <c r="F123" s="743"/>
      <c r="G123" s="868"/>
      <c r="H123" s="743"/>
      <c r="I123" s="743"/>
      <c r="J123" s="743"/>
      <c r="K123" s="743"/>
      <c r="L123" s="868"/>
      <c r="M123" s="743"/>
      <c r="N123" s="743"/>
      <c r="O123" s="743"/>
      <c r="P123" s="743"/>
      <c r="Q123" s="868"/>
      <c r="R123" s="743"/>
      <c r="S123" s="743"/>
      <c r="T123" s="743"/>
      <c r="U123" s="743"/>
      <c r="V123" s="868"/>
      <c r="W123" s="743"/>
      <c r="X123" s="743"/>
      <c r="Y123" s="743"/>
      <c r="Z123" s="743"/>
      <c r="AA123" s="868"/>
      <c r="AB123" s="743"/>
      <c r="AC123" s="743"/>
      <c r="AD123" s="743"/>
      <c r="AE123" s="743"/>
      <c r="AF123" s="868"/>
      <c r="AG123" s="743"/>
      <c r="AH123" s="743"/>
      <c r="AI123" s="743"/>
      <c r="AJ123" s="743"/>
      <c r="AK123" s="868"/>
      <c r="AL123" s="743"/>
      <c r="AM123" s="291"/>
      <c r="AN123" s="291"/>
      <c r="AO123" s="291"/>
      <c r="AP123" s="864"/>
      <c r="AQ123" s="291"/>
      <c r="AR123" s="291"/>
      <c r="AS123" s="291"/>
      <c r="AT123" s="291"/>
      <c r="AU123" s="864"/>
      <c r="AV123" s="291"/>
      <c r="AW123" s="291"/>
      <c r="AX123" s="291"/>
      <c r="AY123" s="291"/>
      <c r="AZ123" s="864"/>
      <c r="BA123" s="291"/>
      <c r="BB123" s="291"/>
      <c r="BC123" s="291"/>
      <c r="BD123" s="291"/>
      <c r="BE123" s="864"/>
      <c r="BF123" s="291"/>
      <c r="BG123" s="291"/>
      <c r="BH123" s="291"/>
      <c r="BI123" s="291"/>
      <c r="BJ123" s="864">
        <f t="shared" si="48"/>
        <v>0</v>
      </c>
      <c r="BK123" s="291"/>
      <c r="BL123" s="291"/>
      <c r="BM123" s="291"/>
      <c r="BN123" s="291"/>
      <c r="BO123" s="864">
        <f t="shared" si="49"/>
        <v>0</v>
      </c>
      <c r="BP123" s="743">
        <v>9.5030000000000001</v>
      </c>
      <c r="BQ123" s="743">
        <v>0.52700000000000002</v>
      </c>
      <c r="BR123" s="743">
        <v>0</v>
      </c>
      <c r="BS123" s="743">
        <v>-20.059999999999999</v>
      </c>
      <c r="BT123" s="864">
        <f t="shared" si="50"/>
        <v>-10.029999999999999</v>
      </c>
      <c r="BU123" s="743">
        <v>0</v>
      </c>
      <c r="BV123" s="743">
        <v>0</v>
      </c>
      <c r="BW123" s="743">
        <v>0</v>
      </c>
      <c r="BX123" s="743">
        <v>-0.97899999999999998</v>
      </c>
      <c r="BY123" s="864">
        <f t="shared" si="51"/>
        <v>-0.97899999999999998</v>
      </c>
      <c r="BZ123" s="291"/>
      <c r="CA123" s="291"/>
      <c r="CB123" s="291"/>
      <c r="CC123" s="743">
        <v>0</v>
      </c>
      <c r="CD123" s="864">
        <f t="shared" si="52"/>
        <v>0</v>
      </c>
      <c r="CE123" s="743">
        <v>0</v>
      </c>
      <c r="CF123" s="743">
        <v>0</v>
      </c>
      <c r="CG123" s="743">
        <v>0</v>
      </c>
      <c r="CH123" s="743">
        <v>0</v>
      </c>
      <c r="CI123" s="749"/>
      <c r="CJ123" s="749"/>
      <c r="CK123" s="749"/>
      <c r="CL123" s="749"/>
      <c r="CM123" s="749"/>
      <c r="CN123" s="291"/>
      <c r="CO123" s="683"/>
      <c r="CP123" s="291"/>
      <c r="CQ123" s="693"/>
    </row>
    <row r="124" spans="2:95" ht="16.5" customHeight="1" x14ac:dyDescent="0.25">
      <c r="B124" t="s">
        <v>815</v>
      </c>
      <c r="C124" s="743"/>
      <c r="D124" s="743"/>
      <c r="E124" s="743"/>
      <c r="F124" s="743"/>
      <c r="G124" s="868"/>
      <c r="H124" s="743"/>
      <c r="I124" s="743"/>
      <c r="J124" s="743"/>
      <c r="K124" s="743"/>
      <c r="L124" s="868"/>
      <c r="M124" s="743"/>
      <c r="N124" s="743"/>
      <c r="O124" s="743"/>
      <c r="P124" s="743"/>
      <c r="Q124" s="868"/>
      <c r="R124" s="743"/>
      <c r="S124" s="743"/>
      <c r="T124" s="743"/>
      <c r="U124" s="743"/>
      <c r="V124" s="868"/>
      <c r="W124" s="743"/>
      <c r="X124" s="743"/>
      <c r="Y124" s="743"/>
      <c r="Z124" s="743"/>
      <c r="AA124" s="868"/>
      <c r="AB124" s="743"/>
      <c r="AC124" s="743"/>
      <c r="AD124" s="743"/>
      <c r="AE124" s="743"/>
      <c r="AF124" s="868"/>
      <c r="AG124" s="743"/>
      <c r="AH124" s="743"/>
      <c r="AI124" s="743"/>
      <c r="AJ124" s="743"/>
      <c r="AK124" s="868"/>
      <c r="AL124" s="743"/>
      <c r="AM124" s="291"/>
      <c r="AN124" s="291"/>
      <c r="AO124" s="291"/>
      <c r="AP124" s="864"/>
      <c r="AQ124" s="291"/>
      <c r="AR124" s="291"/>
      <c r="AS124" s="291"/>
      <c r="AT124" s="291"/>
      <c r="AU124" s="864"/>
      <c r="AV124" s="291"/>
      <c r="AW124" s="291"/>
      <c r="AX124" s="291"/>
      <c r="AY124" s="291"/>
      <c r="AZ124" s="864"/>
      <c r="BA124" s="291"/>
      <c r="BB124" s="291"/>
      <c r="BC124" s="291"/>
      <c r="BD124" s="291"/>
      <c r="BE124" s="864"/>
      <c r="BF124" s="291"/>
      <c r="BG124" s="291"/>
      <c r="BH124" s="291"/>
      <c r="BI124" s="743">
        <v>0</v>
      </c>
      <c r="BJ124" s="864">
        <f t="shared" si="48"/>
        <v>0</v>
      </c>
      <c r="BK124" s="291"/>
      <c r="BL124" s="291"/>
      <c r="BM124" s="291"/>
      <c r="BN124" s="743">
        <v>0</v>
      </c>
      <c r="BO124" s="864">
        <f t="shared" si="49"/>
        <v>0</v>
      </c>
      <c r="BP124" s="291"/>
      <c r="BQ124" s="291"/>
      <c r="BR124" s="291"/>
      <c r="BS124" s="743">
        <v>12.542</v>
      </c>
      <c r="BT124" s="864">
        <f t="shared" si="50"/>
        <v>12.542</v>
      </c>
      <c r="BU124" s="291"/>
      <c r="BV124" s="291"/>
      <c r="BW124" s="291"/>
      <c r="BX124" s="743">
        <v>0</v>
      </c>
      <c r="BY124" s="864">
        <f t="shared" si="51"/>
        <v>0</v>
      </c>
      <c r="BZ124" s="291"/>
      <c r="CA124" s="291"/>
      <c r="CB124" s="291"/>
      <c r="CC124" s="743">
        <v>0</v>
      </c>
      <c r="CD124" s="864">
        <f t="shared" si="52"/>
        <v>0</v>
      </c>
      <c r="CE124" s="743">
        <v>0</v>
      </c>
      <c r="CF124" s="743">
        <v>0</v>
      </c>
      <c r="CG124" s="743">
        <v>0</v>
      </c>
      <c r="CH124" s="743">
        <v>0</v>
      </c>
      <c r="CI124" s="749"/>
      <c r="CJ124" s="749"/>
      <c r="CK124" s="749"/>
      <c r="CL124" s="749"/>
      <c r="CM124" s="749"/>
      <c r="CN124" s="291"/>
      <c r="CO124" s="683"/>
      <c r="CP124" s="291"/>
      <c r="CQ124" s="693"/>
    </row>
    <row r="125" spans="2:95" ht="16.5" customHeight="1" x14ac:dyDescent="0.25">
      <c r="B125" t="s">
        <v>702</v>
      </c>
      <c r="C125" s="825"/>
      <c r="D125" s="825"/>
      <c r="E125" s="825"/>
      <c r="F125" s="825"/>
      <c r="G125" s="872">
        <v>0</v>
      </c>
      <c r="H125" s="825"/>
      <c r="I125" s="825"/>
      <c r="J125" s="825"/>
      <c r="K125" s="825"/>
      <c r="L125" s="872">
        <v>-1.0740000000000001</v>
      </c>
      <c r="M125" s="825"/>
      <c r="N125" s="825"/>
      <c r="O125" s="825"/>
      <c r="P125" s="825"/>
      <c r="Q125" s="872">
        <v>0.69699999999999995</v>
      </c>
      <c r="R125" s="825"/>
      <c r="S125" s="825"/>
      <c r="T125" s="825"/>
      <c r="U125" s="825"/>
      <c r="V125" s="872">
        <v>46.418999999999997</v>
      </c>
      <c r="W125" s="825"/>
      <c r="X125" s="825"/>
      <c r="Y125" s="825"/>
      <c r="Z125" s="825"/>
      <c r="AA125" s="872">
        <v>10.278</v>
      </c>
      <c r="AB125" s="825"/>
      <c r="AC125" s="825"/>
      <c r="AD125" s="825"/>
      <c r="AE125" s="825"/>
      <c r="AF125" s="872">
        <v>4.6849999999999996</v>
      </c>
      <c r="AG125" s="825"/>
      <c r="AH125" s="825"/>
      <c r="AI125" s="825"/>
      <c r="AJ125" s="825"/>
      <c r="AK125" s="872">
        <v>4.7759999999999998</v>
      </c>
      <c r="AL125" s="825"/>
      <c r="AM125" s="826"/>
      <c r="AN125" s="826"/>
      <c r="AO125" s="826"/>
      <c r="AP125" s="872">
        <v>14.474</v>
      </c>
      <c r="AQ125" s="826"/>
      <c r="AR125" s="826"/>
      <c r="AS125" s="826"/>
      <c r="AT125" s="826"/>
      <c r="AU125" s="872">
        <v>8.6080000000000005</v>
      </c>
      <c r="AV125" s="826"/>
      <c r="AW125" s="826"/>
      <c r="AX125" s="826"/>
      <c r="AY125" s="826"/>
      <c r="AZ125" s="872">
        <v>18.504999999999999</v>
      </c>
      <c r="BA125" s="826"/>
      <c r="BB125" s="826"/>
      <c r="BC125" s="826"/>
      <c r="BD125" s="826"/>
      <c r="BE125" s="878">
        <f>37.839+0+0+121.324+20.707</f>
        <v>179.87</v>
      </c>
      <c r="BF125" s="825">
        <v>-3.2410000000000001</v>
      </c>
      <c r="BG125" s="825">
        <v>6.4320000000000004</v>
      </c>
      <c r="BH125" s="825">
        <v>-7.5999999999999998E-2</v>
      </c>
      <c r="BI125" s="825">
        <v>-0.57999999999999996</v>
      </c>
      <c r="BJ125" s="878">
        <f t="shared" si="48"/>
        <v>2.5350000000000001</v>
      </c>
      <c r="BK125" s="825">
        <v>-0.11600000000000001</v>
      </c>
      <c r="BL125" s="825">
        <v>-1.268</v>
      </c>
      <c r="BM125" s="825">
        <v>-1.7589999999999999</v>
      </c>
      <c r="BN125" s="825">
        <v>1.9690000000000001</v>
      </c>
      <c r="BO125" s="878">
        <f t="shared" si="49"/>
        <v>-1.1739999999999997</v>
      </c>
      <c r="BP125" s="825">
        <v>-1.651</v>
      </c>
      <c r="BQ125" s="825">
        <v>-3.9009999999999998</v>
      </c>
      <c r="BR125" s="825">
        <v>-4.5250000000000004</v>
      </c>
      <c r="BS125" s="825">
        <v>18.949000000000002</v>
      </c>
      <c r="BT125" s="878">
        <f t="shared" si="50"/>
        <v>8.8720000000000017</v>
      </c>
      <c r="BU125" s="825">
        <v>-2.7010000000000001</v>
      </c>
      <c r="BV125" s="825">
        <v>-3.1829999999999998</v>
      </c>
      <c r="BW125" s="825">
        <v>-4.157</v>
      </c>
      <c r="BX125" s="825">
        <v>27.388999999999999</v>
      </c>
      <c r="BY125" s="878">
        <f t="shared" si="51"/>
        <v>17.347999999999999</v>
      </c>
      <c r="BZ125" s="825">
        <v>-1.524</v>
      </c>
      <c r="CA125" s="825">
        <v>-2.9079999999999999</v>
      </c>
      <c r="CB125" s="825">
        <v>-3.51</v>
      </c>
      <c r="CC125" s="825">
        <v>17.539000000000001</v>
      </c>
      <c r="CD125" s="878">
        <f t="shared" si="52"/>
        <v>9.5970000000000013</v>
      </c>
      <c r="CE125" s="743">
        <v>0.78700000000000003</v>
      </c>
      <c r="CF125" s="743">
        <v>-1.2949999999999999</v>
      </c>
      <c r="CG125" s="291">
        <f>(CI125-CE125-CF125)/2</f>
        <v>3.4530000000000003</v>
      </c>
      <c r="CH125" s="291">
        <f>CI125-CE125-CF125-CG125</f>
        <v>3.4530000000000003</v>
      </c>
      <c r="CI125" s="851">
        <f>CD125*2/3</f>
        <v>6.3980000000000006</v>
      </c>
      <c r="CJ125" s="861">
        <f>CI125*2/3</f>
        <v>4.2653333333333334</v>
      </c>
      <c r="CK125" s="861">
        <f>CJ125*2/3</f>
        <v>2.8435555555555556</v>
      </c>
      <c r="CL125" s="861">
        <f>CK125*2/3</f>
        <v>1.8957037037037037</v>
      </c>
      <c r="CM125" s="861">
        <f>CL125*2/3</f>
        <v>1.2638024691358025</v>
      </c>
      <c r="CN125" s="291"/>
      <c r="CO125" s="683"/>
      <c r="CP125" s="291"/>
      <c r="CQ125" s="694" t="s">
        <v>837</v>
      </c>
    </row>
    <row r="126" spans="2:95" ht="16.5" customHeight="1" x14ac:dyDescent="0.25">
      <c r="B126" s="701" t="s">
        <v>579</v>
      </c>
      <c r="C126" s="274"/>
      <c r="D126" s="274"/>
      <c r="E126" s="274"/>
      <c r="F126" s="274"/>
      <c r="G126" s="871">
        <f>G116-G117-G118-IFERROR(G119,0)-IFERROR(G121,0)-IFERROR(G122,0)-IFERROR(G123,0)-IFERROR(G124,0)-IFERROR(G125,0)</f>
        <v>191.47799999999984</v>
      </c>
      <c r="H126" s="274"/>
      <c r="I126" s="274"/>
      <c r="J126" s="274"/>
      <c r="K126" s="274"/>
      <c r="L126" s="871">
        <f>L116-L117-L118-IFERROR(L119,0)-IFERROR(L121,0)-IFERROR(L122,0)-IFERROR(L123,0)-IFERROR(L124,0)-IFERROR(L125,0)</f>
        <v>219.45099999999988</v>
      </c>
      <c r="M126" s="274"/>
      <c r="N126" s="274"/>
      <c r="O126" s="274"/>
      <c r="P126" s="274"/>
      <c r="Q126" s="871">
        <f>Q116-Q117-Q118-IFERROR(Q119,0)-IFERROR(Q121,0)-IFERROR(Q122,0)-IFERROR(Q123,0)-IFERROR(Q124,0)-IFERROR(Q125,0)</f>
        <v>243.15300000000008</v>
      </c>
      <c r="R126" s="274"/>
      <c r="S126" s="274"/>
      <c r="T126" s="274"/>
      <c r="U126" s="274"/>
      <c r="V126" s="871">
        <f>V116-V117-V118-IFERROR(V119,0)-IFERROR(V121,0)-IFERROR(V122,0)-IFERROR(V123,0)-IFERROR(V124,0)-IFERROR(V125,0)</f>
        <v>191.96800000000019</v>
      </c>
      <c r="W126" s="274"/>
      <c r="X126" s="274"/>
      <c r="Y126" s="274"/>
      <c r="Z126" s="274"/>
      <c r="AA126" s="871">
        <f>AA116-AA117-AA118-IFERROR(AA119,0)-IFERROR(AA121,0)-IFERROR(AA122,0)-IFERROR(AA123,0)-IFERROR(AA124,0)-IFERROR(AA125,0)</f>
        <v>231.43600000000023</v>
      </c>
      <c r="AB126" s="274"/>
      <c r="AC126" s="274"/>
      <c r="AD126" s="274"/>
      <c r="AE126" s="274"/>
      <c r="AF126" s="871">
        <f>AF116-AF117-AF118-IFERROR(AF119,0)-IFERROR(AF121,0)-IFERROR(AF122,0)-IFERROR(AF123,0)-IFERROR(AF124,0)-IFERROR(AF125,0)</f>
        <v>212.80100000000022</v>
      </c>
      <c r="AG126" s="274"/>
      <c r="AH126" s="274"/>
      <c r="AI126" s="274"/>
      <c r="AJ126" s="274"/>
      <c r="AK126" s="871">
        <f>AK116-AK117-AK118-IFERROR(AK119,0)-IFERROR(AK121,0)-IFERROR(AK122,0)-IFERROR(AK123,0)-IFERROR(AK124,0)-IFERROR(AK125,0)</f>
        <v>204.09999999999982</v>
      </c>
      <c r="AL126" s="274"/>
      <c r="AM126" s="274"/>
      <c r="AN126" s="274"/>
      <c r="AO126" s="274"/>
      <c r="AP126" s="871">
        <f>AP116-AP117-AP118-IFERROR(AP119,0)-IFERROR(AP121,0)-IFERROR(AP122,0)-IFERROR(AP123,0)-IFERROR(AP124,0)-IFERROR(AP125,0)</f>
        <v>216.80599999999993</v>
      </c>
      <c r="AQ126" s="274"/>
      <c r="AR126" s="274"/>
      <c r="AS126" s="274"/>
      <c r="AT126" s="274"/>
      <c r="AU126" s="871">
        <f>AU116-AU117-AU118-IFERROR(AU119,0)-IFERROR(AU121,0)-IFERROR(AU122,0)-IFERROR(AU123,0)-IFERROR(AU124,0)-IFERROR(AU125,0)</f>
        <v>218.41699999999977</v>
      </c>
      <c r="AV126" s="274"/>
      <c r="AW126" s="274"/>
      <c r="AX126" s="274"/>
      <c r="AY126" s="274"/>
      <c r="AZ126" s="871">
        <f>AZ116-AZ117-AZ118-IFERROR(AZ119,0)-IFERROR(AZ121,0)-IFERROR(AZ122,0)-IFERROR(AZ123,0)-IFERROR(AZ124,0)-IFERROR(AZ125,0)</f>
        <v>266.22099999999989</v>
      </c>
      <c r="BA126" s="274"/>
      <c r="BB126" s="274"/>
      <c r="BC126" s="274"/>
      <c r="BD126" s="274"/>
      <c r="BE126" s="871">
        <f t="shared" ref="BE126:CD126" si="53">BE116-BE117-BE118-IFERROR(BE119,0)-IFERROR(BE121,0)-IFERROR(BE122,0)-IFERROR(BE123,0)-IFERROR(BE124,0)-IFERROR(BE125,0)</f>
        <v>44.313999999999908</v>
      </c>
      <c r="BF126" s="274">
        <f t="shared" si="53"/>
        <v>65.272999999999968</v>
      </c>
      <c r="BG126" s="274">
        <f t="shared" si="53"/>
        <v>57.892999999999986</v>
      </c>
      <c r="BH126" s="274">
        <f t="shared" si="53"/>
        <v>56.985999999999983</v>
      </c>
      <c r="BI126" s="274">
        <f t="shared" si="53"/>
        <v>55.515999999999948</v>
      </c>
      <c r="BJ126" s="871">
        <f t="shared" si="53"/>
        <v>235.66799999999998</v>
      </c>
      <c r="BK126" s="274">
        <f t="shared" si="53"/>
        <v>53.491</v>
      </c>
      <c r="BL126" s="274">
        <f t="shared" si="53"/>
        <v>49.511999999999972</v>
      </c>
      <c r="BM126" s="274">
        <f t="shared" si="53"/>
        <v>72.45799999999997</v>
      </c>
      <c r="BN126" s="274">
        <f t="shared" si="53"/>
        <v>64.239999999999981</v>
      </c>
      <c r="BO126" s="871">
        <f t="shared" si="53"/>
        <v>239.70100000000033</v>
      </c>
      <c r="BP126" s="274">
        <f t="shared" si="53"/>
        <v>57.728999999999921</v>
      </c>
      <c r="BQ126" s="274">
        <f t="shared" si="53"/>
        <v>78.015000000000072</v>
      </c>
      <c r="BR126" s="274">
        <f t="shared" si="53"/>
        <v>76.644000000000034</v>
      </c>
      <c r="BS126" s="274">
        <f t="shared" si="53"/>
        <v>68.970000000000013</v>
      </c>
      <c r="BT126" s="871">
        <f t="shared" si="53"/>
        <v>281.35799999999983</v>
      </c>
      <c r="BU126" s="274">
        <f t="shared" si="53"/>
        <v>84.707000000000065</v>
      </c>
      <c r="BV126" s="274">
        <f t="shared" si="53"/>
        <v>103.11799999999997</v>
      </c>
      <c r="BW126" s="274">
        <f t="shared" si="53"/>
        <v>97.372</v>
      </c>
      <c r="BX126" s="274">
        <f t="shared" si="53"/>
        <v>50.879000000000019</v>
      </c>
      <c r="BY126" s="871">
        <f t="shared" si="53"/>
        <v>336.07599999999991</v>
      </c>
      <c r="BZ126" s="274">
        <f t="shared" si="53"/>
        <v>88.62900000000009</v>
      </c>
      <c r="CA126" s="274">
        <f t="shared" si="53"/>
        <v>98.943000000000012</v>
      </c>
      <c r="CB126" s="274">
        <f t="shared" si="53"/>
        <v>102.79200000000013</v>
      </c>
      <c r="CC126" s="274">
        <f t="shared" si="53"/>
        <v>94.359000000000066</v>
      </c>
      <c r="CD126" s="871">
        <f t="shared" si="53"/>
        <v>384.72299999999962</v>
      </c>
      <c r="CE126" s="274">
        <f>CE116-CE117-CE118-IFERROR(CE119,0)-IFERROR(CE121,0)-IFERROR(CE122,0)-IFERROR(CE123,0)-IFERROR(CE124,0)-IFERROR(CE125,0)</f>
        <v>118.85999999999999</v>
      </c>
      <c r="CF126" s="274">
        <f>CF116-CF117-CF118-IFERROR(CF119,0)-IFERROR(CF121,0)-IFERROR(CF122,0)-IFERROR(CF123,0)-IFERROR(CF124,0)-IFERROR(CF125,0)</f>
        <v>124.35899999999985</v>
      </c>
      <c r="CG126" s="274">
        <f>CG116-CG117-CG118-IFERROR(CG119,0)-IFERROR(CG121,0)-IFERROR(CG122,0)-IFERROR(CG123,0)-IFERROR(CG124,0)-IFERROR(CG125,0)</f>
        <v>122.93908726806161</v>
      </c>
      <c r="CH126" s="274">
        <f>CH116-CH117-CH118-IFERROR(CH119,0)-IFERROR(CH121,0)-IFERROR(CH122,0)-IFERROR(CH123,0)-IFERROR(CH124,0)-IFERROR(CH125,0)</f>
        <v>111.2411190652722</v>
      </c>
      <c r="CI126" s="274">
        <f>CI116-CI117-CI118-CI119-CI125</f>
        <v>477.39920633333355</v>
      </c>
      <c r="CJ126" s="274">
        <f>CJ116-CJ117-CJ118-CJ119-CJ125</f>
        <v>544.78859123555537</v>
      </c>
      <c r="CK126" s="274">
        <f>CK116-CK117-CK118-CK119-CK125</f>
        <v>611.25916722203738</v>
      </c>
      <c r="CL126" s="274">
        <f>CL116-CL117-CL118-CL119-CL125</f>
        <v>692.62208004664308</v>
      </c>
      <c r="CM126" s="274">
        <f>CM116-CM117-CM118-CM119-CM125</f>
        <v>778.88333639780342</v>
      </c>
      <c r="CN126" s="274"/>
      <c r="CO126" s="686">
        <f>(CM126/CD126)^(1/5)-1</f>
        <v>0.15150241302209078</v>
      </c>
      <c r="CP126" s="274"/>
      <c r="CQ126" s="694" t="s">
        <v>838</v>
      </c>
    </row>
    <row r="127" spans="2:95" ht="16.5" customHeight="1" x14ac:dyDescent="0.25">
      <c r="B127" t="s">
        <v>704</v>
      </c>
      <c r="C127" s="743"/>
      <c r="D127" s="743"/>
      <c r="E127" s="743"/>
      <c r="F127" s="743"/>
      <c r="G127" s="868">
        <v>38.741999999999997</v>
      </c>
      <c r="H127" s="743"/>
      <c r="I127" s="743"/>
      <c r="J127" s="743"/>
      <c r="K127" s="743"/>
      <c r="L127" s="868">
        <v>35.665999999999997</v>
      </c>
      <c r="M127" s="743"/>
      <c r="N127" s="743"/>
      <c r="O127" s="743"/>
      <c r="P127" s="743"/>
      <c r="Q127" s="868">
        <v>34.311999999999998</v>
      </c>
      <c r="R127" s="743"/>
      <c r="S127" s="743"/>
      <c r="T127" s="743"/>
      <c r="U127" s="743"/>
      <c r="V127" s="868">
        <v>26.962</v>
      </c>
      <c r="W127" s="743"/>
      <c r="X127" s="743"/>
      <c r="Y127" s="743"/>
      <c r="Z127" s="743"/>
      <c r="AA127" s="868">
        <v>12.513</v>
      </c>
      <c r="AB127" s="743"/>
      <c r="AC127" s="743"/>
      <c r="AD127" s="743"/>
      <c r="AE127" s="743"/>
      <c r="AF127" s="868">
        <v>28.966999999999999</v>
      </c>
      <c r="AG127" s="743"/>
      <c r="AH127" s="743"/>
      <c r="AI127" s="743"/>
      <c r="AJ127" s="743"/>
      <c r="AK127" s="868">
        <v>34.604999999999997</v>
      </c>
      <c r="AL127" s="743"/>
      <c r="AM127" s="291"/>
      <c r="AN127" s="291"/>
      <c r="AO127" s="291"/>
      <c r="AP127" s="868">
        <v>34.551000000000002</v>
      </c>
      <c r="AQ127" s="291"/>
      <c r="AR127" s="291"/>
      <c r="AS127" s="291"/>
      <c r="AT127" s="291"/>
      <c r="AU127" s="868">
        <v>36.238</v>
      </c>
      <c r="AV127" s="291"/>
      <c r="AW127" s="291"/>
      <c r="AX127" s="291"/>
      <c r="AY127" s="291"/>
      <c r="AZ127" s="868">
        <v>39.268999999999998</v>
      </c>
      <c r="BA127" s="291"/>
      <c r="BB127" s="291"/>
      <c r="BC127" s="291"/>
      <c r="BD127" s="291"/>
      <c r="BE127" s="868">
        <v>38.896999999999998</v>
      </c>
      <c r="BF127" s="743">
        <v>8.42</v>
      </c>
      <c r="BG127" s="743">
        <v>8.6289999999999996</v>
      </c>
      <c r="BH127" s="743">
        <v>8.2390000000000008</v>
      </c>
      <c r="BI127" s="743">
        <v>8.6039999999999992</v>
      </c>
      <c r="BJ127" s="864">
        <f>SUM(BF127:BI127)</f>
        <v>33.891999999999996</v>
      </c>
      <c r="BK127" s="743">
        <v>7.9820000000000002</v>
      </c>
      <c r="BL127" s="743">
        <v>8.2629999999999999</v>
      </c>
      <c r="BM127" s="743">
        <v>9.1310000000000002</v>
      </c>
      <c r="BN127" s="743">
        <v>11.381</v>
      </c>
      <c r="BO127" s="864">
        <f>SUM(BK127:BN127)</f>
        <v>36.757000000000005</v>
      </c>
      <c r="BP127" s="743">
        <v>13.132</v>
      </c>
      <c r="BQ127" s="743">
        <v>14.962999999999999</v>
      </c>
      <c r="BR127" s="743">
        <v>17.256</v>
      </c>
      <c r="BS127" s="743">
        <v>14.487</v>
      </c>
      <c r="BT127" s="864">
        <f>SUM(BP127:BS127)</f>
        <v>59.838000000000001</v>
      </c>
      <c r="BU127" s="743">
        <v>16.693999999999999</v>
      </c>
      <c r="BV127" s="743">
        <v>18.003</v>
      </c>
      <c r="BW127" s="743">
        <v>18.152999999999999</v>
      </c>
      <c r="BX127" s="743">
        <v>13.48</v>
      </c>
      <c r="BY127" s="864">
        <f>SUM(BU127:BX127)</f>
        <v>66.33</v>
      </c>
      <c r="BZ127" s="743">
        <v>17.001999999999999</v>
      </c>
      <c r="CA127" s="743">
        <v>19.547999999999998</v>
      </c>
      <c r="CB127" s="743">
        <v>17.79</v>
      </c>
      <c r="CC127" s="743">
        <v>17.734999999999999</v>
      </c>
      <c r="CD127" s="864">
        <f>SUM(BZ127:CC127)</f>
        <v>72.074999999999989</v>
      </c>
      <c r="CE127" s="743">
        <v>17.195</v>
      </c>
      <c r="CF127" s="743">
        <v>15.54</v>
      </c>
      <c r="CG127" s="291">
        <f>(CI127-CE127-CF127)/2</f>
        <v>18.926974999999999</v>
      </c>
      <c r="CH127" s="291">
        <f>CI127-CE127-CF127-CG127</f>
        <v>18.926974999999999</v>
      </c>
      <c r="CI127" s="774">
        <f>CI305</f>
        <v>70.588949999999997</v>
      </c>
      <c r="CJ127" s="774">
        <f>CJ305</f>
        <v>67.117391999999995</v>
      </c>
      <c r="CK127" s="774">
        <f>CK305</f>
        <v>64.623020000000011</v>
      </c>
      <c r="CL127" s="774">
        <f>CL305</f>
        <v>62.164648000000007</v>
      </c>
      <c r="CM127" s="774">
        <f>CM305</f>
        <v>58.837090000000003</v>
      </c>
      <c r="CN127" s="291"/>
      <c r="CO127" s="683"/>
      <c r="CP127" s="291"/>
      <c r="CQ127" s="694" t="s">
        <v>839</v>
      </c>
    </row>
    <row r="128" spans="2:95" ht="16.5" customHeight="1" x14ac:dyDescent="0.25">
      <c r="B128" t="s">
        <v>705</v>
      </c>
      <c r="C128" s="743"/>
      <c r="D128" s="743"/>
      <c r="E128" s="743"/>
      <c r="F128" s="743"/>
      <c r="G128" s="868"/>
      <c r="H128" s="743"/>
      <c r="I128" s="743"/>
      <c r="J128" s="743"/>
      <c r="K128" s="743"/>
      <c r="L128" s="868"/>
      <c r="M128" s="743"/>
      <c r="N128" s="743"/>
      <c r="O128" s="743"/>
      <c r="P128" s="743"/>
      <c r="Q128" s="868"/>
      <c r="R128" s="743"/>
      <c r="S128" s="743"/>
      <c r="T128" s="743"/>
      <c r="U128" s="743"/>
      <c r="V128" s="868"/>
      <c r="W128" s="743"/>
      <c r="X128" s="743"/>
      <c r="Y128" s="743"/>
      <c r="Z128" s="743"/>
      <c r="AA128" s="868"/>
      <c r="AB128" s="743"/>
      <c r="AC128" s="743"/>
      <c r="AD128" s="743"/>
      <c r="AE128" s="743"/>
      <c r="AF128" s="868"/>
      <c r="AG128" s="743"/>
      <c r="AH128" s="743"/>
      <c r="AI128" s="743"/>
      <c r="AJ128" s="743"/>
      <c r="AK128" s="868"/>
      <c r="AL128" s="743"/>
      <c r="AM128" s="291"/>
      <c r="AN128" s="291"/>
      <c r="AO128" s="291"/>
      <c r="AP128" s="864"/>
      <c r="AQ128" s="291"/>
      <c r="AR128" s="291"/>
      <c r="AS128" s="291"/>
      <c r="AT128" s="291"/>
      <c r="AU128" s="864"/>
      <c r="AV128" s="291"/>
      <c r="AW128" s="291"/>
      <c r="AX128" s="291"/>
      <c r="AY128" s="291"/>
      <c r="AZ128" s="864"/>
      <c r="BA128" s="291"/>
      <c r="BB128" s="291"/>
      <c r="BC128" s="291"/>
      <c r="BD128" s="291"/>
      <c r="BE128" s="868">
        <v>0</v>
      </c>
      <c r="BF128" s="291"/>
      <c r="BG128" s="291"/>
      <c r="BH128" s="291"/>
      <c r="BI128" s="291"/>
      <c r="BJ128" s="868">
        <v>0</v>
      </c>
      <c r="BK128" s="291"/>
      <c r="BL128" s="291"/>
      <c r="BM128" s="291"/>
      <c r="BN128" s="291"/>
      <c r="BO128" s="868">
        <v>0</v>
      </c>
      <c r="BP128" s="291"/>
      <c r="BQ128" s="291"/>
      <c r="BR128" s="291"/>
      <c r="BS128" s="291"/>
      <c r="BT128" s="868">
        <v>0</v>
      </c>
      <c r="BU128" s="291"/>
      <c r="BV128" s="291"/>
      <c r="BW128" s="291"/>
      <c r="BX128" s="291"/>
      <c r="BY128" s="868">
        <v>0</v>
      </c>
      <c r="BZ128" s="291"/>
      <c r="CA128" s="291"/>
      <c r="CB128" s="291"/>
      <c r="CC128" s="291"/>
      <c r="CD128" s="868">
        <v>0</v>
      </c>
      <c r="CE128" s="743">
        <v>0</v>
      </c>
      <c r="CF128" s="743">
        <v>0</v>
      </c>
      <c r="CG128" s="743">
        <v>0</v>
      </c>
      <c r="CH128" s="743">
        <v>0</v>
      </c>
      <c r="CI128" s="774">
        <v>0</v>
      </c>
      <c r="CJ128" s="774">
        <v>0</v>
      </c>
      <c r="CK128" s="774">
        <v>0</v>
      </c>
      <c r="CL128" s="774">
        <v>0</v>
      </c>
      <c r="CM128" s="774">
        <v>0</v>
      </c>
      <c r="CN128" s="291"/>
      <c r="CO128" s="683"/>
      <c r="CP128" s="291"/>
      <c r="CQ128" s="693"/>
    </row>
    <row r="129" spans="2:95" ht="16.5" customHeight="1" x14ac:dyDescent="0.25">
      <c r="B129" t="s">
        <v>706</v>
      </c>
      <c r="C129" s="743"/>
      <c r="D129" s="743"/>
      <c r="E129" s="743"/>
      <c r="F129" s="743"/>
      <c r="G129" s="868"/>
      <c r="H129" s="743"/>
      <c r="I129" s="743"/>
      <c r="J129" s="743"/>
      <c r="K129" s="743"/>
      <c r="L129" s="868"/>
      <c r="M129" s="743"/>
      <c r="N129" s="743"/>
      <c r="O129" s="743"/>
      <c r="P129" s="743"/>
      <c r="Q129" s="868"/>
      <c r="R129" s="743"/>
      <c r="S129" s="743"/>
      <c r="T129" s="743"/>
      <c r="U129" s="743"/>
      <c r="V129" s="868"/>
      <c r="W129" s="743"/>
      <c r="X129" s="743"/>
      <c r="Y129" s="743"/>
      <c r="Z129" s="743"/>
      <c r="AA129" s="868"/>
      <c r="AB129" s="743"/>
      <c r="AC129" s="743"/>
      <c r="AD129" s="743"/>
      <c r="AE129" s="743"/>
      <c r="AF129" s="868"/>
      <c r="AG129" s="743"/>
      <c r="AH129" s="743"/>
      <c r="AI129" s="743"/>
      <c r="AJ129" s="743"/>
      <c r="AK129" s="868"/>
      <c r="AL129" s="743"/>
      <c r="AM129" s="291"/>
      <c r="AN129" s="291"/>
      <c r="AO129" s="291"/>
      <c r="AP129" s="864"/>
      <c r="AQ129" s="291"/>
      <c r="AR129" s="291"/>
      <c r="AS129" s="291"/>
      <c r="AT129" s="291"/>
      <c r="AU129" s="864"/>
      <c r="AV129" s="291"/>
      <c r="AW129" s="291"/>
      <c r="AX129" s="291"/>
      <c r="AY129" s="291"/>
      <c r="AZ129" s="864"/>
      <c r="BA129" s="291"/>
      <c r="BB129" s="291"/>
      <c r="BC129" s="291"/>
      <c r="BD129" s="291"/>
      <c r="BE129" s="868">
        <v>0</v>
      </c>
      <c r="BF129" s="291"/>
      <c r="BG129" s="291"/>
      <c r="BH129" s="291"/>
      <c r="BI129" s="291"/>
      <c r="BJ129" s="868">
        <v>0</v>
      </c>
      <c r="BK129" s="291"/>
      <c r="BL129" s="291"/>
      <c r="BM129" s="291"/>
      <c r="BN129" s="291"/>
      <c r="BO129" s="868">
        <v>0</v>
      </c>
      <c r="BP129" s="291"/>
      <c r="BQ129" s="291"/>
      <c r="BR129" s="291"/>
      <c r="BS129" s="291"/>
      <c r="BT129" s="868">
        <v>0</v>
      </c>
      <c r="BU129" s="291"/>
      <c r="BV129" s="291"/>
      <c r="BW129" s="291"/>
      <c r="BX129" s="291"/>
      <c r="BY129" s="868">
        <v>0</v>
      </c>
      <c r="BZ129" s="291"/>
      <c r="CA129" s="291"/>
      <c r="CB129" s="291"/>
      <c r="CC129" s="291"/>
      <c r="CD129" s="868">
        <v>0</v>
      </c>
      <c r="CE129" s="743">
        <v>0</v>
      </c>
      <c r="CF129" s="743">
        <v>0</v>
      </c>
      <c r="CG129" s="743">
        <v>0</v>
      </c>
      <c r="CH129" s="743">
        <v>0</v>
      </c>
      <c r="CI129" s="774">
        <v>0</v>
      </c>
      <c r="CJ129" s="774">
        <v>0</v>
      </c>
      <c r="CK129" s="774">
        <v>0</v>
      </c>
      <c r="CL129" s="774">
        <v>0</v>
      </c>
      <c r="CM129" s="774">
        <v>0</v>
      </c>
      <c r="CN129" s="291"/>
      <c r="CO129" s="683"/>
      <c r="CP129" s="291"/>
      <c r="CQ129" s="693"/>
    </row>
    <row r="130" spans="2:95" ht="16.5" customHeight="1" x14ac:dyDescent="0.25">
      <c r="B130" t="s">
        <v>707</v>
      </c>
      <c r="C130" s="678"/>
      <c r="D130" s="678"/>
      <c r="E130" s="678"/>
      <c r="F130" s="678"/>
      <c r="G130" s="870">
        <f>G126-G127+G128+G129</f>
        <v>152.73599999999985</v>
      </c>
      <c r="H130" s="678"/>
      <c r="I130" s="678"/>
      <c r="J130" s="678"/>
      <c r="K130" s="678"/>
      <c r="L130" s="870">
        <f>L126-L127+L128+L129</f>
        <v>183.78499999999988</v>
      </c>
      <c r="M130" s="678"/>
      <c r="N130" s="678"/>
      <c r="O130" s="678"/>
      <c r="P130" s="678"/>
      <c r="Q130" s="870">
        <f>Q126-Q127+Q128+Q129</f>
        <v>208.84100000000007</v>
      </c>
      <c r="R130" s="678"/>
      <c r="S130" s="678"/>
      <c r="T130" s="678"/>
      <c r="U130" s="678"/>
      <c r="V130" s="870">
        <f>V126-V127+V128+V129</f>
        <v>165.0060000000002</v>
      </c>
      <c r="W130" s="678"/>
      <c r="X130" s="678"/>
      <c r="Y130" s="678"/>
      <c r="Z130" s="678"/>
      <c r="AA130" s="870">
        <f>AA126-AA127+AA128+AA129</f>
        <v>218.92300000000023</v>
      </c>
      <c r="AB130" s="678"/>
      <c r="AC130" s="678"/>
      <c r="AD130" s="678"/>
      <c r="AE130" s="678"/>
      <c r="AF130" s="870">
        <f>AF126-AF127+AF128+AF129</f>
        <v>183.83400000000023</v>
      </c>
      <c r="AG130" s="678"/>
      <c r="AH130" s="678"/>
      <c r="AI130" s="678"/>
      <c r="AJ130" s="678"/>
      <c r="AK130" s="870">
        <f>AK126-AK127+AK128+AK129</f>
        <v>169.49499999999983</v>
      </c>
      <c r="AL130" s="678"/>
      <c r="AM130" s="678"/>
      <c r="AN130" s="678"/>
      <c r="AO130" s="678"/>
      <c r="AP130" s="870">
        <f>AP126-AP127+AP128+AP129</f>
        <v>182.25499999999994</v>
      </c>
      <c r="AQ130" s="678"/>
      <c r="AR130" s="678"/>
      <c r="AS130" s="678"/>
      <c r="AT130" s="678"/>
      <c r="AU130" s="870">
        <f>AU126-AU127+AU128+AU129</f>
        <v>182.17899999999977</v>
      </c>
      <c r="AV130" s="678"/>
      <c r="AW130" s="678"/>
      <c r="AX130" s="678"/>
      <c r="AY130" s="678"/>
      <c r="AZ130" s="870">
        <f>AZ126-AZ127+AZ128+AZ129</f>
        <v>226.95199999999988</v>
      </c>
      <c r="BA130" s="678"/>
      <c r="BB130" s="678"/>
      <c r="BC130" s="678"/>
      <c r="BD130" s="678"/>
      <c r="BE130" s="870">
        <f>BE126-BE127+BE128+BE129</f>
        <v>5.4169999999999092</v>
      </c>
      <c r="BF130" s="775">
        <v>50.371000000000002</v>
      </c>
      <c r="BG130" s="775">
        <v>62.128</v>
      </c>
      <c r="BH130" s="775">
        <v>48.594999999999999</v>
      </c>
      <c r="BI130" s="775">
        <v>42.68</v>
      </c>
      <c r="BJ130" s="870">
        <f>SUM(BF130:BI130)</f>
        <v>203.774</v>
      </c>
      <c r="BK130" s="775">
        <v>61.423000000000002</v>
      </c>
      <c r="BL130" s="775">
        <v>38.713000000000001</v>
      </c>
      <c r="BM130" s="775">
        <v>59.808999999999997</v>
      </c>
      <c r="BN130" s="775">
        <v>43.033999999999999</v>
      </c>
      <c r="BO130" s="870">
        <f>SUM(BK130:BN130)</f>
        <v>202.97899999999998</v>
      </c>
      <c r="BP130" s="775">
        <v>60.301000000000002</v>
      </c>
      <c r="BQ130" s="775">
        <v>56.304000000000002</v>
      </c>
      <c r="BR130" s="775">
        <v>50.338000000000001</v>
      </c>
      <c r="BS130" s="775">
        <v>54.576999999999998</v>
      </c>
      <c r="BT130" s="870">
        <f>SUM(BP130:BS130)</f>
        <v>221.52</v>
      </c>
      <c r="BU130" s="775">
        <v>62.610999999999997</v>
      </c>
      <c r="BV130" s="775">
        <v>78.748999999999995</v>
      </c>
      <c r="BW130" s="775">
        <v>70.905000000000001</v>
      </c>
      <c r="BX130" s="775">
        <v>57.481000000000002</v>
      </c>
      <c r="BY130" s="870">
        <f>SUM(BU130:BX130)</f>
        <v>269.74599999999998</v>
      </c>
      <c r="BZ130" s="775">
        <v>68.578999999999994</v>
      </c>
      <c r="CA130" s="775">
        <v>73.578999999999994</v>
      </c>
      <c r="CB130" s="775">
        <v>77.981999999999999</v>
      </c>
      <c r="CC130" s="775">
        <v>92.507999999999996</v>
      </c>
      <c r="CD130" s="870">
        <f>SUM(BZ130:CC130)</f>
        <v>312.64799999999997</v>
      </c>
      <c r="CE130" s="678">
        <f t="shared" ref="CE130:CM130" si="54">CE126-CE127+CE128+CE129</f>
        <v>101.66499999999999</v>
      </c>
      <c r="CF130" s="678">
        <f t="shared" si="54"/>
        <v>108.81899999999985</v>
      </c>
      <c r="CG130" s="678">
        <f t="shared" si="54"/>
        <v>104.01211226806161</v>
      </c>
      <c r="CH130" s="678">
        <f t="shared" si="54"/>
        <v>92.314144065272203</v>
      </c>
      <c r="CI130" s="752">
        <f t="shared" si="54"/>
        <v>406.81025633333354</v>
      </c>
      <c r="CJ130" s="752">
        <f t="shared" si="54"/>
        <v>477.67119923555538</v>
      </c>
      <c r="CK130" s="752">
        <f t="shared" si="54"/>
        <v>546.63614722203738</v>
      </c>
      <c r="CL130" s="752">
        <f t="shared" si="54"/>
        <v>630.45743204664302</v>
      </c>
      <c r="CM130" s="752">
        <f t="shared" si="54"/>
        <v>720.04624639780343</v>
      </c>
      <c r="CN130" s="678"/>
      <c r="CO130" s="685"/>
      <c r="CP130" s="678"/>
      <c r="CQ130" s="693"/>
    </row>
    <row r="131" spans="2:95" ht="16.5" customHeight="1" x14ac:dyDescent="0.25">
      <c r="B131" t="s">
        <v>708</v>
      </c>
      <c r="C131" s="743"/>
      <c r="D131" s="743"/>
      <c r="E131" s="743"/>
      <c r="F131" s="743"/>
      <c r="G131" s="868">
        <v>41.341999999999999</v>
      </c>
      <c r="H131" s="743"/>
      <c r="I131" s="743"/>
      <c r="J131" s="743"/>
      <c r="K131" s="743"/>
      <c r="L131" s="868">
        <v>47.764000000000003</v>
      </c>
      <c r="M131" s="743"/>
      <c r="N131" s="743"/>
      <c r="O131" s="743"/>
      <c r="P131" s="743"/>
      <c r="Q131" s="868">
        <v>56.378999999999998</v>
      </c>
      <c r="R131" s="743"/>
      <c r="S131" s="743"/>
      <c r="T131" s="743"/>
      <c r="U131" s="743"/>
      <c r="V131" s="868">
        <v>44.509</v>
      </c>
      <c r="W131" s="743"/>
      <c r="X131" s="743"/>
      <c r="Y131" s="743"/>
      <c r="Z131" s="743"/>
      <c r="AA131" s="868">
        <v>60.725000000000001</v>
      </c>
      <c r="AB131" s="743"/>
      <c r="AC131" s="743"/>
      <c r="AD131" s="743"/>
      <c r="AE131" s="743"/>
      <c r="AF131" s="868">
        <v>51.951000000000001</v>
      </c>
      <c r="AG131" s="743"/>
      <c r="AH131" s="743"/>
      <c r="AI131" s="743"/>
      <c r="AJ131" s="743"/>
      <c r="AK131" s="868">
        <v>49.226999999999997</v>
      </c>
      <c r="AL131" s="743"/>
      <c r="AM131" s="291"/>
      <c r="AN131" s="291"/>
      <c r="AO131" s="291"/>
      <c r="AP131" s="868">
        <v>41.301000000000002</v>
      </c>
      <c r="AQ131" s="291"/>
      <c r="AR131" s="291"/>
      <c r="AS131" s="291"/>
      <c r="AT131" s="291"/>
      <c r="AU131" s="868">
        <v>86.817999999999998</v>
      </c>
      <c r="AV131" s="291"/>
      <c r="AW131" s="291"/>
      <c r="AX131" s="291"/>
      <c r="AY131" s="291"/>
      <c r="AZ131" s="868">
        <v>52.404000000000003</v>
      </c>
      <c r="BA131" s="291"/>
      <c r="BB131" s="291"/>
      <c r="BC131" s="291"/>
      <c r="BD131" s="291"/>
      <c r="BE131" s="868">
        <v>-3.7879999999999998</v>
      </c>
      <c r="BF131" s="743">
        <v>12.529</v>
      </c>
      <c r="BG131" s="743">
        <v>13.44</v>
      </c>
      <c r="BH131" s="743">
        <v>12.473000000000001</v>
      </c>
      <c r="BI131" s="743">
        <v>8.1120000000000001</v>
      </c>
      <c r="BJ131" s="864">
        <f>SUM(BF131:BI131)</f>
        <v>46.554000000000002</v>
      </c>
      <c r="BK131" s="743">
        <v>15.157999999999999</v>
      </c>
      <c r="BL131" s="743">
        <v>9.6259999999999994</v>
      </c>
      <c r="BM131" s="743">
        <v>9.4</v>
      </c>
      <c r="BN131" s="743">
        <v>13.618</v>
      </c>
      <c r="BO131" s="864">
        <f>SUM(BK131:BN131)</f>
        <v>47.802</v>
      </c>
      <c r="BP131" s="743">
        <v>14.285</v>
      </c>
      <c r="BQ131" s="743">
        <v>13.291</v>
      </c>
      <c r="BR131" s="743">
        <v>7.9509999999999996</v>
      </c>
      <c r="BS131" s="743">
        <v>10.837</v>
      </c>
      <c r="BT131" s="864">
        <f>SUM(BP131:BS131)</f>
        <v>46.364000000000004</v>
      </c>
      <c r="BU131" s="743">
        <v>14.798999999999999</v>
      </c>
      <c r="BV131" s="743">
        <v>18.745999999999999</v>
      </c>
      <c r="BW131" s="743">
        <v>14.545</v>
      </c>
      <c r="BX131" s="743">
        <v>12.87</v>
      </c>
      <c r="BY131" s="864">
        <f>SUM(BU131:BX131)</f>
        <v>60.96</v>
      </c>
      <c r="BZ131" s="743">
        <v>15.465999999999999</v>
      </c>
      <c r="CA131" s="743">
        <v>17.824999999999999</v>
      </c>
      <c r="CB131" s="743">
        <v>18.274999999999999</v>
      </c>
      <c r="CC131" s="743">
        <v>26.053999999999998</v>
      </c>
      <c r="CD131" s="864">
        <f>SUM(BZ131:CC131)</f>
        <v>77.61999999999999</v>
      </c>
      <c r="CE131" s="743">
        <v>22.353000000000002</v>
      </c>
      <c r="CF131" s="743">
        <v>26.98</v>
      </c>
      <c r="CG131" s="291">
        <f>CG130*CI132</f>
        <v>24.962906944334787</v>
      </c>
      <c r="CH131" s="291">
        <f>CI131-CE131-CF131-CG131</f>
        <v>23.33855457566526</v>
      </c>
      <c r="CI131" s="749">
        <f>CI130*CI132</f>
        <v>97.634461520000045</v>
      </c>
      <c r="CJ131" s="749">
        <f>CJ130*CJ132</f>
        <v>112.25273182035551</v>
      </c>
      <c r="CK131" s="749">
        <f>CK130*CK132</f>
        <v>128.45949459717878</v>
      </c>
      <c r="CL131" s="749">
        <f>CL130*CL132</f>
        <v>148.15749653096111</v>
      </c>
      <c r="CM131" s="749">
        <f>CM130*CM132</f>
        <v>169.2108679034838</v>
      </c>
      <c r="CN131" s="291"/>
      <c r="CO131" s="683"/>
      <c r="CP131" s="291"/>
      <c r="CQ131" s="694" t="s">
        <v>840</v>
      </c>
    </row>
    <row r="132" spans="2:95" ht="16.5" customHeight="1" x14ac:dyDescent="0.25">
      <c r="B132" s="12" t="s">
        <v>341</v>
      </c>
      <c r="C132" s="827"/>
      <c r="D132" s="827"/>
      <c r="E132" s="827"/>
      <c r="F132" s="827"/>
      <c r="G132" s="873">
        <f>G131/G130</f>
        <v>0.27067619945526949</v>
      </c>
      <c r="H132" s="827"/>
      <c r="I132" s="827"/>
      <c r="J132" s="827"/>
      <c r="K132" s="827"/>
      <c r="L132" s="873">
        <f>L131/L130</f>
        <v>0.25989063307669308</v>
      </c>
      <c r="M132" s="827"/>
      <c r="N132" s="827"/>
      <c r="O132" s="827"/>
      <c r="P132" s="827"/>
      <c r="Q132" s="873">
        <f>Q131/Q130</f>
        <v>0.26996135816242972</v>
      </c>
      <c r="R132" s="827"/>
      <c r="S132" s="827"/>
      <c r="T132" s="827"/>
      <c r="U132" s="827"/>
      <c r="V132" s="873">
        <f>V131/V130</f>
        <v>0.26974170636219258</v>
      </c>
      <c r="W132" s="827"/>
      <c r="X132" s="827"/>
      <c r="Y132" s="827"/>
      <c r="Z132" s="827"/>
      <c r="AA132" s="873">
        <f>AA131/AA130</f>
        <v>0.27738063154625114</v>
      </c>
      <c r="AB132" s="827"/>
      <c r="AC132" s="827"/>
      <c r="AD132" s="827"/>
      <c r="AE132" s="827"/>
      <c r="AF132" s="873">
        <f>AF131/AF130</f>
        <v>0.28259734325532782</v>
      </c>
      <c r="AG132" s="827"/>
      <c r="AH132" s="827"/>
      <c r="AI132" s="827"/>
      <c r="AJ132" s="827"/>
      <c r="AK132" s="873">
        <f>AK131/AK130</f>
        <v>0.29043334611640487</v>
      </c>
      <c r="AL132" s="827"/>
      <c r="AM132" s="827"/>
      <c r="AN132" s="827"/>
      <c r="AO132" s="827"/>
      <c r="AP132" s="873">
        <f>AP131/AP130</f>
        <v>0.22661106691174462</v>
      </c>
      <c r="AQ132" s="827"/>
      <c r="AR132" s="827"/>
      <c r="AS132" s="827"/>
      <c r="AT132" s="827"/>
      <c r="AU132" s="873">
        <f>AU131/AU130</f>
        <v>0.47655328001580921</v>
      </c>
      <c r="AV132" s="827"/>
      <c r="AW132" s="827"/>
      <c r="AX132" s="827"/>
      <c r="AY132" s="827"/>
      <c r="AZ132" s="873">
        <f>AZ131/AZ130</f>
        <v>0.23090345094998074</v>
      </c>
      <c r="BA132" s="827"/>
      <c r="BB132" s="827"/>
      <c r="BC132" s="827"/>
      <c r="BD132" s="827"/>
      <c r="BE132" s="873">
        <f>BE131/BE130</f>
        <v>-0.69928004430497748</v>
      </c>
      <c r="BF132" s="827">
        <f t="shared" ref="BF132:CD132" si="55">IFERROR(BF131/BF130,0)</f>
        <v>0.24873439082011473</v>
      </c>
      <c r="BG132" s="827">
        <f t="shared" si="55"/>
        <v>0.21632758176667524</v>
      </c>
      <c r="BH132" s="827">
        <f t="shared" si="55"/>
        <v>0.25667249717049079</v>
      </c>
      <c r="BI132" s="827">
        <f t="shared" si="55"/>
        <v>0.19006560449859419</v>
      </c>
      <c r="BJ132" s="873">
        <f t="shared" si="55"/>
        <v>0.22845897906504264</v>
      </c>
      <c r="BK132" s="827">
        <f t="shared" si="55"/>
        <v>0.24678052195431677</v>
      </c>
      <c r="BL132" s="827">
        <f t="shared" si="55"/>
        <v>0.24865032418050781</v>
      </c>
      <c r="BM132" s="827">
        <f t="shared" si="55"/>
        <v>0.15716698155795952</v>
      </c>
      <c r="BN132" s="827">
        <f t="shared" si="55"/>
        <v>0.31644746014779013</v>
      </c>
      <c r="BO132" s="873">
        <f t="shared" si="55"/>
        <v>0.23550219480832993</v>
      </c>
      <c r="BP132" s="827">
        <f t="shared" si="55"/>
        <v>0.23689491053216363</v>
      </c>
      <c r="BQ132" s="827">
        <f t="shared" si="55"/>
        <v>0.23605782892867291</v>
      </c>
      <c r="BR132" s="827">
        <f t="shared" si="55"/>
        <v>0.15795224283841233</v>
      </c>
      <c r="BS132" s="827">
        <f t="shared" si="55"/>
        <v>0.19856349744397822</v>
      </c>
      <c r="BT132" s="873">
        <f t="shared" si="55"/>
        <v>0.20929938605994944</v>
      </c>
      <c r="BU132" s="827">
        <f t="shared" si="55"/>
        <v>0.236364217150341</v>
      </c>
      <c r="BV132" s="827">
        <f t="shared" si="55"/>
        <v>0.23804746726942563</v>
      </c>
      <c r="BW132" s="827">
        <f t="shared" si="55"/>
        <v>0.20513362950426628</v>
      </c>
      <c r="BX132" s="827">
        <f t="shared" si="55"/>
        <v>0.22390007132791703</v>
      </c>
      <c r="BY132" s="873">
        <f t="shared" si="55"/>
        <v>0.22599037613162012</v>
      </c>
      <c r="BZ132" s="827">
        <f t="shared" si="55"/>
        <v>0.22552093206375132</v>
      </c>
      <c r="CA132" s="827">
        <f t="shared" si="55"/>
        <v>0.24225662213403282</v>
      </c>
      <c r="CB132" s="827">
        <f t="shared" si="55"/>
        <v>0.23434895232233077</v>
      </c>
      <c r="CC132" s="827">
        <f t="shared" si="55"/>
        <v>0.28164050676698232</v>
      </c>
      <c r="CD132" s="873">
        <f t="shared" si="55"/>
        <v>0.2482664210230035</v>
      </c>
      <c r="CE132" s="241">
        <f>IFERROR(CE131/CE130,0)</f>
        <v>0.21986917818324894</v>
      </c>
      <c r="CF132" s="241">
        <f>IFERROR(CF131/CF130,0)</f>
        <v>0.2479346437662544</v>
      </c>
      <c r="CG132" s="241">
        <f>CI132</f>
        <v>0.24</v>
      </c>
      <c r="CH132" s="241">
        <f>IFERROR(CH131/CH130,0)</f>
        <v>0.25281667085775456</v>
      </c>
      <c r="CI132" s="852">
        <v>0.24</v>
      </c>
      <c r="CJ132" s="852">
        <v>0.23499999999999999</v>
      </c>
      <c r="CK132" s="852">
        <v>0.23499999999999999</v>
      </c>
      <c r="CL132" s="852">
        <v>0.23499999999999999</v>
      </c>
      <c r="CM132" s="852">
        <v>0.23499999999999999</v>
      </c>
      <c r="CN132" s="241"/>
      <c r="CO132" s="683"/>
      <c r="CP132" s="241"/>
      <c r="CQ132" s="693"/>
    </row>
    <row r="133" spans="2:95" ht="16.5" customHeight="1" x14ac:dyDescent="0.25">
      <c r="B133" s="701" t="s">
        <v>879</v>
      </c>
      <c r="C133" s="274"/>
      <c r="D133" s="274"/>
      <c r="E133" s="274"/>
      <c r="F133" s="274"/>
      <c r="G133" s="871">
        <f>G130-G131</f>
        <v>111.39399999999985</v>
      </c>
      <c r="H133" s="274"/>
      <c r="I133" s="274"/>
      <c r="J133" s="274"/>
      <c r="K133" s="274"/>
      <c r="L133" s="871">
        <f>L130-L131</f>
        <v>136.02099999999987</v>
      </c>
      <c r="M133" s="274"/>
      <c r="N133" s="274"/>
      <c r="O133" s="274"/>
      <c r="P133" s="274"/>
      <c r="Q133" s="871">
        <f>Q130-Q131</f>
        <v>152.46200000000007</v>
      </c>
      <c r="R133" s="274"/>
      <c r="S133" s="274"/>
      <c r="T133" s="274"/>
      <c r="U133" s="274"/>
      <c r="V133" s="871">
        <f>V130-V131</f>
        <v>120.4970000000002</v>
      </c>
      <c r="W133" s="274"/>
      <c r="X133" s="274"/>
      <c r="Y133" s="274"/>
      <c r="Z133" s="274"/>
      <c r="AA133" s="871">
        <f>AA130-AA131</f>
        <v>158.19800000000023</v>
      </c>
      <c r="AB133" s="274"/>
      <c r="AC133" s="274"/>
      <c r="AD133" s="274"/>
      <c r="AE133" s="274"/>
      <c r="AF133" s="871">
        <f>AF130-AF131</f>
        <v>131.88300000000024</v>
      </c>
      <c r="AG133" s="274"/>
      <c r="AH133" s="274"/>
      <c r="AI133" s="274"/>
      <c r="AJ133" s="274"/>
      <c r="AK133" s="871">
        <f>AK130-AK131</f>
        <v>120.26799999999983</v>
      </c>
      <c r="AL133" s="274"/>
      <c r="AM133" s="274"/>
      <c r="AN133" s="274"/>
      <c r="AO133" s="274"/>
      <c r="AP133" s="871">
        <f>AP130-AP131</f>
        <v>140.95399999999995</v>
      </c>
      <c r="AQ133" s="274"/>
      <c r="AR133" s="274"/>
      <c r="AS133" s="274"/>
      <c r="AT133" s="274"/>
      <c r="AU133" s="871">
        <f>AU130-AU131</f>
        <v>95.360999999999777</v>
      </c>
      <c r="AV133" s="274"/>
      <c r="AW133" s="274"/>
      <c r="AX133" s="274"/>
      <c r="AY133" s="274"/>
      <c r="AZ133" s="871">
        <f>AZ130-AZ131</f>
        <v>174.54799999999989</v>
      </c>
      <c r="BA133" s="274"/>
      <c r="BB133" s="274"/>
      <c r="BC133" s="274"/>
      <c r="BD133" s="274"/>
      <c r="BE133" s="871">
        <f t="shared" ref="BE133:CM133" si="56">BE130-BE131</f>
        <v>9.2049999999999095</v>
      </c>
      <c r="BF133" s="274">
        <f t="shared" si="56"/>
        <v>37.841999999999999</v>
      </c>
      <c r="BG133" s="274">
        <f t="shared" si="56"/>
        <v>48.688000000000002</v>
      </c>
      <c r="BH133" s="274">
        <f t="shared" si="56"/>
        <v>36.122</v>
      </c>
      <c r="BI133" s="274">
        <f t="shared" si="56"/>
        <v>34.567999999999998</v>
      </c>
      <c r="BJ133" s="871">
        <f t="shared" si="56"/>
        <v>157.22</v>
      </c>
      <c r="BK133" s="274">
        <f t="shared" si="56"/>
        <v>46.265000000000001</v>
      </c>
      <c r="BL133" s="274">
        <f t="shared" si="56"/>
        <v>29.087000000000003</v>
      </c>
      <c r="BM133" s="274">
        <f t="shared" si="56"/>
        <v>50.408999999999999</v>
      </c>
      <c r="BN133" s="274">
        <f t="shared" si="56"/>
        <v>29.415999999999997</v>
      </c>
      <c r="BO133" s="871">
        <f t="shared" si="56"/>
        <v>155.17699999999999</v>
      </c>
      <c r="BP133" s="274">
        <f t="shared" si="56"/>
        <v>46.016000000000005</v>
      </c>
      <c r="BQ133" s="274">
        <f t="shared" si="56"/>
        <v>43.013000000000005</v>
      </c>
      <c r="BR133" s="274">
        <f t="shared" si="56"/>
        <v>42.387</v>
      </c>
      <c r="BS133" s="274">
        <f t="shared" si="56"/>
        <v>43.739999999999995</v>
      </c>
      <c r="BT133" s="871">
        <f t="shared" si="56"/>
        <v>175.15600000000001</v>
      </c>
      <c r="BU133" s="274">
        <f t="shared" si="56"/>
        <v>47.811999999999998</v>
      </c>
      <c r="BV133" s="274">
        <f t="shared" si="56"/>
        <v>60.003</v>
      </c>
      <c r="BW133" s="274">
        <f t="shared" si="56"/>
        <v>56.36</v>
      </c>
      <c r="BX133" s="274">
        <f t="shared" si="56"/>
        <v>44.611000000000004</v>
      </c>
      <c r="BY133" s="871">
        <f t="shared" si="56"/>
        <v>208.78599999999997</v>
      </c>
      <c r="BZ133" s="274">
        <f t="shared" si="56"/>
        <v>53.112999999999992</v>
      </c>
      <c r="CA133" s="274">
        <f t="shared" si="56"/>
        <v>55.753999999999991</v>
      </c>
      <c r="CB133" s="274">
        <f t="shared" si="56"/>
        <v>59.707000000000001</v>
      </c>
      <c r="CC133" s="274">
        <f t="shared" si="56"/>
        <v>66.453999999999994</v>
      </c>
      <c r="CD133" s="871">
        <f t="shared" si="56"/>
        <v>235.02799999999996</v>
      </c>
      <c r="CE133" s="274">
        <f>CE130-CE131</f>
        <v>79.311999999999983</v>
      </c>
      <c r="CF133" s="274">
        <f>CF130-CF131</f>
        <v>81.838999999999842</v>
      </c>
      <c r="CG133" s="274">
        <f>CG130-CG131</f>
        <v>79.049205323726824</v>
      </c>
      <c r="CH133" s="274">
        <f>CH130-CH131</f>
        <v>68.975589489606946</v>
      </c>
      <c r="CI133" s="274">
        <f t="shared" si="56"/>
        <v>309.17579481333348</v>
      </c>
      <c r="CJ133" s="274">
        <f t="shared" si="56"/>
        <v>365.41846741519987</v>
      </c>
      <c r="CK133" s="274">
        <f t="shared" si="56"/>
        <v>418.1766526248586</v>
      </c>
      <c r="CL133" s="274">
        <f t="shared" si="56"/>
        <v>482.29993551568191</v>
      </c>
      <c r="CM133" s="274">
        <f t="shared" si="56"/>
        <v>550.83537849431968</v>
      </c>
      <c r="CN133" s="274"/>
      <c r="CO133" s="686">
        <f>(CM133/CD133)^(1/5)-1</f>
        <v>0.18571535550911444</v>
      </c>
      <c r="CP133" s="274"/>
      <c r="CQ133" s="694" t="s">
        <v>841</v>
      </c>
    </row>
    <row r="134" spans="2:95" ht="16.5" customHeight="1" x14ac:dyDescent="0.25">
      <c r="C134" s="291"/>
      <c r="D134" s="291"/>
      <c r="E134" s="291"/>
      <c r="F134" s="291"/>
      <c r="G134" s="864"/>
      <c r="H134" s="291"/>
      <c r="I134" s="291"/>
      <c r="J134" s="291"/>
      <c r="K134" s="291"/>
      <c r="L134" s="864"/>
      <c r="M134" s="291"/>
      <c r="N134" s="291"/>
      <c r="O134" s="291"/>
      <c r="P134" s="291"/>
      <c r="Q134" s="864"/>
      <c r="R134" s="291"/>
      <c r="S134" s="291"/>
      <c r="T134" s="291"/>
      <c r="U134" s="291"/>
      <c r="V134" s="864"/>
      <c r="W134" s="291"/>
      <c r="X134" s="291"/>
      <c r="Y134" s="291"/>
      <c r="Z134" s="291"/>
      <c r="AA134" s="864"/>
      <c r="AB134" s="291"/>
      <c r="AC134" s="291"/>
      <c r="AD134" s="291"/>
      <c r="AE134" s="291"/>
      <c r="AF134" s="864"/>
      <c r="AG134" s="291"/>
      <c r="AH134" s="291"/>
      <c r="AI134" s="291"/>
      <c r="AJ134" s="291"/>
      <c r="AK134" s="864"/>
      <c r="AL134" s="291"/>
      <c r="AM134" s="291"/>
      <c r="AN134" s="291"/>
      <c r="AO134" s="291"/>
      <c r="AP134" s="864"/>
      <c r="AQ134" s="291"/>
      <c r="AR134" s="291"/>
      <c r="AS134" s="291"/>
      <c r="AT134" s="291"/>
      <c r="AU134" s="864"/>
      <c r="AV134" s="291"/>
      <c r="AW134" s="291"/>
      <c r="AX134" s="291"/>
      <c r="AY134" s="291"/>
      <c r="AZ134" s="864"/>
      <c r="BA134" s="291"/>
      <c r="BB134" s="291"/>
      <c r="BC134" s="291"/>
      <c r="BD134" s="291"/>
      <c r="BE134" s="864"/>
      <c r="BF134" s="291"/>
      <c r="BG134" s="291"/>
      <c r="BH134" s="291"/>
      <c r="BI134" s="291"/>
      <c r="BJ134" s="864"/>
      <c r="BK134" s="291"/>
      <c r="BL134" s="291"/>
      <c r="BM134" s="291"/>
      <c r="BN134" s="291"/>
      <c r="BO134" s="864"/>
      <c r="BP134" s="291"/>
      <c r="BQ134" s="291"/>
      <c r="BR134" s="291"/>
      <c r="BS134" s="291"/>
      <c r="BT134" s="864"/>
      <c r="BU134" s="291"/>
      <c r="BV134" s="291"/>
      <c r="BW134" s="291"/>
      <c r="BX134" s="291"/>
      <c r="BY134" s="864"/>
      <c r="BZ134" s="291"/>
      <c r="CA134" s="291"/>
      <c r="CB134" s="291"/>
      <c r="CC134" s="291"/>
      <c r="CD134" s="864"/>
      <c r="CE134" s="291"/>
      <c r="CF134" s="291"/>
      <c r="CG134" s="291"/>
      <c r="CH134" s="291"/>
      <c r="CI134" s="749"/>
      <c r="CJ134" s="749"/>
      <c r="CK134" s="749"/>
      <c r="CL134" s="749"/>
      <c r="CM134" s="749"/>
      <c r="CN134" s="291"/>
      <c r="CO134" s="683"/>
      <c r="CP134" s="291"/>
      <c r="CQ134" s="693"/>
    </row>
    <row r="135" spans="2:95" ht="16.5" customHeight="1" x14ac:dyDescent="0.25">
      <c r="B135" s="223" t="s">
        <v>709</v>
      </c>
      <c r="C135" s="828"/>
      <c r="D135" s="828"/>
      <c r="E135" s="828"/>
      <c r="F135" s="828"/>
      <c r="G135" s="874"/>
      <c r="H135" s="828"/>
      <c r="I135" s="828"/>
      <c r="J135" s="828"/>
      <c r="K135" s="828"/>
      <c r="L135" s="874"/>
      <c r="M135" s="828"/>
      <c r="N135" s="828"/>
      <c r="O135" s="828"/>
      <c r="P135" s="828"/>
      <c r="Q135" s="874"/>
      <c r="R135" s="828"/>
      <c r="S135" s="828"/>
      <c r="T135" s="828"/>
      <c r="U135" s="828"/>
      <c r="V135" s="874"/>
      <c r="W135" s="828"/>
      <c r="X135" s="828"/>
      <c r="Y135" s="828"/>
      <c r="Z135" s="828"/>
      <c r="AA135" s="874"/>
      <c r="AB135" s="828"/>
      <c r="AC135" s="828"/>
      <c r="AD135" s="828"/>
      <c r="AE135" s="828"/>
      <c r="AF135" s="874"/>
      <c r="AG135" s="828"/>
      <c r="AH135" s="828"/>
      <c r="AI135" s="828"/>
      <c r="AJ135" s="828"/>
      <c r="AK135" s="874"/>
      <c r="AL135" s="828"/>
      <c r="AM135" s="828"/>
      <c r="AN135" s="828"/>
      <c r="AO135" s="828"/>
      <c r="AP135" s="874"/>
      <c r="AQ135" s="828"/>
      <c r="AR135" s="828"/>
      <c r="AS135" s="828"/>
      <c r="AT135" s="828"/>
      <c r="AU135" s="874"/>
      <c r="AV135" s="828"/>
      <c r="AW135" s="828"/>
      <c r="AX135" s="828"/>
      <c r="AY135" s="828"/>
      <c r="AZ135" s="874"/>
      <c r="BA135" s="828"/>
      <c r="BB135" s="828"/>
      <c r="BC135" s="828"/>
      <c r="BD135" s="828"/>
      <c r="BE135" s="874"/>
      <c r="BF135" s="828"/>
      <c r="BG135" s="828"/>
      <c r="BH135" s="828"/>
      <c r="BI135" s="828"/>
      <c r="BJ135" s="874"/>
      <c r="BK135" s="828"/>
      <c r="BL135" s="828"/>
      <c r="BM135" s="828"/>
      <c r="BN135" s="828"/>
      <c r="BO135" s="874"/>
      <c r="BP135" s="828"/>
      <c r="BQ135" s="828"/>
      <c r="BR135" s="828"/>
      <c r="BS135" s="828"/>
      <c r="BT135" s="874"/>
      <c r="BU135" s="828"/>
      <c r="BV135" s="828"/>
      <c r="BW135" s="828"/>
      <c r="BX135" s="828"/>
      <c r="BY135" s="874"/>
      <c r="BZ135" s="828"/>
      <c r="CA135" s="828"/>
      <c r="CB135" s="828"/>
      <c r="CC135" s="828"/>
      <c r="CD135" s="874"/>
      <c r="CE135" s="224"/>
      <c r="CF135" s="224"/>
      <c r="CG135" s="224"/>
      <c r="CH135" s="224"/>
      <c r="CI135" s="828"/>
      <c r="CJ135" s="828"/>
      <c r="CK135" s="828"/>
      <c r="CL135" s="828"/>
      <c r="CM135" s="828"/>
      <c r="CN135" s="224"/>
      <c r="CO135" s="684"/>
      <c r="CP135" s="224"/>
      <c r="CQ135" s="693"/>
    </row>
    <row r="136" spans="2:95" ht="16.5" customHeight="1" x14ac:dyDescent="0.25">
      <c r="B136" s="8" t="s">
        <v>710</v>
      </c>
      <c r="C136" s="812"/>
      <c r="D136" s="812"/>
      <c r="E136" s="812"/>
      <c r="F136" s="812"/>
      <c r="G136" s="875">
        <v>2.38</v>
      </c>
      <c r="H136" s="812"/>
      <c r="I136" s="812"/>
      <c r="J136" s="812"/>
      <c r="K136" s="812"/>
      <c r="L136" s="875">
        <v>2.99</v>
      </c>
      <c r="M136" s="812"/>
      <c r="N136" s="812"/>
      <c r="O136" s="812"/>
      <c r="P136" s="812"/>
      <c r="Q136" s="875">
        <v>3.37</v>
      </c>
      <c r="R136" s="812"/>
      <c r="S136" s="812"/>
      <c r="T136" s="812"/>
      <c r="U136" s="812"/>
      <c r="V136" s="875">
        <v>2.66</v>
      </c>
      <c r="W136" s="812"/>
      <c r="X136" s="812"/>
      <c r="Y136" s="812"/>
      <c r="Z136" s="812"/>
      <c r="AA136" s="875">
        <v>3.57</v>
      </c>
      <c r="AB136" s="812"/>
      <c r="AC136" s="812"/>
      <c r="AD136" s="812"/>
      <c r="AE136" s="812"/>
      <c r="AF136" s="908">
        <f>IFERROR(AF133/AF138*1000,"")</f>
        <v>3.3863145472640559</v>
      </c>
      <c r="AG136" s="812"/>
      <c r="AH136" s="812"/>
      <c r="AI136" s="812"/>
      <c r="AJ136" s="812"/>
      <c r="AK136" s="908">
        <f>IFERROR(AK133/AK138*1000,"")</f>
        <v>3.3289920363052405</v>
      </c>
      <c r="AL136" s="812"/>
      <c r="AM136" s="776"/>
      <c r="AN136" s="776"/>
      <c r="AO136" s="776"/>
      <c r="AP136" s="908">
        <f>IFERROR(AP133/AP138*1000,"")</f>
        <v>3.9315028083995815</v>
      </c>
      <c r="AQ136" s="776"/>
      <c r="AR136" s="776"/>
      <c r="AS136" s="776"/>
      <c r="AT136" s="776"/>
      <c r="AU136" s="908">
        <f>IFERROR(AU133/AU138*1000,"")</f>
        <v>2.6740499132429023</v>
      </c>
      <c r="AV136" s="776"/>
      <c r="AW136" s="776"/>
      <c r="AX136" s="776"/>
      <c r="AY136" s="776"/>
      <c r="AZ136" s="908">
        <f>IFERROR(AZ133/AZ138*1000,"")</f>
        <v>5.0078879083268539</v>
      </c>
      <c r="BA136" s="776"/>
      <c r="BB136" s="776"/>
      <c r="BC136" s="776"/>
      <c r="BD136" s="776"/>
      <c r="BE136" s="908">
        <f t="shared" ref="BE136:CD136" si="57">IFERROR(BE133/BE138*1000,"")</f>
        <v>0.27677814245874455</v>
      </c>
      <c r="BF136" s="776">
        <f t="shared" si="57"/>
        <v>1.1798020213517291</v>
      </c>
      <c r="BG136" s="776">
        <f t="shared" si="57"/>
        <v>1.5145780470112111</v>
      </c>
      <c r="BH136" s="776">
        <f t="shared" si="57"/>
        <v>1.1244018930243753</v>
      </c>
      <c r="BI136" s="776">
        <f t="shared" si="57"/>
        <v>1.0764625673750565</v>
      </c>
      <c r="BJ136" s="908">
        <f t="shared" si="57"/>
        <v>4.8958992375233281</v>
      </c>
      <c r="BK136" s="776">
        <f t="shared" si="57"/>
        <v>1.4431925684301461</v>
      </c>
      <c r="BL136" s="776">
        <f t="shared" si="57"/>
        <v>0.90940429782088772</v>
      </c>
      <c r="BM136" s="776">
        <f t="shared" si="57"/>
        <v>1.5791117309340716</v>
      </c>
      <c r="BN136" s="776">
        <f t="shared" si="57"/>
        <v>0.91989732024554016</v>
      </c>
      <c r="BO136" s="908">
        <f t="shared" si="57"/>
        <v>4.8526960315386924</v>
      </c>
      <c r="BP136" s="776">
        <f t="shared" si="57"/>
        <v>1.4495054038459838</v>
      </c>
      <c r="BQ136" s="776">
        <f t="shared" si="57"/>
        <v>1.3505655275315924</v>
      </c>
      <c r="BR136" s="776">
        <f t="shared" si="57"/>
        <v>1.3312934426472021</v>
      </c>
      <c r="BS136" s="776">
        <f t="shared" si="57"/>
        <v>1.3741024784517388</v>
      </c>
      <c r="BT136" s="908">
        <f t="shared" si="57"/>
        <v>5.5025673003130491</v>
      </c>
      <c r="BU136" s="776">
        <f t="shared" si="57"/>
        <v>1.4987100692835245</v>
      </c>
      <c r="BV136" s="776">
        <f t="shared" si="57"/>
        <v>1.8769808195914968</v>
      </c>
      <c r="BW136" s="776">
        <f t="shared" si="57"/>
        <v>1.7634452137528076</v>
      </c>
      <c r="BX136" s="776">
        <f t="shared" si="57"/>
        <v>1.396070542260637</v>
      </c>
      <c r="BY136" s="908">
        <f t="shared" si="57"/>
        <v>6.5338141766925029</v>
      </c>
      <c r="BZ136" s="776">
        <f t="shared" si="57"/>
        <v>1.6612627849173738</v>
      </c>
      <c r="CA136" s="776">
        <f t="shared" si="57"/>
        <v>1.7666944289775148</v>
      </c>
      <c r="CB136" s="776">
        <f t="shared" si="57"/>
        <v>1.8939572369217204</v>
      </c>
      <c r="CC136" s="776">
        <f t="shared" si="57"/>
        <v>2.097645601617157</v>
      </c>
      <c r="CD136" s="908">
        <f t="shared" si="57"/>
        <v>7.4187475615745813</v>
      </c>
      <c r="CE136" s="776">
        <f>IFERROR(CE133/CE138*1000,"")</f>
        <v>2.5037847836103868</v>
      </c>
      <c r="CF136" s="776">
        <f>IFERROR(CF133/CF138*1000,"")</f>
        <v>2.5804053278579926</v>
      </c>
      <c r="CG136" s="776">
        <f>IFERROR(CG133/CG138*1000,"")</f>
        <v>2.4924423634243515</v>
      </c>
      <c r="CH136" s="776">
        <f>IFERROR(CH133/CH138*1000,"")</f>
        <v>2.1748185902946986</v>
      </c>
      <c r="CI136" s="813">
        <f>CI133/CI138*1000</f>
        <v>9.918031371612587</v>
      </c>
      <c r="CJ136" s="813">
        <f>CJ133/CJ138*1000</f>
        <v>11.874700607391524</v>
      </c>
      <c r="CK136" s="813">
        <f>CK133/CK138*1000</f>
        <v>13.756355004171258</v>
      </c>
      <c r="CL136" s="813">
        <f>CL133/CL138*1000</f>
        <v>16.050337018706969</v>
      </c>
      <c r="CM136" s="813">
        <f>CM133/CM138*1000</f>
        <v>18.532611451072494</v>
      </c>
      <c r="CN136" s="680"/>
      <c r="CO136" s="683"/>
      <c r="CP136" s="680"/>
      <c r="CQ136" s="694" t="s">
        <v>842</v>
      </c>
    </row>
    <row r="137" spans="2:95" ht="16.5" customHeight="1" x14ac:dyDescent="0.25">
      <c r="B137" s="700" t="s">
        <v>711</v>
      </c>
      <c r="C137" s="829"/>
      <c r="D137" s="829"/>
      <c r="E137" s="829"/>
      <c r="F137" s="829"/>
      <c r="G137" s="876">
        <v>2.36</v>
      </c>
      <c r="H137" s="829"/>
      <c r="I137" s="829"/>
      <c r="J137" s="829"/>
      <c r="K137" s="829"/>
      <c r="L137" s="876">
        <v>2.95</v>
      </c>
      <c r="M137" s="829"/>
      <c r="N137" s="829"/>
      <c r="O137" s="829"/>
      <c r="P137" s="829"/>
      <c r="Q137" s="876">
        <v>3.33</v>
      </c>
      <c r="R137" s="829"/>
      <c r="S137" s="829"/>
      <c r="T137" s="829"/>
      <c r="U137" s="829"/>
      <c r="V137" s="876">
        <v>2.63</v>
      </c>
      <c r="W137" s="829"/>
      <c r="X137" s="829"/>
      <c r="Y137" s="829"/>
      <c r="Z137" s="829"/>
      <c r="AA137" s="876">
        <v>3.52</v>
      </c>
      <c r="AB137" s="829"/>
      <c r="AC137" s="829"/>
      <c r="AD137" s="829"/>
      <c r="AE137" s="829"/>
      <c r="AF137" s="909">
        <f>IFERROR(AF133/AF139*1000,"")</f>
        <v>3.3528564731436976</v>
      </c>
      <c r="AG137" s="829"/>
      <c r="AH137" s="829"/>
      <c r="AI137" s="829"/>
      <c r="AJ137" s="829"/>
      <c r="AK137" s="909">
        <f>IFERROR(AK133/AK139*1000,"")</f>
        <v>3.2923720436254853</v>
      </c>
      <c r="AL137" s="829"/>
      <c r="AM137" s="830"/>
      <c r="AN137" s="830"/>
      <c r="AO137" s="830"/>
      <c r="AP137" s="909">
        <f>IFERROR(AP133/AP139*1000,"")</f>
        <v>3.8905280901819506</v>
      </c>
      <c r="AQ137" s="830"/>
      <c r="AR137" s="830"/>
      <c r="AS137" s="830"/>
      <c r="AT137" s="830"/>
      <c r="AU137" s="909">
        <f>IFERROR(AU133/AU139*1000,"")</f>
        <v>2.645073448420368</v>
      </c>
      <c r="AV137" s="830"/>
      <c r="AW137" s="830"/>
      <c r="AX137" s="830"/>
      <c r="AY137" s="830"/>
      <c r="AZ137" s="909">
        <f>IFERROR(AZ133/AZ139*1000,"")</f>
        <v>4.9617146244881285</v>
      </c>
      <c r="BA137" s="830"/>
      <c r="BB137" s="830"/>
      <c r="BC137" s="830"/>
      <c r="BD137" s="830"/>
      <c r="BE137" s="909">
        <f t="shared" ref="BE137:CD137" si="58">IFERROR(BE133/BE139*1000,"")</f>
        <v>0.27528724152643619</v>
      </c>
      <c r="BF137" s="830">
        <f t="shared" si="58"/>
        <v>1.1738608164998885</v>
      </c>
      <c r="BG137" s="830">
        <f t="shared" si="58"/>
        <v>1.5061796116712092</v>
      </c>
      <c r="BH137" s="830">
        <f t="shared" si="58"/>
        <v>1.1164189241939744</v>
      </c>
      <c r="BI137" s="830">
        <f t="shared" si="58"/>
        <v>1.0702844477217073</v>
      </c>
      <c r="BJ137" s="909">
        <f t="shared" si="58"/>
        <v>4.8678003029046177</v>
      </c>
      <c r="BK137" s="830">
        <f t="shared" si="58"/>
        <v>1.4373298403717292</v>
      </c>
      <c r="BL137" s="830">
        <f t="shared" si="58"/>
        <v>0.90555238384088843</v>
      </c>
      <c r="BM137" s="830">
        <f t="shared" si="58"/>
        <v>1.5719687679377872</v>
      </c>
      <c r="BN137" s="830">
        <f t="shared" si="58"/>
        <v>0.91590043761209783</v>
      </c>
      <c r="BO137" s="909">
        <f t="shared" si="58"/>
        <v>4.8316114430015134</v>
      </c>
      <c r="BP137" s="830">
        <f t="shared" si="58"/>
        <v>1.4436519877603311</v>
      </c>
      <c r="BQ137" s="830">
        <f t="shared" si="58"/>
        <v>1.3423143430374134</v>
      </c>
      <c r="BR137" s="830">
        <f t="shared" si="58"/>
        <v>1.3218100593216329</v>
      </c>
      <c r="BS137" s="830">
        <f t="shared" si="58"/>
        <v>1.3649885005804165</v>
      </c>
      <c r="BT137" s="909">
        <f t="shared" si="58"/>
        <v>5.4660705488720502</v>
      </c>
      <c r="BU137" s="830">
        <f t="shared" si="58"/>
        <v>1.4825742179376038</v>
      </c>
      <c r="BV137" s="830">
        <f t="shared" si="58"/>
        <v>1.8556432454344642</v>
      </c>
      <c r="BW137" s="830">
        <f t="shared" si="58"/>
        <v>1.7390032573913039</v>
      </c>
      <c r="BX137" s="830">
        <f t="shared" si="58"/>
        <v>1.3786128752077687</v>
      </c>
      <c r="BY137" s="909">
        <f t="shared" si="58"/>
        <v>6.4521097434069867</v>
      </c>
      <c r="BZ137" s="830">
        <f t="shared" si="58"/>
        <v>1.6389212144315783</v>
      </c>
      <c r="CA137" s="830">
        <f t="shared" si="58"/>
        <v>1.7454589625078831</v>
      </c>
      <c r="CB137" s="830">
        <f t="shared" si="58"/>
        <v>1.8718718207186522</v>
      </c>
      <c r="CC137" s="830">
        <f t="shared" si="58"/>
        <v>2.0713407868645062</v>
      </c>
      <c r="CD137" s="909">
        <f t="shared" si="58"/>
        <v>7.3257152685344922</v>
      </c>
      <c r="CE137" s="776">
        <f>IFERROR(CE133/CE139*1000,"")</f>
        <v>2.4752353965652483</v>
      </c>
      <c r="CF137" s="776">
        <f>IFERROR(CF133/CF139*1000,"")</f>
        <v>2.5493002343895848</v>
      </c>
      <c r="CG137" s="776">
        <f>IFERROR(CG133/CG139*1000,"")</f>
        <v>2.4623976057880421</v>
      </c>
      <c r="CH137" s="776">
        <f>IFERROR(CH133/CH139*1000,"")</f>
        <v>2.1486025788806695</v>
      </c>
      <c r="CI137" s="853">
        <f>CI133/CI139*1000</f>
        <v>9.7692609010383986</v>
      </c>
      <c r="CJ137" s="853">
        <f>CJ133/CJ139*1000</f>
        <v>11.69658009828065</v>
      </c>
      <c r="CK137" s="853">
        <f>CK133/CK139*1000</f>
        <v>13.55000967910869</v>
      </c>
      <c r="CL137" s="853">
        <f>CL133/CL139*1000</f>
        <v>15.809581963426362</v>
      </c>
      <c r="CM137" s="853">
        <f>CM133/CM139*1000</f>
        <v>18.254622279306407</v>
      </c>
      <c r="CN137" s="680"/>
      <c r="CO137" s="683">
        <f>(CM137/CD137)^(1/5)-1</f>
        <v>0.20034078642480102</v>
      </c>
      <c r="CP137" s="680"/>
      <c r="CQ137" s="694" t="s">
        <v>843</v>
      </c>
    </row>
    <row r="138" spans="2:95" ht="16.5" customHeight="1" x14ac:dyDescent="0.25">
      <c r="B138" t="s">
        <v>712</v>
      </c>
      <c r="C138" s="743"/>
      <c r="D138" s="743"/>
      <c r="E138" s="743"/>
      <c r="F138" s="743"/>
      <c r="G138" s="868">
        <v>45363.737999999998</v>
      </c>
      <c r="H138" s="743"/>
      <c r="I138" s="743"/>
      <c r="J138" s="743"/>
      <c r="K138" s="743"/>
      <c r="L138" s="868">
        <v>45446.061000000002</v>
      </c>
      <c r="M138" s="743"/>
      <c r="N138" s="743"/>
      <c r="O138" s="743"/>
      <c r="P138" s="743"/>
      <c r="Q138" s="868">
        <v>45269.148999999998</v>
      </c>
      <c r="R138" s="743"/>
      <c r="S138" s="743"/>
      <c r="T138" s="743"/>
      <c r="U138" s="743"/>
      <c r="V138" s="868">
        <v>45335.336000000003</v>
      </c>
      <c r="W138" s="743"/>
      <c r="X138" s="743"/>
      <c r="Y138" s="743"/>
      <c r="Z138" s="743"/>
      <c r="AA138" s="868">
        <v>44362.411999999997</v>
      </c>
      <c r="AB138" s="743"/>
      <c r="AC138" s="743"/>
      <c r="AD138" s="743"/>
      <c r="AE138" s="743"/>
      <c r="AF138" s="868">
        <v>38945.879999999997</v>
      </c>
      <c r="AG138" s="743"/>
      <c r="AH138" s="743"/>
      <c r="AI138" s="743"/>
      <c r="AJ138" s="743"/>
      <c r="AK138" s="868">
        <v>36127.451999999997</v>
      </c>
      <c r="AL138" s="743"/>
      <c r="AM138" s="743"/>
      <c r="AN138" s="743"/>
      <c r="AO138" s="743"/>
      <c r="AP138" s="868">
        <v>35852.447999999997</v>
      </c>
      <c r="AQ138" s="743"/>
      <c r="AR138" s="743"/>
      <c r="AS138" s="743"/>
      <c r="AT138" s="743"/>
      <c r="AU138" s="868">
        <v>35661.637999999999</v>
      </c>
      <c r="AV138" s="743"/>
      <c r="AW138" s="743"/>
      <c r="AX138" s="743"/>
      <c r="AY138" s="743"/>
      <c r="AZ138" s="868">
        <v>34854.614000000001</v>
      </c>
      <c r="BA138" s="743"/>
      <c r="BB138" s="743"/>
      <c r="BC138" s="743"/>
      <c r="BD138" s="743"/>
      <c r="BE138" s="868">
        <v>33257.684000000001</v>
      </c>
      <c r="BF138" s="743">
        <v>32074.873</v>
      </c>
      <c r="BG138" s="743">
        <v>32146.246999999999</v>
      </c>
      <c r="BH138" s="743">
        <v>32125.524000000001</v>
      </c>
      <c r="BI138" s="291">
        <f>BJ138</f>
        <v>32112.589</v>
      </c>
      <c r="BJ138" s="929">
        <v>32112.589</v>
      </c>
      <c r="BK138" s="703">
        <v>32057.399000000001</v>
      </c>
      <c r="BL138" s="703">
        <v>31984.673999999999</v>
      </c>
      <c r="BM138" s="703">
        <v>31922.377</v>
      </c>
      <c r="BN138" s="721">
        <f>BO138</f>
        <v>31977.482</v>
      </c>
      <c r="BO138" s="929">
        <v>31977.482</v>
      </c>
      <c r="BP138" s="703">
        <v>31746.001</v>
      </c>
      <c r="BQ138" s="703">
        <v>31848.14</v>
      </c>
      <c r="BR138" s="703">
        <v>31838.960999999999</v>
      </c>
      <c r="BS138" s="721">
        <f>BT138</f>
        <v>31831.687000000002</v>
      </c>
      <c r="BT138" s="929">
        <v>31831.687000000002</v>
      </c>
      <c r="BU138" s="703">
        <v>31902.100999999999</v>
      </c>
      <c r="BV138" s="703">
        <v>31967.828000000001</v>
      </c>
      <c r="BW138" s="703">
        <v>31960.165000000001</v>
      </c>
      <c r="BX138" s="721">
        <f>BY138</f>
        <v>31954.688999999998</v>
      </c>
      <c r="BY138" s="929">
        <v>31954.688999999998</v>
      </c>
      <c r="BZ138" s="703">
        <v>31971.462</v>
      </c>
      <c r="CA138" s="703">
        <v>31558.371999999999</v>
      </c>
      <c r="CB138" s="703">
        <v>31524.999</v>
      </c>
      <c r="CC138" s="721">
        <f>CD138</f>
        <v>31680.28</v>
      </c>
      <c r="CD138" s="929">
        <v>31680.28</v>
      </c>
      <c r="CE138" s="703">
        <v>31676.844000000001</v>
      </c>
      <c r="CF138" s="703">
        <v>31715.56</v>
      </c>
      <c r="CG138" s="721">
        <f>CF138</f>
        <v>31715.56</v>
      </c>
      <c r="CH138" s="721">
        <f>CF138</f>
        <v>31715.56</v>
      </c>
      <c r="CI138" s="749">
        <f>CI139*0.985</f>
        <v>31173.10111543478</v>
      </c>
      <c r="CJ138" s="749">
        <f>CJ139*0.985</f>
        <v>30772.857312102802</v>
      </c>
      <c r="CK138" s="749">
        <f>CK139*0.985</f>
        <v>30398.797682820583</v>
      </c>
      <c r="CL138" s="749">
        <f>CL139*0.985</f>
        <v>30049.209244239064</v>
      </c>
      <c r="CM138" s="749">
        <f>CM139*0.985</f>
        <v>29722.491077340452</v>
      </c>
      <c r="CN138" s="291"/>
      <c r="CO138" s="683"/>
      <c r="CP138" s="291"/>
      <c r="CQ138" s="693"/>
    </row>
    <row r="139" spans="2:95" ht="16.5" customHeight="1" x14ac:dyDescent="0.25">
      <c r="B139" t="s">
        <v>713</v>
      </c>
      <c r="C139" s="743"/>
      <c r="D139" s="743"/>
      <c r="E139" s="743"/>
      <c r="F139" s="743"/>
      <c r="G139" s="868">
        <v>45709.02</v>
      </c>
      <c r="H139" s="743"/>
      <c r="I139" s="743"/>
      <c r="J139" s="743"/>
      <c r="K139" s="743"/>
      <c r="L139" s="868">
        <v>46047.421999999999</v>
      </c>
      <c r="M139" s="743"/>
      <c r="N139" s="743"/>
      <c r="O139" s="743"/>
      <c r="P139" s="743"/>
      <c r="Q139" s="868">
        <v>45718.324000000001</v>
      </c>
      <c r="R139" s="743"/>
      <c r="S139" s="743"/>
      <c r="T139" s="743"/>
      <c r="U139" s="743"/>
      <c r="V139" s="868">
        <v>45823.72</v>
      </c>
      <c r="W139" s="743"/>
      <c r="X139" s="743"/>
      <c r="Y139" s="743"/>
      <c r="Z139" s="743"/>
      <c r="AA139" s="868">
        <v>44952.436999999998</v>
      </c>
      <c r="AB139" s="743"/>
      <c r="AC139" s="743"/>
      <c r="AD139" s="743"/>
      <c r="AE139" s="743"/>
      <c r="AF139" s="868">
        <v>39334.519999999997</v>
      </c>
      <c r="AG139" s="743"/>
      <c r="AH139" s="743"/>
      <c r="AI139" s="743"/>
      <c r="AJ139" s="743"/>
      <c r="AK139" s="868">
        <v>36529.286</v>
      </c>
      <c r="AL139" s="743"/>
      <c r="AM139" s="743"/>
      <c r="AN139" s="743"/>
      <c r="AO139" s="743"/>
      <c r="AP139" s="868">
        <v>36230.042999999998</v>
      </c>
      <c r="AQ139" s="743"/>
      <c r="AR139" s="743"/>
      <c r="AS139" s="743"/>
      <c r="AT139" s="743"/>
      <c r="AU139" s="868">
        <v>36052.307000000001</v>
      </c>
      <c r="AV139" s="743"/>
      <c r="AW139" s="743"/>
      <c r="AX139" s="743"/>
      <c r="AY139" s="743"/>
      <c r="AZ139" s="868">
        <v>35178.968000000001</v>
      </c>
      <c r="BA139" s="743"/>
      <c r="BB139" s="743"/>
      <c r="BC139" s="743"/>
      <c r="BD139" s="743"/>
      <c r="BE139" s="868">
        <v>33437.800999999999</v>
      </c>
      <c r="BF139" s="743">
        <v>32237.212</v>
      </c>
      <c r="BG139" s="743">
        <v>32325.493999999999</v>
      </c>
      <c r="BH139" s="743">
        <v>32355.238000000001</v>
      </c>
      <c r="BI139" s="291">
        <f>BJ139</f>
        <v>32297.955999999998</v>
      </c>
      <c r="BJ139" s="929">
        <v>32297.955999999998</v>
      </c>
      <c r="BK139" s="703">
        <v>32188.157999999999</v>
      </c>
      <c r="BL139" s="703">
        <v>32120.725999999999</v>
      </c>
      <c r="BM139" s="703">
        <v>32067.431</v>
      </c>
      <c r="BN139" s="721">
        <f>BO139</f>
        <v>32117.027999999998</v>
      </c>
      <c r="BO139" s="929">
        <v>32117.027999999998</v>
      </c>
      <c r="BP139" s="703">
        <v>31874.718000000001</v>
      </c>
      <c r="BQ139" s="703">
        <v>32043.91</v>
      </c>
      <c r="BR139" s="703">
        <v>32067.391</v>
      </c>
      <c r="BS139" s="721">
        <f>BT139</f>
        <v>32044.225999999999</v>
      </c>
      <c r="BT139" s="929">
        <v>32044.225999999999</v>
      </c>
      <c r="BU139" s="703">
        <v>32249.312999999998</v>
      </c>
      <c r="BV139" s="703">
        <v>32335.418000000001</v>
      </c>
      <c r="BW139" s="703">
        <v>32409.37</v>
      </c>
      <c r="BX139" s="721">
        <f>BY139</f>
        <v>32359.338</v>
      </c>
      <c r="BY139" s="929">
        <v>32359.338</v>
      </c>
      <c r="BZ139" s="703">
        <v>32407.293000000001</v>
      </c>
      <c r="CA139" s="703">
        <v>31942.314999999999</v>
      </c>
      <c r="CB139" s="703">
        <v>31896.949000000001</v>
      </c>
      <c r="CC139" s="721">
        <f>CD139</f>
        <v>32082.600999999999</v>
      </c>
      <c r="CD139" s="929">
        <v>32082.600999999999</v>
      </c>
      <c r="CE139" s="703">
        <v>32042.205000000002</v>
      </c>
      <c r="CF139" s="703">
        <v>32102.535</v>
      </c>
      <c r="CG139" s="721">
        <f>CF139</f>
        <v>32102.535</v>
      </c>
      <c r="CH139" s="721">
        <f>CF139</f>
        <v>32102.535</v>
      </c>
      <c r="CI139" s="749">
        <f>CI220</f>
        <v>31647.818391304347</v>
      </c>
      <c r="CJ139" s="749">
        <f>CJ220</f>
        <v>31241.479504672898</v>
      </c>
      <c r="CK139" s="749">
        <f>CK220</f>
        <v>30861.723535858458</v>
      </c>
      <c r="CL139" s="749">
        <f>CL220</f>
        <v>30506.811415471133</v>
      </c>
      <c r="CM139" s="749">
        <f>CM220</f>
        <v>30175.117845015688</v>
      </c>
      <c r="CN139" s="291"/>
      <c r="CO139" s="683"/>
      <c r="CP139" s="291"/>
      <c r="CQ139" s="693"/>
    </row>
    <row r="140" spans="2:95" ht="16.5" customHeight="1" outlineLevel="1" x14ac:dyDescent="0.25">
      <c r="B140" t="s">
        <v>714</v>
      </c>
      <c r="C140" s="777"/>
      <c r="D140" s="777"/>
      <c r="E140" s="777"/>
      <c r="F140" s="777"/>
      <c r="G140" s="877"/>
      <c r="H140" s="777"/>
      <c r="I140" s="777"/>
      <c r="J140" s="777"/>
      <c r="K140" s="777"/>
      <c r="L140" s="877"/>
      <c r="M140" s="777"/>
      <c r="N140" s="777"/>
      <c r="O140" s="777"/>
      <c r="P140" s="777"/>
      <c r="Q140" s="877"/>
      <c r="R140" s="777"/>
      <c r="S140" s="777"/>
      <c r="T140" s="777"/>
      <c r="U140" s="777"/>
      <c r="V140" s="877"/>
      <c r="W140" s="777"/>
      <c r="X140" s="777"/>
      <c r="Y140" s="777"/>
      <c r="Z140" s="777"/>
      <c r="AA140" s="877"/>
      <c r="AB140" s="777"/>
      <c r="AC140" s="777"/>
      <c r="AD140" s="777"/>
      <c r="AE140" s="777"/>
      <c r="AF140" s="877"/>
      <c r="AG140" s="777"/>
      <c r="AH140" s="777"/>
      <c r="AI140" s="777"/>
      <c r="AJ140" s="777"/>
      <c r="AK140" s="877"/>
      <c r="AL140" s="777"/>
      <c r="AM140" s="680"/>
      <c r="AN140" s="680"/>
      <c r="AO140" s="680"/>
      <c r="AP140" s="919"/>
      <c r="AQ140" s="680"/>
      <c r="AR140" s="680"/>
      <c r="AS140" s="680"/>
      <c r="AT140" s="680"/>
      <c r="AU140" s="919"/>
      <c r="AV140" s="680"/>
      <c r="AW140" s="680"/>
      <c r="AX140" s="680"/>
      <c r="AY140" s="680"/>
      <c r="AZ140" s="919"/>
      <c r="BA140" s="680"/>
      <c r="BB140" s="680"/>
      <c r="BC140" s="680"/>
      <c r="BD140" s="680"/>
      <c r="BE140" s="877">
        <v>0.75</v>
      </c>
      <c r="BF140" s="777">
        <v>0.25</v>
      </c>
      <c r="BG140" s="777">
        <v>0.25</v>
      </c>
      <c r="BH140" s="777">
        <v>0.25</v>
      </c>
      <c r="BI140" s="680"/>
      <c r="BJ140" s="877">
        <v>1</v>
      </c>
      <c r="BK140" s="777">
        <v>0.25</v>
      </c>
      <c r="BL140" s="777">
        <v>0.26</v>
      </c>
      <c r="BM140" s="777">
        <v>0.26</v>
      </c>
      <c r="BN140" s="680"/>
      <c r="BO140" s="877">
        <v>1.03</v>
      </c>
      <c r="BP140" s="777">
        <v>0.26</v>
      </c>
      <c r="BQ140" s="777">
        <v>0.27</v>
      </c>
      <c r="BR140" s="777">
        <v>0.27</v>
      </c>
      <c r="BS140" s="680"/>
      <c r="BT140" s="877">
        <v>1.1000000000000001</v>
      </c>
      <c r="BU140" s="777">
        <v>0.27</v>
      </c>
      <c r="BV140" s="777">
        <v>0.28000000000000003</v>
      </c>
      <c r="BW140" s="777">
        <v>0.28000000000000003</v>
      </c>
      <c r="BX140" s="680"/>
      <c r="BY140" s="877">
        <v>1.1399999999999999</v>
      </c>
      <c r="BZ140" s="777">
        <v>0.28000000000000003</v>
      </c>
      <c r="CA140" s="777">
        <v>0.28999999999999998</v>
      </c>
      <c r="CB140" s="777">
        <v>0.28999999999999998</v>
      </c>
      <c r="CC140" s="680"/>
      <c r="CD140" s="877">
        <v>1.1599999999999999</v>
      </c>
      <c r="CE140" s="777">
        <v>0.28999999999999998</v>
      </c>
      <c r="CF140" s="777">
        <v>0.28999999999999998</v>
      </c>
      <c r="CG140" s="680">
        <f>CI140/4</f>
        <v>0.3</v>
      </c>
      <c r="CH140" s="680">
        <f>CI140/4</f>
        <v>0.3</v>
      </c>
      <c r="CI140" s="778">
        <v>1.2</v>
      </c>
      <c r="CJ140" s="778">
        <v>1.26</v>
      </c>
      <c r="CK140" s="778">
        <v>1.32</v>
      </c>
      <c r="CL140" s="778">
        <v>1.38</v>
      </c>
      <c r="CM140" s="778">
        <v>1.44</v>
      </c>
      <c r="CN140" s="680"/>
      <c r="CO140" s="683"/>
      <c r="CP140" s="680"/>
      <c r="CQ140" s="694" t="s">
        <v>844</v>
      </c>
    </row>
    <row r="141" spans="2:95" ht="16.5" customHeight="1" outlineLevel="1" x14ac:dyDescent="0.25">
      <c r="C141" s="291"/>
      <c r="D141" s="291"/>
      <c r="E141" s="291"/>
      <c r="F141" s="291"/>
      <c r="G141" s="864"/>
      <c r="H141" s="291"/>
      <c r="I141" s="291"/>
      <c r="J141" s="291"/>
      <c r="K141" s="291"/>
      <c r="L141" s="864"/>
      <c r="M141" s="291"/>
      <c r="N141" s="291"/>
      <c r="O141" s="291"/>
      <c r="P141" s="291"/>
      <c r="Q141" s="864"/>
      <c r="R141" s="291"/>
      <c r="S141" s="291"/>
      <c r="T141" s="291"/>
      <c r="U141" s="291"/>
      <c r="V141" s="864"/>
      <c r="W141" s="291"/>
      <c r="X141" s="291"/>
      <c r="Y141" s="291"/>
      <c r="Z141" s="291"/>
      <c r="AA141" s="864"/>
      <c r="AB141" s="291"/>
      <c r="AC141" s="291"/>
      <c r="AD141" s="291"/>
      <c r="AE141" s="291"/>
      <c r="AF141" s="864"/>
      <c r="AG141" s="291"/>
      <c r="AH141" s="291"/>
      <c r="AI141" s="291"/>
      <c r="AJ141" s="291"/>
      <c r="AK141" s="864"/>
      <c r="AL141" s="291"/>
      <c r="AM141" s="291"/>
      <c r="AN141" s="291"/>
      <c r="AO141" s="291"/>
      <c r="AP141" s="864"/>
      <c r="AQ141" s="291"/>
      <c r="AR141" s="291"/>
      <c r="AS141" s="291"/>
      <c r="AT141" s="291"/>
      <c r="AU141" s="864"/>
      <c r="AV141" s="291"/>
      <c r="AW141" s="291"/>
      <c r="AX141" s="291"/>
      <c r="AY141" s="291"/>
      <c r="AZ141" s="864"/>
      <c r="BA141" s="291"/>
      <c r="BB141" s="291"/>
      <c r="BC141" s="291"/>
      <c r="BD141" s="291"/>
      <c r="BE141" s="864"/>
      <c r="BF141" s="291"/>
      <c r="BG141" s="291"/>
      <c r="BH141" s="291"/>
      <c r="BI141" s="291"/>
      <c r="BJ141" s="864"/>
      <c r="BK141" s="291"/>
      <c r="BL141" s="291"/>
      <c r="BM141" s="291"/>
      <c r="BN141" s="291"/>
      <c r="BO141" s="864"/>
      <c r="BP141" s="291"/>
      <c r="BQ141" s="291"/>
      <c r="BR141" s="291"/>
      <c r="BS141" s="291"/>
      <c r="BT141" s="864"/>
      <c r="BU141" s="291"/>
      <c r="BV141" s="291"/>
      <c r="BW141" s="291"/>
      <c r="BX141" s="291"/>
      <c r="BY141" s="864"/>
      <c r="BZ141" s="291"/>
      <c r="CA141" s="291"/>
      <c r="CB141" s="291"/>
      <c r="CC141" s="291"/>
      <c r="CD141" s="864"/>
      <c r="CE141" s="291"/>
      <c r="CF141" s="291"/>
      <c r="CG141" s="291"/>
      <c r="CH141" s="291"/>
      <c r="CI141" s="749"/>
      <c r="CJ141" s="749"/>
      <c r="CK141" s="749"/>
      <c r="CL141" s="749"/>
      <c r="CM141" s="749"/>
      <c r="CN141" s="291"/>
      <c r="CO141" s="683"/>
      <c r="CP141" s="291"/>
      <c r="CQ141" s="693"/>
    </row>
    <row r="142" spans="2:95" ht="16.5" customHeight="1" outlineLevel="1" x14ac:dyDescent="0.25">
      <c r="B142" s="223" t="s">
        <v>877</v>
      </c>
      <c r="C142" s="224"/>
      <c r="D142" s="224"/>
      <c r="E142" s="224"/>
      <c r="F142" s="224"/>
      <c r="G142" s="867"/>
      <c r="H142" s="224"/>
      <c r="I142" s="224"/>
      <c r="J142" s="224"/>
      <c r="K142" s="224"/>
      <c r="L142" s="867"/>
      <c r="M142" s="224"/>
      <c r="N142" s="224"/>
      <c r="O142" s="224"/>
      <c r="P142" s="224"/>
      <c r="Q142" s="867"/>
      <c r="R142" s="224"/>
      <c r="S142" s="224"/>
      <c r="T142" s="224"/>
      <c r="U142" s="224"/>
      <c r="V142" s="867"/>
      <c r="W142" s="224"/>
      <c r="X142" s="224"/>
      <c r="Y142" s="224"/>
      <c r="Z142" s="224"/>
      <c r="AA142" s="867"/>
      <c r="AB142" s="224"/>
      <c r="AC142" s="224"/>
      <c r="AD142" s="224"/>
      <c r="AE142" s="224"/>
      <c r="AF142" s="867"/>
      <c r="AG142" s="224"/>
      <c r="AH142" s="224"/>
      <c r="AI142" s="224"/>
      <c r="AJ142" s="224"/>
      <c r="AK142" s="867"/>
      <c r="AL142" s="224"/>
      <c r="AM142" s="224"/>
      <c r="AN142" s="224"/>
      <c r="AO142" s="224"/>
      <c r="AP142" s="867"/>
      <c r="AQ142" s="224"/>
      <c r="AR142" s="224"/>
      <c r="AS142" s="224"/>
      <c r="AT142" s="224"/>
      <c r="AU142" s="867"/>
      <c r="AV142" s="224"/>
      <c r="AW142" s="224"/>
      <c r="AX142" s="224"/>
      <c r="AY142" s="224"/>
      <c r="AZ142" s="867"/>
      <c r="BA142" s="224"/>
      <c r="BB142" s="224"/>
      <c r="BC142" s="224"/>
      <c r="BD142" s="224"/>
      <c r="BE142" s="867"/>
      <c r="BF142" s="224"/>
      <c r="BG142" s="224"/>
      <c r="BH142" s="224"/>
      <c r="BI142" s="224"/>
      <c r="BJ142" s="867"/>
      <c r="BK142" s="224"/>
      <c r="BL142" s="224"/>
      <c r="BM142" s="224"/>
      <c r="BN142" s="224"/>
      <c r="BO142" s="867"/>
      <c r="BP142" s="224"/>
      <c r="BQ142" s="224"/>
      <c r="BR142" s="224"/>
      <c r="BS142" s="224"/>
      <c r="BT142" s="867"/>
      <c r="BU142" s="224"/>
      <c r="BV142" s="224"/>
      <c r="BW142" s="224"/>
      <c r="BX142" s="224"/>
      <c r="BY142" s="867"/>
      <c r="BZ142" s="224"/>
      <c r="CA142" s="224"/>
      <c r="CB142" s="224"/>
      <c r="CC142" s="224"/>
      <c r="CD142" s="867"/>
      <c r="CE142" s="224"/>
      <c r="CF142" s="224"/>
      <c r="CG142" s="224"/>
      <c r="CH142" s="224"/>
      <c r="CI142" s="224"/>
      <c r="CJ142" s="224"/>
      <c r="CK142" s="224"/>
      <c r="CL142" s="224"/>
      <c r="CM142" s="224"/>
      <c r="CN142" s="224"/>
      <c r="CO142" s="684"/>
      <c r="CP142" s="224"/>
      <c r="CQ142" s="693"/>
    </row>
    <row r="143" spans="2:95" ht="16.5" customHeight="1" outlineLevel="1" x14ac:dyDescent="0.25">
      <c r="B143" s="695" t="s">
        <v>1030</v>
      </c>
      <c r="C143" s="743"/>
      <c r="D143" s="743"/>
      <c r="E143" s="743"/>
      <c r="F143" s="743"/>
      <c r="G143" s="868"/>
      <c r="H143" s="743"/>
      <c r="I143" s="743"/>
      <c r="J143" s="743"/>
      <c r="K143" s="743"/>
      <c r="L143" s="868"/>
      <c r="M143" s="743"/>
      <c r="N143" s="743"/>
      <c r="O143" s="743"/>
      <c r="P143" s="743"/>
      <c r="Q143" s="868"/>
      <c r="R143" s="743"/>
      <c r="S143" s="743"/>
      <c r="T143" s="743"/>
      <c r="U143" s="743"/>
      <c r="V143" s="868"/>
      <c r="W143" s="743"/>
      <c r="X143" s="743"/>
      <c r="Y143" s="743"/>
      <c r="Z143" s="743"/>
      <c r="AA143" s="868"/>
      <c r="AB143" s="743"/>
      <c r="AC143" s="743"/>
      <c r="AD143" s="743"/>
      <c r="AE143" s="779" t="s">
        <v>1044</v>
      </c>
      <c r="AF143" s="910">
        <f>AF126</f>
        <v>212.80100000000022</v>
      </c>
      <c r="AG143" s="775"/>
      <c r="AH143" s="775"/>
      <c r="AI143" s="775"/>
      <c r="AJ143" s="780" t="s">
        <v>1045</v>
      </c>
      <c r="AK143" s="910">
        <f>AK126</f>
        <v>204.09999999999982</v>
      </c>
      <c r="AL143" s="775"/>
      <c r="AM143" s="678"/>
      <c r="AN143" s="678"/>
      <c r="AO143" s="678">
        <v>69.367999999999995</v>
      </c>
      <c r="AP143" s="870">
        <v>250.15199999999999</v>
      </c>
      <c r="AQ143" s="678"/>
      <c r="AR143" s="678"/>
      <c r="AS143" s="678"/>
      <c r="AT143" s="678">
        <v>73.14</v>
      </c>
      <c r="AU143" s="870">
        <v>257.85199999999998</v>
      </c>
      <c r="AV143" s="678"/>
      <c r="AW143" s="678"/>
      <c r="AX143" s="678"/>
      <c r="AY143" s="678">
        <v>79.799000000000007</v>
      </c>
      <c r="AZ143" s="870">
        <v>321.142</v>
      </c>
      <c r="BA143" s="678"/>
      <c r="BB143" s="678"/>
      <c r="BC143" s="678"/>
      <c r="BD143" s="678">
        <v>43.420999999999999</v>
      </c>
      <c r="BE143" s="870">
        <v>216.36199999999999</v>
      </c>
      <c r="BF143" s="678"/>
      <c r="BG143" s="678"/>
      <c r="BH143" s="678"/>
      <c r="BI143" s="678">
        <v>62.722000000000001</v>
      </c>
      <c r="BJ143" s="870">
        <v>270.959</v>
      </c>
      <c r="BK143" s="678"/>
      <c r="BL143" s="678"/>
      <c r="BM143" s="678"/>
      <c r="BN143" s="678">
        <v>65.899000000000001</v>
      </c>
      <c r="BO143" s="870">
        <v>282.84800000000001</v>
      </c>
      <c r="BP143" s="678"/>
      <c r="BQ143" s="678"/>
      <c r="BR143" s="678"/>
      <c r="BS143" s="678">
        <v>87.88</v>
      </c>
      <c r="BT143" s="870">
        <v>342.91699999999997</v>
      </c>
      <c r="BU143" s="678"/>
      <c r="BV143" s="678"/>
      <c r="BW143" s="678"/>
      <c r="BX143" s="678"/>
      <c r="BY143" s="938">
        <v>404.46499999999997</v>
      </c>
      <c r="BZ143" s="678">
        <v>101.157</v>
      </c>
      <c r="CA143" s="678">
        <v>109.307</v>
      </c>
      <c r="CB143" s="678">
        <v>111.867</v>
      </c>
      <c r="CC143" s="781">
        <v>125.04</v>
      </c>
      <c r="CD143" s="938">
        <v>449.60599999999999</v>
      </c>
      <c r="CE143" s="765">
        <f t="shared" ref="CE143:CJ143" si="59">CE126</f>
        <v>118.85999999999999</v>
      </c>
      <c r="CF143" s="765">
        <f t="shared" si="59"/>
        <v>124.35899999999985</v>
      </c>
      <c r="CG143" s="765">
        <f t="shared" si="59"/>
        <v>122.93908726806161</v>
      </c>
      <c r="CH143" s="765">
        <f t="shared" si="59"/>
        <v>111.2411190652722</v>
      </c>
      <c r="CI143" s="752">
        <f t="shared" si="59"/>
        <v>477.39920633333355</v>
      </c>
      <c r="CJ143" s="752">
        <f t="shared" si="59"/>
        <v>544.78859123555537</v>
      </c>
      <c r="CK143" s="752">
        <f t="shared" ref="CK143:CM143" si="60">CK126</f>
        <v>611.25916722203738</v>
      </c>
      <c r="CL143" s="752">
        <f t="shared" si="60"/>
        <v>692.62208004664308</v>
      </c>
      <c r="CM143" s="752">
        <f t="shared" si="60"/>
        <v>778.88333639780342</v>
      </c>
      <c r="CN143" s="291"/>
      <c r="CO143" s="683"/>
      <c r="CP143" s="291"/>
      <c r="CQ143" s="693"/>
    </row>
    <row r="144" spans="2:95" ht="16.5" customHeight="1" outlineLevel="1" x14ac:dyDescent="0.25">
      <c r="B144" s="12" t="s">
        <v>1031</v>
      </c>
      <c r="C144" s="743"/>
      <c r="D144" s="743"/>
      <c r="E144" s="743"/>
      <c r="F144" s="743"/>
      <c r="G144" s="868"/>
      <c r="H144" s="743"/>
      <c r="I144" s="743"/>
      <c r="J144" s="743"/>
      <c r="K144" s="743"/>
      <c r="L144" s="868"/>
      <c r="M144" s="743"/>
      <c r="N144" s="743"/>
      <c r="O144" s="743"/>
      <c r="P144" s="743"/>
      <c r="Q144" s="868"/>
      <c r="R144" s="743"/>
      <c r="S144" s="743"/>
      <c r="T144" s="743"/>
      <c r="U144" s="743"/>
      <c r="V144" s="868"/>
      <c r="W144" s="743"/>
      <c r="X144" s="743"/>
      <c r="Y144" s="743"/>
      <c r="Z144" s="743"/>
      <c r="AA144" s="868"/>
      <c r="AB144" s="743"/>
      <c r="AC144" s="743"/>
      <c r="AD144" s="743"/>
      <c r="AE144" s="743"/>
      <c r="AF144" s="911"/>
      <c r="AG144" s="743"/>
      <c r="AH144" s="743"/>
      <c r="AI144" s="743"/>
      <c r="AJ144" s="743"/>
      <c r="AK144" s="911"/>
      <c r="AL144" s="743"/>
      <c r="AM144" s="291"/>
      <c r="AN144" s="291"/>
      <c r="AO144" s="291"/>
      <c r="AP144" s="911"/>
      <c r="AQ144" s="291"/>
      <c r="AR144" s="291"/>
      <c r="AS144" s="291"/>
      <c r="AT144" s="291"/>
      <c r="AU144" s="911"/>
      <c r="AV144" s="291"/>
      <c r="AW144" s="291"/>
      <c r="AX144" s="291"/>
      <c r="AY144" s="291"/>
      <c r="AZ144" s="911"/>
      <c r="BA144" s="291"/>
      <c r="BB144" s="291"/>
      <c r="BC144" s="291"/>
      <c r="BD144" s="291"/>
      <c r="BE144" s="911"/>
      <c r="BF144" s="754"/>
      <c r="BG144" s="754"/>
      <c r="BH144" s="754"/>
      <c r="BI144" s="754"/>
      <c r="BJ144" s="911">
        <v>0</v>
      </c>
      <c r="BK144" s="754"/>
      <c r="BL144" s="754"/>
      <c r="BM144" s="754"/>
      <c r="BN144" s="754"/>
      <c r="BO144" s="911">
        <v>0</v>
      </c>
      <c r="BP144" s="754"/>
      <c r="BQ144" s="754"/>
      <c r="BR144" s="754"/>
      <c r="BS144" s="754"/>
      <c r="BT144" s="911">
        <v>0</v>
      </c>
      <c r="BU144" s="754"/>
      <c r="BV144" s="754"/>
      <c r="BW144" s="754"/>
      <c r="BX144" s="754"/>
      <c r="BY144" s="936">
        <v>1.992</v>
      </c>
      <c r="BZ144" s="754">
        <v>0</v>
      </c>
      <c r="CA144" s="754">
        <v>0</v>
      </c>
      <c r="CB144" s="754">
        <v>0</v>
      </c>
      <c r="CC144" s="753">
        <v>-0.23100000000000001</v>
      </c>
      <c r="CD144" s="936">
        <v>7.8339999999999996</v>
      </c>
      <c r="CE144" s="753">
        <v>0.5</v>
      </c>
      <c r="CF144" s="753">
        <v>1</v>
      </c>
      <c r="CG144" s="754">
        <f t="shared" ref="CG144:CG149" si="61">(CI144-CE144-CF144)/2</f>
        <v>1.8613333333333331</v>
      </c>
      <c r="CH144" s="754">
        <f t="shared" ref="CH144:CH149" si="62">CI144-CE144-CF144-CG144</f>
        <v>1.8613333333333331</v>
      </c>
      <c r="CI144" s="749">
        <f t="shared" ref="CI144:CI149" si="63">CD144*2/3</f>
        <v>5.2226666666666661</v>
      </c>
      <c r="CJ144" s="749">
        <f t="shared" ref="CJ144:CJ149" si="64">CI144*2/3</f>
        <v>3.4817777777777774</v>
      </c>
      <c r="CK144" s="749">
        <f t="shared" ref="CK144:CM144" si="65">CJ144*2/3</f>
        <v>2.3211851851851848</v>
      </c>
      <c r="CL144" s="749">
        <f t="shared" si="65"/>
        <v>1.5474567901234566</v>
      </c>
      <c r="CM144" s="749">
        <f t="shared" si="65"/>
        <v>1.0316378600823044</v>
      </c>
      <c r="CN144" s="291"/>
      <c r="CO144" s="683"/>
      <c r="CP144" s="291"/>
      <c r="CQ144" s="693"/>
    </row>
    <row r="145" spans="2:95" ht="16.5" customHeight="1" outlineLevel="1" x14ac:dyDescent="0.25">
      <c r="B145" s="12" t="s">
        <v>1032</v>
      </c>
      <c r="C145" s="743"/>
      <c r="D145" s="743"/>
      <c r="E145" s="743"/>
      <c r="F145" s="743"/>
      <c r="G145" s="868"/>
      <c r="H145" s="743"/>
      <c r="I145" s="743"/>
      <c r="J145" s="743"/>
      <c r="K145" s="743"/>
      <c r="L145" s="868"/>
      <c r="M145" s="743"/>
      <c r="N145" s="743"/>
      <c r="O145" s="743"/>
      <c r="P145" s="743"/>
      <c r="Q145" s="868"/>
      <c r="R145" s="743"/>
      <c r="S145" s="743"/>
      <c r="T145" s="743"/>
      <c r="U145" s="743"/>
      <c r="V145" s="868"/>
      <c r="W145" s="743"/>
      <c r="X145" s="743"/>
      <c r="Y145" s="743"/>
      <c r="Z145" s="743"/>
      <c r="AA145" s="868"/>
      <c r="AB145" s="743"/>
      <c r="AC145" s="743"/>
      <c r="AD145" s="743"/>
      <c r="AE145" s="743"/>
      <c r="AF145" s="911"/>
      <c r="AG145" s="743"/>
      <c r="AH145" s="743"/>
      <c r="AI145" s="743"/>
      <c r="AJ145" s="743"/>
      <c r="AK145" s="911"/>
      <c r="AL145" s="743"/>
      <c r="AM145" s="291"/>
      <c r="AN145" s="291"/>
      <c r="AO145" s="291"/>
      <c r="AP145" s="911"/>
      <c r="AQ145" s="291"/>
      <c r="AR145" s="291"/>
      <c r="AS145" s="291"/>
      <c r="AT145" s="291"/>
      <c r="AU145" s="911"/>
      <c r="AV145" s="291"/>
      <c r="AW145" s="291"/>
      <c r="AX145" s="291"/>
      <c r="AY145" s="291"/>
      <c r="AZ145" s="911"/>
      <c r="BA145" s="291"/>
      <c r="BB145" s="291"/>
      <c r="BC145" s="291"/>
      <c r="BD145" s="291"/>
      <c r="BE145" s="911"/>
      <c r="BF145" s="754"/>
      <c r="BG145" s="754"/>
      <c r="BH145" s="754"/>
      <c r="BI145" s="754"/>
      <c r="BJ145" s="911">
        <v>0</v>
      </c>
      <c r="BK145" s="754"/>
      <c r="BL145" s="754"/>
      <c r="BM145" s="754"/>
      <c r="BN145" s="754"/>
      <c r="BO145" s="911">
        <v>0</v>
      </c>
      <c r="BP145" s="754"/>
      <c r="BQ145" s="754"/>
      <c r="BR145" s="754"/>
      <c r="BS145" s="754"/>
      <c r="BT145" s="911">
        <v>0</v>
      </c>
      <c r="BU145" s="754"/>
      <c r="BV145" s="754"/>
      <c r="BW145" s="754"/>
      <c r="BX145" s="754"/>
      <c r="BY145" s="936">
        <v>43.292999999999999</v>
      </c>
      <c r="BZ145" s="754">
        <v>0</v>
      </c>
      <c r="CA145" s="754">
        <v>0</v>
      </c>
      <c r="CB145" s="754">
        <v>0</v>
      </c>
      <c r="CC145" s="753">
        <v>5.1760000000000002</v>
      </c>
      <c r="CD145" s="936">
        <v>23.38</v>
      </c>
      <c r="CE145" s="753">
        <v>1.5</v>
      </c>
      <c r="CF145" s="753">
        <v>2</v>
      </c>
      <c r="CG145" s="754">
        <f t="shared" si="61"/>
        <v>6.043333333333333</v>
      </c>
      <c r="CH145" s="754">
        <f t="shared" si="62"/>
        <v>6.043333333333333</v>
      </c>
      <c r="CI145" s="749">
        <f t="shared" si="63"/>
        <v>15.586666666666666</v>
      </c>
      <c r="CJ145" s="749">
        <f t="shared" si="64"/>
        <v>10.39111111111111</v>
      </c>
      <c r="CK145" s="749">
        <f t="shared" ref="CK145:CM145" si="66">CJ145*2/3</f>
        <v>6.927407407407407</v>
      </c>
      <c r="CL145" s="749">
        <f t="shared" si="66"/>
        <v>4.618271604938271</v>
      </c>
      <c r="CM145" s="749">
        <f t="shared" si="66"/>
        <v>3.078847736625514</v>
      </c>
      <c r="CN145" s="291"/>
      <c r="CO145" s="683"/>
      <c r="CP145" s="291"/>
      <c r="CQ145" s="693"/>
    </row>
    <row r="146" spans="2:95" ht="16.5" customHeight="1" outlineLevel="1" x14ac:dyDescent="0.25">
      <c r="B146" s="12" t="s">
        <v>1033</v>
      </c>
      <c r="C146" s="743"/>
      <c r="D146" s="743"/>
      <c r="E146" s="743"/>
      <c r="F146" s="743"/>
      <c r="G146" s="868"/>
      <c r="H146" s="743"/>
      <c r="I146" s="743"/>
      <c r="J146" s="743"/>
      <c r="K146" s="743"/>
      <c r="L146" s="868"/>
      <c r="M146" s="743"/>
      <c r="N146" s="743"/>
      <c r="O146" s="743"/>
      <c r="P146" s="743"/>
      <c r="Q146" s="868"/>
      <c r="R146" s="743"/>
      <c r="S146" s="743"/>
      <c r="T146" s="743"/>
      <c r="U146" s="743"/>
      <c r="V146" s="868"/>
      <c r="W146" s="743"/>
      <c r="X146" s="743"/>
      <c r="Y146" s="743"/>
      <c r="Z146" s="743"/>
      <c r="AA146" s="868"/>
      <c r="AB146" s="743"/>
      <c r="AC146" s="743"/>
      <c r="AD146" s="743"/>
      <c r="AE146" s="743"/>
      <c r="AF146" s="911"/>
      <c r="AG146" s="743"/>
      <c r="AH146" s="743"/>
      <c r="AI146" s="743"/>
      <c r="AJ146" s="743"/>
      <c r="AK146" s="911"/>
      <c r="AL146" s="743"/>
      <c r="AM146" s="291"/>
      <c r="AN146" s="291"/>
      <c r="AO146" s="291"/>
      <c r="AP146" s="911"/>
      <c r="AQ146" s="291"/>
      <c r="AR146" s="291"/>
      <c r="AS146" s="291"/>
      <c r="AT146" s="291"/>
      <c r="AU146" s="911"/>
      <c r="AV146" s="291"/>
      <c r="AW146" s="291"/>
      <c r="AX146" s="291"/>
      <c r="AY146" s="291"/>
      <c r="AZ146" s="911"/>
      <c r="BA146" s="291"/>
      <c r="BB146" s="291"/>
      <c r="BC146" s="291"/>
      <c r="BD146" s="291"/>
      <c r="BE146" s="911"/>
      <c r="BF146" s="754"/>
      <c r="BG146" s="754"/>
      <c r="BH146" s="754"/>
      <c r="BI146" s="754"/>
      <c r="BJ146" s="911">
        <v>0</v>
      </c>
      <c r="BK146" s="754"/>
      <c r="BL146" s="754"/>
      <c r="BM146" s="754"/>
      <c r="BN146" s="754"/>
      <c r="BO146" s="911">
        <v>0</v>
      </c>
      <c r="BP146" s="754"/>
      <c r="BQ146" s="754"/>
      <c r="BR146" s="754"/>
      <c r="BS146" s="754"/>
      <c r="BT146" s="911">
        <v>0</v>
      </c>
      <c r="BU146" s="754"/>
      <c r="BV146" s="754"/>
      <c r="BW146" s="754"/>
      <c r="BX146" s="754"/>
      <c r="BY146" s="936">
        <v>0</v>
      </c>
      <c r="BZ146" s="754">
        <v>0</v>
      </c>
      <c r="CA146" s="754">
        <v>0</v>
      </c>
      <c r="CB146" s="754">
        <v>0</v>
      </c>
      <c r="CC146" s="753">
        <v>10.455</v>
      </c>
      <c r="CD146" s="936">
        <v>11.917</v>
      </c>
      <c r="CE146" s="753">
        <v>0.5</v>
      </c>
      <c r="CF146" s="753">
        <v>0.5</v>
      </c>
      <c r="CG146" s="754">
        <f t="shared" si="61"/>
        <v>3.4723333333333333</v>
      </c>
      <c r="CH146" s="754">
        <f t="shared" si="62"/>
        <v>3.4723333333333333</v>
      </c>
      <c r="CI146" s="749">
        <f t="shared" si="63"/>
        <v>7.9446666666666665</v>
      </c>
      <c r="CJ146" s="749">
        <f t="shared" si="64"/>
        <v>5.2964444444444441</v>
      </c>
      <c r="CK146" s="749">
        <f t="shared" ref="CK146:CM146" si="67">CJ146*2/3</f>
        <v>3.5309629629629629</v>
      </c>
      <c r="CL146" s="749">
        <f t="shared" si="67"/>
        <v>2.3539753086419752</v>
      </c>
      <c r="CM146" s="749">
        <f t="shared" si="67"/>
        <v>1.5693168724279836</v>
      </c>
      <c r="CN146" s="291"/>
      <c r="CO146" s="683"/>
      <c r="CP146" s="291"/>
      <c r="CQ146" s="693"/>
    </row>
    <row r="147" spans="2:95" ht="16.5" customHeight="1" outlineLevel="1" x14ac:dyDescent="0.25">
      <c r="B147" s="12" t="s">
        <v>1034</v>
      </c>
      <c r="C147" s="678"/>
      <c r="D147" s="678"/>
      <c r="E147" s="678"/>
      <c r="F147" s="678"/>
      <c r="G147" s="870"/>
      <c r="H147" s="678"/>
      <c r="I147" s="678"/>
      <c r="J147" s="678"/>
      <c r="K147" s="678"/>
      <c r="L147" s="870"/>
      <c r="M147" s="678"/>
      <c r="N147" s="678"/>
      <c r="O147" s="678"/>
      <c r="P147" s="678"/>
      <c r="Q147" s="870"/>
      <c r="R147" s="678"/>
      <c r="S147" s="678"/>
      <c r="T147" s="678"/>
      <c r="U147" s="678"/>
      <c r="V147" s="870"/>
      <c r="W147" s="678"/>
      <c r="X147" s="678"/>
      <c r="Y147" s="678"/>
      <c r="Z147" s="678"/>
      <c r="AA147" s="870"/>
      <c r="AB147" s="678"/>
      <c r="AC147" s="678"/>
      <c r="AD147" s="678"/>
      <c r="AE147" s="678"/>
      <c r="AF147" s="912"/>
      <c r="AG147" s="678"/>
      <c r="AH147" s="678"/>
      <c r="AI147" s="678"/>
      <c r="AJ147" s="678"/>
      <c r="AK147" s="912"/>
      <c r="AL147" s="678"/>
      <c r="AM147" s="678"/>
      <c r="AN147" s="678"/>
      <c r="AO147" s="678"/>
      <c r="AP147" s="912"/>
      <c r="AQ147" s="678"/>
      <c r="AR147" s="678"/>
      <c r="AS147" s="678"/>
      <c r="AT147" s="678"/>
      <c r="AU147" s="912"/>
      <c r="AV147" s="678"/>
      <c r="AW147" s="678"/>
      <c r="AX147" s="678"/>
      <c r="AY147" s="678"/>
      <c r="AZ147" s="912"/>
      <c r="BA147" s="678"/>
      <c r="BB147" s="678"/>
      <c r="BC147" s="678"/>
      <c r="BD147" s="678"/>
      <c r="BE147" s="912"/>
      <c r="BF147" s="765"/>
      <c r="BG147" s="765"/>
      <c r="BH147" s="765"/>
      <c r="BI147" s="765"/>
      <c r="BJ147" s="912">
        <v>0</v>
      </c>
      <c r="BK147" s="765"/>
      <c r="BL147" s="765"/>
      <c r="BM147" s="765"/>
      <c r="BN147" s="765"/>
      <c r="BO147" s="912">
        <v>0</v>
      </c>
      <c r="BP147" s="765"/>
      <c r="BQ147" s="765"/>
      <c r="BR147" s="765"/>
      <c r="BS147" s="765"/>
      <c r="BT147" s="911">
        <v>0</v>
      </c>
      <c r="BU147" s="765"/>
      <c r="BV147" s="765"/>
      <c r="BW147" s="765"/>
      <c r="BX147" s="765"/>
      <c r="BY147" s="936">
        <v>5.2939999999999996</v>
      </c>
      <c r="BZ147" s="754">
        <v>0</v>
      </c>
      <c r="CA147" s="754">
        <v>0</v>
      </c>
      <c r="CB147" s="754">
        <v>0</v>
      </c>
      <c r="CC147" s="753">
        <v>0</v>
      </c>
      <c r="CD147" s="936">
        <v>3</v>
      </c>
      <c r="CE147" s="753">
        <v>0</v>
      </c>
      <c r="CF147" s="753">
        <v>0</v>
      </c>
      <c r="CG147" s="754">
        <f t="shared" si="61"/>
        <v>1</v>
      </c>
      <c r="CH147" s="754">
        <f t="shared" si="62"/>
        <v>1</v>
      </c>
      <c r="CI147" s="749">
        <f t="shared" si="63"/>
        <v>2</v>
      </c>
      <c r="CJ147" s="749">
        <f t="shared" si="64"/>
        <v>1.3333333333333333</v>
      </c>
      <c r="CK147" s="749">
        <f t="shared" ref="CK147:CM147" si="68">CJ147*2/3</f>
        <v>0.88888888888888884</v>
      </c>
      <c r="CL147" s="749">
        <f t="shared" si="68"/>
        <v>0.59259259259259256</v>
      </c>
      <c r="CM147" s="749">
        <f t="shared" si="68"/>
        <v>0.39506172839506171</v>
      </c>
      <c r="CN147" s="678"/>
      <c r="CO147" s="685"/>
      <c r="CP147" s="678"/>
      <c r="CQ147" s="693"/>
    </row>
    <row r="148" spans="2:95" ht="16.5" customHeight="1" outlineLevel="1" x14ac:dyDescent="0.25">
      <c r="B148" s="12" t="s">
        <v>1035</v>
      </c>
      <c r="C148" s="678"/>
      <c r="D148" s="678"/>
      <c r="E148" s="678"/>
      <c r="F148" s="678"/>
      <c r="G148" s="870"/>
      <c r="H148" s="678"/>
      <c r="I148" s="678"/>
      <c r="J148" s="678"/>
      <c r="K148" s="678"/>
      <c r="L148" s="870"/>
      <c r="M148" s="678"/>
      <c r="N148" s="678"/>
      <c r="O148" s="678"/>
      <c r="P148" s="678"/>
      <c r="Q148" s="870"/>
      <c r="R148" s="678"/>
      <c r="S148" s="678"/>
      <c r="T148" s="678"/>
      <c r="U148" s="678"/>
      <c r="V148" s="870"/>
      <c r="W148" s="678"/>
      <c r="X148" s="678"/>
      <c r="Y148" s="678"/>
      <c r="Z148" s="678"/>
      <c r="AA148" s="870"/>
      <c r="AB148" s="678"/>
      <c r="AC148" s="678"/>
      <c r="AD148" s="678"/>
      <c r="AE148" s="678"/>
      <c r="AF148" s="912"/>
      <c r="AG148" s="678"/>
      <c r="AH148" s="678"/>
      <c r="AI148" s="678"/>
      <c r="AJ148" s="678"/>
      <c r="AK148" s="912"/>
      <c r="AL148" s="678"/>
      <c r="AM148" s="678"/>
      <c r="AN148" s="678"/>
      <c r="AO148" s="678"/>
      <c r="AP148" s="912"/>
      <c r="AQ148" s="678"/>
      <c r="AR148" s="678"/>
      <c r="AS148" s="678"/>
      <c r="AT148" s="678"/>
      <c r="AU148" s="912"/>
      <c r="AV148" s="678"/>
      <c r="AW148" s="678"/>
      <c r="AX148" s="678"/>
      <c r="AY148" s="678"/>
      <c r="AZ148" s="912"/>
      <c r="BA148" s="678"/>
      <c r="BB148" s="678"/>
      <c r="BC148" s="678"/>
      <c r="BD148" s="678"/>
      <c r="BE148" s="912"/>
      <c r="BF148" s="765"/>
      <c r="BG148" s="765"/>
      <c r="BH148" s="765"/>
      <c r="BI148" s="765"/>
      <c r="BJ148" s="912">
        <v>0</v>
      </c>
      <c r="BK148" s="765"/>
      <c r="BL148" s="765"/>
      <c r="BM148" s="765"/>
      <c r="BN148" s="765"/>
      <c r="BO148" s="912">
        <v>0</v>
      </c>
      <c r="BP148" s="765"/>
      <c r="BQ148" s="765"/>
      <c r="BR148" s="765"/>
      <c r="BS148" s="765"/>
      <c r="BT148" s="911">
        <v>0</v>
      </c>
      <c r="BU148" s="765"/>
      <c r="BV148" s="765"/>
      <c r="BW148" s="765"/>
      <c r="BX148" s="765"/>
      <c r="BY148" s="936">
        <v>-0.48699999999999999</v>
      </c>
      <c r="BZ148" s="754">
        <v>0</v>
      </c>
      <c r="CA148" s="754">
        <v>0</v>
      </c>
      <c r="CB148" s="754">
        <v>0</v>
      </c>
      <c r="CC148" s="753">
        <v>2.4769999999999999</v>
      </c>
      <c r="CD148" s="936">
        <v>2.9580000000000002</v>
      </c>
      <c r="CE148" s="753">
        <v>1</v>
      </c>
      <c r="CF148" s="753">
        <v>0.5</v>
      </c>
      <c r="CG148" s="754">
        <f t="shared" si="61"/>
        <v>0.2360000000000001</v>
      </c>
      <c r="CH148" s="754">
        <f t="shared" si="62"/>
        <v>0.2360000000000001</v>
      </c>
      <c r="CI148" s="749">
        <f t="shared" si="63"/>
        <v>1.9720000000000002</v>
      </c>
      <c r="CJ148" s="749">
        <f t="shared" si="64"/>
        <v>1.3146666666666669</v>
      </c>
      <c r="CK148" s="749">
        <f t="shared" ref="CK148:CM148" si="69">CJ148*2/3</f>
        <v>0.87644444444444458</v>
      </c>
      <c r="CL148" s="749">
        <f t="shared" si="69"/>
        <v>0.58429629629629642</v>
      </c>
      <c r="CM148" s="749">
        <f t="shared" si="69"/>
        <v>0.38953086419753097</v>
      </c>
      <c r="CN148" s="680"/>
      <c r="CO148" s="683"/>
      <c r="CP148" s="680"/>
      <c r="CQ148" s="693"/>
    </row>
    <row r="149" spans="2:95" ht="16.5" customHeight="1" outlineLevel="1" x14ac:dyDescent="0.25">
      <c r="B149" s="12" t="s">
        <v>1036</v>
      </c>
      <c r="C149" s="826"/>
      <c r="D149" s="826"/>
      <c r="E149" s="826"/>
      <c r="F149" s="826"/>
      <c r="G149" s="878"/>
      <c r="H149" s="826"/>
      <c r="I149" s="826"/>
      <c r="J149" s="826"/>
      <c r="K149" s="826"/>
      <c r="L149" s="878"/>
      <c r="M149" s="826"/>
      <c r="N149" s="826"/>
      <c r="O149" s="826"/>
      <c r="P149" s="826"/>
      <c r="Q149" s="878"/>
      <c r="R149" s="826"/>
      <c r="S149" s="826"/>
      <c r="T149" s="826"/>
      <c r="U149" s="826"/>
      <c r="V149" s="878"/>
      <c r="W149" s="826"/>
      <c r="X149" s="826"/>
      <c r="Y149" s="826"/>
      <c r="Z149" s="826"/>
      <c r="AA149" s="878"/>
      <c r="AB149" s="826"/>
      <c r="AC149" s="826"/>
      <c r="AD149" s="826"/>
      <c r="AE149" s="826">
        <v>0</v>
      </c>
      <c r="AF149" s="873">
        <v>0</v>
      </c>
      <c r="AG149" s="826"/>
      <c r="AH149" s="826"/>
      <c r="AI149" s="826"/>
      <c r="AJ149" s="826">
        <v>0</v>
      </c>
      <c r="AK149" s="873">
        <v>0</v>
      </c>
      <c r="AL149" s="826"/>
      <c r="AM149" s="826"/>
      <c r="AN149" s="826"/>
      <c r="AO149" s="826">
        <v>0</v>
      </c>
      <c r="AP149" s="873">
        <v>0</v>
      </c>
      <c r="AQ149" s="826"/>
      <c r="AR149" s="826"/>
      <c r="AS149" s="826"/>
      <c r="AT149" s="826">
        <v>4.4459999999999997</v>
      </c>
      <c r="AU149" s="920">
        <v>36.682000000000002</v>
      </c>
      <c r="AV149" s="831"/>
      <c r="AW149" s="831"/>
      <c r="AX149" s="831"/>
      <c r="AY149" s="831">
        <v>0</v>
      </c>
      <c r="AZ149" s="920">
        <v>0</v>
      </c>
      <c r="BA149" s="831"/>
      <c r="BB149" s="831"/>
      <c r="BC149" s="831"/>
      <c r="BD149" s="831">
        <v>15.275</v>
      </c>
      <c r="BE149" s="920">
        <v>71.247</v>
      </c>
      <c r="BF149" s="831"/>
      <c r="BG149" s="831"/>
      <c r="BH149" s="831"/>
      <c r="BI149" s="831">
        <v>6.9039999999999999</v>
      </c>
      <c r="BJ149" s="920">
        <v>6.9039999999999999</v>
      </c>
      <c r="BK149" s="831"/>
      <c r="BL149" s="831"/>
      <c r="BM149" s="831"/>
      <c r="BN149" s="831">
        <v>13.872999999999999</v>
      </c>
      <c r="BO149" s="920">
        <v>25.431000000000001</v>
      </c>
      <c r="BP149" s="831"/>
      <c r="BQ149" s="831"/>
      <c r="BR149" s="831"/>
      <c r="BS149" s="831">
        <v>21.478999999999999</v>
      </c>
      <c r="BT149" s="920">
        <v>18.888999999999999</v>
      </c>
      <c r="BU149" s="827"/>
      <c r="BV149" s="827"/>
      <c r="BW149" s="827"/>
      <c r="BX149" s="827"/>
      <c r="BY149" s="939">
        <v>3.3050000000000002</v>
      </c>
      <c r="BZ149" s="827">
        <v>6.056</v>
      </c>
      <c r="CA149" s="827">
        <v>7.343</v>
      </c>
      <c r="CB149" s="827">
        <v>19.812999999999999</v>
      </c>
      <c r="CC149" s="832">
        <v>0.57299999999999995</v>
      </c>
      <c r="CD149" s="939">
        <v>2.573</v>
      </c>
      <c r="CE149" s="753">
        <v>0.4</v>
      </c>
      <c r="CF149" s="753">
        <v>0.4</v>
      </c>
      <c r="CG149" s="754">
        <f t="shared" si="61"/>
        <v>0.45766666666666661</v>
      </c>
      <c r="CH149" s="754">
        <f t="shared" si="62"/>
        <v>0.45766666666666661</v>
      </c>
      <c r="CI149" s="854">
        <f t="shared" si="63"/>
        <v>1.7153333333333334</v>
      </c>
      <c r="CJ149" s="854">
        <f t="shared" si="64"/>
        <v>1.1435555555555557</v>
      </c>
      <c r="CK149" s="854">
        <f t="shared" ref="CK149:CM149" si="70">CJ149*2/3</f>
        <v>0.76237037037037048</v>
      </c>
      <c r="CL149" s="854">
        <f t="shared" si="70"/>
        <v>0.50824691358024698</v>
      </c>
      <c r="CM149" s="854">
        <f t="shared" si="70"/>
        <v>0.33883127572016464</v>
      </c>
      <c r="CN149" s="291"/>
      <c r="CO149" s="683"/>
      <c r="CP149" s="291"/>
      <c r="CQ149" s="693"/>
    </row>
    <row r="150" spans="2:95" ht="16.5" customHeight="1" outlineLevel="1" x14ac:dyDescent="0.25">
      <c r="B150" s="701" t="s">
        <v>1037</v>
      </c>
      <c r="C150" s="274"/>
      <c r="D150" s="274"/>
      <c r="E150" s="274"/>
      <c r="F150" s="274"/>
      <c r="G150" s="871"/>
      <c r="H150" s="274"/>
      <c r="I150" s="274"/>
      <c r="J150" s="274"/>
      <c r="K150" s="274"/>
      <c r="L150" s="871"/>
      <c r="M150" s="274"/>
      <c r="N150" s="274"/>
      <c r="O150" s="274"/>
      <c r="P150" s="274"/>
      <c r="Q150" s="871"/>
      <c r="R150" s="274"/>
      <c r="S150" s="274"/>
      <c r="T150" s="274"/>
      <c r="U150" s="274"/>
      <c r="V150" s="871"/>
      <c r="W150" s="274"/>
      <c r="X150" s="274"/>
      <c r="Y150" s="274"/>
      <c r="Z150" s="274"/>
      <c r="AA150" s="871"/>
      <c r="AB150" s="274"/>
      <c r="AC150" s="274"/>
      <c r="AD150" s="274"/>
      <c r="AE150" s="274"/>
      <c r="AF150" s="871">
        <f>IF(COUNT(AF143:AF149)=0,"",SUM(AF143:AF149))</f>
        <v>212.80100000000022</v>
      </c>
      <c r="AG150" s="274"/>
      <c r="AH150" s="274"/>
      <c r="AI150" s="274"/>
      <c r="AJ150" s="274"/>
      <c r="AK150" s="871">
        <f>IF(COUNT(AK143:AK149)=0,"",SUM(AK143:AK149))</f>
        <v>204.09999999999982</v>
      </c>
      <c r="AL150" s="274"/>
      <c r="AM150" s="274"/>
      <c r="AN150" s="274"/>
      <c r="AO150" s="274"/>
      <c r="AP150" s="871">
        <f>IF(COUNT(AP143:AP149)=0,"",SUM(AP143:AP149))</f>
        <v>250.15199999999999</v>
      </c>
      <c r="AQ150" s="274"/>
      <c r="AR150" s="274"/>
      <c r="AS150" s="274"/>
      <c r="AT150" s="274"/>
      <c r="AU150" s="871">
        <f>IF(COUNT(AU143:AU149)=0,"",SUM(AU143:AU149))</f>
        <v>294.53399999999999</v>
      </c>
      <c r="AV150" s="274"/>
      <c r="AW150" s="274"/>
      <c r="AX150" s="274"/>
      <c r="AY150" s="274"/>
      <c r="AZ150" s="871">
        <f>IF(COUNT(AZ143:AZ149)=0,"",SUM(AZ143:AZ149))</f>
        <v>321.142</v>
      </c>
      <c r="BA150" s="274"/>
      <c r="BB150" s="274"/>
      <c r="BC150" s="274"/>
      <c r="BD150" s="274"/>
      <c r="BE150" s="871">
        <f>IF(COUNT(BE143:BE149)=0,"",SUM(BE143:BE149))</f>
        <v>287.60899999999998</v>
      </c>
      <c r="BF150" s="274"/>
      <c r="BG150" s="274"/>
      <c r="BH150" s="274"/>
      <c r="BI150" s="274"/>
      <c r="BJ150" s="871">
        <f>IF(COUNT(BJ143:BJ149)=0,"",SUM(BJ143:BJ149))</f>
        <v>277.863</v>
      </c>
      <c r="BK150" s="274"/>
      <c r="BL150" s="274"/>
      <c r="BM150" s="274"/>
      <c r="BN150" s="274"/>
      <c r="BO150" s="871">
        <f>IF(COUNT(BO143:BO149)=0,"",SUM(BO143:BO149))</f>
        <v>308.279</v>
      </c>
      <c r="BP150" s="274"/>
      <c r="BQ150" s="274"/>
      <c r="BR150" s="274"/>
      <c r="BS150" s="274"/>
      <c r="BT150" s="871">
        <f>IF(COUNT(BT143:BT149)=0,"",SUM(BT143:BT149))</f>
        <v>361.80599999999998</v>
      </c>
      <c r="BU150" s="274"/>
      <c r="BV150" s="274"/>
      <c r="BW150" s="274"/>
      <c r="BX150" s="274"/>
      <c r="BY150" s="871">
        <f>SUM(BY143:BY149)</f>
        <v>457.86199999999997</v>
      </c>
      <c r="BZ150" s="274">
        <f>IF(COUNT(BZ143:BZ149)=0,"",SUM(BZ143:BZ149))</f>
        <v>107.21299999999999</v>
      </c>
      <c r="CA150" s="274">
        <f>IF(COUNT(CA143:CA149)=0,"",SUM(CA143:CA149))</f>
        <v>116.65</v>
      </c>
      <c r="CB150" s="274">
        <f>IF(COUNT(CB143:CB149)=0,"",SUM(CB143:CB149))</f>
        <v>131.68</v>
      </c>
      <c r="CC150" s="274">
        <f t="shared" ref="CC150:CJ150" si="71">SUM(CC143:CC149)</f>
        <v>143.49000000000004</v>
      </c>
      <c r="CD150" s="871">
        <f t="shared" si="71"/>
        <v>501.26799999999997</v>
      </c>
      <c r="CE150" s="274">
        <f t="shared" si="71"/>
        <v>122.75999999999999</v>
      </c>
      <c r="CF150" s="274">
        <f t="shared" si="71"/>
        <v>128.75899999999987</v>
      </c>
      <c r="CG150" s="274">
        <f t="shared" si="71"/>
        <v>136.00975393472825</v>
      </c>
      <c r="CH150" s="274">
        <f t="shared" si="71"/>
        <v>124.31178573193888</v>
      </c>
      <c r="CI150" s="274">
        <f t="shared" si="71"/>
        <v>511.84053966666681</v>
      </c>
      <c r="CJ150" s="274">
        <f t="shared" si="71"/>
        <v>567.74948012444418</v>
      </c>
      <c r="CK150" s="274">
        <f t="shared" ref="CK150:CM150" si="72">SUM(CK143:CK149)</f>
        <v>626.56642648129662</v>
      </c>
      <c r="CL150" s="274">
        <f t="shared" si="72"/>
        <v>702.82691955281598</v>
      </c>
      <c r="CM150" s="274">
        <f t="shared" si="72"/>
        <v>785.6865627352521</v>
      </c>
      <c r="CN150" s="291"/>
      <c r="CO150" s="683"/>
      <c r="CP150" s="291"/>
      <c r="CQ150" s="693"/>
    </row>
    <row r="151" spans="2:95" ht="16.5" customHeight="1" outlineLevel="1" x14ac:dyDescent="0.25">
      <c r="B151" s="12" t="s">
        <v>1038</v>
      </c>
      <c r="C151" s="291"/>
      <c r="D151" s="291"/>
      <c r="E151" s="291"/>
      <c r="F151" s="291"/>
      <c r="G151" s="864"/>
      <c r="H151" s="291"/>
      <c r="I151" s="291"/>
      <c r="J151" s="291"/>
      <c r="K151" s="291"/>
      <c r="L151" s="864"/>
      <c r="M151" s="291"/>
      <c r="N151" s="291"/>
      <c r="O151" s="291"/>
      <c r="P151" s="291"/>
      <c r="Q151" s="864"/>
      <c r="R151" s="291"/>
      <c r="S151" s="291"/>
      <c r="T151" s="291"/>
      <c r="U151" s="291"/>
      <c r="V151" s="864"/>
      <c r="W151" s="291"/>
      <c r="X151" s="291"/>
      <c r="Y151" s="291"/>
      <c r="Z151" s="291"/>
      <c r="AA151" s="864"/>
      <c r="AB151" s="291"/>
      <c r="AC151" s="291"/>
      <c r="AD151" s="291"/>
      <c r="AE151" s="291" t="str">
        <f>IFERROR(AE150/AE114,"")</f>
        <v/>
      </c>
      <c r="AF151" s="913">
        <f>IFERROR(AF150/AF114,"")</f>
        <v>8.425987079157983E-2</v>
      </c>
      <c r="AG151" s="782"/>
      <c r="AH151" s="782"/>
      <c r="AI151" s="782"/>
      <c r="AJ151" s="782" t="str">
        <f>IFERROR(AJ150/AJ114,"")</f>
        <v/>
      </c>
      <c r="AK151" s="913">
        <f>IFERROR(AK150/AK114,"")</f>
        <v>8.4620784042037517E-2</v>
      </c>
      <c r="AL151" s="782"/>
      <c r="AM151" s="782"/>
      <c r="AN151" s="782"/>
      <c r="AO151" s="782" t="str">
        <f>IFERROR(AO150/AO114,"")</f>
        <v/>
      </c>
      <c r="AP151" s="913">
        <f>IFERROR(AP150/AP114,"")</f>
        <v>0.10015999846247724</v>
      </c>
      <c r="AQ151" s="782"/>
      <c r="AR151" s="782"/>
      <c r="AS151" s="782"/>
      <c r="AT151" s="782" t="str">
        <f>IFERROR(AT150/AT114,"")</f>
        <v/>
      </c>
      <c r="AU151" s="913">
        <f>IFERROR(AU150/AU114,"")</f>
        <v>0.10870547280868421</v>
      </c>
      <c r="AV151" s="782"/>
      <c r="AW151" s="782"/>
      <c r="AX151" s="782"/>
      <c r="AY151" s="782" t="str">
        <f>IFERROR(AY150/AY114,"")</f>
        <v/>
      </c>
      <c r="AZ151" s="913">
        <f>IFERROR(AZ150/AZ114,"")</f>
        <v>0.11056084647341188</v>
      </c>
      <c r="BA151" s="782"/>
      <c r="BB151" s="782"/>
      <c r="BC151" s="782"/>
      <c r="BD151" s="782" t="str">
        <f>IFERROR(BD150/BD114,"")</f>
        <v/>
      </c>
      <c r="BE151" s="913">
        <f>IFERROR(BE150/BE114,"")</f>
        <v>9.9706575089251223E-2</v>
      </c>
      <c r="BF151" s="754"/>
      <c r="BG151" s="754"/>
      <c r="BH151" s="754"/>
      <c r="BJ151" s="930">
        <f>IFERROR(BJ150/BJ114,0)</f>
        <v>9.7427658483032739E-2</v>
      </c>
      <c r="BK151" s="754"/>
      <c r="BL151" s="754"/>
      <c r="BM151" s="754"/>
      <c r="BO151" s="930">
        <f>IFERROR(BO150/BO114,0)</f>
        <v>0.1015484308331656</v>
      </c>
      <c r="BP151" s="754"/>
      <c r="BQ151" s="754"/>
      <c r="BR151" s="754"/>
      <c r="BT151" s="930">
        <f>IFERROR(BT150/BT114,0)</f>
        <v>0.1091029162985233</v>
      </c>
      <c r="BU151" s="754"/>
      <c r="BV151" s="754"/>
      <c r="BW151" s="754"/>
      <c r="BX151" s="754"/>
      <c r="BY151" s="930">
        <f>IFERROR(BY150/BY114,0)</f>
        <v>0.12686812821422236</v>
      </c>
      <c r="BZ151" s="755">
        <f>IFERROR(IF(BZ150="","",BZ150/BZ114),"")</f>
        <v>0.11777571499975283</v>
      </c>
      <c r="CA151" s="755">
        <f>IFERROR(IF(CA150="","",CA150/CA114),"")</f>
        <v>0.1247807111377348</v>
      </c>
      <c r="CB151" s="755">
        <f>IFERROR(IF(CB150="","",CB150/CB114),"")</f>
        <v>0.13556209161765478</v>
      </c>
      <c r="CC151" s="783">
        <f t="shared" ref="CC151:CJ151" si="73">IFERROR(CC150/CC114,0)</f>
        <v>0.13742857525960012</v>
      </c>
      <c r="CD151" s="930">
        <f t="shared" si="73"/>
        <v>0.12984118629527247</v>
      </c>
      <c r="CE151" s="783">
        <f t="shared" si="73"/>
        <v>0.11156490776537561</v>
      </c>
      <c r="CF151" s="783">
        <f t="shared" si="73"/>
        <v>0.12240065326485068</v>
      </c>
      <c r="CG151" s="783">
        <f t="shared" si="73"/>
        <v>0.12634126970050083</v>
      </c>
      <c r="CH151" s="783">
        <f t="shared" si="73"/>
        <v>0.11997233016294984</v>
      </c>
      <c r="CI151" s="784">
        <f t="shared" si="73"/>
        <v>0.12000978095252524</v>
      </c>
      <c r="CJ151" s="784">
        <f t="shared" si="73"/>
        <v>0.12308819834174287</v>
      </c>
      <c r="CK151" s="784">
        <f t="shared" ref="CK151:CM151" si="74">IFERROR(CK150/CK114,0)</f>
        <v>0.12692366633705182</v>
      </c>
      <c r="CL151" s="784">
        <f t="shared" si="74"/>
        <v>0.1337043707925164</v>
      </c>
      <c r="CM151" s="784">
        <f t="shared" si="74"/>
        <v>0.14075611820420281</v>
      </c>
      <c r="CN151" s="291"/>
      <c r="CO151" s="683"/>
      <c r="CP151" s="291"/>
      <c r="CQ151" s="693"/>
    </row>
    <row r="152" spans="2:95" ht="16.5" customHeight="1" outlineLevel="1" x14ac:dyDescent="0.25">
      <c r="B152" s="12" t="s">
        <v>1134</v>
      </c>
      <c r="C152" s="291"/>
      <c r="D152" s="291"/>
      <c r="E152" s="291"/>
      <c r="F152" s="291"/>
      <c r="G152" s="864"/>
      <c r="H152" s="241" t="str">
        <f t="shared" ref="H152:AM152" si="75">IFERROR(IF(AND(ISNUMBER(H150),ISNUMBER(C150),H114&lt;&gt;C114),(H150-C150)/(H114-C114),""),"")</f>
        <v/>
      </c>
      <c r="I152" s="241" t="str">
        <f t="shared" si="75"/>
        <v/>
      </c>
      <c r="J152" s="241" t="str">
        <f t="shared" si="75"/>
        <v/>
      </c>
      <c r="K152" s="241" t="str">
        <f t="shared" si="75"/>
        <v/>
      </c>
      <c r="L152" s="869" t="str">
        <f t="shared" si="75"/>
        <v/>
      </c>
      <c r="M152" s="241" t="str">
        <f t="shared" si="75"/>
        <v/>
      </c>
      <c r="N152" s="241" t="str">
        <f t="shared" si="75"/>
        <v/>
      </c>
      <c r="O152" s="241" t="str">
        <f t="shared" si="75"/>
        <v/>
      </c>
      <c r="P152" s="241" t="str">
        <f t="shared" si="75"/>
        <v/>
      </c>
      <c r="Q152" s="869" t="str">
        <f t="shared" si="75"/>
        <v/>
      </c>
      <c r="R152" s="241" t="str">
        <f t="shared" si="75"/>
        <v/>
      </c>
      <c r="S152" s="241" t="str">
        <f t="shared" si="75"/>
        <v/>
      </c>
      <c r="T152" s="241" t="str">
        <f t="shared" si="75"/>
        <v/>
      </c>
      <c r="U152" s="241" t="str">
        <f t="shared" si="75"/>
        <v/>
      </c>
      <c r="V152" s="869" t="str">
        <f t="shared" si="75"/>
        <v/>
      </c>
      <c r="W152" s="241" t="str">
        <f t="shared" si="75"/>
        <v/>
      </c>
      <c r="X152" s="241" t="str">
        <f t="shared" si="75"/>
        <v/>
      </c>
      <c r="Y152" s="241" t="str">
        <f t="shared" si="75"/>
        <v/>
      </c>
      <c r="Z152" s="241" t="str">
        <f t="shared" si="75"/>
        <v/>
      </c>
      <c r="AA152" s="869" t="str">
        <f t="shared" si="75"/>
        <v/>
      </c>
      <c r="AB152" s="241" t="str">
        <f t="shared" si="75"/>
        <v/>
      </c>
      <c r="AC152" s="241" t="str">
        <f t="shared" si="75"/>
        <v/>
      </c>
      <c r="AD152" s="241" t="str">
        <f t="shared" si="75"/>
        <v/>
      </c>
      <c r="AE152" s="241" t="str">
        <f t="shared" si="75"/>
        <v/>
      </c>
      <c r="AF152" s="869" t="str">
        <f t="shared" si="75"/>
        <v/>
      </c>
      <c r="AG152" s="241" t="str">
        <f t="shared" si="75"/>
        <v/>
      </c>
      <c r="AH152" s="241" t="str">
        <f t="shared" si="75"/>
        <v/>
      </c>
      <c r="AI152" s="241" t="str">
        <f t="shared" si="75"/>
        <v/>
      </c>
      <c r="AJ152" s="241" t="str">
        <f t="shared" si="75"/>
        <v/>
      </c>
      <c r="AK152" s="869">
        <f t="shared" si="75"/>
        <v>7.6596681191957144E-2</v>
      </c>
      <c r="AL152" s="241" t="str">
        <f t="shared" si="75"/>
        <v/>
      </c>
      <c r="AM152" s="241" t="str">
        <f t="shared" si="75"/>
        <v/>
      </c>
      <c r="AN152" s="241" t="str">
        <f t="shared" ref="AN152:BS152" si="76">IFERROR(IF(AND(ISNUMBER(AN150),ISNUMBER(AI150),AN114&lt;&gt;AI114),(AN150-AI150)/(AN114-AI114),""),"")</f>
        <v/>
      </c>
      <c r="AO152" s="241" t="str">
        <f t="shared" si="76"/>
        <v/>
      </c>
      <c r="AP152" s="869">
        <f t="shared" si="76"/>
        <v>0.53807237080397918</v>
      </c>
      <c r="AQ152" s="241" t="str">
        <f t="shared" si="76"/>
        <v/>
      </c>
      <c r="AR152" s="241" t="str">
        <f t="shared" si="76"/>
        <v/>
      </c>
      <c r="AS152" s="241" t="str">
        <f t="shared" si="76"/>
        <v/>
      </c>
      <c r="AT152" s="241" t="str">
        <f t="shared" si="76"/>
        <v/>
      </c>
      <c r="AU152" s="869">
        <f t="shared" si="76"/>
        <v>0.20940437096591558</v>
      </c>
      <c r="AV152" s="241" t="str">
        <f t="shared" si="76"/>
        <v/>
      </c>
      <c r="AW152" s="241" t="str">
        <f t="shared" si="76"/>
        <v/>
      </c>
      <c r="AX152" s="241" t="str">
        <f t="shared" si="76"/>
        <v/>
      </c>
      <c r="AY152" s="241" t="str">
        <f t="shared" si="76"/>
        <v/>
      </c>
      <c r="AZ152" s="869">
        <f t="shared" si="76"/>
        <v>0.13631496708419777</v>
      </c>
      <c r="BA152" s="241" t="str">
        <f t="shared" si="76"/>
        <v/>
      </c>
      <c r="BB152" s="241" t="str">
        <f t="shared" si="76"/>
        <v/>
      </c>
      <c r="BC152" s="241" t="str">
        <f t="shared" si="76"/>
        <v/>
      </c>
      <c r="BD152" s="241" t="str">
        <f t="shared" si="76"/>
        <v/>
      </c>
      <c r="BE152" s="869">
        <f t="shared" si="76"/>
        <v>1.6675617882540228</v>
      </c>
      <c r="BF152" s="241" t="str">
        <f t="shared" si="76"/>
        <v/>
      </c>
      <c r="BG152" s="241" t="str">
        <f t="shared" si="76"/>
        <v/>
      </c>
      <c r="BH152" s="241" t="str">
        <f t="shared" si="76"/>
        <v/>
      </c>
      <c r="BI152" s="241" t="str">
        <f t="shared" si="76"/>
        <v/>
      </c>
      <c r="BJ152" s="869">
        <f t="shared" si="76"/>
        <v>0.29931513159915041</v>
      </c>
      <c r="BK152" s="241" t="str">
        <f t="shared" si="76"/>
        <v/>
      </c>
      <c r="BL152" s="241" t="str">
        <f t="shared" si="76"/>
        <v/>
      </c>
      <c r="BM152" s="241" t="str">
        <f t="shared" si="76"/>
        <v/>
      </c>
      <c r="BN152" s="241" t="str">
        <f t="shared" si="76"/>
        <v/>
      </c>
      <c r="BO152" s="869">
        <f t="shared" si="76"/>
        <v>0.16549322596441551</v>
      </c>
      <c r="BP152" s="241" t="str">
        <f t="shared" si="76"/>
        <v/>
      </c>
      <c r="BQ152" s="241" t="str">
        <f t="shared" si="76"/>
        <v/>
      </c>
      <c r="BR152" s="241" t="str">
        <f t="shared" si="76"/>
        <v/>
      </c>
      <c r="BS152" s="241" t="str">
        <f t="shared" si="76"/>
        <v/>
      </c>
      <c r="BT152" s="869">
        <f t="shared" ref="BT152:CY152" si="77">IFERROR(IF(AND(ISNUMBER(BT150),ISNUMBER(BO150),BT114&lt;&gt;BO114),(BT150-BO150)/(BT114-BO114),""),"")</f>
        <v>0.19089038433420008</v>
      </c>
      <c r="BU152" s="241" t="str">
        <f t="shared" si="77"/>
        <v/>
      </c>
      <c r="BV152" s="241" t="str">
        <f t="shared" si="77"/>
        <v/>
      </c>
      <c r="BW152" s="241" t="str">
        <f t="shared" si="77"/>
        <v/>
      </c>
      <c r="BX152" s="241" t="str">
        <f t="shared" si="77"/>
        <v/>
      </c>
      <c r="BY152" s="869">
        <f t="shared" si="77"/>
        <v>0.32809372545001192</v>
      </c>
      <c r="BZ152" s="241" t="str">
        <f t="shared" si="77"/>
        <v/>
      </c>
      <c r="CA152" s="241" t="str">
        <f t="shared" si="77"/>
        <v/>
      </c>
      <c r="CB152" s="241" t="str">
        <f t="shared" si="77"/>
        <v/>
      </c>
      <c r="CC152" s="241" t="str">
        <f t="shared" si="77"/>
        <v/>
      </c>
      <c r="CD152" s="869">
        <f t="shared" si="77"/>
        <v>0.17247599974569286</v>
      </c>
      <c r="CE152" s="241">
        <f t="shared" si="77"/>
        <v>8.1812967357957386E-2</v>
      </c>
      <c r="CF152" s="241">
        <f t="shared" si="77"/>
        <v>0.1034011630389292</v>
      </c>
      <c r="CG152" s="241">
        <f t="shared" si="77"/>
        <v>4.1171551586542676E-2</v>
      </c>
      <c r="CH152" s="241">
        <f t="shared" si="77"/>
        <v>2.4167527900544354</v>
      </c>
      <c r="CI152" s="751">
        <f t="shared" si="77"/>
        <v>2.6145953016515306E-2</v>
      </c>
      <c r="CJ152" s="751">
        <f>IFERROR(IF(AND(ISNUMBER(CJ150),ISNUMBER(CI150),CJ114&lt;&gt;CI114),(CJ150-CI150)/(CJ114-CI114),""),"")</f>
        <v>0.16086507464188093</v>
      </c>
      <c r="CK152" s="751">
        <f>IFERROR(IF(AND(ISNUMBER(CK150),ISNUMBER(CJ150),CK114&lt;&gt;CJ114),(CK150-CJ150)/(CK114-CJ114),""),"")</f>
        <v>0.18152309677038336</v>
      </c>
      <c r="CL152" s="751">
        <f>IFERROR(IF(AND(ISNUMBER(CL150),ISNUMBER(CK150),CL114&lt;&gt;CK114),(CL150-CK150)/(CL114-CK114),""),"")</f>
        <v>0.23830438862607478</v>
      </c>
      <c r="CM152" s="751">
        <f>IFERROR(IF(AND(ISNUMBER(CM150),ISNUMBER(CL150),CM114&lt;&gt;CL114),(CM150-CL150)/(CM114-CL114),""),"")</f>
        <v>0.25469734431638152</v>
      </c>
      <c r="CN152" s="291"/>
      <c r="CO152" s="683"/>
      <c r="CP152" s="291"/>
      <c r="CQ152" s="693"/>
    </row>
    <row r="153" spans="2:95" ht="16.5" customHeight="1" outlineLevel="1" x14ac:dyDescent="0.25">
      <c r="B153" s="679" t="s">
        <v>715</v>
      </c>
      <c r="C153" s="291"/>
      <c r="D153" s="291"/>
      <c r="E153" s="291"/>
      <c r="F153" s="291"/>
      <c r="G153" s="864"/>
      <c r="H153" s="291"/>
      <c r="I153" s="291"/>
      <c r="J153" s="291"/>
      <c r="K153" s="291"/>
      <c r="L153" s="864"/>
      <c r="M153" s="291"/>
      <c r="N153" s="291"/>
      <c r="O153" s="291"/>
      <c r="P153" s="291"/>
      <c r="Q153" s="864"/>
      <c r="R153" s="291"/>
      <c r="S153" s="291"/>
      <c r="T153" s="291"/>
      <c r="U153" s="291"/>
      <c r="V153" s="864"/>
      <c r="W153" s="291"/>
      <c r="X153" s="291"/>
      <c r="Y153" s="291"/>
      <c r="Z153" s="291"/>
      <c r="AA153" s="864"/>
      <c r="AB153" s="291"/>
      <c r="AC153" s="291"/>
      <c r="AD153" s="291"/>
      <c r="AE153" s="291"/>
      <c r="AF153" s="870">
        <f>IF(AF133=0,"",AF133)</f>
        <v>131.88300000000024</v>
      </c>
      <c r="AG153" s="678"/>
      <c r="AH153" s="678"/>
      <c r="AI153" s="678"/>
      <c r="AJ153" s="678"/>
      <c r="AK153" s="870">
        <f>IF(AK133=0,"",AK133)</f>
        <v>120.26799999999983</v>
      </c>
      <c r="AL153" s="678"/>
      <c r="AM153" s="678"/>
      <c r="AN153" s="678"/>
      <c r="AO153" s="678"/>
      <c r="AP153" s="870">
        <f>IF(AP133=0,"",AP133)</f>
        <v>140.95399999999995</v>
      </c>
      <c r="AQ153" s="678"/>
      <c r="AR153" s="678"/>
      <c r="AS153" s="678"/>
      <c r="AT153" s="678"/>
      <c r="AU153" s="870">
        <f>IF(AU133=0,"",AU133)</f>
        <v>95.360999999999777</v>
      </c>
      <c r="AV153" s="678"/>
      <c r="AW153" s="678"/>
      <c r="AX153" s="678"/>
      <c r="AY153" s="678"/>
      <c r="AZ153" s="870">
        <f>IF(AZ133=0,"",AZ133)</f>
        <v>174.54799999999989</v>
      </c>
      <c r="BA153" s="678"/>
      <c r="BB153" s="678"/>
      <c r="BC153" s="678"/>
      <c r="BD153" s="678"/>
      <c r="BE153" s="870">
        <f>IF(BE133=0,"",BE133)</f>
        <v>9.2049999999999095</v>
      </c>
      <c r="BF153" s="678"/>
      <c r="BG153" s="678"/>
      <c r="BH153" s="678"/>
      <c r="BI153" s="678"/>
      <c r="BJ153" s="870">
        <f>IF(BJ133=0,"",BJ133)</f>
        <v>157.22</v>
      </c>
      <c r="BK153" s="678"/>
      <c r="BL153" s="678"/>
      <c r="BM153" s="678"/>
      <c r="BN153" s="678"/>
      <c r="BO153" s="870">
        <f>IF(BO133=0,"",BO133)</f>
        <v>155.17699999999999</v>
      </c>
      <c r="BP153" s="678"/>
      <c r="BQ153" s="678"/>
      <c r="BR153" s="678"/>
      <c r="BS153" s="678"/>
      <c r="BT153" s="870">
        <f>IF(BT133=0,"",BT133)</f>
        <v>175.15600000000001</v>
      </c>
      <c r="BU153" s="678"/>
      <c r="BV153" s="678"/>
      <c r="BW153" s="678"/>
      <c r="BX153" s="678"/>
      <c r="BY153" s="870">
        <f>BY133</f>
        <v>208.78599999999997</v>
      </c>
      <c r="BZ153" s="678">
        <f>IF(BZ133=0,"",BZ133)</f>
        <v>53.112999999999992</v>
      </c>
      <c r="CA153" s="678">
        <f>IF(CA133=0,"",CA133)</f>
        <v>55.753999999999991</v>
      </c>
      <c r="CB153" s="678">
        <f>IF(CB133=0,"",CB133)</f>
        <v>59.707000000000001</v>
      </c>
      <c r="CC153" s="678">
        <f t="shared" ref="CC153:CJ153" si="78">CC133</f>
        <v>66.453999999999994</v>
      </c>
      <c r="CD153" s="870">
        <f t="shared" si="78"/>
        <v>235.02799999999996</v>
      </c>
      <c r="CE153" s="678">
        <f t="shared" si="78"/>
        <v>79.311999999999983</v>
      </c>
      <c r="CF153" s="678">
        <f t="shared" si="78"/>
        <v>81.838999999999842</v>
      </c>
      <c r="CG153" s="678">
        <f t="shared" si="78"/>
        <v>79.049205323726824</v>
      </c>
      <c r="CH153" s="678">
        <f t="shared" si="78"/>
        <v>68.975589489606946</v>
      </c>
      <c r="CI153" s="752">
        <f t="shared" si="78"/>
        <v>309.17579481333348</v>
      </c>
      <c r="CJ153" s="752">
        <f t="shared" si="78"/>
        <v>365.41846741519987</v>
      </c>
      <c r="CK153" s="752">
        <f t="shared" ref="CK153:CM153" si="79">CK133</f>
        <v>418.1766526248586</v>
      </c>
      <c r="CL153" s="752">
        <f t="shared" si="79"/>
        <v>482.29993551568191</v>
      </c>
      <c r="CM153" s="752">
        <f t="shared" si="79"/>
        <v>550.83537849431968</v>
      </c>
      <c r="CN153" s="291"/>
      <c r="CO153" s="683"/>
      <c r="CP153" s="291"/>
      <c r="CQ153" s="693"/>
    </row>
    <row r="154" spans="2:95" ht="16.5" customHeight="1" outlineLevel="1" x14ac:dyDescent="0.25">
      <c r="B154" s="12" t="s">
        <v>1039</v>
      </c>
      <c r="C154" s="817"/>
      <c r="D154" s="817"/>
      <c r="E154" s="817"/>
      <c r="F154" s="817"/>
      <c r="G154" s="879"/>
      <c r="H154" s="817"/>
      <c r="I154" s="817"/>
      <c r="J154" s="817"/>
      <c r="K154" s="817"/>
      <c r="L154" s="879"/>
      <c r="M154" s="817"/>
      <c r="N154" s="817"/>
      <c r="O154" s="817"/>
      <c r="P154" s="817"/>
      <c r="Q154" s="879"/>
      <c r="R154" s="817"/>
      <c r="S154" s="817"/>
      <c r="T154" s="817"/>
      <c r="U154" s="817"/>
      <c r="V154" s="879"/>
      <c r="W154" s="817"/>
      <c r="X154" s="817"/>
      <c r="Y154" s="817"/>
      <c r="Z154" s="817"/>
      <c r="AA154" s="879"/>
      <c r="AB154" s="817"/>
      <c r="AC154" s="817"/>
      <c r="AD154" s="817"/>
      <c r="AE154" s="817">
        <v>0</v>
      </c>
      <c r="AF154" s="914">
        <v>0</v>
      </c>
      <c r="AG154" s="817"/>
      <c r="AH154" s="817"/>
      <c r="AI154" s="817"/>
      <c r="AJ154" s="817">
        <v>0</v>
      </c>
      <c r="AK154" s="914">
        <v>0</v>
      </c>
      <c r="AL154" s="817"/>
      <c r="AM154" s="817"/>
      <c r="AN154" s="817"/>
      <c r="AO154" s="817">
        <v>0</v>
      </c>
      <c r="AP154" s="914">
        <v>0.32600000000000001</v>
      </c>
      <c r="AQ154" s="817"/>
      <c r="AR154" s="817"/>
      <c r="AS154" s="817"/>
      <c r="AT154" s="817">
        <v>5.0540000000000003</v>
      </c>
      <c r="AU154" s="914">
        <v>68.581000000000003</v>
      </c>
      <c r="AV154" s="817"/>
      <c r="AW154" s="817"/>
      <c r="AX154" s="817"/>
      <c r="AY154" s="817">
        <v>1.3</v>
      </c>
      <c r="AZ154" s="914">
        <v>5.2</v>
      </c>
      <c r="BA154" s="817"/>
      <c r="BB154" s="817"/>
      <c r="BC154" s="817"/>
      <c r="BD154" s="817">
        <v>105.041</v>
      </c>
      <c r="BE154" s="914">
        <v>147.43299999999999</v>
      </c>
      <c r="BF154" s="821"/>
      <c r="BG154" s="821"/>
      <c r="BH154" s="821"/>
      <c r="BI154" s="821">
        <v>6.1379999999999999</v>
      </c>
      <c r="BJ154" s="914">
        <v>0.308</v>
      </c>
      <c r="BK154" s="821"/>
      <c r="BL154" s="821"/>
      <c r="BM154" s="821"/>
      <c r="BN154" s="821">
        <v>14.201000000000001</v>
      </c>
      <c r="BO154" s="914">
        <v>23.428999999999998</v>
      </c>
      <c r="BP154" s="821"/>
      <c r="BQ154" s="821"/>
      <c r="BR154" s="821"/>
      <c r="BS154" s="821">
        <v>24.007999999999999</v>
      </c>
      <c r="BT154" s="914">
        <v>21.852</v>
      </c>
      <c r="BU154" s="821"/>
      <c r="BV154" s="821"/>
      <c r="BW154" s="821"/>
      <c r="BX154" s="821"/>
      <c r="BY154" s="940">
        <v>45.058</v>
      </c>
      <c r="BZ154" s="821">
        <v>4.5439999999999996</v>
      </c>
      <c r="CA154" s="821">
        <v>5.5419999999999998</v>
      </c>
      <c r="CB154" s="821">
        <v>15.805999999999999</v>
      </c>
      <c r="CC154" s="820">
        <v>17.765000000000001</v>
      </c>
      <c r="CD154" s="940">
        <v>43.656999999999996</v>
      </c>
      <c r="CE154" s="765">
        <f t="shared" ref="CE154:CJ154" si="80">SUM(CE144:CE149)*(1-CE132)</f>
        <v>3.0425102050853292</v>
      </c>
      <c r="CF154" s="765">
        <f t="shared" si="80"/>
        <v>3.309087567428481</v>
      </c>
      <c r="CG154" s="765">
        <f t="shared" si="80"/>
        <v>9.9337066666666658</v>
      </c>
      <c r="CH154" s="765">
        <f t="shared" si="80"/>
        <v>9.7661842341085752</v>
      </c>
      <c r="CI154" s="850">
        <f t="shared" si="80"/>
        <v>26.175413333333331</v>
      </c>
      <c r="CJ154" s="850">
        <f t="shared" si="80"/>
        <v>17.565079999999998</v>
      </c>
      <c r="CK154" s="850">
        <f t="shared" ref="CK154:CM154" si="81">SUM(CK144:CK149)*(1-CK132)</f>
        <v>11.710053333333335</v>
      </c>
      <c r="CL154" s="850">
        <f t="shared" si="81"/>
        <v>7.8067022222222233</v>
      </c>
      <c r="CM154" s="850">
        <f t="shared" si="81"/>
        <v>5.2044681481481483</v>
      </c>
      <c r="CN154" s="291"/>
      <c r="CO154" s="683"/>
      <c r="CP154" s="291"/>
      <c r="CQ154" s="693"/>
    </row>
    <row r="155" spans="2:95" ht="16.5" customHeight="1" x14ac:dyDescent="0.25">
      <c r="B155" s="739" t="s">
        <v>716</v>
      </c>
      <c r="C155" s="817"/>
      <c r="D155" s="817"/>
      <c r="E155" s="817"/>
      <c r="F155" s="817"/>
      <c r="G155" s="879"/>
      <c r="H155" s="817"/>
      <c r="I155" s="817"/>
      <c r="J155" s="817"/>
      <c r="K155" s="817"/>
      <c r="L155" s="879"/>
      <c r="M155" s="817"/>
      <c r="N155" s="817"/>
      <c r="O155" s="817"/>
      <c r="P155" s="817"/>
      <c r="Q155" s="879"/>
      <c r="R155" s="817"/>
      <c r="S155" s="817"/>
      <c r="T155" s="817"/>
      <c r="U155" s="817"/>
      <c r="V155" s="879"/>
      <c r="W155" s="817"/>
      <c r="X155" s="817"/>
      <c r="Y155" s="817"/>
      <c r="Z155" s="817"/>
      <c r="AA155" s="879"/>
      <c r="AB155" s="817"/>
      <c r="AC155" s="817"/>
      <c r="AD155" s="817"/>
      <c r="AE155" s="817"/>
      <c r="AF155" s="915">
        <f>IFERROR(IF(AND(AF153="",AF154=""),"",IF(AF153="",0,AF153)+IF(AF154="",0,AF154)),"")</f>
        <v>131.88300000000024</v>
      </c>
      <c r="AG155" s="818"/>
      <c r="AH155" s="818"/>
      <c r="AI155" s="818"/>
      <c r="AJ155" s="818"/>
      <c r="AK155" s="915">
        <f>IFERROR(IF(AND(AK153="",AK154=""),"",IF(AK153="",0,AK153)+IF(AK154="",0,AK154)),"")</f>
        <v>120.26799999999983</v>
      </c>
      <c r="AL155" s="818"/>
      <c r="AM155" s="818"/>
      <c r="AN155" s="818"/>
      <c r="AO155" s="818"/>
      <c r="AP155" s="915">
        <f>IFERROR(IF(AND(AP153="",AP154=""),"",IF(AP153="",0,AP153)+IF(AP154="",0,AP154)),"")</f>
        <v>141.27999999999994</v>
      </c>
      <c r="AQ155" s="818"/>
      <c r="AR155" s="818"/>
      <c r="AS155" s="818"/>
      <c r="AT155" s="818"/>
      <c r="AU155" s="915">
        <f>IFERROR(IF(AND(AU153="",AU154=""),"",IF(AU153="",0,AU153)+IF(AU154="",0,AU154)),"")</f>
        <v>163.94199999999978</v>
      </c>
      <c r="AV155" s="818"/>
      <c r="AW155" s="818"/>
      <c r="AX155" s="818"/>
      <c r="AY155" s="818"/>
      <c r="AZ155" s="915">
        <f>IFERROR(IF(AND(AZ153="",AZ154=""),"",IF(AZ153="",0,AZ153)+IF(AZ154="",0,AZ154)),"")</f>
        <v>179.74799999999988</v>
      </c>
      <c r="BA155" s="818"/>
      <c r="BB155" s="818"/>
      <c r="BC155" s="818"/>
      <c r="BD155" s="818"/>
      <c r="BE155" s="915">
        <f>IFERROR(IF(AND(BE153="",BE154=""),"",IF(BE153="",0,BE153)+IF(BE154="",0,BE154)),"")</f>
        <v>156.63799999999989</v>
      </c>
      <c r="BF155" s="818"/>
      <c r="BG155" s="818"/>
      <c r="BH155" s="818"/>
      <c r="BI155" s="818"/>
      <c r="BJ155" s="915">
        <f>IFERROR(IF(AND(BJ153="",BJ154=""),"",IF(BJ153="",0,BJ153)+IF(BJ154="",0,BJ154)),"")</f>
        <v>157.52799999999999</v>
      </c>
      <c r="BK155" s="818"/>
      <c r="BL155" s="818"/>
      <c r="BM155" s="818"/>
      <c r="BN155" s="818"/>
      <c r="BO155" s="915">
        <f>IFERROR(IF(AND(BO153="",BO154=""),"",IF(BO153="",0,BO153)+IF(BO154="",0,BO154)),"")</f>
        <v>178.60599999999999</v>
      </c>
      <c r="BP155" s="818"/>
      <c r="BQ155" s="818"/>
      <c r="BR155" s="818"/>
      <c r="BS155" s="818"/>
      <c r="BT155" s="915">
        <f>IFERROR(IF(AND(BT153="",BT154=""),"",IF(BT153="",0,BT153)+IF(BT154="",0,BT154)),"")</f>
        <v>197.00800000000001</v>
      </c>
      <c r="BU155" s="818"/>
      <c r="BV155" s="818"/>
      <c r="BW155" s="818"/>
      <c r="BX155" s="818"/>
      <c r="BY155" s="915">
        <f>BY153+BY154</f>
        <v>253.84399999999997</v>
      </c>
      <c r="BZ155" s="822">
        <f>IFERROR(IF(AND(BZ153="",BZ154=""),"",IF(BZ153="",0,BZ153)+IF(BZ154="",0,BZ154)),"")</f>
        <v>57.656999999999989</v>
      </c>
      <c r="CA155" s="822">
        <f>IFERROR(IF(AND(CA153="",CA154=""),"",IF(CA153="",0,CA153)+IF(CA154="",0,CA154)),"")</f>
        <v>61.295999999999992</v>
      </c>
      <c r="CB155" s="822">
        <f>IFERROR(IF(AND(CB153="",CB154=""),"",IF(CB153="",0,CB153)+IF(CB154="",0,CB154)),"")</f>
        <v>75.513000000000005</v>
      </c>
      <c r="CC155" s="822">
        <f t="shared" ref="CC155:CJ155" si="82">CC153+CC154</f>
        <v>84.218999999999994</v>
      </c>
      <c r="CD155" s="915">
        <f t="shared" si="82"/>
        <v>278.68499999999995</v>
      </c>
      <c r="CE155" s="814">
        <f t="shared" si="82"/>
        <v>82.354510205085319</v>
      </c>
      <c r="CF155" s="814">
        <f t="shared" si="82"/>
        <v>85.14808756742832</v>
      </c>
      <c r="CG155" s="814">
        <f t="shared" si="82"/>
        <v>88.98291199039349</v>
      </c>
      <c r="CH155" s="814">
        <f t="shared" si="82"/>
        <v>78.741773723715525</v>
      </c>
      <c r="CI155" s="849">
        <f t="shared" si="82"/>
        <v>335.35120814666681</v>
      </c>
      <c r="CJ155" s="849">
        <f t="shared" si="82"/>
        <v>382.98354741519989</v>
      </c>
      <c r="CK155" s="849">
        <f t="shared" ref="CK155:CM155" si="83">CK153+CK154</f>
        <v>429.88670595819195</v>
      </c>
      <c r="CL155" s="849">
        <f t="shared" si="83"/>
        <v>490.10663773790412</v>
      </c>
      <c r="CM155" s="849">
        <f t="shared" si="83"/>
        <v>556.03984664246786</v>
      </c>
      <c r="CN155" s="291"/>
      <c r="CO155" s="683">
        <f>(CM155/CD155)^(1/5)-1</f>
        <v>0.14814956133005097</v>
      </c>
      <c r="CP155" s="291"/>
      <c r="CQ155" s="693"/>
    </row>
    <row r="156" spans="2:95" ht="16.5" customHeight="1" thickBot="1" x14ac:dyDescent="0.3">
      <c r="B156" s="740" t="s">
        <v>1040</v>
      </c>
      <c r="C156" s="819"/>
      <c r="D156" s="819"/>
      <c r="E156" s="819"/>
      <c r="F156" s="819"/>
      <c r="G156" s="880"/>
      <c r="H156" s="819"/>
      <c r="I156" s="819"/>
      <c r="J156" s="819"/>
      <c r="K156" s="819"/>
      <c r="L156" s="880"/>
      <c r="M156" s="819"/>
      <c r="N156" s="819"/>
      <c r="O156" s="819"/>
      <c r="P156" s="819"/>
      <c r="Q156" s="880"/>
      <c r="R156" s="819"/>
      <c r="S156" s="819"/>
      <c r="T156" s="819"/>
      <c r="U156" s="819"/>
      <c r="V156" s="880"/>
      <c r="W156" s="819"/>
      <c r="X156" s="819"/>
      <c r="Y156" s="819"/>
      <c r="Z156" s="819"/>
      <c r="AA156" s="880"/>
      <c r="AB156" s="819"/>
      <c r="AC156" s="819"/>
      <c r="AD156" s="819"/>
      <c r="AE156" s="819"/>
      <c r="AF156" s="916">
        <f>IFERROR(IF(OR(AF155="",AF139=0),"",AF155/AF139*1000),"")</f>
        <v>3.3528564731436976</v>
      </c>
      <c r="AG156" s="823"/>
      <c r="AH156" s="823"/>
      <c r="AI156" s="823"/>
      <c r="AJ156" s="823"/>
      <c r="AK156" s="916">
        <f>IFERROR(IF(OR(AK155="",AK139=0),"",AK155/AK139*1000),"")</f>
        <v>3.2923720436254853</v>
      </c>
      <c r="AL156" s="823"/>
      <c r="AM156" s="823"/>
      <c r="AN156" s="823"/>
      <c r="AO156" s="823"/>
      <c r="AP156" s="916">
        <f>IFERROR(IF(OR(AP155="",AP139=0),"",AP155/AP139*1000),"")</f>
        <v>3.8995261474020317</v>
      </c>
      <c r="AQ156" s="823"/>
      <c r="AR156" s="823"/>
      <c r="AS156" s="823"/>
      <c r="AT156" s="823"/>
      <c r="AU156" s="916">
        <f>IFERROR(IF(OR(AU155="",AU139=0),"",AU155/AU139*1000),"")</f>
        <v>4.5473372896774622</v>
      </c>
      <c r="AV156" s="823"/>
      <c r="AW156" s="823"/>
      <c r="AX156" s="823"/>
      <c r="AY156" s="823"/>
      <c r="AZ156" s="916">
        <f>IFERROR(IF(OR(AZ155="",AZ139=0),"",AZ155/AZ139*1000),"")</f>
        <v>5.1095302170319457</v>
      </c>
      <c r="BA156" s="823"/>
      <c r="BB156" s="823"/>
      <c r="BC156" s="823"/>
      <c r="BD156" s="823"/>
      <c r="BE156" s="916">
        <f>IFERROR(IF(OR(BE155="",BE139=0),"",BE155/BE139*1000),"")</f>
        <v>4.6844587656945471</v>
      </c>
      <c r="BF156" s="823"/>
      <c r="BG156" s="823"/>
      <c r="BH156" s="823"/>
      <c r="BI156" s="823"/>
      <c r="BJ156" s="916">
        <f>IFERROR(IF(OR(BJ155="",BJ139=0),"",BJ155/BJ139*1000),"")</f>
        <v>4.8773365100875115</v>
      </c>
      <c r="BK156" s="823"/>
      <c r="BL156" s="823"/>
      <c r="BM156" s="823"/>
      <c r="BN156" s="823"/>
      <c r="BO156" s="916">
        <f>IFERROR(IF(OR(BO155="",BO139=0),"",BO155/BO139*1000),"")</f>
        <v>5.5610998626647516</v>
      </c>
      <c r="BP156" s="823"/>
      <c r="BQ156" s="823"/>
      <c r="BR156" s="823"/>
      <c r="BS156" s="823"/>
      <c r="BT156" s="916">
        <f>IFERROR(IF(OR(BT155="",BT139=0),"",BT155/BT139*1000),"")</f>
        <v>6.1480030754994681</v>
      </c>
      <c r="BU156" s="823"/>
      <c r="BV156" s="823"/>
      <c r="BW156" s="823"/>
      <c r="BX156" s="823"/>
      <c r="BY156" s="916">
        <f>IFERROR(BY155/BY139*1000,0)</f>
        <v>7.8445362510197194</v>
      </c>
      <c r="BZ156" s="823">
        <f>IFERROR(IF(OR(BZ155="",BZ139=0),"",BZ155/BZ139*1000),"")</f>
        <v>1.7791365665746901</v>
      </c>
      <c r="CA156" s="823">
        <f>IFERROR(IF(OR(CA155="",CA139=0),"",CA155/CA139*1000),"")</f>
        <v>1.9189592238383473</v>
      </c>
      <c r="CB156" s="823">
        <f>IFERROR(IF(OR(CB155="",CB139=0),"",CB155/CB139*1000),"")</f>
        <v>2.3674051082440521</v>
      </c>
      <c r="CC156" s="823">
        <f t="shared" ref="CC156:CJ156" si="84">IFERROR(CC155/CC139*1000,0)</f>
        <v>2.6250677119352015</v>
      </c>
      <c r="CD156" s="916">
        <f t="shared" si="84"/>
        <v>8.6864839917436854</v>
      </c>
      <c r="CE156" s="815">
        <f t="shared" si="84"/>
        <v>2.5701886060926613</v>
      </c>
      <c r="CF156" s="815">
        <f t="shared" si="84"/>
        <v>2.6523789341691653</v>
      </c>
      <c r="CG156" s="815">
        <f t="shared" si="84"/>
        <v>2.7718344358286187</v>
      </c>
      <c r="CH156" s="815">
        <f t="shared" si="84"/>
        <v>2.4528210536555921</v>
      </c>
      <c r="CI156" s="823">
        <f t="shared" si="84"/>
        <v>10.596345188798511</v>
      </c>
      <c r="CJ156" s="823">
        <f t="shared" si="84"/>
        <v>12.258815955176377</v>
      </c>
      <c r="CK156" s="823">
        <f t="shared" ref="CK156:CM156" si="85">IFERROR(CK155/CK139*1000,0)</f>
        <v>13.92944582173784</v>
      </c>
      <c r="CL156" s="823">
        <f t="shared" si="85"/>
        <v>16.065482264375653</v>
      </c>
      <c r="CM156" s="823">
        <f t="shared" si="85"/>
        <v>18.427097766390805</v>
      </c>
      <c r="CN156" s="274"/>
      <c r="CO156" s="686">
        <f>(CM156/CD156)^(1/5)-1</f>
        <v>0.1623116298333287</v>
      </c>
      <c r="CP156" s="274"/>
      <c r="CQ156" s="693"/>
    </row>
    <row r="157" spans="2:95" ht="16.5" customHeight="1" x14ac:dyDescent="0.25">
      <c r="B157" s="698" t="s">
        <v>1041</v>
      </c>
      <c r="C157" s="845"/>
      <c r="D157" s="845"/>
      <c r="E157" s="845"/>
      <c r="F157" s="845"/>
      <c r="G157" s="881"/>
      <c r="H157" s="845"/>
      <c r="I157" s="845"/>
      <c r="J157" s="845"/>
      <c r="K157" s="845"/>
      <c r="L157" s="881"/>
      <c r="M157" s="845"/>
      <c r="N157" s="845"/>
      <c r="O157" s="845"/>
      <c r="P157" s="845"/>
      <c r="Q157" s="881"/>
      <c r="R157" s="845"/>
      <c r="S157" s="845"/>
      <c r="T157" s="845"/>
      <c r="U157" s="845"/>
      <c r="V157" s="881"/>
      <c r="W157" s="845"/>
      <c r="X157" s="845"/>
      <c r="Y157" s="845"/>
      <c r="Z157" s="845"/>
      <c r="AA157" s="881"/>
      <c r="AB157" s="845"/>
      <c r="AC157" s="845"/>
      <c r="AD157" s="845"/>
      <c r="AE157" s="845"/>
      <c r="AF157" s="881"/>
      <c r="AG157" s="845"/>
      <c r="AH157" s="845"/>
      <c r="AI157" s="845"/>
      <c r="AJ157" s="845"/>
      <c r="AK157" s="881">
        <f>IFERROR(IF(OR(AK156="",AF156=""),"",AK156/AF156-1),"")</f>
        <v>-1.8039671546542846E-2</v>
      </c>
      <c r="AL157" s="846"/>
      <c r="AM157" s="846"/>
      <c r="AN157" s="846"/>
      <c r="AO157" s="846"/>
      <c r="AP157" s="881">
        <f>IFERROR(IF(OR(AP156="",AK156=""),"",AP156/AK156-1),"")</f>
        <v>0.18441236158352337</v>
      </c>
      <c r="AQ157" s="846"/>
      <c r="AR157" s="846"/>
      <c r="AS157" s="846"/>
      <c r="AT157" s="846"/>
      <c r="AU157" s="881">
        <f>IFERROR(IF(OR(AU156="",AP156=""),"",AU156/AP156-1),"")</f>
        <v>0.16612560546799249</v>
      </c>
      <c r="AV157" s="846"/>
      <c r="AW157" s="846"/>
      <c r="AX157" s="846"/>
      <c r="AY157" s="846"/>
      <c r="AZ157" s="881">
        <f>IFERROR(IF(OR(AZ156="",AU156=""),"",AZ156/AU156-1),"")</f>
        <v>0.12363123549921662</v>
      </c>
      <c r="BA157" s="846"/>
      <c r="BB157" s="846"/>
      <c r="BC157" s="846"/>
      <c r="BD157" s="846"/>
      <c r="BE157" s="881">
        <f>IFERROR(IF(OR(BE156="",AZ156=""),"",BE156/AZ156-1),"")</f>
        <v>-8.319188521881693E-2</v>
      </c>
      <c r="BF157" s="846"/>
      <c r="BG157" s="846"/>
      <c r="BH157" s="846"/>
      <c r="BI157" s="846"/>
      <c r="BJ157" s="881">
        <f>IFERROR(IF(OR(BJ156="",BE156=""),"",BJ156/BE156-1),"")</f>
        <v>4.1173965668233947E-2</v>
      </c>
      <c r="BK157" s="847"/>
      <c r="BL157" s="847"/>
      <c r="BM157" s="847"/>
      <c r="BN157" s="847"/>
      <c r="BO157" s="881">
        <f>IFERROR(IF(OR(BO156="",BJ156=""),"",BO156/BJ156-1),"")</f>
        <v>0.14019195746757518</v>
      </c>
      <c r="BP157" s="847"/>
      <c r="BQ157" s="847"/>
      <c r="BR157" s="847"/>
      <c r="BS157" s="847"/>
      <c r="BT157" s="881">
        <f>IFERROR(IF(OR(BT156="",BO156=""),"",BT156/BO156-1),"")</f>
        <v>0.10553725473893683</v>
      </c>
      <c r="BU157" s="847"/>
      <c r="BV157" s="847"/>
      <c r="BW157" s="847"/>
      <c r="BX157" s="847"/>
      <c r="BY157" s="941">
        <f>IFERROR(IF(OR(BY156="",BT156=""),"",BY156/BT156-1),"")</f>
        <v>0.27594865433316706</v>
      </c>
      <c r="BZ157" s="845"/>
      <c r="CA157" s="845"/>
      <c r="CB157" s="845"/>
      <c r="CC157" s="847"/>
      <c r="CD157" s="941">
        <f>IFERROR(CD156/BY156-1,0)</f>
        <v>0.10732919241905736</v>
      </c>
      <c r="CE157" s="241">
        <f>IFERROR(CE156/BR156-1,0)</f>
        <v>0</v>
      </c>
      <c r="CF157" s="241">
        <f>IFERROR(CF156/CA156-1,0)</f>
        <v>0.3821966101310974</v>
      </c>
      <c r="CG157" s="241">
        <f>IFERROR(CG156/CB156-1,0)</f>
        <v>0.17083232868604359</v>
      </c>
      <c r="CH157" s="241">
        <f>IFERROR(CH156/CC156-1,0)</f>
        <v>-6.5616082014367971E-2</v>
      </c>
      <c r="CI157" s="859">
        <f>IFERROR(CI156/CD156-1,0)</f>
        <v>0.21986585123164981</v>
      </c>
      <c r="CJ157" s="859">
        <f>IFERROR(CJ156/CI156-1,0)</f>
        <v>0.1568909597372572</v>
      </c>
      <c r="CK157" s="859">
        <f t="shared" ref="CK157:CM157" si="86">IFERROR(CK156/CJ156-1,0)</f>
        <v>0.13627987178125678</v>
      </c>
      <c r="CL157" s="859">
        <f t="shared" si="86"/>
        <v>0.15334683590242948</v>
      </c>
      <c r="CM157" s="859">
        <f t="shared" si="86"/>
        <v>0.14699935321903834</v>
      </c>
      <c r="CN157" s="291"/>
      <c r="CO157" s="683"/>
      <c r="CP157" s="291"/>
      <c r="CQ157" s="693"/>
    </row>
    <row r="158" spans="2:95" ht="16.5" customHeight="1" x14ac:dyDescent="0.25">
      <c r="B158" s="696" t="s">
        <v>1042</v>
      </c>
      <c r="C158" s="840"/>
      <c r="D158" s="840"/>
      <c r="E158" s="840"/>
      <c r="F158" s="840"/>
      <c r="G158" s="882"/>
      <c r="H158" s="841"/>
      <c r="I158" s="841"/>
      <c r="J158" s="841"/>
      <c r="K158" s="841"/>
      <c r="L158" s="882"/>
      <c r="M158" s="841"/>
      <c r="N158" s="841"/>
      <c r="O158" s="841"/>
      <c r="P158" s="841"/>
      <c r="Q158" s="882"/>
      <c r="R158" s="841"/>
      <c r="S158" s="841"/>
      <c r="T158" s="841"/>
      <c r="U158" s="841"/>
      <c r="V158" s="882"/>
      <c r="W158" s="841"/>
      <c r="X158" s="841"/>
      <c r="Y158" s="841"/>
      <c r="Z158" s="841"/>
      <c r="AA158" s="882"/>
      <c r="AB158" s="840"/>
      <c r="AC158" s="840"/>
      <c r="AD158" s="840"/>
      <c r="AE158" s="840">
        <f>AE156</f>
        <v>0</v>
      </c>
      <c r="AF158" s="917">
        <f>AF156</f>
        <v>3.3528564731436976</v>
      </c>
      <c r="AG158" s="840"/>
      <c r="AH158" s="840"/>
      <c r="AI158" s="840"/>
      <c r="AJ158" s="840">
        <f>AJ156</f>
        <v>0</v>
      </c>
      <c r="AK158" s="917">
        <f>AK156</f>
        <v>3.2923720436254853</v>
      </c>
      <c r="AL158" s="843"/>
      <c r="AM158" s="843"/>
      <c r="AN158" s="843"/>
      <c r="AO158" s="843">
        <v>1.07</v>
      </c>
      <c r="AP158" s="917">
        <v>3.9</v>
      </c>
      <c r="AQ158" s="843"/>
      <c r="AR158" s="843"/>
      <c r="AS158" s="843"/>
      <c r="AT158" s="843">
        <v>1.28</v>
      </c>
      <c r="AU158" s="917">
        <v>4.57</v>
      </c>
      <c r="AV158" s="843"/>
      <c r="AW158" s="843"/>
      <c r="AX158" s="843"/>
      <c r="AY158" s="843">
        <v>1.31</v>
      </c>
      <c r="AZ158" s="917">
        <v>5.1100000000000003</v>
      </c>
      <c r="BA158" s="843"/>
      <c r="BB158" s="843"/>
      <c r="BC158" s="843"/>
      <c r="BD158" s="843">
        <v>0.81</v>
      </c>
      <c r="BE158" s="917">
        <v>4.8099999999999996</v>
      </c>
      <c r="BF158" s="842"/>
      <c r="BG158" s="842"/>
      <c r="BH158" s="842"/>
      <c r="BI158" s="842">
        <v>1.26</v>
      </c>
      <c r="BJ158" s="917">
        <v>4.88</v>
      </c>
      <c r="BK158" s="842"/>
      <c r="BL158" s="842"/>
      <c r="BM158" s="842"/>
      <c r="BN158" s="842">
        <v>1.36</v>
      </c>
      <c r="BO158" s="917">
        <v>5.56</v>
      </c>
      <c r="BP158" s="842"/>
      <c r="BQ158" s="842"/>
      <c r="BR158" s="842"/>
      <c r="BS158" s="842">
        <v>2.1</v>
      </c>
      <c r="BT158" s="917">
        <v>6.15</v>
      </c>
      <c r="BU158" s="842"/>
      <c r="BV158" s="842"/>
      <c r="BW158" s="842"/>
      <c r="BX158" s="842"/>
      <c r="BY158" s="917">
        <v>7.84</v>
      </c>
      <c r="BZ158" s="842">
        <v>1.78</v>
      </c>
      <c r="CA158" s="842">
        <v>1.92</v>
      </c>
      <c r="CB158" s="842">
        <v>2.37</v>
      </c>
      <c r="CC158" s="844">
        <v>2.56</v>
      </c>
      <c r="CD158" s="917">
        <v>8.69</v>
      </c>
      <c r="CE158" s="745">
        <v>2.57</v>
      </c>
      <c r="CF158" s="745">
        <v>2.62</v>
      </c>
      <c r="CG158" s="746">
        <f>CG156</f>
        <v>2.7718344358286187</v>
      </c>
      <c r="CH158" s="746">
        <f>CH156</f>
        <v>2.4528210536555921</v>
      </c>
      <c r="CI158" s="842">
        <f>CI156</f>
        <v>10.596345188798511</v>
      </c>
      <c r="CJ158" s="842">
        <f>CJ156</f>
        <v>12.258815955176377</v>
      </c>
      <c r="CK158" s="842">
        <f t="shared" ref="CK158:CM158" si="87">CK156</f>
        <v>13.92944582173784</v>
      </c>
      <c r="CL158" s="842">
        <f t="shared" si="87"/>
        <v>16.065482264375653</v>
      </c>
      <c r="CM158" s="842">
        <f t="shared" si="87"/>
        <v>18.427097766390805</v>
      </c>
      <c r="CN158" s="291"/>
      <c r="CO158" s="683"/>
      <c r="CP158" s="291"/>
      <c r="CQ158" s="693"/>
    </row>
    <row r="159" spans="2:95" ht="16.5" customHeight="1" x14ac:dyDescent="0.25">
      <c r="B159" s="738" t="s">
        <v>1043</v>
      </c>
      <c r="C159" s="785"/>
      <c r="D159" s="785"/>
      <c r="E159" s="785"/>
      <c r="F159" s="785"/>
      <c r="G159" s="883"/>
      <c r="H159" s="785"/>
      <c r="I159" s="785"/>
      <c r="J159" s="785"/>
      <c r="K159" s="785"/>
      <c r="L159" s="883"/>
      <c r="M159" s="785"/>
      <c r="N159" s="785"/>
      <c r="O159" s="785"/>
      <c r="P159" s="785"/>
      <c r="Q159" s="883"/>
      <c r="R159" s="785"/>
      <c r="S159" s="785"/>
      <c r="T159" s="785"/>
      <c r="U159" s="785"/>
      <c r="V159" s="883"/>
      <c r="W159" s="785"/>
      <c r="X159" s="785"/>
      <c r="Y159" s="785"/>
      <c r="Z159" s="785"/>
      <c r="AA159" s="883"/>
      <c r="AB159" s="785"/>
      <c r="AC159" s="785"/>
      <c r="AD159" s="785"/>
      <c r="AE159" s="785"/>
      <c r="AF159" s="918">
        <f>IFERROR(IF(OR(AF156="",AF158=""),"",AF156-AF158),"")</f>
        <v>0</v>
      </c>
      <c r="AG159" s="785"/>
      <c r="AH159" s="785"/>
      <c r="AI159" s="785"/>
      <c r="AJ159" s="785"/>
      <c r="AK159" s="918">
        <f>IFERROR(IF(OR(AK156="",AK158=""),"",AK156-AK158),"")</f>
        <v>0</v>
      </c>
      <c r="AL159" s="786"/>
      <c r="AM159" s="786"/>
      <c r="AN159" s="786"/>
      <c r="AO159" s="786"/>
      <c r="AP159" s="918">
        <f>IFERROR(IF(OR(AP156="",AP158=""),"",AP156-AP158),"")</f>
        <v>-4.7385259796817181E-4</v>
      </c>
      <c r="AQ159" s="786"/>
      <c r="AR159" s="786"/>
      <c r="AS159" s="786"/>
      <c r="AT159" s="786"/>
      <c r="AU159" s="918">
        <f>IFERROR(IF(OR(AU156="",AU158=""),"",AU156-AU158),"")</f>
        <v>-2.2662710322538082E-2</v>
      </c>
      <c r="AV159" s="786"/>
      <c r="AW159" s="786"/>
      <c r="AX159" s="786"/>
      <c r="AY159" s="786"/>
      <c r="AZ159" s="918">
        <f>IFERROR(IF(OR(AZ156="",AZ158=""),"",AZ156-AZ158),"")</f>
        <v>-4.6978296805466613E-4</v>
      </c>
      <c r="BA159" s="786"/>
      <c r="BB159" s="786"/>
      <c r="BC159" s="786"/>
      <c r="BD159" s="786"/>
      <c r="BE159" s="918">
        <f>IFERROR(IF(OR(BE156="",BE158=""),"",BE156-BE158),"")</f>
        <v>-0.1255412343054525</v>
      </c>
      <c r="BF159" s="787"/>
      <c r="BG159" s="787"/>
      <c r="BH159" s="787"/>
      <c r="BI159" s="787"/>
      <c r="BJ159" s="918">
        <f>IFERROR(IF(OR(BJ156="",BJ158=""),"",BJ156-BJ158),"")</f>
        <v>-2.663489912488437E-3</v>
      </c>
      <c r="BK159" s="787"/>
      <c r="BL159" s="787"/>
      <c r="BM159" s="787"/>
      <c r="BN159" s="787"/>
      <c r="BO159" s="918">
        <f>IFERROR(IF(OR(BO156="",BO158=""),"",BO156-BO158),"")</f>
        <v>1.0998626647520382E-3</v>
      </c>
      <c r="BP159" s="787"/>
      <c r="BQ159" s="787"/>
      <c r="BR159" s="787"/>
      <c r="BS159" s="787"/>
      <c r="BT159" s="918">
        <f>IFERROR(IF(OR(BT156="",BT158=""),"",BT156-BT158),"")</f>
        <v>-1.9969245005322378E-3</v>
      </c>
      <c r="BU159" s="787"/>
      <c r="BV159" s="787"/>
      <c r="BW159" s="787"/>
      <c r="BX159" s="787"/>
      <c r="BY159" s="918">
        <f>IFERROR(BY156-BY158,"")</f>
        <v>4.5362510197195505E-3</v>
      </c>
      <c r="BZ159" s="788">
        <f>IFERROR(IF(OR(BZ156="",BZ158=""),"",BZ156-BZ158),"")</f>
        <v>-8.6343342530992295E-4</v>
      </c>
      <c r="CA159" s="788">
        <f>IFERROR(IF(OR(CA156="",CA158=""),"",CA156-CA158),"")</f>
        <v>-1.0407761616526567E-3</v>
      </c>
      <c r="CB159" s="788">
        <f>IFERROR(IF(OR(CB156="",CB158=""),"",CB156-CB158),"")</f>
        <v>-2.594891755947959E-3</v>
      </c>
      <c r="CC159" s="788">
        <f t="shared" ref="CC159:CH159" si="88">IFERROR(CC156-CC158,"")</f>
        <v>6.5067711935201444E-2</v>
      </c>
      <c r="CD159" s="918">
        <f t="shared" si="88"/>
        <v>-3.5160082563141515E-3</v>
      </c>
      <c r="CE159" s="788">
        <f t="shared" si="88"/>
        <v>1.8860609266146966E-4</v>
      </c>
      <c r="CF159" s="788">
        <f t="shared" si="88"/>
        <v>3.2378934169165152E-2</v>
      </c>
      <c r="CG159" s="788">
        <f t="shared" si="88"/>
        <v>0</v>
      </c>
      <c r="CH159" s="788">
        <f t="shared" si="88"/>
        <v>0</v>
      </c>
      <c r="CI159" s="789">
        <f>IFERROR(CI156-CI158,0)</f>
        <v>0</v>
      </c>
      <c r="CJ159" s="789">
        <f>IFERROR(CJ156-CJ158,0)</f>
        <v>0</v>
      </c>
      <c r="CK159" s="789">
        <f t="shared" ref="CK159:CM159" si="89">IFERROR(CK156-CK158,0)</f>
        <v>0</v>
      </c>
      <c r="CL159" s="789">
        <f t="shared" si="89"/>
        <v>0</v>
      </c>
      <c r="CM159" s="789">
        <f t="shared" si="89"/>
        <v>0</v>
      </c>
      <c r="CN159" s="291"/>
      <c r="CO159" s="683"/>
      <c r="CP159" s="291"/>
      <c r="CQ159" s="693"/>
    </row>
    <row r="160" spans="2:95" ht="16.5" customHeight="1" x14ac:dyDescent="0.25">
      <c r="B160" s="223" t="s">
        <v>268</v>
      </c>
      <c r="C160" s="224"/>
      <c r="D160" s="224"/>
      <c r="E160" s="224"/>
      <c r="F160" s="224"/>
      <c r="G160" s="867"/>
      <c r="H160" s="224"/>
      <c r="I160" s="224"/>
      <c r="J160" s="224"/>
      <c r="K160" s="224"/>
      <c r="L160" s="867"/>
      <c r="M160" s="224"/>
      <c r="N160" s="224"/>
      <c r="O160" s="224"/>
      <c r="P160" s="224"/>
      <c r="Q160" s="867"/>
      <c r="R160" s="224"/>
      <c r="S160" s="224"/>
      <c r="T160" s="224"/>
      <c r="U160" s="224"/>
      <c r="V160" s="867"/>
      <c r="W160" s="224"/>
      <c r="X160" s="224"/>
      <c r="Y160" s="224"/>
      <c r="Z160" s="224"/>
      <c r="AA160" s="867"/>
      <c r="AB160" s="224"/>
      <c r="AC160" s="224"/>
      <c r="AD160" s="224"/>
      <c r="AE160" s="224"/>
      <c r="AF160" s="867"/>
      <c r="AG160" s="224"/>
      <c r="AH160" s="224"/>
      <c r="AI160" s="224"/>
      <c r="AJ160" s="224"/>
      <c r="AK160" s="867"/>
      <c r="AL160" s="224"/>
      <c r="AM160" s="224"/>
      <c r="AN160" s="224"/>
      <c r="AO160" s="224"/>
      <c r="AP160" s="867"/>
      <c r="AQ160" s="224"/>
      <c r="AR160" s="224"/>
      <c r="AS160" s="224"/>
      <c r="AT160" s="224"/>
      <c r="AU160" s="867"/>
      <c r="AV160" s="224"/>
      <c r="AW160" s="224"/>
      <c r="AX160" s="224"/>
      <c r="AY160" s="224"/>
      <c r="AZ160" s="867"/>
      <c r="BA160" s="224"/>
      <c r="BB160" s="224"/>
      <c r="BC160" s="224"/>
      <c r="BD160" s="224"/>
      <c r="BE160" s="867"/>
      <c r="BF160" s="224"/>
      <c r="BG160" s="224"/>
      <c r="BH160" s="224"/>
      <c r="BI160" s="224"/>
      <c r="BJ160" s="867"/>
      <c r="BK160" s="224"/>
      <c r="BL160" s="224"/>
      <c r="BM160" s="224"/>
      <c r="BN160" s="224"/>
      <c r="BO160" s="867"/>
      <c r="BP160" s="224"/>
      <c r="BQ160" s="224"/>
      <c r="BR160" s="224"/>
      <c r="BS160" s="224"/>
      <c r="BT160" s="867"/>
      <c r="BU160" s="224"/>
      <c r="BV160" s="224"/>
      <c r="BW160" s="224"/>
      <c r="BX160" s="224"/>
      <c r="BY160" s="867"/>
      <c r="BZ160" s="224"/>
      <c r="CA160" s="224"/>
      <c r="CB160" s="224"/>
      <c r="CC160" s="224"/>
      <c r="CD160" s="867"/>
      <c r="CE160" s="224"/>
      <c r="CF160" s="224"/>
      <c r="CG160" s="224"/>
      <c r="CH160" s="224"/>
      <c r="CI160" s="224"/>
      <c r="CJ160" s="224"/>
      <c r="CK160" s="224"/>
      <c r="CL160" s="224"/>
      <c r="CM160" s="224"/>
      <c r="CN160" s="224"/>
      <c r="CO160" s="684"/>
      <c r="CP160" s="224"/>
      <c r="CQ160" s="693"/>
    </row>
    <row r="161" spans="2:95" ht="16.5" customHeight="1" x14ac:dyDescent="0.25">
      <c r="B161" s="12" t="s">
        <v>717</v>
      </c>
      <c r="C161" s="241"/>
      <c r="D161" s="241"/>
      <c r="E161" s="241"/>
      <c r="F161" s="241"/>
      <c r="G161" s="869"/>
      <c r="H161" s="241"/>
      <c r="I161" s="241"/>
      <c r="J161" s="241"/>
      <c r="K161" s="241"/>
      <c r="L161" s="886">
        <f>L114/G114-1</f>
        <v>0.10236622692091579</v>
      </c>
      <c r="M161" s="758"/>
      <c r="N161" s="758"/>
      <c r="O161" s="758"/>
      <c r="P161" s="758"/>
      <c r="Q161" s="886">
        <f>Q114/L114-1</f>
        <v>5.9577462371496859E-2</v>
      </c>
      <c r="R161" s="758"/>
      <c r="S161" s="758"/>
      <c r="T161" s="758"/>
      <c r="U161" s="758"/>
      <c r="V161" s="886">
        <f>V114/Q114-1</f>
        <v>5.7004635688647554E-2</v>
      </c>
      <c r="W161" s="758"/>
      <c r="X161" s="758"/>
      <c r="Y161" s="758"/>
      <c r="Z161" s="758"/>
      <c r="AA161" s="886">
        <f>AA114/V114-1</f>
        <v>1.4586001438142926E-2</v>
      </c>
      <c r="AB161" s="758"/>
      <c r="AC161" s="758"/>
      <c r="AD161" s="758"/>
      <c r="AE161" s="758"/>
      <c r="AF161" s="886">
        <f>AF114/AA114-1</f>
        <v>-4.6387892998940861E-2</v>
      </c>
      <c r="AG161" s="758"/>
      <c r="AH161" s="758"/>
      <c r="AI161" s="758"/>
      <c r="AJ161" s="758"/>
      <c r="AK161" s="886">
        <f>AK114/AF114-1</f>
        <v>-4.4978642123718937E-2</v>
      </c>
      <c r="AL161" s="758"/>
      <c r="AM161" s="758"/>
      <c r="AN161" s="758"/>
      <c r="AO161" s="758"/>
      <c r="AP161" s="886">
        <f>AP114/AK114-1</f>
        <v>3.548475768645698E-2</v>
      </c>
      <c r="AQ161" s="758"/>
      <c r="AR161" s="758"/>
      <c r="AS161" s="758"/>
      <c r="AT161" s="758"/>
      <c r="AU161" s="886">
        <f>AU114/AP114-1</f>
        <v>8.4861646975164184E-2</v>
      </c>
      <c r="AV161" s="758"/>
      <c r="AW161" s="758"/>
      <c r="AX161" s="758"/>
      <c r="AY161" s="758"/>
      <c r="AZ161" s="886">
        <f>AZ114/AU114-1</f>
        <v>7.2041817803347508E-2</v>
      </c>
      <c r="BA161" s="758"/>
      <c r="BB161" s="758"/>
      <c r="BC161" s="758"/>
      <c r="BD161" s="758"/>
      <c r="BE161" s="886">
        <f>BE114/AZ114-1</f>
        <v>-6.9230062144902682E-3</v>
      </c>
      <c r="BF161" s="758"/>
      <c r="BG161" s="758"/>
      <c r="BH161" s="758"/>
      <c r="BI161" s="758"/>
      <c r="BJ161" s="886">
        <f>BJ114/BE114-1</f>
        <v>-1.1288053543112797E-2</v>
      </c>
      <c r="BK161" s="758"/>
      <c r="BL161" s="758"/>
      <c r="BM161" s="758"/>
      <c r="BN161" s="758"/>
      <c r="BO161" s="886">
        <f>BO114/BJ114-1</f>
        <v>6.4442654662897336E-2</v>
      </c>
      <c r="BP161" s="758"/>
      <c r="BQ161" s="758"/>
      <c r="BR161" s="758"/>
      <c r="BS161" s="758"/>
      <c r="BT161" s="886">
        <f>BT114/BO114-1</f>
        <v>9.236727394546973E-2</v>
      </c>
      <c r="BU161" s="758"/>
      <c r="BV161" s="758"/>
      <c r="BW161" s="758"/>
      <c r="BX161" s="758"/>
      <c r="BY161" s="886">
        <f>BY114/BT114-1</f>
        <v>8.8285050012212762E-2</v>
      </c>
      <c r="BZ161" s="758"/>
      <c r="CA161" s="758"/>
      <c r="CB161" s="758"/>
      <c r="CC161" s="758"/>
      <c r="CD161" s="886">
        <f t="shared" ref="CD161:CI161" si="90">CD114/BY114-1</f>
        <v>6.9733108707217495E-2</v>
      </c>
      <c r="CE161" s="758">
        <f t="shared" si="90"/>
        <v>0.20875301406655922</v>
      </c>
      <c r="CF161" s="758">
        <f t="shared" si="90"/>
        <v>0.12526956484532104</v>
      </c>
      <c r="CG161" s="758">
        <f t="shared" si="90"/>
        <v>0.10826408870834081</v>
      </c>
      <c r="CH161" s="758">
        <f t="shared" si="90"/>
        <v>-7.600310696423751E-3</v>
      </c>
      <c r="CI161" s="759">
        <f t="shared" si="90"/>
        <v>0.10474115065336598</v>
      </c>
      <c r="CJ161" s="759">
        <f>CJ114/CI114-1</f>
        <v>8.1489463680362029E-2</v>
      </c>
      <c r="CK161" s="759">
        <f>CK114/CJ114-1</f>
        <v>7.0247399375205077E-2</v>
      </c>
      <c r="CL161" s="759">
        <f>CL114/CK114-1</f>
        <v>6.4825079344194458E-2</v>
      </c>
      <c r="CM161" s="759">
        <f>CM114/CL114-1</f>
        <v>6.1889341130520581E-2</v>
      </c>
      <c r="CN161" s="241"/>
      <c r="CO161" s="683"/>
      <c r="CP161" s="241"/>
      <c r="CQ161" s="693"/>
    </row>
    <row r="162" spans="2:95" ht="16.5" customHeight="1" x14ac:dyDescent="0.25">
      <c r="B162" s="12" t="s">
        <v>176</v>
      </c>
      <c r="C162" s="241"/>
      <c r="D162" s="241"/>
      <c r="E162" s="241"/>
      <c r="F162" s="241"/>
      <c r="G162" s="869"/>
      <c r="H162" s="241"/>
      <c r="I162" s="241"/>
      <c r="J162" s="241"/>
      <c r="K162" s="241"/>
      <c r="L162" s="886">
        <f>L116/G116-1</f>
        <v>0.10914919908392107</v>
      </c>
      <c r="M162" s="758"/>
      <c r="N162" s="758"/>
      <c r="O162" s="758"/>
      <c r="P162" s="758"/>
      <c r="Q162" s="886">
        <f>Q116/L116-1</f>
        <v>9.687892305405521E-2</v>
      </c>
      <c r="R162" s="758"/>
      <c r="S162" s="758"/>
      <c r="T162" s="758"/>
      <c r="U162" s="758"/>
      <c r="V162" s="886">
        <f>V116/Q116-1</f>
        <v>5.158431995534718E-2</v>
      </c>
      <c r="W162" s="758"/>
      <c r="X162" s="758"/>
      <c r="Y162" s="758"/>
      <c r="Z162" s="758"/>
      <c r="AA162" s="886">
        <f>AA116/V116-1</f>
        <v>1.7640829346092568E-2</v>
      </c>
      <c r="AB162" s="758"/>
      <c r="AC162" s="758"/>
      <c r="AD162" s="758"/>
      <c r="AE162" s="758"/>
      <c r="AF162" s="886">
        <f>AF116/AA116-1</f>
        <v>-7.6321253397795386E-2</v>
      </c>
      <c r="AG162" s="758"/>
      <c r="AH162" s="758"/>
      <c r="AI162" s="758"/>
      <c r="AJ162" s="758"/>
      <c r="AK162" s="886">
        <f>AK116/AF116-1</f>
        <v>-3.4099176874294534E-2</v>
      </c>
      <c r="AL162" s="758"/>
      <c r="AM162" s="758"/>
      <c r="AN162" s="758"/>
      <c r="AO162" s="758"/>
      <c r="AP162" s="886">
        <f>AP116/AK116-1</f>
        <v>2.8020624438751529E-2</v>
      </c>
      <c r="AQ162" s="758"/>
      <c r="AR162" s="758"/>
      <c r="AS162" s="758"/>
      <c r="AT162" s="758"/>
      <c r="AU162" s="886">
        <f>AU116/AP116-1</f>
        <v>5.8192371521293751E-2</v>
      </c>
      <c r="AV162" s="758"/>
      <c r="AW162" s="758"/>
      <c r="AX162" s="758"/>
      <c r="AY162" s="758"/>
      <c r="AZ162" s="886">
        <f>AZ116/AU116-1</f>
        <v>5.3922600831168621E-2</v>
      </c>
      <c r="BA162" s="758"/>
      <c r="BB162" s="758"/>
      <c r="BC162" s="758"/>
      <c r="BD162" s="758"/>
      <c r="BE162" s="886">
        <f>BE116/AZ116-1</f>
        <v>-8.84201649359182E-2</v>
      </c>
      <c r="BF162" s="758"/>
      <c r="BG162" s="758"/>
      <c r="BH162" s="758"/>
      <c r="BI162" s="758"/>
      <c r="BJ162" s="886">
        <f>BJ116/BE116-1</f>
        <v>4.3064639314988939E-2</v>
      </c>
      <c r="BK162" s="758"/>
      <c r="BL162" s="758"/>
      <c r="BM162" s="758"/>
      <c r="BN162" s="758"/>
      <c r="BO162" s="886">
        <f>BO116/BJ116-1</f>
        <v>5.8110949398174849E-2</v>
      </c>
      <c r="BP162" s="758"/>
      <c r="BQ162" s="758"/>
      <c r="BR162" s="758"/>
      <c r="BS162" s="758"/>
      <c r="BT162" s="886">
        <f>BT116/BO116-1</f>
        <v>9.3754759070711957E-2</v>
      </c>
      <c r="BU162" s="758"/>
      <c r="BV162" s="758"/>
      <c r="BW162" s="758"/>
      <c r="BX162" s="758"/>
      <c r="BY162" s="886">
        <f>BY116/BT116-1</f>
        <v>0.12771078969206529</v>
      </c>
      <c r="BZ162" s="758"/>
      <c r="CA162" s="758"/>
      <c r="CB162" s="758"/>
      <c r="CC162" s="758"/>
      <c r="CD162" s="886">
        <f t="shared" ref="CD162:CI162" si="91">CD116/BY116-1</f>
        <v>4.438921857591005E-2</v>
      </c>
      <c r="CE162" s="758">
        <f t="shared" si="91"/>
        <v>0.21448766897121008</v>
      </c>
      <c r="CF162" s="758">
        <f t="shared" si="91"/>
        <v>0.12307307756900143</v>
      </c>
      <c r="CG162" s="758">
        <f t="shared" si="91"/>
        <v>0.17383119896401511</v>
      </c>
      <c r="CH162" s="758">
        <f t="shared" si="91"/>
        <v>2.4424842162977578E-2</v>
      </c>
      <c r="CI162" s="759">
        <f t="shared" si="91"/>
        <v>0.12942688310754891</v>
      </c>
      <c r="CJ162" s="759">
        <f>CJ116/CI116-1</f>
        <v>0.10080177553179648</v>
      </c>
      <c r="CK162" s="759">
        <f>CK116/CJ116-1</f>
        <v>8.9023669539682659E-2</v>
      </c>
      <c r="CL162" s="759">
        <f>CL116/CK116-1</f>
        <v>8.3184132436335156E-2</v>
      </c>
      <c r="CM162" s="759">
        <f>CM116/CL116-1</f>
        <v>7.9887465556462089E-2</v>
      </c>
      <c r="CN162" s="241"/>
      <c r="CO162" s="683"/>
      <c r="CP162" s="241"/>
      <c r="CQ162" s="693"/>
    </row>
    <row r="163" spans="2:95" ht="16.5" customHeight="1" x14ac:dyDescent="0.25">
      <c r="B163" s="12" t="s">
        <v>718</v>
      </c>
      <c r="C163" s="241"/>
      <c r="D163" s="241"/>
      <c r="E163" s="241"/>
      <c r="F163" s="241"/>
      <c r="G163" s="869"/>
      <c r="H163" s="241"/>
      <c r="I163" s="241"/>
      <c r="J163" s="241"/>
      <c r="K163" s="241"/>
      <c r="L163" s="886">
        <f>L126/G126-1</f>
        <v>0.14608989022237573</v>
      </c>
      <c r="M163" s="758"/>
      <c r="N163" s="758"/>
      <c r="O163" s="758"/>
      <c r="P163" s="758"/>
      <c r="Q163" s="886">
        <f>Q126/L126-1</f>
        <v>0.10800588741906036</v>
      </c>
      <c r="R163" s="758"/>
      <c r="S163" s="758"/>
      <c r="T163" s="758"/>
      <c r="U163" s="758"/>
      <c r="V163" s="886">
        <f>V126/Q126-1</f>
        <v>-0.21050531969582886</v>
      </c>
      <c r="W163" s="758"/>
      <c r="X163" s="758"/>
      <c r="Y163" s="758"/>
      <c r="Z163" s="758"/>
      <c r="AA163" s="886">
        <f>AA126/V126-1</f>
        <v>0.20559676612768807</v>
      </c>
      <c r="AB163" s="758"/>
      <c r="AC163" s="758"/>
      <c r="AD163" s="758"/>
      <c r="AE163" s="758"/>
      <c r="AF163" s="886">
        <f>AF126/AA126-1</f>
        <v>-8.0519020377123662E-2</v>
      </c>
      <c r="AG163" s="758"/>
      <c r="AH163" s="758"/>
      <c r="AI163" s="758"/>
      <c r="AJ163" s="758"/>
      <c r="AK163" s="886">
        <f>AK126/AF126-1</f>
        <v>-4.0887965752042454E-2</v>
      </c>
      <c r="AL163" s="758"/>
      <c r="AM163" s="758"/>
      <c r="AN163" s="758"/>
      <c r="AO163" s="758"/>
      <c r="AP163" s="886">
        <f>AP126/AK126-1</f>
        <v>6.2253797158256408E-2</v>
      </c>
      <c r="AQ163" s="758"/>
      <c r="AR163" s="758"/>
      <c r="AS163" s="758"/>
      <c r="AT163" s="758"/>
      <c r="AU163" s="886">
        <f>AU126/AP126-1</f>
        <v>7.4306061640354581E-3</v>
      </c>
      <c r="AV163" s="758"/>
      <c r="AW163" s="758"/>
      <c r="AX163" s="758"/>
      <c r="AY163" s="758"/>
      <c r="AZ163" s="886">
        <f>AZ126/AU126-1</f>
        <v>0.21886574762953503</v>
      </c>
      <c r="BA163" s="758"/>
      <c r="BB163" s="758"/>
      <c r="BC163" s="758"/>
      <c r="BD163" s="758"/>
      <c r="BE163" s="886">
        <f>BE126/AZ126-1</f>
        <v>-0.83354431092964143</v>
      </c>
      <c r="BF163" s="758"/>
      <c r="BG163" s="758"/>
      <c r="BH163" s="758"/>
      <c r="BI163" s="758"/>
      <c r="BJ163" s="886">
        <f>BJ126/BE126-1</f>
        <v>4.3181387371936744</v>
      </c>
      <c r="BK163" s="758"/>
      <c r="BL163" s="758"/>
      <c r="BM163" s="758"/>
      <c r="BN163" s="758"/>
      <c r="BO163" s="886">
        <f>BO126/BJ126-1</f>
        <v>1.711305735186941E-2</v>
      </c>
      <c r="BP163" s="758"/>
      <c r="BQ163" s="758"/>
      <c r="BR163" s="758"/>
      <c r="BS163" s="758"/>
      <c r="BT163" s="886">
        <f>BT126/BO126-1</f>
        <v>0.17378734339864854</v>
      </c>
      <c r="BU163" s="758"/>
      <c r="BV163" s="758"/>
      <c r="BW163" s="758"/>
      <c r="BX163" s="758"/>
      <c r="BY163" s="886">
        <f>BY126/BT126-1</f>
        <v>0.1944782092565347</v>
      </c>
      <c r="BZ163" s="758"/>
      <c r="CA163" s="758"/>
      <c r="CB163" s="758"/>
      <c r="CC163" s="758"/>
      <c r="CD163" s="886">
        <f t="shared" ref="CD163:CI163" si="92">CD126/BY126-1</f>
        <v>0.14474999702448166</v>
      </c>
      <c r="CE163" s="758">
        <f t="shared" si="92"/>
        <v>0.34109602951629681</v>
      </c>
      <c r="CF163" s="758">
        <f t="shared" si="92"/>
        <v>0.25687517055274078</v>
      </c>
      <c r="CG163" s="758">
        <f t="shared" si="92"/>
        <v>0.19599859199219249</v>
      </c>
      <c r="CH163" s="758">
        <f t="shared" si="92"/>
        <v>0.17891371321519012</v>
      </c>
      <c r="CI163" s="759">
        <f t="shared" si="92"/>
        <v>0.24089073523894866</v>
      </c>
      <c r="CJ163" s="759">
        <f>CJ126/CI126-1</f>
        <v>0.14115939869235694</v>
      </c>
      <c r="CK163" s="759">
        <f>CK126/CJ126-1</f>
        <v>0.12201168867308665</v>
      </c>
      <c r="CL163" s="759">
        <f>CL126/CK126-1</f>
        <v>0.13310706356253466</v>
      </c>
      <c r="CM163" s="759">
        <f>CM126/CL126-1</f>
        <v>0.12454303556905266</v>
      </c>
      <c r="CN163" s="241"/>
      <c r="CO163" s="683"/>
      <c r="CP163" s="241"/>
      <c r="CQ163" s="693"/>
    </row>
    <row r="164" spans="2:95" ht="16.5" customHeight="1" x14ac:dyDescent="0.25">
      <c r="B164" s="12" t="s">
        <v>719</v>
      </c>
      <c r="C164" s="241"/>
      <c r="D164" s="241"/>
      <c r="E164" s="241"/>
      <c r="F164" s="241"/>
      <c r="G164" s="869"/>
      <c r="H164" s="241"/>
      <c r="I164" s="241"/>
      <c r="J164" s="241"/>
      <c r="K164" s="241"/>
      <c r="L164" s="886">
        <f>L133/G133-1</f>
        <v>0.22108012998904836</v>
      </c>
      <c r="M164" s="758"/>
      <c r="N164" s="758"/>
      <c r="O164" s="758"/>
      <c r="P164" s="758"/>
      <c r="Q164" s="886">
        <f>Q133/L133-1</f>
        <v>0.12087104197146181</v>
      </c>
      <c r="R164" s="758"/>
      <c r="S164" s="758"/>
      <c r="T164" s="758"/>
      <c r="U164" s="758"/>
      <c r="V164" s="886">
        <f>V133/Q133-1</f>
        <v>-0.20965880022562911</v>
      </c>
      <c r="W164" s="758"/>
      <c r="X164" s="758"/>
      <c r="Y164" s="758"/>
      <c r="Z164" s="758"/>
      <c r="AA164" s="886">
        <f>AA133/V133-1</f>
        <v>0.31287915881723172</v>
      </c>
      <c r="AB164" s="758"/>
      <c r="AC164" s="758"/>
      <c r="AD164" s="758"/>
      <c r="AE164" s="758"/>
      <c r="AF164" s="886">
        <f>AF133/AA133-1</f>
        <v>-0.16634217878860647</v>
      </c>
      <c r="AG164" s="758"/>
      <c r="AH164" s="758"/>
      <c r="AI164" s="758"/>
      <c r="AJ164" s="758"/>
      <c r="AK164" s="886">
        <f>AK133/AF133-1</f>
        <v>-8.8070486719291963E-2</v>
      </c>
      <c r="AL164" s="758"/>
      <c r="AM164" s="758"/>
      <c r="AN164" s="758"/>
      <c r="AO164" s="758"/>
      <c r="AP164" s="886">
        <f>AP133/AK133-1</f>
        <v>0.17199920178268657</v>
      </c>
      <c r="AQ164" s="758"/>
      <c r="AR164" s="758"/>
      <c r="AS164" s="758"/>
      <c r="AT164" s="758"/>
      <c r="AU164" s="886">
        <f>AU133/AP133-1</f>
        <v>-0.32346013593087242</v>
      </c>
      <c r="AV164" s="758"/>
      <c r="AW164" s="758"/>
      <c r="AX164" s="758"/>
      <c r="AY164" s="758"/>
      <c r="AZ164" s="886">
        <f>AZ133/AU133-1</f>
        <v>0.83039187927979263</v>
      </c>
      <c r="BA164" s="758"/>
      <c r="BB164" s="758"/>
      <c r="BC164" s="758"/>
      <c r="BD164" s="758"/>
      <c r="BE164" s="886">
        <f>BE133/AZ133-1</f>
        <v>-0.94726378990306437</v>
      </c>
      <c r="BF164" s="758"/>
      <c r="BG164" s="758"/>
      <c r="BH164" s="758"/>
      <c r="BI164" s="758"/>
      <c r="BJ164" s="886">
        <f>BJ133/BE133-1</f>
        <v>16.079847908745414</v>
      </c>
      <c r="BK164" s="758"/>
      <c r="BL164" s="758"/>
      <c r="BM164" s="758"/>
      <c r="BN164" s="758"/>
      <c r="BO164" s="886">
        <f>BO133/BJ133-1</f>
        <v>-1.299452995802064E-2</v>
      </c>
      <c r="BP164" s="758"/>
      <c r="BQ164" s="758"/>
      <c r="BR164" s="758"/>
      <c r="BS164" s="758"/>
      <c r="BT164" s="886">
        <f>BT133/BO133-1</f>
        <v>0.12874975028515823</v>
      </c>
      <c r="BU164" s="758"/>
      <c r="BV164" s="758"/>
      <c r="BW164" s="758"/>
      <c r="BX164" s="758"/>
      <c r="BY164" s="886">
        <f>BY133/BT133-1</f>
        <v>0.19200027404142572</v>
      </c>
      <c r="BZ164" s="758"/>
      <c r="CA164" s="758"/>
      <c r="CB164" s="758"/>
      <c r="CC164" s="758"/>
      <c r="CD164" s="886">
        <f t="shared" ref="CD164:CI164" si="93">CD133/BY133-1</f>
        <v>0.12568850401846854</v>
      </c>
      <c r="CE164" s="758">
        <f t="shared" si="93"/>
        <v>0.49326906783649949</v>
      </c>
      <c r="CF164" s="758">
        <f t="shared" si="93"/>
        <v>0.46785880833661908</v>
      </c>
      <c r="CG164" s="758">
        <f t="shared" si="93"/>
        <v>0.32395205459538778</v>
      </c>
      <c r="CH164" s="758">
        <f t="shared" si="93"/>
        <v>3.7944886532141897E-2</v>
      </c>
      <c r="CI164" s="759">
        <f t="shared" si="93"/>
        <v>0.31548494142541972</v>
      </c>
      <c r="CJ164" s="759">
        <f>CJ133/CI133-1</f>
        <v>0.18191162938813887</v>
      </c>
      <c r="CK164" s="759">
        <f>CK133/CJ133-1</f>
        <v>0.14437744644611317</v>
      </c>
      <c r="CL164" s="759">
        <f>CL133/CK133-1</f>
        <v>0.153340179295824</v>
      </c>
      <c r="CM164" s="759">
        <f>CM133/CL133-1</f>
        <v>0.14210128994804605</v>
      </c>
      <c r="CN164" s="241"/>
      <c r="CO164" s="683"/>
      <c r="CP164" s="241"/>
      <c r="CQ164" s="693"/>
    </row>
    <row r="165" spans="2:95" ht="16.5" customHeight="1" x14ac:dyDescent="0.25">
      <c r="B165" s="12" t="s">
        <v>720</v>
      </c>
      <c r="C165" s="241"/>
      <c r="D165" s="241"/>
      <c r="E165" s="241"/>
      <c r="F165" s="241"/>
      <c r="G165" s="869">
        <f>G116/G114</f>
        <v>0.28975306633267933</v>
      </c>
      <c r="H165" s="241"/>
      <c r="I165" s="241"/>
      <c r="J165" s="241"/>
      <c r="K165" s="241"/>
      <c r="L165" s="869">
        <f>L116/L114</f>
        <v>0.29153594659069454</v>
      </c>
      <c r="M165" s="241"/>
      <c r="N165" s="241"/>
      <c r="O165" s="241"/>
      <c r="P165" s="241"/>
      <c r="Q165" s="869">
        <f>Q116/Q114</f>
        <v>0.30179920438495333</v>
      </c>
      <c r="R165" s="241"/>
      <c r="S165" s="241"/>
      <c r="T165" s="241"/>
      <c r="U165" s="241"/>
      <c r="V165" s="869">
        <f>V116/V114</f>
        <v>0.30025157921795531</v>
      </c>
      <c r="W165" s="241"/>
      <c r="X165" s="241"/>
      <c r="Y165" s="241"/>
      <c r="Z165" s="241"/>
      <c r="AA165" s="869">
        <f>AA116/AA114</f>
        <v>0.30115560992831486</v>
      </c>
      <c r="AB165" s="241"/>
      <c r="AC165" s="241"/>
      <c r="AD165" s="241"/>
      <c r="AE165" s="241"/>
      <c r="AF165" s="869">
        <f>AF116/AF114</f>
        <v>0.29170250070084247</v>
      </c>
      <c r="AG165" s="241"/>
      <c r="AH165" s="241"/>
      <c r="AI165" s="241"/>
      <c r="AJ165" s="241"/>
      <c r="AK165" s="869">
        <f>AK116/AK114</f>
        <v>0.2950255334198198</v>
      </c>
      <c r="AL165" s="241"/>
      <c r="AM165" s="241"/>
      <c r="AN165" s="241"/>
      <c r="AO165" s="241"/>
      <c r="AP165" s="869">
        <f>AP116/AP114</f>
        <v>0.29289888705774197</v>
      </c>
      <c r="AQ165" s="241"/>
      <c r="AR165" s="241"/>
      <c r="AS165" s="241"/>
      <c r="AT165" s="241"/>
      <c r="AU165" s="869">
        <f>AU116/AU114</f>
        <v>0.28569852089044778</v>
      </c>
      <c r="AV165" s="241"/>
      <c r="AW165" s="241"/>
      <c r="AX165" s="241"/>
      <c r="AY165" s="241"/>
      <c r="AZ165" s="869">
        <f>AZ116/AZ114</f>
        <v>0.28086976010642195</v>
      </c>
      <c r="BA165" s="241"/>
      <c r="BB165" s="241"/>
      <c r="BC165" s="241"/>
      <c r="BD165" s="241"/>
      <c r="BE165" s="869">
        <f>BE116/BE114</f>
        <v>0.25782009974505588</v>
      </c>
      <c r="BF165" s="241"/>
      <c r="BG165" s="241"/>
      <c r="BH165" s="241"/>
      <c r="BI165" s="241"/>
      <c r="BJ165" s="869">
        <f>BJ116/BJ114</f>
        <v>0.27199330433139213</v>
      </c>
      <c r="BK165" s="241"/>
      <c r="BL165" s="241"/>
      <c r="BM165" s="241"/>
      <c r="BN165" s="241"/>
      <c r="BO165" s="869">
        <f>BO116/BO114</f>
        <v>0.27037538585597204</v>
      </c>
      <c r="BP165" s="241"/>
      <c r="BQ165" s="241"/>
      <c r="BR165" s="241"/>
      <c r="BS165" s="241"/>
      <c r="BT165" s="869">
        <f>BT116/BT114</f>
        <v>0.2707188068234932</v>
      </c>
      <c r="BU165" s="241"/>
      <c r="BV165" s="241"/>
      <c r="BW165" s="241"/>
      <c r="BX165" s="241"/>
      <c r="BY165" s="869">
        <f>BY116/BY114</f>
        <v>0.2805262457882603</v>
      </c>
      <c r="BZ165" s="241"/>
      <c r="CA165" s="241"/>
      <c r="CB165" s="241"/>
      <c r="CC165" s="241"/>
      <c r="CD165" s="869">
        <f>CD116/CD114</f>
        <v>0.27388007741753662</v>
      </c>
      <c r="CE165" s="241">
        <f>CE116/CE114</f>
        <v>0.26740679749824148</v>
      </c>
      <c r="CF165" s="241">
        <f>CF116/CF114</f>
        <v>0.27335502644144605</v>
      </c>
      <c r="CG165" s="241">
        <f>CG116/CG114</f>
        <v>0.28986750017939172</v>
      </c>
      <c r="CH165" s="241">
        <f>CH116/CH114</f>
        <v>0.28986750017939195</v>
      </c>
      <c r="CI165" s="756">
        <v>0.28000000000000003</v>
      </c>
      <c r="CJ165" s="756">
        <v>0.28499999999999998</v>
      </c>
      <c r="CK165" s="756">
        <v>0.28999999999999998</v>
      </c>
      <c r="CL165" s="756">
        <v>0.29499999999999998</v>
      </c>
      <c r="CM165" s="756">
        <v>0.3</v>
      </c>
      <c r="CN165" s="241"/>
      <c r="CO165" s="683"/>
      <c r="CP165" s="241"/>
      <c r="CQ165" s="693"/>
    </row>
    <row r="166" spans="2:95" ht="16.5" customHeight="1" x14ac:dyDescent="0.25">
      <c r="B166" s="12" t="s">
        <v>721</v>
      </c>
      <c r="C166" s="241"/>
      <c r="D166" s="241"/>
      <c r="E166" s="241"/>
      <c r="F166" s="241"/>
      <c r="G166" s="869">
        <f>G117/G114</f>
        <v>4.8527800848716232E-2</v>
      </c>
      <c r="H166" s="241"/>
      <c r="I166" s="241"/>
      <c r="J166" s="241"/>
      <c r="K166" s="241"/>
      <c r="L166" s="869">
        <f>L117/L114</f>
        <v>4.5645476856539725E-2</v>
      </c>
      <c r="M166" s="241"/>
      <c r="N166" s="241"/>
      <c r="O166" s="241"/>
      <c r="P166" s="241"/>
      <c r="Q166" s="869">
        <f>Q117/Q114</f>
        <v>4.7135575265960891E-2</v>
      </c>
      <c r="R166" s="241"/>
      <c r="S166" s="241"/>
      <c r="T166" s="241"/>
      <c r="U166" s="241"/>
      <c r="V166" s="869">
        <f>V117/V114</f>
        <v>5.1584657920071587E-2</v>
      </c>
      <c r="W166" s="241"/>
      <c r="X166" s="241"/>
      <c r="Y166" s="241"/>
      <c r="Z166" s="241"/>
      <c r="AA166" s="869">
        <f>AA117/AA114</f>
        <v>5.2659262154105227E-2</v>
      </c>
      <c r="AB166" s="241"/>
      <c r="AC166" s="241"/>
      <c r="AD166" s="241"/>
      <c r="AE166" s="241"/>
      <c r="AF166" s="869">
        <f>AF117/AF114</f>
        <v>5.2373519717825778E-2</v>
      </c>
      <c r="AG166" s="241"/>
      <c r="AH166" s="241"/>
      <c r="AI166" s="241"/>
      <c r="AJ166" s="241"/>
      <c r="AK166" s="869">
        <f>AK117/AK114</f>
        <v>6.1086172648788101E-2</v>
      </c>
      <c r="AL166" s="241"/>
      <c r="AM166" s="241"/>
      <c r="AN166" s="241"/>
      <c r="AO166" s="241"/>
      <c r="AP166" s="869">
        <f>AP117/AP114</f>
        <v>5.7719965854181987E-2</v>
      </c>
      <c r="AQ166" s="241"/>
      <c r="AR166" s="241"/>
      <c r="AS166" s="241"/>
      <c r="AT166" s="241"/>
      <c r="AU166" s="869">
        <f>AU117/AU114</f>
        <v>4.7920108301703505E-2</v>
      </c>
      <c r="AV166" s="241"/>
      <c r="AW166" s="241"/>
      <c r="AX166" s="241"/>
      <c r="AY166" s="241"/>
      <c r="AZ166" s="869">
        <f>AZ117/AZ114</f>
        <v>4.3534482313438774E-2</v>
      </c>
      <c r="BA166" s="241"/>
      <c r="BB166" s="241"/>
      <c r="BC166" s="241"/>
      <c r="BD166" s="241"/>
      <c r="BE166" s="869">
        <f>BE117/BE114</f>
        <v>3.8434017875900395E-2</v>
      </c>
      <c r="BF166" s="241"/>
      <c r="BG166" s="241"/>
      <c r="BH166" s="241"/>
      <c r="BI166" s="241"/>
      <c r="BJ166" s="869">
        <f>BJ117/BJ114</f>
        <v>4.401413327452066E-2</v>
      </c>
      <c r="BK166" s="241"/>
      <c r="BL166" s="241"/>
      <c r="BM166" s="241"/>
      <c r="BN166" s="241"/>
      <c r="BO166" s="869">
        <f>BO117/BO114</f>
        <v>3.6078665701731641E-2</v>
      </c>
      <c r="BP166" s="241"/>
      <c r="BQ166" s="241"/>
      <c r="BR166" s="241"/>
      <c r="BS166" s="241"/>
      <c r="BT166" s="869">
        <f>BT117/BT114</f>
        <v>3.2130547405305486E-2</v>
      </c>
      <c r="BU166" s="241"/>
      <c r="BV166" s="241"/>
      <c r="BW166" s="241"/>
      <c r="BX166" s="241"/>
      <c r="BY166" s="869">
        <f>BY117/BY114</f>
        <v>3.1248060383046637E-2</v>
      </c>
      <c r="BZ166" s="241"/>
      <c r="CA166" s="241"/>
      <c r="CB166" s="241"/>
      <c r="CC166" s="241"/>
      <c r="CD166" s="869">
        <f>CD117/CD114</f>
        <v>2.4263176108318241E-2</v>
      </c>
      <c r="CE166" s="241">
        <f>CE117/CE114</f>
        <v>2.2387503567059815E-2</v>
      </c>
      <c r="CF166" s="241">
        <f>CF117/CF114</f>
        <v>2.534538337007473E-2</v>
      </c>
      <c r="CG166" s="241">
        <f>CG117/CG114</f>
        <v>2.5697808265290358E-2</v>
      </c>
      <c r="CH166" s="241">
        <f>CH117/CH114</f>
        <v>2.6698673916078702E-2</v>
      </c>
      <c r="CI166" s="756">
        <v>2.5000000000000001E-2</v>
      </c>
      <c r="CJ166" s="756">
        <v>2.75E-2</v>
      </c>
      <c r="CK166" s="756">
        <v>0.03</v>
      </c>
      <c r="CL166" s="756">
        <v>0.03</v>
      </c>
      <c r="CM166" s="756">
        <v>0.03</v>
      </c>
      <c r="CN166" s="241"/>
      <c r="CO166" s="683"/>
      <c r="CP166" s="241"/>
      <c r="CQ166" s="693"/>
    </row>
    <row r="167" spans="2:95" ht="16.5" customHeight="1" x14ac:dyDescent="0.25">
      <c r="B167" s="12" t="s">
        <v>722</v>
      </c>
      <c r="C167" s="241"/>
      <c r="D167" s="241"/>
      <c r="E167" s="241"/>
      <c r="F167" s="241"/>
      <c r="G167" s="869">
        <f>G118/G114</f>
        <v>0.14823587727479981</v>
      </c>
      <c r="H167" s="241"/>
      <c r="I167" s="241"/>
      <c r="J167" s="241"/>
      <c r="K167" s="241"/>
      <c r="L167" s="869">
        <f>L118/L114</f>
        <v>0.15187155679887415</v>
      </c>
      <c r="M167" s="241"/>
      <c r="N167" s="241"/>
      <c r="O167" s="241"/>
      <c r="P167" s="241"/>
      <c r="Q167" s="869">
        <f>Q118/Q114</f>
        <v>0.1559203834242546</v>
      </c>
      <c r="R167" s="241"/>
      <c r="S167" s="241"/>
      <c r="T167" s="241"/>
      <c r="U167" s="241"/>
      <c r="V167" s="869">
        <f>V118/V114</f>
        <v>0.1519497102069447</v>
      </c>
      <c r="W167" s="241"/>
      <c r="X167" s="241"/>
      <c r="Y167" s="241"/>
      <c r="Z167" s="241"/>
      <c r="AA167" s="869">
        <f>AA118/AA114</f>
        <v>0.15235209382321679</v>
      </c>
      <c r="AB167" s="241"/>
      <c r="AC167" s="241"/>
      <c r="AD167" s="241"/>
      <c r="AE167" s="241"/>
      <c r="AF167" s="869">
        <f>AF118/AF114</f>
        <v>0.14709692848873029</v>
      </c>
      <c r="AG167" s="241"/>
      <c r="AH167" s="241"/>
      <c r="AI167" s="241"/>
      <c r="AJ167" s="241"/>
      <c r="AK167" s="869">
        <f>AK118/AK114</f>
        <v>0.14095641801589345</v>
      </c>
      <c r="AL167" s="241"/>
      <c r="AM167" s="241"/>
      <c r="AN167" s="241"/>
      <c r="AO167" s="241"/>
      <c r="AP167" s="869">
        <f>AP118/AP114</f>
        <v>0.14257520648450225</v>
      </c>
      <c r="AQ167" s="241"/>
      <c r="AR167" s="241"/>
      <c r="AS167" s="241"/>
      <c r="AT167" s="241"/>
      <c r="AU167" s="869">
        <f>AU118/AU114</f>
        <v>0.14336172267028069</v>
      </c>
      <c r="AV167" s="241"/>
      <c r="AW167" s="241"/>
      <c r="AX167" s="241"/>
      <c r="AY167" s="241"/>
      <c r="AZ167" s="869">
        <f>AZ118/AZ114</f>
        <v>0.13931151393466298</v>
      </c>
      <c r="BA167" s="241"/>
      <c r="BB167" s="241"/>
      <c r="BC167" s="241"/>
      <c r="BD167" s="241"/>
      <c r="BE167" s="869">
        <f>BE118/BE114</f>
        <v>0.13795789574402142</v>
      </c>
      <c r="BF167" s="241"/>
      <c r="BG167" s="241"/>
      <c r="BH167" s="241"/>
      <c r="BI167" s="241"/>
      <c r="BJ167" s="869">
        <f>BJ118/BJ114</f>
        <v>0.14447020031255337</v>
      </c>
      <c r="BK167" s="241"/>
      <c r="BL167" s="241"/>
      <c r="BM167" s="241"/>
      <c r="BN167" s="241"/>
      <c r="BO167" s="869">
        <f>BO118/BO114</f>
        <v>0.14774804391486479</v>
      </c>
      <c r="BP167" s="241"/>
      <c r="BQ167" s="241"/>
      <c r="BR167" s="241"/>
      <c r="BS167" s="241"/>
      <c r="BT167" s="869">
        <f>BT118/BT114</f>
        <v>0.14321766846893574</v>
      </c>
      <c r="BU167" s="241"/>
      <c r="BV167" s="241"/>
      <c r="BW167" s="241"/>
      <c r="BX167" s="241"/>
      <c r="BY167" s="869">
        <f>BY118/BY114</f>
        <v>0.13889125953183187</v>
      </c>
      <c r="BZ167" s="241"/>
      <c r="CA167" s="241"/>
      <c r="CB167" s="241"/>
      <c r="CC167" s="241"/>
      <c r="CD167" s="869">
        <f>CD118/CD114</f>
        <v>0.14349182930013388</v>
      </c>
      <c r="CE167" s="241">
        <f>CE118/CE114</f>
        <v>0.13537469123348475</v>
      </c>
      <c r="CF167" s="241">
        <f>CF118/CF114</f>
        <v>0.12959208020936419</v>
      </c>
      <c r="CG167" s="241">
        <f>CG118/CG114</f>
        <v>0.14482484238918994</v>
      </c>
      <c r="CH167" s="241">
        <f>CH118/CH114</f>
        <v>0.15046540942244771</v>
      </c>
      <c r="CI167" s="756">
        <v>0.14000000000000001</v>
      </c>
      <c r="CJ167" s="751">
        <f>CI167-0.0025</f>
        <v>0.13750000000000001</v>
      </c>
      <c r="CK167" s="751">
        <f t="shared" ref="CK167:CM167" si="94">CJ167-0.0025</f>
        <v>0.13500000000000001</v>
      </c>
      <c r="CL167" s="751">
        <f t="shared" si="94"/>
        <v>0.13250000000000001</v>
      </c>
      <c r="CM167" s="751">
        <f t="shared" si="94"/>
        <v>0.13</v>
      </c>
      <c r="CN167" s="241"/>
      <c r="CO167" s="683"/>
      <c r="CP167" s="241"/>
      <c r="CQ167" s="693"/>
    </row>
    <row r="168" spans="2:95" ht="16.5" customHeight="1" x14ac:dyDescent="0.25">
      <c r="B168" s="12" t="s">
        <v>878</v>
      </c>
      <c r="C168" s="241"/>
      <c r="D168" s="241"/>
      <c r="E168" s="241"/>
      <c r="F168" s="241"/>
      <c r="G168" s="869">
        <f>G126/G114</f>
        <v>9.056536306930292E-2</v>
      </c>
      <c r="H168" s="241"/>
      <c r="I168" s="241"/>
      <c r="J168" s="241"/>
      <c r="K168" s="241"/>
      <c r="L168" s="869">
        <f>L126/L114</f>
        <v>9.4157499098975361E-2</v>
      </c>
      <c r="M168" s="241"/>
      <c r="N168" s="241"/>
      <c r="O168" s="241"/>
      <c r="P168" s="241"/>
      <c r="Q168" s="869">
        <f>Q126/Q114</f>
        <v>9.8461006440076215E-2</v>
      </c>
      <c r="R168" s="241"/>
      <c r="S168" s="241"/>
      <c r="T168" s="241"/>
      <c r="U168" s="241"/>
      <c r="V168" s="869">
        <f>V126/V114</f>
        <v>7.3542194780621989E-2</v>
      </c>
      <c r="W168" s="241"/>
      <c r="X168" s="241"/>
      <c r="Y168" s="241"/>
      <c r="Z168" s="241"/>
      <c r="AA168" s="869">
        <f>AA126/AA114</f>
        <v>8.738759659188533E-2</v>
      </c>
      <c r="AB168" s="241"/>
      <c r="AC168" s="241"/>
      <c r="AD168" s="241"/>
      <c r="AE168" s="241"/>
      <c r="AF168" s="869">
        <f>AF148/AF114</f>
        <v>0</v>
      </c>
      <c r="AG168" s="241"/>
      <c r="AH168" s="241"/>
      <c r="AI168" s="241"/>
      <c r="AJ168" s="241"/>
      <c r="AK168" s="869">
        <f>AK148/AK114</f>
        <v>0</v>
      </c>
      <c r="AL168" s="241"/>
      <c r="AM168" s="241"/>
      <c r="AN168" s="241"/>
      <c r="AO168" s="241"/>
      <c r="AP168" s="869">
        <f>AP148/AP114</f>
        <v>0</v>
      </c>
      <c r="AQ168" s="241"/>
      <c r="AR168" s="241"/>
      <c r="AS168" s="241"/>
      <c r="AT168" s="241"/>
      <c r="AU168" s="869">
        <f>AU148/AU114</f>
        <v>0</v>
      </c>
      <c r="AV168" s="241"/>
      <c r="AW168" s="241"/>
      <c r="AX168" s="241"/>
      <c r="AY168" s="241"/>
      <c r="AZ168" s="869">
        <f>AZ148/AZ114</f>
        <v>0</v>
      </c>
      <c r="BA168" s="241"/>
      <c r="BB168" s="241"/>
      <c r="BC168" s="241"/>
      <c r="BD168" s="241"/>
      <c r="BE168" s="869">
        <f>BE148/BE114</f>
        <v>0</v>
      </c>
      <c r="BF168" s="241"/>
      <c r="BG168" s="241"/>
      <c r="BH168" s="241"/>
      <c r="BI168" s="241"/>
      <c r="BJ168" s="869">
        <f>BJ148/BJ114</f>
        <v>0</v>
      </c>
      <c r="BK168" s="241"/>
      <c r="BL168" s="241"/>
      <c r="BM168" s="241"/>
      <c r="BN168" s="241"/>
      <c r="BO168" s="869">
        <f>BO148/BO114</f>
        <v>0</v>
      </c>
      <c r="BP168" s="241"/>
      <c r="BQ168" s="241"/>
      <c r="BR168" s="241"/>
      <c r="BS168" s="241"/>
      <c r="BT168" s="869">
        <f>BT148/BT114</f>
        <v>0</v>
      </c>
      <c r="BU168" s="241"/>
      <c r="BV168" s="241"/>
      <c r="BW168" s="241"/>
      <c r="BX168" s="241"/>
      <c r="BY168" s="869">
        <f>BY148/BY114</f>
        <v>-1.3494192232665366E-4</v>
      </c>
      <c r="BZ168" s="241"/>
      <c r="CA168" s="241"/>
      <c r="CB168" s="241"/>
      <c r="CC168" s="241"/>
      <c r="CD168" s="869">
        <f>CD148/CD114</f>
        <v>7.6619738156318777E-4</v>
      </c>
      <c r="CE168" s="241">
        <f>CE148/CE114</f>
        <v>9.088050485938059E-4</v>
      </c>
      <c r="CF168" s="241">
        <f>CF148/CF114</f>
        <v>4.7530911728442597E-4</v>
      </c>
      <c r="CG168" s="241">
        <f>CG148/CG114</f>
        <v>2.192235393913536E-4</v>
      </c>
      <c r="CH168" s="241">
        <f>CH148/CH114</f>
        <v>2.2776175043861283E-4</v>
      </c>
      <c r="CI168" s="751">
        <f t="shared" ref="CI168:CM168" si="95">CI148/CI114</f>
        <v>4.6236917496316875E-4</v>
      </c>
      <c r="CJ168" s="751">
        <f t="shared" si="95"/>
        <v>2.8501999047973687E-4</v>
      </c>
      <c r="CK168" s="751">
        <f t="shared" si="95"/>
        <v>1.7754149843991052E-4</v>
      </c>
      <c r="CL168" s="751">
        <f t="shared" si="95"/>
        <v>1.1115534490682419E-4</v>
      </c>
      <c r="CM168" s="751">
        <f t="shared" si="95"/>
        <v>6.9784638004109878E-5</v>
      </c>
      <c r="CN168" s="241"/>
      <c r="CO168" s="683"/>
      <c r="CP168" s="241"/>
      <c r="CQ168" s="693"/>
    </row>
    <row r="169" spans="2:95" ht="16.5" customHeight="1" x14ac:dyDescent="0.25">
      <c r="B169" s="12" t="s">
        <v>723</v>
      </c>
      <c r="C169" s="241"/>
      <c r="D169" s="241"/>
      <c r="E169" s="241"/>
      <c r="F169" s="241"/>
      <c r="G169" s="869">
        <f>G133/G114</f>
        <v>5.2687191498458956E-2</v>
      </c>
      <c r="H169" s="241"/>
      <c r="I169" s="241"/>
      <c r="J169" s="241"/>
      <c r="K169" s="241"/>
      <c r="L169" s="869">
        <f>L133/L114</f>
        <v>5.8361079170027579E-2</v>
      </c>
      <c r="M169" s="241"/>
      <c r="N169" s="241"/>
      <c r="O169" s="241"/>
      <c r="P169" s="241"/>
      <c r="Q169" s="869">
        <f>Q133/Q114</f>
        <v>6.1737103650240398E-2</v>
      </c>
      <c r="R169" s="241"/>
      <c r="S169" s="241"/>
      <c r="T169" s="241"/>
      <c r="U169" s="241"/>
      <c r="V169" s="869">
        <f>V133/V114</f>
        <v>4.6161932428741323E-2</v>
      </c>
      <c r="W169" s="241"/>
      <c r="X169" s="241"/>
      <c r="Y169" s="241"/>
      <c r="Z169" s="241"/>
      <c r="AA169" s="869">
        <f>AA133/AA114</f>
        <v>5.9733762273989702E-2</v>
      </c>
      <c r="AB169" s="241"/>
      <c r="AC169" s="241"/>
      <c r="AD169" s="241"/>
      <c r="AE169" s="241"/>
      <c r="AF169" s="869">
        <f>AF133/AF114</f>
        <v>5.2219888720475616E-2</v>
      </c>
      <c r="AG169" s="241"/>
      <c r="AH169" s="241"/>
      <c r="AI169" s="241"/>
      <c r="AJ169" s="241"/>
      <c r="AK169" s="869">
        <f>AK133/AK114</f>
        <v>4.9863657301164932E-2</v>
      </c>
      <c r="AL169" s="241"/>
      <c r="AM169" s="241"/>
      <c r="AN169" s="241"/>
      <c r="AO169" s="241"/>
      <c r="AP169" s="869">
        <f>AP133/AP114</f>
        <v>5.6437495695737042E-2</v>
      </c>
      <c r="AQ169" s="241"/>
      <c r="AR169" s="241"/>
      <c r="AS169" s="241"/>
      <c r="AT169" s="241"/>
      <c r="AU169" s="869">
        <f>AU133/AU114</f>
        <v>3.5195470107046767E-2</v>
      </c>
      <c r="AV169" s="241"/>
      <c r="AW169" s="241"/>
      <c r="AX169" s="241"/>
      <c r="AY169" s="241"/>
      <c r="AZ169" s="869">
        <f>AZ133/AZ114</f>
        <v>6.009234117692823E-2</v>
      </c>
      <c r="BA169" s="241"/>
      <c r="BB169" s="241"/>
      <c r="BC169" s="241"/>
      <c r="BD169" s="241"/>
      <c r="BE169" s="869">
        <f>BE133/BE114</f>
        <v>3.19113457401037E-3</v>
      </c>
      <c r="BF169" s="241"/>
      <c r="BG169" s="241"/>
      <c r="BH169" s="241"/>
      <c r="BI169" s="241"/>
      <c r="BJ169" s="869">
        <f>BJ133/BJ114</f>
        <v>5.5126362512109957E-2</v>
      </c>
      <c r="BK169" s="241"/>
      <c r="BL169" s="241"/>
      <c r="BM169" s="241"/>
      <c r="BN169" s="241"/>
      <c r="BO169" s="869">
        <f>BO133/BO114</f>
        <v>5.1115972386695616E-2</v>
      </c>
      <c r="BP169" s="241"/>
      <c r="BQ169" s="241"/>
      <c r="BR169" s="241"/>
      <c r="BS169" s="241"/>
      <c r="BT169" s="869">
        <f>BT133/BT114</f>
        <v>5.2818445263992715E-2</v>
      </c>
      <c r="BU169" s="241"/>
      <c r="BV169" s="241"/>
      <c r="BW169" s="241"/>
      <c r="BX169" s="241"/>
      <c r="BY169" s="869">
        <f>BY133/BY114</f>
        <v>5.7852123603475789E-2</v>
      </c>
      <c r="BZ169" s="241"/>
      <c r="CA169" s="241"/>
      <c r="CB169" s="241"/>
      <c r="CC169" s="241"/>
      <c r="CD169" s="869">
        <f t="shared" ref="CD169:CM169" si="96">CD133/CD114</f>
        <v>6.0878241444906313E-2</v>
      </c>
      <c r="CE169" s="241">
        <f>CE133/CE114</f>
        <v>7.2079146014071921E-2</v>
      </c>
      <c r="CF169" s="241">
        <f>CF133/CF114</f>
        <v>7.7797645698880119E-2</v>
      </c>
      <c r="CG169" s="241">
        <f>CG133/CG114</f>
        <v>7.3429858377717025E-2</v>
      </c>
      <c r="CH169" s="241">
        <f>CH133/CH114</f>
        <v>6.6567800846135824E-2</v>
      </c>
      <c r="CI169" s="751">
        <f t="shared" si="96"/>
        <v>7.2491560429220558E-2</v>
      </c>
      <c r="CJ169" s="751">
        <f t="shared" si="96"/>
        <v>7.9222795210801444E-2</v>
      </c>
      <c r="CK169" s="751">
        <f t="shared" si="96"/>
        <v>8.471011481699163E-2</v>
      </c>
      <c r="CL169" s="751">
        <f t="shared" si="96"/>
        <v>9.1751763652458559E-2</v>
      </c>
      <c r="CM169" s="751">
        <f t="shared" si="96"/>
        <v>9.8682417803458364E-2</v>
      </c>
      <c r="CN169" s="241"/>
      <c r="CO169" s="683"/>
      <c r="CP169" s="241"/>
      <c r="CQ169" s="693"/>
    </row>
    <row r="170" spans="2:95" ht="16.5" customHeight="1" x14ac:dyDescent="0.25">
      <c r="B170" s="12" t="s">
        <v>724</v>
      </c>
      <c r="C170" s="241"/>
      <c r="D170" s="241"/>
      <c r="E170" s="241"/>
      <c r="F170" s="241"/>
      <c r="G170" s="869"/>
      <c r="H170" s="241"/>
      <c r="I170" s="241"/>
      <c r="J170" s="241"/>
      <c r="K170" s="241"/>
      <c r="L170" s="869">
        <f>(L126-G126)/(L114-G114)</f>
        <v>0.12924852606871595</v>
      </c>
      <c r="M170" s="241"/>
      <c r="N170" s="241"/>
      <c r="O170" s="241"/>
      <c r="P170" s="241"/>
      <c r="Q170" s="869">
        <f>(Q126-L126)/(Q114-L114)</f>
        <v>0.17069482053350349</v>
      </c>
      <c r="R170" s="241"/>
      <c r="S170" s="241"/>
      <c r="T170" s="241"/>
      <c r="U170" s="241"/>
      <c r="V170" s="869">
        <f>(V126-Q126)/(V114-Q114)</f>
        <v>-0.3635943882081325</v>
      </c>
      <c r="W170" s="241"/>
      <c r="X170" s="241"/>
      <c r="Y170" s="241"/>
      <c r="Z170" s="241"/>
      <c r="AA170" s="869">
        <f>(AA126-V126)/(AA114-V114)</f>
        <v>1.0366129116982712</v>
      </c>
      <c r="AB170" s="241"/>
      <c r="AC170" s="241"/>
      <c r="AD170" s="241"/>
      <c r="AE170" s="241"/>
      <c r="AF170" s="869">
        <f>(AF126-AA126)/(AF114-AA114)</f>
        <v>0.15168534752916094</v>
      </c>
      <c r="AG170" s="241"/>
      <c r="AH170" s="241"/>
      <c r="AI170" s="241"/>
      <c r="AJ170" s="241"/>
      <c r="AK170" s="869">
        <f>(AK148-AF148)/(AK114-AF114)</f>
        <v>0</v>
      </c>
      <c r="AL170" s="241"/>
      <c r="AM170" s="241"/>
      <c r="AN170" s="241"/>
      <c r="AO170" s="241"/>
      <c r="AP170" s="869">
        <f>(AP148-AK148)/(AP114-AK114)</f>
        <v>0</v>
      </c>
      <c r="AQ170" s="241"/>
      <c r="AR170" s="241"/>
      <c r="AS170" s="241"/>
      <c r="AT170" s="241"/>
      <c r="AU170" s="869">
        <f>(AU148-AP148)/(AU114-AP114)</f>
        <v>0</v>
      </c>
      <c r="AV170" s="241"/>
      <c r="AW170" s="241"/>
      <c r="AX170" s="241"/>
      <c r="AY170" s="241"/>
      <c r="AZ170" s="869">
        <f>(AZ148-AU148)/(AZ114-AU114)</f>
        <v>0</v>
      </c>
      <c r="BA170" s="241"/>
      <c r="BB170" s="241"/>
      <c r="BC170" s="241"/>
      <c r="BD170" s="241"/>
      <c r="BE170" s="869">
        <f>(BE148-AZ148)/(BE114-AZ114)</f>
        <v>0</v>
      </c>
      <c r="BF170" s="241"/>
      <c r="BG170" s="241"/>
      <c r="BH170" s="241"/>
      <c r="BI170" s="241"/>
      <c r="BJ170" s="869">
        <f>(BJ148-BE148)/(BJ114-BE114)</f>
        <v>0</v>
      </c>
      <c r="BK170" s="241"/>
      <c r="BL170" s="241"/>
      <c r="BM170" s="241"/>
      <c r="BN170" s="241"/>
      <c r="BO170" s="869">
        <f>(BO148-BJ148)/(BO114-BJ114)</f>
        <v>0</v>
      </c>
      <c r="BP170" s="241"/>
      <c r="BQ170" s="241"/>
      <c r="BR170" s="241"/>
      <c r="BS170" s="241"/>
      <c r="BT170" s="869">
        <f>(BT148-BO148)/(BT114-BO114)</f>
        <v>0</v>
      </c>
      <c r="BU170" s="241"/>
      <c r="BV170" s="241"/>
      <c r="BW170" s="241"/>
      <c r="BX170" s="241"/>
      <c r="BY170" s="869">
        <f>(BY148-BT148)/(BY114-BT114)</f>
        <v>-1.663421798681559E-3</v>
      </c>
      <c r="BZ170" s="241"/>
      <c r="CA170" s="241"/>
      <c r="CB170" s="241"/>
      <c r="CC170" s="241"/>
      <c r="CD170" s="869">
        <f>(CD148-BY148)/(CD114-BY114)</f>
        <v>1.368888676966115E-2</v>
      </c>
      <c r="CE170" s="241">
        <f>IFERROR((CE148-BZ148)/(CE114-BZ114),0)</f>
        <v>5.262299309060102E-3</v>
      </c>
      <c r="CF170" s="241">
        <f>IFERROR((CF148-CA148)/(CF114-CA114),0)</f>
        <v>4.2695995969498036E-3</v>
      </c>
      <c r="CG170" s="241">
        <f>IFERROR((CG148-CB148)/(CG114-CB114),0)</f>
        <v>2.244119716940433E-3</v>
      </c>
      <c r="CH170" s="241">
        <f>IFERROR((CH148-CC148)/(CH114-CC114),0)</f>
        <v>0.28240079742625174</v>
      </c>
      <c r="CI170" s="751">
        <f>(CI148-CD148)/(CI114-CD114)</f>
        <v>-2.438383821397533E-3</v>
      </c>
      <c r="CJ170" s="751">
        <f>(CJ148-CI148)/(CJ114-CI114)</f>
        <v>-1.8913249806821113E-3</v>
      </c>
      <c r="CK170" s="751">
        <f>(CK148-CJ148)/(CK114-CJ114)</f>
        <v>-1.3524580886730999E-3</v>
      </c>
      <c r="CL170" s="751">
        <f>(CL148-CK148)/(CL114-CK114)</f>
        <v>-9.1292598603306279E-4</v>
      </c>
      <c r="CM170" s="751">
        <f t="shared" ref="CM170" si="97">(CM148-CL148)/(CM114-CL114)</f>
        <v>-5.9867791381828205E-4</v>
      </c>
      <c r="CN170" s="241"/>
      <c r="CO170" s="683"/>
      <c r="CP170" s="241"/>
      <c r="CQ170" s="693"/>
    </row>
    <row r="171" spans="2:95" ht="16.5" customHeight="1" x14ac:dyDescent="0.25">
      <c r="C171" s="291"/>
      <c r="D171" s="291"/>
      <c r="E171" s="291"/>
      <c r="F171" s="291"/>
      <c r="G171" s="864"/>
      <c r="H171" s="291"/>
      <c r="I171" s="291"/>
      <c r="J171" s="291"/>
      <c r="K171" s="291"/>
      <c r="L171" s="864"/>
      <c r="M171" s="291"/>
      <c r="N171" s="291"/>
      <c r="O171" s="291"/>
      <c r="P171" s="291"/>
      <c r="Q171" s="864"/>
      <c r="R171" s="291"/>
      <c r="S171" s="291"/>
      <c r="T171" s="291"/>
      <c r="U171" s="291"/>
      <c r="V171" s="864"/>
      <c r="W171" s="291"/>
      <c r="X171" s="291"/>
      <c r="Y171" s="291"/>
      <c r="Z171" s="291"/>
      <c r="AA171" s="864"/>
      <c r="AB171" s="291"/>
      <c r="AC171" s="291"/>
      <c r="AD171" s="291"/>
      <c r="AE171" s="291"/>
      <c r="AF171" s="864"/>
      <c r="AG171" s="291"/>
      <c r="AH171" s="291"/>
      <c r="AI171" s="291"/>
      <c r="AJ171" s="291"/>
      <c r="AK171" s="864"/>
      <c r="AL171" s="291"/>
      <c r="AM171" s="291"/>
      <c r="AN171" s="291"/>
      <c r="AO171" s="291"/>
      <c r="AP171" s="864"/>
      <c r="AQ171" s="291"/>
      <c r="AR171" s="291"/>
      <c r="AS171" s="291"/>
      <c r="AT171" s="291"/>
      <c r="AU171" s="864"/>
      <c r="AV171" s="291"/>
      <c r="AW171" s="291"/>
      <c r="AX171" s="291"/>
      <c r="AY171" s="291"/>
      <c r="AZ171" s="864"/>
      <c r="BA171" s="291"/>
      <c r="BB171" s="291"/>
      <c r="BC171" s="291"/>
      <c r="BD171" s="291"/>
      <c r="BE171" s="864"/>
      <c r="BF171" s="291"/>
      <c r="BG171" s="291"/>
      <c r="BH171" s="291"/>
      <c r="BI171" s="291"/>
      <c r="BJ171" s="864"/>
      <c r="BK171" s="291"/>
      <c r="BL171" s="291"/>
      <c r="BM171" s="291"/>
      <c r="BN171" s="291"/>
      <c r="BO171" s="864"/>
      <c r="BP171" s="291"/>
      <c r="BQ171" s="291"/>
      <c r="BR171" s="291"/>
      <c r="BS171" s="291"/>
      <c r="BT171" s="864"/>
      <c r="BU171" s="291"/>
      <c r="BV171" s="291"/>
      <c r="BW171" s="291"/>
      <c r="BX171" s="291"/>
      <c r="BY171" s="864"/>
      <c r="BZ171" s="291"/>
      <c r="CA171" s="291"/>
      <c r="CB171" s="291"/>
      <c r="CC171" s="291"/>
      <c r="CD171" s="864"/>
      <c r="CE171" s="291"/>
      <c r="CF171" s="291"/>
      <c r="CG171" s="291"/>
      <c r="CH171" s="291"/>
      <c r="CI171" s="749"/>
      <c r="CJ171" s="749"/>
      <c r="CK171" s="749"/>
      <c r="CL171" s="749"/>
      <c r="CM171" s="749"/>
      <c r="CN171" s="291"/>
      <c r="CO171" s="683"/>
      <c r="CP171" s="291"/>
      <c r="CQ171" s="693"/>
    </row>
    <row r="172" spans="2:95" ht="16.5" customHeight="1" x14ac:dyDescent="0.25">
      <c r="B172" s="221" t="s">
        <v>725</v>
      </c>
      <c r="C172" s="222"/>
      <c r="D172" s="222"/>
      <c r="E172" s="222"/>
      <c r="F172" s="222"/>
      <c r="G172" s="865"/>
      <c r="H172" s="222"/>
      <c r="I172" s="222"/>
      <c r="J172" s="222"/>
      <c r="K172" s="222"/>
      <c r="L172" s="865"/>
      <c r="M172" s="222"/>
      <c r="N172" s="222"/>
      <c r="O172" s="222"/>
      <c r="P172" s="222"/>
      <c r="Q172" s="865"/>
      <c r="R172" s="222"/>
      <c r="S172" s="222"/>
      <c r="T172" s="222"/>
      <c r="U172" s="222"/>
      <c r="V172" s="865"/>
      <c r="W172" s="222"/>
      <c r="X172" s="222"/>
      <c r="Y172" s="222"/>
      <c r="Z172" s="222"/>
      <c r="AA172" s="865"/>
      <c r="AB172" s="222"/>
      <c r="AC172" s="222"/>
      <c r="AD172" s="222"/>
      <c r="AE172" s="222"/>
      <c r="AF172" s="865"/>
      <c r="AG172" s="222"/>
      <c r="AH172" s="222"/>
      <c r="AI172" s="222"/>
      <c r="AJ172" s="222"/>
      <c r="AK172" s="865"/>
      <c r="AL172" s="222"/>
      <c r="AM172" s="222"/>
      <c r="AN172" s="222"/>
      <c r="AO172" s="222"/>
      <c r="AP172" s="865"/>
      <c r="AQ172" s="222"/>
      <c r="AR172" s="222"/>
      <c r="AS172" s="222"/>
      <c r="AT172" s="222"/>
      <c r="AU172" s="865"/>
      <c r="AV172" s="222"/>
      <c r="AW172" s="222"/>
      <c r="AX172" s="222"/>
      <c r="AY172" s="222"/>
      <c r="AZ172" s="865"/>
      <c r="BA172" s="222"/>
      <c r="BB172" s="222"/>
      <c r="BC172" s="222"/>
      <c r="BD172" s="222"/>
      <c r="BE172" s="865"/>
      <c r="BF172" s="222"/>
      <c r="BG172" s="222"/>
      <c r="BH172" s="222"/>
      <c r="BI172" s="222"/>
      <c r="BJ172" s="865"/>
      <c r="BK172" s="222"/>
      <c r="BL172" s="222"/>
      <c r="BM172" s="222"/>
      <c r="BN172" s="222"/>
      <c r="BO172" s="865"/>
      <c r="BP172" s="222"/>
      <c r="BQ172" s="222"/>
      <c r="BR172" s="222"/>
      <c r="BS172" s="222"/>
      <c r="BT172" s="865"/>
      <c r="BU172" s="222"/>
      <c r="BV172" s="222"/>
      <c r="BW172" s="222"/>
      <c r="BX172" s="222"/>
      <c r="BY172" s="865"/>
      <c r="BZ172" s="222"/>
      <c r="CA172" s="222"/>
      <c r="CB172" s="222"/>
      <c r="CC172" s="222"/>
      <c r="CD172" s="865"/>
      <c r="CE172" s="222"/>
      <c r="CF172" s="222"/>
      <c r="CG172" s="222"/>
      <c r="CH172" s="222"/>
      <c r="CI172" s="222"/>
      <c r="CJ172" s="222"/>
      <c r="CK172" s="222"/>
      <c r="CL172" s="222"/>
      <c r="CM172" s="222"/>
      <c r="CN172" s="222"/>
      <c r="CO172" s="687"/>
      <c r="CP172" s="222"/>
      <c r="CQ172" s="692" t="s">
        <v>845</v>
      </c>
    </row>
    <row r="173" spans="2:95" ht="16.5" customHeight="1" x14ac:dyDescent="0.25">
      <c r="C173" s="291"/>
      <c r="D173" s="291"/>
      <c r="E173" s="291"/>
      <c r="F173" s="291"/>
      <c r="G173" s="864"/>
      <c r="H173" s="291"/>
      <c r="I173" s="291"/>
      <c r="J173" s="291"/>
      <c r="K173" s="291"/>
      <c r="L173" s="864"/>
      <c r="M173" s="291"/>
      <c r="N173" s="291"/>
      <c r="O173" s="291"/>
      <c r="P173" s="291"/>
      <c r="Q173" s="864"/>
      <c r="R173" s="291"/>
      <c r="S173" s="291"/>
      <c r="T173" s="291"/>
      <c r="U173" s="291"/>
      <c r="V173" s="864"/>
      <c r="W173" s="291"/>
      <c r="X173" s="291"/>
      <c r="Y173" s="291"/>
      <c r="Z173" s="291"/>
      <c r="AA173" s="864"/>
      <c r="AB173" s="291"/>
      <c r="AC173" s="291"/>
      <c r="AD173" s="291"/>
      <c r="AE173" s="291"/>
      <c r="AF173" s="864"/>
      <c r="AG173" s="291"/>
      <c r="AH173" s="291"/>
      <c r="AI173" s="291"/>
      <c r="AJ173" s="291"/>
      <c r="AK173" s="864"/>
      <c r="AL173" s="291"/>
      <c r="AM173" s="291"/>
      <c r="AN173" s="291"/>
      <c r="AO173" s="291"/>
      <c r="AP173" s="864"/>
      <c r="AQ173" s="291"/>
      <c r="AR173" s="291"/>
      <c r="AS173" s="291"/>
      <c r="AT173" s="291"/>
      <c r="AU173" s="864"/>
      <c r="AV173" s="291"/>
      <c r="AW173" s="291"/>
      <c r="AX173" s="291"/>
      <c r="AY173" s="291"/>
      <c r="AZ173" s="864"/>
      <c r="BA173" s="291"/>
      <c r="BB173" s="291"/>
      <c r="BC173" s="291"/>
      <c r="BD173" s="291"/>
      <c r="BE173" s="864"/>
      <c r="BF173" s="291"/>
      <c r="BG173" s="291"/>
      <c r="BH173" s="291"/>
      <c r="BI173" s="291"/>
      <c r="BJ173" s="864"/>
      <c r="BK173" s="291"/>
      <c r="BL173" s="291"/>
      <c r="BM173" s="291"/>
      <c r="BN173" s="291"/>
      <c r="BO173" s="864"/>
      <c r="BP173" s="291"/>
      <c r="BQ173" s="291"/>
      <c r="BR173" s="291"/>
      <c r="BS173" s="291"/>
      <c r="BT173" s="864"/>
      <c r="BU173" s="291"/>
      <c r="BV173" s="291"/>
      <c r="BW173" s="291"/>
      <c r="BX173" s="291"/>
      <c r="BY173" s="864"/>
      <c r="BZ173" s="291"/>
      <c r="CA173" s="291"/>
      <c r="CB173" s="291"/>
      <c r="CC173" s="291"/>
      <c r="CD173" s="864"/>
      <c r="CE173" s="291"/>
      <c r="CF173" s="291"/>
      <c r="CG173" s="291"/>
      <c r="CH173" s="291"/>
      <c r="CI173" s="749"/>
      <c r="CJ173" s="749"/>
      <c r="CK173" s="749"/>
      <c r="CL173" s="749"/>
      <c r="CM173" s="749"/>
      <c r="CN173" s="291"/>
      <c r="CO173" s="683"/>
      <c r="CP173" s="291"/>
      <c r="CQ173" s="693"/>
    </row>
    <row r="174" spans="2:95" ht="16.5" customHeight="1" x14ac:dyDescent="0.25">
      <c r="B174" s="223" t="s">
        <v>726</v>
      </c>
      <c r="C174" s="224"/>
      <c r="D174" s="224"/>
      <c r="E174" s="224"/>
      <c r="F174" s="224"/>
      <c r="G174" s="867"/>
      <c r="H174" s="224"/>
      <c r="I174" s="224"/>
      <c r="J174" s="224"/>
      <c r="K174" s="224"/>
      <c r="L174" s="867"/>
      <c r="M174" s="224"/>
      <c r="N174" s="224"/>
      <c r="O174" s="224"/>
      <c r="P174" s="224"/>
      <c r="Q174" s="867"/>
      <c r="R174" s="224"/>
      <c r="S174" s="224"/>
      <c r="T174" s="224"/>
      <c r="U174" s="224"/>
      <c r="V174" s="867"/>
      <c r="W174" s="224"/>
      <c r="X174" s="224"/>
      <c r="Y174" s="224"/>
      <c r="Z174" s="224"/>
      <c r="AA174" s="867"/>
      <c r="AB174" s="224"/>
      <c r="AC174" s="224"/>
      <c r="AD174" s="224"/>
      <c r="AE174" s="224"/>
      <c r="AF174" s="867"/>
      <c r="AG174" s="224"/>
      <c r="AH174" s="224"/>
      <c r="AI174" s="224"/>
      <c r="AJ174" s="224"/>
      <c r="AK174" s="867"/>
      <c r="AL174" s="224"/>
      <c r="AM174" s="224"/>
      <c r="AN174" s="224"/>
      <c r="AO174" s="224"/>
      <c r="AP174" s="867"/>
      <c r="AQ174" s="224"/>
      <c r="AR174" s="224"/>
      <c r="AS174" s="224"/>
      <c r="AT174" s="224"/>
      <c r="AU174" s="867"/>
      <c r="AV174" s="224"/>
      <c r="AW174" s="224"/>
      <c r="AX174" s="224"/>
      <c r="AY174" s="224"/>
      <c r="AZ174" s="867"/>
      <c r="BA174" s="224"/>
      <c r="BB174" s="224"/>
      <c r="BC174" s="224"/>
      <c r="BD174" s="224"/>
      <c r="BE174" s="867"/>
      <c r="BF174" s="224"/>
      <c r="BG174" s="224"/>
      <c r="BH174" s="224"/>
      <c r="BI174" s="224"/>
      <c r="BJ174" s="867"/>
      <c r="BK174" s="224"/>
      <c r="BL174" s="224"/>
      <c r="BM174" s="224"/>
      <c r="BN174" s="224"/>
      <c r="BO174" s="867"/>
      <c r="BP174" s="224"/>
      <c r="BQ174" s="224"/>
      <c r="BR174" s="224"/>
      <c r="BS174" s="224"/>
      <c r="BT174" s="867"/>
      <c r="BU174" s="224"/>
      <c r="BV174" s="224"/>
      <c r="BW174" s="224"/>
      <c r="BX174" s="224"/>
      <c r="BY174" s="867"/>
      <c r="BZ174" s="224"/>
      <c r="CA174" s="224"/>
      <c r="CB174" s="224"/>
      <c r="CC174" s="224"/>
      <c r="CD174" s="867"/>
      <c r="CE174" s="224"/>
      <c r="CF174" s="224"/>
      <c r="CG174" s="224"/>
      <c r="CH174" s="224"/>
      <c r="CI174" s="224"/>
      <c r="CJ174" s="224"/>
      <c r="CK174" s="224"/>
      <c r="CL174" s="224"/>
      <c r="CM174" s="224"/>
      <c r="CN174" s="224"/>
      <c r="CO174" s="684"/>
      <c r="CP174" s="224"/>
      <c r="CQ174" s="693"/>
    </row>
    <row r="175" spans="2:95" ht="16.5" customHeight="1" x14ac:dyDescent="0.25">
      <c r="B175" t="s">
        <v>727</v>
      </c>
      <c r="C175" s="743"/>
      <c r="D175" s="743"/>
      <c r="E175" s="743"/>
      <c r="F175" s="743"/>
      <c r="G175" s="868">
        <v>108.09399999999999</v>
      </c>
      <c r="H175" s="743"/>
      <c r="I175" s="743"/>
      <c r="J175" s="743"/>
      <c r="K175" s="743"/>
      <c r="L175" s="868">
        <v>136.02099999999999</v>
      </c>
      <c r="M175" s="743"/>
      <c r="N175" s="743"/>
      <c r="O175" s="743"/>
      <c r="P175" s="743"/>
      <c r="Q175" s="868">
        <v>152.46199999999999</v>
      </c>
      <c r="R175" s="743"/>
      <c r="S175" s="743"/>
      <c r="T175" s="743"/>
      <c r="U175" s="743"/>
      <c r="V175" s="868">
        <v>120.497</v>
      </c>
      <c r="W175" s="743"/>
      <c r="X175" s="743"/>
      <c r="Y175" s="743"/>
      <c r="Z175" s="743"/>
      <c r="AA175" s="868">
        <v>158.19800000000001</v>
      </c>
      <c r="AB175" s="743"/>
      <c r="AC175" s="743"/>
      <c r="AD175" s="743"/>
      <c r="AE175" s="743"/>
      <c r="AF175" s="868">
        <v>131.88300000000001</v>
      </c>
      <c r="AG175" s="743"/>
      <c r="AH175" s="743"/>
      <c r="AI175" s="743"/>
      <c r="AJ175" s="743"/>
      <c r="AK175" s="868">
        <v>123.633</v>
      </c>
      <c r="AL175" s="743"/>
      <c r="AM175" s="291"/>
      <c r="AN175" s="291"/>
      <c r="AO175" s="291"/>
      <c r="AP175" s="868">
        <v>140.41</v>
      </c>
      <c r="AQ175" s="291"/>
      <c r="AR175" s="291"/>
      <c r="AS175" s="291"/>
      <c r="AT175" s="291"/>
      <c r="AU175" s="868">
        <v>96.628</v>
      </c>
      <c r="AV175" s="291"/>
      <c r="AW175" s="291"/>
      <c r="AX175" s="291"/>
      <c r="AY175" s="291"/>
      <c r="AZ175" s="868">
        <v>174.548</v>
      </c>
      <c r="BA175" s="291"/>
      <c r="BB175" s="291"/>
      <c r="BC175" s="291"/>
      <c r="BD175" s="291"/>
      <c r="BE175" s="864">
        <f>BE133</f>
        <v>9.2049999999999095</v>
      </c>
      <c r="BF175" s="743">
        <v>37.841999999999999</v>
      </c>
      <c r="BG175" s="743">
        <v>48.688000000000002</v>
      </c>
      <c r="BH175" s="743">
        <v>36.122</v>
      </c>
      <c r="BI175" s="291"/>
      <c r="BJ175" s="868">
        <v>157.22</v>
      </c>
      <c r="BK175" s="743">
        <v>46.265000000000001</v>
      </c>
      <c r="BL175" s="743">
        <v>29.087</v>
      </c>
      <c r="BM175" s="743">
        <v>50.408999999999999</v>
      </c>
      <c r="BN175" s="291">
        <f t="shared" ref="BN175:BN185" si="98">BO175-BK175-BL175-BM175</f>
        <v>29.41599999999999</v>
      </c>
      <c r="BO175" s="868">
        <v>155.17699999999999</v>
      </c>
      <c r="BP175" s="743">
        <v>46.015999999999998</v>
      </c>
      <c r="BQ175" s="743">
        <v>43.012999999999998</v>
      </c>
      <c r="BR175" s="743">
        <v>42.387</v>
      </c>
      <c r="BS175" s="291">
        <f t="shared" ref="BS175:BS185" si="99">BT175-BP175-BQ175-BR175</f>
        <v>43.740000000000009</v>
      </c>
      <c r="BT175" s="868">
        <v>175.15600000000001</v>
      </c>
      <c r="BU175" s="743">
        <v>47.811999999999998</v>
      </c>
      <c r="BV175" s="743">
        <v>60.003</v>
      </c>
      <c r="BW175" s="743">
        <v>56.36</v>
      </c>
      <c r="BX175" s="291">
        <f t="shared" ref="BX175:BX185" si="100">BY175-BU175-BV175-BW175</f>
        <v>44.61099999999999</v>
      </c>
      <c r="BY175" s="868">
        <v>208.786</v>
      </c>
      <c r="BZ175" s="743">
        <v>53.113</v>
      </c>
      <c r="CA175" s="743">
        <v>55.753999999999998</v>
      </c>
      <c r="CB175" s="743">
        <v>59.707000000000001</v>
      </c>
      <c r="CC175" s="291">
        <f t="shared" ref="CC175:CC185" si="101">CD175-BZ175-CA175-CB175</f>
        <v>66.454000000000008</v>
      </c>
      <c r="CD175" s="868">
        <v>235.02799999999999</v>
      </c>
      <c r="CE175" s="743">
        <v>78.850999999999999</v>
      </c>
      <c r="CF175" s="743">
        <v>81.838999999999999</v>
      </c>
      <c r="CG175" s="291">
        <f t="shared" ref="CG175:CM175" si="102">CG133</f>
        <v>79.049205323726824</v>
      </c>
      <c r="CH175" s="291">
        <f t="shared" si="102"/>
        <v>68.975589489606946</v>
      </c>
      <c r="CI175" s="749">
        <f t="shared" si="102"/>
        <v>309.17579481333348</v>
      </c>
      <c r="CJ175" s="749">
        <f t="shared" si="102"/>
        <v>365.41846741519987</v>
      </c>
      <c r="CK175" s="749">
        <f t="shared" si="102"/>
        <v>418.1766526248586</v>
      </c>
      <c r="CL175" s="749">
        <f t="shared" si="102"/>
        <v>482.29993551568191</v>
      </c>
      <c r="CM175" s="749">
        <f t="shared" si="102"/>
        <v>550.83537849431968</v>
      </c>
      <c r="CN175" s="291"/>
      <c r="CO175" s="683">
        <f>(CM175/CD175)^(1/5)-1</f>
        <v>0.18571535550911444</v>
      </c>
      <c r="CP175" s="291"/>
      <c r="CQ175" s="694" t="s">
        <v>846</v>
      </c>
    </row>
    <row r="176" spans="2:95" ht="16.5" customHeight="1" x14ac:dyDescent="0.25">
      <c r="B176" t="s">
        <v>728</v>
      </c>
      <c r="C176" s="743"/>
      <c r="D176" s="743"/>
      <c r="E176" s="743"/>
      <c r="F176" s="743"/>
      <c r="G176" s="868">
        <v>61.112000000000002</v>
      </c>
      <c r="H176" s="743"/>
      <c r="I176" s="743"/>
      <c r="J176" s="743"/>
      <c r="K176" s="743"/>
      <c r="L176" s="868">
        <v>64.962999999999994</v>
      </c>
      <c r="M176" s="743"/>
      <c r="N176" s="743"/>
      <c r="O176" s="743"/>
      <c r="P176" s="743"/>
      <c r="Q176" s="868">
        <v>67.084000000000003</v>
      </c>
      <c r="R176" s="743"/>
      <c r="S176" s="743"/>
      <c r="T176" s="743"/>
      <c r="U176" s="743"/>
      <c r="V176" s="868">
        <v>75</v>
      </c>
      <c r="W176" s="743"/>
      <c r="X176" s="743"/>
      <c r="Y176" s="743"/>
      <c r="Z176" s="743"/>
      <c r="AA176" s="868">
        <v>78.078000000000003</v>
      </c>
      <c r="AB176" s="743"/>
      <c r="AC176" s="743"/>
      <c r="AD176" s="743"/>
      <c r="AE176" s="743"/>
      <c r="AF176" s="868">
        <v>78.61</v>
      </c>
      <c r="AG176" s="743"/>
      <c r="AH176" s="743"/>
      <c r="AI176" s="743"/>
      <c r="AJ176" s="743"/>
      <c r="AK176" s="868">
        <v>77.406999999999996</v>
      </c>
      <c r="AL176" s="743"/>
      <c r="AM176" s="291"/>
      <c r="AN176" s="291"/>
      <c r="AO176" s="291"/>
      <c r="AP176" s="868">
        <v>71.363</v>
      </c>
      <c r="AQ176" s="291"/>
      <c r="AR176" s="291"/>
      <c r="AS176" s="291"/>
      <c r="AT176" s="291"/>
      <c r="AU176" s="868">
        <v>71.230999999999995</v>
      </c>
      <c r="AV176" s="291"/>
      <c r="AW176" s="291"/>
      <c r="AX176" s="291"/>
      <c r="AY176" s="291"/>
      <c r="AZ176" s="868">
        <v>71.926000000000002</v>
      </c>
      <c r="BA176" s="291"/>
      <c r="BB176" s="291"/>
      <c r="BC176" s="291"/>
      <c r="BD176" s="291"/>
      <c r="BE176" s="868">
        <v>74.242999999999995</v>
      </c>
      <c r="BF176" s="743">
        <v>18.646999999999998</v>
      </c>
      <c r="BG176" s="743">
        <v>18.975000000000001</v>
      </c>
      <c r="BH176" s="743">
        <v>19.184000000000001</v>
      </c>
      <c r="BI176" s="291"/>
      <c r="BJ176" s="868">
        <v>76.671000000000006</v>
      </c>
      <c r="BK176" s="743">
        <v>19.29</v>
      </c>
      <c r="BL176" s="743">
        <v>19.026</v>
      </c>
      <c r="BM176" s="743">
        <v>17.853000000000002</v>
      </c>
      <c r="BN176" s="291">
        <f t="shared" si="98"/>
        <v>19.068999999999996</v>
      </c>
      <c r="BO176" s="868">
        <v>75.238</v>
      </c>
      <c r="BP176" s="743">
        <v>18.391999999999999</v>
      </c>
      <c r="BQ176" s="743">
        <v>18.417999999999999</v>
      </c>
      <c r="BR176" s="743">
        <v>19.97</v>
      </c>
      <c r="BS176" s="291">
        <f t="shared" si="99"/>
        <v>20.983000000000011</v>
      </c>
      <c r="BT176" s="868">
        <v>77.763000000000005</v>
      </c>
      <c r="BU176" s="743">
        <v>20.927</v>
      </c>
      <c r="BV176" s="743">
        <v>21.349</v>
      </c>
      <c r="BW176" s="743">
        <v>22.026</v>
      </c>
      <c r="BX176" s="291">
        <f t="shared" si="100"/>
        <v>21.57599999999999</v>
      </c>
      <c r="BY176" s="868">
        <v>85.878</v>
      </c>
      <c r="BZ176" s="743">
        <v>23.478000000000002</v>
      </c>
      <c r="CA176" s="743">
        <v>22.344000000000001</v>
      </c>
      <c r="CB176" s="743">
        <v>23.47</v>
      </c>
      <c r="CC176" s="291">
        <f t="shared" si="101"/>
        <v>24.720999999999997</v>
      </c>
      <c r="CD176" s="868">
        <v>94.013000000000005</v>
      </c>
      <c r="CE176" s="743">
        <v>24.885000000000002</v>
      </c>
      <c r="CF176" s="743">
        <v>25.298999999999999</v>
      </c>
      <c r="CG176" s="291">
        <f t="shared" ref="CG176:CM176" si="103">CG114*CG279</f>
        <v>26.215323602477262</v>
      </c>
      <c r="CH176" s="291">
        <f t="shared" si="103"/>
        <v>25.23257753050029</v>
      </c>
      <c r="CI176" s="749">
        <f t="shared" si="103"/>
        <v>103.86002979637507</v>
      </c>
      <c r="CJ176" s="749">
        <f t="shared" si="103"/>
        <v>112.32352792230809</v>
      </c>
      <c r="CK176" s="749">
        <f t="shared" si="103"/>
        <v>120.21396364749845</v>
      </c>
      <c r="CL176" s="749">
        <f t="shared" si="103"/>
        <v>128.00684337922763</v>
      </c>
      <c r="CM176" s="749">
        <f t="shared" si="103"/>
        <v>135.92910257616577</v>
      </c>
      <c r="CN176" s="291"/>
      <c r="CO176" s="683"/>
      <c r="CP176" s="291"/>
      <c r="CQ176" s="694" t="s">
        <v>847</v>
      </c>
    </row>
    <row r="177" spans="2:95" ht="16.5" customHeight="1" x14ac:dyDescent="0.25">
      <c r="B177" t="s">
        <v>729</v>
      </c>
      <c r="C177" s="743"/>
      <c r="D177" s="743"/>
      <c r="E177" s="743"/>
      <c r="F177" s="743"/>
      <c r="G177" s="868">
        <v>30.103999999999999</v>
      </c>
      <c r="H177" s="743"/>
      <c r="I177" s="743"/>
      <c r="J177" s="743"/>
      <c r="K177" s="743"/>
      <c r="L177" s="868">
        <v>31.364000000000001</v>
      </c>
      <c r="M177" s="743"/>
      <c r="N177" s="743"/>
      <c r="O177" s="743"/>
      <c r="P177" s="743"/>
      <c r="Q177" s="868">
        <v>33.731999999999999</v>
      </c>
      <c r="R177" s="743"/>
      <c r="S177" s="743"/>
      <c r="T177" s="743"/>
      <c r="U177" s="743"/>
      <c r="V177" s="868">
        <v>33.073</v>
      </c>
      <c r="W177" s="743"/>
      <c r="X177" s="743"/>
      <c r="Y177" s="743"/>
      <c r="Z177" s="743"/>
      <c r="AA177" s="868">
        <v>31.181000000000001</v>
      </c>
      <c r="AB177" s="743"/>
      <c r="AC177" s="743"/>
      <c r="AD177" s="743"/>
      <c r="AE177" s="743"/>
      <c r="AF177" s="868">
        <v>24.998999999999999</v>
      </c>
      <c r="AG177" s="743"/>
      <c r="AH177" s="743"/>
      <c r="AI177" s="743"/>
      <c r="AJ177" s="743"/>
      <c r="AK177" s="868">
        <v>21.324999999999999</v>
      </c>
      <c r="AL177" s="743"/>
      <c r="AM177" s="291"/>
      <c r="AN177" s="291"/>
      <c r="AO177" s="291"/>
      <c r="AP177" s="868">
        <v>18.803999999999998</v>
      </c>
      <c r="AQ177" s="291"/>
      <c r="AR177" s="291"/>
      <c r="AS177" s="291"/>
      <c r="AT177" s="291"/>
      <c r="AU177" s="868">
        <v>17.341000000000001</v>
      </c>
      <c r="AV177" s="291"/>
      <c r="AW177" s="291"/>
      <c r="AX177" s="291"/>
      <c r="AY177" s="291"/>
      <c r="AZ177" s="868">
        <v>13.334</v>
      </c>
      <c r="BA177" s="291"/>
      <c r="BB177" s="291"/>
      <c r="BC177" s="291"/>
      <c r="BD177" s="291"/>
      <c r="BE177" s="868">
        <v>12.728999999999999</v>
      </c>
      <c r="BF177" s="743">
        <v>2.8410000000000002</v>
      </c>
      <c r="BG177" s="743">
        <v>3.5950000000000002</v>
      </c>
      <c r="BH177" s="743">
        <v>3.5640000000000001</v>
      </c>
      <c r="BI177" s="291"/>
      <c r="BJ177" s="868">
        <v>13.488</v>
      </c>
      <c r="BK177" s="743">
        <v>3.4020000000000001</v>
      </c>
      <c r="BL177" s="743">
        <v>3.3330000000000002</v>
      </c>
      <c r="BM177" s="743">
        <v>3.2629999999999999</v>
      </c>
      <c r="BN177" s="291">
        <f t="shared" si="98"/>
        <v>3.1529999999999987</v>
      </c>
      <c r="BO177" s="868">
        <v>13.151</v>
      </c>
      <c r="BP177" s="743">
        <v>2.992</v>
      </c>
      <c r="BQ177" s="743">
        <v>2.87</v>
      </c>
      <c r="BR177" s="743">
        <v>2.863</v>
      </c>
      <c r="BS177" s="291">
        <f t="shared" si="99"/>
        <v>2.8159999999999994</v>
      </c>
      <c r="BT177" s="868">
        <v>11.541</v>
      </c>
      <c r="BU177" s="743">
        <v>2.72</v>
      </c>
      <c r="BV177" s="743">
        <v>2.5760000000000001</v>
      </c>
      <c r="BW177" s="743">
        <v>2.3809999999999998</v>
      </c>
      <c r="BX177" s="291">
        <f t="shared" si="100"/>
        <v>2.4719999999999982</v>
      </c>
      <c r="BY177" s="868">
        <v>10.148999999999999</v>
      </c>
      <c r="BZ177" s="743">
        <v>2.323</v>
      </c>
      <c r="CA177" s="743">
        <v>2.306</v>
      </c>
      <c r="CB177" s="743">
        <v>2.367</v>
      </c>
      <c r="CC177" s="291">
        <f t="shared" si="101"/>
        <v>2.7189999999999994</v>
      </c>
      <c r="CD177" s="868">
        <v>9.7149999999999999</v>
      </c>
      <c r="CE177" s="743">
        <v>2.7130000000000001</v>
      </c>
      <c r="CF177" s="743">
        <v>2.7360000000000002</v>
      </c>
      <c r="CG177" s="291">
        <f t="shared" ref="CG177:CM177" si="104">CG114*CG281</f>
        <v>2.7090069330631565</v>
      </c>
      <c r="CH177" s="291">
        <f t="shared" si="104"/>
        <v>2.6074531257252747</v>
      </c>
      <c r="CI177" s="749">
        <f t="shared" si="104"/>
        <v>10.732560278597466</v>
      </c>
      <c r="CJ177" s="749">
        <f t="shared" si="104"/>
        <v>11.60715085961753</v>
      </c>
      <c r="CK177" s="749">
        <f t="shared" si="104"/>
        <v>12.422523021661336</v>
      </c>
      <c r="CL177" s="749">
        <f t="shared" si="104"/>
        <v>13.227814062195613</v>
      </c>
      <c r="CM177" s="749">
        <f t="shared" si="104"/>
        <v>14.046474759101935</v>
      </c>
      <c r="CN177" s="291"/>
      <c r="CO177" s="683"/>
      <c r="CP177" s="291"/>
      <c r="CQ177" s="694" t="s">
        <v>848</v>
      </c>
    </row>
    <row r="178" spans="2:95" ht="16.5" customHeight="1" x14ac:dyDescent="0.25">
      <c r="B178" t="s">
        <v>730</v>
      </c>
      <c r="C178" s="743"/>
      <c r="D178" s="743"/>
      <c r="E178" s="743"/>
      <c r="F178" s="743"/>
      <c r="G178" s="868">
        <v>5.4450000000000003</v>
      </c>
      <c r="H178" s="743"/>
      <c r="I178" s="743"/>
      <c r="J178" s="743"/>
      <c r="K178" s="743"/>
      <c r="L178" s="868">
        <v>6.952</v>
      </c>
      <c r="M178" s="743"/>
      <c r="N178" s="743"/>
      <c r="O178" s="743"/>
      <c r="P178" s="743"/>
      <c r="Q178" s="868">
        <v>6.226</v>
      </c>
      <c r="R178" s="743"/>
      <c r="S178" s="743"/>
      <c r="T178" s="743"/>
      <c r="U178" s="743"/>
      <c r="V178" s="868">
        <v>6.62</v>
      </c>
      <c r="W178" s="743"/>
      <c r="X178" s="743"/>
      <c r="Y178" s="743"/>
      <c r="Z178" s="743"/>
      <c r="AA178" s="868">
        <v>7.1890000000000001</v>
      </c>
      <c r="AB178" s="743"/>
      <c r="AC178" s="743"/>
      <c r="AD178" s="743"/>
      <c r="AE178" s="743"/>
      <c r="AF178" s="868">
        <v>5.0739999999999998</v>
      </c>
      <c r="AG178" s="743"/>
      <c r="AH178" s="743"/>
      <c r="AI178" s="743"/>
      <c r="AJ178" s="743"/>
      <c r="AK178" s="868">
        <v>3.2709999999999999</v>
      </c>
      <c r="AL178" s="743"/>
      <c r="AM178" s="291"/>
      <c r="AN178" s="291"/>
      <c r="AO178" s="291"/>
      <c r="AP178" s="868">
        <v>4.5819999999999999</v>
      </c>
      <c r="AQ178" s="291"/>
      <c r="AR178" s="291"/>
      <c r="AS178" s="291"/>
      <c r="AT178" s="291"/>
      <c r="AU178" s="868">
        <v>5.8040000000000003</v>
      </c>
      <c r="AV178" s="291"/>
      <c r="AW178" s="291"/>
      <c r="AX178" s="291"/>
      <c r="AY178" s="291"/>
      <c r="AZ178" s="868">
        <v>6.4640000000000004</v>
      </c>
      <c r="BA178" s="291"/>
      <c r="BB178" s="291"/>
      <c r="BC178" s="291"/>
      <c r="BD178" s="291"/>
      <c r="BE178" s="868">
        <v>5.6609999999999996</v>
      </c>
      <c r="BF178" s="743">
        <v>2.5019999999999998</v>
      </c>
      <c r="BG178" s="743">
        <v>2.1269999999999998</v>
      </c>
      <c r="BH178" s="743">
        <v>1.7909999999999999</v>
      </c>
      <c r="BI178" s="291"/>
      <c r="BJ178" s="868">
        <v>7.4610000000000003</v>
      </c>
      <c r="BK178" s="743">
        <v>2.6579999999999999</v>
      </c>
      <c r="BL178" s="743">
        <v>1.92</v>
      </c>
      <c r="BM178" s="743">
        <v>2.169</v>
      </c>
      <c r="BN178" s="291">
        <f t="shared" si="98"/>
        <v>2.1350000000000002</v>
      </c>
      <c r="BO178" s="868">
        <v>8.8819999999999997</v>
      </c>
      <c r="BP178" s="743">
        <v>2.9740000000000002</v>
      </c>
      <c r="BQ178" s="743">
        <v>2.7909999999999999</v>
      </c>
      <c r="BR178" s="743">
        <v>2.3559999999999999</v>
      </c>
      <c r="BS178" s="291">
        <f t="shared" si="99"/>
        <v>2.4610000000000003</v>
      </c>
      <c r="BT178" s="868">
        <v>10.582000000000001</v>
      </c>
      <c r="BU178" s="743">
        <v>4.165</v>
      </c>
      <c r="BV178" s="743">
        <v>3.0470000000000002</v>
      </c>
      <c r="BW178" s="743">
        <v>4.0890000000000004</v>
      </c>
      <c r="BX178" s="291">
        <f t="shared" si="100"/>
        <v>3.6579999999999995</v>
      </c>
      <c r="BY178" s="868">
        <v>14.959</v>
      </c>
      <c r="BZ178" s="743">
        <v>4.3250000000000002</v>
      </c>
      <c r="CA178" s="743">
        <v>3.6949999999999998</v>
      </c>
      <c r="CB178" s="743">
        <v>4.649</v>
      </c>
      <c r="CC178" s="291">
        <f t="shared" si="101"/>
        <v>4.0389999999999988</v>
      </c>
      <c r="CD178" s="868">
        <v>16.707999999999998</v>
      </c>
      <c r="CE178" s="743">
        <v>4.9550000000000001</v>
      </c>
      <c r="CF178" s="743">
        <v>4.7699999999999996</v>
      </c>
      <c r="CG178" s="743">
        <v>5</v>
      </c>
      <c r="CH178" s="743">
        <v>5</v>
      </c>
      <c r="CI178" s="774">
        <v>18</v>
      </c>
      <c r="CJ178" s="774">
        <v>19</v>
      </c>
      <c r="CK178" s="774">
        <v>20</v>
      </c>
      <c r="CL178" s="774">
        <v>21</v>
      </c>
      <c r="CM178" s="774">
        <v>22</v>
      </c>
      <c r="CN178" s="291"/>
      <c r="CO178" s="683"/>
      <c r="CP178" s="291"/>
      <c r="CQ178" s="694" t="s">
        <v>849</v>
      </c>
    </row>
    <row r="179" spans="2:95" ht="16.5" customHeight="1" x14ac:dyDescent="0.25">
      <c r="B179" t="s">
        <v>731</v>
      </c>
      <c r="C179" s="743"/>
      <c r="D179" s="743"/>
      <c r="E179" s="743"/>
      <c r="F179" s="743"/>
      <c r="G179" s="868">
        <v>11.314</v>
      </c>
      <c r="H179" s="743"/>
      <c r="I179" s="743"/>
      <c r="J179" s="743"/>
      <c r="K179" s="743"/>
      <c r="L179" s="868">
        <v>0</v>
      </c>
      <c r="M179" s="743"/>
      <c r="N179" s="743"/>
      <c r="O179" s="743"/>
      <c r="P179" s="743"/>
      <c r="Q179" s="868">
        <v>2.923</v>
      </c>
      <c r="R179" s="743"/>
      <c r="S179" s="743"/>
      <c r="T179" s="743"/>
      <c r="U179" s="743"/>
      <c r="V179" s="868">
        <v>-8.2159999999999993</v>
      </c>
      <c r="W179" s="743"/>
      <c r="X179" s="743"/>
      <c r="Y179" s="743"/>
      <c r="Z179" s="743"/>
      <c r="AA179" s="868">
        <v>5.0209999999999999</v>
      </c>
      <c r="AB179" s="743"/>
      <c r="AC179" s="743"/>
      <c r="AD179" s="743"/>
      <c r="AE179" s="743"/>
      <c r="AF179" s="868">
        <v>12.991</v>
      </c>
      <c r="AG179" s="743"/>
      <c r="AH179" s="743"/>
      <c r="AI179" s="743"/>
      <c r="AJ179" s="743"/>
      <c r="AK179" s="868">
        <v>4.2480000000000002</v>
      </c>
      <c r="AL179" s="743"/>
      <c r="AM179" s="291"/>
      <c r="AN179" s="291"/>
      <c r="AO179" s="291"/>
      <c r="AP179" s="868">
        <v>10.757999999999999</v>
      </c>
      <c r="AQ179" s="291"/>
      <c r="AR179" s="291"/>
      <c r="AS179" s="291"/>
      <c r="AT179" s="291"/>
      <c r="AU179" s="868">
        <v>30.613</v>
      </c>
      <c r="AV179" s="291"/>
      <c r="AW179" s="291"/>
      <c r="AX179" s="291"/>
      <c r="AY179" s="291"/>
      <c r="AZ179" s="868">
        <v>-4.5979999999999999</v>
      </c>
      <c r="BA179" s="291"/>
      <c r="BB179" s="291"/>
      <c r="BC179" s="291"/>
      <c r="BD179" s="291"/>
      <c r="BE179" s="868">
        <v>-40.844999999999999</v>
      </c>
      <c r="BF179" s="743">
        <v>-0.13900000000000001</v>
      </c>
      <c r="BG179" s="743">
        <v>-1.048</v>
      </c>
      <c r="BH179" s="743">
        <v>5.3479999999999999</v>
      </c>
      <c r="BI179" s="291"/>
      <c r="BJ179" s="868">
        <v>8.1620000000000008</v>
      </c>
      <c r="BK179" s="743">
        <v>7.8949999999999996</v>
      </c>
      <c r="BL179" s="743">
        <v>-3.0609999999999999</v>
      </c>
      <c r="BM179" s="743">
        <v>2.81</v>
      </c>
      <c r="BN179" s="291">
        <f t="shared" si="98"/>
        <v>4.0950000000000006</v>
      </c>
      <c r="BO179" s="868">
        <v>11.739000000000001</v>
      </c>
      <c r="BP179" s="743">
        <v>-1.3420000000000001</v>
      </c>
      <c r="BQ179" s="743">
        <v>-8.6280000000000001</v>
      </c>
      <c r="BR179" s="743">
        <v>-16.71</v>
      </c>
      <c r="BS179" s="291">
        <f t="shared" si="99"/>
        <v>-8.3170000000000002</v>
      </c>
      <c r="BT179" s="868">
        <v>-34.997</v>
      </c>
      <c r="BU179" s="743">
        <v>-4.5469999999999997</v>
      </c>
      <c r="BV179" s="743">
        <v>-13.257999999999999</v>
      </c>
      <c r="BW179" s="743">
        <v>-8.6780000000000008</v>
      </c>
      <c r="BX179" s="291">
        <f t="shared" si="100"/>
        <v>-3.1679999999999993</v>
      </c>
      <c r="BY179" s="868">
        <v>-29.651</v>
      </c>
      <c r="BZ179" s="743">
        <v>-3.577</v>
      </c>
      <c r="CA179" s="743">
        <v>-8.6750000000000007</v>
      </c>
      <c r="CB179" s="743">
        <v>-6.3929999999999998</v>
      </c>
      <c r="CC179" s="291">
        <f t="shared" si="101"/>
        <v>12.100000000000001</v>
      </c>
      <c r="CD179" s="868">
        <v>-6.5449999999999999</v>
      </c>
      <c r="CE179" s="743">
        <v>15.602</v>
      </c>
      <c r="CF179" s="743">
        <v>12.005000000000001</v>
      </c>
      <c r="CG179" s="743">
        <v>-2</v>
      </c>
      <c r="CH179" s="743">
        <v>-2</v>
      </c>
      <c r="CI179" s="774">
        <v>-5</v>
      </c>
      <c r="CJ179" s="774">
        <v>-5</v>
      </c>
      <c r="CK179" s="774">
        <v>-5</v>
      </c>
      <c r="CL179" s="774">
        <v>-5</v>
      </c>
      <c r="CM179" s="774">
        <v>-5</v>
      </c>
      <c r="CN179" s="291"/>
      <c r="CO179" s="683"/>
      <c r="CP179" s="291"/>
      <c r="CQ179" s="693"/>
    </row>
    <row r="180" spans="2:95" ht="16.5" customHeight="1" x14ac:dyDescent="0.25">
      <c r="B180" t="s">
        <v>732</v>
      </c>
      <c r="C180" s="743"/>
      <c r="D180" s="743"/>
      <c r="E180" s="743"/>
      <c r="F180" s="743"/>
      <c r="G180" s="868">
        <v>-70.075999999999993</v>
      </c>
      <c r="H180" s="743"/>
      <c r="I180" s="743"/>
      <c r="J180" s="743"/>
      <c r="K180" s="743"/>
      <c r="L180" s="868">
        <v>0</v>
      </c>
      <c r="M180" s="743"/>
      <c r="N180" s="743"/>
      <c r="O180" s="743"/>
      <c r="P180" s="743"/>
      <c r="Q180" s="868">
        <v>0</v>
      </c>
      <c r="R180" s="743"/>
      <c r="S180" s="743"/>
      <c r="T180" s="743"/>
      <c r="U180" s="743"/>
      <c r="V180" s="868">
        <v>-58.368000000000002</v>
      </c>
      <c r="W180" s="743"/>
      <c r="X180" s="743"/>
      <c r="Y180" s="743"/>
      <c r="Z180" s="743"/>
      <c r="AA180" s="868">
        <v>23.707000000000001</v>
      </c>
      <c r="AB180" s="743"/>
      <c r="AC180" s="743"/>
      <c r="AD180" s="743"/>
      <c r="AE180" s="743"/>
      <c r="AF180" s="868">
        <v>60.616</v>
      </c>
      <c r="AG180" s="743"/>
      <c r="AH180" s="743"/>
      <c r="AI180" s="743"/>
      <c r="AJ180" s="743"/>
      <c r="AK180" s="868">
        <v>23.707000000000001</v>
      </c>
      <c r="AL180" s="743"/>
      <c r="AM180" s="291"/>
      <c r="AN180" s="291"/>
      <c r="AO180" s="291"/>
      <c r="AP180" s="868">
        <v>0</v>
      </c>
      <c r="AQ180" s="291"/>
      <c r="AR180" s="291"/>
      <c r="AS180" s="291"/>
      <c r="AT180" s="291"/>
      <c r="AU180" s="868">
        <v>1.6719999999999999</v>
      </c>
      <c r="AV180" s="291"/>
      <c r="AW180" s="291"/>
      <c r="AX180" s="291"/>
      <c r="AY180" s="291"/>
      <c r="AZ180" s="868">
        <v>-79.887</v>
      </c>
      <c r="BA180" s="291"/>
      <c r="BB180" s="291"/>
      <c r="BC180" s="291"/>
      <c r="BD180" s="291"/>
      <c r="BE180" s="868">
        <v>111.52500000000001</v>
      </c>
      <c r="BF180" s="743">
        <v>3.6640000000000001</v>
      </c>
      <c r="BG180" s="743">
        <v>-51.360999999999997</v>
      </c>
      <c r="BH180" s="743">
        <v>26.367999999999999</v>
      </c>
      <c r="BI180" s="291"/>
      <c r="BJ180" s="868">
        <v>-73.459000000000003</v>
      </c>
      <c r="BK180" s="743">
        <v>38.941000000000003</v>
      </c>
      <c r="BL180" s="743">
        <v>-43.164000000000001</v>
      </c>
      <c r="BM180" s="743">
        <v>-54.445</v>
      </c>
      <c r="BN180" s="291">
        <f t="shared" si="98"/>
        <v>-28.199000000000005</v>
      </c>
      <c r="BO180" s="868">
        <v>-86.867000000000004</v>
      </c>
      <c r="BP180" s="743">
        <v>-53.957000000000001</v>
      </c>
      <c r="BQ180" s="743">
        <v>-22.719000000000001</v>
      </c>
      <c r="BR180" s="743">
        <v>-86.582999999999998</v>
      </c>
      <c r="BS180" s="291">
        <f t="shared" si="99"/>
        <v>58.561000000000007</v>
      </c>
      <c r="BT180" s="868">
        <v>-104.69799999999999</v>
      </c>
      <c r="BU180" s="743">
        <v>58.887</v>
      </c>
      <c r="BV180" s="743">
        <v>-41.417999999999999</v>
      </c>
      <c r="BW180" s="743">
        <v>-36.146000000000001</v>
      </c>
      <c r="BX180" s="291">
        <f t="shared" si="100"/>
        <v>4.1649999999999991</v>
      </c>
      <c r="BY180" s="868">
        <v>-14.512</v>
      </c>
      <c r="BZ180" s="743">
        <v>-63.036999999999999</v>
      </c>
      <c r="CA180" s="743">
        <v>-60.518000000000001</v>
      </c>
      <c r="CB180" s="743">
        <v>18.209</v>
      </c>
      <c r="CC180" s="291">
        <f t="shared" si="101"/>
        <v>-46.311999999999983</v>
      </c>
      <c r="CD180" s="868">
        <v>-151.65799999999999</v>
      </c>
      <c r="CE180" s="743">
        <v>-106.69499999999999</v>
      </c>
      <c r="CF180" s="743">
        <v>-80.242999999999995</v>
      </c>
      <c r="CG180" s="291">
        <f>-(CG227-CF227)</f>
        <v>-33.826286521802103</v>
      </c>
      <c r="CH180" s="291">
        <f>-(CH227-CG227)</f>
        <v>157.5056859662468</v>
      </c>
      <c r="CI180" s="749">
        <f>-(CI227-CD227)</f>
        <v>-92.644035616438487</v>
      </c>
      <c r="CJ180" s="749">
        <f t="shared" ref="CJ180:CM181" si="105">-(CJ227-CI227)</f>
        <v>-71.591306761643864</v>
      </c>
      <c r="CK180" s="749">
        <f t="shared" si="105"/>
        <v>-72.375382451506766</v>
      </c>
      <c r="CL180" s="749">
        <f t="shared" si="105"/>
        <v>-96.442262279874285</v>
      </c>
      <c r="CM180" s="749">
        <f t="shared" si="105"/>
        <v>-98.043422408973129</v>
      </c>
      <c r="CN180" s="291"/>
      <c r="CO180" s="683"/>
      <c r="CP180" s="291"/>
      <c r="CQ180" s="694" t="s">
        <v>850</v>
      </c>
    </row>
    <row r="181" spans="2:95" ht="16.5" customHeight="1" x14ac:dyDescent="0.25">
      <c r="B181" t="s">
        <v>733</v>
      </c>
      <c r="C181" s="743"/>
      <c r="D181" s="743"/>
      <c r="E181" s="743"/>
      <c r="F181" s="743"/>
      <c r="G181" s="868">
        <v>10.220000000000001</v>
      </c>
      <c r="H181" s="743"/>
      <c r="I181" s="743"/>
      <c r="J181" s="743"/>
      <c r="K181" s="743"/>
      <c r="L181" s="868">
        <v>0</v>
      </c>
      <c r="M181" s="743"/>
      <c r="N181" s="743"/>
      <c r="O181" s="743"/>
      <c r="P181" s="743"/>
      <c r="Q181" s="868">
        <v>10.220000000000001</v>
      </c>
      <c r="R181" s="743"/>
      <c r="S181" s="743"/>
      <c r="T181" s="743"/>
      <c r="U181" s="743"/>
      <c r="V181" s="868">
        <v>-6.8710000000000004</v>
      </c>
      <c r="W181" s="743"/>
      <c r="X181" s="743"/>
      <c r="Y181" s="743"/>
      <c r="Z181" s="743"/>
      <c r="AA181" s="868">
        <v>23.666</v>
      </c>
      <c r="AB181" s="743"/>
      <c r="AC181" s="743"/>
      <c r="AD181" s="743"/>
      <c r="AE181" s="743"/>
      <c r="AF181" s="868">
        <v>3.8210000000000002</v>
      </c>
      <c r="AG181" s="743"/>
      <c r="AH181" s="743"/>
      <c r="AI181" s="743"/>
      <c r="AJ181" s="743"/>
      <c r="AK181" s="868">
        <v>0</v>
      </c>
      <c r="AL181" s="743"/>
      <c r="AM181" s="291"/>
      <c r="AN181" s="291"/>
      <c r="AO181" s="291"/>
      <c r="AP181" s="868">
        <v>-5.9989999999999997</v>
      </c>
      <c r="AQ181" s="291"/>
      <c r="AR181" s="291"/>
      <c r="AS181" s="291"/>
      <c r="AT181" s="291"/>
      <c r="AU181" s="868">
        <v>-32.451000000000001</v>
      </c>
      <c r="AV181" s="291"/>
      <c r="AW181" s="291"/>
      <c r="AX181" s="291"/>
      <c r="AY181" s="291"/>
      <c r="AZ181" s="868">
        <v>-96.652000000000001</v>
      </c>
      <c r="BA181" s="291"/>
      <c r="BB181" s="291"/>
      <c r="BC181" s="291"/>
      <c r="BD181" s="291"/>
      <c r="BE181" s="868">
        <v>-99.015000000000001</v>
      </c>
      <c r="BF181" s="743">
        <v>-4.0579999999999998</v>
      </c>
      <c r="BG181" s="743">
        <v>13.359</v>
      </c>
      <c r="BH181" s="743">
        <v>0.20799999999999999</v>
      </c>
      <c r="BI181" s="291"/>
      <c r="BJ181" s="868">
        <v>19.576000000000001</v>
      </c>
      <c r="BK181" s="743">
        <v>7.1790000000000003</v>
      </c>
      <c r="BL181" s="743">
        <v>-0.22800000000000001</v>
      </c>
      <c r="BM181" s="743">
        <v>-13.728999999999999</v>
      </c>
      <c r="BN181" s="291">
        <f t="shared" si="98"/>
        <v>-21.899000000000001</v>
      </c>
      <c r="BO181" s="868">
        <v>-28.677</v>
      </c>
      <c r="BP181" s="743">
        <v>-44.435000000000002</v>
      </c>
      <c r="BQ181" s="743">
        <v>-27.911000000000001</v>
      </c>
      <c r="BR181" s="743">
        <v>-30.436</v>
      </c>
      <c r="BS181" s="291">
        <f t="shared" si="99"/>
        <v>-24.659999999999989</v>
      </c>
      <c r="BT181" s="868">
        <v>-127.44199999999999</v>
      </c>
      <c r="BU181" s="743">
        <v>-46.851999999999997</v>
      </c>
      <c r="BV181" s="743">
        <v>-30.544</v>
      </c>
      <c r="BW181" s="743">
        <v>-28.233000000000001</v>
      </c>
      <c r="BX181" s="291">
        <f t="shared" si="100"/>
        <v>-25.701000000000011</v>
      </c>
      <c r="BY181" s="868">
        <v>-131.33000000000001</v>
      </c>
      <c r="BZ181" s="743">
        <v>-48.710999999999999</v>
      </c>
      <c r="CA181" s="743">
        <v>-5.4980000000000002</v>
      </c>
      <c r="CB181" s="743">
        <v>-9.8859999999999992</v>
      </c>
      <c r="CC181" s="291">
        <f t="shared" si="101"/>
        <v>12.323</v>
      </c>
      <c r="CD181" s="868">
        <v>-51.771999999999998</v>
      </c>
      <c r="CE181" s="743">
        <v>7.0949999999999998</v>
      </c>
      <c r="CF181" s="743">
        <v>-21.606000000000002</v>
      </c>
      <c r="CG181" s="291">
        <f>-(CG228-CF228)</f>
        <v>-0.10315034222196573</v>
      </c>
      <c r="CH181" s="291">
        <f>-(CH228-CG228)</f>
        <v>-24.656673589590582</v>
      </c>
      <c r="CI181" s="749">
        <f>-(CI228-CD228)</f>
        <v>-70.034368350684758</v>
      </c>
      <c r="CJ181" s="749">
        <f t="shared" si="105"/>
        <v>-54.749283676438608</v>
      </c>
      <c r="CK181" s="749">
        <f t="shared" si="105"/>
        <v>-17.203162601884742</v>
      </c>
      <c r="CL181" s="749">
        <f t="shared" si="105"/>
        <v>-9.7875978326101176</v>
      </c>
      <c r="CM181" s="749">
        <f t="shared" si="105"/>
        <v>-57.950006625700553</v>
      </c>
      <c r="CN181" s="291"/>
      <c r="CO181" s="683"/>
      <c r="CP181" s="291"/>
      <c r="CQ181" s="694" t="s">
        <v>851</v>
      </c>
    </row>
    <row r="182" spans="2:95" ht="16.5" customHeight="1" x14ac:dyDescent="0.25">
      <c r="B182" t="s">
        <v>734</v>
      </c>
      <c r="C182" s="743"/>
      <c r="D182" s="743"/>
      <c r="E182" s="743"/>
      <c r="F182" s="743"/>
      <c r="G182" s="868">
        <v>28.945</v>
      </c>
      <c r="H182" s="743"/>
      <c r="I182" s="743"/>
      <c r="J182" s="743"/>
      <c r="K182" s="743"/>
      <c r="L182" s="868">
        <v>0</v>
      </c>
      <c r="M182" s="743"/>
      <c r="N182" s="743"/>
      <c r="O182" s="743"/>
      <c r="P182" s="743"/>
      <c r="Q182" s="868">
        <v>9.2989999999999995</v>
      </c>
      <c r="R182" s="743"/>
      <c r="S182" s="743"/>
      <c r="T182" s="743"/>
      <c r="U182" s="743"/>
      <c r="V182" s="868">
        <v>10.542999999999999</v>
      </c>
      <c r="W182" s="743"/>
      <c r="X182" s="743"/>
      <c r="Y182" s="743"/>
      <c r="Z182" s="743"/>
      <c r="AA182" s="868">
        <v>-17.783000000000001</v>
      </c>
      <c r="AB182" s="743"/>
      <c r="AC182" s="743"/>
      <c r="AD182" s="743"/>
      <c r="AE182" s="743"/>
      <c r="AF182" s="868">
        <v>8.1069999999999993</v>
      </c>
      <c r="AG182" s="743"/>
      <c r="AH182" s="743"/>
      <c r="AI182" s="743"/>
      <c r="AJ182" s="743"/>
      <c r="AK182" s="868">
        <v>-17.783000000000001</v>
      </c>
      <c r="AL182" s="743"/>
      <c r="AM182" s="291"/>
      <c r="AN182" s="291"/>
      <c r="AO182" s="291"/>
      <c r="AP182" s="868">
        <v>25.74</v>
      </c>
      <c r="AQ182" s="291"/>
      <c r="AR182" s="291"/>
      <c r="AS182" s="291"/>
      <c r="AT182" s="291"/>
      <c r="AU182" s="868">
        <v>39.44</v>
      </c>
      <c r="AV182" s="291"/>
      <c r="AW182" s="291"/>
      <c r="AX182" s="291"/>
      <c r="AY182" s="291"/>
      <c r="AZ182" s="868">
        <v>52.499000000000002</v>
      </c>
      <c r="BA182" s="291"/>
      <c r="BB182" s="291"/>
      <c r="BC182" s="291"/>
      <c r="BD182" s="291"/>
      <c r="BE182" s="868">
        <v>-84.064999999999998</v>
      </c>
      <c r="BF182" s="743">
        <v>-7.51</v>
      </c>
      <c r="BG182" s="743">
        <v>2.4220000000000002</v>
      </c>
      <c r="BH182" s="743">
        <v>-12.442</v>
      </c>
      <c r="BI182" s="291"/>
      <c r="BJ182" s="868">
        <v>20.52</v>
      </c>
      <c r="BK182" s="743">
        <v>-20.832999999999998</v>
      </c>
      <c r="BL182" s="743">
        <v>45.220999999999997</v>
      </c>
      <c r="BM182" s="743">
        <v>2.7959999999999998</v>
      </c>
      <c r="BN182" s="291">
        <f t="shared" si="98"/>
        <v>16.164999999999992</v>
      </c>
      <c r="BO182" s="868">
        <v>43.348999999999997</v>
      </c>
      <c r="BP182" s="743">
        <v>-9.6790000000000003</v>
      </c>
      <c r="BQ182" s="743">
        <v>11.65</v>
      </c>
      <c r="BR182" s="743">
        <v>6.5430000000000001</v>
      </c>
      <c r="BS182" s="291">
        <f t="shared" si="99"/>
        <v>20.127000000000002</v>
      </c>
      <c r="BT182" s="868">
        <v>28.640999999999998</v>
      </c>
      <c r="BU182" s="743">
        <v>-5.7519999999999998</v>
      </c>
      <c r="BV182" s="743">
        <v>7.5990000000000002</v>
      </c>
      <c r="BW182" s="743">
        <v>-0.92900000000000005</v>
      </c>
      <c r="BX182" s="291">
        <f t="shared" si="100"/>
        <v>25.527999999999999</v>
      </c>
      <c r="BY182" s="868">
        <v>26.446000000000002</v>
      </c>
      <c r="BZ182" s="743">
        <v>-22.972999999999999</v>
      </c>
      <c r="CA182" s="743">
        <v>24.948</v>
      </c>
      <c r="CB182" s="743">
        <v>-5.2759999999999998</v>
      </c>
      <c r="CC182" s="291">
        <f t="shared" si="101"/>
        <v>28.011999999999997</v>
      </c>
      <c r="CD182" s="868">
        <v>24.710999999999999</v>
      </c>
      <c r="CE182" s="743">
        <v>-26.582999999999998</v>
      </c>
      <c r="CF182" s="743">
        <v>34.064</v>
      </c>
      <c r="CG182" s="291">
        <f>CG243-CF243</f>
        <v>3.6318771842161368E-2</v>
      </c>
      <c r="CH182" s="291">
        <f>CH243-CG243</f>
        <v>7.085807563237438</v>
      </c>
      <c r="CI182" s="749">
        <f>CI243-CD243</f>
        <v>26.536385490410908</v>
      </c>
      <c r="CJ182" s="749">
        <f>CJ243-CI243</f>
        <v>16.482710866849402</v>
      </c>
      <c r="CK182" s="749">
        <f>CK243-CJ243</f>
        <v>22.683927144197241</v>
      </c>
      <c r="CL182" s="749">
        <f>CL243-CK243</f>
        <v>22.019324102968426</v>
      </c>
      <c r="CM182" s="749">
        <f>CM243-CL243</f>
        <v>22.076193000266926</v>
      </c>
      <c r="CN182" s="291"/>
      <c r="CO182" s="683"/>
      <c r="CP182" s="291"/>
      <c r="CQ182" s="693"/>
    </row>
    <row r="183" spans="2:95" ht="16.5" customHeight="1" x14ac:dyDescent="0.25">
      <c r="B183" t="s">
        <v>735</v>
      </c>
      <c r="C183" s="743"/>
      <c r="D183" s="743"/>
      <c r="E183" s="743"/>
      <c r="F183" s="743"/>
      <c r="G183" s="868">
        <v>-42.610999999999997</v>
      </c>
      <c r="H183" s="743"/>
      <c r="I183" s="743"/>
      <c r="J183" s="743"/>
      <c r="K183" s="743"/>
      <c r="L183" s="868">
        <v>22.300999999999998</v>
      </c>
      <c r="M183" s="743"/>
      <c r="N183" s="743"/>
      <c r="O183" s="743"/>
      <c r="P183" s="743"/>
      <c r="Q183" s="868">
        <v>38.630000000000003</v>
      </c>
      <c r="R183" s="743"/>
      <c r="S183" s="743"/>
      <c r="T183" s="743"/>
      <c r="U183" s="743"/>
      <c r="V183" s="868">
        <v>41.664000000000001</v>
      </c>
      <c r="W183" s="743"/>
      <c r="X183" s="743"/>
      <c r="Y183" s="743"/>
      <c r="Z183" s="743"/>
      <c r="AA183" s="868">
        <v>-37.654000000000003</v>
      </c>
      <c r="AB183" s="743"/>
      <c r="AC183" s="743"/>
      <c r="AD183" s="743"/>
      <c r="AE183" s="743"/>
      <c r="AF183" s="868">
        <v>7.3230000000000004</v>
      </c>
      <c r="AG183" s="743"/>
      <c r="AH183" s="743"/>
      <c r="AI183" s="743"/>
      <c r="AJ183" s="743"/>
      <c r="AK183" s="868">
        <v>0</v>
      </c>
      <c r="AL183" s="743"/>
      <c r="AM183" s="291"/>
      <c r="AN183" s="291"/>
      <c r="AO183" s="291"/>
      <c r="AP183" s="868">
        <v>5.2320000000000002</v>
      </c>
      <c r="AQ183" s="291"/>
      <c r="AR183" s="291"/>
      <c r="AS183" s="291"/>
      <c r="AT183" s="291"/>
      <c r="AU183" s="868">
        <v>-118.80500000000001</v>
      </c>
      <c r="AV183" s="291"/>
      <c r="AW183" s="291"/>
      <c r="AX183" s="291"/>
      <c r="AY183" s="291"/>
      <c r="AZ183" s="868">
        <v>41.673000000000002</v>
      </c>
      <c r="BA183" s="291"/>
      <c r="BB183" s="291"/>
      <c r="BC183" s="291"/>
      <c r="BD183" s="291"/>
      <c r="BE183" s="864">
        <f>65.68-3.516-17.964+33.305</f>
        <v>77.50500000000001</v>
      </c>
      <c r="BF183" s="743">
        <v>45.531999999999996</v>
      </c>
      <c r="BG183" s="743">
        <v>16.709</v>
      </c>
      <c r="BH183" s="743">
        <v>10.452</v>
      </c>
      <c r="BI183" s="291"/>
      <c r="BJ183" s="868">
        <v>66.241</v>
      </c>
      <c r="BK183" s="743">
        <v>83.807000000000002</v>
      </c>
      <c r="BL183" s="743">
        <v>-43.521999999999998</v>
      </c>
      <c r="BM183" s="743">
        <v>-20.792000000000002</v>
      </c>
      <c r="BN183" s="291">
        <f t="shared" si="98"/>
        <v>21.228999999999999</v>
      </c>
      <c r="BO183" s="868">
        <v>40.722000000000001</v>
      </c>
      <c r="BP183" s="743">
        <v>50.335000000000001</v>
      </c>
      <c r="BQ183" s="743">
        <v>-54.332999999999998</v>
      </c>
      <c r="BR183" s="743">
        <v>60.615000000000002</v>
      </c>
      <c r="BS183" s="291">
        <f t="shared" si="99"/>
        <v>3.289999999999992</v>
      </c>
      <c r="BT183" s="868">
        <v>59.906999999999996</v>
      </c>
      <c r="BU183" s="743">
        <v>44.680999999999997</v>
      </c>
      <c r="BV183" s="743">
        <v>-8.4329999999999998</v>
      </c>
      <c r="BW183" s="743">
        <v>-16.37</v>
      </c>
      <c r="BX183" s="291">
        <f t="shared" si="100"/>
        <v>-39.192999999999998</v>
      </c>
      <c r="BY183" s="868">
        <v>-19.315000000000001</v>
      </c>
      <c r="BZ183" s="743">
        <v>-40.384</v>
      </c>
      <c r="CA183" s="743">
        <v>-5.6040000000000001</v>
      </c>
      <c r="CB183" s="743">
        <v>25.472000000000001</v>
      </c>
      <c r="CC183" s="291">
        <f t="shared" si="101"/>
        <v>85.641999999999996</v>
      </c>
      <c r="CD183" s="868">
        <v>65.126000000000005</v>
      </c>
      <c r="CE183" s="743">
        <v>-45.808</v>
      </c>
      <c r="CF183" s="743">
        <v>71.164000000000001</v>
      </c>
      <c r="CG183" s="291">
        <f>(CG244-CF244)+(CG245-CF245)+(CG246-CF246)</f>
        <v>19.578717960515291</v>
      </c>
      <c r="CH183" s="291">
        <f>(CH244-CG244)+(CH245-CG245)+(CH246-CG246)</f>
        <v>-32.1453422182108</v>
      </c>
      <c r="CI183" s="749">
        <f>(CI244-CD244)+(CI245-CD245)+(CI246-CD246)</f>
        <v>83.698967710556758</v>
      </c>
      <c r="CJ183" s="749">
        <f>(CJ244-CI244)+(CJ245-CI245)+(CJ246-CI246)</f>
        <v>71.939058884701524</v>
      </c>
      <c r="CK183" s="749">
        <f>(CK244-CJ244)+(CK245-CJ245)+(CK246-CJ246)</f>
        <v>67.068074195130279</v>
      </c>
      <c r="CL183" s="749">
        <f>(CL244-CK244)+(CL245-CK245)+(CL246-CK246)</f>
        <v>66.238856033356853</v>
      </c>
      <c r="CM183" s="749">
        <f>(CM244-CL244)+(CM245-CL245)+(CM246-CL246)</f>
        <v>67.338571166230764</v>
      </c>
      <c r="CN183" s="291"/>
      <c r="CO183" s="683"/>
      <c r="CP183" s="291"/>
      <c r="CQ183" s="694" t="s">
        <v>852</v>
      </c>
    </row>
    <row r="184" spans="2:95" ht="16.5" customHeight="1" x14ac:dyDescent="0.25">
      <c r="B184" t="s">
        <v>736</v>
      </c>
      <c r="C184" s="743"/>
      <c r="D184" s="743"/>
      <c r="E184" s="743"/>
      <c r="F184" s="743"/>
      <c r="G184" s="868">
        <v>-3.1280000000000001</v>
      </c>
      <c r="H184" s="743"/>
      <c r="I184" s="743"/>
      <c r="J184" s="743"/>
      <c r="K184" s="743"/>
      <c r="L184" s="868">
        <v>0</v>
      </c>
      <c r="M184" s="743"/>
      <c r="N184" s="743"/>
      <c r="O184" s="743"/>
      <c r="P184" s="743"/>
      <c r="Q184" s="868">
        <v>0</v>
      </c>
      <c r="R184" s="743"/>
      <c r="S184" s="743"/>
      <c r="T184" s="743"/>
      <c r="U184" s="743"/>
      <c r="V184" s="868">
        <v>-8.4849999999999994</v>
      </c>
      <c r="W184" s="743"/>
      <c r="X184" s="743"/>
      <c r="Y184" s="743"/>
      <c r="Z184" s="743"/>
      <c r="AA184" s="868">
        <v>-7.4589999999999996</v>
      </c>
      <c r="AB184" s="743"/>
      <c r="AC184" s="743"/>
      <c r="AD184" s="743"/>
      <c r="AE184" s="743"/>
      <c r="AF184" s="868">
        <v>8.0660000000000007</v>
      </c>
      <c r="AG184" s="743"/>
      <c r="AH184" s="743"/>
      <c r="AI184" s="743"/>
      <c r="AJ184" s="743"/>
      <c r="AK184" s="868">
        <v>3.0859999999999999</v>
      </c>
      <c r="AL184" s="743"/>
      <c r="AM184" s="291"/>
      <c r="AN184" s="291"/>
      <c r="AO184" s="291"/>
      <c r="AP184" s="868">
        <v>2.65</v>
      </c>
      <c r="AQ184" s="291"/>
      <c r="AR184" s="291"/>
      <c r="AS184" s="291"/>
      <c r="AT184" s="291"/>
      <c r="AU184" s="868">
        <v>25.771999999999998</v>
      </c>
      <c r="AV184" s="291"/>
      <c r="AW184" s="291"/>
      <c r="AX184" s="291"/>
      <c r="AY184" s="291"/>
      <c r="AZ184" s="868">
        <v>-2.1230000000000002</v>
      </c>
      <c r="BA184" s="291"/>
      <c r="BB184" s="291"/>
      <c r="BC184" s="291"/>
      <c r="BD184" s="291"/>
      <c r="BE184" s="868">
        <v>20.727</v>
      </c>
      <c r="BF184" s="743">
        <v>-11.792</v>
      </c>
      <c r="BG184" s="743">
        <v>-4.359</v>
      </c>
      <c r="BH184" s="743">
        <v>-2.25</v>
      </c>
      <c r="BI184" s="291"/>
      <c r="BJ184" s="868">
        <v>-17.402000000000001</v>
      </c>
      <c r="BK184" s="743">
        <v>-21.972999999999999</v>
      </c>
      <c r="BL184" s="743">
        <v>-8.9600000000000009</v>
      </c>
      <c r="BM184" s="743">
        <v>6.008</v>
      </c>
      <c r="BN184" s="291">
        <f t="shared" si="98"/>
        <v>-1.8200000000000012</v>
      </c>
      <c r="BO184" s="868">
        <v>-26.745000000000001</v>
      </c>
      <c r="BP184" s="743">
        <v>1.157</v>
      </c>
      <c r="BQ184" s="743">
        <v>-12.22</v>
      </c>
      <c r="BR184" s="743">
        <v>8.6080000000000005</v>
      </c>
      <c r="BS184" s="291">
        <f t="shared" si="99"/>
        <v>3.0839999999999996</v>
      </c>
      <c r="BT184" s="868">
        <v>0.629</v>
      </c>
      <c r="BU184" s="743">
        <v>-11.114000000000001</v>
      </c>
      <c r="BV184" s="743">
        <v>-24.081</v>
      </c>
      <c r="BW184" s="743">
        <v>-0.78300000000000003</v>
      </c>
      <c r="BX184" s="291">
        <f t="shared" si="100"/>
        <v>36.158999999999999</v>
      </c>
      <c r="BY184" s="868">
        <v>0.18099999999999999</v>
      </c>
      <c r="BZ184" s="743">
        <v>-10.031000000000001</v>
      </c>
      <c r="CA184" s="743">
        <v>-5.1559999999999997</v>
      </c>
      <c r="CB184" s="743">
        <v>6.2460000000000004</v>
      </c>
      <c r="CC184" s="291">
        <f t="shared" si="101"/>
        <v>10.226999999999999</v>
      </c>
      <c r="CD184" s="868">
        <v>1.286</v>
      </c>
      <c r="CE184" s="743">
        <v>0</v>
      </c>
      <c r="CF184" s="743">
        <v>0</v>
      </c>
      <c r="CG184" s="291">
        <f>-(CG229-CF229)</f>
        <v>-2.4728173813890066</v>
      </c>
      <c r="CH184" s="291">
        <f>-(CH229-CG229)</f>
        <v>4.0599982658822427</v>
      </c>
      <c r="CI184" s="749">
        <f>-(CI229-CD229)</f>
        <v>-14.909379089753259</v>
      </c>
      <c r="CJ184" s="749">
        <f>-(CJ229-CI229)</f>
        <v>-12.814575013412309</v>
      </c>
      <c r="CK184" s="749">
        <f>-(CK229-CJ229)</f>
        <v>-11.946901740208489</v>
      </c>
      <c r="CL184" s="749">
        <f>-(CL229-CK229)</f>
        <v>-11.799192296948178</v>
      </c>
      <c r="CM184" s="749">
        <f>-(CM229-CL229)</f>
        <v>-11.995085630584668</v>
      </c>
      <c r="CN184" s="291"/>
      <c r="CO184" s="683"/>
      <c r="CP184" s="291"/>
      <c r="CQ184" s="693"/>
    </row>
    <row r="185" spans="2:95" ht="16.5" customHeight="1" x14ac:dyDescent="0.25">
      <c r="B185" t="s">
        <v>737</v>
      </c>
      <c r="C185" s="833"/>
      <c r="D185" s="833"/>
      <c r="E185" s="833"/>
      <c r="F185" s="833"/>
      <c r="G185" s="884">
        <v>55.837000000000003</v>
      </c>
      <c r="H185" s="833"/>
      <c r="I185" s="833"/>
      <c r="J185" s="833"/>
      <c r="K185" s="833"/>
      <c r="L185" s="884">
        <v>80.343999999999994</v>
      </c>
      <c r="M185" s="833"/>
      <c r="N185" s="833"/>
      <c r="O185" s="833"/>
      <c r="P185" s="833"/>
      <c r="Q185" s="884">
        <v>72.117999999999995</v>
      </c>
      <c r="R185" s="833"/>
      <c r="S185" s="833"/>
      <c r="T185" s="833"/>
      <c r="U185" s="833"/>
      <c r="V185" s="884">
        <v>45.82</v>
      </c>
      <c r="W185" s="833"/>
      <c r="X185" s="833"/>
      <c r="Y185" s="833"/>
      <c r="Z185" s="833"/>
      <c r="AA185" s="884">
        <v>25.54</v>
      </c>
      <c r="AB185" s="833"/>
      <c r="AC185" s="833"/>
      <c r="AD185" s="833"/>
      <c r="AE185" s="833"/>
      <c r="AF185" s="884">
        <v>7.8259999999999996</v>
      </c>
      <c r="AG185" s="833"/>
      <c r="AH185" s="833"/>
      <c r="AI185" s="833"/>
      <c r="AJ185" s="833"/>
      <c r="AK185" s="884">
        <v>13.44</v>
      </c>
      <c r="AL185" s="833"/>
      <c r="AM185" s="834"/>
      <c r="AN185" s="834"/>
      <c r="AO185" s="834"/>
      <c r="AP185" s="884">
        <v>17.898</v>
      </c>
      <c r="AQ185" s="834"/>
      <c r="AR185" s="834"/>
      <c r="AS185" s="834"/>
      <c r="AT185" s="834"/>
      <c r="AU185" s="884">
        <v>34.454999999999998</v>
      </c>
      <c r="AV185" s="834"/>
      <c r="AW185" s="834"/>
      <c r="AX185" s="834"/>
      <c r="AY185" s="834"/>
      <c r="AZ185" s="884">
        <v>4.2389999999999999</v>
      </c>
      <c r="BA185" s="834"/>
      <c r="BB185" s="834"/>
      <c r="BC185" s="834"/>
      <c r="BD185" s="834"/>
      <c r="BE185" s="885">
        <f>0+60.547+121.324+9.636</f>
        <v>191.50699999999998</v>
      </c>
      <c r="BF185" s="833">
        <v>6.5659999999999998</v>
      </c>
      <c r="BG185" s="833">
        <v>-5.835</v>
      </c>
      <c r="BH185" s="833">
        <v>4.8680000000000003</v>
      </c>
      <c r="BI185" s="834"/>
      <c r="BJ185" s="884">
        <v>14.747999999999999</v>
      </c>
      <c r="BK185" s="833">
        <v>5.2</v>
      </c>
      <c r="BL185" s="833">
        <v>8.7140000000000004</v>
      </c>
      <c r="BM185" s="833">
        <v>7.7249999999999996</v>
      </c>
      <c r="BN185" s="834">
        <f t="shared" si="98"/>
        <v>19.193999999999996</v>
      </c>
      <c r="BO185" s="884">
        <v>40.832999999999998</v>
      </c>
      <c r="BP185" s="833">
        <v>-4.37</v>
      </c>
      <c r="BQ185" s="833">
        <v>5.97</v>
      </c>
      <c r="BR185" s="833">
        <v>6.306</v>
      </c>
      <c r="BS185" s="834">
        <f t="shared" si="99"/>
        <v>34.663000000000004</v>
      </c>
      <c r="BT185" s="884">
        <v>42.569000000000003</v>
      </c>
      <c r="BU185" s="833">
        <v>0.47899999999999998</v>
      </c>
      <c r="BV185" s="833">
        <v>14.34</v>
      </c>
      <c r="BW185" s="833">
        <v>7.9749999999999996</v>
      </c>
      <c r="BX185" s="834">
        <f t="shared" si="100"/>
        <v>23.477000000000004</v>
      </c>
      <c r="BY185" s="884">
        <v>46.271000000000001</v>
      </c>
      <c r="BZ185" s="833">
        <v>4.2629999999999999</v>
      </c>
      <c r="CA185" s="833">
        <v>11.72</v>
      </c>
      <c r="CB185" s="833">
        <v>14.967000000000001</v>
      </c>
      <c r="CC185" s="834">
        <f t="shared" si="101"/>
        <v>5.5239999999999991</v>
      </c>
      <c r="CD185" s="884">
        <v>36.473999999999997</v>
      </c>
      <c r="CE185" s="743">
        <v>0.217</v>
      </c>
      <c r="CF185" s="743">
        <v>-0.434</v>
      </c>
      <c r="CG185" s="743">
        <v>0</v>
      </c>
      <c r="CH185" s="743">
        <v>0</v>
      </c>
      <c r="CI185" s="855">
        <v>0</v>
      </c>
      <c r="CJ185" s="855">
        <v>0</v>
      </c>
      <c r="CK185" s="855">
        <v>0</v>
      </c>
      <c r="CL185" s="855">
        <v>0</v>
      </c>
      <c r="CM185" s="855">
        <v>0</v>
      </c>
      <c r="CN185" s="291"/>
      <c r="CO185" s="683"/>
      <c r="CP185" s="291"/>
      <c r="CQ185" s="693"/>
    </row>
    <row r="186" spans="2:95" ht="16.5" customHeight="1" x14ac:dyDescent="0.25">
      <c r="B186" s="8" t="s">
        <v>738</v>
      </c>
      <c r="C186" s="678"/>
      <c r="D186" s="678"/>
      <c r="E186" s="678"/>
      <c r="F186" s="678"/>
      <c r="G186" s="870">
        <f>SUM(G175:G185)</f>
        <v>195.25599999999997</v>
      </c>
      <c r="H186" s="678"/>
      <c r="I186" s="678"/>
      <c r="J186" s="678"/>
      <c r="K186" s="678"/>
      <c r="L186" s="870">
        <f>SUM(L175:L185)</f>
        <v>341.94499999999999</v>
      </c>
      <c r="M186" s="678"/>
      <c r="N186" s="678"/>
      <c r="O186" s="678"/>
      <c r="P186" s="678"/>
      <c r="Q186" s="870">
        <f>SUM(Q175:Q185)</f>
        <v>392.69400000000002</v>
      </c>
      <c r="R186" s="678"/>
      <c r="S186" s="678"/>
      <c r="T186" s="678"/>
      <c r="U186" s="678"/>
      <c r="V186" s="870">
        <f>SUM(V175:V185)</f>
        <v>251.27699999999999</v>
      </c>
      <c r="W186" s="678"/>
      <c r="X186" s="678"/>
      <c r="Y186" s="678"/>
      <c r="Z186" s="678"/>
      <c r="AA186" s="870">
        <f>SUM(AA175:AA185)</f>
        <v>289.68400000000003</v>
      </c>
      <c r="AB186" s="678"/>
      <c r="AC186" s="678"/>
      <c r="AD186" s="678"/>
      <c r="AE186" s="678"/>
      <c r="AF186" s="870">
        <f>SUM(AF175:AF185)</f>
        <v>349.31599999999997</v>
      </c>
      <c r="AG186" s="678"/>
      <c r="AH186" s="678"/>
      <c r="AI186" s="678"/>
      <c r="AJ186" s="678"/>
      <c r="AK186" s="870">
        <f>SUM(AK175:AK185)</f>
        <v>252.33399999999995</v>
      </c>
      <c r="AL186" s="678"/>
      <c r="AM186" s="678"/>
      <c r="AN186" s="678"/>
      <c r="AO186" s="678"/>
      <c r="AP186" s="870">
        <f>SUM(AP175:AP185)</f>
        <v>291.43800000000005</v>
      </c>
      <c r="AQ186" s="678"/>
      <c r="AR186" s="678"/>
      <c r="AS186" s="678"/>
      <c r="AT186" s="678"/>
      <c r="AU186" s="870">
        <f>SUM(AU175:AU185)</f>
        <v>171.7</v>
      </c>
      <c r="AV186" s="678"/>
      <c r="AW186" s="678"/>
      <c r="AX186" s="678"/>
      <c r="AY186" s="678"/>
      <c r="AZ186" s="870">
        <f>SUM(AZ175:AZ185)</f>
        <v>181.423</v>
      </c>
      <c r="BA186" s="678"/>
      <c r="BB186" s="678"/>
      <c r="BC186" s="678"/>
      <c r="BD186" s="678"/>
      <c r="BE186" s="870">
        <f>SUM(BE175:BE185)</f>
        <v>279.17699999999991</v>
      </c>
      <c r="BF186" s="678">
        <f>SUM(BF175:BF185)</f>
        <v>94.094999999999999</v>
      </c>
      <c r="BG186" s="678">
        <f>SUM(BG175:BG185)</f>
        <v>43.272000000000006</v>
      </c>
      <c r="BH186" s="678">
        <f>SUM(BH175:BH185)</f>
        <v>93.212999999999994</v>
      </c>
      <c r="BI186" s="678"/>
      <c r="BJ186" s="931">
        <v>293.226</v>
      </c>
      <c r="BK186" s="678">
        <f t="shared" ref="BK186:CM186" si="106">SUM(BK175:BK185)</f>
        <v>171.83100000000002</v>
      </c>
      <c r="BL186" s="678">
        <f t="shared" si="106"/>
        <v>8.3659999999999943</v>
      </c>
      <c r="BM186" s="678">
        <f t="shared" si="106"/>
        <v>4.0670000000000028</v>
      </c>
      <c r="BN186" s="678">
        <f t="shared" si="106"/>
        <v>62.537999999999961</v>
      </c>
      <c r="BO186" s="870">
        <f t="shared" si="106"/>
        <v>246.80199999999999</v>
      </c>
      <c r="BP186" s="678">
        <f t="shared" si="106"/>
        <v>8.0830000000000055</v>
      </c>
      <c r="BQ186" s="678">
        <f t="shared" si="106"/>
        <v>-41.099000000000004</v>
      </c>
      <c r="BR186" s="678">
        <f t="shared" si="106"/>
        <v>15.918999999999997</v>
      </c>
      <c r="BS186" s="678">
        <f t="shared" si="106"/>
        <v>156.74800000000005</v>
      </c>
      <c r="BT186" s="870">
        <f t="shared" si="106"/>
        <v>139.65100000000004</v>
      </c>
      <c r="BU186" s="678">
        <f t="shared" si="106"/>
        <v>111.40599999999999</v>
      </c>
      <c r="BV186" s="678">
        <f t="shared" si="106"/>
        <v>-8.82</v>
      </c>
      <c r="BW186" s="678">
        <f t="shared" si="106"/>
        <v>1.691999999999994</v>
      </c>
      <c r="BX186" s="678">
        <f t="shared" si="106"/>
        <v>93.583999999999975</v>
      </c>
      <c r="BY186" s="870">
        <f t="shared" si="106"/>
        <v>197.86199999999997</v>
      </c>
      <c r="BZ186" s="678">
        <f t="shared" si="106"/>
        <v>-101.21099999999998</v>
      </c>
      <c r="CA186" s="678">
        <f t="shared" si="106"/>
        <v>35.315999999999995</v>
      </c>
      <c r="CB186" s="678">
        <f t="shared" si="106"/>
        <v>133.53200000000001</v>
      </c>
      <c r="CC186" s="678">
        <f t="shared" si="106"/>
        <v>205.44900000000004</v>
      </c>
      <c r="CD186" s="870">
        <f t="shared" si="106"/>
        <v>273.08599999999996</v>
      </c>
      <c r="CE186" s="678">
        <f>SUM(CE175:CE185)</f>
        <v>-44.767999999999994</v>
      </c>
      <c r="CF186" s="678">
        <f>SUM(CF175:CF185)</f>
        <v>129.59400000000002</v>
      </c>
      <c r="CG186" s="678">
        <f>SUM(CG175:CG185)</f>
        <v>94.186318346211621</v>
      </c>
      <c r="CH186" s="678">
        <f>SUM(CH175:CH185)</f>
        <v>211.66509613339758</v>
      </c>
      <c r="CI186" s="752">
        <f t="shared" si="106"/>
        <v>369.41595503239722</v>
      </c>
      <c r="CJ186" s="752">
        <f t="shared" si="106"/>
        <v>452.61575049718164</v>
      </c>
      <c r="CK186" s="752">
        <f t="shared" si="106"/>
        <v>554.03969383974595</v>
      </c>
      <c r="CL186" s="752">
        <f t="shared" si="106"/>
        <v>609.76372068399792</v>
      </c>
      <c r="CM186" s="752">
        <f t="shared" si="106"/>
        <v>639.23720533082667</v>
      </c>
      <c r="CN186" s="678"/>
      <c r="CO186" s="685">
        <f>(CM186/CD186)^(1/5)-1</f>
        <v>0.18542074067362013</v>
      </c>
      <c r="CP186" s="678"/>
      <c r="CQ186" s="694" t="s">
        <v>853</v>
      </c>
    </row>
    <row r="187" spans="2:95" ht="16.5" customHeight="1" x14ac:dyDescent="0.25">
      <c r="C187" s="291"/>
      <c r="D187" s="291"/>
      <c r="E187" s="291"/>
      <c r="F187" s="291"/>
      <c r="G187" s="864"/>
      <c r="H187" s="291"/>
      <c r="I187" s="291"/>
      <c r="J187" s="291"/>
      <c r="K187" s="291"/>
      <c r="L187" s="864"/>
      <c r="M187" s="291"/>
      <c r="N187" s="291"/>
      <c r="O187" s="291"/>
      <c r="P187" s="291"/>
      <c r="Q187" s="864"/>
      <c r="R187" s="291"/>
      <c r="S187" s="291"/>
      <c r="T187" s="291"/>
      <c r="U187" s="291"/>
      <c r="V187" s="864"/>
      <c r="W187" s="291"/>
      <c r="X187" s="291"/>
      <c r="Y187" s="291"/>
      <c r="Z187" s="291"/>
      <c r="AA187" s="864"/>
      <c r="AB187" s="291"/>
      <c r="AC187" s="291"/>
      <c r="AD187" s="291"/>
      <c r="AE187" s="291"/>
      <c r="AF187" s="864"/>
      <c r="AG187" s="291"/>
      <c r="AH187" s="291"/>
      <c r="AI187" s="291"/>
      <c r="AJ187" s="291"/>
      <c r="AK187" s="864"/>
      <c r="AL187" s="291"/>
      <c r="AM187" s="291"/>
      <c r="AN187" s="291"/>
      <c r="AO187" s="291"/>
      <c r="AP187" s="864"/>
      <c r="AQ187" s="291"/>
      <c r="AR187" s="291"/>
      <c r="AS187" s="291"/>
      <c r="AT187" s="291"/>
      <c r="AU187" s="864"/>
      <c r="AV187" s="291"/>
      <c r="AW187" s="291"/>
      <c r="AX187" s="291"/>
      <c r="AY187" s="291"/>
      <c r="AZ187" s="864"/>
      <c r="BA187" s="291"/>
      <c r="BB187" s="291"/>
      <c r="BC187" s="291"/>
      <c r="BD187" s="291"/>
      <c r="BE187" s="864"/>
      <c r="BF187" s="291"/>
      <c r="BG187" s="291"/>
      <c r="BH187" s="291"/>
      <c r="BI187" s="291"/>
      <c r="BJ187" s="868"/>
      <c r="BK187" s="291"/>
      <c r="BL187" s="291"/>
      <c r="BM187" s="291"/>
      <c r="BN187" s="291"/>
      <c r="BO187" s="868"/>
      <c r="BP187" s="291"/>
      <c r="BQ187" s="291"/>
      <c r="BR187" s="291"/>
      <c r="BS187" s="291"/>
      <c r="BT187" s="868"/>
      <c r="BU187" s="291"/>
      <c r="BV187" s="291"/>
      <c r="BW187" s="291"/>
      <c r="BX187" s="291"/>
      <c r="BY187" s="868"/>
      <c r="BZ187" s="291"/>
      <c r="CA187" s="291"/>
      <c r="CB187" s="291"/>
      <c r="CC187" s="291"/>
      <c r="CD187" s="868"/>
      <c r="CE187" s="743"/>
      <c r="CF187" s="743"/>
      <c r="CG187" s="743"/>
      <c r="CH187" s="743"/>
      <c r="CI187" s="749"/>
      <c r="CJ187" s="749"/>
      <c r="CK187" s="749"/>
      <c r="CL187" s="749"/>
      <c r="CM187" s="749"/>
      <c r="CN187" s="291"/>
      <c r="CO187" s="683"/>
      <c r="CP187" s="291"/>
      <c r="CQ187" s="693"/>
    </row>
    <row r="188" spans="2:95" ht="16.5" customHeight="1" x14ac:dyDescent="0.25">
      <c r="B188" s="223" t="s">
        <v>739</v>
      </c>
      <c r="C188" s="224"/>
      <c r="D188" s="224"/>
      <c r="E188" s="224"/>
      <c r="F188" s="224"/>
      <c r="G188" s="867"/>
      <c r="H188" s="224"/>
      <c r="I188" s="224"/>
      <c r="J188" s="224"/>
      <c r="K188" s="224"/>
      <c r="L188" s="867"/>
      <c r="M188" s="224"/>
      <c r="N188" s="224"/>
      <c r="O188" s="224"/>
      <c r="P188" s="224"/>
      <c r="Q188" s="867"/>
      <c r="R188" s="224"/>
      <c r="S188" s="224"/>
      <c r="T188" s="224"/>
      <c r="U188" s="224"/>
      <c r="V188" s="867"/>
      <c r="W188" s="224"/>
      <c r="X188" s="224"/>
      <c r="Y188" s="224"/>
      <c r="Z188" s="224"/>
      <c r="AA188" s="867"/>
      <c r="AB188" s="224"/>
      <c r="AC188" s="224"/>
      <c r="AD188" s="224"/>
      <c r="AE188" s="224"/>
      <c r="AF188" s="867"/>
      <c r="AG188" s="224"/>
      <c r="AH188" s="224"/>
      <c r="AI188" s="224"/>
      <c r="AJ188" s="224"/>
      <c r="AK188" s="867"/>
      <c r="AL188" s="224"/>
      <c r="AM188" s="224"/>
      <c r="AN188" s="224"/>
      <c r="AO188" s="224"/>
      <c r="AP188" s="867"/>
      <c r="AQ188" s="224"/>
      <c r="AR188" s="224"/>
      <c r="AS188" s="224"/>
      <c r="AT188" s="224"/>
      <c r="AU188" s="867"/>
      <c r="AV188" s="224"/>
      <c r="AW188" s="224"/>
      <c r="AX188" s="224"/>
      <c r="AY188" s="224"/>
      <c r="AZ188" s="867"/>
      <c r="BA188" s="224"/>
      <c r="BB188" s="224"/>
      <c r="BC188" s="224"/>
      <c r="BD188" s="224"/>
      <c r="BE188" s="867"/>
      <c r="BF188" s="224"/>
      <c r="BG188" s="224"/>
      <c r="BH188" s="224"/>
      <c r="BI188" s="224"/>
      <c r="BJ188" s="923"/>
      <c r="BK188" s="224"/>
      <c r="BL188" s="224"/>
      <c r="BM188" s="224"/>
      <c r="BN188" s="224"/>
      <c r="BO188" s="923"/>
      <c r="BP188" s="224"/>
      <c r="BQ188" s="224"/>
      <c r="BR188" s="224"/>
      <c r="BS188" s="224"/>
      <c r="BT188" s="923"/>
      <c r="BU188" s="224"/>
      <c r="BV188" s="224"/>
      <c r="BW188" s="224"/>
      <c r="BX188" s="224"/>
      <c r="BY188" s="923"/>
      <c r="BZ188" s="224"/>
      <c r="CA188" s="224"/>
      <c r="CB188" s="224"/>
      <c r="CC188" s="224"/>
      <c r="CD188" s="923"/>
      <c r="CE188" s="744"/>
      <c r="CF188" s="744"/>
      <c r="CG188" s="744"/>
      <c r="CH188" s="744"/>
      <c r="CI188" s="224"/>
      <c r="CJ188" s="224"/>
      <c r="CK188" s="224"/>
      <c r="CL188" s="224"/>
      <c r="CM188" s="224"/>
      <c r="CN188" s="224"/>
      <c r="CO188" s="684"/>
      <c r="CP188" s="224"/>
      <c r="CQ188" s="693"/>
    </row>
    <row r="189" spans="2:95" ht="16.5" customHeight="1" x14ac:dyDescent="0.25">
      <c r="B189" t="s">
        <v>740</v>
      </c>
      <c r="C189" s="743"/>
      <c r="D189" s="743"/>
      <c r="E189" s="743"/>
      <c r="F189" s="743"/>
      <c r="G189" s="868">
        <v>-65.948999999999998</v>
      </c>
      <c r="H189" s="743"/>
      <c r="I189" s="743"/>
      <c r="J189" s="743"/>
      <c r="K189" s="743"/>
      <c r="L189" s="868">
        <v>-83.682000000000002</v>
      </c>
      <c r="M189" s="743"/>
      <c r="N189" s="743"/>
      <c r="O189" s="743"/>
      <c r="P189" s="743"/>
      <c r="Q189" s="868">
        <v>-106.985</v>
      </c>
      <c r="R189" s="743"/>
      <c r="S189" s="743"/>
      <c r="T189" s="743"/>
      <c r="U189" s="743"/>
      <c r="V189" s="868">
        <v>-93.174000000000007</v>
      </c>
      <c r="W189" s="743"/>
      <c r="X189" s="743"/>
      <c r="Y189" s="743"/>
      <c r="Z189" s="743"/>
      <c r="AA189" s="868">
        <v>-78.771000000000001</v>
      </c>
      <c r="AB189" s="743"/>
      <c r="AC189" s="743"/>
      <c r="AD189" s="743"/>
      <c r="AE189" s="743"/>
      <c r="AF189" s="868">
        <v>-80.692999999999998</v>
      </c>
      <c r="AG189" s="743"/>
      <c r="AH189" s="743"/>
      <c r="AI189" s="743"/>
      <c r="AJ189" s="743"/>
      <c r="AK189" s="868">
        <v>-67.207999999999998</v>
      </c>
      <c r="AL189" s="743"/>
      <c r="AM189" s="291"/>
      <c r="AN189" s="291"/>
      <c r="AO189" s="291"/>
      <c r="AP189" s="868">
        <v>-75.798000000000002</v>
      </c>
      <c r="AQ189" s="291"/>
      <c r="AR189" s="291"/>
      <c r="AS189" s="291"/>
      <c r="AT189" s="291"/>
      <c r="AU189" s="868">
        <v>-94.516999999999996</v>
      </c>
      <c r="AV189" s="291"/>
      <c r="AW189" s="291"/>
      <c r="AX189" s="291"/>
      <c r="AY189" s="291"/>
      <c r="AZ189" s="868">
        <v>-118.422</v>
      </c>
      <c r="BA189" s="291"/>
      <c r="BB189" s="291"/>
      <c r="BC189" s="291"/>
      <c r="BD189" s="291"/>
      <c r="BE189" s="868">
        <v>-88.284000000000006</v>
      </c>
      <c r="BF189" s="743">
        <v>-20.309000000000001</v>
      </c>
      <c r="BG189" s="743">
        <v>-37.71</v>
      </c>
      <c r="BH189" s="743">
        <v>-30.553999999999998</v>
      </c>
      <c r="BI189" s="291"/>
      <c r="BJ189" s="868">
        <v>-128.73400000000001</v>
      </c>
      <c r="BK189" s="743">
        <v>-37.058999999999997</v>
      </c>
      <c r="BL189" s="743">
        <v>-37.027999999999999</v>
      </c>
      <c r="BM189" s="743">
        <v>-32.625999999999998</v>
      </c>
      <c r="BN189" s="291">
        <f>BO189-BK189-BL189-BM189</f>
        <v>-32.718000000000025</v>
      </c>
      <c r="BO189" s="868">
        <v>-139.43100000000001</v>
      </c>
      <c r="BP189" s="743">
        <v>-30.125</v>
      </c>
      <c r="BQ189" s="743">
        <v>-59.618000000000002</v>
      </c>
      <c r="BR189" s="743">
        <v>-35.331000000000003</v>
      </c>
      <c r="BS189" s="291">
        <f>BT189-BP189-BQ189-BR189</f>
        <v>-52.234999999999999</v>
      </c>
      <c r="BT189" s="868">
        <v>-177.309</v>
      </c>
      <c r="BU189" s="743">
        <v>-37.415999999999997</v>
      </c>
      <c r="BV189" s="743">
        <v>-40.113999999999997</v>
      </c>
      <c r="BW189" s="743">
        <v>-32.085999999999999</v>
      </c>
      <c r="BX189" s="291">
        <f>BY189-BU189-BV189-BW189</f>
        <v>-42.379000000000005</v>
      </c>
      <c r="BY189" s="868">
        <v>-151.995</v>
      </c>
      <c r="BZ189" s="743">
        <v>-32.777999999999999</v>
      </c>
      <c r="CA189" s="743">
        <v>-37.603999999999999</v>
      </c>
      <c r="CB189" s="743">
        <v>-32.658999999999999</v>
      </c>
      <c r="CC189" s="291">
        <f>CD189-BZ189-CA189-CB189</f>
        <v>-41.690000000000005</v>
      </c>
      <c r="CD189" s="868">
        <v>-144.73099999999999</v>
      </c>
      <c r="CE189" s="743">
        <v>-34.380000000000003</v>
      </c>
      <c r="CF189" s="743">
        <v>-31.797999999999998</v>
      </c>
      <c r="CG189" s="291">
        <f t="shared" ref="CG189:CM189" si="107">-CG114*CG278</f>
        <v>-40.357929225853169</v>
      </c>
      <c r="CH189" s="291">
        <f t="shared" si="107"/>
        <v>-38.845012695763721</v>
      </c>
      <c r="CI189" s="749">
        <f t="shared" si="107"/>
        <v>-159.89029147521248</v>
      </c>
      <c r="CJ189" s="749">
        <f t="shared" si="107"/>
        <v>-172.91966557522429</v>
      </c>
      <c r="CK189" s="749">
        <f t="shared" si="107"/>
        <v>-185.06682238271395</v>
      </c>
      <c r="CL189" s="749">
        <f t="shared" si="107"/>
        <v>-197.0637938276513</v>
      </c>
      <c r="CM189" s="749">
        <f t="shared" si="107"/>
        <v>-209.2599421883254</v>
      </c>
      <c r="CN189" s="291"/>
      <c r="CO189" s="683"/>
      <c r="CP189" s="291"/>
      <c r="CQ189" s="694" t="s">
        <v>854</v>
      </c>
    </row>
    <row r="190" spans="2:95" ht="16.5" customHeight="1" x14ac:dyDescent="0.25">
      <c r="B190" t="s">
        <v>741</v>
      </c>
      <c r="C190" s="743"/>
      <c r="D190" s="743"/>
      <c r="E190" s="743"/>
      <c r="F190" s="743"/>
      <c r="G190" s="868">
        <v>-29.843</v>
      </c>
      <c r="H190" s="743"/>
      <c r="I190" s="743"/>
      <c r="J190" s="743"/>
      <c r="K190" s="743"/>
      <c r="L190" s="868">
        <v>-37.819000000000003</v>
      </c>
      <c r="M190" s="743"/>
      <c r="N190" s="743"/>
      <c r="O190" s="743"/>
      <c r="P190" s="743"/>
      <c r="Q190" s="868">
        <v>-104.06699999999999</v>
      </c>
      <c r="R190" s="743"/>
      <c r="S190" s="743"/>
      <c r="T190" s="743"/>
      <c r="U190" s="743"/>
      <c r="V190" s="868">
        <v>-69.156999999999996</v>
      </c>
      <c r="W190" s="743"/>
      <c r="X190" s="743"/>
      <c r="Y190" s="743"/>
      <c r="Z190" s="743"/>
      <c r="AA190" s="868">
        <v>0</v>
      </c>
      <c r="AB190" s="743"/>
      <c r="AC190" s="743"/>
      <c r="AD190" s="743"/>
      <c r="AE190" s="743"/>
      <c r="AF190" s="868">
        <v>0</v>
      </c>
      <c r="AG190" s="743"/>
      <c r="AH190" s="743"/>
      <c r="AI190" s="743"/>
      <c r="AJ190" s="743"/>
      <c r="AK190" s="868">
        <v>-11.016</v>
      </c>
      <c r="AL190" s="743"/>
      <c r="AM190" s="291"/>
      <c r="AN190" s="291"/>
      <c r="AO190" s="291"/>
      <c r="AP190" s="868">
        <v>-40.545000000000002</v>
      </c>
      <c r="AQ190" s="291"/>
      <c r="AR190" s="291"/>
      <c r="AS190" s="291"/>
      <c r="AT190" s="291"/>
      <c r="AU190" s="868">
        <v>-48.381999999999998</v>
      </c>
      <c r="AV190" s="291"/>
      <c r="AW190" s="291"/>
      <c r="AX190" s="291"/>
      <c r="AY190" s="291"/>
      <c r="AZ190" s="868">
        <v>0</v>
      </c>
      <c r="BA190" s="291"/>
      <c r="BB190" s="291"/>
      <c r="BC190" s="291"/>
      <c r="BD190" s="291"/>
      <c r="BE190" s="868">
        <v>-54.265000000000001</v>
      </c>
      <c r="BF190" s="743">
        <v>-77.707999999999998</v>
      </c>
      <c r="BG190" s="743">
        <v>0.108</v>
      </c>
      <c r="BH190" s="743">
        <v>0</v>
      </c>
      <c r="BI190" s="291"/>
      <c r="BJ190" s="868">
        <v>-77.599999999999994</v>
      </c>
      <c r="BK190" s="743">
        <v>0</v>
      </c>
      <c r="BL190" s="743">
        <v>-11.837</v>
      </c>
      <c r="BM190" s="743">
        <v>0</v>
      </c>
      <c r="BN190" s="291">
        <f>BO190-BK190-BL190-BM190</f>
        <v>4.9999999999990052E-3</v>
      </c>
      <c r="BO190" s="868">
        <v>-11.832000000000001</v>
      </c>
      <c r="BP190" s="291"/>
      <c r="BQ190" s="743">
        <v>0</v>
      </c>
      <c r="BR190" s="743">
        <v>0</v>
      </c>
      <c r="BS190" s="291">
        <f>BT190-BP190-BQ190-BR190</f>
        <v>0</v>
      </c>
      <c r="BT190" s="868">
        <v>0</v>
      </c>
      <c r="BU190" s="743">
        <v>-5.2119999999999997</v>
      </c>
      <c r="BV190" s="743">
        <v>-0.69899999999999995</v>
      </c>
      <c r="BW190" s="743">
        <v>0</v>
      </c>
      <c r="BX190" s="291">
        <f>BY190-BU190-BV190-BW190</f>
        <v>1.1102230246251565E-16</v>
      </c>
      <c r="BY190" s="868">
        <v>-5.9109999999999996</v>
      </c>
      <c r="BZ190" s="743">
        <v>0</v>
      </c>
      <c r="CA190" s="743">
        <v>0</v>
      </c>
      <c r="CB190" s="743">
        <v>0</v>
      </c>
      <c r="CC190" s="291">
        <f>CD190-BZ190-CA190-CB190</f>
        <v>-41.179000000000002</v>
      </c>
      <c r="CD190" s="868">
        <v>-41.179000000000002</v>
      </c>
      <c r="CE190" s="743">
        <v>0</v>
      </c>
      <c r="CF190" s="743">
        <v>0</v>
      </c>
      <c r="CG190" s="743">
        <v>0</v>
      </c>
      <c r="CH190" s="743">
        <v>0</v>
      </c>
      <c r="CI190" s="774">
        <v>0</v>
      </c>
      <c r="CJ190" s="774">
        <v>0</v>
      </c>
      <c r="CK190" s="774">
        <v>0</v>
      </c>
      <c r="CL190" s="774">
        <v>0</v>
      </c>
      <c r="CM190" s="774">
        <v>0</v>
      </c>
      <c r="CN190" s="291"/>
      <c r="CO190" s="683"/>
      <c r="CP190" s="291"/>
      <c r="CQ190" s="694" t="s">
        <v>855</v>
      </c>
    </row>
    <row r="191" spans="2:95" ht="16.5" customHeight="1" x14ac:dyDescent="0.25">
      <c r="B191" t="s">
        <v>742</v>
      </c>
      <c r="C191" s="743"/>
      <c r="D191" s="743"/>
      <c r="E191" s="743"/>
      <c r="F191" s="743"/>
      <c r="G191" s="868">
        <v>0</v>
      </c>
      <c r="H191" s="743"/>
      <c r="I191" s="743"/>
      <c r="J191" s="743"/>
      <c r="K191" s="743"/>
      <c r="L191" s="868">
        <v>0</v>
      </c>
      <c r="M191" s="743"/>
      <c r="N191" s="743"/>
      <c r="O191" s="743"/>
      <c r="P191" s="743"/>
      <c r="Q191" s="868">
        <v>0</v>
      </c>
      <c r="R191" s="743"/>
      <c r="S191" s="743"/>
      <c r="T191" s="743"/>
      <c r="U191" s="743"/>
      <c r="V191" s="868">
        <v>0</v>
      </c>
      <c r="W191" s="743"/>
      <c r="X191" s="743"/>
      <c r="Y191" s="743"/>
      <c r="Z191" s="743"/>
      <c r="AA191" s="868">
        <v>0</v>
      </c>
      <c r="AB191" s="743"/>
      <c r="AC191" s="743"/>
      <c r="AD191" s="743"/>
      <c r="AE191" s="743"/>
      <c r="AF191" s="868">
        <v>0</v>
      </c>
      <c r="AG191" s="743"/>
      <c r="AH191" s="743"/>
      <c r="AI191" s="743"/>
      <c r="AJ191" s="743"/>
      <c r="AK191" s="868">
        <v>0</v>
      </c>
      <c r="AL191" s="743"/>
      <c r="AM191" s="291"/>
      <c r="AN191" s="291"/>
      <c r="AO191" s="291"/>
      <c r="AP191" s="868">
        <v>0</v>
      </c>
      <c r="AQ191" s="291"/>
      <c r="AR191" s="291"/>
      <c r="AS191" s="291"/>
      <c r="AT191" s="291"/>
      <c r="AU191" s="868">
        <v>0</v>
      </c>
      <c r="AV191" s="291"/>
      <c r="AW191" s="291"/>
      <c r="AX191" s="291"/>
      <c r="AY191" s="291"/>
      <c r="AZ191" s="868">
        <v>0</v>
      </c>
      <c r="BA191" s="291"/>
      <c r="BB191" s="291"/>
      <c r="BC191" s="291"/>
      <c r="BD191" s="291"/>
      <c r="BE191" s="868">
        <v>0.97099999999999997</v>
      </c>
      <c r="BF191" s="291"/>
      <c r="BG191" s="291"/>
      <c r="BH191" s="291"/>
      <c r="BI191" s="291"/>
      <c r="BJ191" s="868">
        <v>14.675000000000001</v>
      </c>
      <c r="BK191" s="291"/>
      <c r="BL191" s="291"/>
      <c r="BM191" s="291"/>
      <c r="BN191" s="291">
        <f>BO191-BK191-BL191-BM191</f>
        <v>70.611999999999995</v>
      </c>
      <c r="BO191" s="868">
        <v>70.611999999999995</v>
      </c>
      <c r="BP191" s="743">
        <v>8.5559999999999992</v>
      </c>
      <c r="BQ191" s="743">
        <v>11.228</v>
      </c>
      <c r="BR191" s="743">
        <v>0.877</v>
      </c>
      <c r="BS191" s="291">
        <f>BT191-BP191-BQ191-BR191</f>
        <v>0.93300000000000227</v>
      </c>
      <c r="BT191" s="868">
        <v>21.594000000000001</v>
      </c>
      <c r="BU191" s="743">
        <v>0</v>
      </c>
      <c r="BV191" s="743">
        <v>0</v>
      </c>
      <c r="BW191" s="743">
        <v>1.627</v>
      </c>
      <c r="BX191" s="291">
        <f>BY191-BU191-BV191-BW191</f>
        <v>1.4530000000000001</v>
      </c>
      <c r="BY191" s="868">
        <v>3.08</v>
      </c>
      <c r="BZ191" s="743">
        <v>13.487</v>
      </c>
      <c r="CA191" s="743">
        <v>0</v>
      </c>
      <c r="CB191" s="743">
        <v>0</v>
      </c>
      <c r="CC191" s="291">
        <f>CD191-BZ191-CA191-CB191</f>
        <v>0</v>
      </c>
      <c r="CD191" s="868">
        <v>13.487</v>
      </c>
      <c r="CE191" s="743">
        <v>3.0649999999999999</v>
      </c>
      <c r="CF191" s="743">
        <v>0</v>
      </c>
      <c r="CG191" s="743">
        <v>0</v>
      </c>
      <c r="CH191" s="743">
        <v>0</v>
      </c>
      <c r="CI191" s="774">
        <v>0</v>
      </c>
      <c r="CJ191" s="774">
        <v>0</v>
      </c>
      <c r="CK191" s="774">
        <v>0</v>
      </c>
      <c r="CL191" s="774">
        <v>0</v>
      </c>
      <c r="CM191" s="774">
        <v>0</v>
      </c>
      <c r="CN191" s="291"/>
      <c r="CO191" s="683"/>
      <c r="CP191" s="291"/>
      <c r="CQ191" s="693"/>
    </row>
    <row r="192" spans="2:95" ht="16.5" customHeight="1" x14ac:dyDescent="0.25">
      <c r="B192" t="s">
        <v>743</v>
      </c>
      <c r="C192" s="833"/>
      <c r="D192" s="833"/>
      <c r="E192" s="833"/>
      <c r="F192" s="833"/>
      <c r="G192" s="884">
        <v>-2.2850000000000001</v>
      </c>
      <c r="H192" s="833"/>
      <c r="I192" s="833"/>
      <c r="J192" s="833"/>
      <c r="K192" s="833"/>
      <c r="L192" s="884">
        <v>0</v>
      </c>
      <c r="M192" s="833"/>
      <c r="N192" s="833"/>
      <c r="O192" s="833"/>
      <c r="P192" s="833"/>
      <c r="Q192" s="884">
        <v>0.29799999999999999</v>
      </c>
      <c r="R192" s="833"/>
      <c r="S192" s="833"/>
      <c r="T192" s="833"/>
      <c r="U192" s="833"/>
      <c r="V192" s="884">
        <v>-11.067</v>
      </c>
      <c r="W192" s="833"/>
      <c r="X192" s="833"/>
      <c r="Y192" s="833"/>
      <c r="Z192" s="833"/>
      <c r="AA192" s="884">
        <v>-8.1240000000000006</v>
      </c>
      <c r="AB192" s="833"/>
      <c r="AC192" s="833"/>
      <c r="AD192" s="833"/>
      <c r="AE192" s="833"/>
      <c r="AF192" s="884">
        <v>13.095000000000001</v>
      </c>
      <c r="AG192" s="833"/>
      <c r="AH192" s="833"/>
      <c r="AI192" s="833"/>
      <c r="AJ192" s="833"/>
      <c r="AK192" s="884">
        <v>1.256</v>
      </c>
      <c r="AL192" s="833"/>
      <c r="AM192" s="834"/>
      <c r="AN192" s="834"/>
      <c r="AO192" s="834"/>
      <c r="AP192" s="884">
        <v>6.82</v>
      </c>
      <c r="AQ192" s="834"/>
      <c r="AR192" s="834"/>
      <c r="AS192" s="834"/>
      <c r="AT192" s="834"/>
      <c r="AU192" s="884">
        <v>1.2569999999999999</v>
      </c>
      <c r="AV192" s="834"/>
      <c r="AW192" s="834"/>
      <c r="AX192" s="834"/>
      <c r="AY192" s="834"/>
      <c r="AZ192" s="884">
        <v>2.702</v>
      </c>
      <c r="BA192" s="834"/>
      <c r="BB192" s="834"/>
      <c r="BC192" s="834"/>
      <c r="BD192" s="834"/>
      <c r="BE192" s="884">
        <v>-4.6150000000000002</v>
      </c>
      <c r="BF192" s="833">
        <v>1.6040000000000001</v>
      </c>
      <c r="BG192" s="833">
        <v>0.29099999999999998</v>
      </c>
      <c r="BH192" s="833">
        <v>1.72</v>
      </c>
      <c r="BI192" s="834"/>
      <c r="BJ192" s="884">
        <v>0.502</v>
      </c>
      <c r="BK192" s="833">
        <v>37.335999999999999</v>
      </c>
      <c r="BL192" s="833">
        <v>0.44</v>
      </c>
      <c r="BM192" s="833">
        <v>-4.4930000000000003</v>
      </c>
      <c r="BN192" s="834">
        <f>BO192-BK192-BL192-BM192</f>
        <v>-37.855999999999995</v>
      </c>
      <c r="BO192" s="884">
        <v>-4.5730000000000004</v>
      </c>
      <c r="BP192" s="833">
        <v>-3.7240000000000002</v>
      </c>
      <c r="BQ192" s="833">
        <v>-0.51700000000000002</v>
      </c>
      <c r="BR192" s="833">
        <v>-5.2409999999999997</v>
      </c>
      <c r="BS192" s="834">
        <f>BT192-BP192-BQ192-BR192</f>
        <v>-1.9729999999999999</v>
      </c>
      <c r="BT192" s="884">
        <v>-11.455</v>
      </c>
      <c r="BU192" s="833">
        <v>-0.47899999999999998</v>
      </c>
      <c r="BV192" s="833">
        <v>-3.5999999999999997E-2</v>
      </c>
      <c r="BW192" s="833">
        <v>-0.13100000000000001</v>
      </c>
      <c r="BX192" s="834">
        <f>BY192-BU192-BV192-BW192</f>
        <v>-0.12000000000000005</v>
      </c>
      <c r="BY192" s="884">
        <v>-0.76600000000000001</v>
      </c>
      <c r="BZ192" s="833">
        <v>0.16900000000000001</v>
      </c>
      <c r="CA192" s="833">
        <v>-2.2309999999999999</v>
      </c>
      <c r="CB192" s="833">
        <v>-0.78200000000000003</v>
      </c>
      <c r="CC192" s="834">
        <f>CD192-BZ192-CA192-CB192</f>
        <v>1.0999999999999677E-2</v>
      </c>
      <c r="CD192" s="884">
        <v>-2.8330000000000002</v>
      </c>
      <c r="CE192" s="743">
        <v>-0.156</v>
      </c>
      <c r="CF192" s="743">
        <v>-0.30199999999999999</v>
      </c>
      <c r="CG192" s="743">
        <v>0</v>
      </c>
      <c r="CH192" s="743">
        <v>0</v>
      </c>
      <c r="CI192" s="855">
        <v>0</v>
      </c>
      <c r="CJ192" s="855">
        <v>0</v>
      </c>
      <c r="CK192" s="855">
        <v>0</v>
      </c>
      <c r="CL192" s="855">
        <v>0</v>
      </c>
      <c r="CM192" s="855">
        <v>0</v>
      </c>
      <c r="CN192" s="291"/>
      <c r="CO192" s="683"/>
      <c r="CP192" s="291"/>
      <c r="CQ192" s="693"/>
    </row>
    <row r="193" spans="2:95" ht="16.5" customHeight="1" x14ac:dyDescent="0.25">
      <c r="B193" s="8" t="s">
        <v>744</v>
      </c>
      <c r="C193" s="678"/>
      <c r="D193" s="678"/>
      <c r="E193" s="678"/>
      <c r="F193" s="678"/>
      <c r="G193" s="870">
        <f>SUM(G189:G192)</f>
        <v>-98.076999999999998</v>
      </c>
      <c r="H193" s="678"/>
      <c r="I193" s="678"/>
      <c r="J193" s="678"/>
      <c r="K193" s="678"/>
      <c r="L193" s="870">
        <f>SUM(L189:L192)</f>
        <v>-121.501</v>
      </c>
      <c r="M193" s="678"/>
      <c r="N193" s="678"/>
      <c r="O193" s="678"/>
      <c r="P193" s="678"/>
      <c r="Q193" s="870">
        <f>SUM(Q189:Q192)</f>
        <v>-210.75399999999999</v>
      </c>
      <c r="R193" s="678"/>
      <c r="S193" s="678"/>
      <c r="T193" s="678"/>
      <c r="U193" s="678"/>
      <c r="V193" s="870">
        <f>SUM(V189:V192)</f>
        <v>-173.39800000000002</v>
      </c>
      <c r="W193" s="678"/>
      <c r="X193" s="678"/>
      <c r="Y193" s="678"/>
      <c r="Z193" s="678"/>
      <c r="AA193" s="870">
        <f>SUM(AA189:AA192)</f>
        <v>-86.894999999999996</v>
      </c>
      <c r="AB193" s="678"/>
      <c r="AC193" s="678"/>
      <c r="AD193" s="678"/>
      <c r="AE193" s="678"/>
      <c r="AF193" s="870">
        <f>SUM(AF189:AF192)</f>
        <v>-67.597999999999999</v>
      </c>
      <c r="AG193" s="678"/>
      <c r="AH193" s="678"/>
      <c r="AI193" s="678"/>
      <c r="AJ193" s="678"/>
      <c r="AK193" s="870">
        <f>SUM(AK189:AK192)</f>
        <v>-76.968000000000004</v>
      </c>
      <c r="AL193" s="678"/>
      <c r="AM193" s="678"/>
      <c r="AN193" s="678"/>
      <c r="AO193" s="678"/>
      <c r="AP193" s="870">
        <f>SUM(AP189:AP192)</f>
        <v>-109.523</v>
      </c>
      <c r="AQ193" s="678"/>
      <c r="AR193" s="678"/>
      <c r="AS193" s="678"/>
      <c r="AT193" s="678"/>
      <c r="AU193" s="870">
        <f>SUM(AU189:AU192)</f>
        <v>-141.642</v>
      </c>
      <c r="AV193" s="678"/>
      <c r="AW193" s="678"/>
      <c r="AX193" s="678"/>
      <c r="AY193" s="678"/>
      <c r="AZ193" s="870">
        <f>SUM(AZ189:AZ192)</f>
        <v>-115.72</v>
      </c>
      <c r="BA193" s="678"/>
      <c r="BB193" s="678"/>
      <c r="BC193" s="678"/>
      <c r="BD193" s="678"/>
      <c r="BE193" s="870">
        <f>SUM(BE189:BE192)</f>
        <v>-146.19300000000001</v>
      </c>
      <c r="BF193" s="678">
        <f>SUM(BF189:BF192)</f>
        <v>-96.412999999999997</v>
      </c>
      <c r="BG193" s="678">
        <f>SUM(BG189:BG192)</f>
        <v>-37.311000000000007</v>
      </c>
      <c r="BH193" s="678">
        <f>SUM(BH189:BH192)</f>
        <v>-28.834</v>
      </c>
      <c r="BI193" s="678"/>
      <c r="BJ193" s="931">
        <v>-191.15700000000001</v>
      </c>
      <c r="BK193" s="678">
        <f t="shared" ref="BK193:CM193" si="108">SUM(BK189:BK192)</f>
        <v>0.27700000000000102</v>
      </c>
      <c r="BL193" s="678">
        <f t="shared" si="108"/>
        <v>-48.424999999999997</v>
      </c>
      <c r="BM193" s="678">
        <f t="shared" si="108"/>
        <v>-37.119</v>
      </c>
      <c r="BN193" s="678">
        <f t="shared" si="108"/>
        <v>4.2999999999977945E-2</v>
      </c>
      <c r="BO193" s="870">
        <f t="shared" si="108"/>
        <v>-85.224000000000018</v>
      </c>
      <c r="BP193" s="678">
        <f t="shared" si="108"/>
        <v>-25.293000000000003</v>
      </c>
      <c r="BQ193" s="678">
        <f t="shared" si="108"/>
        <v>-48.907000000000004</v>
      </c>
      <c r="BR193" s="678">
        <f t="shared" si="108"/>
        <v>-39.695</v>
      </c>
      <c r="BS193" s="678">
        <f t="shared" si="108"/>
        <v>-53.274999999999999</v>
      </c>
      <c r="BT193" s="870">
        <f t="shared" si="108"/>
        <v>-167.17000000000002</v>
      </c>
      <c r="BU193" s="678">
        <f t="shared" si="108"/>
        <v>-43.106999999999999</v>
      </c>
      <c r="BV193" s="678">
        <f t="shared" si="108"/>
        <v>-40.848999999999997</v>
      </c>
      <c r="BW193" s="678">
        <f t="shared" si="108"/>
        <v>-30.59</v>
      </c>
      <c r="BX193" s="678">
        <f t="shared" si="108"/>
        <v>-41.045999999999999</v>
      </c>
      <c r="BY193" s="870">
        <f t="shared" si="108"/>
        <v>-155.59199999999998</v>
      </c>
      <c r="BZ193" s="678">
        <f t="shared" si="108"/>
        <v>-19.121999999999996</v>
      </c>
      <c r="CA193" s="678">
        <f t="shared" si="108"/>
        <v>-39.835000000000001</v>
      </c>
      <c r="CB193" s="678">
        <f t="shared" si="108"/>
        <v>-33.441000000000003</v>
      </c>
      <c r="CC193" s="678">
        <f t="shared" si="108"/>
        <v>-82.858000000000004</v>
      </c>
      <c r="CD193" s="870">
        <f t="shared" si="108"/>
        <v>-175.256</v>
      </c>
      <c r="CE193" s="678">
        <f>SUM(CE189:CE192)</f>
        <v>-31.471</v>
      </c>
      <c r="CF193" s="678">
        <f>SUM(CF189:CF192)</f>
        <v>-32.1</v>
      </c>
      <c r="CG193" s="678">
        <f>SUM(CG189:CG192)</f>
        <v>-40.357929225853169</v>
      </c>
      <c r="CH193" s="678">
        <f>SUM(CH189:CH192)</f>
        <v>-38.845012695763721</v>
      </c>
      <c r="CI193" s="752">
        <f t="shared" si="108"/>
        <v>-159.89029147521248</v>
      </c>
      <c r="CJ193" s="752">
        <f t="shared" si="108"/>
        <v>-172.91966557522429</v>
      </c>
      <c r="CK193" s="752">
        <f t="shared" si="108"/>
        <v>-185.06682238271395</v>
      </c>
      <c r="CL193" s="752">
        <f t="shared" si="108"/>
        <v>-197.0637938276513</v>
      </c>
      <c r="CM193" s="752">
        <f t="shared" si="108"/>
        <v>-209.2599421883254</v>
      </c>
      <c r="CN193" s="678"/>
      <c r="CO193" s="685"/>
      <c r="CP193" s="678"/>
      <c r="CQ193" s="693"/>
    </row>
    <row r="194" spans="2:95" ht="16.5" customHeight="1" x14ac:dyDescent="0.25">
      <c r="C194" s="291"/>
      <c r="D194" s="291"/>
      <c r="E194" s="291"/>
      <c r="F194" s="291"/>
      <c r="G194" s="864"/>
      <c r="H194" s="291"/>
      <c r="I194" s="291"/>
      <c r="J194" s="291"/>
      <c r="K194" s="291"/>
      <c r="L194" s="864"/>
      <c r="M194" s="291"/>
      <c r="N194" s="291"/>
      <c r="O194" s="291"/>
      <c r="P194" s="291"/>
      <c r="Q194" s="864"/>
      <c r="R194" s="291"/>
      <c r="S194" s="291"/>
      <c r="T194" s="291"/>
      <c r="U194" s="291"/>
      <c r="V194" s="864"/>
      <c r="W194" s="291"/>
      <c r="X194" s="291"/>
      <c r="Y194" s="291"/>
      <c r="Z194" s="291"/>
      <c r="AA194" s="864"/>
      <c r="AB194" s="291"/>
      <c r="AC194" s="291"/>
      <c r="AD194" s="291"/>
      <c r="AE194" s="291"/>
      <c r="AF194" s="864"/>
      <c r="AG194" s="291"/>
      <c r="AH194" s="291"/>
      <c r="AI194" s="291"/>
      <c r="AJ194" s="291"/>
      <c r="AK194" s="864"/>
      <c r="AL194" s="291"/>
      <c r="AM194" s="291"/>
      <c r="AN194" s="291"/>
      <c r="AO194" s="291"/>
      <c r="AP194" s="864"/>
      <c r="AQ194" s="291"/>
      <c r="AR194" s="291"/>
      <c r="AS194" s="291"/>
      <c r="AT194" s="291"/>
      <c r="AU194" s="864"/>
      <c r="AV194" s="291"/>
      <c r="AW194" s="291"/>
      <c r="AX194" s="291"/>
      <c r="AY194" s="291"/>
      <c r="AZ194" s="864"/>
      <c r="BA194" s="291"/>
      <c r="BB194" s="291"/>
      <c r="BC194" s="291"/>
      <c r="BD194" s="291"/>
      <c r="BE194" s="864"/>
      <c r="BF194" s="291"/>
      <c r="BG194" s="291"/>
      <c r="BH194" s="291"/>
      <c r="BI194" s="291"/>
      <c r="BJ194" s="868"/>
      <c r="BK194" s="291"/>
      <c r="BL194" s="291"/>
      <c r="BM194" s="291"/>
      <c r="BN194" s="291"/>
      <c r="BO194" s="868"/>
      <c r="BP194" s="291"/>
      <c r="BQ194" s="291"/>
      <c r="BR194" s="291"/>
      <c r="BS194" s="291"/>
      <c r="BT194" s="868"/>
      <c r="BU194" s="291"/>
      <c r="BV194" s="291"/>
      <c r="BW194" s="291"/>
      <c r="BX194" s="291"/>
      <c r="BY194" s="868"/>
      <c r="BZ194" s="291"/>
      <c r="CA194" s="291"/>
      <c r="CB194" s="291"/>
      <c r="CC194" s="291"/>
      <c r="CD194" s="868"/>
      <c r="CE194" s="743"/>
      <c r="CF194" s="743"/>
      <c r="CG194" s="743"/>
      <c r="CH194" s="743"/>
      <c r="CI194" s="749"/>
      <c r="CJ194" s="749"/>
      <c r="CK194" s="749"/>
      <c r="CL194" s="749"/>
      <c r="CM194" s="749"/>
      <c r="CN194" s="291"/>
      <c r="CO194" s="683"/>
      <c r="CP194" s="291"/>
      <c r="CQ194" s="693"/>
    </row>
    <row r="195" spans="2:95" ht="16.5" customHeight="1" x14ac:dyDescent="0.25">
      <c r="B195" s="223" t="s">
        <v>745</v>
      </c>
      <c r="C195" s="224"/>
      <c r="D195" s="224"/>
      <c r="E195" s="224"/>
      <c r="F195" s="224"/>
      <c r="G195" s="867"/>
      <c r="H195" s="224"/>
      <c r="I195" s="224"/>
      <c r="J195" s="224"/>
      <c r="K195" s="224"/>
      <c r="L195" s="867"/>
      <c r="M195" s="224"/>
      <c r="N195" s="224"/>
      <c r="O195" s="224"/>
      <c r="P195" s="224"/>
      <c r="Q195" s="867"/>
      <c r="R195" s="224"/>
      <c r="S195" s="224"/>
      <c r="T195" s="224"/>
      <c r="U195" s="224"/>
      <c r="V195" s="867"/>
      <c r="W195" s="224"/>
      <c r="X195" s="224"/>
      <c r="Y195" s="224"/>
      <c r="Z195" s="224"/>
      <c r="AA195" s="867"/>
      <c r="AB195" s="224"/>
      <c r="AC195" s="224"/>
      <c r="AD195" s="224"/>
      <c r="AE195" s="224"/>
      <c r="AF195" s="867"/>
      <c r="AG195" s="224"/>
      <c r="AH195" s="224"/>
      <c r="AI195" s="224"/>
      <c r="AJ195" s="224"/>
      <c r="AK195" s="867"/>
      <c r="AL195" s="224"/>
      <c r="AM195" s="224"/>
      <c r="AN195" s="224"/>
      <c r="AO195" s="224"/>
      <c r="AP195" s="867"/>
      <c r="AQ195" s="224"/>
      <c r="AR195" s="224"/>
      <c r="AS195" s="224"/>
      <c r="AT195" s="224"/>
      <c r="AU195" s="867"/>
      <c r="AV195" s="224"/>
      <c r="AW195" s="224"/>
      <c r="AX195" s="224"/>
      <c r="AY195" s="224"/>
      <c r="AZ195" s="867"/>
      <c r="BA195" s="224"/>
      <c r="BB195" s="224"/>
      <c r="BC195" s="224"/>
      <c r="BD195" s="224"/>
      <c r="BE195" s="867"/>
      <c r="BF195" s="224"/>
      <c r="BG195" s="224"/>
      <c r="BH195" s="224"/>
      <c r="BI195" s="224"/>
      <c r="BJ195" s="923"/>
      <c r="BK195" s="224"/>
      <c r="BL195" s="224"/>
      <c r="BM195" s="224"/>
      <c r="BN195" s="224"/>
      <c r="BO195" s="923"/>
      <c r="BP195" s="224"/>
      <c r="BQ195" s="224"/>
      <c r="BR195" s="224"/>
      <c r="BS195" s="224"/>
      <c r="BT195" s="923"/>
      <c r="BU195" s="224"/>
      <c r="BV195" s="224"/>
      <c r="BW195" s="224"/>
      <c r="BX195" s="224"/>
      <c r="BY195" s="923"/>
      <c r="BZ195" s="224"/>
      <c r="CA195" s="224"/>
      <c r="CB195" s="224"/>
      <c r="CC195" s="224"/>
      <c r="CD195" s="923"/>
      <c r="CE195" s="744"/>
      <c r="CF195" s="744"/>
      <c r="CG195" s="744"/>
      <c r="CH195" s="744"/>
      <c r="CI195" s="224"/>
      <c r="CJ195" s="224"/>
      <c r="CK195" s="224"/>
      <c r="CL195" s="224"/>
      <c r="CM195" s="224"/>
      <c r="CN195" s="224"/>
      <c r="CO195" s="684"/>
      <c r="CP195" s="224"/>
      <c r="CQ195" s="693"/>
    </row>
    <row r="196" spans="2:95" ht="16.5" customHeight="1" x14ac:dyDescent="0.25">
      <c r="B196" t="s">
        <v>746</v>
      </c>
      <c r="C196" s="743"/>
      <c r="D196" s="743"/>
      <c r="E196" s="743"/>
      <c r="F196" s="743"/>
      <c r="G196" s="868">
        <v>-2.7949999999999999</v>
      </c>
      <c r="H196" s="743"/>
      <c r="I196" s="743"/>
      <c r="J196" s="743"/>
      <c r="K196" s="743"/>
      <c r="L196" s="868">
        <v>-0.501</v>
      </c>
      <c r="M196" s="743"/>
      <c r="N196" s="743"/>
      <c r="O196" s="743"/>
      <c r="P196" s="743"/>
      <c r="Q196" s="868">
        <v>-12.045</v>
      </c>
      <c r="R196" s="743"/>
      <c r="S196" s="743"/>
      <c r="T196" s="743"/>
      <c r="U196" s="743"/>
      <c r="V196" s="868">
        <v>-187</v>
      </c>
      <c r="W196" s="743"/>
      <c r="X196" s="743"/>
      <c r="Y196" s="743"/>
      <c r="Z196" s="743"/>
      <c r="AA196" s="868">
        <v>-201.77600000000001</v>
      </c>
      <c r="AB196" s="743"/>
      <c r="AC196" s="743"/>
      <c r="AD196" s="743"/>
      <c r="AE196" s="743"/>
      <c r="AF196" s="868">
        <v>289.17099999999999</v>
      </c>
      <c r="AG196" s="743"/>
      <c r="AH196" s="743"/>
      <c r="AI196" s="743"/>
      <c r="AJ196" s="743"/>
      <c r="AK196" s="868">
        <v>9.9019999999999992</v>
      </c>
      <c r="AL196" s="743"/>
      <c r="AM196" s="291"/>
      <c r="AN196" s="291"/>
      <c r="AO196" s="291"/>
      <c r="AP196" s="868">
        <v>-0.16800000000000001</v>
      </c>
      <c r="AQ196" s="291"/>
      <c r="AR196" s="291"/>
      <c r="AS196" s="291"/>
      <c r="AT196" s="291"/>
      <c r="AU196" s="868">
        <v>-10.922000000000001</v>
      </c>
      <c r="AV196" s="291"/>
      <c r="AW196" s="291"/>
      <c r="AX196" s="291"/>
      <c r="AY196" s="291"/>
      <c r="AZ196" s="868">
        <v>-0.41099999999999998</v>
      </c>
      <c r="BA196" s="291"/>
      <c r="BB196" s="291"/>
      <c r="BC196" s="291"/>
      <c r="BD196" s="291"/>
      <c r="BE196" s="864">
        <f>15.128-74.47+491.769-300</f>
        <v>132.42700000000002</v>
      </c>
      <c r="BF196" s="743">
        <v>-2.4860000000000002</v>
      </c>
      <c r="BG196" s="743">
        <v>2.383</v>
      </c>
      <c r="BH196" s="743">
        <v>-13.488</v>
      </c>
      <c r="BI196" s="291"/>
      <c r="BJ196" s="868">
        <v>10.62</v>
      </c>
      <c r="BK196" s="743">
        <v>-80.06</v>
      </c>
      <c r="BL196" s="743">
        <v>-0.121</v>
      </c>
      <c r="BM196" s="743">
        <v>-9.1999999999999998E-2</v>
      </c>
      <c r="BN196" s="291">
        <f t="shared" ref="BN196:BN201" si="109">BO196-BK196-BL196-BM196</f>
        <v>-9.1000000000002051E-2</v>
      </c>
      <c r="BO196" s="868">
        <v>-80.364000000000004</v>
      </c>
      <c r="BP196" s="743">
        <v>-9.2999999999999999E-2</v>
      </c>
      <c r="BQ196" s="743">
        <v>-9.5000000000000001E-2</v>
      </c>
      <c r="BR196" s="743">
        <v>-3.1E-2</v>
      </c>
      <c r="BS196" s="291">
        <f t="shared" ref="BS196:BS201" si="110">BT196-BP196-BQ196-BR196</f>
        <v>-0.69700000000000006</v>
      </c>
      <c r="BT196" s="868">
        <v>-0.91600000000000004</v>
      </c>
      <c r="BU196" s="743">
        <v>0</v>
      </c>
      <c r="BV196" s="743">
        <v>0</v>
      </c>
      <c r="BW196" s="743">
        <v>0</v>
      </c>
      <c r="BX196" s="291">
        <f t="shared" ref="BX196:BX201" si="111">BY196-BU196-BV196-BW196</f>
        <v>0</v>
      </c>
      <c r="BY196" s="868">
        <v>0</v>
      </c>
      <c r="BZ196" s="291"/>
      <c r="CA196" s="291"/>
      <c r="CB196" s="743">
        <v>250</v>
      </c>
      <c r="CC196" s="291">
        <f t="shared" ref="CC196:CC201" si="112">CD196-BZ196-CA196-CB196</f>
        <v>0</v>
      </c>
      <c r="CD196" s="868">
        <v>250</v>
      </c>
      <c r="CE196" s="743">
        <v>111</v>
      </c>
      <c r="CF196" s="743">
        <v>-306</v>
      </c>
      <c r="CG196" s="743">
        <v>-2.5</v>
      </c>
      <c r="CH196" s="743">
        <v>-2.5</v>
      </c>
      <c r="CI196" s="749">
        <f>-9</f>
        <v>-9</v>
      </c>
      <c r="CJ196" s="774">
        <v>-9</v>
      </c>
      <c r="CK196" s="774">
        <v>-9</v>
      </c>
      <c r="CL196" s="774">
        <v>-9</v>
      </c>
      <c r="CM196" s="774">
        <v>-9</v>
      </c>
      <c r="CN196" s="291"/>
      <c r="CO196" s="683"/>
      <c r="CP196" s="291"/>
      <c r="CQ196" s="693"/>
    </row>
    <row r="197" spans="2:95" ht="16.5" customHeight="1" x14ac:dyDescent="0.25">
      <c r="B197" t="s">
        <v>747</v>
      </c>
      <c r="C197" s="743"/>
      <c r="D197" s="743"/>
      <c r="E197" s="743"/>
      <c r="F197" s="743"/>
      <c r="G197" s="868">
        <v>-64.016000000000005</v>
      </c>
      <c r="H197" s="743"/>
      <c r="I197" s="743"/>
      <c r="J197" s="743"/>
      <c r="K197" s="743"/>
      <c r="L197" s="868">
        <v>-37.118000000000002</v>
      </c>
      <c r="M197" s="743"/>
      <c r="N197" s="743"/>
      <c r="O197" s="743"/>
      <c r="P197" s="743"/>
      <c r="Q197" s="868">
        <v>-21.972999999999999</v>
      </c>
      <c r="R197" s="743"/>
      <c r="S197" s="743"/>
      <c r="T197" s="743"/>
      <c r="U197" s="743"/>
      <c r="V197" s="868">
        <v>130.66900000000001</v>
      </c>
      <c r="W197" s="743"/>
      <c r="X197" s="743"/>
      <c r="Y197" s="743"/>
      <c r="Z197" s="743"/>
      <c r="AA197" s="868">
        <v>360.15800000000002</v>
      </c>
      <c r="AB197" s="743"/>
      <c r="AC197" s="743"/>
      <c r="AD197" s="743"/>
      <c r="AE197" s="743"/>
      <c r="AF197" s="868">
        <v>-93.575999999999993</v>
      </c>
      <c r="AG197" s="743"/>
      <c r="AH197" s="743"/>
      <c r="AI197" s="743"/>
      <c r="AJ197" s="743"/>
      <c r="AK197" s="868">
        <v>-74.974000000000004</v>
      </c>
      <c r="AL197" s="743"/>
      <c r="AM197" s="291"/>
      <c r="AN197" s="291"/>
      <c r="AO197" s="291"/>
      <c r="AP197" s="868">
        <v>-49.89</v>
      </c>
      <c r="AQ197" s="291"/>
      <c r="AR197" s="291"/>
      <c r="AS197" s="291"/>
      <c r="AT197" s="291"/>
      <c r="AU197" s="868">
        <v>-106.492</v>
      </c>
      <c r="AV197" s="291"/>
      <c r="AW197" s="291"/>
      <c r="AX197" s="291"/>
      <c r="AY197" s="291"/>
      <c r="AZ197" s="868">
        <v>-30.721</v>
      </c>
      <c r="BA197" s="291"/>
      <c r="BB197" s="291"/>
      <c r="BC197" s="291"/>
      <c r="BD197" s="291"/>
      <c r="BE197" s="864">
        <f>1151.55-1187.159-1.167</f>
        <v>-36.776000000000153</v>
      </c>
      <c r="BF197" s="743">
        <v>36</v>
      </c>
      <c r="BG197" s="743">
        <v>-0.5</v>
      </c>
      <c r="BH197" s="743">
        <v>-33.985999999999997</v>
      </c>
      <c r="BI197" s="291"/>
      <c r="BJ197" s="868">
        <v>-38.985999999999997</v>
      </c>
      <c r="BK197" s="743">
        <v>-48.276000000000003</v>
      </c>
      <c r="BL197" s="743">
        <v>56.75</v>
      </c>
      <c r="BM197" s="743">
        <v>23.95</v>
      </c>
      <c r="BN197" s="291">
        <f t="shared" si="109"/>
        <v>-19.749999999999996</v>
      </c>
      <c r="BO197" s="868">
        <v>12.673999999999999</v>
      </c>
      <c r="BP197" s="743">
        <v>80.7</v>
      </c>
      <c r="BQ197" s="743">
        <v>41.231999999999999</v>
      </c>
      <c r="BR197" s="743">
        <v>52.973999999999997</v>
      </c>
      <c r="BS197" s="291">
        <f t="shared" si="110"/>
        <v>-148.22499999999999</v>
      </c>
      <c r="BT197" s="868">
        <v>26.681000000000001</v>
      </c>
      <c r="BU197" s="743">
        <v>56.5</v>
      </c>
      <c r="BV197" s="743">
        <v>28</v>
      </c>
      <c r="BW197" s="743">
        <v>9</v>
      </c>
      <c r="BX197" s="291">
        <f t="shared" si="111"/>
        <v>-84.5</v>
      </c>
      <c r="BY197" s="868">
        <v>9</v>
      </c>
      <c r="BZ197" s="743">
        <v>229.5</v>
      </c>
      <c r="CA197" s="743">
        <v>61</v>
      </c>
      <c r="CB197" s="743">
        <v>-334.5</v>
      </c>
      <c r="CC197" s="291">
        <f t="shared" si="112"/>
        <v>-136.5</v>
      </c>
      <c r="CD197" s="868">
        <v>-180.5</v>
      </c>
      <c r="CE197" s="743">
        <v>-4.3079999999999998</v>
      </c>
      <c r="CF197" s="743">
        <v>-3.7050000000000001</v>
      </c>
      <c r="CG197" s="743">
        <v>0</v>
      </c>
      <c r="CH197" s="743">
        <v>0</v>
      </c>
      <c r="CI197" s="774">
        <v>0</v>
      </c>
      <c r="CJ197" s="774">
        <v>0</v>
      </c>
      <c r="CK197" s="774">
        <v>0</v>
      </c>
      <c r="CL197" s="774">
        <v>0</v>
      </c>
      <c r="CM197" s="774">
        <v>0</v>
      </c>
      <c r="CN197" s="291"/>
      <c r="CO197" s="683"/>
      <c r="CP197" s="291"/>
      <c r="CQ197" s="693"/>
    </row>
    <row r="198" spans="2:95" ht="16.5" customHeight="1" x14ac:dyDescent="0.25">
      <c r="B198" t="s">
        <v>748</v>
      </c>
      <c r="C198" s="743"/>
      <c r="D198" s="743"/>
      <c r="E198" s="743"/>
      <c r="F198" s="743"/>
      <c r="G198" s="868">
        <v>0</v>
      </c>
      <c r="H198" s="743"/>
      <c r="I198" s="743"/>
      <c r="J198" s="743"/>
      <c r="K198" s="743"/>
      <c r="L198" s="868">
        <v>0</v>
      </c>
      <c r="M198" s="743"/>
      <c r="N198" s="743"/>
      <c r="O198" s="743"/>
      <c r="P198" s="743"/>
      <c r="Q198" s="868">
        <v>0</v>
      </c>
      <c r="R198" s="743"/>
      <c r="S198" s="743"/>
      <c r="T198" s="743"/>
      <c r="U198" s="743"/>
      <c r="V198" s="868">
        <v>0</v>
      </c>
      <c r="W198" s="743"/>
      <c r="X198" s="743"/>
      <c r="Y198" s="743"/>
      <c r="Z198" s="743"/>
      <c r="AA198" s="868">
        <v>0</v>
      </c>
      <c r="AB198" s="743"/>
      <c r="AC198" s="743"/>
      <c r="AD198" s="743"/>
      <c r="AE198" s="743"/>
      <c r="AF198" s="868">
        <v>0</v>
      </c>
      <c r="AG198" s="743"/>
      <c r="AH198" s="743"/>
      <c r="AI198" s="743"/>
      <c r="AJ198" s="743"/>
      <c r="AK198" s="868">
        <v>0</v>
      </c>
      <c r="AL198" s="743"/>
      <c r="AM198" s="291"/>
      <c r="AN198" s="291"/>
      <c r="AO198" s="291"/>
      <c r="AP198" s="868">
        <v>0</v>
      </c>
      <c r="AQ198" s="291"/>
      <c r="AR198" s="291"/>
      <c r="AS198" s="291"/>
      <c r="AT198" s="291"/>
      <c r="AU198" s="868">
        <v>-17.888999999999999</v>
      </c>
      <c r="AV198" s="291"/>
      <c r="AW198" s="291"/>
      <c r="AX198" s="291"/>
      <c r="AY198" s="291"/>
      <c r="AZ198" s="868">
        <v>-34.856999999999999</v>
      </c>
      <c r="BA198" s="291"/>
      <c r="BB198" s="291"/>
      <c r="BC198" s="291"/>
      <c r="BD198" s="291"/>
      <c r="BE198" s="868">
        <v>-25.21</v>
      </c>
      <c r="BF198" s="743">
        <v>-8.01</v>
      </c>
      <c r="BG198" s="743">
        <v>-8.0359999999999996</v>
      </c>
      <c r="BH198" s="743">
        <v>-8.0350000000000001</v>
      </c>
      <c r="BI198" s="291"/>
      <c r="BJ198" s="868">
        <v>-32.106000000000002</v>
      </c>
      <c r="BK198" s="743">
        <v>-8.0310000000000006</v>
      </c>
      <c r="BL198" s="743">
        <v>-8.32</v>
      </c>
      <c r="BM198" s="743">
        <v>-8.3019999999999996</v>
      </c>
      <c r="BN198" s="291">
        <f t="shared" si="109"/>
        <v>-8.3170000000000002</v>
      </c>
      <c r="BO198" s="868">
        <v>-32.97</v>
      </c>
      <c r="BP198" s="743">
        <v>-8.2569999999999997</v>
      </c>
      <c r="BQ198" s="743">
        <v>-8.6020000000000003</v>
      </c>
      <c r="BR198" s="743">
        <v>-8.6</v>
      </c>
      <c r="BS198" s="291">
        <f t="shared" si="110"/>
        <v>-8.6150000000000002</v>
      </c>
      <c r="BT198" s="868">
        <v>-34.073999999999998</v>
      </c>
      <c r="BU198" s="743">
        <v>-8.6189999999999998</v>
      </c>
      <c r="BV198" s="743">
        <v>-8.9529999999999994</v>
      </c>
      <c r="BW198" s="743">
        <v>-8.9489999999999998</v>
      </c>
      <c r="BX198" s="291">
        <f t="shared" si="111"/>
        <v>-8.9550000000000001</v>
      </c>
      <c r="BY198" s="868">
        <v>-35.475999999999999</v>
      </c>
      <c r="BZ198" s="743">
        <v>-8.9610000000000003</v>
      </c>
      <c r="CA198" s="743">
        <v>-9.1449999999999996</v>
      </c>
      <c r="CB198" s="743">
        <v>-9.141</v>
      </c>
      <c r="CC198" s="291">
        <f t="shared" si="112"/>
        <v>-9.1830000000000016</v>
      </c>
      <c r="CD198" s="868">
        <v>-36.43</v>
      </c>
      <c r="CE198" s="743">
        <v>-9.1929999999999996</v>
      </c>
      <c r="CF198" s="743">
        <v>-9.5129999999999999</v>
      </c>
      <c r="CG198" s="743">
        <v>-10</v>
      </c>
      <c r="CH198" s="743">
        <v>-11.294</v>
      </c>
      <c r="CI198" s="774">
        <v>-40</v>
      </c>
      <c r="CJ198" s="774">
        <v>-45</v>
      </c>
      <c r="CK198" s="774">
        <v>-50</v>
      </c>
      <c r="CL198" s="774">
        <v>-55</v>
      </c>
      <c r="CM198" s="774">
        <v>-60</v>
      </c>
      <c r="CN198" s="291"/>
      <c r="CO198" s="683"/>
      <c r="CP198" s="291"/>
      <c r="CQ198" s="694" t="s">
        <v>856</v>
      </c>
    </row>
    <row r="199" spans="2:95" ht="16.5" customHeight="1" x14ac:dyDescent="0.25">
      <c r="B199" t="s">
        <v>749</v>
      </c>
      <c r="C199" s="743"/>
      <c r="D199" s="743"/>
      <c r="E199" s="743"/>
      <c r="F199" s="743"/>
      <c r="G199" s="868">
        <v>-0.53400000000000003</v>
      </c>
      <c r="H199" s="743"/>
      <c r="I199" s="743"/>
      <c r="J199" s="743"/>
      <c r="K199" s="743"/>
      <c r="L199" s="868">
        <v>-30.087</v>
      </c>
      <c r="M199" s="743"/>
      <c r="N199" s="743"/>
      <c r="O199" s="743"/>
      <c r="P199" s="743"/>
      <c r="Q199" s="868">
        <v>-1.413</v>
      </c>
      <c r="R199" s="743"/>
      <c r="S199" s="743"/>
      <c r="T199" s="743"/>
      <c r="U199" s="743"/>
      <c r="V199" s="868">
        <v>-11.614000000000001</v>
      </c>
      <c r="W199" s="743"/>
      <c r="X199" s="743"/>
      <c r="Y199" s="743"/>
      <c r="Z199" s="743"/>
      <c r="AA199" s="868">
        <v>-272.87599999999998</v>
      </c>
      <c r="AB199" s="743"/>
      <c r="AC199" s="743"/>
      <c r="AD199" s="743"/>
      <c r="AE199" s="743"/>
      <c r="AF199" s="868">
        <v>-363.84800000000001</v>
      </c>
      <c r="AG199" s="743"/>
      <c r="AH199" s="743"/>
      <c r="AI199" s="743"/>
      <c r="AJ199" s="743"/>
      <c r="AK199" s="868">
        <v>-44.933</v>
      </c>
      <c r="AL199" s="743"/>
      <c r="AM199" s="291"/>
      <c r="AN199" s="291"/>
      <c r="AO199" s="291"/>
      <c r="AP199" s="868">
        <v>-8.6430000000000007</v>
      </c>
      <c r="AQ199" s="291"/>
      <c r="AR199" s="291"/>
      <c r="AS199" s="291"/>
      <c r="AT199" s="291"/>
      <c r="AU199" s="868">
        <v>-8.218</v>
      </c>
      <c r="AV199" s="291"/>
      <c r="AW199" s="291"/>
      <c r="AX199" s="291"/>
      <c r="AY199" s="291"/>
      <c r="AZ199" s="868">
        <v>-40.954999999999998</v>
      </c>
      <c r="BA199" s="291"/>
      <c r="BB199" s="291"/>
      <c r="BC199" s="291"/>
      <c r="BD199" s="291"/>
      <c r="BE199" s="864">
        <f>-232.29-6.774</f>
        <v>-239.06399999999999</v>
      </c>
      <c r="BF199" s="743">
        <v>-11.673999999999999</v>
      </c>
      <c r="BG199" s="743">
        <v>-7.17</v>
      </c>
      <c r="BH199" s="743">
        <v>-7.8579999999999997</v>
      </c>
      <c r="BI199" s="291"/>
      <c r="BJ199" s="868">
        <v>-31.672999999999998</v>
      </c>
      <c r="BK199" s="743">
        <v>-16.657</v>
      </c>
      <c r="BL199" s="743">
        <v>-9.8239999999999998</v>
      </c>
      <c r="BM199" s="743">
        <v>-4.0039999999999996</v>
      </c>
      <c r="BN199" s="291">
        <f t="shared" si="109"/>
        <v>-18.073</v>
      </c>
      <c r="BO199" s="868">
        <v>-48.558</v>
      </c>
      <c r="BP199" s="743">
        <v>-12.721</v>
      </c>
      <c r="BQ199" s="743">
        <v>-7.7359999999999998</v>
      </c>
      <c r="BR199" s="743">
        <v>-2.6760000000000002</v>
      </c>
      <c r="BS199" s="291">
        <f t="shared" si="110"/>
        <v>-6.173</v>
      </c>
      <c r="BT199" s="868">
        <v>-29.306000000000001</v>
      </c>
      <c r="BU199" s="743">
        <v>-8.7110000000000003</v>
      </c>
      <c r="BV199" s="743">
        <v>-11.526999999999999</v>
      </c>
      <c r="BW199" s="743">
        <v>-1.5940000000000001</v>
      </c>
      <c r="BX199" s="291">
        <f t="shared" si="111"/>
        <v>-14.906000000000001</v>
      </c>
      <c r="BY199" s="868">
        <v>-36.738</v>
      </c>
      <c r="BZ199" s="743">
        <v>-55.692</v>
      </c>
      <c r="CA199" s="743">
        <v>-70.733000000000004</v>
      </c>
      <c r="CB199" s="743">
        <v>-1.383</v>
      </c>
      <c r="CC199" s="291">
        <f t="shared" si="112"/>
        <v>-14.898999999999983</v>
      </c>
      <c r="CD199" s="868">
        <v>-142.70699999999999</v>
      </c>
      <c r="CE199" s="743">
        <v>-17.527999999999999</v>
      </c>
      <c r="CF199" s="743">
        <v>-33.970999999999997</v>
      </c>
      <c r="CG199" s="743">
        <v>-37.5</v>
      </c>
      <c r="CH199" s="743">
        <v>-37.5</v>
      </c>
      <c r="CI199" s="774">
        <v>-150</v>
      </c>
      <c r="CJ199" s="774">
        <v>-150</v>
      </c>
      <c r="CK199" s="774">
        <v>-150</v>
      </c>
      <c r="CL199" s="774">
        <v>-150</v>
      </c>
      <c r="CM199" s="774">
        <v>-150</v>
      </c>
      <c r="CN199" s="291"/>
      <c r="CO199" s="683"/>
      <c r="CP199" s="291"/>
      <c r="CQ199" s="694" t="s">
        <v>857</v>
      </c>
    </row>
    <row r="200" spans="2:95" ht="16.5" customHeight="1" x14ac:dyDescent="0.25">
      <c r="B200" t="s">
        <v>750</v>
      </c>
      <c r="C200" s="743"/>
      <c r="D200" s="743"/>
      <c r="E200" s="743"/>
      <c r="F200" s="743"/>
      <c r="G200" s="868">
        <v>2.714</v>
      </c>
      <c r="H200" s="743"/>
      <c r="I200" s="743"/>
      <c r="J200" s="743"/>
      <c r="K200" s="743"/>
      <c r="L200" s="868">
        <v>4.899</v>
      </c>
      <c r="M200" s="743"/>
      <c r="N200" s="743"/>
      <c r="O200" s="743"/>
      <c r="P200" s="743"/>
      <c r="Q200" s="868">
        <v>4.3529999999999998</v>
      </c>
      <c r="R200" s="743"/>
      <c r="S200" s="743"/>
      <c r="T200" s="743"/>
      <c r="U200" s="743"/>
      <c r="V200" s="868">
        <v>12.595000000000001</v>
      </c>
      <c r="W200" s="743"/>
      <c r="X200" s="743"/>
      <c r="Y200" s="743"/>
      <c r="Z200" s="743"/>
      <c r="AA200" s="868">
        <v>6.3010000000000002</v>
      </c>
      <c r="AB200" s="743"/>
      <c r="AC200" s="743"/>
      <c r="AD200" s="743"/>
      <c r="AE200" s="743"/>
      <c r="AF200" s="868">
        <v>24.827000000000002</v>
      </c>
      <c r="AG200" s="743"/>
      <c r="AH200" s="743"/>
      <c r="AI200" s="743"/>
      <c r="AJ200" s="743"/>
      <c r="AK200" s="868">
        <v>32.622</v>
      </c>
      <c r="AL200" s="743"/>
      <c r="AM200" s="291"/>
      <c r="AN200" s="291"/>
      <c r="AO200" s="291"/>
      <c r="AP200" s="868">
        <v>4.6639999999999997</v>
      </c>
      <c r="AQ200" s="291"/>
      <c r="AR200" s="291"/>
      <c r="AS200" s="291"/>
      <c r="AT200" s="291"/>
      <c r="AU200" s="868">
        <v>9.2739999999999991</v>
      </c>
      <c r="AV200" s="291"/>
      <c r="AW200" s="291"/>
      <c r="AX200" s="291"/>
      <c r="AY200" s="291"/>
      <c r="AZ200" s="868">
        <v>19.257999999999999</v>
      </c>
      <c r="BA200" s="291"/>
      <c r="BB200" s="291"/>
      <c r="BC200" s="291"/>
      <c r="BD200" s="291"/>
      <c r="BE200" s="864">
        <f>7.014+24.721</f>
        <v>31.734999999999999</v>
      </c>
      <c r="BF200" s="743">
        <v>-0.38100000000000001</v>
      </c>
      <c r="BG200" s="743">
        <v>2.3260000000000001</v>
      </c>
      <c r="BH200" s="743">
        <v>-0.19800000000000001</v>
      </c>
      <c r="BI200" s="291"/>
      <c r="BJ200" s="868">
        <v>7.306</v>
      </c>
      <c r="BK200" s="743">
        <v>1.944</v>
      </c>
      <c r="BL200" s="743">
        <v>3.9350000000000001</v>
      </c>
      <c r="BM200" s="743">
        <v>1.0149999999999999</v>
      </c>
      <c r="BN200" s="291">
        <f t="shared" si="109"/>
        <v>9.94</v>
      </c>
      <c r="BO200" s="868">
        <v>16.834</v>
      </c>
      <c r="BP200" s="743">
        <v>2.677</v>
      </c>
      <c r="BQ200" s="743">
        <v>9.0449999999999999</v>
      </c>
      <c r="BR200" s="743">
        <v>0.871</v>
      </c>
      <c r="BS200" s="291">
        <f t="shared" si="110"/>
        <v>8.6539999999999999</v>
      </c>
      <c r="BT200" s="868">
        <v>21.247</v>
      </c>
      <c r="BU200" s="743">
        <v>1.0209999999999999</v>
      </c>
      <c r="BV200" s="743">
        <v>12.939</v>
      </c>
      <c r="BW200" s="743">
        <v>-4.0069999999999997</v>
      </c>
      <c r="BX200" s="291">
        <f t="shared" si="111"/>
        <v>11.097</v>
      </c>
      <c r="BY200" s="868">
        <v>21.05</v>
      </c>
      <c r="BZ200" s="743">
        <v>1.5780000000000001</v>
      </c>
      <c r="CA200" s="743">
        <v>10.728</v>
      </c>
      <c r="CB200" s="743">
        <v>0.44600000000000001</v>
      </c>
      <c r="CC200" s="291">
        <f t="shared" si="112"/>
        <v>10.495000000000001</v>
      </c>
      <c r="CD200" s="868">
        <v>23.247</v>
      </c>
      <c r="CE200" s="743">
        <v>8.09</v>
      </c>
      <c r="CF200" s="743">
        <v>0.38600000000000001</v>
      </c>
      <c r="CG200" s="743">
        <v>7.5</v>
      </c>
      <c r="CH200" s="743">
        <v>7.5</v>
      </c>
      <c r="CI200" s="774">
        <v>30</v>
      </c>
      <c r="CJ200" s="774">
        <v>25</v>
      </c>
      <c r="CK200" s="774">
        <v>25</v>
      </c>
      <c r="CL200" s="774">
        <v>25</v>
      </c>
      <c r="CM200" s="774">
        <v>25</v>
      </c>
      <c r="CN200" s="291"/>
      <c r="CO200" s="683"/>
      <c r="CP200" s="291"/>
      <c r="CQ200" s="693"/>
    </row>
    <row r="201" spans="2:95" ht="16.5" customHeight="1" x14ac:dyDescent="0.25">
      <c r="B201" t="s">
        <v>751</v>
      </c>
      <c r="C201" s="833"/>
      <c r="D201" s="833"/>
      <c r="E201" s="833"/>
      <c r="F201" s="833"/>
      <c r="G201" s="884">
        <v>-1.296</v>
      </c>
      <c r="H201" s="833"/>
      <c r="I201" s="833"/>
      <c r="J201" s="833"/>
      <c r="K201" s="833"/>
      <c r="L201" s="885">
        <f>L226-L206-L186-L193-L204-SUM(L196:L200)</f>
        <v>-157.55799999999999</v>
      </c>
      <c r="M201" s="833"/>
      <c r="N201" s="833"/>
      <c r="O201" s="833"/>
      <c r="P201" s="833"/>
      <c r="Q201" s="885">
        <f>Q226-Q206-Q186-Q193-Q204-SUM(Q196:Q200)</f>
        <v>-114.99400000000006</v>
      </c>
      <c r="R201" s="833"/>
      <c r="S201" s="833"/>
      <c r="T201" s="833"/>
      <c r="U201" s="833"/>
      <c r="V201" s="885">
        <f>V226-V206-V186-V193-V204-SUM(V196:V200)</f>
        <v>-13.697999999999979</v>
      </c>
      <c r="W201" s="833"/>
      <c r="X201" s="833"/>
      <c r="Y201" s="833"/>
      <c r="Z201" s="833"/>
      <c r="AA201" s="885">
        <f>AA226-AA206-AA186-AA193-AA204-SUM(AA196:AA200)</f>
        <v>-19.782000000000082</v>
      </c>
      <c r="AB201" s="833"/>
      <c r="AC201" s="833"/>
      <c r="AD201" s="833"/>
      <c r="AE201" s="833"/>
      <c r="AF201" s="885">
        <f>AF226-AF206-AF186-AF193-AF204-SUM(AF196:AF200)</f>
        <v>-37.342999999999961</v>
      </c>
      <c r="AG201" s="833"/>
      <c r="AH201" s="833"/>
      <c r="AI201" s="833"/>
      <c r="AJ201" s="833"/>
      <c r="AK201" s="885">
        <f>AK226-AK206-AK186-AK193-AK204-SUM(AK196:AK200)</f>
        <v>-108.82399999999991</v>
      </c>
      <c r="AL201" s="833"/>
      <c r="AM201" s="834"/>
      <c r="AN201" s="834"/>
      <c r="AO201" s="834"/>
      <c r="AP201" s="885">
        <f>AP226-AP206-AP186-AP193-AP204-SUM(AP196:AP200)</f>
        <v>-114.17500000000007</v>
      </c>
      <c r="AQ201" s="834"/>
      <c r="AR201" s="834"/>
      <c r="AS201" s="834"/>
      <c r="AT201" s="834"/>
      <c r="AU201" s="885">
        <f>AU226-AU206-AU186-AU193-AU204-SUM(AU196:AU200)</f>
        <v>-156.61499999999998</v>
      </c>
      <c r="AV201" s="834"/>
      <c r="AW201" s="834"/>
      <c r="AX201" s="834"/>
      <c r="AY201" s="834"/>
      <c r="AZ201" s="885">
        <f>AZ226-AZ206-AZ186-AZ193-AZ204-SUM(AZ196:AZ200)</f>
        <v>-13.841000000000008</v>
      </c>
      <c r="BA201" s="834"/>
      <c r="BB201" s="834"/>
      <c r="BC201" s="834"/>
      <c r="BD201" s="834"/>
      <c r="BE201" s="884">
        <v>-5.8780000000000001</v>
      </c>
      <c r="BF201" s="833">
        <v>-0.48799999999999999</v>
      </c>
      <c r="BG201" s="833">
        <v>-0.55400000000000005</v>
      </c>
      <c r="BH201" s="833">
        <v>-0.54600000000000004</v>
      </c>
      <c r="BI201" s="834"/>
      <c r="BJ201" s="884">
        <v>-2.1560000000000001</v>
      </c>
      <c r="BK201" s="833">
        <v>-0.505</v>
      </c>
      <c r="BL201" s="833">
        <v>-0.57999999999999996</v>
      </c>
      <c r="BM201" s="833">
        <v>-0.69399999999999995</v>
      </c>
      <c r="BN201" s="834">
        <f t="shared" si="109"/>
        <v>-0.74500000000000011</v>
      </c>
      <c r="BO201" s="884">
        <v>-2.524</v>
      </c>
      <c r="BP201" s="833">
        <v>-2.91</v>
      </c>
      <c r="BQ201" s="833">
        <v>-1.0129999999999999</v>
      </c>
      <c r="BR201" s="833">
        <v>-1.552</v>
      </c>
      <c r="BS201" s="834">
        <f t="shared" si="110"/>
        <v>-0.86499999999999977</v>
      </c>
      <c r="BT201" s="884">
        <v>-6.34</v>
      </c>
      <c r="BU201" s="833">
        <v>-1.286</v>
      </c>
      <c r="BV201" s="833">
        <v>-1.4550000000000001</v>
      </c>
      <c r="BW201" s="833">
        <v>-1.7270000000000001</v>
      </c>
      <c r="BX201" s="834">
        <f t="shared" si="111"/>
        <v>-1.5689999999999993</v>
      </c>
      <c r="BY201" s="884">
        <v>-6.0369999999999999</v>
      </c>
      <c r="BZ201" s="833">
        <v>-3.1840000000000002</v>
      </c>
      <c r="CA201" s="833">
        <v>-2.774</v>
      </c>
      <c r="CB201" s="833">
        <v>-2.8359999999999999</v>
      </c>
      <c r="CC201" s="834">
        <f t="shared" si="112"/>
        <v>-3.1069999999999989</v>
      </c>
      <c r="CD201" s="884">
        <v>-11.901</v>
      </c>
      <c r="CE201" s="743">
        <v>-0.33900000000000002</v>
      </c>
      <c r="CF201" s="743">
        <v>-2.7770000000000001</v>
      </c>
      <c r="CG201" s="743">
        <v>0</v>
      </c>
      <c r="CH201" s="743">
        <v>0</v>
      </c>
      <c r="CI201" s="855">
        <v>0</v>
      </c>
      <c r="CJ201" s="855">
        <v>0</v>
      </c>
      <c r="CK201" s="855">
        <v>0</v>
      </c>
      <c r="CL201" s="855">
        <v>0</v>
      </c>
      <c r="CM201" s="855">
        <v>0</v>
      </c>
      <c r="CN201" s="291"/>
      <c r="CO201" s="683"/>
      <c r="CP201" s="291"/>
      <c r="CQ201" s="693"/>
    </row>
    <row r="202" spans="2:95" ht="16.5" customHeight="1" x14ac:dyDescent="0.25">
      <c r="B202" s="8" t="s">
        <v>752</v>
      </c>
      <c r="C202" s="678"/>
      <c r="D202" s="678"/>
      <c r="E202" s="678"/>
      <c r="F202" s="678"/>
      <c r="G202" s="870">
        <f>SUM(G196:G201)</f>
        <v>-65.927000000000021</v>
      </c>
      <c r="H202" s="678"/>
      <c r="I202" s="678"/>
      <c r="J202" s="678"/>
      <c r="K202" s="678"/>
      <c r="L202" s="870">
        <f>SUM(L196:L201)</f>
        <v>-220.36500000000001</v>
      </c>
      <c r="M202" s="678"/>
      <c r="N202" s="678"/>
      <c r="O202" s="678"/>
      <c r="P202" s="678"/>
      <c r="Q202" s="870">
        <f>SUM(Q196:Q201)</f>
        <v>-146.07200000000006</v>
      </c>
      <c r="R202" s="678"/>
      <c r="S202" s="678"/>
      <c r="T202" s="678"/>
      <c r="U202" s="678"/>
      <c r="V202" s="870">
        <f>SUM(V196:V201)</f>
        <v>-69.047999999999973</v>
      </c>
      <c r="W202" s="678"/>
      <c r="X202" s="678"/>
      <c r="Y202" s="678"/>
      <c r="Z202" s="678"/>
      <c r="AA202" s="870">
        <f>SUM(AA196:AA201)</f>
        <v>-127.97500000000005</v>
      </c>
      <c r="AB202" s="678"/>
      <c r="AC202" s="678"/>
      <c r="AD202" s="678"/>
      <c r="AE202" s="678"/>
      <c r="AF202" s="870">
        <f>SUM(AF196:AF201)</f>
        <v>-180.76899999999998</v>
      </c>
      <c r="AG202" s="678"/>
      <c r="AH202" s="678"/>
      <c r="AI202" s="678"/>
      <c r="AJ202" s="678"/>
      <c r="AK202" s="870">
        <f>SUM(AK196:AK201)</f>
        <v>-186.20699999999991</v>
      </c>
      <c r="AL202" s="678"/>
      <c r="AM202" s="678"/>
      <c r="AN202" s="678"/>
      <c r="AO202" s="678"/>
      <c r="AP202" s="870">
        <f>SUM(AP196:AP201)</f>
        <v>-168.21200000000007</v>
      </c>
      <c r="AQ202" s="678"/>
      <c r="AR202" s="678"/>
      <c r="AS202" s="678"/>
      <c r="AT202" s="678"/>
      <c r="AU202" s="870">
        <f>SUM(AU196:AU201)</f>
        <v>-290.86199999999997</v>
      </c>
      <c r="AV202" s="678"/>
      <c r="AW202" s="678"/>
      <c r="AX202" s="678"/>
      <c r="AY202" s="678"/>
      <c r="AZ202" s="870">
        <f>SUM(AZ196:AZ201)</f>
        <v>-101.52700000000002</v>
      </c>
      <c r="BA202" s="678"/>
      <c r="BB202" s="678"/>
      <c r="BC202" s="678"/>
      <c r="BD202" s="678"/>
      <c r="BE202" s="870">
        <f>SUM(BE196:BE201)</f>
        <v>-142.76600000000013</v>
      </c>
      <c r="BF202" s="678">
        <f>SUM(BF196:BF201)</f>
        <v>12.961000000000006</v>
      </c>
      <c r="BG202" s="678">
        <f>SUM(BG196:BG201)</f>
        <v>-11.551</v>
      </c>
      <c r="BH202" s="678">
        <f>SUM(BH196:BH201)</f>
        <v>-64.111000000000004</v>
      </c>
      <c r="BI202" s="678"/>
      <c r="BJ202" s="931">
        <v>-86.995000000000005</v>
      </c>
      <c r="BK202" s="678">
        <f t="shared" ref="BK202:CM202" si="113">SUM(BK196:BK201)</f>
        <v>-151.58500000000004</v>
      </c>
      <c r="BL202" s="678">
        <f t="shared" si="113"/>
        <v>41.84</v>
      </c>
      <c r="BM202" s="678">
        <f t="shared" si="113"/>
        <v>11.873000000000001</v>
      </c>
      <c r="BN202" s="678">
        <f t="shared" si="113"/>
        <v>-37.035999999999994</v>
      </c>
      <c r="BO202" s="870">
        <f t="shared" si="113"/>
        <v>-134.90799999999999</v>
      </c>
      <c r="BP202" s="678">
        <f t="shared" si="113"/>
        <v>59.395999999999987</v>
      </c>
      <c r="BQ202" s="678">
        <f t="shared" si="113"/>
        <v>32.830999999999996</v>
      </c>
      <c r="BR202" s="678">
        <f t="shared" si="113"/>
        <v>40.985999999999997</v>
      </c>
      <c r="BS202" s="678">
        <f t="shared" si="113"/>
        <v>-155.92100000000002</v>
      </c>
      <c r="BT202" s="870">
        <f t="shared" si="113"/>
        <v>-22.707999999999995</v>
      </c>
      <c r="BU202" s="678">
        <f t="shared" si="113"/>
        <v>38.905000000000001</v>
      </c>
      <c r="BV202" s="678">
        <f t="shared" si="113"/>
        <v>19.004000000000005</v>
      </c>
      <c r="BW202" s="678">
        <f t="shared" si="113"/>
        <v>-7.2770000000000001</v>
      </c>
      <c r="BX202" s="678">
        <f t="shared" si="113"/>
        <v>-98.833000000000013</v>
      </c>
      <c r="BY202" s="870">
        <f t="shared" si="113"/>
        <v>-48.201000000000001</v>
      </c>
      <c r="BZ202" s="678">
        <f t="shared" si="113"/>
        <v>163.24099999999999</v>
      </c>
      <c r="CA202" s="678">
        <f t="shared" si="113"/>
        <v>-10.923999999999999</v>
      </c>
      <c r="CB202" s="678">
        <f t="shared" si="113"/>
        <v>-97.414000000000001</v>
      </c>
      <c r="CC202" s="678">
        <f t="shared" si="113"/>
        <v>-153.19399999999996</v>
      </c>
      <c r="CD202" s="870">
        <f t="shared" si="113"/>
        <v>-98.290999999999997</v>
      </c>
      <c r="CE202" s="678">
        <f>SUM(CE196:CE201)</f>
        <v>87.722000000000008</v>
      </c>
      <c r="CF202" s="678">
        <f>SUM(CF196:CF201)</f>
        <v>-355.57999999999993</v>
      </c>
      <c r="CG202" s="678">
        <f>SUM(CG196:CG201)</f>
        <v>-42.5</v>
      </c>
      <c r="CH202" s="678">
        <f>SUM(CH196:CH201)</f>
        <v>-43.793999999999997</v>
      </c>
      <c r="CI202" s="752">
        <f t="shared" si="113"/>
        <v>-169</v>
      </c>
      <c r="CJ202" s="752">
        <f t="shared" si="113"/>
        <v>-179</v>
      </c>
      <c r="CK202" s="752">
        <f t="shared" si="113"/>
        <v>-184</v>
      </c>
      <c r="CL202" s="752">
        <f t="shared" si="113"/>
        <v>-189</v>
      </c>
      <c r="CM202" s="752">
        <f t="shared" si="113"/>
        <v>-194</v>
      </c>
      <c r="CN202" s="678"/>
      <c r="CO202" s="685"/>
      <c r="CP202" s="678"/>
      <c r="CQ202" s="693"/>
    </row>
    <row r="203" spans="2:95" ht="16.5" customHeight="1" x14ac:dyDescent="0.25">
      <c r="C203" s="834"/>
      <c r="D203" s="834"/>
      <c r="E203" s="834"/>
      <c r="F203" s="834"/>
      <c r="G203" s="885"/>
      <c r="H203" s="834"/>
      <c r="I203" s="834"/>
      <c r="J203" s="834"/>
      <c r="K203" s="834"/>
      <c r="L203" s="885"/>
      <c r="M203" s="834"/>
      <c r="N203" s="834"/>
      <c r="O203" s="834"/>
      <c r="P203" s="834"/>
      <c r="Q203" s="885"/>
      <c r="R203" s="834"/>
      <c r="S203" s="834"/>
      <c r="T203" s="834"/>
      <c r="U203" s="834"/>
      <c r="V203" s="885"/>
      <c r="W203" s="834"/>
      <c r="X203" s="834"/>
      <c r="Y203" s="834"/>
      <c r="Z203" s="834"/>
      <c r="AA203" s="885"/>
      <c r="AB203" s="834"/>
      <c r="AC203" s="834"/>
      <c r="AD203" s="834"/>
      <c r="AE203" s="834"/>
      <c r="AF203" s="885"/>
      <c r="AG203" s="834"/>
      <c r="AH203" s="834"/>
      <c r="AI203" s="834"/>
      <c r="AJ203" s="834"/>
      <c r="AK203" s="885"/>
      <c r="AL203" s="834"/>
      <c r="AM203" s="834"/>
      <c r="AN203" s="834"/>
      <c r="AO203" s="834"/>
      <c r="AP203" s="885"/>
      <c r="AQ203" s="834"/>
      <c r="AR203" s="834"/>
      <c r="AS203" s="834"/>
      <c r="AT203" s="834"/>
      <c r="AU203" s="885"/>
      <c r="AV203" s="834"/>
      <c r="AW203" s="834"/>
      <c r="AX203" s="834"/>
      <c r="AY203" s="834"/>
      <c r="AZ203" s="885"/>
      <c r="BA203" s="834"/>
      <c r="BB203" s="834"/>
      <c r="BC203" s="834"/>
      <c r="BD203" s="834"/>
      <c r="BE203" s="885"/>
      <c r="BF203" s="834"/>
      <c r="BG203" s="834"/>
      <c r="BH203" s="834"/>
      <c r="BI203" s="834"/>
      <c r="BJ203" s="884"/>
      <c r="BK203" s="834"/>
      <c r="BL203" s="834"/>
      <c r="BM203" s="834"/>
      <c r="BN203" s="834"/>
      <c r="BO203" s="884"/>
      <c r="BP203" s="834"/>
      <c r="BQ203" s="834"/>
      <c r="BR203" s="834"/>
      <c r="BS203" s="834"/>
      <c r="BT203" s="884"/>
      <c r="BU203" s="834"/>
      <c r="BV203" s="834"/>
      <c r="BW203" s="834"/>
      <c r="BX203" s="834"/>
      <c r="BY203" s="884"/>
      <c r="BZ203" s="834"/>
      <c r="CA203" s="834"/>
      <c r="CB203" s="834"/>
      <c r="CC203" s="834"/>
      <c r="CD203" s="884"/>
      <c r="CE203" s="743"/>
      <c r="CF203" s="743">
        <v>492.221</v>
      </c>
      <c r="CG203" s="743"/>
      <c r="CH203" s="743"/>
      <c r="CI203" s="856"/>
      <c r="CJ203" s="856"/>
      <c r="CK203" s="856"/>
      <c r="CL203" s="856"/>
      <c r="CM203" s="856"/>
      <c r="CN203" s="291"/>
      <c r="CO203" s="683"/>
      <c r="CP203" s="291"/>
      <c r="CQ203" s="693"/>
    </row>
    <row r="204" spans="2:95" ht="16.5" customHeight="1" x14ac:dyDescent="0.25">
      <c r="B204" s="688" t="s">
        <v>753</v>
      </c>
      <c r="C204" s="743"/>
      <c r="D204" s="743"/>
      <c r="E204" s="743"/>
      <c r="F204" s="743"/>
      <c r="G204" s="868">
        <v>-0.32400000000000001</v>
      </c>
      <c r="H204" s="743"/>
      <c r="I204" s="743"/>
      <c r="J204" s="743"/>
      <c r="K204" s="743"/>
      <c r="L204" s="868">
        <v>1.179</v>
      </c>
      <c r="M204" s="743"/>
      <c r="N204" s="743"/>
      <c r="O204" s="743"/>
      <c r="P204" s="743"/>
      <c r="Q204" s="868">
        <v>-0.70599999999999996</v>
      </c>
      <c r="R204" s="743"/>
      <c r="S204" s="743"/>
      <c r="T204" s="743"/>
      <c r="U204" s="743"/>
      <c r="V204" s="868">
        <v>-0.58199999999999996</v>
      </c>
      <c r="W204" s="743"/>
      <c r="X204" s="743"/>
      <c r="Y204" s="743"/>
      <c r="Z204" s="743"/>
      <c r="AA204" s="868">
        <v>-0.61199999999999999</v>
      </c>
      <c r="AB204" s="743"/>
      <c r="AC204" s="743"/>
      <c r="AD204" s="743"/>
      <c r="AE204" s="743"/>
      <c r="AF204" s="868">
        <v>-22.388000000000002</v>
      </c>
      <c r="AG204" s="743"/>
      <c r="AH204" s="743"/>
      <c r="AI204" s="743"/>
      <c r="AJ204" s="743"/>
      <c r="AK204" s="868">
        <v>5.0570000000000004</v>
      </c>
      <c r="AL204" s="743"/>
      <c r="AM204" s="291"/>
      <c r="AN204" s="291"/>
      <c r="AO204" s="291"/>
      <c r="AP204" s="868">
        <v>10.433</v>
      </c>
      <c r="AQ204" s="291"/>
      <c r="AR204" s="291"/>
      <c r="AS204" s="291"/>
      <c r="AT204" s="291"/>
      <c r="AU204" s="868">
        <v>1.5409999999999999</v>
      </c>
      <c r="AV204" s="291"/>
      <c r="AW204" s="291"/>
      <c r="AX204" s="291"/>
      <c r="AY204" s="291"/>
      <c r="AZ204" s="868">
        <v>-2.1800000000000002</v>
      </c>
      <c r="BA204" s="291"/>
      <c r="BB204" s="291"/>
      <c r="BC204" s="291"/>
      <c r="BD204" s="291"/>
      <c r="BE204" s="868">
        <v>2.306</v>
      </c>
      <c r="BF204" s="743">
        <v>2.6190000000000002</v>
      </c>
      <c r="BG204" s="743">
        <v>-1.732</v>
      </c>
      <c r="BH204" s="743">
        <v>0.378</v>
      </c>
      <c r="BI204" s="291"/>
      <c r="BJ204" s="868">
        <v>0.76800000000000002</v>
      </c>
      <c r="BK204" s="743">
        <v>-6.5000000000000002E-2</v>
      </c>
      <c r="BL204" s="743">
        <v>-1.022</v>
      </c>
      <c r="BM204" s="743">
        <v>-5.0880000000000001</v>
      </c>
      <c r="BN204" s="291">
        <f>BO204-BK204-BL204-BM204</f>
        <v>-4.0810000000000004</v>
      </c>
      <c r="BO204" s="868">
        <v>-10.256</v>
      </c>
      <c r="BP204" s="743">
        <v>4.492</v>
      </c>
      <c r="BQ204" s="743">
        <v>0.91800000000000004</v>
      </c>
      <c r="BR204" s="743">
        <v>-1.46</v>
      </c>
      <c r="BS204" s="291">
        <f>BT204-BP204-BQ204-BR204</f>
        <v>-1.907</v>
      </c>
      <c r="BT204" s="868">
        <v>2.0430000000000001</v>
      </c>
      <c r="BU204" s="743">
        <v>1.4950000000000001</v>
      </c>
      <c r="BV204" s="743">
        <v>-1.25</v>
      </c>
      <c r="BW204" s="743">
        <v>-0.51200000000000001</v>
      </c>
      <c r="BX204" s="291">
        <f>BY204-BU204-BV204-BW204</f>
        <v>1.591</v>
      </c>
      <c r="BY204" s="868">
        <v>1.3240000000000001</v>
      </c>
      <c r="BZ204" s="743">
        <v>-2.5640000000000001</v>
      </c>
      <c r="CA204" s="743">
        <v>0.255</v>
      </c>
      <c r="CB204" s="743">
        <v>1.8180000000000001</v>
      </c>
      <c r="CC204" s="291">
        <f>CD204-BZ204-CA204-CB204</f>
        <v>-1.3719999999999999</v>
      </c>
      <c r="CD204" s="868">
        <v>-1.863</v>
      </c>
      <c r="CE204" s="743">
        <v>9.8000000000000004E-2</v>
      </c>
      <c r="CF204" s="743">
        <v>-7.6999999999999999E-2</v>
      </c>
      <c r="CG204" s="743">
        <v>0</v>
      </c>
      <c r="CH204" s="743">
        <v>0</v>
      </c>
      <c r="CI204" s="774">
        <v>0</v>
      </c>
      <c r="CJ204" s="774">
        <v>0</v>
      </c>
      <c r="CK204" s="774">
        <v>0</v>
      </c>
      <c r="CL204" s="774">
        <v>0</v>
      </c>
      <c r="CM204" s="774">
        <v>0</v>
      </c>
      <c r="CN204" s="291"/>
      <c r="CO204" s="683"/>
      <c r="CP204" s="291"/>
      <c r="CQ204" s="693"/>
    </row>
    <row r="205" spans="2:95" ht="16.5" customHeight="1" x14ac:dyDescent="0.25">
      <c r="B205" t="s">
        <v>754</v>
      </c>
      <c r="C205" s="291"/>
      <c r="D205" s="291"/>
      <c r="E205" s="291"/>
      <c r="F205" s="291"/>
      <c r="G205" s="864">
        <f>G186+G193+G202+G204</f>
        <v>30.927999999999951</v>
      </c>
      <c r="H205" s="291"/>
      <c r="I205" s="291"/>
      <c r="J205" s="291"/>
      <c r="K205" s="291"/>
      <c r="L205" s="864">
        <f>L186+L193+L202+L204</f>
        <v>1.2579999999999794</v>
      </c>
      <c r="M205" s="291"/>
      <c r="N205" s="291"/>
      <c r="O205" s="291"/>
      <c r="P205" s="291"/>
      <c r="Q205" s="864">
        <f>Q186+Q193+Q202+Q204</f>
        <v>35.161999999999964</v>
      </c>
      <c r="R205" s="291"/>
      <c r="S205" s="291"/>
      <c r="T205" s="291"/>
      <c r="U205" s="291"/>
      <c r="V205" s="864">
        <f>V186+V193+V202+V204</f>
        <v>8.2489999999999881</v>
      </c>
      <c r="W205" s="291"/>
      <c r="X205" s="291"/>
      <c r="Y205" s="291"/>
      <c r="Z205" s="291"/>
      <c r="AA205" s="864">
        <f>AA186+AA193+AA202+AA204</f>
        <v>74.201999999999998</v>
      </c>
      <c r="AB205" s="291"/>
      <c r="AC205" s="291"/>
      <c r="AD205" s="291"/>
      <c r="AE205" s="291"/>
      <c r="AF205" s="864">
        <f>AF186+AF193+AF202+AF204</f>
        <v>78.560999999999979</v>
      </c>
      <c r="AG205" s="291"/>
      <c r="AH205" s="291"/>
      <c r="AI205" s="291"/>
      <c r="AJ205" s="291"/>
      <c r="AK205" s="864">
        <f>AK186+AK193+AK202+AK204</f>
        <v>-5.7839999999999794</v>
      </c>
      <c r="AL205" s="291"/>
      <c r="AM205" s="291"/>
      <c r="AN205" s="291"/>
      <c r="AO205" s="291"/>
      <c r="AP205" s="864">
        <f>AP186+AP193+AP202+AP204</f>
        <v>24.135999999999974</v>
      </c>
      <c r="AQ205" s="291"/>
      <c r="AR205" s="291"/>
      <c r="AS205" s="291"/>
      <c r="AT205" s="291"/>
      <c r="AU205" s="864">
        <f>AU186+AU193+AU202+AU204</f>
        <v>-259.26299999999998</v>
      </c>
      <c r="AV205" s="291"/>
      <c r="AW205" s="291"/>
      <c r="AX205" s="291"/>
      <c r="AY205" s="291"/>
      <c r="AZ205" s="864">
        <f>AZ186+AZ193+AZ202+AZ204</f>
        <v>-38.004000000000012</v>
      </c>
      <c r="BA205" s="291"/>
      <c r="BB205" s="291"/>
      <c r="BC205" s="291"/>
      <c r="BD205" s="291"/>
      <c r="BE205" s="864">
        <f>BE186+BE193+BE202+BE204</f>
        <v>-7.476000000000238</v>
      </c>
      <c r="BF205" s="291"/>
      <c r="BG205" s="291"/>
      <c r="BH205" s="291"/>
      <c r="BI205" s="291"/>
      <c r="BJ205" s="868">
        <v>15.842000000000001</v>
      </c>
      <c r="BK205" s="291"/>
      <c r="BL205" s="291"/>
      <c r="BM205" s="291"/>
      <c r="BN205" s="291">
        <f>BO205-BK205-BL205-BM205</f>
        <v>18.318999999999999</v>
      </c>
      <c r="BO205" s="868">
        <v>18.318999999999999</v>
      </c>
      <c r="BP205" s="291"/>
      <c r="BQ205" s="291"/>
      <c r="BR205" s="291"/>
      <c r="BS205" s="291">
        <f>BT205-BP205-BQ205-BR205</f>
        <v>-48.183999999999997</v>
      </c>
      <c r="BT205" s="868">
        <v>-48.183999999999997</v>
      </c>
      <c r="BU205" s="291"/>
      <c r="BV205" s="291"/>
      <c r="BW205" s="291"/>
      <c r="BX205" s="291">
        <f>BY205-BU205-BV205-BW205</f>
        <v>-4.6070000000000002</v>
      </c>
      <c r="BY205" s="868">
        <v>-4.6070000000000002</v>
      </c>
      <c r="BZ205" s="291"/>
      <c r="CA205" s="291"/>
      <c r="CB205" s="291"/>
      <c r="CC205" s="291">
        <f>CD205-BZ205-CA205-CB205</f>
        <v>-2.3239999999999998</v>
      </c>
      <c r="CD205" s="868">
        <v>-2.3239999999999998</v>
      </c>
      <c r="CE205" s="743">
        <v>11.581</v>
      </c>
      <c r="CF205" s="743">
        <v>234.43799999999999</v>
      </c>
      <c r="CG205" s="291">
        <f t="shared" ref="CG205:CM205" si="114">CG207-CG206</f>
        <v>11.328389120358452</v>
      </c>
      <c r="CH205" s="291">
        <f t="shared" si="114"/>
        <v>129.02608343763387</v>
      </c>
      <c r="CI205" s="749">
        <f t="shared" si="114"/>
        <v>40.525663557184743</v>
      </c>
      <c r="CJ205" s="749">
        <f t="shared" si="114"/>
        <v>100.69608492195732</v>
      </c>
      <c r="CK205" s="749">
        <f t="shared" si="114"/>
        <v>184.97287145703197</v>
      </c>
      <c r="CL205" s="749">
        <f t="shared" si="114"/>
        <v>223.69992685634668</v>
      </c>
      <c r="CM205" s="749">
        <f t="shared" si="114"/>
        <v>235.97726314250122</v>
      </c>
      <c r="CN205" s="678"/>
      <c r="CO205" s="685"/>
      <c r="CP205" s="678"/>
      <c r="CQ205" s="693"/>
    </row>
    <row r="206" spans="2:95" ht="16.5" customHeight="1" x14ac:dyDescent="0.25">
      <c r="B206" t="s">
        <v>755</v>
      </c>
      <c r="C206" s="743"/>
      <c r="D206" s="743"/>
      <c r="E206" s="743"/>
      <c r="F206" s="743"/>
      <c r="G206" s="868">
        <v>81.492999999999995</v>
      </c>
      <c r="H206" s="743"/>
      <c r="I206" s="743"/>
      <c r="J206" s="743"/>
      <c r="K206" s="743"/>
      <c r="L206" s="868">
        <v>112.42100000000001</v>
      </c>
      <c r="M206" s="743"/>
      <c r="N206" s="743"/>
      <c r="O206" s="743"/>
      <c r="P206" s="743"/>
      <c r="Q206" s="868">
        <v>113.679</v>
      </c>
      <c r="R206" s="743"/>
      <c r="S206" s="743"/>
      <c r="T206" s="743"/>
      <c r="U206" s="743"/>
      <c r="V206" s="868">
        <v>148.84100000000001</v>
      </c>
      <c r="W206" s="743"/>
      <c r="X206" s="743"/>
      <c r="Y206" s="743"/>
      <c r="Z206" s="743"/>
      <c r="AA206" s="868">
        <v>157.09</v>
      </c>
      <c r="AB206" s="743"/>
      <c r="AC206" s="743"/>
      <c r="AD206" s="743"/>
      <c r="AE206" s="743"/>
      <c r="AF206" s="868">
        <v>231.292</v>
      </c>
      <c r="AG206" s="743"/>
      <c r="AH206" s="743"/>
      <c r="AI206" s="743"/>
      <c r="AJ206" s="743"/>
      <c r="AK206" s="868">
        <v>330.91199999999998</v>
      </c>
      <c r="AL206" s="743"/>
      <c r="AM206" s="291"/>
      <c r="AN206" s="291"/>
      <c r="AO206" s="291"/>
      <c r="AP206" s="868">
        <v>343.93700000000001</v>
      </c>
      <c r="AQ206" s="291"/>
      <c r="AR206" s="291"/>
      <c r="AS206" s="291"/>
      <c r="AT206" s="291"/>
      <c r="AU206" s="868">
        <v>386.96899999999999</v>
      </c>
      <c r="AV206" s="291"/>
      <c r="AW206" s="291"/>
      <c r="AX206" s="291"/>
      <c r="AY206" s="291"/>
      <c r="AZ206" s="868">
        <v>127.706</v>
      </c>
      <c r="BA206" s="291"/>
      <c r="BB206" s="291"/>
      <c r="BC206" s="291"/>
      <c r="BD206" s="291"/>
      <c r="BE206" s="868">
        <v>92.548000000000002</v>
      </c>
      <c r="BF206" s="291"/>
      <c r="BG206" s="743">
        <v>98.334000000000003</v>
      </c>
      <c r="BH206" s="743">
        <v>91.012</v>
      </c>
      <c r="BI206" s="291"/>
      <c r="BJ206" s="868">
        <v>85.072000000000003</v>
      </c>
      <c r="BK206" s="291">
        <f>BJ207</f>
        <v>100.914</v>
      </c>
      <c r="BL206" s="291">
        <f>BK207</f>
        <v>121.37199999999997</v>
      </c>
      <c r="BM206" s="291">
        <f>BL207</f>
        <v>122.13099999999997</v>
      </c>
      <c r="BN206" s="291">
        <f>BM207</f>
        <v>95.863999999999976</v>
      </c>
      <c r="BO206" s="868">
        <v>100.914</v>
      </c>
      <c r="BP206" s="291">
        <f>BO207</f>
        <v>117.32799999999999</v>
      </c>
      <c r="BQ206" s="291">
        <f>BP207</f>
        <v>164.00599999999997</v>
      </c>
      <c r="BR206" s="291">
        <f>BQ207</f>
        <v>107.74899999999997</v>
      </c>
      <c r="BS206" s="291">
        <f>BR207</f>
        <v>123.49899999999997</v>
      </c>
      <c r="BT206" s="868">
        <v>117.328</v>
      </c>
      <c r="BU206" s="291">
        <f>BT207</f>
        <v>69.144000000000034</v>
      </c>
      <c r="BV206" s="291">
        <f>BU207</f>
        <v>177.84300000000002</v>
      </c>
      <c r="BW206" s="291">
        <f>BV207</f>
        <v>145.92800000000003</v>
      </c>
      <c r="BX206" s="291">
        <f>BW207</f>
        <v>109.24100000000001</v>
      </c>
      <c r="BY206" s="868">
        <v>69.144000000000005</v>
      </c>
      <c r="BZ206" s="291">
        <f>BY207</f>
        <v>64.536999999999992</v>
      </c>
      <c r="CA206" s="291">
        <f>BZ207</f>
        <v>104.881</v>
      </c>
      <c r="CB206" s="291">
        <f>CA207</f>
        <v>89.692999999999998</v>
      </c>
      <c r="CC206" s="291">
        <f>CB207</f>
        <v>94.188000000000002</v>
      </c>
      <c r="CD206" s="868">
        <v>64.537000000000006</v>
      </c>
      <c r="CE206" s="743">
        <v>62.213000000000001</v>
      </c>
      <c r="CF206" s="291">
        <f>CE207</f>
        <v>73.794000000000025</v>
      </c>
      <c r="CG206" s="291">
        <f>CF207</f>
        <v>307.85200000000015</v>
      </c>
      <c r="CH206" s="291">
        <f>CG207</f>
        <v>319.1803891203586</v>
      </c>
      <c r="CI206" s="749">
        <f>CD207</f>
        <v>62.212999999999965</v>
      </c>
      <c r="CJ206" s="749">
        <f>CI207</f>
        <v>102.73866355718471</v>
      </c>
      <c r="CK206" s="749">
        <f>CJ207</f>
        <v>203.43474847914203</v>
      </c>
      <c r="CL206" s="749">
        <f>CK207</f>
        <v>388.407619936174</v>
      </c>
      <c r="CM206" s="749">
        <f>CL207</f>
        <v>612.10754679252068</v>
      </c>
      <c r="CN206" s="291"/>
      <c r="CO206" s="683"/>
      <c r="CP206" s="291"/>
      <c r="CQ206" s="693"/>
    </row>
    <row r="207" spans="2:95" ht="16.5" customHeight="1" x14ac:dyDescent="0.25">
      <c r="B207" s="724" t="s">
        <v>756</v>
      </c>
      <c r="C207" s="834"/>
      <c r="D207" s="834"/>
      <c r="E207" s="834"/>
      <c r="F207" s="834"/>
      <c r="G207" s="885">
        <f>G205+G206</f>
        <v>112.42099999999995</v>
      </c>
      <c r="H207" s="834"/>
      <c r="I207" s="834"/>
      <c r="J207" s="834"/>
      <c r="K207" s="834"/>
      <c r="L207" s="885">
        <f>L205+L206</f>
        <v>113.67899999999999</v>
      </c>
      <c r="M207" s="834"/>
      <c r="N207" s="834"/>
      <c r="O207" s="834"/>
      <c r="P207" s="834"/>
      <c r="Q207" s="885">
        <f>Q205+Q206</f>
        <v>148.84099999999995</v>
      </c>
      <c r="R207" s="834"/>
      <c r="S207" s="834"/>
      <c r="T207" s="834"/>
      <c r="U207" s="834"/>
      <c r="V207" s="885">
        <f>V205+V206</f>
        <v>157.09</v>
      </c>
      <c r="W207" s="834"/>
      <c r="X207" s="834"/>
      <c r="Y207" s="834"/>
      <c r="Z207" s="834"/>
      <c r="AA207" s="885">
        <f>AA205+AA206</f>
        <v>231.292</v>
      </c>
      <c r="AB207" s="834"/>
      <c r="AC207" s="834"/>
      <c r="AD207" s="834"/>
      <c r="AE207" s="834"/>
      <c r="AF207" s="885">
        <f>AF205+AF206</f>
        <v>309.85299999999995</v>
      </c>
      <c r="AG207" s="834"/>
      <c r="AH207" s="834"/>
      <c r="AI207" s="834"/>
      <c r="AJ207" s="834"/>
      <c r="AK207" s="885">
        <f>AK205+AK206</f>
        <v>325.12799999999999</v>
      </c>
      <c r="AL207" s="834"/>
      <c r="AM207" s="834"/>
      <c r="AN207" s="834"/>
      <c r="AO207" s="834"/>
      <c r="AP207" s="885">
        <f>AP205+AP206</f>
        <v>368.07299999999998</v>
      </c>
      <c r="AQ207" s="834"/>
      <c r="AR207" s="834"/>
      <c r="AS207" s="834"/>
      <c r="AT207" s="834"/>
      <c r="AU207" s="885">
        <f>AU205+AU206</f>
        <v>127.70600000000002</v>
      </c>
      <c r="AV207" s="834"/>
      <c r="AW207" s="834"/>
      <c r="AX207" s="834"/>
      <c r="AY207" s="834"/>
      <c r="AZ207" s="885">
        <f>AZ205+AZ206</f>
        <v>89.701999999999998</v>
      </c>
      <c r="BA207" s="834"/>
      <c r="BB207" s="834"/>
      <c r="BC207" s="834"/>
      <c r="BD207" s="834"/>
      <c r="BE207" s="885">
        <f>BE205+BE206</f>
        <v>85.071999999999761</v>
      </c>
      <c r="BF207" s="834">
        <f>BF186+BF193+BF202+BF204+BF206</f>
        <v>13.262000000000008</v>
      </c>
      <c r="BG207" s="834">
        <f>BG186+BG193+BG202+BG204+BG206</f>
        <v>91.012</v>
      </c>
      <c r="BH207" s="834">
        <f>BH186+BH193+BH202+BH204+BH206</f>
        <v>91.657999999999987</v>
      </c>
      <c r="BI207" s="834"/>
      <c r="BJ207" s="884">
        <v>100.914</v>
      </c>
      <c r="BK207" s="834">
        <f t="shared" ref="BK207:CM207" si="115">BK186+BK193+BK202+BK204+BK206</f>
        <v>121.37199999999997</v>
      </c>
      <c r="BL207" s="834">
        <f t="shared" si="115"/>
        <v>122.13099999999997</v>
      </c>
      <c r="BM207" s="834">
        <f t="shared" si="115"/>
        <v>95.863999999999976</v>
      </c>
      <c r="BN207" s="834">
        <f t="shared" si="115"/>
        <v>117.32799999999992</v>
      </c>
      <c r="BO207" s="885">
        <f t="shared" si="115"/>
        <v>117.32799999999999</v>
      </c>
      <c r="BP207" s="834">
        <f t="shared" si="115"/>
        <v>164.00599999999997</v>
      </c>
      <c r="BQ207" s="834">
        <f t="shared" si="115"/>
        <v>107.74899999999997</v>
      </c>
      <c r="BR207" s="834">
        <f t="shared" si="115"/>
        <v>123.49899999999997</v>
      </c>
      <c r="BS207" s="834">
        <f t="shared" si="115"/>
        <v>69.143999999999991</v>
      </c>
      <c r="BT207" s="885">
        <f t="shared" si="115"/>
        <v>69.144000000000034</v>
      </c>
      <c r="BU207" s="834">
        <f t="shared" si="115"/>
        <v>177.84300000000002</v>
      </c>
      <c r="BV207" s="834">
        <f t="shared" si="115"/>
        <v>145.92800000000003</v>
      </c>
      <c r="BW207" s="834">
        <f t="shared" si="115"/>
        <v>109.24100000000001</v>
      </c>
      <c r="BX207" s="834">
        <f t="shared" si="115"/>
        <v>64.536999999999978</v>
      </c>
      <c r="BY207" s="885">
        <f t="shared" si="115"/>
        <v>64.536999999999992</v>
      </c>
      <c r="BZ207" s="834">
        <f t="shared" si="115"/>
        <v>104.881</v>
      </c>
      <c r="CA207" s="834">
        <f t="shared" si="115"/>
        <v>89.692999999999998</v>
      </c>
      <c r="CB207" s="834">
        <f t="shared" si="115"/>
        <v>94.188000000000002</v>
      </c>
      <c r="CC207" s="834">
        <f t="shared" si="115"/>
        <v>62.213000000000079</v>
      </c>
      <c r="CD207" s="885">
        <f t="shared" si="115"/>
        <v>62.212999999999965</v>
      </c>
      <c r="CE207" s="291">
        <f>CE186+CE193+CE202+CE204+CE206</f>
        <v>73.794000000000025</v>
      </c>
      <c r="CF207" s="291">
        <f>CF186+CF193+CF202+CF203+CF204+CF206</f>
        <v>307.85200000000015</v>
      </c>
      <c r="CG207" s="291">
        <f>CG186+CG193+CG202+CG204+CG206</f>
        <v>319.1803891203586</v>
      </c>
      <c r="CH207" s="291">
        <f>CH186+CH193+CH202+CH204+CH206</f>
        <v>448.20647255799247</v>
      </c>
      <c r="CI207" s="856">
        <f t="shared" si="115"/>
        <v>102.73866355718471</v>
      </c>
      <c r="CJ207" s="856">
        <f t="shared" si="115"/>
        <v>203.43474847914203</v>
      </c>
      <c r="CK207" s="856">
        <f t="shared" si="115"/>
        <v>388.407619936174</v>
      </c>
      <c r="CL207" s="856">
        <f t="shared" si="115"/>
        <v>612.10754679252068</v>
      </c>
      <c r="CM207" s="856">
        <f t="shared" si="115"/>
        <v>848.08480993502189</v>
      </c>
      <c r="CN207" s="678"/>
      <c r="CO207" s="689"/>
      <c r="CP207" s="678"/>
      <c r="CQ207" s="693"/>
    </row>
    <row r="208" spans="2:95" ht="16.5" customHeight="1" x14ac:dyDescent="0.25">
      <c r="C208" s="291"/>
      <c r="D208" s="291"/>
      <c r="E208" s="291"/>
      <c r="F208" s="291"/>
      <c r="G208" s="864"/>
      <c r="H208" s="291"/>
      <c r="I208" s="291"/>
      <c r="J208" s="291"/>
      <c r="K208" s="291"/>
      <c r="L208" s="864"/>
      <c r="M208" s="291"/>
      <c r="N208" s="291"/>
      <c r="O208" s="291"/>
      <c r="P208" s="291"/>
      <c r="Q208" s="864"/>
      <c r="R208" s="291"/>
      <c r="S208" s="291"/>
      <c r="T208" s="291"/>
      <c r="U208" s="291"/>
      <c r="V208" s="864"/>
      <c r="W208" s="291"/>
      <c r="X208" s="291"/>
      <c r="Y208" s="291"/>
      <c r="Z208" s="291"/>
      <c r="AA208" s="864"/>
      <c r="AB208" s="291"/>
      <c r="AC208" s="291"/>
      <c r="AD208" s="291"/>
      <c r="AE208" s="291"/>
      <c r="AF208" s="864"/>
      <c r="AG208" s="291"/>
      <c r="AH208" s="291"/>
      <c r="AI208" s="291"/>
      <c r="AJ208" s="291"/>
      <c r="AK208" s="864"/>
      <c r="AL208" s="291"/>
      <c r="AM208" s="291"/>
      <c r="AN208" s="291"/>
      <c r="AO208" s="291"/>
      <c r="AP208" s="864"/>
      <c r="AQ208" s="291"/>
      <c r="AR208" s="291"/>
      <c r="AS208" s="291"/>
      <c r="AT208" s="291"/>
      <c r="AU208" s="864"/>
      <c r="AV208" s="291"/>
      <c r="AW208" s="291"/>
      <c r="AX208" s="291"/>
      <c r="AY208" s="291"/>
      <c r="AZ208" s="864"/>
      <c r="BA208" s="291"/>
      <c r="BB208" s="291"/>
      <c r="BC208" s="291"/>
      <c r="BD208" s="291"/>
      <c r="BE208" s="864"/>
      <c r="BF208" s="291"/>
      <c r="BG208" s="291"/>
      <c r="BH208" s="291"/>
      <c r="BI208" s="291"/>
      <c r="BJ208" s="864"/>
      <c r="BK208" s="291"/>
      <c r="BL208" s="291"/>
      <c r="BM208" s="291"/>
      <c r="BN208" s="291"/>
      <c r="BO208" s="864"/>
      <c r="BP208" s="291"/>
      <c r="BQ208" s="291"/>
      <c r="BR208" s="291"/>
      <c r="BS208" s="291"/>
      <c r="BT208" s="864"/>
      <c r="BU208" s="291"/>
      <c r="BV208" s="291"/>
      <c r="BW208" s="291"/>
      <c r="BX208" s="291"/>
      <c r="BY208" s="864"/>
      <c r="BZ208" s="291"/>
      <c r="CA208" s="291"/>
      <c r="CB208" s="291"/>
      <c r="CC208" s="291"/>
      <c r="CD208" s="864"/>
      <c r="CE208" s="291"/>
      <c r="CF208" s="291"/>
      <c r="CG208" s="291"/>
      <c r="CH208" s="291"/>
      <c r="CI208" s="749"/>
      <c r="CJ208" s="749"/>
      <c r="CK208" s="749"/>
      <c r="CL208" s="749"/>
      <c r="CM208" s="749"/>
      <c r="CN208" s="291"/>
      <c r="CO208" s="683"/>
      <c r="CP208" s="291"/>
      <c r="CQ208" s="693"/>
    </row>
    <row r="209" spans="2:119" ht="16.5" customHeight="1" x14ac:dyDescent="0.25">
      <c r="B209" s="223" t="s">
        <v>817</v>
      </c>
      <c r="C209" s="224"/>
      <c r="D209" s="224"/>
      <c r="E209" s="224"/>
      <c r="F209" s="224"/>
      <c r="G209" s="867"/>
      <c r="H209" s="224"/>
      <c r="I209" s="224"/>
      <c r="J209" s="224"/>
      <c r="K209" s="224"/>
      <c r="L209" s="867"/>
      <c r="M209" s="224"/>
      <c r="N209" s="224"/>
      <c r="O209" s="224"/>
      <c r="P209" s="224"/>
      <c r="Q209" s="867"/>
      <c r="R209" s="224"/>
      <c r="S209" s="224"/>
      <c r="T209" s="224"/>
      <c r="U209" s="224"/>
      <c r="V209" s="867"/>
      <c r="W209" s="224"/>
      <c r="X209" s="224"/>
      <c r="Y209" s="224"/>
      <c r="Z209" s="224"/>
      <c r="AA209" s="867"/>
      <c r="AB209" s="224"/>
      <c r="AC209" s="224"/>
      <c r="AD209" s="224"/>
      <c r="AE209" s="224"/>
      <c r="AF209" s="867"/>
      <c r="AG209" s="224"/>
      <c r="AH209" s="224"/>
      <c r="AI209" s="224"/>
      <c r="AJ209" s="224"/>
      <c r="AK209" s="867"/>
      <c r="AL209" s="224"/>
      <c r="AM209" s="224"/>
      <c r="AN209" s="224"/>
      <c r="AO209" s="224"/>
      <c r="AP209" s="867"/>
      <c r="AQ209" s="224"/>
      <c r="AR209" s="224"/>
      <c r="AS209" s="224"/>
      <c r="AT209" s="224"/>
      <c r="AU209" s="867"/>
      <c r="AV209" s="224"/>
      <c r="AW209" s="224"/>
      <c r="AX209" s="224"/>
      <c r="AY209" s="224"/>
      <c r="AZ209" s="867"/>
      <c r="BA209" s="224"/>
      <c r="BB209" s="224"/>
      <c r="BC209" s="224"/>
      <c r="BD209" s="224"/>
      <c r="BE209" s="867"/>
      <c r="BF209" s="224"/>
      <c r="BG209" s="224"/>
      <c r="BH209" s="224"/>
      <c r="BI209" s="224"/>
      <c r="BJ209" s="867"/>
      <c r="BK209" s="224"/>
      <c r="BL209" s="224"/>
      <c r="BM209" s="224"/>
      <c r="BN209" s="224"/>
      <c r="BO209" s="867"/>
      <c r="BP209" s="224"/>
      <c r="BQ209" s="224"/>
      <c r="BR209" s="224"/>
      <c r="BS209" s="224"/>
      <c r="BT209" s="867"/>
      <c r="BU209" s="224"/>
      <c r="BV209" s="224"/>
      <c r="BW209" s="224"/>
      <c r="BX209" s="224"/>
      <c r="BY209" s="867"/>
      <c r="BZ209" s="224"/>
      <c r="CA209" s="224"/>
      <c r="CB209" s="224"/>
      <c r="CC209" s="224"/>
      <c r="CD209" s="867"/>
      <c r="CE209" s="224"/>
      <c r="CF209" s="224"/>
      <c r="CG209" s="224"/>
      <c r="CH209" s="224"/>
      <c r="CI209" s="224"/>
      <c r="CJ209" s="224"/>
      <c r="CK209" s="224"/>
      <c r="CL209" s="224"/>
      <c r="CM209" s="224"/>
      <c r="CN209" s="224"/>
      <c r="CO209" s="684"/>
      <c r="CP209" s="224"/>
      <c r="CQ209" s="693"/>
    </row>
    <row r="210" spans="2:119" ht="16.5" customHeight="1" x14ac:dyDescent="0.25">
      <c r="B210" s="704" t="s">
        <v>757</v>
      </c>
      <c r="C210" s="274"/>
      <c r="D210" s="274"/>
      <c r="E210" s="274"/>
      <c r="F210" s="274"/>
      <c r="G210" s="871">
        <f>G186+G189</f>
        <v>129.30699999999996</v>
      </c>
      <c r="H210" s="274"/>
      <c r="I210" s="274"/>
      <c r="J210" s="274"/>
      <c r="K210" s="274"/>
      <c r="L210" s="871">
        <f>L186+L189</f>
        <v>258.26299999999998</v>
      </c>
      <c r="M210" s="274"/>
      <c r="N210" s="274"/>
      <c r="O210" s="274"/>
      <c r="P210" s="274"/>
      <c r="Q210" s="871">
        <f>Q186+Q189</f>
        <v>285.709</v>
      </c>
      <c r="R210" s="274"/>
      <c r="S210" s="274"/>
      <c r="T210" s="274"/>
      <c r="U210" s="274"/>
      <c r="V210" s="871">
        <f>V186+V189</f>
        <v>158.10299999999998</v>
      </c>
      <c r="W210" s="274"/>
      <c r="X210" s="274"/>
      <c r="Y210" s="274"/>
      <c r="Z210" s="274"/>
      <c r="AA210" s="871">
        <f>AA186+AA189</f>
        <v>210.91300000000001</v>
      </c>
      <c r="AB210" s="274"/>
      <c r="AC210" s="274"/>
      <c r="AD210" s="274"/>
      <c r="AE210" s="274"/>
      <c r="AF210" s="871">
        <f>AF186+AF189</f>
        <v>268.62299999999999</v>
      </c>
      <c r="AG210" s="274"/>
      <c r="AH210" s="274"/>
      <c r="AI210" s="274"/>
      <c r="AJ210" s="274"/>
      <c r="AK210" s="871">
        <f>AK186+AK189</f>
        <v>185.12599999999995</v>
      </c>
      <c r="AL210" s="274"/>
      <c r="AM210" s="274"/>
      <c r="AN210" s="274"/>
      <c r="AO210" s="274"/>
      <c r="AP210" s="871">
        <f>AP186+AP189</f>
        <v>215.64000000000004</v>
      </c>
      <c r="AQ210" s="274"/>
      <c r="AR210" s="274"/>
      <c r="AS210" s="274"/>
      <c r="AT210" s="274"/>
      <c r="AU210" s="871">
        <f>AU186+AU189</f>
        <v>77.182999999999993</v>
      </c>
      <c r="AV210" s="274"/>
      <c r="AW210" s="274"/>
      <c r="AX210" s="274"/>
      <c r="AY210" s="274"/>
      <c r="AZ210" s="871">
        <f>AZ186+AZ189</f>
        <v>63.001000000000005</v>
      </c>
      <c r="BA210" s="274"/>
      <c r="BB210" s="274"/>
      <c r="BC210" s="274"/>
      <c r="BD210" s="274"/>
      <c r="BE210" s="871">
        <f>BE186+BE189</f>
        <v>190.89299999999992</v>
      </c>
      <c r="BF210" s="274"/>
      <c r="BG210" s="274"/>
      <c r="BH210" s="274"/>
      <c r="BI210" s="274"/>
      <c r="BJ210" s="871">
        <f>BJ186+BJ189</f>
        <v>164.49199999999999</v>
      </c>
      <c r="BK210" s="274"/>
      <c r="BL210" s="274"/>
      <c r="BM210" s="274"/>
      <c r="BN210" s="274">
        <f>BN186+BN189</f>
        <v>29.819999999999936</v>
      </c>
      <c r="BO210" s="871">
        <f>BO186+BO189</f>
        <v>107.37099999999998</v>
      </c>
      <c r="BP210" s="274"/>
      <c r="BQ210" s="274"/>
      <c r="BR210" s="274"/>
      <c r="BS210" s="274">
        <f>BS186+BS189</f>
        <v>104.51300000000005</v>
      </c>
      <c r="BT210" s="871">
        <f>BT186+BT189</f>
        <v>-37.657999999999959</v>
      </c>
      <c r="BU210" s="274"/>
      <c r="BV210" s="274"/>
      <c r="BW210" s="274"/>
      <c r="BX210" s="274">
        <f>BX186+BX189</f>
        <v>51.20499999999997</v>
      </c>
      <c r="BY210" s="871">
        <f>BY186+BY189</f>
        <v>45.866999999999962</v>
      </c>
      <c r="BZ210" s="274"/>
      <c r="CA210" s="274"/>
      <c r="CB210" s="274"/>
      <c r="CC210" s="274">
        <f t="shared" ref="CC210:CM210" si="116">CC186+CC189</f>
        <v>163.75900000000004</v>
      </c>
      <c r="CD210" s="871">
        <f t="shared" si="116"/>
        <v>128.35499999999996</v>
      </c>
      <c r="CE210" s="274">
        <f>CE186+CE189</f>
        <v>-79.147999999999996</v>
      </c>
      <c r="CF210" s="274">
        <f>CF186+CF189</f>
        <v>97.796000000000021</v>
      </c>
      <c r="CG210" s="274">
        <f>CG186+CG189</f>
        <v>53.828389120358452</v>
      </c>
      <c r="CH210" s="274">
        <f>CH186+CH189</f>
        <v>172.82008343763385</v>
      </c>
      <c r="CI210" s="274">
        <f t="shared" si="116"/>
        <v>209.52566355718474</v>
      </c>
      <c r="CJ210" s="274">
        <f t="shared" si="116"/>
        <v>279.69608492195732</v>
      </c>
      <c r="CK210" s="274">
        <f t="shared" si="116"/>
        <v>368.972871457032</v>
      </c>
      <c r="CL210" s="274">
        <f t="shared" si="116"/>
        <v>412.69992685634662</v>
      </c>
      <c r="CM210" s="274">
        <f t="shared" si="116"/>
        <v>429.97726314250127</v>
      </c>
      <c r="CN210" s="274"/>
      <c r="CO210" s="686">
        <f>(CM210/CD210)^(1/5)-1</f>
        <v>0.27352225872088765</v>
      </c>
      <c r="CP210" s="274"/>
      <c r="CQ210" s="694" t="s">
        <v>858</v>
      </c>
    </row>
    <row r="211" spans="2:119" ht="16.5" customHeight="1" x14ac:dyDescent="0.25">
      <c r="B211" s="12" t="s">
        <v>185</v>
      </c>
      <c r="C211" s="241"/>
      <c r="D211" s="241"/>
      <c r="E211" s="241"/>
      <c r="F211" s="241"/>
      <c r="G211" s="869"/>
      <c r="H211" s="241"/>
      <c r="I211" s="241"/>
      <c r="J211" s="241"/>
      <c r="K211" s="241"/>
      <c r="L211" s="886">
        <f>L210/G210-1</f>
        <v>0.99728552978570417</v>
      </c>
      <c r="M211" s="758"/>
      <c r="N211" s="758"/>
      <c r="O211" s="758"/>
      <c r="P211" s="758"/>
      <c r="Q211" s="886">
        <f>Q210/L210-1</f>
        <v>0.10627151392185485</v>
      </c>
      <c r="R211" s="758"/>
      <c r="S211" s="758"/>
      <c r="T211" s="758"/>
      <c r="U211" s="758"/>
      <c r="V211" s="886">
        <f>V210/Q210-1</f>
        <v>-0.44662926264135894</v>
      </c>
      <c r="W211" s="758"/>
      <c r="X211" s="758"/>
      <c r="Y211" s="758"/>
      <c r="Z211" s="758"/>
      <c r="AA211" s="886">
        <f>AA210/V210-1</f>
        <v>0.33402275731643316</v>
      </c>
      <c r="AB211" s="758"/>
      <c r="AC211" s="758"/>
      <c r="AD211" s="758"/>
      <c r="AE211" s="758"/>
      <c r="AF211" s="886">
        <f>AF210/AA210-1</f>
        <v>0.27361992859615092</v>
      </c>
      <c r="AG211" s="758"/>
      <c r="AH211" s="758"/>
      <c r="AI211" s="758"/>
      <c r="AJ211" s="758"/>
      <c r="AK211" s="886">
        <f>AK210/AF210-1</f>
        <v>-0.31083339848039837</v>
      </c>
      <c r="AL211" s="758"/>
      <c r="AM211" s="758"/>
      <c r="AN211" s="758"/>
      <c r="AO211" s="758"/>
      <c r="AP211" s="886">
        <f>AP210/AK210-1</f>
        <v>0.16482827911800668</v>
      </c>
      <c r="AQ211" s="758"/>
      <c r="AR211" s="758"/>
      <c r="AS211" s="758"/>
      <c r="AT211" s="758"/>
      <c r="AU211" s="886">
        <f>AU210/AP210-1</f>
        <v>-0.64207475421999638</v>
      </c>
      <c r="AV211" s="758"/>
      <c r="AW211" s="758"/>
      <c r="AX211" s="758"/>
      <c r="AY211" s="758"/>
      <c r="AZ211" s="886">
        <f>AZ210/AU210-1</f>
        <v>-0.18374512522187514</v>
      </c>
      <c r="BA211" s="758"/>
      <c r="BB211" s="758"/>
      <c r="BC211" s="758"/>
      <c r="BD211" s="758"/>
      <c r="BE211" s="886">
        <f>BE210/AZ210-1</f>
        <v>2.0299995238170805</v>
      </c>
      <c r="BF211" s="758"/>
      <c r="BG211" s="758"/>
      <c r="BH211" s="758"/>
      <c r="BI211" s="758"/>
      <c r="BJ211" s="886">
        <f>BJ210/BE210-1</f>
        <v>-0.1383026093151658</v>
      </c>
      <c r="BK211" s="758"/>
      <c r="BL211" s="758"/>
      <c r="BM211" s="758"/>
      <c r="BN211" s="758"/>
      <c r="BO211" s="886">
        <f>BO210/BJ210-1</f>
        <v>-0.34725700945942672</v>
      </c>
      <c r="BP211" s="758"/>
      <c r="BQ211" s="758"/>
      <c r="BR211" s="758"/>
      <c r="BS211" s="758"/>
      <c r="BT211" s="886">
        <f>BT210/BO210-1</f>
        <v>-1.3507278501643829</v>
      </c>
      <c r="BU211" s="758"/>
      <c r="BV211" s="758"/>
      <c r="BW211" s="758"/>
      <c r="BX211" s="758"/>
      <c r="BY211" s="886">
        <f>BY210/BT210-1</f>
        <v>-2.2179882096765633</v>
      </c>
      <c r="BZ211" s="758"/>
      <c r="CA211" s="758"/>
      <c r="CB211" s="758"/>
      <c r="CC211" s="758"/>
      <c r="CD211" s="886">
        <f>CD210/BY210-1</f>
        <v>1.7984171626659706</v>
      </c>
      <c r="CE211" s="758" t="str">
        <f>IFERROR(CE210/BZ210-1,"")</f>
        <v/>
      </c>
      <c r="CF211" s="758" t="str">
        <f>IFERROR(CF210/CA210-1,"")</f>
        <v/>
      </c>
      <c r="CG211" s="758" t="str">
        <f>IFERROR(CG210/CB210-1,"")</f>
        <v/>
      </c>
      <c r="CH211" s="758">
        <f>IFERROR(CH210/CC210-1,"")</f>
        <v>5.5331819549666372E-2</v>
      </c>
      <c r="CI211" s="759">
        <f>CI210/CD210-1</f>
        <v>0.63239190960371472</v>
      </c>
      <c r="CJ211" s="759">
        <f>CJ210/CI210-1</f>
        <v>0.33490132031306663</v>
      </c>
      <c r="CK211" s="759">
        <f>CK210/CJ210-1</f>
        <v>0.31919212083352999</v>
      </c>
      <c r="CL211" s="759">
        <f>CL210/CK210-1</f>
        <v>0.11851021791017158</v>
      </c>
      <c r="CM211" s="759">
        <f>CM210/CL210-1</f>
        <v>4.18641612509143E-2</v>
      </c>
      <c r="CN211" s="241"/>
      <c r="CO211" s="683"/>
      <c r="CP211" s="241"/>
      <c r="CQ211" s="693"/>
    </row>
    <row r="212" spans="2:119" ht="16.5" customHeight="1" x14ac:dyDescent="0.25">
      <c r="B212" s="12" t="s">
        <v>758</v>
      </c>
      <c r="C212" s="241"/>
      <c r="D212" s="241"/>
      <c r="E212" s="241"/>
      <c r="F212" s="241"/>
      <c r="G212" s="869">
        <f>G210/G114</f>
        <v>6.1159691465350378E-2</v>
      </c>
      <c r="H212" s="241"/>
      <c r="I212" s="241"/>
      <c r="J212" s="241"/>
      <c r="K212" s="241"/>
      <c r="L212" s="869">
        <f>L210/L114</f>
        <v>0.11081014982751815</v>
      </c>
      <c r="M212" s="241"/>
      <c r="N212" s="241"/>
      <c r="O212" s="241"/>
      <c r="P212" s="241"/>
      <c r="Q212" s="869">
        <f>Q210/Q114</f>
        <v>0.11569339341479533</v>
      </c>
      <c r="R212" s="241"/>
      <c r="S212" s="241"/>
      <c r="T212" s="241"/>
      <c r="U212" s="241"/>
      <c r="V212" s="869">
        <f>V210/V114</f>
        <v>6.0568644885609403E-2</v>
      </c>
      <c r="W212" s="241"/>
      <c r="X212" s="241"/>
      <c r="Y212" s="241"/>
      <c r="Z212" s="241"/>
      <c r="AA212" s="869">
        <f>AA210/AA114</f>
        <v>7.9638345633282162E-2</v>
      </c>
      <c r="AB212" s="241"/>
      <c r="AC212" s="241"/>
      <c r="AD212" s="241"/>
      <c r="AE212" s="241"/>
      <c r="AF212" s="869">
        <f>AF210/AF114</f>
        <v>0.10636293660108047</v>
      </c>
      <c r="AG212" s="241"/>
      <c r="AH212" s="241"/>
      <c r="AI212" s="241"/>
      <c r="AJ212" s="241"/>
      <c r="AK212" s="869">
        <f>AK210/AK114</f>
        <v>7.6754077739178084E-2</v>
      </c>
      <c r="AL212" s="241"/>
      <c r="AM212" s="241"/>
      <c r="AN212" s="241"/>
      <c r="AO212" s="241"/>
      <c r="AP212" s="869">
        <f>AP210/AP114</f>
        <v>8.6341512634112841E-2</v>
      </c>
      <c r="AQ212" s="241"/>
      <c r="AR212" s="241"/>
      <c r="AS212" s="241"/>
      <c r="AT212" s="241"/>
      <c r="AU212" s="869">
        <f>AU210/AU114</f>
        <v>2.8486403973030868E-2</v>
      </c>
      <c r="AV212" s="241"/>
      <c r="AW212" s="241"/>
      <c r="AX212" s="241"/>
      <c r="AY212" s="241"/>
      <c r="AZ212" s="869">
        <f>AZ210/AZ114</f>
        <v>2.1689607365811457E-2</v>
      </c>
      <c r="BA212" s="241"/>
      <c r="BB212" s="241"/>
      <c r="BC212" s="241"/>
      <c r="BD212" s="241"/>
      <c r="BE212" s="869">
        <f>BE210/BE114</f>
        <v>6.6177648260354952E-2</v>
      </c>
      <c r="BF212" s="241"/>
      <c r="BG212" s="241"/>
      <c r="BH212" s="241"/>
      <c r="BI212" s="241"/>
      <c r="BJ212" s="869">
        <f>BJ210/BJ114</f>
        <v>5.7676158391693107E-2</v>
      </c>
      <c r="BK212" s="241"/>
      <c r="BL212" s="241"/>
      <c r="BM212" s="241"/>
      <c r="BN212" s="241"/>
      <c r="BO212" s="869">
        <f>BO210/BO114</f>
        <v>3.5368470012514058E-2</v>
      </c>
      <c r="BP212" s="241"/>
      <c r="BQ212" s="241"/>
      <c r="BR212" s="241"/>
      <c r="BS212" s="241"/>
      <c r="BT212" s="869">
        <f>BT210/BT114</f>
        <v>-1.1355802894285297E-2</v>
      </c>
      <c r="BU212" s="241"/>
      <c r="BV212" s="241"/>
      <c r="BW212" s="241"/>
      <c r="BX212" s="241"/>
      <c r="BY212" s="869">
        <f>BY210/BY114</f>
        <v>1.2709201542826731E-2</v>
      </c>
      <c r="BZ212" s="241"/>
      <c r="CA212" s="241"/>
      <c r="CB212" s="241"/>
      <c r="CC212" s="241"/>
      <c r="CD212" s="869">
        <f t="shared" ref="CD212:CM212" si="117">CD210/CD114</f>
        <v>3.3247215994098356E-2</v>
      </c>
      <c r="CE212" s="241">
        <f>CE210/CE114</f>
        <v>-7.1930101986102543E-2</v>
      </c>
      <c r="CF212" s="241">
        <f>CF210/CF114</f>
        <v>9.296666086789547E-2</v>
      </c>
      <c r="CG212" s="241">
        <f>CG210/CG114</f>
        <v>5.0001906706355959E-2</v>
      </c>
      <c r="CH212" s="241">
        <f>CH210/CH114</f>
        <v>0.16678730811314657</v>
      </c>
      <c r="CI212" s="751">
        <f t="shared" si="117"/>
        <v>4.9126880422183557E-2</v>
      </c>
      <c r="CJ212" s="751">
        <f t="shared" si="117"/>
        <v>6.0638165919124701E-2</v>
      </c>
      <c r="CK212" s="751">
        <f t="shared" si="117"/>
        <v>7.4742896594754249E-2</v>
      </c>
      <c r="CL212" s="751">
        <f t="shared" si="117"/>
        <v>7.8511198861811266E-2</v>
      </c>
      <c r="CM212" s="751">
        <f t="shared" si="117"/>
        <v>7.7030629447584459E-2</v>
      </c>
      <c r="CN212" s="241"/>
      <c r="CO212" s="683"/>
      <c r="CP212" s="241"/>
      <c r="CQ212" s="693"/>
    </row>
    <row r="213" spans="2:119" ht="16.5" customHeight="1" x14ac:dyDescent="0.25">
      <c r="B213" s="12" t="s">
        <v>759</v>
      </c>
      <c r="C213" s="241"/>
      <c r="D213" s="241"/>
      <c r="E213" s="241"/>
      <c r="F213" s="241"/>
      <c r="G213" s="886">
        <f>IFERROR(G210/G175,"-")</f>
        <v>1.1962458600847408</v>
      </c>
      <c r="H213" s="758"/>
      <c r="I213" s="758"/>
      <c r="J213" s="758"/>
      <c r="K213" s="758"/>
      <c r="L213" s="886">
        <f>IFERROR(L210/L175,"-")</f>
        <v>1.8986994655237059</v>
      </c>
      <c r="M213" s="758"/>
      <c r="N213" s="758"/>
      <c r="O213" s="758"/>
      <c r="P213" s="758"/>
      <c r="Q213" s="886">
        <f>IFERROR(Q210/Q175,"-")</f>
        <v>1.8739685954532934</v>
      </c>
      <c r="R213" s="758"/>
      <c r="S213" s="758"/>
      <c r="T213" s="758"/>
      <c r="U213" s="758"/>
      <c r="V213" s="886">
        <f>IFERROR(V210/V175,"-")</f>
        <v>1.3120907574462433</v>
      </c>
      <c r="W213" s="758"/>
      <c r="X213" s="758"/>
      <c r="Y213" s="758"/>
      <c r="Z213" s="758"/>
      <c r="AA213" s="886">
        <f>IFERROR(AA210/AA175,"-")</f>
        <v>1.3332216589337413</v>
      </c>
      <c r="AB213" s="758"/>
      <c r="AC213" s="758"/>
      <c r="AD213" s="758"/>
      <c r="AE213" s="758"/>
      <c r="AF213" s="886">
        <f>IFERROR(AF210/AF175,"-")</f>
        <v>2.0368280976319917</v>
      </c>
      <c r="AG213" s="758"/>
      <c r="AH213" s="758"/>
      <c r="AI213" s="758"/>
      <c r="AJ213" s="758"/>
      <c r="AK213" s="886">
        <f>IFERROR(AK210/AK175,"-")</f>
        <v>1.4973833846950244</v>
      </c>
      <c r="AL213" s="758"/>
      <c r="AM213" s="758"/>
      <c r="AN213" s="758"/>
      <c r="AO213" s="758"/>
      <c r="AP213" s="886">
        <f>IFERROR(AP210/AP175,"-")</f>
        <v>1.5357880492842393</v>
      </c>
      <c r="AQ213" s="758"/>
      <c r="AR213" s="758"/>
      <c r="AS213" s="758"/>
      <c r="AT213" s="758"/>
      <c r="AU213" s="886">
        <f>IFERROR(AU210/AU175,"-")</f>
        <v>0.79876433331953467</v>
      </c>
      <c r="AV213" s="758"/>
      <c r="AW213" s="758"/>
      <c r="AX213" s="758"/>
      <c r="AY213" s="758"/>
      <c r="AZ213" s="886">
        <f>IFERROR(AZ210/AZ175,"-")</f>
        <v>0.36093796548800333</v>
      </c>
      <c r="BA213" s="758"/>
      <c r="BB213" s="758"/>
      <c r="BC213" s="758"/>
      <c r="BD213" s="758"/>
      <c r="BE213" s="886">
        <f>IFERROR(BE210/BE175,"-")</f>
        <v>20.737968495383139</v>
      </c>
      <c r="BF213" s="758"/>
      <c r="BG213" s="758"/>
      <c r="BH213" s="758"/>
      <c r="BI213" s="758"/>
      <c r="BJ213" s="886">
        <f>IFERROR(BJ210/BJ175,"-")</f>
        <v>1.0462536572955095</v>
      </c>
      <c r="BK213" s="758"/>
      <c r="BL213" s="758"/>
      <c r="BM213" s="758"/>
      <c r="BN213" s="758"/>
      <c r="BO213" s="886">
        <f>IFERROR(BO210/BO175,"-")</f>
        <v>0.69192599418728284</v>
      </c>
      <c r="BP213" s="758"/>
      <c r="BQ213" s="758"/>
      <c r="BR213" s="758"/>
      <c r="BS213" s="758"/>
      <c r="BT213" s="886">
        <f>IFERROR(BT210/BT175,"-")</f>
        <v>-0.21499691703395807</v>
      </c>
      <c r="BU213" s="758"/>
      <c r="BV213" s="758"/>
      <c r="BW213" s="758"/>
      <c r="BX213" s="758"/>
      <c r="BY213" s="886">
        <f>IFERROR(BY210/BY175,"-")</f>
        <v>0.21968427001810448</v>
      </c>
      <c r="BZ213" s="758"/>
      <c r="CA213" s="758"/>
      <c r="CB213" s="758"/>
      <c r="CC213" s="758"/>
      <c r="CD213" s="886">
        <f>IFERROR(CD210/CD175,"-")</f>
        <v>0.54612641897986614</v>
      </c>
      <c r="CE213" s="758">
        <f>IFERROR(CE210/CE175,"-")</f>
        <v>-1.0037665977603327</v>
      </c>
      <c r="CF213" s="758">
        <f>IFERROR(CF210/CF175,"-")</f>
        <v>1.1949803883234158</v>
      </c>
      <c r="CG213" s="758">
        <f>IFERROR(CG210/CG175,"-")</f>
        <v>0.6809478842945651</v>
      </c>
      <c r="CH213" s="758">
        <f>IFERROR(CH210/CH175,"-")</f>
        <v>2.5055252838929909</v>
      </c>
      <c r="CI213" s="759">
        <f>CI210/CI133</f>
        <v>0.67769103232575811</v>
      </c>
      <c r="CJ213" s="759">
        <f>CJ210/CJ133</f>
        <v>0.76541310815623853</v>
      </c>
      <c r="CK213" s="759">
        <f>CK210/CK133</f>
        <v>0.88233733074532317</v>
      </c>
      <c r="CL213" s="759">
        <f>CL210/CL133</f>
        <v>0.85569144108444062</v>
      </c>
      <c r="CM213" s="759">
        <f>CM210/CM133</f>
        <v>0.78059122549067583</v>
      </c>
      <c r="CN213" s="241"/>
      <c r="CO213" s="683"/>
      <c r="CP213" s="241"/>
      <c r="CQ213" s="693"/>
    </row>
    <row r="214" spans="2:119" ht="16.5" customHeight="1" x14ac:dyDescent="0.25">
      <c r="B214" s="12" t="s">
        <v>760</v>
      </c>
      <c r="C214" s="241"/>
      <c r="D214" s="241"/>
      <c r="E214" s="241"/>
      <c r="F214" s="241"/>
      <c r="G214" s="869">
        <f>-G189/G114</f>
        <v>3.1192591989980381E-2</v>
      </c>
      <c r="H214" s="241"/>
      <c r="I214" s="241"/>
      <c r="J214" s="241"/>
      <c r="K214" s="241"/>
      <c r="L214" s="869">
        <f>-L189/L114</f>
        <v>3.5904542880189474E-2</v>
      </c>
      <c r="M214" s="241"/>
      <c r="N214" s="241"/>
      <c r="O214" s="241"/>
      <c r="P214" s="241"/>
      <c r="Q214" s="869">
        <f>-Q189/Q114</f>
        <v>4.332190338589921E-2</v>
      </c>
      <c r="R214" s="241"/>
      <c r="S214" s="241"/>
      <c r="T214" s="241"/>
      <c r="U214" s="241"/>
      <c r="V214" s="869">
        <f>-V189/V114</f>
        <v>3.5694597310435422E-2</v>
      </c>
      <c r="W214" s="241"/>
      <c r="X214" s="241"/>
      <c r="Y214" s="241"/>
      <c r="Z214" s="241"/>
      <c r="AA214" s="869">
        <f>-AA189/AA114</f>
        <v>2.9743032074264125E-2</v>
      </c>
      <c r="AB214" s="241"/>
      <c r="AC214" s="241"/>
      <c r="AD214" s="241"/>
      <c r="AE214" s="241"/>
      <c r="AF214" s="869">
        <f>-AF189/AF114</f>
        <v>3.1950891930888223E-2</v>
      </c>
      <c r="AG214" s="241"/>
      <c r="AH214" s="241"/>
      <c r="AI214" s="241"/>
      <c r="AJ214" s="241"/>
      <c r="AK214" s="869">
        <f>-AK189/AK114</f>
        <v>2.7864741077399616E-2</v>
      </c>
      <c r="AL214" s="241"/>
      <c r="AM214" s="241"/>
      <c r="AN214" s="241"/>
      <c r="AO214" s="241"/>
      <c r="AP214" s="869">
        <f>-AP189/AP114</f>
        <v>3.0349257905029143E-2</v>
      </c>
      <c r="AQ214" s="241"/>
      <c r="AR214" s="241"/>
      <c r="AS214" s="241"/>
      <c r="AT214" s="241"/>
      <c r="AU214" s="869">
        <f>-AU189/AU114</f>
        <v>3.4883969842050173E-2</v>
      </c>
      <c r="AV214" s="241"/>
      <c r="AW214" s="241"/>
      <c r="AX214" s="241"/>
      <c r="AY214" s="241"/>
      <c r="AZ214" s="869">
        <f>-AZ189/AZ114</f>
        <v>4.0769617680261015E-2</v>
      </c>
      <c r="BA214" s="241"/>
      <c r="BB214" s="241"/>
      <c r="BC214" s="241"/>
      <c r="BD214" s="241"/>
      <c r="BE214" s="869">
        <f>-BE189/BE114</f>
        <v>3.0605771290813068E-2</v>
      </c>
      <c r="BF214" s="241"/>
      <c r="BG214" s="241"/>
      <c r="BH214" s="241"/>
      <c r="BI214" s="241"/>
      <c r="BJ214" s="869">
        <f>-BJ189/BJ114</f>
        <v>4.513825945575603E-2</v>
      </c>
      <c r="BK214" s="241"/>
      <c r="BL214" s="241"/>
      <c r="BM214" s="241"/>
      <c r="BN214" s="241"/>
      <c r="BO214" s="869">
        <f>-BO189/BO114</f>
        <v>4.5929172144385813E-2</v>
      </c>
      <c r="BP214" s="241"/>
      <c r="BQ214" s="241"/>
      <c r="BR214" s="241"/>
      <c r="BS214" s="241"/>
      <c r="BT214" s="869">
        <f>-BT189/BT114</f>
        <v>5.3467684300356734E-2</v>
      </c>
      <c r="BU214" s="241"/>
      <c r="BV214" s="241"/>
      <c r="BW214" s="241"/>
      <c r="BX214" s="241"/>
      <c r="BY214" s="869">
        <f>-BY189/BY114</f>
        <v>4.2116011260861855E-2</v>
      </c>
      <c r="BZ214" s="241"/>
      <c r="CA214" s="241"/>
      <c r="CB214" s="241"/>
      <c r="CC214" s="241"/>
      <c r="CD214" s="869">
        <f t="shared" ref="CD214:CM214" si="118">-CD189/CD114</f>
        <v>3.7489017319479963E-2</v>
      </c>
      <c r="CE214" s="241">
        <f>-CE189/CE114</f>
        <v>3.1244717570655049E-2</v>
      </c>
      <c r="CF214" s="241">
        <f>-CF189/CF114</f>
        <v>3.0227758622820351E-2</v>
      </c>
      <c r="CG214" s="241">
        <f>-CG189/CG114</f>
        <v>3.7489017319479997E-2</v>
      </c>
      <c r="CH214" s="241">
        <f>-CH189/CH114</f>
        <v>3.7489017319479997E-2</v>
      </c>
      <c r="CI214" s="751">
        <f t="shared" si="118"/>
        <v>3.7489017319479997E-2</v>
      </c>
      <c r="CJ214" s="751">
        <f t="shared" si="118"/>
        <v>3.7489017319479997E-2</v>
      </c>
      <c r="CK214" s="751">
        <f t="shared" si="118"/>
        <v>3.7489017319479997E-2</v>
      </c>
      <c r="CL214" s="751">
        <f t="shared" si="118"/>
        <v>3.7489017319479997E-2</v>
      </c>
      <c r="CM214" s="751">
        <f t="shared" si="118"/>
        <v>3.7489017319479997E-2</v>
      </c>
      <c r="CN214" s="241"/>
      <c r="CO214" s="683"/>
      <c r="CP214" s="241"/>
      <c r="CQ214" s="693" t="s">
        <v>816</v>
      </c>
    </row>
    <row r="215" spans="2:119" ht="16.5" customHeight="1" x14ac:dyDescent="0.25">
      <c r="B215" s="223" t="s">
        <v>484</v>
      </c>
      <c r="C215" s="835"/>
      <c r="D215" s="835"/>
      <c r="E215" s="835"/>
      <c r="F215" s="835"/>
      <c r="G215" s="887"/>
      <c r="H215" s="835"/>
      <c r="I215" s="835"/>
      <c r="J215" s="835"/>
      <c r="K215" s="835"/>
      <c r="L215" s="887"/>
      <c r="M215" s="835"/>
      <c r="N215" s="835"/>
      <c r="O215" s="835"/>
      <c r="P215" s="835"/>
      <c r="Q215" s="887"/>
      <c r="R215" s="835"/>
      <c r="S215" s="835"/>
      <c r="T215" s="835"/>
      <c r="U215" s="835"/>
      <c r="V215" s="887"/>
      <c r="W215" s="835"/>
      <c r="X215" s="835"/>
      <c r="Y215" s="835"/>
      <c r="Z215" s="835"/>
      <c r="AA215" s="887"/>
      <c r="AB215" s="835"/>
      <c r="AC215" s="835"/>
      <c r="AD215" s="835"/>
      <c r="AE215" s="835"/>
      <c r="AF215" s="887"/>
      <c r="AG215" s="835"/>
      <c r="AH215" s="835"/>
      <c r="AI215" s="835"/>
      <c r="AJ215" s="835"/>
      <c r="AK215" s="887"/>
      <c r="AL215" s="835"/>
      <c r="AM215" s="835"/>
      <c r="AN215" s="835"/>
      <c r="AO215" s="835"/>
      <c r="AP215" s="887"/>
      <c r="AQ215" s="835"/>
      <c r="AR215" s="835"/>
      <c r="AS215" s="835"/>
      <c r="AT215" s="835"/>
      <c r="AU215" s="887"/>
      <c r="AV215" s="835"/>
      <c r="AW215" s="835"/>
      <c r="AX215" s="835"/>
      <c r="AY215" s="835"/>
      <c r="AZ215" s="887"/>
      <c r="BA215" s="835"/>
      <c r="BB215" s="835"/>
      <c r="BC215" s="835"/>
      <c r="BD215" s="835"/>
      <c r="BE215" s="887"/>
      <c r="BF215" s="835"/>
      <c r="BG215" s="835"/>
      <c r="BH215" s="835"/>
      <c r="BI215" s="835"/>
      <c r="BJ215" s="887"/>
      <c r="BK215" s="835"/>
      <c r="BL215" s="835"/>
      <c r="BM215" s="835"/>
      <c r="BN215" s="835"/>
      <c r="BO215" s="887"/>
      <c r="BP215" s="835"/>
      <c r="BQ215" s="835"/>
      <c r="BR215" s="835"/>
      <c r="BS215" s="835"/>
      <c r="BT215" s="887"/>
      <c r="BU215" s="835"/>
      <c r="BV215" s="835"/>
      <c r="BW215" s="835"/>
      <c r="BX215" s="835"/>
      <c r="BY215" s="887"/>
      <c r="BZ215" s="835"/>
      <c r="CA215" s="835"/>
      <c r="CB215" s="835"/>
      <c r="CC215" s="835"/>
      <c r="CD215" s="887"/>
      <c r="CE215" s="224"/>
      <c r="CF215" s="224"/>
      <c r="CG215" s="224"/>
      <c r="CH215" s="224"/>
      <c r="CI215" s="835"/>
      <c r="CJ215" s="835"/>
      <c r="CK215" s="835"/>
      <c r="CL215" s="835"/>
      <c r="CM215" s="835"/>
      <c r="CN215" s="224"/>
      <c r="CO215" s="684"/>
      <c r="CP215" s="224"/>
      <c r="CQ215" s="693" t="s">
        <v>818</v>
      </c>
    </row>
    <row r="216" spans="2:119" ht="16.5" customHeight="1" x14ac:dyDescent="0.25">
      <c r="B216" s="12" t="s">
        <v>887</v>
      </c>
      <c r="G216" s="862"/>
      <c r="L216" s="862"/>
      <c r="Q216" s="862"/>
      <c r="V216" s="862"/>
      <c r="AA216" s="862"/>
      <c r="AF216" s="862"/>
      <c r="AK216" s="862"/>
      <c r="AP216" s="862"/>
      <c r="AU216" s="862"/>
      <c r="AZ216" s="862"/>
      <c r="BE216" s="862"/>
      <c r="BJ216" s="862"/>
      <c r="BO216" s="862"/>
      <c r="BT216" s="862"/>
      <c r="BY216" s="862"/>
      <c r="CD216" s="862"/>
      <c r="CI216" s="774">
        <v>345</v>
      </c>
      <c r="CJ216" s="749">
        <f>CI216*(1+0.07)</f>
        <v>369.15000000000003</v>
      </c>
      <c r="CK216" s="749">
        <f>CJ216*(1+0.07)</f>
        <v>394.99050000000005</v>
      </c>
      <c r="CL216" s="749">
        <f>CK216*(1+0.07)</f>
        <v>422.63983500000006</v>
      </c>
      <c r="CM216" s="749">
        <f>CL216*(1+0.07)</f>
        <v>452.22462345000008</v>
      </c>
      <c r="CN216" s="291"/>
      <c r="CO216" s="683"/>
      <c r="CP216" s="291"/>
      <c r="CQ216" s="693"/>
    </row>
    <row r="217" spans="2:119" ht="16.5" customHeight="1" x14ac:dyDescent="0.25">
      <c r="B217" s="12" t="s">
        <v>888</v>
      </c>
      <c r="G217" s="862"/>
      <c r="L217" s="862"/>
      <c r="Q217" s="862"/>
      <c r="V217" s="862"/>
      <c r="AA217" s="862"/>
      <c r="AF217" s="862"/>
      <c r="AK217" s="862"/>
      <c r="AP217" s="862"/>
      <c r="AU217" s="862"/>
      <c r="AZ217" s="862"/>
      <c r="BE217" s="862"/>
      <c r="BJ217" s="862"/>
      <c r="BO217" s="862"/>
      <c r="BT217" s="862"/>
      <c r="BY217" s="862"/>
      <c r="CD217" s="862"/>
      <c r="CI217" s="749">
        <f>ABS(CI199)</f>
        <v>150</v>
      </c>
      <c r="CJ217" s="749">
        <f>ABS(CJ199)</f>
        <v>150</v>
      </c>
      <c r="CK217" s="749">
        <f>ABS(CK199)</f>
        <v>150</v>
      </c>
      <c r="CL217" s="749">
        <f>ABS(CL199)</f>
        <v>150</v>
      </c>
      <c r="CM217" s="749">
        <f>ABS(CM199)</f>
        <v>150</v>
      </c>
      <c r="CN217" s="706"/>
      <c r="CO217" s="707"/>
      <c r="CP217" s="706"/>
      <c r="CQ217" s="692" t="s">
        <v>859</v>
      </c>
    </row>
    <row r="218" spans="2:119" ht="16.5" customHeight="1" x14ac:dyDescent="0.25">
      <c r="B218" s="12" t="s">
        <v>487</v>
      </c>
      <c r="G218" s="862"/>
      <c r="L218" s="862"/>
      <c r="Q218" s="862"/>
      <c r="V218" s="862"/>
      <c r="AA218" s="862"/>
      <c r="AF218" s="862"/>
      <c r="AK218" s="862"/>
      <c r="AP218" s="862"/>
      <c r="AU218" s="862"/>
      <c r="AZ218" s="862"/>
      <c r="BE218" s="862"/>
      <c r="BJ218" s="862"/>
      <c r="BO218" s="862"/>
      <c r="BT218" s="862"/>
      <c r="BY218" s="862"/>
      <c r="CD218" s="862"/>
      <c r="CI218" s="749">
        <f>CI217/CI216*1000</f>
        <v>434.78260869565219</v>
      </c>
      <c r="CJ218" s="749">
        <f>CJ217/CJ216*1000</f>
        <v>406.33888663145058</v>
      </c>
      <c r="CK218" s="749">
        <f>CK217/CK216*1000</f>
        <v>379.75596881443977</v>
      </c>
      <c r="CL218" s="749">
        <f>CL217/CL216*1000</f>
        <v>354.91212038732687</v>
      </c>
      <c r="CM218" s="749">
        <f>CM217/CM216*1000</f>
        <v>331.69357045544569</v>
      </c>
      <c r="CN218" s="291"/>
      <c r="CO218" s="708"/>
      <c r="CP218" s="291"/>
      <c r="CQ218" s="693"/>
    </row>
    <row r="219" spans="2:119" ht="16.5" customHeight="1" x14ac:dyDescent="0.25">
      <c r="B219" s="12" t="s">
        <v>488</v>
      </c>
      <c r="G219" s="862"/>
      <c r="L219" s="862"/>
      <c r="Q219" s="862"/>
      <c r="V219" s="862"/>
      <c r="AA219" s="862"/>
      <c r="AF219" s="862"/>
      <c r="AK219" s="862"/>
      <c r="AP219" s="862"/>
      <c r="AU219" s="862"/>
      <c r="AZ219" s="862"/>
      <c r="BE219" s="862"/>
      <c r="BJ219" s="862"/>
      <c r="BO219" s="862"/>
      <c r="BT219" s="862"/>
      <c r="BY219" s="862"/>
      <c r="CD219" s="862"/>
      <c r="CI219" s="749">
        <f>CD139</f>
        <v>32082.600999999999</v>
      </c>
      <c r="CJ219" s="749">
        <f>CI220</f>
        <v>31647.818391304347</v>
      </c>
      <c r="CK219" s="749">
        <f>CJ220</f>
        <v>31241.479504672898</v>
      </c>
      <c r="CL219" s="749">
        <f>CK220</f>
        <v>30861.723535858458</v>
      </c>
      <c r="CM219" s="749">
        <f>CL220</f>
        <v>30506.811415471133</v>
      </c>
      <c r="CN219" s="709"/>
      <c r="CO219" s="710"/>
      <c r="CP219" s="709"/>
      <c r="CQ219" s="693"/>
    </row>
    <row r="220" spans="2:119" ht="16.5" customHeight="1" x14ac:dyDescent="0.25">
      <c r="B220" s="12" t="s">
        <v>489</v>
      </c>
      <c r="G220" s="862"/>
      <c r="L220" s="862"/>
      <c r="Q220" s="862"/>
      <c r="V220" s="862"/>
      <c r="AA220" s="862"/>
      <c r="AF220" s="862"/>
      <c r="AK220" s="862"/>
      <c r="AP220" s="862"/>
      <c r="AU220" s="862"/>
      <c r="AZ220" s="862"/>
      <c r="BE220" s="862"/>
      <c r="BJ220" s="862"/>
      <c r="BO220" s="862"/>
      <c r="BT220" s="862"/>
      <c r="BY220" s="862"/>
      <c r="CD220" s="862"/>
      <c r="CI220" s="749">
        <f>CI219-CI218</f>
        <v>31647.818391304347</v>
      </c>
      <c r="CJ220" s="749">
        <f>CJ219-CJ218</f>
        <v>31241.479504672898</v>
      </c>
      <c r="CK220" s="749">
        <f>CK219-CK218</f>
        <v>30861.723535858458</v>
      </c>
      <c r="CL220" s="749">
        <f>CL219-CL218</f>
        <v>30506.811415471133</v>
      </c>
      <c r="CM220" s="749">
        <f>CM219-CM218</f>
        <v>30175.117845015688</v>
      </c>
      <c r="CN220" s="709"/>
      <c r="CO220" s="710"/>
      <c r="CP220" s="709"/>
      <c r="CQ220" s="693"/>
    </row>
    <row r="221" spans="2:119" ht="16.5" customHeight="1" x14ac:dyDescent="0.25">
      <c r="B221" s="12" t="s">
        <v>490</v>
      </c>
      <c r="G221" s="862"/>
      <c r="L221" s="862"/>
      <c r="Q221" s="862"/>
      <c r="V221" s="862"/>
      <c r="AA221" s="862"/>
      <c r="AF221" s="862"/>
      <c r="AK221" s="862"/>
      <c r="AP221" s="862"/>
      <c r="AU221" s="862"/>
      <c r="AZ221" s="862"/>
      <c r="BE221" s="862"/>
      <c r="BJ221" s="862"/>
      <c r="BO221" s="862"/>
      <c r="BT221" s="862"/>
      <c r="BY221" s="862"/>
      <c r="CD221" s="862"/>
      <c r="CI221" s="719">
        <f>IFERROR(CI218/CI219,"")</f>
        <v>1.355197506260955E-2</v>
      </c>
      <c r="CJ221" s="719">
        <f>IFERROR(CJ218/CJ219,"")</f>
        <v>1.2839396435082473E-2</v>
      </c>
      <c r="CK221" s="719">
        <f>IFERROR(CK218/CK219,"")</f>
        <v>1.2155505271689784E-2</v>
      </c>
      <c r="CL221" s="719">
        <f>IFERROR(CL218/CL219,"")</f>
        <v>1.1500074517061625E-2</v>
      </c>
      <c r="CM221" s="719">
        <f>IFERROR(CM218/CM219,"")</f>
        <v>1.0872770868712672E-2</v>
      </c>
      <c r="CN221" s="291"/>
      <c r="CO221" s="683"/>
      <c r="CP221" s="291"/>
      <c r="CQ221" s="694" t="s">
        <v>860</v>
      </c>
    </row>
    <row r="222" spans="2:119" ht="16.5" customHeight="1" x14ac:dyDescent="0.25">
      <c r="B222" s="12" t="s">
        <v>889</v>
      </c>
      <c r="G222" s="862"/>
      <c r="L222" s="862"/>
      <c r="Q222" s="862"/>
      <c r="V222" s="862"/>
      <c r="AA222" s="862"/>
      <c r="AF222" s="862"/>
      <c r="AK222" s="862"/>
      <c r="AP222" s="862"/>
      <c r="AU222" s="862"/>
      <c r="AZ222" s="862"/>
      <c r="BE222" s="862"/>
      <c r="BJ222" s="862"/>
      <c r="BO222" s="862"/>
      <c r="BT222" s="862"/>
      <c r="BY222" s="862"/>
      <c r="CD222" s="862"/>
      <c r="CI222" s="749">
        <f>CI218</f>
        <v>434.78260869565219</v>
      </c>
      <c r="CJ222" s="749">
        <f>CI222+CJ218</f>
        <v>841.12149532710282</v>
      </c>
      <c r="CK222" s="749">
        <f>CJ222+CK218</f>
        <v>1220.8774641415425</v>
      </c>
      <c r="CL222" s="749">
        <f>CK222+CL218</f>
        <v>1575.7895845288695</v>
      </c>
      <c r="CM222" s="749">
        <f>CL222+CM218</f>
        <v>1907.4831549843152</v>
      </c>
      <c r="CN222" s="291"/>
      <c r="CO222" s="683"/>
      <c r="CP222" s="291"/>
      <c r="CQ222" s="694" t="s">
        <v>861</v>
      </c>
    </row>
    <row r="223" spans="2:119" ht="16.5" customHeight="1" x14ac:dyDescent="0.25">
      <c r="B223" s="221" t="s">
        <v>761</v>
      </c>
      <c r="G223" s="865"/>
      <c r="H223" s="222"/>
      <c r="I223" s="222"/>
      <c r="J223" s="222"/>
      <c r="K223" s="222"/>
      <c r="L223" s="865"/>
      <c r="M223" s="222"/>
      <c r="N223" s="222"/>
      <c r="O223" s="222"/>
      <c r="P223" s="222"/>
      <c r="Q223" s="865"/>
      <c r="R223" s="222"/>
      <c r="S223" s="222"/>
      <c r="T223" s="222"/>
      <c r="U223" s="222"/>
      <c r="V223" s="865"/>
      <c r="W223" s="222"/>
      <c r="X223" s="222"/>
      <c r="Y223" s="222"/>
      <c r="Z223" s="222"/>
      <c r="AA223" s="865"/>
      <c r="AB223" s="222"/>
      <c r="AC223" s="222"/>
      <c r="AD223" s="222"/>
      <c r="AE223" s="222"/>
      <c r="AF223" s="865"/>
      <c r="AG223" s="222"/>
      <c r="AH223" s="222"/>
      <c r="AI223" s="222"/>
      <c r="AJ223" s="222"/>
      <c r="AK223" s="865"/>
      <c r="AL223" s="222"/>
      <c r="AM223" s="222"/>
      <c r="AN223" s="222"/>
      <c r="AO223" s="222"/>
      <c r="AP223" s="865"/>
      <c r="AQ223" s="222"/>
      <c r="AR223" s="222"/>
      <c r="AS223" s="222"/>
      <c r="AT223" s="222"/>
      <c r="AU223" s="865"/>
      <c r="AV223" s="222"/>
      <c r="AW223" s="222"/>
      <c r="AX223" s="222"/>
      <c r="AY223" s="222"/>
      <c r="AZ223" s="865"/>
      <c r="BA223" s="222"/>
      <c r="BB223" s="222"/>
      <c r="BC223" s="222"/>
      <c r="BD223" s="222"/>
      <c r="BE223" s="865"/>
      <c r="BF223" s="222"/>
      <c r="BG223" s="222"/>
      <c r="BH223" s="222"/>
      <c r="BI223" s="222"/>
      <c r="BJ223" s="865"/>
      <c r="BK223" s="222"/>
      <c r="BL223" s="222"/>
      <c r="BM223" s="222"/>
      <c r="BN223" s="222"/>
      <c r="BO223" s="865"/>
      <c r="BP223" s="222"/>
      <c r="BQ223" s="222"/>
      <c r="BR223" s="222"/>
      <c r="BS223" s="222"/>
      <c r="BT223" s="865"/>
      <c r="BU223" s="222"/>
      <c r="BV223" s="222"/>
      <c r="BW223" s="222"/>
      <c r="BX223" s="222"/>
      <c r="BY223" s="865"/>
      <c r="BZ223" s="222"/>
      <c r="CA223" s="222"/>
      <c r="CB223" s="222"/>
      <c r="CC223" s="222"/>
      <c r="CD223" s="865"/>
      <c r="CE223" s="222"/>
      <c r="CF223" s="222"/>
      <c r="CG223" s="222"/>
      <c r="CH223" s="222"/>
      <c r="CI223" s="222"/>
      <c r="CJ223" s="222"/>
      <c r="CK223" s="222"/>
      <c r="CL223" s="222"/>
      <c r="CM223" s="222"/>
      <c r="CN223" s="222"/>
      <c r="CO223" s="687"/>
      <c r="CP223" s="222"/>
      <c r="CQ223" s="694"/>
    </row>
    <row r="224" spans="2:119" ht="16.5" customHeight="1" x14ac:dyDescent="0.25">
      <c r="B224" s="149" t="s">
        <v>74</v>
      </c>
      <c r="G224" s="867"/>
      <c r="H224" s="224"/>
      <c r="I224" s="224"/>
      <c r="J224" s="224"/>
      <c r="K224" s="224"/>
      <c r="L224" s="867"/>
      <c r="M224" s="224"/>
      <c r="N224" s="224"/>
      <c r="O224" s="224"/>
      <c r="P224" s="224"/>
      <c r="Q224" s="867"/>
      <c r="R224" s="224"/>
      <c r="S224" s="224"/>
      <c r="T224" s="224"/>
      <c r="U224" s="224"/>
      <c r="V224" s="867"/>
      <c r="W224" s="224"/>
      <c r="X224" s="224"/>
      <c r="Y224" s="224"/>
      <c r="Z224" s="224"/>
      <c r="AA224" s="867"/>
      <c r="AB224" s="224"/>
      <c r="AC224" s="224"/>
      <c r="AD224" s="224"/>
      <c r="AE224" s="224"/>
      <c r="AF224" s="867"/>
      <c r="AG224" s="224"/>
      <c r="AH224" s="224"/>
      <c r="AI224" s="224"/>
      <c r="AJ224" s="224"/>
      <c r="AK224" s="867"/>
      <c r="AL224" s="224"/>
      <c r="AM224" s="224"/>
      <c r="AN224" s="224"/>
      <c r="AO224" s="224"/>
      <c r="AP224" s="867"/>
      <c r="AQ224" s="224"/>
      <c r="AR224" s="224"/>
      <c r="AS224" s="224"/>
      <c r="AT224" s="224"/>
      <c r="AU224" s="867"/>
      <c r="AV224" s="224"/>
      <c r="AW224" s="224"/>
      <c r="AX224" s="224"/>
      <c r="AY224" s="224"/>
      <c r="AZ224" s="867"/>
      <c r="BA224" s="224"/>
      <c r="BB224" s="224"/>
      <c r="BC224" s="224"/>
      <c r="BD224" s="224"/>
      <c r="BE224" s="867"/>
      <c r="BF224" s="224"/>
      <c r="BG224" s="224"/>
      <c r="BH224" s="224"/>
      <c r="BI224" s="224"/>
      <c r="BJ224" s="867"/>
      <c r="BK224" s="224"/>
      <c r="BL224" s="224"/>
      <c r="BM224" s="224"/>
      <c r="BN224" s="224"/>
      <c r="BO224" s="867"/>
      <c r="BP224" s="224"/>
      <c r="BQ224" s="224"/>
      <c r="BR224" s="224"/>
      <c r="BS224" s="224"/>
      <c r="BT224" s="867"/>
      <c r="BU224" s="224"/>
      <c r="BV224" s="224"/>
      <c r="BW224" s="224"/>
      <c r="BX224" s="224"/>
      <c r="BY224" s="867"/>
      <c r="BZ224" s="224"/>
      <c r="CA224" s="224"/>
      <c r="CB224" s="224"/>
      <c r="CC224" s="224"/>
      <c r="CD224" s="867"/>
      <c r="CE224" s="224"/>
      <c r="CF224" s="224"/>
      <c r="CG224" s="224"/>
      <c r="CH224" s="224"/>
      <c r="CI224" s="224"/>
      <c r="CJ224" s="224"/>
      <c r="CK224" s="224"/>
      <c r="CL224" s="224"/>
      <c r="CM224" s="224"/>
      <c r="CN224" s="224"/>
      <c r="CO224" s="224"/>
      <c r="CP224" s="224"/>
      <c r="CQ224" s="224"/>
      <c r="CR224" s="153"/>
      <c r="CS224" s="224"/>
      <c r="CT224" s="224"/>
      <c r="CU224" s="224"/>
      <c r="CV224" s="224"/>
      <c r="CW224" s="153"/>
      <c r="CX224" s="224"/>
      <c r="CY224" s="224"/>
      <c r="CZ224" s="224"/>
      <c r="DA224" s="224"/>
      <c r="DB224" s="153"/>
      <c r="DC224" s="224"/>
      <c r="DD224" s="224"/>
      <c r="DE224" s="224"/>
      <c r="DF224" s="224"/>
      <c r="DG224" s="153"/>
      <c r="DH224" s="224"/>
      <c r="DI224" s="224"/>
      <c r="DJ224" s="224"/>
      <c r="DK224" s="224"/>
      <c r="DL224" s="224"/>
      <c r="DM224" s="224"/>
      <c r="DN224" s="684"/>
      <c r="DO224" s="224"/>
    </row>
    <row r="225" spans="2:119" ht="16.5" customHeight="1" x14ac:dyDescent="0.25">
      <c r="B225" s="149" t="s">
        <v>83</v>
      </c>
      <c r="G225" s="867"/>
      <c r="H225" s="224"/>
      <c r="I225" s="224"/>
      <c r="J225" s="224"/>
      <c r="K225" s="224"/>
      <c r="L225" s="867"/>
      <c r="M225" s="224"/>
      <c r="N225" s="224"/>
      <c r="O225" s="224"/>
      <c r="P225" s="224"/>
      <c r="Q225" s="867"/>
      <c r="R225" s="224"/>
      <c r="S225" s="224"/>
      <c r="T225" s="224"/>
      <c r="U225" s="224"/>
      <c r="V225" s="867"/>
      <c r="W225" s="224"/>
      <c r="X225" s="224"/>
      <c r="Y225" s="224"/>
      <c r="Z225" s="224"/>
      <c r="AA225" s="867"/>
      <c r="AB225" s="224"/>
      <c r="AC225" s="224"/>
      <c r="AD225" s="224"/>
      <c r="AE225" s="224"/>
      <c r="AF225" s="867"/>
      <c r="AG225" s="224"/>
      <c r="AH225" s="224"/>
      <c r="AI225" s="224"/>
      <c r="AJ225" s="224"/>
      <c r="AK225" s="867"/>
      <c r="AL225" s="224"/>
      <c r="AM225" s="224"/>
      <c r="AN225" s="224"/>
      <c r="AO225" s="224"/>
      <c r="AP225" s="867"/>
      <c r="AQ225" s="224"/>
      <c r="AR225" s="224"/>
      <c r="AS225" s="224"/>
      <c r="AT225" s="224"/>
      <c r="AU225" s="867"/>
      <c r="AV225" s="224"/>
      <c r="AW225" s="224"/>
      <c r="AX225" s="224"/>
      <c r="AY225" s="224"/>
      <c r="AZ225" s="867"/>
      <c r="BA225" s="224"/>
      <c r="BB225" s="224"/>
      <c r="BC225" s="224"/>
      <c r="BD225" s="224"/>
      <c r="BE225" s="867"/>
      <c r="BF225" s="224"/>
      <c r="BG225" s="224"/>
      <c r="BH225" s="224"/>
      <c r="BI225" s="224"/>
      <c r="BJ225" s="867"/>
      <c r="BK225" s="224"/>
      <c r="BL225" s="224"/>
      <c r="BM225" s="224"/>
      <c r="BN225" s="224"/>
      <c r="BO225" s="867"/>
      <c r="BP225" s="224"/>
      <c r="BQ225" s="224"/>
      <c r="BR225" s="224"/>
      <c r="BS225" s="224"/>
      <c r="BT225" s="867"/>
      <c r="BU225" s="224"/>
      <c r="BV225" s="224"/>
      <c r="BW225" s="224"/>
      <c r="BX225" s="224"/>
      <c r="BY225" s="867"/>
      <c r="BZ225" s="224"/>
      <c r="CA225" s="224"/>
      <c r="CB225" s="224"/>
      <c r="CC225" s="224"/>
      <c r="CD225" s="867"/>
      <c r="CE225" s="224"/>
      <c r="CF225" s="224"/>
      <c r="CG225" s="224"/>
      <c r="CH225" s="224"/>
      <c r="CI225" s="224"/>
      <c r="CJ225" s="224"/>
      <c r="CK225" s="224"/>
      <c r="CL225" s="224"/>
      <c r="CM225" s="224"/>
      <c r="CN225" s="224"/>
      <c r="CO225" s="224"/>
      <c r="CP225" s="224"/>
      <c r="CQ225" s="224"/>
      <c r="CR225" s="153"/>
      <c r="CS225" s="224"/>
      <c r="CT225" s="224"/>
      <c r="CU225" s="224"/>
      <c r="CV225" s="224"/>
      <c r="CW225" s="153"/>
      <c r="CX225" s="224"/>
      <c r="CY225" s="224"/>
      <c r="CZ225" s="224"/>
      <c r="DA225" s="224"/>
      <c r="DB225" s="153"/>
      <c r="DC225" s="224"/>
      <c r="DD225" s="224"/>
      <c r="DE225" s="224"/>
      <c r="DF225" s="224"/>
      <c r="DG225" s="153"/>
      <c r="DH225" s="224"/>
      <c r="DI225" s="224"/>
      <c r="DJ225" s="224"/>
      <c r="DK225" s="224"/>
      <c r="DL225" s="224"/>
      <c r="DM225" s="224"/>
      <c r="DN225" s="684"/>
      <c r="DO225" s="224"/>
    </row>
    <row r="226" spans="2:119" ht="16.5" customHeight="1" x14ac:dyDescent="0.25">
      <c r="B226" s="12" t="s">
        <v>88</v>
      </c>
      <c r="G226" s="888">
        <v>112.42100000000001</v>
      </c>
      <c r="H226" s="790"/>
      <c r="I226" s="790"/>
      <c r="J226" s="790"/>
      <c r="K226" s="790"/>
      <c r="L226" s="888">
        <v>113.679</v>
      </c>
      <c r="M226" s="790"/>
      <c r="N226" s="790"/>
      <c r="O226" s="790"/>
      <c r="P226" s="790"/>
      <c r="Q226" s="888">
        <v>148.84100000000001</v>
      </c>
      <c r="R226" s="790"/>
      <c r="S226" s="790"/>
      <c r="T226" s="790"/>
      <c r="U226" s="790"/>
      <c r="V226" s="888">
        <v>157.09</v>
      </c>
      <c r="W226" s="790"/>
      <c r="X226" s="790"/>
      <c r="Y226" s="790"/>
      <c r="Z226" s="790"/>
      <c r="AA226" s="888">
        <v>231.292</v>
      </c>
      <c r="AB226" s="790"/>
      <c r="AC226" s="790"/>
      <c r="AD226" s="790"/>
      <c r="AE226" s="790"/>
      <c r="AF226" s="888">
        <v>309.85300000000001</v>
      </c>
      <c r="AG226" s="790"/>
      <c r="AH226" s="790"/>
      <c r="AI226" s="790"/>
      <c r="AJ226" s="790"/>
      <c r="AK226" s="888">
        <v>325.12799999999999</v>
      </c>
      <c r="AL226" s="790"/>
      <c r="AM226" s="790"/>
      <c r="AN226" s="790"/>
      <c r="AO226" s="790"/>
      <c r="AP226" s="888">
        <v>368.07299999999998</v>
      </c>
      <c r="AQ226" s="790"/>
      <c r="AR226" s="790"/>
      <c r="AS226" s="790"/>
      <c r="AT226" s="790"/>
      <c r="AU226" s="888">
        <v>127.706</v>
      </c>
      <c r="AV226" s="790"/>
      <c r="AW226" s="790"/>
      <c r="AX226" s="790"/>
      <c r="AY226" s="790"/>
      <c r="AZ226" s="888">
        <v>89.701999999999998</v>
      </c>
      <c r="BA226" s="790"/>
      <c r="BB226" s="790"/>
      <c r="BC226" s="790"/>
      <c r="BD226" s="790"/>
      <c r="BE226" s="921">
        <f t="shared" ref="BE226:BW226" si="119">BE207</f>
        <v>85.071999999999761</v>
      </c>
      <c r="BF226" s="741">
        <f t="shared" si="119"/>
        <v>13.262000000000008</v>
      </c>
      <c r="BG226" s="741">
        <f t="shared" si="119"/>
        <v>91.012</v>
      </c>
      <c r="BH226" s="741">
        <f t="shared" si="119"/>
        <v>91.657999999999987</v>
      </c>
      <c r="BI226" s="741">
        <f t="shared" si="119"/>
        <v>0</v>
      </c>
      <c r="BJ226" s="921">
        <f t="shared" si="119"/>
        <v>100.914</v>
      </c>
      <c r="BK226" s="741">
        <f t="shared" si="119"/>
        <v>121.37199999999997</v>
      </c>
      <c r="BL226" s="741">
        <f t="shared" si="119"/>
        <v>122.13099999999997</v>
      </c>
      <c r="BM226" s="741">
        <f t="shared" si="119"/>
        <v>95.863999999999976</v>
      </c>
      <c r="BN226" s="741">
        <f t="shared" si="119"/>
        <v>117.32799999999992</v>
      </c>
      <c r="BO226" s="921">
        <f t="shared" si="119"/>
        <v>117.32799999999999</v>
      </c>
      <c r="BP226" s="741">
        <f t="shared" si="119"/>
        <v>164.00599999999997</v>
      </c>
      <c r="BQ226" s="741">
        <f t="shared" si="119"/>
        <v>107.74899999999997</v>
      </c>
      <c r="BR226" s="741">
        <f t="shared" si="119"/>
        <v>123.49899999999997</v>
      </c>
      <c r="BS226" s="741">
        <f t="shared" si="119"/>
        <v>69.143999999999991</v>
      </c>
      <c r="BT226" s="921">
        <f t="shared" si="119"/>
        <v>69.144000000000034</v>
      </c>
      <c r="BU226" s="741">
        <f t="shared" si="119"/>
        <v>177.84300000000002</v>
      </c>
      <c r="BV226" s="741">
        <f t="shared" si="119"/>
        <v>145.92800000000003</v>
      </c>
      <c r="BW226" s="741">
        <f t="shared" si="119"/>
        <v>109.24100000000001</v>
      </c>
      <c r="BX226" s="741">
        <f>BY226</f>
        <v>61.817</v>
      </c>
      <c r="BY226" s="888">
        <v>61.817</v>
      </c>
      <c r="BZ226" s="741">
        <f t="shared" ref="BZ226:CM226" si="120">BZ207</f>
        <v>104.881</v>
      </c>
      <c r="CA226" s="741">
        <f t="shared" si="120"/>
        <v>89.692999999999998</v>
      </c>
      <c r="CB226" s="741">
        <f t="shared" si="120"/>
        <v>94.188000000000002</v>
      </c>
      <c r="CC226" s="741">
        <f t="shared" si="120"/>
        <v>62.213000000000079</v>
      </c>
      <c r="CD226" s="921">
        <f t="shared" si="120"/>
        <v>62.212999999999965</v>
      </c>
      <c r="CE226" s="742">
        <v>73.793999999999997</v>
      </c>
      <c r="CF226" s="742">
        <v>308.23200000000003</v>
      </c>
      <c r="CG226" s="741">
        <f>CG207</f>
        <v>319.1803891203586</v>
      </c>
      <c r="CH226" s="741">
        <f>CH207</f>
        <v>448.20647255799247</v>
      </c>
      <c r="CI226" s="791">
        <f t="shared" si="120"/>
        <v>102.73866355718471</v>
      </c>
      <c r="CJ226" s="791">
        <f t="shared" si="120"/>
        <v>203.43474847914203</v>
      </c>
      <c r="CK226" s="791">
        <f t="shared" si="120"/>
        <v>388.407619936174</v>
      </c>
      <c r="CL226" s="791">
        <f t="shared" si="120"/>
        <v>612.10754679252068</v>
      </c>
      <c r="CM226" s="791">
        <f t="shared" si="120"/>
        <v>848.08480993502189</v>
      </c>
      <c r="CN226" s="291"/>
      <c r="CO226" s="683"/>
      <c r="CP226" s="291"/>
      <c r="CQ226" s="694"/>
    </row>
    <row r="227" spans="2:119" ht="16.5" customHeight="1" x14ac:dyDescent="0.25">
      <c r="B227" s="12" t="s">
        <v>762</v>
      </c>
      <c r="G227" s="888">
        <v>619.86099999999999</v>
      </c>
      <c r="H227" s="790"/>
      <c r="I227" s="790"/>
      <c r="J227" s="790"/>
      <c r="K227" s="790"/>
      <c r="L227" s="888">
        <v>655.80499999999995</v>
      </c>
      <c r="M227" s="790"/>
      <c r="N227" s="790"/>
      <c r="O227" s="790"/>
      <c r="P227" s="790"/>
      <c r="Q227" s="888">
        <v>744.55100000000004</v>
      </c>
      <c r="R227" s="790"/>
      <c r="S227" s="790"/>
      <c r="T227" s="790"/>
      <c r="U227" s="790"/>
      <c r="V227" s="888">
        <v>811.37599999999998</v>
      </c>
      <c r="W227" s="790"/>
      <c r="X227" s="790"/>
      <c r="Y227" s="790"/>
      <c r="Z227" s="790"/>
      <c r="AA227" s="888">
        <v>780.87400000000002</v>
      </c>
      <c r="AB227" s="790"/>
      <c r="AC227" s="790"/>
      <c r="AD227" s="790"/>
      <c r="AE227" s="790"/>
      <c r="AF227" s="888">
        <v>698.41899999999998</v>
      </c>
      <c r="AG227" s="790"/>
      <c r="AH227" s="790"/>
      <c r="AI227" s="790"/>
      <c r="AJ227" s="790"/>
      <c r="AK227" s="888">
        <v>688.38800000000003</v>
      </c>
      <c r="AL227" s="790"/>
      <c r="AM227" s="790"/>
      <c r="AN227" s="790"/>
      <c r="AO227" s="790"/>
      <c r="AP227" s="888">
        <v>727.74</v>
      </c>
      <c r="AQ227" s="790"/>
      <c r="AR227" s="790"/>
      <c r="AS227" s="790"/>
      <c r="AT227" s="790"/>
      <c r="AU227" s="888">
        <v>793.91099999999994</v>
      </c>
      <c r="AV227" s="790"/>
      <c r="AW227" s="790"/>
      <c r="AX227" s="790"/>
      <c r="AY227" s="790"/>
      <c r="AZ227" s="888">
        <v>957.28700000000003</v>
      </c>
      <c r="BA227" s="790"/>
      <c r="BB227" s="790"/>
      <c r="BC227" s="790"/>
      <c r="BD227" s="790"/>
      <c r="BE227" s="888">
        <v>855.53499999999997</v>
      </c>
      <c r="BF227" s="742">
        <v>872.84299999999996</v>
      </c>
      <c r="BG227" s="742">
        <v>884.19799999999998</v>
      </c>
      <c r="BH227" s="742">
        <v>887.03800000000001</v>
      </c>
      <c r="BI227" s="742">
        <v>945.92899999999997</v>
      </c>
      <c r="BJ227" s="888">
        <v>945.92899999999997</v>
      </c>
      <c r="BK227" s="742">
        <v>886.50199999999995</v>
      </c>
      <c r="BL227" s="742">
        <v>911.33600000000001</v>
      </c>
      <c r="BM227" s="742">
        <v>1010.1079999999999</v>
      </c>
      <c r="BN227" s="741">
        <f>BO227</f>
        <v>990.26199999999994</v>
      </c>
      <c r="BO227" s="888">
        <v>990.26199999999994</v>
      </c>
      <c r="BP227" s="742">
        <v>1019.658</v>
      </c>
      <c r="BQ227" s="742">
        <v>1098.7149999999999</v>
      </c>
      <c r="BR227" s="742">
        <v>1156.8119999999999</v>
      </c>
      <c r="BS227" s="741">
        <f>BT227</f>
        <v>1141.3240000000001</v>
      </c>
      <c r="BT227" s="888">
        <v>1141.3240000000001</v>
      </c>
      <c r="BU227" s="742">
        <v>1142.17</v>
      </c>
      <c r="BV227" s="742">
        <v>1213.566</v>
      </c>
      <c r="BW227" s="742">
        <v>1219.412</v>
      </c>
      <c r="BX227" s="741">
        <f>BY227</f>
        <v>1110.5429999999999</v>
      </c>
      <c r="BY227" s="888">
        <v>1110.5429999999999</v>
      </c>
      <c r="BZ227" s="742">
        <v>1208.069</v>
      </c>
      <c r="CA227" s="742">
        <v>1270.941</v>
      </c>
      <c r="CB227" s="742">
        <v>1264.729</v>
      </c>
      <c r="CC227" s="741">
        <f>CD227</f>
        <v>1251.1199999999999</v>
      </c>
      <c r="CD227" s="888">
        <v>1251.1199999999999</v>
      </c>
      <c r="CE227" s="742">
        <v>1371.9</v>
      </c>
      <c r="CF227" s="742">
        <v>1447.675</v>
      </c>
      <c r="CG227" s="741">
        <f>CG114*CF268/90</f>
        <v>1481.5012865218021</v>
      </c>
      <c r="CH227" s="741">
        <f>CH114*CG268/90</f>
        <v>1323.9956005555553</v>
      </c>
      <c r="CI227" s="791">
        <f t="shared" ref="CI227:CM228" si="121">CI114*CI268/365</f>
        <v>1343.7640356164384</v>
      </c>
      <c r="CJ227" s="791">
        <f t="shared" si="121"/>
        <v>1415.3553423780822</v>
      </c>
      <c r="CK227" s="791">
        <f t="shared" si="121"/>
        <v>1487.730724829589</v>
      </c>
      <c r="CL227" s="791">
        <f t="shared" si="121"/>
        <v>1584.1729871094633</v>
      </c>
      <c r="CM227" s="791">
        <f t="shared" si="121"/>
        <v>1682.2164095184364</v>
      </c>
      <c r="CN227" s="291"/>
      <c r="CO227" s="683"/>
      <c r="CP227" s="291"/>
      <c r="CQ227" s="694"/>
    </row>
    <row r="228" spans="2:119" ht="16.5" customHeight="1" x14ac:dyDescent="0.25">
      <c r="B228" t="s">
        <v>763</v>
      </c>
      <c r="C228" s="743"/>
      <c r="D228" s="743"/>
      <c r="E228" s="743"/>
      <c r="F228" s="743"/>
      <c r="G228" s="868">
        <v>460.85700000000003</v>
      </c>
      <c r="H228" s="743"/>
      <c r="I228" s="743"/>
      <c r="J228" s="743"/>
      <c r="K228" s="743"/>
      <c r="L228" s="868">
        <v>502.37299999999999</v>
      </c>
      <c r="M228" s="743"/>
      <c r="N228" s="743"/>
      <c r="O228" s="743"/>
      <c r="P228" s="743"/>
      <c r="Q228" s="868">
        <v>538.26199999999994</v>
      </c>
      <c r="R228" s="743"/>
      <c r="S228" s="743"/>
      <c r="T228" s="743"/>
      <c r="U228" s="743"/>
      <c r="V228" s="868">
        <v>551.67399999999998</v>
      </c>
      <c r="W228" s="743"/>
      <c r="X228" s="743"/>
      <c r="Y228" s="743"/>
      <c r="Z228" s="743"/>
      <c r="AA228" s="868">
        <v>517.05600000000004</v>
      </c>
      <c r="AB228" s="743"/>
      <c r="AC228" s="743"/>
      <c r="AD228" s="743"/>
      <c r="AE228" s="743"/>
      <c r="AF228" s="868">
        <v>493.36</v>
      </c>
      <c r="AG228" s="743"/>
      <c r="AH228" s="743"/>
      <c r="AI228" s="743"/>
      <c r="AJ228" s="743"/>
      <c r="AK228" s="868">
        <v>479.04</v>
      </c>
      <c r="AL228" s="743"/>
      <c r="AM228" s="291"/>
      <c r="AN228" s="291"/>
      <c r="AO228" s="291"/>
      <c r="AP228" s="868">
        <v>489.12700000000001</v>
      </c>
      <c r="AQ228" s="291"/>
      <c r="AR228" s="291"/>
      <c r="AS228" s="291"/>
      <c r="AT228" s="291"/>
      <c r="AU228" s="868">
        <v>512.52200000000005</v>
      </c>
      <c r="AV228" s="291"/>
      <c r="AW228" s="291"/>
      <c r="AX228" s="291"/>
      <c r="AY228" s="291"/>
      <c r="AZ228" s="868">
        <v>534.97400000000005</v>
      </c>
      <c r="BA228" s="291"/>
      <c r="BB228" s="291"/>
      <c r="BC228" s="291"/>
      <c r="BD228" s="291"/>
      <c r="BE228" s="868">
        <v>623.04300000000001</v>
      </c>
      <c r="BF228" s="743">
        <v>646.62699999999995</v>
      </c>
      <c r="BG228" s="743">
        <v>636.58000000000004</v>
      </c>
      <c r="BH228" s="743">
        <v>632.35900000000004</v>
      </c>
      <c r="BI228" s="291"/>
      <c r="BJ228" s="868">
        <v>613.09500000000003</v>
      </c>
      <c r="BK228" s="743">
        <v>625.06600000000003</v>
      </c>
      <c r="BL228" s="743">
        <v>591.601</v>
      </c>
      <c r="BM228" s="743">
        <v>598.10500000000002</v>
      </c>
      <c r="BN228" s="291">
        <f>BO228</f>
        <v>588.46600000000001</v>
      </c>
      <c r="BO228" s="868">
        <v>588.46600000000001</v>
      </c>
      <c r="BP228" s="743">
        <v>600.51499999999999</v>
      </c>
      <c r="BQ228" s="743">
        <v>659.91</v>
      </c>
      <c r="BR228" s="743">
        <v>725.07500000000005</v>
      </c>
      <c r="BS228" s="291">
        <f>BT228</f>
        <v>724.00199999999995</v>
      </c>
      <c r="BT228" s="868">
        <v>724.00199999999995</v>
      </c>
      <c r="BU228" s="743">
        <v>788.04</v>
      </c>
      <c r="BV228" s="743">
        <v>810.48299999999995</v>
      </c>
      <c r="BW228" s="743">
        <v>831.37699999999995</v>
      </c>
      <c r="BX228" s="291">
        <f>BY228</f>
        <v>862.54100000000005</v>
      </c>
      <c r="BY228" s="868">
        <v>862.54100000000005</v>
      </c>
      <c r="BZ228" s="743">
        <v>886.08799999999997</v>
      </c>
      <c r="CA228" s="743">
        <v>902.55100000000004</v>
      </c>
      <c r="CB228" s="743">
        <v>924.68200000000002</v>
      </c>
      <c r="CC228" s="291">
        <f>CD228</f>
        <v>914.30200000000002</v>
      </c>
      <c r="CD228" s="868">
        <v>914.30200000000002</v>
      </c>
      <c r="CE228" s="743">
        <v>915.69100000000003</v>
      </c>
      <c r="CF228" s="743">
        <v>931.80399999999997</v>
      </c>
      <c r="CG228" s="291">
        <f>CG115*CF269/90</f>
        <v>931.90715034222194</v>
      </c>
      <c r="CH228" s="291">
        <f>CH115*CG269/90</f>
        <v>956.56382393181252</v>
      </c>
      <c r="CI228" s="749">
        <f t="shared" si="121"/>
        <v>984.33636835068478</v>
      </c>
      <c r="CJ228" s="749">
        <f t="shared" si="121"/>
        <v>1039.0856520271234</v>
      </c>
      <c r="CK228" s="749">
        <f t="shared" si="121"/>
        <v>1056.2888146290081</v>
      </c>
      <c r="CL228" s="749">
        <f t="shared" si="121"/>
        <v>1066.0764124616182</v>
      </c>
      <c r="CM228" s="749">
        <f t="shared" si="121"/>
        <v>1124.0264190873188</v>
      </c>
      <c r="CN228" s="291"/>
      <c r="CO228" s="683"/>
      <c r="CP228" s="291"/>
      <c r="CQ228" s="694" t="s">
        <v>862</v>
      </c>
    </row>
    <row r="229" spans="2:119" ht="16.5" customHeight="1" x14ac:dyDescent="0.25">
      <c r="B229" t="s">
        <v>764</v>
      </c>
      <c r="C229" s="833"/>
      <c r="D229" s="833"/>
      <c r="E229" s="833"/>
      <c r="F229" s="833"/>
      <c r="G229" s="884">
        <v>99.14</v>
      </c>
      <c r="H229" s="833"/>
      <c r="I229" s="833"/>
      <c r="J229" s="833"/>
      <c r="K229" s="833"/>
      <c r="L229" s="884">
        <v>108.589</v>
      </c>
      <c r="M229" s="833"/>
      <c r="N229" s="833"/>
      <c r="O229" s="833"/>
      <c r="P229" s="833"/>
      <c r="Q229" s="884">
        <v>117.254</v>
      </c>
      <c r="R229" s="833"/>
      <c r="S229" s="833"/>
      <c r="T229" s="833"/>
      <c r="U229" s="833"/>
      <c r="V229" s="884">
        <v>127.235</v>
      </c>
      <c r="W229" s="833"/>
      <c r="X229" s="833"/>
      <c r="Y229" s="833"/>
      <c r="Z229" s="833"/>
      <c r="AA229" s="884">
        <v>134.84200000000001</v>
      </c>
      <c r="AB229" s="833"/>
      <c r="AC229" s="833"/>
      <c r="AD229" s="833"/>
      <c r="AE229" s="833"/>
      <c r="AF229" s="884">
        <v>125.863</v>
      </c>
      <c r="AG229" s="833"/>
      <c r="AH229" s="833"/>
      <c r="AI229" s="833"/>
      <c r="AJ229" s="833"/>
      <c r="AK229" s="884">
        <v>110.488</v>
      </c>
      <c r="AL229" s="833"/>
      <c r="AM229" s="834"/>
      <c r="AN229" s="834"/>
      <c r="AO229" s="834"/>
      <c r="AP229" s="884">
        <v>68.057000000000002</v>
      </c>
      <c r="AQ229" s="834"/>
      <c r="AR229" s="834"/>
      <c r="AS229" s="834"/>
      <c r="AT229" s="834"/>
      <c r="AU229" s="884">
        <v>61.731999999999999</v>
      </c>
      <c r="AV229" s="834"/>
      <c r="AW229" s="834"/>
      <c r="AX229" s="834"/>
      <c r="AY229" s="834"/>
      <c r="AZ229" s="884">
        <v>67.087999999999994</v>
      </c>
      <c r="BA229" s="834"/>
      <c r="BB229" s="834"/>
      <c r="BC229" s="834"/>
      <c r="BD229" s="834"/>
      <c r="BE229" s="884">
        <v>49.837000000000003</v>
      </c>
      <c r="BF229" s="833">
        <v>47.119</v>
      </c>
      <c r="BG229" s="833">
        <v>48.277999999999999</v>
      </c>
      <c r="BH229" s="833">
        <v>49.512999999999998</v>
      </c>
      <c r="BI229" s="834"/>
      <c r="BJ229" s="884">
        <v>58.841999999999999</v>
      </c>
      <c r="BK229" s="833">
        <v>54.776000000000003</v>
      </c>
      <c r="BL229" s="833">
        <v>67.802000000000007</v>
      </c>
      <c r="BM229" s="833">
        <v>67.451999999999998</v>
      </c>
      <c r="BN229" s="834">
        <f>BO229</f>
        <v>60.348999999999997</v>
      </c>
      <c r="BO229" s="884">
        <v>60.348999999999997</v>
      </c>
      <c r="BP229" s="833">
        <v>66.5</v>
      </c>
      <c r="BQ229" s="833">
        <v>71.748000000000005</v>
      </c>
      <c r="BR229" s="833">
        <v>94.057000000000002</v>
      </c>
      <c r="BS229" s="834">
        <f>BT229</f>
        <v>50.862000000000002</v>
      </c>
      <c r="BT229" s="884">
        <v>50.862000000000002</v>
      </c>
      <c r="BU229" s="833">
        <v>59.576999999999998</v>
      </c>
      <c r="BV229" s="833">
        <v>73.165000000000006</v>
      </c>
      <c r="BW229" s="833">
        <v>70.081000000000003</v>
      </c>
      <c r="BX229" s="834">
        <f>BY229</f>
        <v>90.465000000000003</v>
      </c>
      <c r="BY229" s="884">
        <v>90.465000000000003</v>
      </c>
      <c r="BZ229" s="833">
        <v>77.783000000000001</v>
      </c>
      <c r="CA229" s="833">
        <v>95.554000000000002</v>
      </c>
      <c r="CB229" s="833">
        <v>153.47900000000001</v>
      </c>
      <c r="CC229" s="834">
        <f>CD229</f>
        <v>142.345</v>
      </c>
      <c r="CD229" s="884">
        <v>142.345</v>
      </c>
      <c r="CE229" s="743">
        <v>88.91</v>
      </c>
      <c r="CF229" s="743">
        <v>105.83</v>
      </c>
      <c r="CG229" s="291">
        <f>CF229*CG114/CF114</f>
        <v>108.302817381389</v>
      </c>
      <c r="CH229" s="291">
        <f>CG229*CH114/CG114</f>
        <v>104.24281911550676</v>
      </c>
      <c r="CI229" s="856">
        <f>CI114*CI275</f>
        <v>157.25437908975326</v>
      </c>
      <c r="CJ229" s="856">
        <f>CJ114*CJ275</f>
        <v>170.06895410316557</v>
      </c>
      <c r="CK229" s="856">
        <f>CK114*CK275</f>
        <v>182.01585584337406</v>
      </c>
      <c r="CL229" s="856">
        <f>CL114*CL275</f>
        <v>193.81504814032223</v>
      </c>
      <c r="CM229" s="856">
        <f>CM114*CM275</f>
        <v>205.8101337709069</v>
      </c>
      <c r="CN229" s="291"/>
      <c r="CO229" s="683"/>
      <c r="CP229" s="291"/>
      <c r="CQ229" s="693"/>
    </row>
    <row r="230" spans="2:119" ht="16.5" customHeight="1" x14ac:dyDescent="0.25">
      <c r="B230" s="711" t="s">
        <v>90</v>
      </c>
      <c r="C230" s="678"/>
      <c r="D230" s="678"/>
      <c r="E230" s="678"/>
      <c r="F230" s="678"/>
      <c r="G230" s="870">
        <f>SUM(G221:G229)</f>
        <v>1292.2790000000002</v>
      </c>
      <c r="H230" s="678"/>
      <c r="I230" s="678"/>
      <c r="J230" s="678"/>
      <c r="K230" s="678"/>
      <c r="L230" s="870">
        <f>SUM(L221:L229)</f>
        <v>1380.4459999999999</v>
      </c>
      <c r="M230" s="678"/>
      <c r="N230" s="678"/>
      <c r="O230" s="678"/>
      <c r="P230" s="678"/>
      <c r="Q230" s="870">
        <f>SUM(Q221:Q229)</f>
        <v>1548.9079999999999</v>
      </c>
      <c r="R230" s="678"/>
      <c r="S230" s="678"/>
      <c r="T230" s="678"/>
      <c r="U230" s="678"/>
      <c r="V230" s="870">
        <f>SUM(V221:V229)</f>
        <v>1647.3749999999998</v>
      </c>
      <c r="W230" s="678"/>
      <c r="X230" s="678"/>
      <c r="Y230" s="678"/>
      <c r="Z230" s="678"/>
      <c r="AA230" s="870">
        <f>SUM(AA221:AA229)</f>
        <v>1664.0640000000003</v>
      </c>
      <c r="AB230" s="678"/>
      <c r="AC230" s="678"/>
      <c r="AD230" s="678"/>
      <c r="AE230" s="678"/>
      <c r="AF230" s="870">
        <f>SUM(AF221:AF229)</f>
        <v>1627.4950000000001</v>
      </c>
      <c r="AG230" s="678"/>
      <c r="AH230" s="678"/>
      <c r="AI230" s="678"/>
      <c r="AJ230" s="678"/>
      <c r="AK230" s="870">
        <f>SUM(AK221:AK229)</f>
        <v>1603.0440000000001</v>
      </c>
      <c r="AL230" s="678"/>
      <c r="AM230" s="678"/>
      <c r="AN230" s="678"/>
      <c r="AO230" s="678"/>
      <c r="AP230" s="870">
        <f>SUM(AP221:AP229)</f>
        <v>1652.9970000000001</v>
      </c>
      <c r="AQ230" s="678"/>
      <c r="AR230" s="678"/>
      <c r="AS230" s="678"/>
      <c r="AT230" s="678"/>
      <c r="AU230" s="870">
        <f>SUM(AU221:AU229)</f>
        <v>1495.8710000000001</v>
      </c>
      <c r="AV230" s="678"/>
      <c r="AW230" s="678"/>
      <c r="AX230" s="678"/>
      <c r="AY230" s="678"/>
      <c r="AZ230" s="870">
        <f>SUM(AZ221:AZ229)</f>
        <v>1649.0510000000002</v>
      </c>
      <c r="BA230" s="678"/>
      <c r="BB230" s="678"/>
      <c r="BC230" s="678"/>
      <c r="BD230" s="678"/>
      <c r="BE230" s="870">
        <f t="shared" ref="BE230:CM230" si="122">SUM(BE226:BE229)</f>
        <v>1613.4869999999996</v>
      </c>
      <c r="BF230" s="678">
        <f t="shared" si="122"/>
        <v>1579.8509999999999</v>
      </c>
      <c r="BG230" s="678">
        <f t="shared" si="122"/>
        <v>1660.068</v>
      </c>
      <c r="BH230" s="678">
        <f t="shared" si="122"/>
        <v>1660.568</v>
      </c>
      <c r="BI230" s="678">
        <f t="shared" si="122"/>
        <v>945.92899999999997</v>
      </c>
      <c r="BJ230" s="870">
        <f t="shared" si="122"/>
        <v>1718.7800000000002</v>
      </c>
      <c r="BK230" s="678">
        <f t="shared" si="122"/>
        <v>1687.7160000000001</v>
      </c>
      <c r="BL230" s="678">
        <f t="shared" si="122"/>
        <v>1692.8700000000001</v>
      </c>
      <c r="BM230" s="678">
        <f t="shared" si="122"/>
        <v>1771.529</v>
      </c>
      <c r="BN230" s="678">
        <f t="shared" si="122"/>
        <v>1756.405</v>
      </c>
      <c r="BO230" s="870">
        <f t="shared" si="122"/>
        <v>1756.405</v>
      </c>
      <c r="BP230" s="678">
        <f t="shared" si="122"/>
        <v>1850.6790000000001</v>
      </c>
      <c r="BQ230" s="678">
        <f t="shared" si="122"/>
        <v>1938.1219999999998</v>
      </c>
      <c r="BR230" s="678">
        <f t="shared" si="122"/>
        <v>2099.4429999999998</v>
      </c>
      <c r="BS230" s="678">
        <f t="shared" si="122"/>
        <v>1985.3320000000001</v>
      </c>
      <c r="BT230" s="870">
        <f t="shared" si="122"/>
        <v>1985.3320000000001</v>
      </c>
      <c r="BU230" s="678">
        <f t="shared" si="122"/>
        <v>2167.63</v>
      </c>
      <c r="BV230" s="678">
        <f t="shared" si="122"/>
        <v>2243.1419999999998</v>
      </c>
      <c r="BW230" s="678">
        <f t="shared" si="122"/>
        <v>2230.1109999999999</v>
      </c>
      <c r="BX230" s="678">
        <f t="shared" si="122"/>
        <v>2125.366</v>
      </c>
      <c r="BY230" s="870">
        <f t="shared" si="122"/>
        <v>2125.366</v>
      </c>
      <c r="BZ230" s="678">
        <f t="shared" si="122"/>
        <v>2276.8209999999999</v>
      </c>
      <c r="CA230" s="678">
        <f t="shared" si="122"/>
        <v>2358.739</v>
      </c>
      <c r="CB230" s="678">
        <f t="shared" si="122"/>
        <v>2437.078</v>
      </c>
      <c r="CC230" s="678">
        <f t="shared" si="122"/>
        <v>2369.98</v>
      </c>
      <c r="CD230" s="870">
        <f t="shared" si="122"/>
        <v>2369.9799999999996</v>
      </c>
      <c r="CE230" s="678">
        <f>SUM(CE226:CE229)</f>
        <v>2450.2950000000001</v>
      </c>
      <c r="CF230" s="678">
        <f>SUM(CF226:CF229)</f>
        <v>2793.5409999999997</v>
      </c>
      <c r="CG230" s="678">
        <f>SUM(CG226:CG229)</f>
        <v>2840.8916433657714</v>
      </c>
      <c r="CH230" s="678">
        <f>SUM(CH226:CH229)</f>
        <v>2833.0087161608672</v>
      </c>
      <c r="CI230" s="752">
        <f t="shared" si="122"/>
        <v>2588.0934466140616</v>
      </c>
      <c r="CJ230" s="752">
        <f t="shared" si="122"/>
        <v>2827.944696987513</v>
      </c>
      <c r="CK230" s="752">
        <f t="shared" si="122"/>
        <v>3114.4430152381456</v>
      </c>
      <c r="CL230" s="752">
        <f t="shared" si="122"/>
        <v>3456.1719945039245</v>
      </c>
      <c r="CM230" s="752">
        <f t="shared" si="122"/>
        <v>3860.1377723116839</v>
      </c>
      <c r="CN230" s="678"/>
      <c r="CO230" s="685"/>
      <c r="CP230" s="678"/>
      <c r="CQ230" s="693"/>
    </row>
    <row r="231" spans="2:119" ht="16.5" customHeight="1" x14ac:dyDescent="0.25">
      <c r="B231" s="690" t="s">
        <v>765</v>
      </c>
      <c r="C231" s="743"/>
      <c r="D231" s="743"/>
      <c r="E231" s="743"/>
      <c r="F231" s="743"/>
      <c r="G231" s="868">
        <v>486.94400000000002</v>
      </c>
      <c r="H231" s="743"/>
      <c r="I231" s="743"/>
      <c r="J231" s="743"/>
      <c r="K231" s="743"/>
      <c r="L231" s="868">
        <v>503.87200000000001</v>
      </c>
      <c r="M231" s="743"/>
      <c r="N231" s="743"/>
      <c r="O231" s="743"/>
      <c r="P231" s="743"/>
      <c r="Q231" s="868">
        <v>546.17899999999997</v>
      </c>
      <c r="R231" s="743"/>
      <c r="S231" s="743"/>
      <c r="T231" s="743"/>
      <c r="U231" s="743"/>
      <c r="V231" s="868">
        <v>562.36300000000006</v>
      </c>
      <c r="W231" s="743"/>
      <c r="X231" s="743"/>
      <c r="Y231" s="743"/>
      <c r="Z231" s="743"/>
      <c r="AA231" s="868">
        <v>555.34799999999996</v>
      </c>
      <c r="AB231" s="743"/>
      <c r="AC231" s="743"/>
      <c r="AD231" s="743"/>
      <c r="AE231" s="743"/>
      <c r="AF231" s="868">
        <v>536.75599999999997</v>
      </c>
      <c r="AG231" s="743"/>
      <c r="AH231" s="743"/>
      <c r="AI231" s="743"/>
      <c r="AJ231" s="743"/>
      <c r="AK231" s="868">
        <v>522.36900000000003</v>
      </c>
      <c r="AL231" s="743"/>
      <c r="AM231" s="291"/>
      <c r="AN231" s="291"/>
      <c r="AO231" s="291"/>
      <c r="AP231" s="868">
        <v>522.99099999999999</v>
      </c>
      <c r="AQ231" s="291"/>
      <c r="AR231" s="291"/>
      <c r="AS231" s="291"/>
      <c r="AT231" s="291"/>
      <c r="AU231" s="868">
        <v>552.86500000000001</v>
      </c>
      <c r="AV231" s="291"/>
      <c r="AW231" s="291"/>
      <c r="AX231" s="291"/>
      <c r="AY231" s="291"/>
      <c r="AZ231" s="868">
        <v>586.76700000000005</v>
      </c>
      <c r="BA231" s="291"/>
      <c r="BB231" s="291"/>
      <c r="BC231" s="291"/>
      <c r="BD231" s="291"/>
      <c r="BE231" s="868">
        <v>600.49800000000005</v>
      </c>
      <c r="BF231" s="743">
        <v>609.35799999999995</v>
      </c>
      <c r="BG231" s="743">
        <v>628.54999999999995</v>
      </c>
      <c r="BH231" s="743">
        <v>639.202</v>
      </c>
      <c r="BI231" s="291"/>
      <c r="BJ231" s="868">
        <v>645.77800000000002</v>
      </c>
      <c r="BK231" s="743">
        <v>640.06100000000004</v>
      </c>
      <c r="BL231" s="743">
        <v>668.60199999999998</v>
      </c>
      <c r="BM231" s="743">
        <v>673.87199999999996</v>
      </c>
      <c r="BN231" s="291">
        <f t="shared" ref="BN231:BN236" si="123">BO231</f>
        <v>668.90800000000002</v>
      </c>
      <c r="BO231" s="868">
        <v>668.90800000000002</v>
      </c>
      <c r="BP231" s="743">
        <v>681.12199999999996</v>
      </c>
      <c r="BQ231" s="743">
        <v>687.71500000000003</v>
      </c>
      <c r="BR231" s="743">
        <v>689.70100000000002</v>
      </c>
      <c r="BS231" s="291">
        <f t="shared" ref="BS231:BS236" si="124">BT231</f>
        <v>814.69600000000003</v>
      </c>
      <c r="BT231" s="868">
        <v>814.69600000000003</v>
      </c>
      <c r="BU231" s="743">
        <v>842.68200000000002</v>
      </c>
      <c r="BV231" s="743">
        <v>869.303</v>
      </c>
      <c r="BW231" s="743">
        <v>886.01300000000003</v>
      </c>
      <c r="BX231" s="291">
        <f t="shared" ref="BX231:BX236" si="125">BY231</f>
        <v>928.58799999999997</v>
      </c>
      <c r="BY231" s="868">
        <v>928.58799999999997</v>
      </c>
      <c r="BZ231" s="743">
        <v>934.08699999999999</v>
      </c>
      <c r="CA231" s="743">
        <v>960.01499999999999</v>
      </c>
      <c r="CB231" s="743">
        <v>988.125</v>
      </c>
      <c r="CC231" s="291">
        <f t="shared" ref="CC231:CC236" si="126">CD231</f>
        <v>1019.9059999999999</v>
      </c>
      <c r="CD231" s="868">
        <v>1019.9059999999999</v>
      </c>
      <c r="CE231" s="743">
        <v>1043.0029999999999</v>
      </c>
      <c r="CF231" s="743">
        <v>1060.0999999999999</v>
      </c>
      <c r="CG231" s="291">
        <f>CF231+(-CG189)-CG176</f>
        <v>1074.242605623376</v>
      </c>
      <c r="CH231" s="291">
        <f>CG231+(-CH189)-CH176</f>
        <v>1087.8550407886394</v>
      </c>
      <c r="CI231" s="749">
        <f>CD231+(-CI189)-CI176</f>
        <v>1075.9362616788374</v>
      </c>
      <c r="CJ231" s="749">
        <f>CI231+(-CJ189)-CJ176</f>
        <v>1136.5323993317536</v>
      </c>
      <c r="CK231" s="749">
        <f>CJ231+(-CK189)-CK176</f>
        <v>1201.3852580669691</v>
      </c>
      <c r="CL231" s="749">
        <f>CK231+(-CL189)-CL176</f>
        <v>1270.4422085153928</v>
      </c>
      <c r="CM231" s="749">
        <f>CL231+(-CM189)-CM176</f>
        <v>1343.7730481275523</v>
      </c>
      <c r="CN231" s="291"/>
      <c r="CO231" s="683"/>
      <c r="CP231" s="291"/>
      <c r="CQ231" s="694" t="s">
        <v>863</v>
      </c>
    </row>
    <row r="232" spans="2:119" ht="16.5" customHeight="1" x14ac:dyDescent="0.25">
      <c r="B232" s="690" t="s">
        <v>766</v>
      </c>
      <c r="C232" s="743"/>
      <c r="D232" s="743"/>
      <c r="E232" s="743"/>
      <c r="F232" s="743"/>
      <c r="G232" s="868">
        <v>704.81600000000003</v>
      </c>
      <c r="H232" s="743"/>
      <c r="I232" s="743"/>
      <c r="J232" s="743"/>
      <c r="K232" s="743"/>
      <c r="L232" s="868">
        <v>735.02099999999996</v>
      </c>
      <c r="M232" s="743"/>
      <c r="N232" s="743"/>
      <c r="O232" s="743"/>
      <c r="P232" s="743"/>
      <c r="Q232" s="868">
        <v>762.85400000000004</v>
      </c>
      <c r="R232" s="743"/>
      <c r="S232" s="743"/>
      <c r="T232" s="743"/>
      <c r="U232" s="743"/>
      <c r="V232" s="868">
        <v>766.92399999999998</v>
      </c>
      <c r="W232" s="743"/>
      <c r="X232" s="743"/>
      <c r="Y232" s="743"/>
      <c r="Z232" s="743"/>
      <c r="AA232" s="868">
        <v>757.85199999999998</v>
      </c>
      <c r="AB232" s="743"/>
      <c r="AC232" s="743"/>
      <c r="AD232" s="743"/>
      <c r="AE232" s="743"/>
      <c r="AF232" s="868">
        <v>737.21199999999999</v>
      </c>
      <c r="AG232" s="743"/>
      <c r="AH232" s="743"/>
      <c r="AI232" s="743"/>
      <c r="AJ232" s="743"/>
      <c r="AK232" s="868">
        <v>740.16200000000003</v>
      </c>
      <c r="AL232" s="743"/>
      <c r="AM232" s="291"/>
      <c r="AN232" s="291"/>
      <c r="AO232" s="291"/>
      <c r="AP232" s="868">
        <v>774.26800000000003</v>
      </c>
      <c r="AQ232" s="291"/>
      <c r="AR232" s="291"/>
      <c r="AS232" s="291"/>
      <c r="AT232" s="291"/>
      <c r="AU232" s="868">
        <v>797.21699999999998</v>
      </c>
      <c r="AV232" s="291"/>
      <c r="AW232" s="291"/>
      <c r="AX232" s="291"/>
      <c r="AY232" s="291"/>
      <c r="AZ232" s="868">
        <v>784.24</v>
      </c>
      <c r="BA232" s="291"/>
      <c r="BB232" s="291"/>
      <c r="BC232" s="291"/>
      <c r="BD232" s="291"/>
      <c r="BE232" s="868">
        <v>821.85599999999999</v>
      </c>
      <c r="BF232" s="743">
        <v>866.36599999999999</v>
      </c>
      <c r="BG232" s="743">
        <v>860.23900000000003</v>
      </c>
      <c r="BH232" s="743">
        <v>860.26800000000003</v>
      </c>
      <c r="BI232" s="291"/>
      <c r="BJ232" s="868">
        <v>851.60500000000002</v>
      </c>
      <c r="BK232" s="743">
        <v>871.01800000000003</v>
      </c>
      <c r="BL232" s="743">
        <v>842.20299999999997</v>
      </c>
      <c r="BM232" s="743">
        <v>810.84199999999998</v>
      </c>
      <c r="BN232" s="291">
        <f t="shared" si="123"/>
        <v>805.32</v>
      </c>
      <c r="BO232" s="868">
        <v>805.32</v>
      </c>
      <c r="BP232" s="743">
        <v>803.952</v>
      </c>
      <c r="BQ232" s="743">
        <v>810.05399999999997</v>
      </c>
      <c r="BR232" s="743">
        <v>813.68700000000001</v>
      </c>
      <c r="BS232" s="291">
        <f t="shared" si="124"/>
        <v>821.30100000000004</v>
      </c>
      <c r="BT232" s="868">
        <v>821.30100000000004</v>
      </c>
      <c r="BU232" s="743">
        <v>833.41300000000001</v>
      </c>
      <c r="BV232" s="743">
        <v>828.46900000000005</v>
      </c>
      <c r="BW232" s="743">
        <v>827.31899999999996</v>
      </c>
      <c r="BX232" s="291">
        <f t="shared" si="125"/>
        <v>833.76400000000001</v>
      </c>
      <c r="BY232" s="868">
        <v>833.76400000000001</v>
      </c>
      <c r="BZ232" s="743">
        <v>818.50300000000004</v>
      </c>
      <c r="CA232" s="743">
        <v>825.41499999999996</v>
      </c>
      <c r="CB232" s="743">
        <v>802.08900000000006</v>
      </c>
      <c r="CC232" s="291">
        <f t="shared" si="126"/>
        <v>842.31299999999999</v>
      </c>
      <c r="CD232" s="868">
        <v>842.31299999999999</v>
      </c>
      <c r="CE232" s="743">
        <v>877.05799999999999</v>
      </c>
      <c r="CF232" s="743">
        <v>873.51</v>
      </c>
      <c r="CG232" s="291">
        <f>CF232</f>
        <v>873.51</v>
      </c>
      <c r="CH232" s="291">
        <f>CG232</f>
        <v>873.51</v>
      </c>
      <c r="CI232" s="749">
        <f>CD232</f>
        <v>842.31299999999999</v>
      </c>
      <c r="CJ232" s="749">
        <f>CI232</f>
        <v>842.31299999999999</v>
      </c>
      <c r="CK232" s="749">
        <f>CJ232</f>
        <v>842.31299999999999</v>
      </c>
      <c r="CL232" s="749">
        <f>CK232</f>
        <v>842.31299999999999</v>
      </c>
      <c r="CM232" s="749">
        <f>CL232</f>
        <v>842.31299999999999</v>
      </c>
      <c r="CN232" s="291"/>
      <c r="CO232" s="683"/>
      <c r="CP232" s="291"/>
      <c r="CQ232" s="694" t="s">
        <v>864</v>
      </c>
    </row>
    <row r="233" spans="2:119" ht="16.5" customHeight="1" x14ac:dyDescent="0.25">
      <c r="B233" s="690" t="s">
        <v>767</v>
      </c>
      <c r="C233" s="743"/>
      <c r="D233" s="743"/>
      <c r="E233" s="743"/>
      <c r="F233" s="743"/>
      <c r="G233" s="868">
        <v>205.874</v>
      </c>
      <c r="H233" s="743"/>
      <c r="I233" s="743"/>
      <c r="J233" s="743"/>
      <c r="K233" s="743"/>
      <c r="L233" s="868">
        <v>197.54499999999999</v>
      </c>
      <c r="M233" s="743"/>
      <c r="N233" s="743"/>
      <c r="O233" s="743"/>
      <c r="P233" s="743"/>
      <c r="Q233" s="868">
        <v>212.19499999999999</v>
      </c>
      <c r="R233" s="743"/>
      <c r="S233" s="743"/>
      <c r="T233" s="743"/>
      <c r="U233" s="743"/>
      <c r="V233" s="868">
        <v>208.756</v>
      </c>
      <c r="W233" s="743"/>
      <c r="X233" s="743"/>
      <c r="Y233" s="743"/>
      <c r="Z233" s="743"/>
      <c r="AA233" s="868">
        <v>178.07</v>
      </c>
      <c r="AB233" s="743"/>
      <c r="AC233" s="743"/>
      <c r="AD233" s="743"/>
      <c r="AE233" s="743"/>
      <c r="AF233" s="868">
        <v>143.72300000000001</v>
      </c>
      <c r="AG233" s="743"/>
      <c r="AH233" s="743"/>
      <c r="AI233" s="743"/>
      <c r="AJ233" s="743"/>
      <c r="AK233" s="868">
        <v>113.56</v>
      </c>
      <c r="AL233" s="743"/>
      <c r="AM233" s="291"/>
      <c r="AN233" s="291"/>
      <c r="AO233" s="291"/>
      <c r="AP233" s="868">
        <v>108.818</v>
      </c>
      <c r="AQ233" s="291"/>
      <c r="AR233" s="291"/>
      <c r="AS233" s="291"/>
      <c r="AT233" s="291"/>
      <c r="AU233" s="868">
        <v>95.537000000000006</v>
      </c>
      <c r="AV233" s="291"/>
      <c r="AW233" s="291"/>
      <c r="AX233" s="291"/>
      <c r="AY233" s="291"/>
      <c r="AZ233" s="868">
        <v>79.646000000000001</v>
      </c>
      <c r="BA233" s="291"/>
      <c r="BB233" s="291"/>
      <c r="BC233" s="291"/>
      <c r="BD233" s="291"/>
      <c r="BE233" s="868">
        <v>85.046000000000006</v>
      </c>
      <c r="BF233" s="743">
        <v>117.717</v>
      </c>
      <c r="BG233" s="743">
        <v>114.82</v>
      </c>
      <c r="BH233" s="743">
        <v>111.867</v>
      </c>
      <c r="BI233" s="291"/>
      <c r="BJ233" s="868">
        <v>106.095</v>
      </c>
      <c r="BK233" s="743">
        <v>110.13500000000001</v>
      </c>
      <c r="BL233" s="743">
        <v>104.608</v>
      </c>
      <c r="BM233" s="743">
        <v>99.057000000000002</v>
      </c>
      <c r="BN233" s="291">
        <f t="shared" si="123"/>
        <v>85.41</v>
      </c>
      <c r="BO233" s="868">
        <v>85.41</v>
      </c>
      <c r="BP233" s="743">
        <v>94.149000000000001</v>
      </c>
      <c r="BQ233" s="743">
        <v>89.212999999999994</v>
      </c>
      <c r="BR233" s="743">
        <v>86.231999999999999</v>
      </c>
      <c r="BS233" s="291">
        <f t="shared" si="124"/>
        <v>71.637</v>
      </c>
      <c r="BT233" s="868">
        <v>71.637</v>
      </c>
      <c r="BU233" s="743">
        <v>72.662999999999997</v>
      </c>
      <c r="BV233" s="743">
        <v>68.876000000000005</v>
      </c>
      <c r="BW233" s="743">
        <v>66.421999999999997</v>
      </c>
      <c r="BX233" s="291">
        <f t="shared" si="125"/>
        <v>63.478999999999999</v>
      </c>
      <c r="BY233" s="868">
        <v>63.478999999999999</v>
      </c>
      <c r="BZ233" s="743">
        <v>59.469000000000001</v>
      </c>
      <c r="CA233" s="743">
        <v>57.914999999999999</v>
      </c>
      <c r="CB233" s="743">
        <v>57.182000000000002</v>
      </c>
      <c r="CC233" s="291">
        <f t="shared" si="126"/>
        <v>66.100999999999999</v>
      </c>
      <c r="CD233" s="868">
        <v>66.100999999999999</v>
      </c>
      <c r="CE233" s="743">
        <v>63.558</v>
      </c>
      <c r="CF233" s="743">
        <v>60.543999999999997</v>
      </c>
      <c r="CG233" s="291">
        <f>CF233-CG177</f>
        <v>57.834993066936839</v>
      </c>
      <c r="CH233" s="291">
        <f>CG233-CH177</f>
        <v>55.227539941211568</v>
      </c>
      <c r="CI233" s="749">
        <f>CD233-CI177</f>
        <v>55.368439721402531</v>
      </c>
      <c r="CJ233" s="749">
        <f>CI233-CJ177</f>
        <v>43.761288861785005</v>
      </c>
      <c r="CK233" s="749">
        <f>CJ233-CK177</f>
        <v>31.338765840123671</v>
      </c>
      <c r="CL233" s="749">
        <f>CK233-CL177</f>
        <v>18.110951777928058</v>
      </c>
      <c r="CM233" s="749">
        <f>CL233-CM177</f>
        <v>4.064477018826123</v>
      </c>
      <c r="CN233" s="291"/>
      <c r="CO233" s="683"/>
      <c r="CP233" s="291"/>
      <c r="CQ233" s="694" t="s">
        <v>865</v>
      </c>
    </row>
    <row r="234" spans="2:119" ht="16.5" customHeight="1" x14ac:dyDescent="0.25">
      <c r="B234" s="690" t="s">
        <v>768</v>
      </c>
      <c r="C234" s="743"/>
      <c r="D234" s="743"/>
      <c r="E234" s="743"/>
      <c r="F234" s="743"/>
      <c r="G234" s="868">
        <v>0</v>
      </c>
      <c r="H234" s="743"/>
      <c r="I234" s="743"/>
      <c r="J234" s="743"/>
      <c r="K234" s="743"/>
      <c r="L234" s="868">
        <v>0</v>
      </c>
      <c r="M234" s="743"/>
      <c r="N234" s="743"/>
      <c r="O234" s="743"/>
      <c r="P234" s="743"/>
      <c r="Q234" s="868">
        <v>0</v>
      </c>
      <c r="R234" s="743"/>
      <c r="S234" s="743"/>
      <c r="T234" s="743"/>
      <c r="U234" s="743"/>
      <c r="V234" s="868">
        <v>0</v>
      </c>
      <c r="W234" s="743"/>
      <c r="X234" s="743"/>
      <c r="Y234" s="743"/>
      <c r="Z234" s="743"/>
      <c r="AA234" s="868">
        <v>0</v>
      </c>
      <c r="AB234" s="743"/>
      <c r="AC234" s="743"/>
      <c r="AD234" s="743"/>
      <c r="AE234" s="743"/>
      <c r="AF234" s="868">
        <v>0</v>
      </c>
      <c r="AG234" s="743"/>
      <c r="AH234" s="743"/>
      <c r="AI234" s="743"/>
      <c r="AJ234" s="743"/>
      <c r="AK234" s="868">
        <v>0</v>
      </c>
      <c r="AL234" s="743"/>
      <c r="AM234" s="291"/>
      <c r="AN234" s="291"/>
      <c r="AO234" s="291"/>
      <c r="AP234" s="868">
        <v>0</v>
      </c>
      <c r="AQ234" s="291"/>
      <c r="AR234" s="291"/>
      <c r="AS234" s="291"/>
      <c r="AT234" s="291"/>
      <c r="AU234" s="868">
        <v>0</v>
      </c>
      <c r="AV234" s="291"/>
      <c r="AW234" s="291"/>
      <c r="AX234" s="291"/>
      <c r="AY234" s="291"/>
      <c r="AZ234" s="868">
        <v>0</v>
      </c>
      <c r="BA234" s="291"/>
      <c r="BB234" s="291"/>
      <c r="BC234" s="291"/>
      <c r="BD234" s="291"/>
      <c r="BE234" s="868">
        <v>68.393000000000001</v>
      </c>
      <c r="BF234" s="743">
        <v>68.772000000000006</v>
      </c>
      <c r="BG234" s="743">
        <v>65.41</v>
      </c>
      <c r="BH234" s="743">
        <v>62.506999999999998</v>
      </c>
      <c r="BI234" s="291"/>
      <c r="BJ234" s="868">
        <v>60.354999999999997</v>
      </c>
      <c r="BK234" s="743">
        <v>58.716999999999999</v>
      </c>
      <c r="BL234" s="743">
        <v>61.658999999999999</v>
      </c>
      <c r="BM234" s="743">
        <v>58.917999999999999</v>
      </c>
      <c r="BN234" s="291">
        <f t="shared" si="123"/>
        <v>69.072000000000003</v>
      </c>
      <c r="BO234" s="868">
        <v>69.072000000000003</v>
      </c>
      <c r="BP234" s="743">
        <v>56.707999999999998</v>
      </c>
      <c r="BQ234" s="743">
        <v>53.79</v>
      </c>
      <c r="BR234" s="743">
        <v>48.951000000000001</v>
      </c>
      <c r="BS234" s="291">
        <f t="shared" si="124"/>
        <v>56.067</v>
      </c>
      <c r="BT234" s="868">
        <v>56.067</v>
      </c>
      <c r="BU234" s="743">
        <v>59.488999999999997</v>
      </c>
      <c r="BV234" s="743">
        <v>57.073999999999998</v>
      </c>
      <c r="BW234" s="743">
        <v>57.668999999999997</v>
      </c>
      <c r="BX234" s="291">
        <f t="shared" si="125"/>
        <v>52.591000000000001</v>
      </c>
      <c r="BY234" s="868">
        <v>52.591000000000001</v>
      </c>
      <c r="BZ234" s="743">
        <v>56.744</v>
      </c>
      <c r="CA234" s="743">
        <v>55.353999999999999</v>
      </c>
      <c r="CB234" s="743">
        <v>52.877000000000002</v>
      </c>
      <c r="CC234" s="291">
        <f t="shared" si="126"/>
        <v>52.798999999999999</v>
      </c>
      <c r="CD234" s="868">
        <v>52.798999999999999</v>
      </c>
      <c r="CE234" s="743">
        <v>57.585999999999999</v>
      </c>
      <c r="CF234" s="743">
        <v>54.149000000000001</v>
      </c>
      <c r="CG234" s="291">
        <f t="shared" ref="CG234:CH236" si="127">CF234</f>
        <v>54.149000000000001</v>
      </c>
      <c r="CH234" s="291">
        <f t="shared" si="127"/>
        <v>54.149000000000001</v>
      </c>
      <c r="CI234" s="749">
        <f>CD234</f>
        <v>52.798999999999999</v>
      </c>
      <c r="CJ234" s="749">
        <f t="shared" ref="CJ234:CM236" si="128">CI234</f>
        <v>52.798999999999999</v>
      </c>
      <c r="CK234" s="749">
        <f t="shared" si="128"/>
        <v>52.798999999999999</v>
      </c>
      <c r="CL234" s="749">
        <f t="shared" si="128"/>
        <v>52.798999999999999</v>
      </c>
      <c r="CM234" s="749">
        <f t="shared" si="128"/>
        <v>52.798999999999999</v>
      </c>
      <c r="CN234" s="291"/>
      <c r="CO234" s="683"/>
      <c r="CP234" s="291"/>
      <c r="CQ234" s="693"/>
    </row>
    <row r="235" spans="2:119" ht="16.5" customHeight="1" x14ac:dyDescent="0.25">
      <c r="B235" s="690" t="s">
        <v>769</v>
      </c>
      <c r="C235" s="743"/>
      <c r="D235" s="743"/>
      <c r="E235" s="743"/>
      <c r="F235" s="743"/>
      <c r="G235" s="868">
        <v>0</v>
      </c>
      <c r="H235" s="743"/>
      <c r="I235" s="743"/>
      <c r="J235" s="743"/>
      <c r="K235" s="743"/>
      <c r="L235" s="868">
        <v>0</v>
      </c>
      <c r="M235" s="743"/>
      <c r="N235" s="743"/>
      <c r="O235" s="743"/>
      <c r="P235" s="743"/>
      <c r="Q235" s="868">
        <v>0</v>
      </c>
      <c r="R235" s="743"/>
      <c r="S235" s="743"/>
      <c r="T235" s="743"/>
      <c r="U235" s="743"/>
      <c r="V235" s="868">
        <v>0</v>
      </c>
      <c r="W235" s="743"/>
      <c r="X235" s="743"/>
      <c r="Y235" s="743"/>
      <c r="Z235" s="743"/>
      <c r="AA235" s="868">
        <v>0</v>
      </c>
      <c r="AB235" s="743"/>
      <c r="AC235" s="743"/>
      <c r="AD235" s="743"/>
      <c r="AE235" s="743"/>
      <c r="AF235" s="868">
        <v>0</v>
      </c>
      <c r="AG235" s="743"/>
      <c r="AH235" s="743"/>
      <c r="AI235" s="743"/>
      <c r="AJ235" s="743"/>
      <c r="AK235" s="868">
        <v>0</v>
      </c>
      <c r="AL235" s="743"/>
      <c r="AM235" s="291"/>
      <c r="AN235" s="291"/>
      <c r="AO235" s="291"/>
      <c r="AP235" s="868">
        <v>0</v>
      </c>
      <c r="AQ235" s="291"/>
      <c r="AR235" s="291"/>
      <c r="AS235" s="291"/>
      <c r="AT235" s="291"/>
      <c r="AU235" s="868">
        <v>0</v>
      </c>
      <c r="AV235" s="291"/>
      <c r="AW235" s="291"/>
      <c r="AX235" s="291"/>
      <c r="AY235" s="291"/>
      <c r="AZ235" s="868">
        <v>0</v>
      </c>
      <c r="BA235" s="291"/>
      <c r="BB235" s="291"/>
      <c r="BC235" s="291"/>
      <c r="BD235" s="291"/>
      <c r="BE235" s="868">
        <v>18.923999999999999</v>
      </c>
      <c r="BF235" s="743">
        <v>20.524000000000001</v>
      </c>
      <c r="BG235" s="743">
        <v>18.808</v>
      </c>
      <c r="BH235" s="743">
        <v>18.466999999999999</v>
      </c>
      <c r="BI235" s="291"/>
      <c r="BJ235" s="868">
        <v>17.768999999999998</v>
      </c>
      <c r="BK235" s="743">
        <v>17.207000000000001</v>
      </c>
      <c r="BL235" s="743">
        <v>16.021999999999998</v>
      </c>
      <c r="BM235" s="743">
        <v>15.265000000000001</v>
      </c>
      <c r="BN235" s="291">
        <f t="shared" si="123"/>
        <v>8.6300000000000008</v>
      </c>
      <c r="BO235" s="868">
        <v>8.6300000000000008</v>
      </c>
      <c r="BP235" s="743">
        <v>17.074999999999999</v>
      </c>
      <c r="BQ235" s="743">
        <v>16.722000000000001</v>
      </c>
      <c r="BR235" s="743">
        <v>17.21</v>
      </c>
      <c r="BS235" s="291">
        <f t="shared" si="124"/>
        <v>8.7490000000000006</v>
      </c>
      <c r="BT235" s="868">
        <v>8.7490000000000006</v>
      </c>
      <c r="BU235" s="743">
        <v>9.2840000000000007</v>
      </c>
      <c r="BV235" s="743">
        <v>9.0630000000000006</v>
      </c>
      <c r="BW235" s="743">
        <v>9.0500000000000007</v>
      </c>
      <c r="BX235" s="291">
        <f t="shared" si="125"/>
        <v>23.884</v>
      </c>
      <c r="BY235" s="868">
        <v>23.884</v>
      </c>
      <c r="BZ235" s="743">
        <v>24.219000000000001</v>
      </c>
      <c r="CA235" s="743">
        <v>31.638000000000002</v>
      </c>
      <c r="CB235" s="743">
        <v>37.701000000000001</v>
      </c>
      <c r="CC235" s="291">
        <f t="shared" si="126"/>
        <v>22.459</v>
      </c>
      <c r="CD235" s="868">
        <v>22.459</v>
      </c>
      <c r="CE235" s="743">
        <v>6.7</v>
      </c>
      <c r="CF235" s="743">
        <v>6.9029999999999996</v>
      </c>
      <c r="CG235" s="291">
        <f t="shared" si="127"/>
        <v>6.9029999999999996</v>
      </c>
      <c r="CH235" s="291">
        <f t="shared" si="127"/>
        <v>6.9029999999999996</v>
      </c>
      <c r="CI235" s="749">
        <f>CD235</f>
        <v>22.459</v>
      </c>
      <c r="CJ235" s="749">
        <f t="shared" si="128"/>
        <v>22.459</v>
      </c>
      <c r="CK235" s="749">
        <f t="shared" si="128"/>
        <v>22.459</v>
      </c>
      <c r="CL235" s="749">
        <f t="shared" si="128"/>
        <v>22.459</v>
      </c>
      <c r="CM235" s="749">
        <f t="shared" si="128"/>
        <v>22.459</v>
      </c>
      <c r="CN235" s="291"/>
      <c r="CO235" s="683"/>
      <c r="CP235" s="291"/>
      <c r="CQ235" s="693"/>
    </row>
    <row r="236" spans="2:119" ht="16.5" customHeight="1" x14ac:dyDescent="0.25">
      <c r="B236" s="690" t="s">
        <v>770</v>
      </c>
      <c r="C236" s="743"/>
      <c r="D236" s="743"/>
      <c r="E236" s="743"/>
      <c r="F236" s="743"/>
      <c r="G236" s="868">
        <v>22.221</v>
      </c>
      <c r="H236" s="743"/>
      <c r="I236" s="743"/>
      <c r="J236" s="743"/>
      <c r="K236" s="743"/>
      <c r="L236" s="868">
        <v>26.082999999999998</v>
      </c>
      <c r="M236" s="743"/>
      <c r="N236" s="743"/>
      <c r="O236" s="743"/>
      <c r="P236" s="743"/>
      <c r="Q236" s="868">
        <v>35.771000000000001</v>
      </c>
      <c r="R236" s="743"/>
      <c r="S236" s="743"/>
      <c r="T236" s="743"/>
      <c r="U236" s="743"/>
      <c r="V236" s="868">
        <v>51.677</v>
      </c>
      <c r="W236" s="743"/>
      <c r="X236" s="743"/>
      <c r="Y236" s="743"/>
      <c r="Z236" s="743"/>
      <c r="AA236" s="868">
        <v>53.118000000000002</v>
      </c>
      <c r="AB236" s="743"/>
      <c r="AC236" s="743"/>
      <c r="AD236" s="743"/>
      <c r="AE236" s="743"/>
      <c r="AF236" s="868">
        <v>41.284999999999997</v>
      </c>
      <c r="AG236" s="743"/>
      <c r="AH236" s="743"/>
      <c r="AI236" s="743"/>
      <c r="AJ236" s="743"/>
      <c r="AK236" s="868">
        <v>25.838999999999999</v>
      </c>
      <c r="AL236" s="743"/>
      <c r="AM236" s="291"/>
      <c r="AN236" s="291"/>
      <c r="AO236" s="291"/>
      <c r="AP236" s="868">
        <v>31.518000000000001</v>
      </c>
      <c r="AQ236" s="291"/>
      <c r="AR236" s="291"/>
      <c r="AS236" s="291"/>
      <c r="AT236" s="291"/>
      <c r="AU236" s="868">
        <v>22.558</v>
      </c>
      <c r="AV236" s="291"/>
      <c r="AW236" s="291"/>
      <c r="AX236" s="291"/>
      <c r="AY236" s="291"/>
      <c r="AZ236" s="868">
        <v>14.619</v>
      </c>
      <c r="BA236" s="291"/>
      <c r="BB236" s="291"/>
      <c r="BC236" s="291"/>
      <c r="BD236" s="291"/>
      <c r="BE236" s="868">
        <v>17.626999999999999</v>
      </c>
      <c r="BF236" s="743">
        <v>18.888000000000002</v>
      </c>
      <c r="BG236" s="743">
        <v>20.050999999999998</v>
      </c>
      <c r="BH236" s="743">
        <v>20.471</v>
      </c>
      <c r="BI236" s="291"/>
      <c r="BJ236" s="868">
        <v>32.786999999999999</v>
      </c>
      <c r="BK236" s="743">
        <v>8.0990000000000002</v>
      </c>
      <c r="BL236" s="743">
        <v>35.567999999999998</v>
      </c>
      <c r="BM236" s="743">
        <v>29.78</v>
      </c>
      <c r="BN236" s="291">
        <f t="shared" si="123"/>
        <v>38.095999999999997</v>
      </c>
      <c r="BO236" s="868">
        <v>38.095999999999997</v>
      </c>
      <c r="BP236" s="743">
        <v>40.143999999999998</v>
      </c>
      <c r="BQ236" s="743">
        <v>71.247</v>
      </c>
      <c r="BR236" s="743">
        <v>113.119</v>
      </c>
      <c r="BS236" s="291">
        <f t="shared" si="124"/>
        <v>50.253999999999998</v>
      </c>
      <c r="BT236" s="868">
        <v>50.253999999999998</v>
      </c>
      <c r="BU236" s="743">
        <v>53.808999999999997</v>
      </c>
      <c r="BV236" s="743">
        <v>49.39</v>
      </c>
      <c r="BW236" s="743">
        <v>48.887</v>
      </c>
      <c r="BX236" s="291">
        <f t="shared" si="125"/>
        <v>52.695</v>
      </c>
      <c r="BY236" s="868">
        <v>52.695</v>
      </c>
      <c r="BZ236" s="743">
        <v>54.241999999999997</v>
      </c>
      <c r="CA236" s="743">
        <v>57.146000000000001</v>
      </c>
      <c r="CB236" s="743">
        <v>56.695999999999998</v>
      </c>
      <c r="CC236" s="291">
        <f t="shared" si="126"/>
        <v>52.497</v>
      </c>
      <c r="CD236" s="868">
        <v>52.497</v>
      </c>
      <c r="CE236" s="743">
        <v>53.692999999999998</v>
      </c>
      <c r="CF236" s="743">
        <v>53.850999999999999</v>
      </c>
      <c r="CG236" s="291">
        <f t="shared" si="127"/>
        <v>53.850999999999999</v>
      </c>
      <c r="CH236" s="291">
        <f t="shared" si="127"/>
        <v>53.850999999999999</v>
      </c>
      <c r="CI236" s="749">
        <f>CD236</f>
        <v>52.497</v>
      </c>
      <c r="CJ236" s="749">
        <f t="shared" si="128"/>
        <v>52.497</v>
      </c>
      <c r="CK236" s="749">
        <f t="shared" si="128"/>
        <v>52.497</v>
      </c>
      <c r="CL236" s="749">
        <f t="shared" si="128"/>
        <v>52.497</v>
      </c>
      <c r="CM236" s="749">
        <f t="shared" si="128"/>
        <v>52.497</v>
      </c>
      <c r="CN236" s="291"/>
      <c r="CO236" s="683"/>
      <c r="CP236" s="291"/>
      <c r="CQ236" s="693"/>
    </row>
    <row r="237" spans="2:119" ht="16.5" customHeight="1" thickBot="1" x14ac:dyDescent="0.3">
      <c r="B237" s="747" t="s">
        <v>91</v>
      </c>
      <c r="C237" s="819"/>
      <c r="D237" s="819"/>
      <c r="E237" s="819"/>
      <c r="F237" s="819"/>
      <c r="G237" s="880">
        <f>G230+SUM(G231:G236)</f>
        <v>2712.134</v>
      </c>
      <c r="H237" s="819"/>
      <c r="I237" s="819"/>
      <c r="J237" s="819"/>
      <c r="K237" s="819"/>
      <c r="L237" s="880">
        <f>L230+SUM(L231:L236)</f>
        <v>2842.9670000000001</v>
      </c>
      <c r="M237" s="819"/>
      <c r="N237" s="819"/>
      <c r="O237" s="819"/>
      <c r="P237" s="819"/>
      <c r="Q237" s="880">
        <f>Q230+SUM(Q231:Q236)</f>
        <v>3105.9069999999997</v>
      </c>
      <c r="R237" s="819"/>
      <c r="S237" s="819"/>
      <c r="T237" s="819"/>
      <c r="U237" s="819"/>
      <c r="V237" s="880">
        <f>V230+SUM(V231:V236)</f>
        <v>3237.0949999999998</v>
      </c>
      <c r="W237" s="819"/>
      <c r="X237" s="819"/>
      <c r="Y237" s="819"/>
      <c r="Z237" s="819"/>
      <c r="AA237" s="880">
        <f>AA230+SUM(AA231:AA236)</f>
        <v>3208.4520000000002</v>
      </c>
      <c r="AB237" s="819"/>
      <c r="AC237" s="819"/>
      <c r="AD237" s="819"/>
      <c r="AE237" s="819"/>
      <c r="AF237" s="880">
        <f>AF230+SUM(AF231:AF236)</f>
        <v>3086.471</v>
      </c>
      <c r="AG237" s="819"/>
      <c r="AH237" s="819"/>
      <c r="AI237" s="819"/>
      <c r="AJ237" s="819"/>
      <c r="AK237" s="880">
        <f>AK230+SUM(AK231:AK236)</f>
        <v>3004.9740000000002</v>
      </c>
      <c r="AL237" s="819"/>
      <c r="AM237" s="819"/>
      <c r="AN237" s="819"/>
      <c r="AO237" s="819"/>
      <c r="AP237" s="880">
        <f>AP230+SUM(AP231:AP236)</f>
        <v>3090.5920000000001</v>
      </c>
      <c r="AQ237" s="819"/>
      <c r="AR237" s="819"/>
      <c r="AS237" s="819"/>
      <c r="AT237" s="819"/>
      <c r="AU237" s="880">
        <f>AU230+SUM(AU231:AU236)</f>
        <v>2964.0479999999998</v>
      </c>
      <c r="AV237" s="819"/>
      <c r="AW237" s="819"/>
      <c r="AX237" s="819"/>
      <c r="AY237" s="819"/>
      <c r="AZ237" s="880">
        <f>AZ230+SUM(AZ231:AZ236)</f>
        <v>3114.3230000000003</v>
      </c>
      <c r="BA237" s="819"/>
      <c r="BB237" s="819"/>
      <c r="BC237" s="819"/>
      <c r="BD237" s="819"/>
      <c r="BE237" s="880">
        <f t="shared" ref="BE237:CM237" si="129">BE230+SUM(BE231:BE236)</f>
        <v>3225.8309999999997</v>
      </c>
      <c r="BF237" s="819">
        <f t="shared" si="129"/>
        <v>3281.4759999999997</v>
      </c>
      <c r="BG237" s="819">
        <f t="shared" si="129"/>
        <v>3367.9459999999999</v>
      </c>
      <c r="BH237" s="819">
        <f t="shared" si="129"/>
        <v>3373.3500000000004</v>
      </c>
      <c r="BI237" s="819">
        <f t="shared" si="129"/>
        <v>945.92899999999997</v>
      </c>
      <c r="BJ237" s="880">
        <f t="shared" si="129"/>
        <v>3433.1690000000003</v>
      </c>
      <c r="BK237" s="819">
        <f t="shared" si="129"/>
        <v>3392.9530000000004</v>
      </c>
      <c r="BL237" s="819">
        <f t="shared" si="129"/>
        <v>3421.5320000000002</v>
      </c>
      <c r="BM237" s="819">
        <f t="shared" si="129"/>
        <v>3459.2629999999999</v>
      </c>
      <c r="BN237" s="819">
        <f t="shared" si="129"/>
        <v>3431.8410000000003</v>
      </c>
      <c r="BO237" s="880">
        <f t="shared" si="129"/>
        <v>3431.8410000000003</v>
      </c>
      <c r="BP237" s="819">
        <f t="shared" si="129"/>
        <v>3543.8290000000002</v>
      </c>
      <c r="BQ237" s="819">
        <f t="shared" si="129"/>
        <v>3666.8629999999998</v>
      </c>
      <c r="BR237" s="819">
        <f t="shared" si="129"/>
        <v>3868.3429999999998</v>
      </c>
      <c r="BS237" s="819">
        <f t="shared" si="129"/>
        <v>3808.0360000000001</v>
      </c>
      <c r="BT237" s="880">
        <f t="shared" si="129"/>
        <v>3808.0360000000001</v>
      </c>
      <c r="BU237" s="819">
        <f t="shared" si="129"/>
        <v>4038.9700000000003</v>
      </c>
      <c r="BV237" s="819">
        <f t="shared" si="129"/>
        <v>4125.317</v>
      </c>
      <c r="BW237" s="819">
        <f t="shared" si="129"/>
        <v>4125.4709999999995</v>
      </c>
      <c r="BX237" s="819">
        <f t="shared" si="129"/>
        <v>4080.3669999999997</v>
      </c>
      <c r="BY237" s="880">
        <f t="shared" si="129"/>
        <v>4080.3669999999997</v>
      </c>
      <c r="BZ237" s="819">
        <f t="shared" si="129"/>
        <v>4224.085</v>
      </c>
      <c r="CA237" s="819">
        <f t="shared" si="129"/>
        <v>4346.2219999999998</v>
      </c>
      <c r="CB237" s="819">
        <f t="shared" si="129"/>
        <v>4431.7479999999996</v>
      </c>
      <c r="CC237" s="819">
        <f t="shared" si="129"/>
        <v>4426.0550000000003</v>
      </c>
      <c r="CD237" s="880">
        <f t="shared" si="129"/>
        <v>4426.0550000000003</v>
      </c>
      <c r="CE237" s="274">
        <f>CE230+SUM(CE231:CE236)</f>
        <v>4551.893</v>
      </c>
      <c r="CF237" s="274">
        <f>CF230+SUM(CF231:CF236)</f>
        <v>4902.598</v>
      </c>
      <c r="CG237" s="274">
        <f>CG230+SUM(CG231:CG236)</f>
        <v>4961.3822420560846</v>
      </c>
      <c r="CH237" s="274">
        <f>CH230+SUM(CH231:CH236)</f>
        <v>4964.5042968907183</v>
      </c>
      <c r="CI237" s="819">
        <f t="shared" si="129"/>
        <v>4689.4661480143013</v>
      </c>
      <c r="CJ237" s="819">
        <f t="shared" si="129"/>
        <v>4978.3063851810512</v>
      </c>
      <c r="CK237" s="819">
        <f t="shared" si="129"/>
        <v>5317.2350391452383</v>
      </c>
      <c r="CL237" s="819">
        <f t="shared" si="129"/>
        <v>5714.7931547972457</v>
      </c>
      <c r="CM237" s="819">
        <f t="shared" si="129"/>
        <v>6178.0432974580617</v>
      </c>
      <c r="CN237" s="274"/>
      <c r="CO237" s="686">
        <f>(CM237/CD237)^(1/5)-1</f>
        <v>6.8973227115801672E-2</v>
      </c>
      <c r="CP237" s="274"/>
      <c r="CQ237" s="693"/>
    </row>
    <row r="238" spans="2:119" ht="16.5" customHeight="1" thickTop="1" x14ac:dyDescent="0.25">
      <c r="C238" s="838"/>
      <c r="D238" s="838"/>
      <c r="E238" s="838"/>
      <c r="F238" s="838"/>
      <c r="G238" s="889"/>
      <c r="H238" s="838"/>
      <c r="I238" s="838"/>
      <c r="J238" s="838"/>
      <c r="K238" s="838"/>
      <c r="L238" s="889"/>
      <c r="M238" s="838"/>
      <c r="N238" s="838"/>
      <c r="O238" s="838"/>
      <c r="P238" s="838"/>
      <c r="Q238" s="889"/>
      <c r="R238" s="838"/>
      <c r="S238" s="838"/>
      <c r="T238" s="838"/>
      <c r="U238" s="838"/>
      <c r="V238" s="889"/>
      <c r="W238" s="838"/>
      <c r="X238" s="838"/>
      <c r="Y238" s="838"/>
      <c r="Z238" s="838"/>
      <c r="AA238" s="889"/>
      <c r="AB238" s="838"/>
      <c r="AC238" s="838"/>
      <c r="AD238" s="838"/>
      <c r="AE238" s="838"/>
      <c r="AF238" s="889"/>
      <c r="AG238" s="838"/>
      <c r="AH238" s="838"/>
      <c r="AI238" s="838"/>
      <c r="AJ238" s="838"/>
      <c r="AK238" s="889"/>
      <c r="AL238" s="838"/>
      <c r="AM238" s="838"/>
      <c r="AN238" s="838"/>
      <c r="AO238" s="838"/>
      <c r="AP238" s="889"/>
      <c r="AQ238" s="838"/>
      <c r="AR238" s="838"/>
      <c r="AS238" s="838"/>
      <c r="AT238" s="838"/>
      <c r="AU238" s="889"/>
      <c r="AV238" s="838"/>
      <c r="AW238" s="838"/>
      <c r="AX238" s="838"/>
      <c r="AY238" s="838"/>
      <c r="AZ238" s="889"/>
      <c r="BA238" s="838"/>
      <c r="BB238" s="838"/>
      <c r="BC238" s="838"/>
      <c r="BD238" s="838"/>
      <c r="BE238" s="922"/>
      <c r="BF238" s="838"/>
      <c r="BG238" s="838"/>
      <c r="BH238" s="838"/>
      <c r="BI238" s="838"/>
      <c r="BJ238" s="922"/>
      <c r="BK238" s="838"/>
      <c r="BL238" s="838"/>
      <c r="BM238" s="838"/>
      <c r="BN238" s="838"/>
      <c r="BO238" s="922"/>
      <c r="BP238" s="838"/>
      <c r="BQ238" s="838"/>
      <c r="BR238" s="838"/>
      <c r="BS238" s="838"/>
      <c r="BT238" s="922"/>
      <c r="BU238" s="838"/>
      <c r="BV238" s="838"/>
      <c r="BW238" s="838"/>
      <c r="BX238" s="838"/>
      <c r="BY238" s="922"/>
      <c r="BZ238" s="838"/>
      <c r="CA238" s="838"/>
      <c r="CB238" s="838"/>
      <c r="CC238" s="838"/>
      <c r="CD238" s="922"/>
      <c r="CE238" s="743"/>
      <c r="CF238" s="743"/>
      <c r="CG238" s="743"/>
      <c r="CH238" s="743"/>
      <c r="CI238" s="858"/>
      <c r="CJ238" s="858"/>
      <c r="CK238" s="858"/>
      <c r="CL238" s="858"/>
      <c r="CM238" s="858"/>
      <c r="CN238" s="291"/>
      <c r="CO238" s="683"/>
      <c r="CP238" s="291"/>
      <c r="CQ238" s="693"/>
    </row>
    <row r="239" spans="2:119" ht="16.5" customHeight="1" x14ac:dyDescent="0.25">
      <c r="B239" s="223" t="s">
        <v>771</v>
      </c>
      <c r="C239" s="224"/>
      <c r="D239" s="224"/>
      <c r="E239" s="224"/>
      <c r="F239" s="224"/>
      <c r="G239" s="867"/>
      <c r="H239" s="224"/>
      <c r="I239" s="224"/>
      <c r="J239" s="224"/>
      <c r="K239" s="224"/>
      <c r="L239" s="867"/>
      <c r="M239" s="224"/>
      <c r="N239" s="224"/>
      <c r="O239" s="224"/>
      <c r="P239" s="224"/>
      <c r="Q239" s="867"/>
      <c r="R239" s="224"/>
      <c r="S239" s="224"/>
      <c r="T239" s="224"/>
      <c r="U239" s="224"/>
      <c r="V239" s="867"/>
      <c r="W239" s="224"/>
      <c r="X239" s="224"/>
      <c r="Y239" s="224"/>
      <c r="Z239" s="224"/>
      <c r="AA239" s="867"/>
      <c r="AB239" s="224"/>
      <c r="AC239" s="224"/>
      <c r="AD239" s="224"/>
      <c r="AE239" s="224"/>
      <c r="AF239" s="867"/>
      <c r="AG239" s="224"/>
      <c r="AH239" s="224"/>
      <c r="AI239" s="224"/>
      <c r="AJ239" s="224"/>
      <c r="AK239" s="867"/>
      <c r="AL239" s="224"/>
      <c r="AM239" s="224"/>
      <c r="AN239" s="224"/>
      <c r="AO239" s="224"/>
      <c r="AP239" s="867"/>
      <c r="AQ239" s="224"/>
      <c r="AR239" s="224"/>
      <c r="AS239" s="224"/>
      <c r="AT239" s="224"/>
      <c r="AU239" s="867"/>
      <c r="AV239" s="224"/>
      <c r="AW239" s="224"/>
      <c r="AX239" s="224"/>
      <c r="AY239" s="224"/>
      <c r="AZ239" s="867"/>
      <c r="BA239" s="224"/>
      <c r="BB239" s="224"/>
      <c r="BC239" s="224"/>
      <c r="BD239" s="224"/>
      <c r="BE239" s="923"/>
      <c r="BF239" s="224"/>
      <c r="BG239" s="224"/>
      <c r="BH239" s="224"/>
      <c r="BI239" s="224"/>
      <c r="BJ239" s="923"/>
      <c r="BK239" s="224"/>
      <c r="BL239" s="224"/>
      <c r="BM239" s="224"/>
      <c r="BN239" s="224"/>
      <c r="BO239" s="923"/>
      <c r="BP239" s="224"/>
      <c r="BQ239" s="224"/>
      <c r="BR239" s="224"/>
      <c r="BS239" s="224"/>
      <c r="BT239" s="923"/>
      <c r="BU239" s="224"/>
      <c r="BV239" s="224"/>
      <c r="BW239" s="224"/>
      <c r="BX239" s="224"/>
      <c r="BY239" s="923"/>
      <c r="BZ239" s="224"/>
      <c r="CA239" s="224"/>
      <c r="CB239" s="224"/>
      <c r="CC239" s="224"/>
      <c r="CD239" s="923"/>
      <c r="CE239" s="744"/>
      <c r="CF239" s="744"/>
      <c r="CG239" s="744"/>
      <c r="CH239" s="744"/>
      <c r="CI239" s="224"/>
      <c r="CJ239" s="224"/>
      <c r="CK239" s="224"/>
      <c r="CL239" s="224"/>
      <c r="CM239" s="224"/>
      <c r="CN239" s="224"/>
      <c r="CO239" s="684"/>
      <c r="CP239" s="224"/>
      <c r="CQ239" s="693"/>
    </row>
    <row r="240" spans="2:119" ht="16.5" customHeight="1" x14ac:dyDescent="0.25">
      <c r="B240" s="223" t="s">
        <v>107</v>
      </c>
      <c r="C240" s="224"/>
      <c r="D240" s="224"/>
      <c r="E240" s="224"/>
      <c r="F240" s="224"/>
      <c r="G240" s="867"/>
      <c r="H240" s="224"/>
      <c r="I240" s="224"/>
      <c r="J240" s="224"/>
      <c r="K240" s="224"/>
      <c r="L240" s="867"/>
      <c r="M240" s="224"/>
      <c r="N240" s="224"/>
      <c r="O240" s="224"/>
      <c r="P240" s="224"/>
      <c r="Q240" s="867"/>
      <c r="R240" s="224"/>
      <c r="S240" s="224"/>
      <c r="T240" s="224"/>
      <c r="U240" s="224"/>
      <c r="V240" s="867"/>
      <c r="W240" s="224"/>
      <c r="X240" s="224"/>
      <c r="Y240" s="224"/>
      <c r="Z240" s="224"/>
      <c r="AA240" s="867"/>
      <c r="AB240" s="224"/>
      <c r="AC240" s="224"/>
      <c r="AD240" s="224"/>
      <c r="AE240" s="224"/>
      <c r="AF240" s="867"/>
      <c r="AG240" s="224"/>
      <c r="AH240" s="224"/>
      <c r="AI240" s="224"/>
      <c r="AJ240" s="224"/>
      <c r="AK240" s="867"/>
      <c r="AL240" s="224"/>
      <c r="AM240" s="224"/>
      <c r="AN240" s="224"/>
      <c r="AO240" s="224"/>
      <c r="AP240" s="867"/>
      <c r="AQ240" s="224"/>
      <c r="AR240" s="224"/>
      <c r="AS240" s="224"/>
      <c r="AT240" s="224"/>
      <c r="AU240" s="867"/>
      <c r="AV240" s="224"/>
      <c r="AW240" s="224"/>
      <c r="AX240" s="224"/>
      <c r="AY240" s="224"/>
      <c r="AZ240" s="867"/>
      <c r="BA240" s="224"/>
      <c r="BB240" s="224"/>
      <c r="BC240" s="224"/>
      <c r="BD240" s="224"/>
      <c r="BE240" s="923"/>
      <c r="BF240" s="224"/>
      <c r="BG240" s="224"/>
      <c r="BH240" s="224"/>
      <c r="BI240" s="224"/>
      <c r="BJ240" s="923"/>
      <c r="BK240" s="224"/>
      <c r="BL240" s="224"/>
      <c r="BM240" s="224"/>
      <c r="BN240" s="224"/>
      <c r="BO240" s="923"/>
      <c r="BP240" s="224"/>
      <c r="BQ240" s="224"/>
      <c r="BR240" s="224"/>
      <c r="BS240" s="224"/>
      <c r="BT240" s="923"/>
      <c r="BU240" s="224"/>
      <c r="BV240" s="224"/>
      <c r="BW240" s="224"/>
      <c r="BX240" s="224"/>
      <c r="BY240" s="923"/>
      <c r="BZ240" s="224"/>
      <c r="CA240" s="224"/>
      <c r="CB240" s="224"/>
      <c r="CC240" s="224"/>
      <c r="CD240" s="923"/>
      <c r="CE240" s="744"/>
      <c r="CF240" s="744"/>
      <c r="CG240" s="744"/>
      <c r="CH240" s="744"/>
      <c r="CI240" s="224"/>
      <c r="CJ240" s="224"/>
      <c r="CK240" s="224"/>
      <c r="CL240" s="224"/>
      <c r="CM240" s="224"/>
      <c r="CN240" s="224"/>
      <c r="CO240" s="684"/>
      <c r="CP240" s="224"/>
      <c r="CQ240" s="693"/>
    </row>
    <row r="241" spans="2:95" ht="16.5" customHeight="1" x14ac:dyDescent="0.25">
      <c r="B241" t="s">
        <v>772</v>
      </c>
      <c r="C241" s="743"/>
      <c r="D241" s="743"/>
      <c r="E241" s="743"/>
      <c r="F241" s="743"/>
      <c r="G241" s="868">
        <v>5.4050000000000002</v>
      </c>
      <c r="H241" s="743"/>
      <c r="I241" s="743"/>
      <c r="J241" s="743"/>
      <c r="K241" s="743"/>
      <c r="L241" s="868">
        <v>1.407</v>
      </c>
      <c r="M241" s="743"/>
      <c r="N241" s="743"/>
      <c r="O241" s="743"/>
      <c r="P241" s="743"/>
      <c r="Q241" s="868">
        <v>3.1859999999999999</v>
      </c>
      <c r="R241" s="743"/>
      <c r="S241" s="743"/>
      <c r="T241" s="743"/>
      <c r="U241" s="743"/>
      <c r="V241" s="868">
        <v>3.3820000000000001</v>
      </c>
      <c r="W241" s="743"/>
      <c r="X241" s="743"/>
      <c r="Y241" s="743"/>
      <c r="Z241" s="743"/>
      <c r="AA241" s="868">
        <v>5.2619999999999996</v>
      </c>
      <c r="AB241" s="743"/>
      <c r="AC241" s="743"/>
      <c r="AD241" s="743"/>
      <c r="AE241" s="743"/>
      <c r="AF241" s="868">
        <v>3.4000000000000002E-2</v>
      </c>
      <c r="AG241" s="743"/>
      <c r="AH241" s="743"/>
      <c r="AI241" s="743"/>
      <c r="AJ241" s="743"/>
      <c r="AK241" s="868">
        <v>0.16700000000000001</v>
      </c>
      <c r="AL241" s="743"/>
      <c r="AM241" s="291"/>
      <c r="AN241" s="291"/>
      <c r="AO241" s="291"/>
      <c r="AP241" s="868">
        <v>0.29499999999999998</v>
      </c>
      <c r="AQ241" s="291"/>
      <c r="AR241" s="291"/>
      <c r="AS241" s="291"/>
      <c r="AT241" s="291"/>
      <c r="AU241" s="868">
        <v>0.36499999999999999</v>
      </c>
      <c r="AV241" s="291"/>
      <c r="AW241" s="291"/>
      <c r="AX241" s="291"/>
      <c r="AY241" s="291"/>
      <c r="AZ241" s="868">
        <v>0.249</v>
      </c>
      <c r="BA241" s="291"/>
      <c r="BB241" s="291"/>
      <c r="BC241" s="291"/>
      <c r="BD241" s="291"/>
      <c r="BE241" s="868">
        <v>0.35</v>
      </c>
      <c r="BF241" s="743">
        <v>69.147999999999996</v>
      </c>
      <c r="BG241" s="743">
        <v>71.652000000000001</v>
      </c>
      <c r="BH241" s="743">
        <v>56.061999999999998</v>
      </c>
      <c r="BI241" s="291"/>
      <c r="BJ241" s="868">
        <v>80.364999999999995</v>
      </c>
      <c r="BK241" s="743">
        <v>51.540999999999997</v>
      </c>
      <c r="BL241" s="743">
        <v>63.094000000000001</v>
      </c>
      <c r="BM241" s="743">
        <v>63.204999999999998</v>
      </c>
      <c r="BN241" s="291">
        <f>BO241</f>
        <v>0.91600000000000004</v>
      </c>
      <c r="BO241" s="868">
        <v>0.91600000000000004</v>
      </c>
      <c r="BP241" s="743">
        <v>56.063000000000002</v>
      </c>
      <c r="BQ241" s="743">
        <v>56.005000000000003</v>
      </c>
      <c r="BR241" s="743">
        <v>56.067</v>
      </c>
      <c r="BS241" s="291">
        <f>BT241</f>
        <v>0</v>
      </c>
      <c r="BT241" s="868">
        <v>0</v>
      </c>
      <c r="BU241" s="291"/>
      <c r="BV241" s="291"/>
      <c r="BW241" s="291"/>
      <c r="BX241" s="291">
        <f>BY241</f>
        <v>0</v>
      </c>
      <c r="BY241" s="868">
        <v>0</v>
      </c>
      <c r="BZ241" s="291"/>
      <c r="CA241" s="291"/>
      <c r="CB241" s="291"/>
      <c r="CC241" s="291">
        <f>CD241</f>
        <v>1.5629999999999999</v>
      </c>
      <c r="CD241" s="868">
        <v>1.5629999999999999</v>
      </c>
      <c r="CE241" s="743">
        <v>4.6879999999999997</v>
      </c>
      <c r="CF241" s="743">
        <v>500</v>
      </c>
      <c r="CG241" s="291">
        <f>CF241</f>
        <v>500</v>
      </c>
      <c r="CH241" s="291">
        <f>CG241</f>
        <v>500</v>
      </c>
      <c r="CI241" s="749">
        <f>CD241</f>
        <v>1.5629999999999999</v>
      </c>
      <c r="CJ241" s="749">
        <f t="shared" ref="CJ241:CM242" si="130">CI241</f>
        <v>1.5629999999999999</v>
      </c>
      <c r="CK241" s="749">
        <f t="shared" si="130"/>
        <v>1.5629999999999999</v>
      </c>
      <c r="CL241" s="749">
        <f t="shared" si="130"/>
        <v>1.5629999999999999</v>
      </c>
      <c r="CM241" s="749">
        <f t="shared" si="130"/>
        <v>1.5629999999999999</v>
      </c>
      <c r="CN241" s="291"/>
      <c r="CO241" s="683"/>
      <c r="CP241" s="291"/>
      <c r="CQ241" s="693"/>
    </row>
    <row r="242" spans="2:95" ht="16.5" customHeight="1" x14ac:dyDescent="0.25">
      <c r="B242" t="s">
        <v>773</v>
      </c>
      <c r="C242" s="743"/>
      <c r="D242" s="743"/>
      <c r="E242" s="743"/>
      <c r="F242" s="743"/>
      <c r="G242" s="868">
        <v>1.9910000000000001</v>
      </c>
      <c r="H242" s="743"/>
      <c r="I242" s="743"/>
      <c r="J242" s="743"/>
      <c r="K242" s="743"/>
      <c r="L242" s="868">
        <v>9.2829999999999995</v>
      </c>
      <c r="M242" s="743"/>
      <c r="N242" s="743"/>
      <c r="O242" s="743"/>
      <c r="P242" s="743"/>
      <c r="Q242" s="868">
        <v>90.774000000000001</v>
      </c>
      <c r="R242" s="743"/>
      <c r="S242" s="743"/>
      <c r="T242" s="743"/>
      <c r="U242" s="743"/>
      <c r="V242" s="868">
        <v>105.08799999999999</v>
      </c>
      <c r="W242" s="743"/>
      <c r="X242" s="743"/>
      <c r="Y242" s="743"/>
      <c r="Z242" s="743"/>
      <c r="AA242" s="868">
        <v>103.66</v>
      </c>
      <c r="AB242" s="743"/>
      <c r="AC242" s="743"/>
      <c r="AD242" s="743"/>
      <c r="AE242" s="743"/>
      <c r="AF242" s="868">
        <v>8.3000000000000004E-2</v>
      </c>
      <c r="AG242" s="743"/>
      <c r="AH242" s="743"/>
      <c r="AI242" s="743"/>
      <c r="AJ242" s="743"/>
      <c r="AK242" s="868">
        <v>1.379</v>
      </c>
      <c r="AL242" s="743"/>
      <c r="AM242" s="291"/>
      <c r="AN242" s="291"/>
      <c r="AO242" s="291"/>
      <c r="AP242" s="868">
        <v>8.8999999999999996E-2</v>
      </c>
      <c r="AQ242" s="291"/>
      <c r="AR242" s="291"/>
      <c r="AS242" s="291"/>
      <c r="AT242" s="291"/>
      <c r="AU242" s="868">
        <v>3.6230000000000002</v>
      </c>
      <c r="AV242" s="291"/>
      <c r="AW242" s="291"/>
      <c r="AX242" s="291"/>
      <c r="AY242" s="291"/>
      <c r="AZ242" s="868">
        <v>0</v>
      </c>
      <c r="BA242" s="291"/>
      <c r="BB242" s="291"/>
      <c r="BC242" s="291"/>
      <c r="BD242" s="291"/>
      <c r="BE242" s="868"/>
      <c r="BF242" s="291"/>
      <c r="BG242" s="291"/>
      <c r="BH242" s="291"/>
      <c r="BI242" s="291"/>
      <c r="BJ242" s="868"/>
      <c r="BK242" s="291"/>
      <c r="BL242" s="291"/>
      <c r="BM242" s="291"/>
      <c r="BN242" s="291"/>
      <c r="BO242" s="868"/>
      <c r="BP242" s="291"/>
      <c r="BQ242" s="291"/>
      <c r="BR242" s="291"/>
      <c r="BS242" s="291"/>
      <c r="BT242" s="868"/>
      <c r="BU242" s="291"/>
      <c r="BV242" s="291"/>
      <c r="BW242" s="291"/>
      <c r="BX242" s="291"/>
      <c r="BY242" s="868"/>
      <c r="BZ242" s="291"/>
      <c r="CA242" s="291"/>
      <c r="CB242" s="291"/>
      <c r="CC242" s="291"/>
      <c r="CD242" s="868"/>
      <c r="CE242" s="743">
        <v>0</v>
      </c>
      <c r="CF242" s="743">
        <v>0</v>
      </c>
      <c r="CG242" s="291">
        <f>CF242</f>
        <v>0</v>
      </c>
      <c r="CH242" s="291">
        <f>CG242</f>
        <v>0</v>
      </c>
      <c r="CI242" s="749">
        <f>CD242</f>
        <v>0</v>
      </c>
      <c r="CJ242" s="749">
        <f t="shared" si="130"/>
        <v>0</v>
      </c>
      <c r="CK242" s="749">
        <f t="shared" si="130"/>
        <v>0</v>
      </c>
      <c r="CL242" s="749">
        <f t="shared" si="130"/>
        <v>0</v>
      </c>
      <c r="CM242" s="749">
        <f t="shared" si="130"/>
        <v>0</v>
      </c>
      <c r="CN242" s="291"/>
      <c r="CO242" s="683"/>
      <c r="CP242" s="291"/>
      <c r="CQ242" s="693"/>
    </row>
    <row r="243" spans="2:95" ht="16.5" customHeight="1" x14ac:dyDescent="0.25">
      <c r="B243" t="s">
        <v>774</v>
      </c>
      <c r="C243" s="743"/>
      <c r="D243" s="743"/>
      <c r="E243" s="743"/>
      <c r="F243" s="743"/>
      <c r="G243" s="868">
        <v>154.321</v>
      </c>
      <c r="H243" s="743"/>
      <c r="I243" s="743"/>
      <c r="J243" s="743"/>
      <c r="K243" s="743"/>
      <c r="L243" s="868">
        <v>165.893</v>
      </c>
      <c r="M243" s="743"/>
      <c r="N243" s="743"/>
      <c r="O243" s="743"/>
      <c r="P243" s="743"/>
      <c r="Q243" s="868">
        <v>169.58699999999999</v>
      </c>
      <c r="R243" s="743"/>
      <c r="S243" s="743"/>
      <c r="T243" s="743"/>
      <c r="U243" s="743"/>
      <c r="V243" s="868">
        <v>181.893</v>
      </c>
      <c r="W243" s="743"/>
      <c r="X243" s="743"/>
      <c r="Y243" s="743"/>
      <c r="Z243" s="743"/>
      <c r="AA243" s="868">
        <v>162.667</v>
      </c>
      <c r="AB243" s="743"/>
      <c r="AC243" s="743"/>
      <c r="AD243" s="743"/>
      <c r="AE243" s="743"/>
      <c r="AF243" s="868">
        <v>165.97300000000001</v>
      </c>
      <c r="AG243" s="743"/>
      <c r="AH243" s="743"/>
      <c r="AI243" s="743"/>
      <c r="AJ243" s="743"/>
      <c r="AK243" s="868">
        <v>144.44999999999999</v>
      </c>
      <c r="AL243" s="743"/>
      <c r="AM243" s="291"/>
      <c r="AN243" s="291"/>
      <c r="AO243" s="291"/>
      <c r="AP243" s="868">
        <v>170.87799999999999</v>
      </c>
      <c r="AQ243" s="291"/>
      <c r="AR243" s="291"/>
      <c r="AS243" s="291"/>
      <c r="AT243" s="291"/>
      <c r="AU243" s="868">
        <v>207.422</v>
      </c>
      <c r="AV243" s="291"/>
      <c r="AW243" s="291"/>
      <c r="AX243" s="291"/>
      <c r="AY243" s="291"/>
      <c r="AZ243" s="868">
        <v>257.67700000000002</v>
      </c>
      <c r="BA243" s="291"/>
      <c r="BB243" s="291"/>
      <c r="BC243" s="291"/>
      <c r="BD243" s="291"/>
      <c r="BE243" s="868">
        <v>176.86799999999999</v>
      </c>
      <c r="BF243" s="743">
        <v>173.256</v>
      </c>
      <c r="BG243" s="743">
        <v>175.06100000000001</v>
      </c>
      <c r="BH243" s="743">
        <v>162.88999999999999</v>
      </c>
      <c r="BI243" s="291"/>
      <c r="BJ243" s="868">
        <v>200.602</v>
      </c>
      <c r="BK243" s="743">
        <v>177.708</v>
      </c>
      <c r="BL243" s="743">
        <v>222.98599999999999</v>
      </c>
      <c r="BM243" s="743">
        <v>241.31700000000001</v>
      </c>
      <c r="BN243" s="291">
        <f>BO243</f>
        <v>232.10400000000001</v>
      </c>
      <c r="BO243" s="868">
        <v>232.10400000000001</v>
      </c>
      <c r="BP243" s="743">
        <v>222.03800000000001</v>
      </c>
      <c r="BQ243" s="743">
        <v>221.91300000000001</v>
      </c>
      <c r="BR243" s="743">
        <v>230.18100000000001</v>
      </c>
      <c r="BS243" s="291">
        <f>BT243</f>
        <v>264.57299999999998</v>
      </c>
      <c r="BT243" s="868">
        <v>264.57299999999998</v>
      </c>
      <c r="BU243" s="743">
        <v>261.15499999999997</v>
      </c>
      <c r="BV243" s="743">
        <v>267.73099999999999</v>
      </c>
      <c r="BW243" s="743">
        <v>266.29399999999998</v>
      </c>
      <c r="BX243" s="291">
        <f>BY243</f>
        <v>293.88799999999998</v>
      </c>
      <c r="BY243" s="868">
        <v>293.88799999999998</v>
      </c>
      <c r="BZ243" s="743">
        <v>267.05399999999997</v>
      </c>
      <c r="CA243" s="743">
        <v>293.05200000000002</v>
      </c>
      <c r="CB243" s="743">
        <v>289.16000000000003</v>
      </c>
      <c r="CC243" s="291">
        <f>CD243</f>
        <v>318.40199999999999</v>
      </c>
      <c r="CD243" s="868">
        <v>318.40199999999999</v>
      </c>
      <c r="CE243" s="743">
        <v>295.20299999999997</v>
      </c>
      <c r="CF243" s="743">
        <v>328.084</v>
      </c>
      <c r="CG243" s="291">
        <f>CG115*CF270/90</f>
        <v>328.12031877184216</v>
      </c>
      <c r="CH243" s="291">
        <f>CH115*CG270/90</f>
        <v>335.2061263350796</v>
      </c>
      <c r="CI243" s="749">
        <f>CI115*CI270/365</f>
        <v>344.93838549041089</v>
      </c>
      <c r="CJ243" s="749">
        <f>CJ115*CJ270/365</f>
        <v>361.4210963572603</v>
      </c>
      <c r="CK243" s="749">
        <f>CK115*CK270/365</f>
        <v>384.10502350145754</v>
      </c>
      <c r="CL243" s="749">
        <f>CL115*CL270/365</f>
        <v>406.12434760442596</v>
      </c>
      <c r="CM243" s="749">
        <f>CM115*CM270/365</f>
        <v>428.20054060469289</v>
      </c>
      <c r="CN243" s="291"/>
      <c r="CO243" s="683"/>
      <c r="CP243" s="291"/>
      <c r="CQ243" s="693"/>
    </row>
    <row r="244" spans="2:95" ht="16.5" customHeight="1" x14ac:dyDescent="0.25">
      <c r="B244" t="s">
        <v>775</v>
      </c>
      <c r="C244" s="743"/>
      <c r="D244" s="743"/>
      <c r="E244" s="743"/>
      <c r="F244" s="743"/>
      <c r="G244" s="868">
        <v>103.628</v>
      </c>
      <c r="H244" s="743"/>
      <c r="I244" s="743"/>
      <c r="J244" s="743"/>
      <c r="K244" s="743"/>
      <c r="L244" s="868">
        <v>122.2</v>
      </c>
      <c r="M244" s="743"/>
      <c r="N244" s="743"/>
      <c r="O244" s="743"/>
      <c r="P244" s="743"/>
      <c r="Q244" s="868">
        <v>134.179</v>
      </c>
      <c r="R244" s="743"/>
      <c r="S244" s="743"/>
      <c r="T244" s="743"/>
      <c r="U244" s="743"/>
      <c r="V244" s="868">
        <v>130.46700000000001</v>
      </c>
      <c r="W244" s="743"/>
      <c r="X244" s="743"/>
      <c r="Y244" s="743"/>
      <c r="Z244" s="743"/>
      <c r="AA244" s="868">
        <v>141.096</v>
      </c>
      <c r="AB244" s="743"/>
      <c r="AC244" s="743"/>
      <c r="AD244" s="743"/>
      <c r="AE244" s="743"/>
      <c r="AF244" s="868">
        <v>125.27</v>
      </c>
      <c r="AG244" s="743"/>
      <c r="AH244" s="743"/>
      <c r="AI244" s="743"/>
      <c r="AJ244" s="743"/>
      <c r="AK244" s="868">
        <v>126.319</v>
      </c>
      <c r="AL244" s="743"/>
      <c r="AM244" s="291"/>
      <c r="AN244" s="291"/>
      <c r="AO244" s="291"/>
      <c r="AP244" s="868">
        <v>148.40600000000001</v>
      </c>
      <c r="AQ244" s="291"/>
      <c r="AR244" s="291"/>
      <c r="AS244" s="291"/>
      <c r="AT244" s="291"/>
      <c r="AU244" s="868">
        <v>147.76499999999999</v>
      </c>
      <c r="AV244" s="291"/>
      <c r="AW244" s="291"/>
      <c r="AX244" s="291"/>
      <c r="AY244" s="291"/>
      <c r="AZ244" s="868">
        <v>143.76499999999999</v>
      </c>
      <c r="BA244" s="291"/>
      <c r="BB244" s="291"/>
      <c r="BC244" s="291"/>
      <c r="BD244" s="291"/>
      <c r="BE244" s="868">
        <v>109.51</v>
      </c>
      <c r="BF244" s="743">
        <v>102.13800000000001</v>
      </c>
      <c r="BG244" s="743">
        <v>99.222999999999999</v>
      </c>
      <c r="BH244" s="743">
        <v>111.15900000000001</v>
      </c>
      <c r="BI244" s="291"/>
      <c r="BJ244" s="868">
        <v>112.703</v>
      </c>
      <c r="BK244" s="743">
        <v>98.149000000000001</v>
      </c>
      <c r="BL244" s="743">
        <v>79.709000000000003</v>
      </c>
      <c r="BM244" s="743">
        <v>86.997</v>
      </c>
      <c r="BN244" s="291">
        <f>BO244</f>
        <v>93.141000000000005</v>
      </c>
      <c r="BO244" s="868">
        <v>93.141000000000005</v>
      </c>
      <c r="BP244" s="743">
        <v>78.986999999999995</v>
      </c>
      <c r="BQ244" s="743">
        <v>95.7</v>
      </c>
      <c r="BR244" s="743">
        <v>102.473</v>
      </c>
      <c r="BS244" s="291">
        <f>BT244</f>
        <v>111.154</v>
      </c>
      <c r="BT244" s="868">
        <v>111.154</v>
      </c>
      <c r="BU244" s="743">
        <v>64.099000000000004</v>
      </c>
      <c r="BV244" s="743">
        <v>73.960999999999999</v>
      </c>
      <c r="BW244" s="743">
        <v>98.980999999999995</v>
      </c>
      <c r="BX244" s="291">
        <f>BY244</f>
        <v>104.027</v>
      </c>
      <c r="BY244" s="868">
        <v>104.027</v>
      </c>
      <c r="BZ244" s="743">
        <v>68.366</v>
      </c>
      <c r="CA244" s="743">
        <v>69.411000000000001</v>
      </c>
      <c r="CB244" s="743">
        <v>98.292000000000002</v>
      </c>
      <c r="CC244" s="291">
        <f>CD244</f>
        <v>106.04</v>
      </c>
      <c r="CD244" s="868">
        <v>106.04</v>
      </c>
      <c r="CE244" s="743">
        <v>61.69</v>
      </c>
      <c r="CF244" s="743">
        <v>81.968000000000004</v>
      </c>
      <c r="CG244" s="291">
        <f>CF244*CG114/CF114</f>
        <v>83.883259332114662</v>
      </c>
      <c r="CH244" s="291">
        <f>CG244*CH114/CG114</f>
        <v>80.738688436736837</v>
      </c>
      <c r="CI244" s="749">
        <f>CI114*CI272</f>
        <v>117.14675161528275</v>
      </c>
      <c r="CJ244" s="749">
        <f>CJ114*CJ272</f>
        <v>126.69297757630873</v>
      </c>
      <c r="CK244" s="749">
        <f>CK114*CK272</f>
        <v>135.59282977014558</v>
      </c>
      <c r="CL244" s="749">
        <f>CL114*CL272</f>
        <v>144.38264571849911</v>
      </c>
      <c r="CM244" s="749">
        <f>CM114*CM272</f>
        <v>153.3183925326984</v>
      </c>
      <c r="CN244" s="291"/>
      <c r="CO244" s="683"/>
      <c r="CP244" s="291"/>
      <c r="CQ244" s="693"/>
    </row>
    <row r="245" spans="2:95" ht="16.5" customHeight="1" x14ac:dyDescent="0.25">
      <c r="B245" t="s">
        <v>776</v>
      </c>
      <c r="C245" s="743"/>
      <c r="D245" s="743"/>
      <c r="E245" s="743"/>
      <c r="F245" s="743"/>
      <c r="G245" s="868">
        <v>74.703000000000003</v>
      </c>
      <c r="H245" s="743"/>
      <c r="I245" s="743"/>
      <c r="J245" s="743"/>
      <c r="K245" s="743"/>
      <c r="L245" s="868">
        <v>97.331000000000003</v>
      </c>
      <c r="M245" s="743"/>
      <c r="N245" s="743"/>
      <c r="O245" s="743"/>
      <c r="P245" s="743"/>
      <c r="Q245" s="868">
        <v>112.20399999999999</v>
      </c>
      <c r="R245" s="743"/>
      <c r="S245" s="743"/>
      <c r="T245" s="743"/>
      <c r="U245" s="743"/>
      <c r="V245" s="868">
        <v>145.85400000000001</v>
      </c>
      <c r="W245" s="743"/>
      <c r="X245" s="743"/>
      <c r="Y245" s="743"/>
      <c r="Z245" s="743"/>
      <c r="AA245" s="868">
        <v>145.5</v>
      </c>
      <c r="AB245" s="743"/>
      <c r="AC245" s="743"/>
      <c r="AD245" s="743"/>
      <c r="AE245" s="743"/>
      <c r="AF245" s="868">
        <v>167.423</v>
      </c>
      <c r="AG245" s="743"/>
      <c r="AH245" s="743"/>
      <c r="AI245" s="743"/>
      <c r="AJ245" s="743"/>
      <c r="AK245" s="868">
        <v>167.51400000000001</v>
      </c>
      <c r="AL245" s="743"/>
      <c r="AM245" s="291"/>
      <c r="AN245" s="291"/>
      <c r="AO245" s="291"/>
      <c r="AP245" s="868">
        <v>159.274</v>
      </c>
      <c r="AQ245" s="291"/>
      <c r="AR245" s="291"/>
      <c r="AS245" s="291"/>
      <c r="AT245" s="291"/>
      <c r="AU245" s="868">
        <v>151.68700000000001</v>
      </c>
      <c r="AV245" s="291"/>
      <c r="AW245" s="291"/>
      <c r="AX245" s="291"/>
      <c r="AY245" s="291"/>
      <c r="AZ245" s="868">
        <v>137.24199999999999</v>
      </c>
      <c r="BA245" s="291"/>
      <c r="BB245" s="291"/>
      <c r="BC245" s="291"/>
      <c r="BD245" s="291"/>
      <c r="BE245" s="868">
        <v>203.33799999999999</v>
      </c>
      <c r="BF245" s="743">
        <v>234.48</v>
      </c>
      <c r="BG245" s="743">
        <v>256.08</v>
      </c>
      <c r="BH245" s="743">
        <v>259.42500000000001</v>
      </c>
      <c r="BI245" s="291"/>
      <c r="BJ245" s="868">
        <v>263.68599999999998</v>
      </c>
      <c r="BK245" s="743">
        <v>286.48399999999998</v>
      </c>
      <c r="BL245" s="743">
        <v>321.59399999999999</v>
      </c>
      <c r="BM245" s="743">
        <v>362.08300000000003</v>
      </c>
      <c r="BN245" s="291">
        <f>BO245</f>
        <v>296.899</v>
      </c>
      <c r="BO245" s="868">
        <v>296.899</v>
      </c>
      <c r="BP245" s="743">
        <v>372.78800000000001</v>
      </c>
      <c r="BQ245" s="743">
        <v>376.91300000000001</v>
      </c>
      <c r="BR245" s="743">
        <v>361.60500000000002</v>
      </c>
      <c r="BS245" s="291">
        <f>BT245</f>
        <v>377.97699999999998</v>
      </c>
      <c r="BT245" s="868">
        <v>377.97699999999998</v>
      </c>
      <c r="BU245" s="743">
        <v>445.70600000000002</v>
      </c>
      <c r="BV245" s="743">
        <v>404.87599999999998</v>
      </c>
      <c r="BW245" s="743">
        <v>353.49599999999998</v>
      </c>
      <c r="BX245" s="291">
        <f>BY245</f>
        <v>302.12599999999998</v>
      </c>
      <c r="BY245" s="868">
        <v>302.12599999999998</v>
      </c>
      <c r="BZ245" s="743">
        <v>293.55</v>
      </c>
      <c r="CA245" s="743">
        <v>306.77199999999999</v>
      </c>
      <c r="CB245" s="743">
        <v>298.64800000000002</v>
      </c>
      <c r="CC245" s="291">
        <f>CD245</f>
        <v>372.988</v>
      </c>
      <c r="CD245" s="868">
        <v>372.988</v>
      </c>
      <c r="CE245" s="743">
        <v>410.447</v>
      </c>
      <c r="CF245" s="743">
        <v>469.20600000000002</v>
      </c>
      <c r="CG245" s="291">
        <f>CF245*CG114/CF114</f>
        <v>480.16943902723244</v>
      </c>
      <c r="CH245" s="291">
        <f>CG245*CH114/CG114</f>
        <v>462.16910314570981</v>
      </c>
      <c r="CI245" s="749">
        <f>CI114*CI273</f>
        <v>412.0551922998979</v>
      </c>
      <c r="CJ245" s="749">
        <f>CJ114*CJ273</f>
        <v>445.63334892712498</v>
      </c>
      <c r="CK245" s="749">
        <f>CK114*CK273</f>
        <v>476.93793276411878</v>
      </c>
      <c r="CL245" s="749">
        <f>CL114*CL273</f>
        <v>507.85547209780884</v>
      </c>
      <c r="CM245" s="749">
        <f>CM114*CM273</f>
        <v>539.28631265547176</v>
      </c>
      <c r="CN245" s="291"/>
      <c r="CO245" s="683"/>
      <c r="CP245" s="291"/>
      <c r="CQ245" s="694" t="s">
        <v>866</v>
      </c>
    </row>
    <row r="246" spans="2:95" ht="16.5" customHeight="1" x14ac:dyDescent="0.25">
      <c r="B246" t="s">
        <v>777</v>
      </c>
      <c r="C246" s="833"/>
      <c r="D246" s="833"/>
      <c r="E246" s="833"/>
      <c r="F246" s="833"/>
      <c r="G246" s="884">
        <v>139.42599999999999</v>
      </c>
      <c r="H246" s="833"/>
      <c r="I246" s="833"/>
      <c r="J246" s="833"/>
      <c r="K246" s="833"/>
      <c r="L246" s="884">
        <v>150.27600000000001</v>
      </c>
      <c r="M246" s="833"/>
      <c r="N246" s="833"/>
      <c r="O246" s="833"/>
      <c r="P246" s="833"/>
      <c r="Q246" s="884">
        <v>153.946</v>
      </c>
      <c r="R246" s="833"/>
      <c r="S246" s="833"/>
      <c r="T246" s="833"/>
      <c r="U246" s="833"/>
      <c r="V246" s="884">
        <v>156.54599999999999</v>
      </c>
      <c r="W246" s="833"/>
      <c r="X246" s="833"/>
      <c r="Y246" s="833"/>
      <c r="Z246" s="833"/>
      <c r="AA246" s="884">
        <v>164.619</v>
      </c>
      <c r="AB246" s="833"/>
      <c r="AC246" s="833"/>
      <c r="AD246" s="833"/>
      <c r="AE246" s="833"/>
      <c r="AF246" s="884">
        <v>146.72200000000001</v>
      </c>
      <c r="AG246" s="833"/>
      <c r="AH246" s="833"/>
      <c r="AI246" s="833"/>
      <c r="AJ246" s="833"/>
      <c r="AK246" s="884">
        <v>149.12</v>
      </c>
      <c r="AL246" s="833"/>
      <c r="AM246" s="834"/>
      <c r="AN246" s="834"/>
      <c r="AO246" s="834"/>
      <c r="AP246" s="884">
        <v>150.49199999999999</v>
      </c>
      <c r="AQ246" s="834"/>
      <c r="AR246" s="834"/>
      <c r="AS246" s="834"/>
      <c r="AT246" s="834"/>
      <c r="AU246" s="884">
        <v>169.762</v>
      </c>
      <c r="AV246" s="834"/>
      <c r="AW246" s="834"/>
      <c r="AX246" s="834"/>
      <c r="AY246" s="834"/>
      <c r="AZ246" s="884">
        <v>188.72499999999999</v>
      </c>
      <c r="BA246" s="834"/>
      <c r="BB246" s="834"/>
      <c r="BC246" s="834"/>
      <c r="BD246" s="834"/>
      <c r="BE246" s="884">
        <v>220.488</v>
      </c>
      <c r="BF246" s="833">
        <v>234.84</v>
      </c>
      <c r="BG246" s="833">
        <v>225.91499999999999</v>
      </c>
      <c r="BH246" s="833">
        <v>216.625</v>
      </c>
      <c r="BI246" s="834"/>
      <c r="BJ246" s="884">
        <v>212.005</v>
      </c>
      <c r="BK246" s="833">
        <v>231.541</v>
      </c>
      <c r="BL246" s="833">
        <v>217.78</v>
      </c>
      <c r="BM246" s="833">
        <v>215.149</v>
      </c>
      <c r="BN246" s="834">
        <f>BO246</f>
        <v>215.376</v>
      </c>
      <c r="BO246" s="884">
        <v>215.376</v>
      </c>
      <c r="BP246" s="833">
        <v>222.03899999999999</v>
      </c>
      <c r="BQ246" s="833">
        <v>201.72800000000001</v>
      </c>
      <c r="BR246" s="833">
        <v>215.19300000000001</v>
      </c>
      <c r="BS246" s="834">
        <f>BT246</f>
        <v>211.76900000000001</v>
      </c>
      <c r="BT246" s="884">
        <v>211.76900000000001</v>
      </c>
      <c r="BU246" s="833">
        <v>238.87100000000001</v>
      </c>
      <c r="BV246" s="833">
        <v>257.95999999999998</v>
      </c>
      <c r="BW246" s="833">
        <v>269.63299999999998</v>
      </c>
      <c r="BX246" s="834">
        <f>BY246</f>
        <v>316.09300000000002</v>
      </c>
      <c r="BY246" s="884">
        <v>316.09300000000002</v>
      </c>
      <c r="BZ246" s="833">
        <v>284.84899999999999</v>
      </c>
      <c r="CA246" s="833">
        <v>282.18</v>
      </c>
      <c r="CB246" s="833">
        <v>302.51400000000001</v>
      </c>
      <c r="CC246" s="834">
        <f>CD246</f>
        <v>320.07499999999999</v>
      </c>
      <c r="CD246" s="884">
        <v>320.07499999999999</v>
      </c>
      <c r="CE246" s="743">
        <v>280.60599999999999</v>
      </c>
      <c r="CF246" s="743">
        <v>286.74299999999999</v>
      </c>
      <c r="CG246" s="291">
        <f>CF246*CG114/CF114</f>
        <v>293.4430196011682</v>
      </c>
      <c r="CH246" s="291">
        <f>CG246*CH114/CG114</f>
        <v>282.44258415985786</v>
      </c>
      <c r="CI246" s="856">
        <f>CI114*CI274</f>
        <v>353.6000237953761</v>
      </c>
      <c r="CJ246" s="856">
        <f>CJ114*CJ274</f>
        <v>382.41470009182456</v>
      </c>
      <c r="CK246" s="856">
        <f>CK114*CK274</f>
        <v>409.27833825612419</v>
      </c>
      <c r="CL246" s="856">
        <f>CL114*CL274</f>
        <v>435.80983900743746</v>
      </c>
      <c r="CM246" s="856">
        <f>CM114*CM274</f>
        <v>462.78182280180602</v>
      </c>
      <c r="CN246" s="291"/>
      <c r="CO246" s="683"/>
      <c r="CP246" s="291"/>
      <c r="CQ246" s="693"/>
    </row>
    <row r="247" spans="2:95" ht="16.5" customHeight="1" x14ac:dyDescent="0.25">
      <c r="B247" s="711" t="s">
        <v>116</v>
      </c>
      <c r="C247" s="678"/>
      <c r="D247" s="678"/>
      <c r="E247" s="678"/>
      <c r="F247" s="678"/>
      <c r="G247" s="870">
        <f>SUM(G241:G246)</f>
        <v>479.47399999999999</v>
      </c>
      <c r="H247" s="678"/>
      <c r="I247" s="678"/>
      <c r="J247" s="678"/>
      <c r="K247" s="678"/>
      <c r="L247" s="870">
        <f>SUM(L241:L246)</f>
        <v>546.3900000000001</v>
      </c>
      <c r="M247" s="678"/>
      <c r="N247" s="678"/>
      <c r="O247" s="678"/>
      <c r="P247" s="678"/>
      <c r="Q247" s="870">
        <f>SUM(Q241:Q246)</f>
        <v>663.87599999999998</v>
      </c>
      <c r="R247" s="678"/>
      <c r="S247" s="678"/>
      <c r="T247" s="678"/>
      <c r="U247" s="678"/>
      <c r="V247" s="870">
        <f>SUM(V241:V246)</f>
        <v>723.23</v>
      </c>
      <c r="W247" s="678"/>
      <c r="X247" s="678"/>
      <c r="Y247" s="678"/>
      <c r="Z247" s="678"/>
      <c r="AA247" s="870">
        <f>SUM(AA241:AA246)</f>
        <v>722.80399999999997</v>
      </c>
      <c r="AB247" s="678"/>
      <c r="AC247" s="678"/>
      <c r="AD247" s="678"/>
      <c r="AE247" s="678"/>
      <c r="AF247" s="870">
        <f>SUM(AF241:AF246)</f>
        <v>605.505</v>
      </c>
      <c r="AG247" s="678"/>
      <c r="AH247" s="678"/>
      <c r="AI247" s="678"/>
      <c r="AJ247" s="678"/>
      <c r="AK247" s="870">
        <f>SUM(AK241:AK246)</f>
        <v>588.94900000000007</v>
      </c>
      <c r="AL247" s="678"/>
      <c r="AM247" s="678"/>
      <c r="AN247" s="678"/>
      <c r="AO247" s="678"/>
      <c r="AP247" s="870">
        <f>SUM(AP241:AP246)</f>
        <v>629.43399999999997</v>
      </c>
      <c r="AQ247" s="678"/>
      <c r="AR247" s="678"/>
      <c r="AS247" s="678"/>
      <c r="AT247" s="678"/>
      <c r="AU247" s="870">
        <f>SUM(AU241:AU246)</f>
        <v>680.62400000000002</v>
      </c>
      <c r="AV247" s="678"/>
      <c r="AW247" s="678"/>
      <c r="AX247" s="678"/>
      <c r="AY247" s="678"/>
      <c r="AZ247" s="870">
        <f>SUM(AZ241:AZ246)</f>
        <v>727.65800000000002</v>
      </c>
      <c r="BA247" s="678"/>
      <c r="BB247" s="678"/>
      <c r="BC247" s="678"/>
      <c r="BD247" s="678"/>
      <c r="BE247" s="870">
        <f t="shared" ref="BE247:CM247" si="131">SUM(BE241:BE246)</f>
        <v>710.55400000000009</v>
      </c>
      <c r="BF247" s="678">
        <f t="shared" si="131"/>
        <v>813.86200000000008</v>
      </c>
      <c r="BG247" s="678">
        <f t="shared" si="131"/>
        <v>827.93100000000004</v>
      </c>
      <c r="BH247" s="678">
        <f t="shared" si="131"/>
        <v>806.16100000000006</v>
      </c>
      <c r="BI247" s="678">
        <f t="shared" si="131"/>
        <v>0</v>
      </c>
      <c r="BJ247" s="870">
        <f t="shared" si="131"/>
        <v>869.36099999999999</v>
      </c>
      <c r="BK247" s="678">
        <f t="shared" si="131"/>
        <v>845.423</v>
      </c>
      <c r="BL247" s="678">
        <f t="shared" si="131"/>
        <v>905.16300000000001</v>
      </c>
      <c r="BM247" s="678">
        <f t="shared" si="131"/>
        <v>968.75100000000009</v>
      </c>
      <c r="BN247" s="678">
        <f t="shared" si="131"/>
        <v>838.43599999999992</v>
      </c>
      <c r="BO247" s="870">
        <f t="shared" si="131"/>
        <v>838.43599999999992</v>
      </c>
      <c r="BP247" s="678">
        <f t="shared" si="131"/>
        <v>951.91499999999996</v>
      </c>
      <c r="BQ247" s="678">
        <f t="shared" si="131"/>
        <v>952.25900000000001</v>
      </c>
      <c r="BR247" s="678">
        <f t="shared" si="131"/>
        <v>965.51900000000001</v>
      </c>
      <c r="BS247" s="678">
        <f t="shared" si="131"/>
        <v>965.47299999999996</v>
      </c>
      <c r="BT247" s="870">
        <f t="shared" si="131"/>
        <v>965.47299999999996</v>
      </c>
      <c r="BU247" s="678">
        <f t="shared" si="131"/>
        <v>1009.831</v>
      </c>
      <c r="BV247" s="678">
        <f t="shared" si="131"/>
        <v>1004.528</v>
      </c>
      <c r="BW247" s="678">
        <f t="shared" si="131"/>
        <v>988.404</v>
      </c>
      <c r="BX247" s="678">
        <f t="shared" si="131"/>
        <v>1016.134</v>
      </c>
      <c r="BY247" s="870">
        <f t="shared" si="131"/>
        <v>1016.134</v>
      </c>
      <c r="BZ247" s="678">
        <f t="shared" si="131"/>
        <v>913.81899999999996</v>
      </c>
      <c r="CA247" s="678">
        <f t="shared" si="131"/>
        <v>951.41499999999996</v>
      </c>
      <c r="CB247" s="678">
        <f t="shared" si="131"/>
        <v>988.61400000000003</v>
      </c>
      <c r="CC247" s="678">
        <f t="shared" si="131"/>
        <v>1119.068</v>
      </c>
      <c r="CD247" s="870">
        <f t="shared" si="131"/>
        <v>1119.068</v>
      </c>
      <c r="CE247" s="678">
        <f>SUM(CE241:CE246)</f>
        <v>1052.634</v>
      </c>
      <c r="CF247" s="678">
        <f>SUM(CF241:CF246)</f>
        <v>1666.001</v>
      </c>
      <c r="CG247" s="678">
        <f>SUM(CG241:CG246)</f>
        <v>1685.6160367323573</v>
      </c>
      <c r="CH247" s="678">
        <f>SUM(CH241:CH246)</f>
        <v>1660.5565020773843</v>
      </c>
      <c r="CI247" s="752">
        <f t="shared" si="131"/>
        <v>1229.3033532009676</v>
      </c>
      <c r="CJ247" s="752">
        <f t="shared" si="131"/>
        <v>1317.7251229525186</v>
      </c>
      <c r="CK247" s="752">
        <f t="shared" si="131"/>
        <v>1407.4771242918462</v>
      </c>
      <c r="CL247" s="752">
        <f t="shared" si="131"/>
        <v>1495.7353044281713</v>
      </c>
      <c r="CM247" s="752">
        <f t="shared" si="131"/>
        <v>1585.1500685946689</v>
      </c>
      <c r="CN247" s="678"/>
      <c r="CO247" s="685"/>
      <c r="CP247" s="678"/>
      <c r="CQ247" s="693"/>
    </row>
    <row r="248" spans="2:95" ht="16.5" customHeight="1" x14ac:dyDescent="0.25">
      <c r="B248" s="690" t="s">
        <v>778</v>
      </c>
      <c r="C248" s="743"/>
      <c r="D248" s="743"/>
      <c r="E248" s="743"/>
      <c r="F248" s="743"/>
      <c r="G248" s="868">
        <v>757.32</v>
      </c>
      <c r="H248" s="743"/>
      <c r="I248" s="743"/>
      <c r="J248" s="743"/>
      <c r="K248" s="743"/>
      <c r="L248" s="868">
        <v>714.75699999999995</v>
      </c>
      <c r="M248" s="743"/>
      <c r="N248" s="743"/>
      <c r="O248" s="743"/>
      <c r="P248" s="743"/>
      <c r="Q248" s="868">
        <v>670.66200000000003</v>
      </c>
      <c r="R248" s="743"/>
      <c r="S248" s="743"/>
      <c r="T248" s="743"/>
      <c r="U248" s="743"/>
      <c r="V248" s="868">
        <v>600.68700000000001</v>
      </c>
      <c r="W248" s="743"/>
      <c r="X248" s="743"/>
      <c r="Y248" s="743"/>
      <c r="Z248" s="743"/>
      <c r="AA248" s="868">
        <v>765.11400000000003</v>
      </c>
      <c r="AB248" s="743"/>
      <c r="AC248" s="743"/>
      <c r="AD248" s="743"/>
      <c r="AE248" s="743"/>
      <c r="AF248" s="868">
        <v>1075.067</v>
      </c>
      <c r="AG248" s="743"/>
      <c r="AH248" s="743"/>
      <c r="AI248" s="743"/>
      <c r="AJ248" s="743"/>
      <c r="AK248" s="868">
        <v>1004.847</v>
      </c>
      <c r="AL248" s="743"/>
      <c r="AM248" s="291"/>
      <c r="AN248" s="291"/>
      <c r="AO248" s="291"/>
      <c r="AP248" s="868">
        <v>956.65300000000002</v>
      </c>
      <c r="AQ248" s="291"/>
      <c r="AR248" s="291"/>
      <c r="AS248" s="291"/>
      <c r="AT248" s="291"/>
      <c r="AU248" s="868">
        <v>858.83600000000001</v>
      </c>
      <c r="AV248" s="291"/>
      <c r="AW248" s="291"/>
      <c r="AX248" s="291"/>
      <c r="AY248" s="291"/>
      <c r="AZ248" s="868">
        <v>832.98400000000004</v>
      </c>
      <c r="BA248" s="291"/>
      <c r="BB248" s="291"/>
      <c r="BC248" s="291"/>
      <c r="BD248" s="291"/>
      <c r="BE248" s="868">
        <v>929.98199999999997</v>
      </c>
      <c r="BF248" s="743">
        <v>898.07799999999997</v>
      </c>
      <c r="BG248" s="743">
        <v>896.95500000000004</v>
      </c>
      <c r="BH248" s="743">
        <v>863.68200000000002</v>
      </c>
      <c r="BI248" s="291"/>
      <c r="BJ248" s="868">
        <v>823.35500000000002</v>
      </c>
      <c r="BK248" s="743">
        <v>792.14400000000001</v>
      </c>
      <c r="BL248" s="743">
        <v>832.39099999999996</v>
      </c>
      <c r="BM248" s="743">
        <v>767.95699999999999</v>
      </c>
      <c r="BN248" s="291">
        <f>BO248</f>
        <v>836.87199999999996</v>
      </c>
      <c r="BO248" s="868">
        <v>836.87199999999996</v>
      </c>
      <c r="BP248" s="743">
        <v>955.94</v>
      </c>
      <c r="BQ248" s="743">
        <v>949.75099999999998</v>
      </c>
      <c r="BR248" s="743">
        <v>1019.846</v>
      </c>
      <c r="BS248" s="291">
        <f>BT248</f>
        <v>863.09199999999998</v>
      </c>
      <c r="BT248" s="868">
        <v>863.09199999999998</v>
      </c>
      <c r="BU248" s="743">
        <v>920.10299999999995</v>
      </c>
      <c r="BV248" s="743">
        <v>948.61500000000001</v>
      </c>
      <c r="BW248" s="743">
        <v>958.12699999999995</v>
      </c>
      <c r="BX248" s="291">
        <f>BY248</f>
        <v>874.13900000000001</v>
      </c>
      <c r="BY248" s="868">
        <v>874.13900000000001</v>
      </c>
      <c r="BZ248" s="743">
        <v>1104.1510000000001</v>
      </c>
      <c r="CA248" s="743">
        <v>1165.662</v>
      </c>
      <c r="CB248" s="743">
        <v>1081.674</v>
      </c>
      <c r="CC248" s="291">
        <f>CD248</f>
        <v>944.12300000000005</v>
      </c>
      <c r="CD248" s="868">
        <v>944.12300000000005</v>
      </c>
      <c r="CE248" s="743">
        <v>1052.3119999999999</v>
      </c>
      <c r="CF248" s="743">
        <v>739.82500000000005</v>
      </c>
      <c r="CG248" s="291">
        <f>CF248-CG294</f>
        <v>737.57500000000005</v>
      </c>
      <c r="CH248" s="291">
        <f>CG248-CH294</f>
        <v>735.32500000000005</v>
      </c>
      <c r="CI248" s="749">
        <f>CD248-CI294</f>
        <v>935.12300000000005</v>
      </c>
      <c r="CJ248" s="749">
        <f>CI248-CJ294</f>
        <v>926.12300000000005</v>
      </c>
      <c r="CK248" s="749">
        <f>CJ248-CK294</f>
        <v>917.12300000000005</v>
      </c>
      <c r="CL248" s="749">
        <f>CK248-CL294</f>
        <v>908.12300000000005</v>
      </c>
      <c r="CM248" s="749">
        <f>CL248-CM294</f>
        <v>899.12300000000005</v>
      </c>
      <c r="CN248" s="291"/>
      <c r="CO248" s="683"/>
      <c r="CP248" s="291"/>
      <c r="CQ248" s="694" t="s">
        <v>867</v>
      </c>
    </row>
    <row r="249" spans="2:95" ht="16.5" customHeight="1" x14ac:dyDescent="0.25">
      <c r="B249" s="690" t="s">
        <v>779</v>
      </c>
      <c r="C249" s="743"/>
      <c r="D249" s="743"/>
      <c r="E249" s="743"/>
      <c r="F249" s="743"/>
      <c r="G249" s="868">
        <v>0</v>
      </c>
      <c r="H249" s="743"/>
      <c r="I249" s="743"/>
      <c r="J249" s="743"/>
      <c r="K249" s="743"/>
      <c r="L249" s="868">
        <v>0</v>
      </c>
      <c r="M249" s="743"/>
      <c r="N249" s="743"/>
      <c r="O249" s="743"/>
      <c r="P249" s="743"/>
      <c r="Q249" s="868">
        <v>0</v>
      </c>
      <c r="R249" s="743"/>
      <c r="S249" s="743"/>
      <c r="T249" s="743"/>
      <c r="U249" s="743"/>
      <c r="V249" s="868">
        <v>0</v>
      </c>
      <c r="W249" s="743"/>
      <c r="X249" s="743"/>
      <c r="Y249" s="743"/>
      <c r="Z249" s="743"/>
      <c r="AA249" s="868">
        <v>0</v>
      </c>
      <c r="AB249" s="743"/>
      <c r="AC249" s="743"/>
      <c r="AD249" s="743"/>
      <c r="AE249" s="743"/>
      <c r="AF249" s="868">
        <v>0</v>
      </c>
      <c r="AG249" s="743"/>
      <c r="AH249" s="743"/>
      <c r="AI249" s="743"/>
      <c r="AJ249" s="743"/>
      <c r="AK249" s="868">
        <v>0</v>
      </c>
      <c r="AL249" s="743"/>
      <c r="AM249" s="291"/>
      <c r="AN249" s="291"/>
      <c r="AO249" s="291"/>
      <c r="AP249" s="868">
        <v>0</v>
      </c>
      <c r="AQ249" s="291"/>
      <c r="AR249" s="291"/>
      <c r="AS249" s="291"/>
      <c r="AT249" s="291"/>
      <c r="AU249" s="868">
        <v>0</v>
      </c>
      <c r="AV249" s="291"/>
      <c r="AW249" s="291"/>
      <c r="AX249" s="291"/>
      <c r="AY249" s="291"/>
      <c r="AZ249" s="868">
        <v>0</v>
      </c>
      <c r="BA249" s="291"/>
      <c r="BB249" s="291"/>
      <c r="BC249" s="291"/>
      <c r="BD249" s="291"/>
      <c r="BE249" s="868"/>
      <c r="BF249" s="291"/>
      <c r="BG249" s="291"/>
      <c r="BH249" s="291"/>
      <c r="BI249" s="291"/>
      <c r="BJ249" s="868"/>
      <c r="BK249" s="291"/>
      <c r="BL249" s="291"/>
      <c r="BM249" s="291"/>
      <c r="BN249" s="291"/>
      <c r="BO249" s="868"/>
      <c r="BP249" s="291"/>
      <c r="BQ249" s="291"/>
      <c r="BR249" s="291"/>
      <c r="BS249" s="291"/>
      <c r="BT249" s="868"/>
      <c r="BU249" s="291"/>
      <c r="BV249" s="291"/>
      <c r="BW249" s="291"/>
      <c r="BX249" s="291"/>
      <c r="BY249" s="868"/>
      <c r="BZ249" s="291"/>
      <c r="CA249" s="291"/>
      <c r="CB249" s="291"/>
      <c r="CC249" s="291"/>
      <c r="CD249" s="868"/>
      <c r="CE249" s="743">
        <v>0</v>
      </c>
      <c r="CF249" s="743">
        <v>0</v>
      </c>
      <c r="CG249" s="291">
        <f>CF249</f>
        <v>0</v>
      </c>
      <c r="CH249" s="291">
        <f>CG249</f>
        <v>0</v>
      </c>
      <c r="CI249" s="749">
        <f>CD249</f>
        <v>0</v>
      </c>
      <c r="CJ249" s="749">
        <f t="shared" ref="CJ249:CM250" si="132">CI249</f>
        <v>0</v>
      </c>
      <c r="CK249" s="749">
        <f t="shared" si="132"/>
        <v>0</v>
      </c>
      <c r="CL249" s="749">
        <f t="shared" si="132"/>
        <v>0</v>
      </c>
      <c r="CM249" s="749">
        <f t="shared" si="132"/>
        <v>0</v>
      </c>
      <c r="CN249" s="291"/>
      <c r="CO249" s="683"/>
      <c r="CP249" s="291"/>
      <c r="CQ249" s="693"/>
    </row>
    <row r="250" spans="2:95" ht="16.5" customHeight="1" x14ac:dyDescent="0.25">
      <c r="B250" s="690" t="s">
        <v>780</v>
      </c>
      <c r="C250" s="743"/>
      <c r="D250" s="743"/>
      <c r="E250" s="743"/>
      <c r="F250" s="743"/>
      <c r="G250" s="868">
        <v>281.83</v>
      </c>
      <c r="H250" s="743"/>
      <c r="I250" s="743"/>
      <c r="J250" s="743"/>
      <c r="K250" s="743"/>
      <c r="L250" s="868">
        <v>331.05</v>
      </c>
      <c r="M250" s="743"/>
      <c r="N250" s="743"/>
      <c r="O250" s="743"/>
      <c r="P250" s="743"/>
      <c r="Q250" s="868">
        <v>427.58800000000002</v>
      </c>
      <c r="R250" s="743"/>
      <c r="S250" s="743"/>
      <c r="T250" s="743"/>
      <c r="U250" s="743"/>
      <c r="V250" s="868">
        <v>269.75099999999998</v>
      </c>
      <c r="W250" s="743"/>
      <c r="X250" s="743"/>
      <c r="Y250" s="743"/>
      <c r="Z250" s="743"/>
      <c r="AA250" s="868">
        <v>288.21600000000001</v>
      </c>
      <c r="AB250" s="743"/>
      <c r="AC250" s="743"/>
      <c r="AD250" s="743"/>
      <c r="AE250" s="743"/>
      <c r="AF250" s="868">
        <v>348.23899999999998</v>
      </c>
      <c r="AG250" s="743"/>
      <c r="AH250" s="743"/>
      <c r="AI250" s="743"/>
      <c r="AJ250" s="743"/>
      <c r="AK250" s="868">
        <v>401.74700000000001</v>
      </c>
      <c r="AL250" s="743"/>
      <c r="AM250" s="291"/>
      <c r="AN250" s="291"/>
      <c r="AO250" s="291"/>
      <c r="AP250" s="868">
        <v>271.27199999999999</v>
      </c>
      <c r="AQ250" s="291"/>
      <c r="AR250" s="291"/>
      <c r="AS250" s="291"/>
      <c r="AT250" s="291"/>
      <c r="AU250" s="868">
        <v>117.471</v>
      </c>
      <c r="AV250" s="291"/>
      <c r="AW250" s="291"/>
      <c r="AX250" s="291"/>
      <c r="AY250" s="291"/>
      <c r="AZ250" s="868">
        <v>160.03399999999999</v>
      </c>
      <c r="BA250" s="291"/>
      <c r="BB250" s="291"/>
      <c r="BC250" s="291"/>
      <c r="BD250" s="291"/>
      <c r="BE250" s="868">
        <v>183.36600000000001</v>
      </c>
      <c r="BF250" s="743">
        <v>189.08099999999999</v>
      </c>
      <c r="BG250" s="743">
        <v>180.11199999999999</v>
      </c>
      <c r="BH250" s="743">
        <v>181.4</v>
      </c>
      <c r="BI250" s="291"/>
      <c r="BJ250" s="868">
        <v>162.72800000000001</v>
      </c>
      <c r="BK250" s="743">
        <v>177.10499999999999</v>
      </c>
      <c r="BL250" s="743">
        <v>157.96199999999999</v>
      </c>
      <c r="BM250" s="743">
        <v>160.02199999999999</v>
      </c>
      <c r="BN250" s="291">
        <f>BO250</f>
        <v>140.602</v>
      </c>
      <c r="BO250" s="868">
        <v>140.602</v>
      </c>
      <c r="BP250" s="743">
        <v>160.48400000000001</v>
      </c>
      <c r="BQ250" s="743">
        <v>154.971</v>
      </c>
      <c r="BR250" s="743">
        <v>160.245</v>
      </c>
      <c r="BS250" s="291">
        <f>BT250</f>
        <v>157.45500000000001</v>
      </c>
      <c r="BT250" s="868">
        <v>157.45500000000001</v>
      </c>
      <c r="BU250" s="743">
        <v>160.82499999999999</v>
      </c>
      <c r="BV250" s="743">
        <v>160.26499999999999</v>
      </c>
      <c r="BW250" s="743">
        <v>160.63499999999999</v>
      </c>
      <c r="BX250" s="291">
        <f>BY250</f>
        <v>167.161</v>
      </c>
      <c r="BY250" s="868">
        <v>167.161</v>
      </c>
      <c r="BZ250" s="743">
        <v>162.22200000000001</v>
      </c>
      <c r="CA250" s="743">
        <v>172.39500000000001</v>
      </c>
      <c r="CB250" s="743">
        <v>177.68799999999999</v>
      </c>
      <c r="CC250" s="291">
        <f>CD250</f>
        <v>157.21799999999999</v>
      </c>
      <c r="CD250" s="868">
        <v>157.21799999999999</v>
      </c>
      <c r="CE250" s="743">
        <v>156.083</v>
      </c>
      <c r="CF250" s="743">
        <v>152.791</v>
      </c>
      <c r="CG250" s="291">
        <f>CF250</f>
        <v>152.791</v>
      </c>
      <c r="CH250" s="291">
        <f>CG250</f>
        <v>152.791</v>
      </c>
      <c r="CI250" s="749">
        <f>CD250</f>
        <v>157.21799999999999</v>
      </c>
      <c r="CJ250" s="749">
        <f t="shared" si="132"/>
        <v>157.21799999999999</v>
      </c>
      <c r="CK250" s="749">
        <f t="shared" si="132"/>
        <v>157.21799999999999</v>
      </c>
      <c r="CL250" s="749">
        <f t="shared" si="132"/>
        <v>157.21799999999999</v>
      </c>
      <c r="CM250" s="749">
        <f t="shared" si="132"/>
        <v>157.21799999999999</v>
      </c>
      <c r="CN250" s="291"/>
      <c r="CO250" s="683"/>
      <c r="CP250" s="291"/>
      <c r="CQ250" s="693"/>
    </row>
    <row r="251" spans="2:95" ht="16.5" customHeight="1" x14ac:dyDescent="0.25">
      <c r="B251" s="690" t="s">
        <v>769</v>
      </c>
      <c r="C251" s="743"/>
      <c r="D251" s="743"/>
      <c r="E251" s="743"/>
      <c r="F251" s="743"/>
      <c r="G251" s="868">
        <v>69.540999999999997</v>
      </c>
      <c r="H251" s="743"/>
      <c r="I251" s="743"/>
      <c r="J251" s="743"/>
      <c r="K251" s="743"/>
      <c r="L251" s="868">
        <v>56.728999999999999</v>
      </c>
      <c r="M251" s="743"/>
      <c r="N251" s="743"/>
      <c r="O251" s="743"/>
      <c r="P251" s="743"/>
      <c r="Q251" s="868">
        <v>36.454999999999998</v>
      </c>
      <c r="R251" s="743"/>
      <c r="S251" s="743"/>
      <c r="T251" s="743"/>
      <c r="U251" s="743"/>
      <c r="V251" s="868">
        <v>104.377</v>
      </c>
      <c r="W251" s="743"/>
      <c r="X251" s="743"/>
      <c r="Y251" s="743"/>
      <c r="Z251" s="743"/>
      <c r="AA251" s="868">
        <v>83.930999999999997</v>
      </c>
      <c r="AB251" s="743"/>
      <c r="AC251" s="743"/>
      <c r="AD251" s="743"/>
      <c r="AE251" s="743"/>
      <c r="AF251" s="868">
        <v>60.209000000000003</v>
      </c>
      <c r="AG251" s="743"/>
      <c r="AH251" s="743"/>
      <c r="AI251" s="743"/>
      <c r="AJ251" s="743"/>
      <c r="AK251" s="868">
        <v>11.026</v>
      </c>
      <c r="AL251" s="743"/>
      <c r="AM251" s="291"/>
      <c r="AN251" s="291"/>
      <c r="AO251" s="291"/>
      <c r="AP251" s="868">
        <v>13.32</v>
      </c>
      <c r="AQ251" s="291"/>
      <c r="AR251" s="291"/>
      <c r="AS251" s="291"/>
      <c r="AT251" s="291"/>
      <c r="AU251" s="868">
        <v>46.476999999999997</v>
      </c>
      <c r="AV251" s="291"/>
      <c r="AW251" s="291"/>
      <c r="AX251" s="291"/>
      <c r="AY251" s="291"/>
      <c r="AZ251" s="868">
        <v>40.527999999999999</v>
      </c>
      <c r="BA251" s="291"/>
      <c r="BB251" s="291"/>
      <c r="BC251" s="291"/>
      <c r="BD251" s="291"/>
      <c r="BE251" s="868">
        <v>40.473999999999997</v>
      </c>
      <c r="BF251" s="743">
        <v>47.829000000000001</v>
      </c>
      <c r="BG251" s="743">
        <v>48.777999999999999</v>
      </c>
      <c r="BH251" s="743">
        <v>54.167999999999999</v>
      </c>
      <c r="BI251" s="291"/>
      <c r="BJ251" s="868">
        <v>64.641999999999996</v>
      </c>
      <c r="BK251" s="743">
        <v>54.79</v>
      </c>
      <c r="BL251" s="743">
        <v>70.635999999999996</v>
      </c>
      <c r="BM251" s="743">
        <v>63.878999999999998</v>
      </c>
      <c r="BN251" s="291">
        <f>BO251</f>
        <v>63.527000000000001</v>
      </c>
      <c r="BO251" s="868">
        <v>63.527000000000001</v>
      </c>
      <c r="BP251" s="743">
        <v>74.212999999999994</v>
      </c>
      <c r="BQ251" s="743">
        <v>91.102999999999994</v>
      </c>
      <c r="BR251" s="743">
        <v>91.165000000000006</v>
      </c>
      <c r="BS251" s="291">
        <f>BT251</f>
        <v>37.625999999999998</v>
      </c>
      <c r="BT251" s="868">
        <v>37.625999999999998</v>
      </c>
      <c r="BU251" s="743">
        <v>35.213999999999999</v>
      </c>
      <c r="BV251" s="743">
        <v>22.765000000000001</v>
      </c>
      <c r="BW251" s="743">
        <v>13.667999999999999</v>
      </c>
      <c r="BX251" s="291">
        <f>BY251</f>
        <v>27.652000000000001</v>
      </c>
      <c r="BY251" s="868">
        <v>27.652000000000001</v>
      </c>
      <c r="BZ251" s="743">
        <v>26.08</v>
      </c>
      <c r="CA251" s="743">
        <v>26.384</v>
      </c>
      <c r="CB251" s="743">
        <v>27.664000000000001</v>
      </c>
      <c r="CC251" s="291">
        <f>CD251</f>
        <v>32.6</v>
      </c>
      <c r="CD251" s="868">
        <v>32.6</v>
      </c>
      <c r="CE251" s="743">
        <v>33.024999999999999</v>
      </c>
      <c r="CF251" s="743">
        <v>45.488999999999997</v>
      </c>
      <c r="CG251" s="291">
        <f>CF251+CG179</f>
        <v>43.488999999999997</v>
      </c>
      <c r="CH251" s="291">
        <f>CG251+CH179</f>
        <v>41.488999999999997</v>
      </c>
      <c r="CI251" s="749">
        <f>CD251+CI179</f>
        <v>27.6</v>
      </c>
      <c r="CJ251" s="749">
        <f>CI251+CJ179</f>
        <v>22.6</v>
      </c>
      <c r="CK251" s="749">
        <f>CJ251+CK179</f>
        <v>17.600000000000001</v>
      </c>
      <c r="CL251" s="749">
        <f>CK251+CL179</f>
        <v>12.600000000000001</v>
      </c>
      <c r="CM251" s="749">
        <f>CL251+CM179</f>
        <v>7.6000000000000014</v>
      </c>
      <c r="CN251" s="291"/>
      <c r="CO251" s="683"/>
      <c r="CP251" s="291"/>
      <c r="CQ251" s="693"/>
    </row>
    <row r="252" spans="2:95" ht="16.5" customHeight="1" x14ac:dyDescent="0.25">
      <c r="B252" s="690" t="s">
        <v>781</v>
      </c>
      <c r="C252" s="743"/>
      <c r="D252" s="743"/>
      <c r="E252" s="743"/>
      <c r="F252" s="743"/>
      <c r="G252" s="868">
        <v>3.0129999999999999</v>
      </c>
      <c r="H252" s="743"/>
      <c r="I252" s="743"/>
      <c r="J252" s="743"/>
      <c r="K252" s="743"/>
      <c r="L252" s="868">
        <v>2.15</v>
      </c>
      <c r="M252" s="743"/>
      <c r="N252" s="743"/>
      <c r="O252" s="743"/>
      <c r="P252" s="743"/>
      <c r="Q252" s="868">
        <v>2.536</v>
      </c>
      <c r="R252" s="743"/>
      <c r="S252" s="743"/>
      <c r="T252" s="743"/>
      <c r="U252" s="743"/>
      <c r="V252" s="868">
        <v>3.2850000000000001</v>
      </c>
      <c r="W252" s="743"/>
      <c r="X252" s="743"/>
      <c r="Y252" s="743"/>
      <c r="Z252" s="743"/>
      <c r="AA252" s="868">
        <v>0.97199999999999998</v>
      </c>
      <c r="AB252" s="743"/>
      <c r="AC252" s="743"/>
      <c r="AD252" s="743"/>
      <c r="AE252" s="743"/>
      <c r="AF252" s="868">
        <v>2.919</v>
      </c>
      <c r="AG252" s="743"/>
      <c r="AH252" s="743"/>
      <c r="AI252" s="743"/>
      <c r="AJ252" s="743"/>
      <c r="AK252" s="868">
        <v>4.343</v>
      </c>
      <c r="AL252" s="743"/>
      <c r="AM252" s="291"/>
      <c r="AN252" s="291"/>
      <c r="AO252" s="291"/>
      <c r="AP252" s="868">
        <v>5.609</v>
      </c>
      <c r="AQ252" s="291"/>
      <c r="AR252" s="291"/>
      <c r="AS252" s="291"/>
      <c r="AT252" s="291"/>
      <c r="AU252" s="868">
        <v>35.654000000000003</v>
      </c>
      <c r="AV252" s="291"/>
      <c r="AW252" s="291"/>
      <c r="AX252" s="291"/>
      <c r="AY252" s="291"/>
      <c r="AZ252" s="868">
        <v>30.552</v>
      </c>
      <c r="BA252" s="291"/>
      <c r="BB252" s="291"/>
      <c r="BC252" s="291"/>
      <c r="BD252" s="291"/>
      <c r="BE252" s="868">
        <v>118.372</v>
      </c>
      <c r="BF252" s="743">
        <v>114.45399999999999</v>
      </c>
      <c r="BG252" s="743">
        <v>113.607</v>
      </c>
      <c r="BH252" s="743">
        <v>110.694</v>
      </c>
      <c r="BI252" s="291"/>
      <c r="BJ252" s="868">
        <v>112.93899999999999</v>
      </c>
      <c r="BK252" s="743">
        <v>121.488</v>
      </c>
      <c r="BL252" s="743">
        <v>107.41500000000001</v>
      </c>
      <c r="BM252" s="743">
        <v>92.99</v>
      </c>
      <c r="BN252" s="291">
        <f>BO252</f>
        <v>115.59099999999999</v>
      </c>
      <c r="BO252" s="868">
        <v>115.59099999999999</v>
      </c>
      <c r="BP252" s="743">
        <v>108.039</v>
      </c>
      <c r="BQ252" s="743">
        <v>102.14400000000001</v>
      </c>
      <c r="BR252" s="743">
        <v>154.94999999999999</v>
      </c>
      <c r="BS252" s="291">
        <f>BT252</f>
        <v>148.303</v>
      </c>
      <c r="BT252" s="868">
        <v>148.303</v>
      </c>
      <c r="BU252" s="743">
        <v>154.76499999999999</v>
      </c>
      <c r="BV252" s="743">
        <v>149.68799999999999</v>
      </c>
      <c r="BW252" s="743">
        <v>153.12200000000001</v>
      </c>
      <c r="BX252" s="291">
        <f>BY252</f>
        <v>166.464</v>
      </c>
      <c r="BY252" s="868">
        <v>166.464</v>
      </c>
      <c r="BZ252" s="743">
        <v>171.96199999999999</v>
      </c>
      <c r="CA252" s="743">
        <v>167.982</v>
      </c>
      <c r="CB252" s="743">
        <v>177.233</v>
      </c>
      <c r="CC252" s="291">
        <f>CD252</f>
        <v>180.49100000000001</v>
      </c>
      <c r="CD252" s="868">
        <v>180.49100000000001</v>
      </c>
      <c r="CE252" s="743">
        <v>192.03899999999999</v>
      </c>
      <c r="CF252" s="743">
        <v>196.012</v>
      </c>
      <c r="CG252" s="291">
        <f>CF252</f>
        <v>196.012</v>
      </c>
      <c r="CH252" s="291">
        <f>CG252</f>
        <v>196.012</v>
      </c>
      <c r="CI252" s="749">
        <f>CD252</f>
        <v>180.49100000000001</v>
      </c>
      <c r="CJ252" s="749">
        <f>CI252</f>
        <v>180.49100000000001</v>
      </c>
      <c r="CK252" s="749">
        <f>CJ252</f>
        <v>180.49100000000001</v>
      </c>
      <c r="CL252" s="749">
        <f>CK252</f>
        <v>180.49100000000001</v>
      </c>
      <c r="CM252" s="749">
        <f>CL252</f>
        <v>180.49100000000001</v>
      </c>
      <c r="CN252" s="291"/>
      <c r="CO252" s="683"/>
      <c r="CP252" s="291"/>
      <c r="CQ252" s="693"/>
    </row>
    <row r="253" spans="2:95" ht="16.5" customHeight="1" thickBot="1" x14ac:dyDescent="0.3">
      <c r="B253" s="747" t="s">
        <v>117</v>
      </c>
      <c r="C253" s="818"/>
      <c r="D253" s="818"/>
      <c r="E253" s="818"/>
      <c r="F253" s="818"/>
      <c r="G253" s="880">
        <f>G247+SUM(G248:G252)</f>
        <v>1591.1779999999999</v>
      </c>
      <c r="H253" s="819"/>
      <c r="I253" s="819"/>
      <c r="J253" s="819"/>
      <c r="K253" s="819"/>
      <c r="L253" s="880">
        <f>L247+SUM(L248:L252)</f>
        <v>1651.0760000000002</v>
      </c>
      <c r="M253" s="819"/>
      <c r="N253" s="819"/>
      <c r="O253" s="819"/>
      <c r="P253" s="819"/>
      <c r="Q253" s="880">
        <f>Q247+SUM(Q248:Q252)</f>
        <v>1801.117</v>
      </c>
      <c r="R253" s="819"/>
      <c r="S253" s="819"/>
      <c r="T253" s="819"/>
      <c r="U253" s="819"/>
      <c r="V253" s="880">
        <f>V247+SUM(V248:V252)</f>
        <v>1701.33</v>
      </c>
      <c r="W253" s="819"/>
      <c r="X253" s="819"/>
      <c r="Y253" s="819"/>
      <c r="Z253" s="819"/>
      <c r="AA253" s="880">
        <f>AA247+SUM(AA248:AA252)</f>
        <v>1861.0369999999998</v>
      </c>
      <c r="AB253" s="819"/>
      <c r="AC253" s="819"/>
      <c r="AD253" s="819"/>
      <c r="AE253" s="819"/>
      <c r="AF253" s="880">
        <f>AF247+SUM(AF248:AF252)</f>
        <v>2091.9390000000003</v>
      </c>
      <c r="AG253" s="819"/>
      <c r="AH253" s="819"/>
      <c r="AI253" s="819"/>
      <c r="AJ253" s="819"/>
      <c r="AK253" s="880">
        <f>AK247+SUM(AK248:AK252)</f>
        <v>2010.9120000000003</v>
      </c>
      <c r="AL253" s="819"/>
      <c r="AM253" s="819"/>
      <c r="AN253" s="819"/>
      <c r="AO253" s="819"/>
      <c r="AP253" s="880">
        <f>AP247+SUM(AP248:AP252)</f>
        <v>1876.2879999999998</v>
      </c>
      <c r="AQ253" s="819"/>
      <c r="AR253" s="819"/>
      <c r="AS253" s="819"/>
      <c r="AT253" s="819"/>
      <c r="AU253" s="880">
        <f>AU247+SUM(AU248:AU252)</f>
        <v>1739.0620000000001</v>
      </c>
      <c r="AV253" s="819"/>
      <c r="AW253" s="819"/>
      <c r="AX253" s="819"/>
      <c r="AY253" s="819"/>
      <c r="AZ253" s="880">
        <f>AZ247+SUM(AZ248:AZ252)</f>
        <v>1791.7559999999999</v>
      </c>
      <c r="BA253" s="819"/>
      <c r="BB253" s="819"/>
      <c r="BC253" s="819"/>
      <c r="BD253" s="819"/>
      <c r="BE253" s="880">
        <f t="shared" ref="BE253:CM253" si="133">BE247+SUM(BE248:BE252)</f>
        <v>1982.748</v>
      </c>
      <c r="BF253" s="819">
        <f t="shared" si="133"/>
        <v>2063.3040000000001</v>
      </c>
      <c r="BG253" s="819">
        <f t="shared" si="133"/>
        <v>2067.3829999999998</v>
      </c>
      <c r="BH253" s="819">
        <f t="shared" si="133"/>
        <v>2016.105</v>
      </c>
      <c r="BI253" s="819">
        <f t="shared" si="133"/>
        <v>0</v>
      </c>
      <c r="BJ253" s="880">
        <f t="shared" si="133"/>
        <v>2033.0250000000001</v>
      </c>
      <c r="BK253" s="819">
        <f t="shared" si="133"/>
        <v>1990.95</v>
      </c>
      <c r="BL253" s="819">
        <f t="shared" si="133"/>
        <v>2073.567</v>
      </c>
      <c r="BM253" s="819">
        <f t="shared" si="133"/>
        <v>2053.5990000000002</v>
      </c>
      <c r="BN253" s="819">
        <f t="shared" si="133"/>
        <v>1995.0279999999998</v>
      </c>
      <c r="BO253" s="880">
        <f t="shared" si="133"/>
        <v>1995.0279999999998</v>
      </c>
      <c r="BP253" s="819">
        <f t="shared" si="133"/>
        <v>2250.5909999999999</v>
      </c>
      <c r="BQ253" s="819">
        <f t="shared" si="133"/>
        <v>2250.2280000000001</v>
      </c>
      <c r="BR253" s="819">
        <f t="shared" si="133"/>
        <v>2391.7249999999999</v>
      </c>
      <c r="BS253" s="819">
        <f t="shared" si="133"/>
        <v>2171.9490000000001</v>
      </c>
      <c r="BT253" s="880">
        <f t="shared" si="133"/>
        <v>2171.9490000000001</v>
      </c>
      <c r="BU253" s="819">
        <f t="shared" si="133"/>
        <v>2280.7379999999998</v>
      </c>
      <c r="BV253" s="819">
        <f t="shared" si="133"/>
        <v>2285.8609999999999</v>
      </c>
      <c r="BW253" s="819">
        <f t="shared" si="133"/>
        <v>2273.9560000000001</v>
      </c>
      <c r="BX253" s="819">
        <f t="shared" si="133"/>
        <v>2251.5500000000002</v>
      </c>
      <c r="BY253" s="880">
        <f t="shared" si="133"/>
        <v>2251.5500000000002</v>
      </c>
      <c r="BZ253" s="819">
        <f t="shared" si="133"/>
        <v>2378.2339999999999</v>
      </c>
      <c r="CA253" s="819">
        <f t="shared" si="133"/>
        <v>2483.8379999999997</v>
      </c>
      <c r="CB253" s="819">
        <f t="shared" si="133"/>
        <v>2452.873</v>
      </c>
      <c r="CC253" s="819">
        <f t="shared" si="133"/>
        <v>2433.5</v>
      </c>
      <c r="CD253" s="880">
        <f t="shared" si="133"/>
        <v>2433.5</v>
      </c>
      <c r="CE253" s="274">
        <f>CE247+SUM(CE248:CE252)</f>
        <v>2486.0929999999998</v>
      </c>
      <c r="CF253" s="274">
        <f>CF247+SUM(CF248:CF252)</f>
        <v>2800.1179999999999</v>
      </c>
      <c r="CG253" s="274">
        <f>CG247+SUM(CG248:CG252)</f>
        <v>2815.4830367323575</v>
      </c>
      <c r="CH253" s="274">
        <f>CH247+SUM(CH248:CH252)</f>
        <v>2786.173502077384</v>
      </c>
      <c r="CI253" s="819">
        <f t="shared" si="133"/>
        <v>2529.7353532009674</v>
      </c>
      <c r="CJ253" s="819">
        <f t="shared" si="133"/>
        <v>2604.1571229525189</v>
      </c>
      <c r="CK253" s="819">
        <f t="shared" si="133"/>
        <v>2679.9091242918462</v>
      </c>
      <c r="CL253" s="819">
        <f t="shared" si="133"/>
        <v>2754.1673044281715</v>
      </c>
      <c r="CM253" s="819">
        <f t="shared" si="133"/>
        <v>2829.5820685946692</v>
      </c>
      <c r="CN253" s="678"/>
      <c r="CO253" s="685"/>
      <c r="CP253" s="678"/>
      <c r="CQ253" s="693"/>
    </row>
    <row r="254" spans="2:95" ht="16.5" customHeight="1" thickTop="1" x14ac:dyDescent="0.25">
      <c r="B254" s="223" t="s">
        <v>782</v>
      </c>
      <c r="C254" s="839"/>
      <c r="D254" s="839"/>
      <c r="E254" s="839"/>
      <c r="F254" s="839"/>
      <c r="G254" s="890"/>
      <c r="H254" s="839"/>
      <c r="I254" s="839"/>
      <c r="J254" s="839"/>
      <c r="K254" s="839"/>
      <c r="L254" s="890"/>
      <c r="M254" s="839"/>
      <c r="N254" s="839"/>
      <c r="O254" s="839"/>
      <c r="P254" s="839"/>
      <c r="Q254" s="890"/>
      <c r="R254" s="839"/>
      <c r="S254" s="839"/>
      <c r="T254" s="839"/>
      <c r="U254" s="839"/>
      <c r="V254" s="890"/>
      <c r="W254" s="839"/>
      <c r="X254" s="839"/>
      <c r="Y254" s="839"/>
      <c r="Z254" s="839"/>
      <c r="AA254" s="890"/>
      <c r="AB254" s="839"/>
      <c r="AC254" s="839"/>
      <c r="AD254" s="839"/>
      <c r="AE254" s="839"/>
      <c r="AF254" s="890"/>
      <c r="AG254" s="839"/>
      <c r="AH254" s="839"/>
      <c r="AI254" s="839"/>
      <c r="AJ254" s="839"/>
      <c r="AK254" s="890"/>
      <c r="AL254" s="839"/>
      <c r="AM254" s="839"/>
      <c r="AN254" s="839"/>
      <c r="AO254" s="839"/>
      <c r="AP254" s="890"/>
      <c r="AQ254" s="839"/>
      <c r="AR254" s="839"/>
      <c r="AS254" s="839"/>
      <c r="AT254" s="839"/>
      <c r="AU254" s="890"/>
      <c r="AV254" s="839"/>
      <c r="AW254" s="839"/>
      <c r="AX254" s="839"/>
      <c r="AY254" s="839"/>
      <c r="AZ254" s="890"/>
      <c r="BA254" s="839"/>
      <c r="BB254" s="839"/>
      <c r="BC254" s="839"/>
      <c r="BD254" s="839"/>
      <c r="BE254" s="924"/>
      <c r="BF254" s="839"/>
      <c r="BG254" s="839"/>
      <c r="BH254" s="839"/>
      <c r="BI254" s="839"/>
      <c r="BJ254" s="924"/>
      <c r="BK254" s="839"/>
      <c r="BL254" s="839"/>
      <c r="BM254" s="839"/>
      <c r="BN254" s="839"/>
      <c r="BO254" s="924"/>
      <c r="BP254" s="839"/>
      <c r="BQ254" s="839"/>
      <c r="BR254" s="839"/>
      <c r="BS254" s="839"/>
      <c r="BT254" s="924"/>
      <c r="BU254" s="839"/>
      <c r="BV254" s="839"/>
      <c r="BW254" s="839"/>
      <c r="BX254" s="839"/>
      <c r="BY254" s="924"/>
      <c r="BZ254" s="839"/>
      <c r="CA254" s="839"/>
      <c r="CB254" s="839"/>
      <c r="CC254" s="839"/>
      <c r="CD254" s="924"/>
      <c r="CE254" s="744"/>
      <c r="CF254" s="744"/>
      <c r="CG254" s="744"/>
      <c r="CH254" s="744"/>
      <c r="CI254" s="839"/>
      <c r="CJ254" s="839"/>
      <c r="CK254" s="839"/>
      <c r="CL254" s="839"/>
      <c r="CM254" s="839"/>
      <c r="CN254" s="224"/>
      <c r="CO254" s="684"/>
      <c r="CP254" s="224"/>
      <c r="CQ254" s="693"/>
    </row>
    <row r="255" spans="2:95" ht="16.5" customHeight="1" x14ac:dyDescent="0.25">
      <c r="B255" t="s">
        <v>783</v>
      </c>
      <c r="C255" s="291"/>
      <c r="D255" s="291"/>
      <c r="E255" s="291"/>
      <c r="F255" s="291"/>
      <c r="G255" s="864"/>
      <c r="H255" s="291"/>
      <c r="I255" s="291"/>
      <c r="J255" s="291"/>
      <c r="K255" s="291"/>
      <c r="L255" s="864"/>
      <c r="M255" s="291"/>
      <c r="N255" s="291"/>
      <c r="O255" s="291"/>
      <c r="P255" s="291"/>
      <c r="Q255" s="864"/>
      <c r="R255" s="291"/>
      <c r="S255" s="291"/>
      <c r="T255" s="291"/>
      <c r="U255" s="291"/>
      <c r="V255" s="864"/>
      <c r="W255" s="291"/>
      <c r="X255" s="291"/>
      <c r="Y255" s="291"/>
      <c r="Z255" s="291"/>
      <c r="AA255" s="864"/>
      <c r="AB255" s="291"/>
      <c r="AC255" s="291"/>
      <c r="AD255" s="291"/>
      <c r="AE255" s="291"/>
      <c r="AF255" s="864"/>
      <c r="AG255" s="291"/>
      <c r="AH255" s="291"/>
      <c r="AI255" s="291"/>
      <c r="AJ255" s="291"/>
      <c r="AK255" s="864"/>
      <c r="AL255" s="291"/>
      <c r="AM255" s="291"/>
      <c r="AN255" s="291"/>
      <c r="AO255" s="291"/>
      <c r="AP255" s="864"/>
      <c r="AQ255" s="291"/>
      <c r="AR255" s="291"/>
      <c r="AS255" s="291"/>
      <c r="AT255" s="291"/>
      <c r="AU255" s="864"/>
      <c r="AV255" s="291"/>
      <c r="AW255" s="291"/>
      <c r="AX255" s="291"/>
      <c r="AY255" s="291"/>
      <c r="AZ255" s="864"/>
      <c r="BA255" s="291"/>
      <c r="BB255" s="291"/>
      <c r="BC255" s="291"/>
      <c r="BD255" s="291"/>
      <c r="BE255" s="868">
        <v>51.28</v>
      </c>
      <c r="BF255" s="743">
        <v>51.28</v>
      </c>
      <c r="BG255" s="743">
        <v>51.28</v>
      </c>
      <c r="BH255" s="743">
        <v>51.28</v>
      </c>
      <c r="BI255" s="291"/>
      <c r="BJ255" s="868">
        <v>51.28</v>
      </c>
      <c r="BK255" s="743">
        <v>51.28</v>
      </c>
      <c r="BL255" s="743">
        <v>51.28</v>
      </c>
      <c r="BM255" s="743">
        <v>51.28</v>
      </c>
      <c r="BN255" s="291">
        <f>BO255</f>
        <v>51.28</v>
      </c>
      <c r="BO255" s="868">
        <v>51.28</v>
      </c>
      <c r="BP255" s="743">
        <v>51.28</v>
      </c>
      <c r="BQ255" s="743">
        <v>51.28</v>
      </c>
      <c r="BR255" s="743">
        <v>51.28</v>
      </c>
      <c r="BS255" s="291">
        <f>BT255</f>
        <v>51.28</v>
      </c>
      <c r="BT255" s="868">
        <v>51.28</v>
      </c>
      <c r="BU255" s="743">
        <v>51.28</v>
      </c>
      <c r="BV255" s="743">
        <v>51.28</v>
      </c>
      <c r="BW255" s="743">
        <v>51.28</v>
      </c>
      <c r="BX255" s="291">
        <f>BY255</f>
        <v>51.28</v>
      </c>
      <c r="BY255" s="868">
        <v>51.28</v>
      </c>
      <c r="BZ255" s="743">
        <v>51.28</v>
      </c>
      <c r="CA255" s="743">
        <v>51.28</v>
      </c>
      <c r="CB255" s="743">
        <v>51.28</v>
      </c>
      <c r="CC255" s="291">
        <f>CD255</f>
        <v>51.28</v>
      </c>
      <c r="CD255" s="868">
        <v>51.28</v>
      </c>
      <c r="CE255" s="743">
        <v>51.28</v>
      </c>
      <c r="CF255" s="743">
        <v>51.28</v>
      </c>
      <c r="CG255" s="291">
        <f>CF255</f>
        <v>51.28</v>
      </c>
      <c r="CH255" s="291">
        <f>CG255</f>
        <v>51.28</v>
      </c>
      <c r="CI255" s="749">
        <f>CD255</f>
        <v>51.28</v>
      </c>
      <c r="CJ255" s="749">
        <f>CI255</f>
        <v>51.28</v>
      </c>
      <c r="CK255" s="749">
        <f>CJ255</f>
        <v>51.28</v>
      </c>
      <c r="CL255" s="749">
        <f>CK255</f>
        <v>51.28</v>
      </c>
      <c r="CM255" s="749">
        <f>CL255</f>
        <v>51.28</v>
      </c>
      <c r="CN255" s="291"/>
      <c r="CO255" s="683"/>
      <c r="CP255" s="291"/>
      <c r="CQ255" s="693"/>
    </row>
    <row r="256" spans="2:95" ht="16.5" customHeight="1" x14ac:dyDescent="0.25">
      <c r="B256" t="s">
        <v>784</v>
      </c>
      <c r="C256" s="291"/>
      <c r="D256" s="291"/>
      <c r="E256" s="291"/>
      <c r="F256" s="291"/>
      <c r="G256" s="864"/>
      <c r="H256" s="291"/>
      <c r="I256" s="291"/>
      <c r="J256" s="291"/>
      <c r="K256" s="291"/>
      <c r="L256" s="864"/>
      <c r="M256" s="291"/>
      <c r="N256" s="291"/>
      <c r="O256" s="291"/>
      <c r="P256" s="291"/>
      <c r="Q256" s="864"/>
      <c r="R256" s="291"/>
      <c r="S256" s="291"/>
      <c r="T256" s="291"/>
      <c r="U256" s="291"/>
      <c r="V256" s="864"/>
      <c r="W256" s="291"/>
      <c r="X256" s="291"/>
      <c r="Y256" s="291"/>
      <c r="Z256" s="291"/>
      <c r="AA256" s="864"/>
      <c r="AB256" s="291"/>
      <c r="AC256" s="291"/>
      <c r="AD256" s="291"/>
      <c r="AE256" s="291"/>
      <c r="AF256" s="864"/>
      <c r="AG256" s="291"/>
      <c r="AH256" s="291"/>
      <c r="AI256" s="291"/>
      <c r="AJ256" s="291"/>
      <c r="AK256" s="864"/>
      <c r="AL256" s="291"/>
      <c r="AM256" s="291"/>
      <c r="AN256" s="291"/>
      <c r="AO256" s="291"/>
      <c r="AP256" s="864"/>
      <c r="AQ256" s="291"/>
      <c r="AR256" s="291"/>
      <c r="AS256" s="291"/>
      <c r="AT256" s="291"/>
      <c r="AU256" s="864"/>
      <c r="AV256" s="291"/>
      <c r="AW256" s="291"/>
      <c r="AX256" s="291"/>
      <c r="AY256" s="291"/>
      <c r="AZ256" s="864"/>
      <c r="BA256" s="291"/>
      <c r="BB256" s="291"/>
      <c r="BC256" s="291"/>
      <c r="BD256" s="291"/>
      <c r="BE256" s="868">
        <v>472.64499999999998</v>
      </c>
      <c r="BF256" s="743">
        <v>505.03800000000001</v>
      </c>
      <c r="BG256" s="743">
        <v>519.00599999999997</v>
      </c>
      <c r="BH256" s="743">
        <v>519.63599999999997</v>
      </c>
      <c r="BI256" s="291"/>
      <c r="BJ256" s="868">
        <v>509.62200000000001</v>
      </c>
      <c r="BK256" s="743">
        <v>537.03899999999999</v>
      </c>
      <c r="BL256" s="743">
        <v>543.29200000000003</v>
      </c>
      <c r="BM256" s="743">
        <v>548.97400000000005</v>
      </c>
      <c r="BN256" s="291">
        <f>BO256</f>
        <v>516.12300000000005</v>
      </c>
      <c r="BO256" s="868">
        <v>516.12300000000005</v>
      </c>
      <c r="BP256" s="743">
        <v>554.01800000000003</v>
      </c>
      <c r="BQ256" s="743">
        <v>562.30499999999995</v>
      </c>
      <c r="BR256" s="743">
        <v>549.49300000000005</v>
      </c>
      <c r="BS256" s="291">
        <f>BT256</f>
        <v>608.27</v>
      </c>
      <c r="BT256" s="868">
        <v>608.27</v>
      </c>
      <c r="BU256" s="743">
        <v>673.26099999999997</v>
      </c>
      <c r="BV256" s="743">
        <v>702.27200000000005</v>
      </c>
      <c r="BW256" s="743">
        <v>726.65599999999995</v>
      </c>
      <c r="BX256" s="291">
        <f>BY256</f>
        <v>784.50900000000001</v>
      </c>
      <c r="BY256" s="868">
        <v>784.50900000000001</v>
      </c>
      <c r="BZ256" s="743">
        <v>777.06</v>
      </c>
      <c r="CA256" s="743">
        <v>750.11900000000003</v>
      </c>
      <c r="CB256" s="743">
        <v>769.93499999999995</v>
      </c>
      <c r="CC256" s="291">
        <f>CD256</f>
        <v>839.32799999999997</v>
      </c>
      <c r="CD256" s="868">
        <v>839.32799999999997</v>
      </c>
      <c r="CE256" s="743">
        <v>920.18100000000004</v>
      </c>
      <c r="CF256" s="743">
        <v>1021.544</v>
      </c>
      <c r="CG256" s="291">
        <f>CF256+CG178+CG200</f>
        <v>1034.0439999999999</v>
      </c>
      <c r="CH256" s="291">
        <f>CG256+CH178+CH200</f>
        <v>1046.5439999999999</v>
      </c>
      <c r="CI256" s="749">
        <f>CD256+CI178+CI200</f>
        <v>887.32799999999997</v>
      </c>
      <c r="CJ256" s="749">
        <f>CI256+CJ178+CJ200</f>
        <v>931.32799999999997</v>
      </c>
      <c r="CK256" s="749">
        <f>CJ256+CK178+CK200</f>
        <v>976.32799999999997</v>
      </c>
      <c r="CL256" s="749">
        <f>CK256+CL178+CL200</f>
        <v>1022.328</v>
      </c>
      <c r="CM256" s="749">
        <f>CL256+CM178+CM200</f>
        <v>1069.328</v>
      </c>
      <c r="CN256" s="291"/>
      <c r="CO256" s="683"/>
      <c r="CP256" s="291"/>
      <c r="CQ256" s="693"/>
    </row>
    <row r="257" spans="2:95" ht="16.5" customHeight="1" x14ac:dyDescent="0.25">
      <c r="B257" t="s">
        <v>96</v>
      </c>
      <c r="C257" s="291"/>
      <c r="D257" s="291"/>
      <c r="E257" s="291"/>
      <c r="F257" s="291"/>
      <c r="G257" s="864"/>
      <c r="H257" s="291"/>
      <c r="I257" s="291"/>
      <c r="J257" s="291"/>
      <c r="K257" s="291"/>
      <c r="L257" s="864"/>
      <c r="M257" s="291"/>
      <c r="N257" s="291"/>
      <c r="O257" s="291"/>
      <c r="P257" s="291"/>
      <c r="Q257" s="864"/>
      <c r="R257" s="291"/>
      <c r="S257" s="291"/>
      <c r="T257" s="291"/>
      <c r="U257" s="291"/>
      <c r="V257" s="864"/>
      <c r="W257" s="291"/>
      <c r="X257" s="291"/>
      <c r="Y257" s="291"/>
      <c r="Z257" s="291"/>
      <c r="AA257" s="864"/>
      <c r="AB257" s="291"/>
      <c r="AC257" s="291"/>
      <c r="AD257" s="291"/>
      <c r="AE257" s="291"/>
      <c r="AF257" s="864"/>
      <c r="AG257" s="291"/>
      <c r="AH257" s="291"/>
      <c r="AI257" s="291"/>
      <c r="AJ257" s="291"/>
      <c r="AK257" s="864"/>
      <c r="AL257" s="291"/>
      <c r="AM257" s="291"/>
      <c r="AN257" s="291"/>
      <c r="AO257" s="291"/>
      <c r="AP257" s="864"/>
      <c r="AQ257" s="291"/>
      <c r="AR257" s="291"/>
      <c r="AS257" s="291"/>
      <c r="AT257" s="291"/>
      <c r="AU257" s="864"/>
      <c r="AV257" s="291"/>
      <c r="AW257" s="291"/>
      <c r="AX257" s="291"/>
      <c r="AY257" s="291"/>
      <c r="AZ257" s="864"/>
      <c r="BA257" s="291"/>
      <c r="BB257" s="291"/>
      <c r="BC257" s="291"/>
      <c r="BD257" s="291"/>
      <c r="BE257" s="868">
        <v>2112.7339999999999</v>
      </c>
      <c r="BF257" s="743">
        <v>2142.5659999999998</v>
      </c>
      <c r="BG257" s="743">
        <v>2183.2179999999998</v>
      </c>
      <c r="BH257" s="743">
        <v>2211.3049999999998</v>
      </c>
      <c r="BI257" s="291"/>
      <c r="BJ257" s="868">
        <v>2237.848</v>
      </c>
      <c r="BK257" s="743">
        <v>2244.1869999999999</v>
      </c>
      <c r="BL257" s="743">
        <v>2296.8490000000002</v>
      </c>
      <c r="BM257" s="743">
        <v>2346.9569999999999</v>
      </c>
      <c r="BN257" s="291">
        <f>BO257</f>
        <v>2360.0549999999998</v>
      </c>
      <c r="BO257" s="868">
        <v>2360.0549999999998</v>
      </c>
      <c r="BP257" s="743">
        <v>2391.8919999999998</v>
      </c>
      <c r="BQ257" s="743">
        <v>2418.0459999999998</v>
      </c>
      <c r="BR257" s="743">
        <v>2451.8229999999999</v>
      </c>
      <c r="BS257" s="291">
        <f>BT257</f>
        <v>2496.9789999999998</v>
      </c>
      <c r="BT257" s="868">
        <v>2496.9789999999998</v>
      </c>
      <c r="BU257" s="743">
        <v>2536.172</v>
      </c>
      <c r="BV257" s="743">
        <v>2587.2220000000002</v>
      </c>
      <c r="BW257" s="743">
        <v>2634.6329999999998</v>
      </c>
      <c r="BX257" s="291">
        <f>BY257</f>
        <v>2635.95</v>
      </c>
      <c r="BY257" s="868">
        <v>2635.95</v>
      </c>
      <c r="BZ257" s="743">
        <v>2712.875</v>
      </c>
      <c r="CA257" s="743">
        <v>2759.4839999999999</v>
      </c>
      <c r="CB257" s="743">
        <v>2810.05</v>
      </c>
      <c r="CC257" s="291">
        <f>CD257</f>
        <v>2834.5479999999998</v>
      </c>
      <c r="CD257" s="868">
        <v>2834.5479999999998</v>
      </c>
      <c r="CE257" s="743">
        <v>2904.2060000000001</v>
      </c>
      <c r="CF257" s="743">
        <v>2976.5320000000002</v>
      </c>
      <c r="CG257" s="291">
        <f>CF257+CG133+CG198</f>
        <v>3045.5812053237269</v>
      </c>
      <c r="CH257" s="291">
        <f>CG257+CH133+CH198</f>
        <v>3103.262794813334</v>
      </c>
      <c r="CI257" s="749">
        <f>CD257+CI133+CI198</f>
        <v>3103.7237948133334</v>
      </c>
      <c r="CJ257" s="749">
        <f>CI257+CJ133+CJ198</f>
        <v>3424.1422622285331</v>
      </c>
      <c r="CK257" s="749">
        <f>CJ257+CK133+CK198</f>
        <v>3792.3189148533916</v>
      </c>
      <c r="CL257" s="749">
        <f>CK257+CL133+CL198</f>
        <v>4219.6188503690737</v>
      </c>
      <c r="CM257" s="749">
        <f>CL257+CM133+CM198</f>
        <v>4710.4542288633929</v>
      </c>
      <c r="CN257" s="291"/>
      <c r="CO257" s="683"/>
      <c r="CP257" s="291"/>
      <c r="CQ257" s="694" t="s">
        <v>868</v>
      </c>
    </row>
    <row r="258" spans="2:95" ht="16.5" customHeight="1" x14ac:dyDescent="0.25">
      <c r="B258" t="s">
        <v>785</v>
      </c>
      <c r="C258" s="291"/>
      <c r="D258" s="291"/>
      <c r="E258" s="291"/>
      <c r="F258" s="291"/>
      <c r="G258" s="864"/>
      <c r="H258" s="291"/>
      <c r="I258" s="291"/>
      <c r="J258" s="291"/>
      <c r="K258" s="291"/>
      <c r="L258" s="864"/>
      <c r="M258" s="291"/>
      <c r="N258" s="291"/>
      <c r="O258" s="291"/>
      <c r="P258" s="291"/>
      <c r="Q258" s="864"/>
      <c r="R258" s="291"/>
      <c r="S258" s="291"/>
      <c r="T258" s="291"/>
      <c r="U258" s="291"/>
      <c r="V258" s="864"/>
      <c r="W258" s="291"/>
      <c r="X258" s="291"/>
      <c r="Y258" s="291"/>
      <c r="Z258" s="291"/>
      <c r="AA258" s="864"/>
      <c r="AB258" s="291"/>
      <c r="AC258" s="291"/>
      <c r="AD258" s="291"/>
      <c r="AE258" s="291"/>
      <c r="AF258" s="864"/>
      <c r="AG258" s="291"/>
      <c r="AH258" s="291"/>
      <c r="AI258" s="291"/>
      <c r="AJ258" s="291"/>
      <c r="AK258" s="864"/>
      <c r="AL258" s="291"/>
      <c r="AM258" s="291"/>
      <c r="AN258" s="291"/>
      <c r="AO258" s="291"/>
      <c r="AP258" s="864"/>
      <c r="AQ258" s="291"/>
      <c r="AR258" s="291"/>
      <c r="AS258" s="291"/>
      <c r="AT258" s="291"/>
      <c r="AU258" s="864"/>
      <c r="AV258" s="291"/>
      <c r="AW258" s="291"/>
      <c r="AX258" s="291"/>
      <c r="AY258" s="291"/>
      <c r="AZ258" s="864"/>
      <c r="BA258" s="291"/>
      <c r="BB258" s="291"/>
      <c r="BC258" s="291"/>
      <c r="BD258" s="291"/>
      <c r="BE258" s="868">
        <v>-1108.123</v>
      </c>
      <c r="BF258" s="743">
        <v>-1145.3779999999999</v>
      </c>
      <c r="BG258" s="743">
        <v>-1162.69</v>
      </c>
      <c r="BH258" s="743">
        <v>-1147.1210000000001</v>
      </c>
      <c r="BI258" s="291"/>
      <c r="BJ258" s="868">
        <v>-1151.046</v>
      </c>
      <c r="BK258" s="743">
        <v>-1186.067</v>
      </c>
      <c r="BL258" s="743">
        <v>-1196.838</v>
      </c>
      <c r="BM258" s="743">
        <v>-1207.252</v>
      </c>
      <c r="BN258" s="291">
        <f>BO258</f>
        <v>-1179.6030000000001</v>
      </c>
      <c r="BO258" s="868">
        <v>-1179.6030000000001</v>
      </c>
      <c r="BP258" s="743">
        <v>-1226.181</v>
      </c>
      <c r="BQ258" s="743">
        <v>-1244.0540000000001</v>
      </c>
      <c r="BR258" s="743">
        <v>-1255.8810000000001</v>
      </c>
      <c r="BS258" s="291">
        <f>BT258</f>
        <v>-1265.8330000000001</v>
      </c>
      <c r="BT258" s="868">
        <v>-1265.8330000000001</v>
      </c>
      <c r="BU258" s="743">
        <v>-1331.896</v>
      </c>
      <c r="BV258" s="743">
        <v>-1354.5619999999999</v>
      </c>
      <c r="BW258" s="743">
        <v>-1381.2329999999999</v>
      </c>
      <c r="BX258" s="291">
        <f>BY258</f>
        <v>-1440.11</v>
      </c>
      <c r="BY258" s="868">
        <v>-1440.11</v>
      </c>
      <c r="BZ258" s="743">
        <v>-1484.326</v>
      </c>
      <c r="CA258" s="743">
        <v>-1508.4670000000001</v>
      </c>
      <c r="CB258" s="743">
        <v>-1525.5609999999999</v>
      </c>
      <c r="CC258" s="291">
        <f>CD258</f>
        <v>-1574.8820000000001</v>
      </c>
      <c r="CD258" s="868">
        <v>-1574.8820000000001</v>
      </c>
      <c r="CE258" s="743">
        <v>-1241.614</v>
      </c>
      <c r="CF258" s="743">
        <v>-1252.3230000000001</v>
      </c>
      <c r="CG258" s="291">
        <f>CF258+CG199</f>
        <v>-1289.8230000000001</v>
      </c>
      <c r="CH258" s="291">
        <f>CG258+CH199</f>
        <v>-1327.3230000000001</v>
      </c>
      <c r="CI258" s="749">
        <f>CD258+CI199</f>
        <v>-1724.8820000000001</v>
      </c>
      <c r="CJ258" s="749">
        <f>CI258+CJ199</f>
        <v>-1874.8820000000001</v>
      </c>
      <c r="CK258" s="749">
        <f>CJ258+CK199</f>
        <v>-2024.8820000000001</v>
      </c>
      <c r="CL258" s="749">
        <f>CK258+CL199</f>
        <v>-2174.8820000000001</v>
      </c>
      <c r="CM258" s="749">
        <f>CL258+CM199</f>
        <v>-2324.8820000000001</v>
      </c>
      <c r="CN258" s="291"/>
      <c r="CO258" s="683"/>
      <c r="CP258" s="291"/>
      <c r="CQ258" s="694" t="s">
        <v>869</v>
      </c>
    </row>
    <row r="259" spans="2:95" ht="16.5" customHeight="1" x14ac:dyDescent="0.25">
      <c r="B259" t="s">
        <v>786</v>
      </c>
      <c r="C259" s="291"/>
      <c r="D259" s="291"/>
      <c r="E259" s="291"/>
      <c r="F259" s="291"/>
      <c r="G259" s="864"/>
      <c r="H259" s="291"/>
      <c r="I259" s="291"/>
      <c r="J259" s="291"/>
      <c r="K259" s="291"/>
      <c r="L259" s="864"/>
      <c r="M259" s="291"/>
      <c r="N259" s="291"/>
      <c r="O259" s="291"/>
      <c r="P259" s="291"/>
      <c r="Q259" s="864"/>
      <c r="R259" s="291"/>
      <c r="S259" s="291"/>
      <c r="T259" s="291"/>
      <c r="U259" s="291"/>
      <c r="V259" s="864"/>
      <c r="W259" s="291"/>
      <c r="X259" s="291"/>
      <c r="Y259" s="291"/>
      <c r="Z259" s="291"/>
      <c r="AA259" s="864"/>
      <c r="AB259" s="291"/>
      <c r="AC259" s="291"/>
      <c r="AD259" s="291"/>
      <c r="AE259" s="291"/>
      <c r="AF259" s="864"/>
      <c r="AG259" s="291"/>
      <c r="AH259" s="291"/>
      <c r="AI259" s="291"/>
      <c r="AJ259" s="291"/>
      <c r="AK259" s="864"/>
      <c r="AL259" s="291"/>
      <c r="AM259" s="291"/>
      <c r="AN259" s="291"/>
      <c r="AO259" s="291"/>
      <c r="AP259" s="864"/>
      <c r="AQ259" s="291"/>
      <c r="AR259" s="291"/>
      <c r="AS259" s="291"/>
      <c r="AT259" s="291"/>
      <c r="AU259" s="864"/>
      <c r="AV259" s="291"/>
      <c r="AW259" s="291"/>
      <c r="AX259" s="291"/>
      <c r="AY259" s="291"/>
      <c r="AZ259" s="864"/>
      <c r="BA259" s="291"/>
      <c r="BB259" s="291"/>
      <c r="BC259" s="291"/>
      <c r="BD259" s="291"/>
      <c r="BE259" s="868">
        <v>-285.45299999999997</v>
      </c>
      <c r="BF259" s="743">
        <v>-250.262</v>
      </c>
      <c r="BG259" s="743">
        <v>-252.61699999999999</v>
      </c>
      <c r="BH259" s="743">
        <v>-251.79499999999999</v>
      </c>
      <c r="BI259" s="291"/>
      <c r="BJ259" s="868">
        <v>-247.56</v>
      </c>
      <c r="BK259" s="743">
        <v>-252.78399999999999</v>
      </c>
      <c r="BL259" s="743">
        <v>-263.935</v>
      </c>
      <c r="BM259" s="743">
        <v>-290.36200000000002</v>
      </c>
      <c r="BN259" s="291">
        <f>BO259</f>
        <v>-311.04199999999997</v>
      </c>
      <c r="BO259" s="868">
        <v>-311.04199999999997</v>
      </c>
      <c r="BP259" s="743">
        <v>-301.28100000000001</v>
      </c>
      <c r="BQ259" s="743">
        <v>-282.60500000000002</v>
      </c>
      <c r="BR259" s="743">
        <v>-271.24700000000001</v>
      </c>
      <c r="BS259" s="291">
        <f>BT259</f>
        <v>-254.60900000000001</v>
      </c>
      <c r="BT259" s="868">
        <v>-254.60900000000001</v>
      </c>
      <c r="BU259" s="743">
        <v>-221.6</v>
      </c>
      <c r="BV259" s="743">
        <v>-232.953</v>
      </c>
      <c r="BW259" s="743">
        <v>-237.54400000000001</v>
      </c>
      <c r="BX259" s="291">
        <f>BY259</f>
        <v>-202.81200000000001</v>
      </c>
      <c r="BY259" s="868">
        <v>-202.81200000000001</v>
      </c>
      <c r="BZ259" s="743">
        <v>-242.11099999999999</v>
      </c>
      <c r="CA259" s="743">
        <v>-216.999</v>
      </c>
      <c r="CB259" s="743">
        <v>-162.00299999999999</v>
      </c>
      <c r="CC259" s="291">
        <f>CD259</f>
        <v>-157.71899999999999</v>
      </c>
      <c r="CD259" s="868">
        <v>-157.71899999999999</v>
      </c>
      <c r="CE259" s="743">
        <v>-151.79599999999999</v>
      </c>
      <c r="CF259" s="743">
        <v>-161.34700000000001</v>
      </c>
      <c r="CG259" s="291">
        <f>CF259</f>
        <v>-161.34700000000001</v>
      </c>
      <c r="CH259" s="291">
        <f>CG259</f>
        <v>-161.34700000000001</v>
      </c>
      <c r="CI259" s="749">
        <f>CD259</f>
        <v>-157.71899999999999</v>
      </c>
      <c r="CJ259" s="749">
        <f>CI259</f>
        <v>-157.71899999999999</v>
      </c>
      <c r="CK259" s="749">
        <f>CJ259</f>
        <v>-157.71899999999999</v>
      </c>
      <c r="CL259" s="749">
        <f>CK259</f>
        <v>-157.71899999999999</v>
      </c>
      <c r="CM259" s="749">
        <f>CL259</f>
        <v>-157.71899999999999</v>
      </c>
      <c r="CN259" s="291"/>
      <c r="CO259" s="683"/>
      <c r="CP259" s="291"/>
      <c r="CQ259" s="693"/>
    </row>
    <row r="260" spans="2:95" ht="16.5" customHeight="1" x14ac:dyDescent="0.25">
      <c r="B260" s="711" t="s">
        <v>787</v>
      </c>
      <c r="C260" s="824"/>
      <c r="D260" s="824"/>
      <c r="E260" s="824"/>
      <c r="F260" s="824"/>
      <c r="G260" s="891">
        <v>1120.9559999999999</v>
      </c>
      <c r="H260" s="824"/>
      <c r="I260" s="824"/>
      <c r="J260" s="824"/>
      <c r="K260" s="824"/>
      <c r="L260" s="891">
        <v>1191.8910000000001</v>
      </c>
      <c r="M260" s="824"/>
      <c r="N260" s="824"/>
      <c r="O260" s="824"/>
      <c r="P260" s="824"/>
      <c r="Q260" s="891">
        <v>1304.79</v>
      </c>
      <c r="R260" s="824"/>
      <c r="S260" s="824"/>
      <c r="T260" s="824"/>
      <c r="U260" s="824"/>
      <c r="V260" s="891">
        <v>1535.7650000000001</v>
      </c>
      <c r="W260" s="824"/>
      <c r="X260" s="824"/>
      <c r="Y260" s="824"/>
      <c r="Z260" s="824"/>
      <c r="AA260" s="891">
        <v>1347.415</v>
      </c>
      <c r="AB260" s="824"/>
      <c r="AC260" s="824"/>
      <c r="AD260" s="824"/>
      <c r="AE260" s="824"/>
      <c r="AF260" s="891">
        <v>994.53200000000004</v>
      </c>
      <c r="AG260" s="824"/>
      <c r="AH260" s="824"/>
      <c r="AI260" s="824"/>
      <c r="AJ260" s="824"/>
      <c r="AK260" s="891">
        <v>994.06200000000001</v>
      </c>
      <c r="AL260" s="824"/>
      <c r="AM260" s="818"/>
      <c r="AN260" s="818"/>
      <c r="AO260" s="818"/>
      <c r="AP260" s="891">
        <v>1214.3040000000001</v>
      </c>
      <c r="AQ260" s="818"/>
      <c r="AR260" s="818"/>
      <c r="AS260" s="818"/>
      <c r="AT260" s="818"/>
      <c r="AU260" s="891">
        <v>1224.9860000000001</v>
      </c>
      <c r="AV260" s="818"/>
      <c r="AW260" s="818"/>
      <c r="AX260" s="818"/>
      <c r="AY260" s="818"/>
      <c r="AZ260" s="891">
        <v>1322.481</v>
      </c>
      <c r="BA260" s="818"/>
      <c r="BB260" s="818"/>
      <c r="BC260" s="818"/>
      <c r="BD260" s="818"/>
      <c r="BE260" s="925">
        <f t="shared" ref="BE260:CM260" si="134">SUM(BE255:BE259)</f>
        <v>1243.0829999999996</v>
      </c>
      <c r="BF260" s="818">
        <f t="shared" si="134"/>
        <v>1303.2440000000001</v>
      </c>
      <c r="BG260" s="818">
        <f t="shared" si="134"/>
        <v>1338.1969999999999</v>
      </c>
      <c r="BH260" s="818">
        <f t="shared" si="134"/>
        <v>1383.3049999999994</v>
      </c>
      <c r="BI260" s="818">
        <f t="shared" si="134"/>
        <v>0</v>
      </c>
      <c r="BJ260" s="925">
        <f t="shared" si="134"/>
        <v>1400.144</v>
      </c>
      <c r="BK260" s="818">
        <f t="shared" si="134"/>
        <v>1393.6549999999997</v>
      </c>
      <c r="BL260" s="818">
        <f t="shared" si="134"/>
        <v>1430.6480000000004</v>
      </c>
      <c r="BM260" s="818">
        <f t="shared" si="134"/>
        <v>1449.5969999999998</v>
      </c>
      <c r="BN260" s="818">
        <f t="shared" si="134"/>
        <v>1436.8129999999996</v>
      </c>
      <c r="BO260" s="925">
        <f t="shared" si="134"/>
        <v>1436.8129999999996</v>
      </c>
      <c r="BP260" s="818">
        <f t="shared" si="134"/>
        <v>1469.7279999999996</v>
      </c>
      <c r="BQ260" s="818">
        <f t="shared" si="134"/>
        <v>1504.9719999999998</v>
      </c>
      <c r="BR260" s="818">
        <f t="shared" si="134"/>
        <v>1525.4679999999998</v>
      </c>
      <c r="BS260" s="818">
        <f t="shared" si="134"/>
        <v>1636.0869999999995</v>
      </c>
      <c r="BT260" s="925">
        <f t="shared" si="134"/>
        <v>1636.0869999999995</v>
      </c>
      <c r="BU260" s="818">
        <f t="shared" si="134"/>
        <v>1707.2169999999999</v>
      </c>
      <c r="BV260" s="818">
        <f t="shared" si="134"/>
        <v>1753.2590000000005</v>
      </c>
      <c r="BW260" s="818">
        <f t="shared" si="134"/>
        <v>1793.7919999999995</v>
      </c>
      <c r="BX260" s="818">
        <f t="shared" si="134"/>
        <v>1828.8169999999996</v>
      </c>
      <c r="BY260" s="925">
        <f t="shared" si="134"/>
        <v>1828.8169999999996</v>
      </c>
      <c r="BZ260" s="818">
        <f t="shared" si="134"/>
        <v>1814.7780000000002</v>
      </c>
      <c r="CA260" s="818">
        <f t="shared" si="134"/>
        <v>1835.4169999999997</v>
      </c>
      <c r="CB260" s="818">
        <f t="shared" si="134"/>
        <v>1943.7010000000007</v>
      </c>
      <c r="CC260" s="818">
        <f t="shared" si="134"/>
        <v>1992.5549999999998</v>
      </c>
      <c r="CD260" s="925">
        <f t="shared" si="134"/>
        <v>1992.5549999999998</v>
      </c>
      <c r="CE260" s="678">
        <f>SUM(CE255:CE259)+(-214.872)+(-201.585)</f>
        <v>2065.8000000000006</v>
      </c>
      <c r="CF260" s="678">
        <f>SUM(CF255:CF259)+(-279.828)+(-253.378)</f>
        <v>2102.48</v>
      </c>
      <c r="CG260" s="678">
        <f>CG237-CG253</f>
        <v>2145.8992053237271</v>
      </c>
      <c r="CH260" s="678">
        <f>CH237-CH253</f>
        <v>2178.3307948133343</v>
      </c>
      <c r="CI260" s="849">
        <f t="shared" si="134"/>
        <v>2159.7307948133334</v>
      </c>
      <c r="CJ260" s="849">
        <f t="shared" si="134"/>
        <v>2374.1492622285327</v>
      </c>
      <c r="CK260" s="849">
        <f t="shared" si="134"/>
        <v>2637.3259148533912</v>
      </c>
      <c r="CL260" s="849">
        <f t="shared" si="134"/>
        <v>2960.6258503690738</v>
      </c>
      <c r="CM260" s="849">
        <f t="shared" si="134"/>
        <v>3348.461228863393</v>
      </c>
      <c r="CN260" s="678"/>
      <c r="CO260" s="685">
        <f>(CM260/CD260)^(1/5)-1</f>
        <v>0.10939701075533126</v>
      </c>
      <c r="CP260" s="678"/>
      <c r="CQ260" s="694" t="s">
        <v>870</v>
      </c>
    </row>
    <row r="261" spans="2:95" ht="16.5" customHeight="1" thickBot="1" x14ac:dyDescent="0.3">
      <c r="B261" s="747" t="s">
        <v>788</v>
      </c>
      <c r="C261" s="819"/>
      <c r="D261" s="819"/>
      <c r="E261" s="819"/>
      <c r="F261" s="819"/>
      <c r="G261" s="880">
        <f>G253+G260</f>
        <v>2712.134</v>
      </c>
      <c r="H261" s="819"/>
      <c r="I261" s="819"/>
      <c r="J261" s="819"/>
      <c r="K261" s="819"/>
      <c r="L261" s="880">
        <f>L253+L260</f>
        <v>2842.9670000000006</v>
      </c>
      <c r="M261" s="819"/>
      <c r="N261" s="819"/>
      <c r="O261" s="819"/>
      <c r="P261" s="819"/>
      <c r="Q261" s="880">
        <f>Q253+Q260</f>
        <v>3105.9070000000002</v>
      </c>
      <c r="R261" s="819"/>
      <c r="S261" s="819"/>
      <c r="T261" s="819"/>
      <c r="U261" s="819"/>
      <c r="V261" s="880">
        <f>V253+V260</f>
        <v>3237.0950000000003</v>
      </c>
      <c r="W261" s="819"/>
      <c r="X261" s="819"/>
      <c r="Y261" s="819"/>
      <c r="Z261" s="819"/>
      <c r="AA261" s="880">
        <f>AA253+AA260</f>
        <v>3208.4519999999998</v>
      </c>
      <c r="AB261" s="819"/>
      <c r="AC261" s="819"/>
      <c r="AD261" s="819"/>
      <c r="AE261" s="819"/>
      <c r="AF261" s="880">
        <f>AF253+AF260</f>
        <v>3086.4710000000005</v>
      </c>
      <c r="AG261" s="819"/>
      <c r="AH261" s="819"/>
      <c r="AI261" s="819"/>
      <c r="AJ261" s="819"/>
      <c r="AK261" s="880">
        <f>AK253+AK260</f>
        <v>3004.9740000000002</v>
      </c>
      <c r="AL261" s="819"/>
      <c r="AM261" s="819"/>
      <c r="AN261" s="819"/>
      <c r="AO261" s="819"/>
      <c r="AP261" s="880">
        <f>AP253+AP260</f>
        <v>3090.5919999999996</v>
      </c>
      <c r="AQ261" s="819"/>
      <c r="AR261" s="819"/>
      <c r="AS261" s="819"/>
      <c r="AT261" s="819"/>
      <c r="AU261" s="880">
        <f>AU253+AU260</f>
        <v>2964.0480000000002</v>
      </c>
      <c r="AV261" s="819"/>
      <c r="AW261" s="819"/>
      <c r="AX261" s="819"/>
      <c r="AY261" s="819"/>
      <c r="AZ261" s="880">
        <f>AZ253+AZ260</f>
        <v>3114.2370000000001</v>
      </c>
      <c r="BA261" s="819"/>
      <c r="BB261" s="819"/>
      <c r="BC261" s="819"/>
      <c r="BD261" s="819"/>
      <c r="BE261" s="880">
        <f t="shared" ref="BE261:CM261" si="135">BE253+BE260</f>
        <v>3225.8309999999997</v>
      </c>
      <c r="BF261" s="819">
        <f t="shared" si="135"/>
        <v>3366.5480000000002</v>
      </c>
      <c r="BG261" s="819">
        <f t="shared" si="135"/>
        <v>3405.58</v>
      </c>
      <c r="BH261" s="819">
        <f t="shared" si="135"/>
        <v>3399.4099999999994</v>
      </c>
      <c r="BI261" s="819">
        <f t="shared" si="135"/>
        <v>0</v>
      </c>
      <c r="BJ261" s="880">
        <f t="shared" si="135"/>
        <v>3433.1689999999999</v>
      </c>
      <c r="BK261" s="819">
        <f t="shared" si="135"/>
        <v>3384.6049999999996</v>
      </c>
      <c r="BL261" s="819">
        <f t="shared" si="135"/>
        <v>3504.2150000000001</v>
      </c>
      <c r="BM261" s="819">
        <f t="shared" si="135"/>
        <v>3503.1959999999999</v>
      </c>
      <c r="BN261" s="819">
        <f t="shared" si="135"/>
        <v>3431.8409999999994</v>
      </c>
      <c r="BO261" s="880">
        <f t="shared" si="135"/>
        <v>3431.8409999999994</v>
      </c>
      <c r="BP261" s="819">
        <f t="shared" si="135"/>
        <v>3720.3189999999995</v>
      </c>
      <c r="BQ261" s="819">
        <f t="shared" si="135"/>
        <v>3755.2</v>
      </c>
      <c r="BR261" s="819">
        <f t="shared" si="135"/>
        <v>3917.1929999999998</v>
      </c>
      <c r="BS261" s="819">
        <f t="shared" si="135"/>
        <v>3808.0359999999996</v>
      </c>
      <c r="BT261" s="880">
        <f t="shared" si="135"/>
        <v>3808.0359999999996</v>
      </c>
      <c r="BU261" s="819">
        <f t="shared" si="135"/>
        <v>3987.9549999999999</v>
      </c>
      <c r="BV261" s="819">
        <f t="shared" si="135"/>
        <v>4039.1200000000003</v>
      </c>
      <c r="BW261" s="819">
        <f t="shared" si="135"/>
        <v>4067.7479999999996</v>
      </c>
      <c r="BX261" s="819">
        <f t="shared" si="135"/>
        <v>4080.3669999999997</v>
      </c>
      <c r="BY261" s="880">
        <f t="shared" si="135"/>
        <v>4080.3669999999997</v>
      </c>
      <c r="BZ261" s="819">
        <f t="shared" si="135"/>
        <v>4193.0120000000006</v>
      </c>
      <c r="CA261" s="819">
        <f t="shared" si="135"/>
        <v>4319.2549999999992</v>
      </c>
      <c r="CB261" s="819">
        <f t="shared" si="135"/>
        <v>4396.5740000000005</v>
      </c>
      <c r="CC261" s="819">
        <f t="shared" si="135"/>
        <v>4426.0550000000003</v>
      </c>
      <c r="CD261" s="880">
        <f t="shared" si="135"/>
        <v>4426.0550000000003</v>
      </c>
      <c r="CE261" s="274">
        <f>CE253+CE260</f>
        <v>4551.893</v>
      </c>
      <c r="CF261" s="274">
        <f>CF253+CF260</f>
        <v>4902.598</v>
      </c>
      <c r="CG261" s="274">
        <f>CG253+CG260</f>
        <v>4961.3822420560846</v>
      </c>
      <c r="CH261" s="274">
        <f>CH253+CH260</f>
        <v>4964.5042968907183</v>
      </c>
      <c r="CI261" s="819">
        <f t="shared" si="135"/>
        <v>4689.4661480143004</v>
      </c>
      <c r="CJ261" s="819">
        <f t="shared" si="135"/>
        <v>4978.3063851810512</v>
      </c>
      <c r="CK261" s="819">
        <f t="shared" si="135"/>
        <v>5317.2350391452374</v>
      </c>
      <c r="CL261" s="819">
        <f t="shared" si="135"/>
        <v>5714.7931547972457</v>
      </c>
      <c r="CM261" s="819">
        <f t="shared" si="135"/>
        <v>6178.0432974580617</v>
      </c>
      <c r="CN261" s="274"/>
      <c r="CO261" s="274"/>
      <c r="CP261" s="274"/>
      <c r="CQ261" s="693"/>
    </row>
    <row r="262" spans="2:95" ht="16.5" customHeight="1" thickTop="1" x14ac:dyDescent="0.25">
      <c r="C262" s="848"/>
      <c r="D262" s="848"/>
      <c r="E262" s="848"/>
      <c r="F262" s="848"/>
      <c r="G262" s="892"/>
      <c r="H262" s="848"/>
      <c r="I262" s="848"/>
      <c r="J262" s="848"/>
      <c r="K262" s="848"/>
      <c r="L262" s="892"/>
      <c r="M262" s="848"/>
      <c r="N262" s="848"/>
      <c r="O262" s="848"/>
      <c r="P262" s="848"/>
      <c r="Q262" s="892"/>
      <c r="R262" s="848"/>
      <c r="S262" s="848"/>
      <c r="T262" s="848"/>
      <c r="U262" s="848"/>
      <c r="V262" s="892"/>
      <c r="W262" s="848"/>
      <c r="X262" s="848"/>
      <c r="Y262" s="848"/>
      <c r="Z262" s="848"/>
      <c r="AA262" s="892"/>
      <c r="AB262" s="848"/>
      <c r="AC262" s="848"/>
      <c r="AD262" s="848"/>
      <c r="AE262" s="848"/>
      <c r="AF262" s="892"/>
      <c r="AG262" s="848"/>
      <c r="AH262" s="848"/>
      <c r="AI262" s="848"/>
      <c r="AJ262" s="848"/>
      <c r="AK262" s="892"/>
      <c r="AL262" s="848"/>
      <c r="AM262" s="848"/>
      <c r="AN262" s="848"/>
      <c r="AO262" s="848"/>
      <c r="AP262" s="892"/>
      <c r="AQ262" s="848"/>
      <c r="AR262" s="848"/>
      <c r="AS262" s="848"/>
      <c r="AT262" s="848"/>
      <c r="AU262" s="892"/>
      <c r="AV262" s="848"/>
      <c r="AW262" s="848"/>
      <c r="AX262" s="848"/>
      <c r="AY262" s="848"/>
      <c r="AZ262" s="892"/>
      <c r="BA262" s="848"/>
      <c r="BB262" s="848"/>
      <c r="BC262" s="848"/>
      <c r="BD262" s="848"/>
      <c r="BE262" s="892"/>
      <c r="BF262" s="848"/>
      <c r="BG262" s="848"/>
      <c r="BH262" s="848"/>
      <c r="BI262" s="848"/>
      <c r="BJ262" s="892"/>
      <c r="BK262" s="848"/>
      <c r="BL262" s="848"/>
      <c r="BM262" s="848"/>
      <c r="BN262" s="848"/>
      <c r="BO262" s="892"/>
      <c r="BP262" s="848"/>
      <c r="BQ262" s="848"/>
      <c r="BR262" s="848"/>
      <c r="BS262" s="848"/>
      <c r="BT262" s="892"/>
      <c r="BU262" s="848"/>
      <c r="BV262" s="848"/>
      <c r="BW262" s="848"/>
      <c r="BX262" s="848"/>
      <c r="BY262" s="892"/>
      <c r="BZ262" s="848"/>
      <c r="CA262" s="848"/>
      <c r="CB262" s="848"/>
      <c r="CC262" s="848"/>
      <c r="CD262" s="892"/>
      <c r="CE262" s="291"/>
      <c r="CF262" s="291"/>
      <c r="CG262" s="291"/>
      <c r="CH262" s="291"/>
      <c r="CI262" s="860"/>
      <c r="CJ262" s="860"/>
      <c r="CK262" s="860"/>
      <c r="CL262" s="860"/>
      <c r="CM262" s="860"/>
      <c r="CN262" s="291"/>
      <c r="CO262" s="291"/>
      <c r="CP262" s="291"/>
      <c r="CQ262" s="693"/>
    </row>
    <row r="263" spans="2:95" ht="16.5" customHeight="1" x14ac:dyDescent="0.25">
      <c r="B263" s="3" t="s">
        <v>789</v>
      </c>
      <c r="C263" s="678"/>
      <c r="D263" s="678"/>
      <c r="E263" s="678"/>
      <c r="F263" s="678"/>
      <c r="G263" s="870">
        <f>G237-G261</f>
        <v>0</v>
      </c>
      <c r="H263" s="678"/>
      <c r="I263" s="678"/>
      <c r="J263" s="678"/>
      <c r="K263" s="678"/>
      <c r="L263" s="870">
        <f>L237-L261</f>
        <v>0</v>
      </c>
      <c r="M263" s="678"/>
      <c r="N263" s="678"/>
      <c r="O263" s="678"/>
      <c r="P263" s="678"/>
      <c r="Q263" s="870">
        <f>Q237-Q261</f>
        <v>0</v>
      </c>
      <c r="R263" s="678"/>
      <c r="S263" s="678"/>
      <c r="T263" s="678"/>
      <c r="U263" s="678"/>
      <c r="V263" s="870">
        <f>V237-V261</f>
        <v>0</v>
      </c>
      <c r="W263" s="678"/>
      <c r="X263" s="678"/>
      <c r="Y263" s="678"/>
      <c r="Z263" s="678"/>
      <c r="AA263" s="870">
        <f>AA237-AA261</f>
        <v>0</v>
      </c>
      <c r="AB263" s="678"/>
      <c r="AC263" s="678"/>
      <c r="AD263" s="678"/>
      <c r="AE263" s="678"/>
      <c r="AF263" s="870">
        <f>AF237-AF261</f>
        <v>0</v>
      </c>
      <c r="AG263" s="678"/>
      <c r="AH263" s="678"/>
      <c r="AI263" s="678"/>
      <c r="AJ263" s="678"/>
      <c r="AK263" s="870">
        <f>AK237-AK261</f>
        <v>0</v>
      </c>
      <c r="AL263" s="678"/>
      <c r="AM263" s="678"/>
      <c r="AN263" s="678"/>
      <c r="AO263" s="678"/>
      <c r="AP263" s="870">
        <f>AP237-AP261</f>
        <v>0</v>
      </c>
      <c r="AQ263" s="678"/>
      <c r="AR263" s="678"/>
      <c r="AS263" s="678"/>
      <c r="AT263" s="678"/>
      <c r="AU263" s="870">
        <f>AU237-AU261</f>
        <v>0</v>
      </c>
      <c r="AV263" s="678"/>
      <c r="AW263" s="678"/>
      <c r="AX263" s="678"/>
      <c r="AY263" s="678"/>
      <c r="AZ263" s="870">
        <f>AZ237-AZ261</f>
        <v>8.6000000000240107E-2</v>
      </c>
      <c r="BA263" s="678"/>
      <c r="BB263" s="678"/>
      <c r="BC263" s="678"/>
      <c r="BD263" s="678"/>
      <c r="BE263" s="870">
        <f t="shared" ref="BE263:CM263" si="136">BE237-BE261</f>
        <v>0</v>
      </c>
      <c r="BF263" s="678">
        <f t="shared" si="136"/>
        <v>-85.072000000000571</v>
      </c>
      <c r="BG263" s="678">
        <f t="shared" si="136"/>
        <v>-37.634000000000015</v>
      </c>
      <c r="BH263" s="678">
        <f t="shared" si="136"/>
        <v>-26.059999999999036</v>
      </c>
      <c r="BI263" s="678">
        <f t="shared" si="136"/>
        <v>945.92899999999997</v>
      </c>
      <c r="BJ263" s="870">
        <f t="shared" si="136"/>
        <v>0</v>
      </c>
      <c r="BK263" s="678">
        <f t="shared" si="136"/>
        <v>8.3480000000008658</v>
      </c>
      <c r="BL263" s="678">
        <f t="shared" si="136"/>
        <v>-82.682999999999993</v>
      </c>
      <c r="BM263" s="678">
        <f t="shared" si="136"/>
        <v>-43.932999999999993</v>
      </c>
      <c r="BN263" s="678">
        <f t="shared" si="136"/>
        <v>0</v>
      </c>
      <c r="BO263" s="870">
        <f t="shared" si="136"/>
        <v>0</v>
      </c>
      <c r="BP263" s="678">
        <f t="shared" si="136"/>
        <v>-176.48999999999933</v>
      </c>
      <c r="BQ263" s="678">
        <f t="shared" si="136"/>
        <v>-88.336999999999989</v>
      </c>
      <c r="BR263" s="678">
        <f t="shared" si="136"/>
        <v>-48.849999999999909</v>
      </c>
      <c r="BS263" s="678">
        <f t="shared" si="136"/>
        <v>0</v>
      </c>
      <c r="BT263" s="870">
        <f t="shared" si="136"/>
        <v>0</v>
      </c>
      <c r="BU263" s="678">
        <f t="shared" si="136"/>
        <v>51.015000000000327</v>
      </c>
      <c r="BV263" s="678">
        <f t="shared" si="136"/>
        <v>86.196999999999662</v>
      </c>
      <c r="BW263" s="678">
        <f t="shared" si="136"/>
        <v>57.722999999999956</v>
      </c>
      <c r="BX263" s="678">
        <f t="shared" si="136"/>
        <v>0</v>
      </c>
      <c r="BY263" s="870">
        <f t="shared" si="136"/>
        <v>0</v>
      </c>
      <c r="BZ263" s="678">
        <f t="shared" si="136"/>
        <v>31.072999999999411</v>
      </c>
      <c r="CA263" s="678">
        <f t="shared" si="136"/>
        <v>26.967000000000553</v>
      </c>
      <c r="CB263" s="678">
        <f t="shared" si="136"/>
        <v>35.173999999999069</v>
      </c>
      <c r="CC263" s="678">
        <f t="shared" si="136"/>
        <v>0</v>
      </c>
      <c r="CD263" s="870">
        <f t="shared" si="136"/>
        <v>0</v>
      </c>
      <c r="CE263" s="678">
        <f>CE237-CE261</f>
        <v>0</v>
      </c>
      <c r="CF263" s="678">
        <f>CF237-CF261</f>
        <v>0</v>
      </c>
      <c r="CG263" s="678">
        <f>CG237-CG261</f>
        <v>0</v>
      </c>
      <c r="CH263" s="678">
        <f>CH237-CH261</f>
        <v>0</v>
      </c>
      <c r="CI263" s="752">
        <f t="shared" si="136"/>
        <v>0</v>
      </c>
      <c r="CJ263" s="752">
        <f t="shared" si="136"/>
        <v>0</v>
      </c>
      <c r="CK263" s="752">
        <f t="shared" si="136"/>
        <v>0</v>
      </c>
      <c r="CL263" s="752">
        <f t="shared" si="136"/>
        <v>0</v>
      </c>
      <c r="CM263" s="752">
        <f t="shared" si="136"/>
        <v>0</v>
      </c>
      <c r="CN263" s="678"/>
      <c r="CO263" s="678"/>
      <c r="CP263" s="678"/>
      <c r="CQ263" s="694" t="s">
        <v>871</v>
      </c>
    </row>
    <row r="264" spans="2:95" ht="16.5" customHeight="1" x14ac:dyDescent="0.25">
      <c r="C264" s="291"/>
      <c r="D264" s="291"/>
      <c r="E264" s="291"/>
      <c r="F264" s="291"/>
      <c r="G264" s="864"/>
      <c r="H264" s="291"/>
      <c r="I264" s="291"/>
      <c r="J264" s="291"/>
      <c r="K264" s="291"/>
      <c r="L264" s="864"/>
      <c r="M264" s="291"/>
      <c r="N264" s="291"/>
      <c r="O264" s="291"/>
      <c r="P264" s="291"/>
      <c r="Q264" s="864"/>
      <c r="R264" s="291"/>
      <c r="S264" s="291"/>
      <c r="T264" s="291"/>
      <c r="U264" s="291"/>
      <c r="V264" s="864"/>
      <c r="W264" s="291"/>
      <c r="X264" s="291"/>
      <c r="Y264" s="291"/>
      <c r="Z264" s="291"/>
      <c r="AA264" s="864"/>
      <c r="AB264" s="291"/>
      <c r="AC264" s="291"/>
      <c r="AD264" s="291"/>
      <c r="AE264" s="291"/>
      <c r="AF264" s="864"/>
      <c r="AG264" s="291"/>
      <c r="AH264" s="291"/>
      <c r="AI264" s="291"/>
      <c r="AJ264" s="291"/>
      <c r="AK264" s="864"/>
      <c r="AL264" s="291"/>
      <c r="AM264" s="291"/>
      <c r="AN264" s="291"/>
      <c r="AO264" s="291"/>
      <c r="AP264" s="864"/>
      <c r="AQ264" s="291"/>
      <c r="AR264" s="291"/>
      <c r="AS264" s="291"/>
      <c r="AT264" s="291"/>
      <c r="AU264" s="864"/>
      <c r="AV264" s="291"/>
      <c r="AW264" s="291"/>
      <c r="AX264" s="291"/>
      <c r="AY264" s="291"/>
      <c r="AZ264" s="864"/>
      <c r="BA264" s="291"/>
      <c r="BB264" s="291"/>
      <c r="BC264" s="291"/>
      <c r="BD264" s="291"/>
      <c r="BE264" s="864"/>
      <c r="BF264" s="291"/>
      <c r="BG264" s="291"/>
      <c r="BH264" s="291"/>
      <c r="BI264" s="291"/>
      <c r="BJ264" s="864"/>
      <c r="BK264" s="291"/>
      <c r="BL264" s="291"/>
      <c r="BM264" s="291"/>
      <c r="BN264" s="291"/>
      <c r="BO264" s="864"/>
      <c r="BP264" s="291"/>
      <c r="BQ264" s="291"/>
      <c r="BR264" s="291"/>
      <c r="BS264" s="291"/>
      <c r="BT264" s="864"/>
      <c r="BU264" s="291"/>
      <c r="BV264" s="291"/>
      <c r="BW264" s="291"/>
      <c r="BX264" s="291"/>
      <c r="BY264" s="864"/>
      <c r="BZ264" s="291"/>
      <c r="CA264" s="291"/>
      <c r="CB264" s="291"/>
      <c r="CC264" s="291"/>
      <c r="CD264" s="864"/>
      <c r="CE264" s="291"/>
      <c r="CF264" s="291"/>
      <c r="CG264" s="291"/>
      <c r="CH264" s="291"/>
      <c r="CI264" s="749"/>
      <c r="CJ264" s="749"/>
      <c r="CK264" s="749"/>
      <c r="CL264" s="749"/>
      <c r="CM264" s="749"/>
      <c r="CN264" s="291"/>
      <c r="CO264" s="291"/>
      <c r="CP264" s="291"/>
      <c r="CQ264" s="693"/>
    </row>
    <row r="265" spans="2:95" ht="16.5" customHeight="1" x14ac:dyDescent="0.25">
      <c r="B265" s="57" t="s">
        <v>492</v>
      </c>
      <c r="G265" s="865"/>
      <c r="H265" s="222"/>
      <c r="I265" s="222"/>
      <c r="J265" s="222"/>
      <c r="K265" s="222"/>
      <c r="L265" s="865"/>
      <c r="M265" s="222"/>
      <c r="N265" s="222"/>
      <c r="O265" s="222"/>
      <c r="P265" s="222"/>
      <c r="Q265" s="865"/>
      <c r="R265" s="222"/>
      <c r="S265" s="222"/>
      <c r="T265" s="222"/>
      <c r="U265" s="222"/>
      <c r="V265" s="865"/>
      <c r="W265" s="222"/>
      <c r="X265" s="222"/>
      <c r="Y265" s="222"/>
      <c r="Z265" s="222"/>
      <c r="AA265" s="865"/>
      <c r="AB265" s="222"/>
      <c r="AC265" s="222"/>
      <c r="AD265" s="222"/>
      <c r="AE265" s="222"/>
      <c r="AF265" s="865"/>
      <c r="AG265" s="222"/>
      <c r="AH265" s="222"/>
      <c r="AI265" s="222"/>
      <c r="AJ265" s="222"/>
      <c r="AK265" s="865"/>
      <c r="AL265" s="222"/>
      <c r="AM265" s="222"/>
      <c r="AN265" s="222"/>
      <c r="AO265" s="222"/>
      <c r="AP265" s="865"/>
      <c r="AQ265" s="222"/>
      <c r="AR265" s="222"/>
      <c r="AS265" s="222"/>
      <c r="AT265" s="222"/>
      <c r="AU265" s="865"/>
      <c r="AV265" s="222"/>
      <c r="AW265" s="222"/>
      <c r="AX265" s="222"/>
      <c r="AY265" s="222"/>
      <c r="AZ265" s="865"/>
      <c r="BA265" s="222"/>
      <c r="BB265" s="222"/>
      <c r="BC265" s="222"/>
      <c r="BD265" s="222"/>
      <c r="BE265" s="865"/>
      <c r="BF265" s="222"/>
      <c r="BG265" s="222"/>
      <c r="BH265" s="222"/>
      <c r="BI265" s="222"/>
      <c r="BJ265" s="865"/>
      <c r="BK265" s="222"/>
      <c r="BL265" s="222"/>
      <c r="BM265" s="222"/>
      <c r="BN265" s="222"/>
      <c r="BO265" s="865"/>
      <c r="BP265" s="222"/>
      <c r="BQ265" s="222"/>
      <c r="BR265" s="222"/>
      <c r="BS265" s="222"/>
      <c r="BT265" s="865"/>
      <c r="BU265" s="222"/>
      <c r="BV265" s="222"/>
      <c r="BW265" s="222"/>
      <c r="BX265" s="222"/>
      <c r="BY265" s="865"/>
      <c r="BZ265" s="222"/>
      <c r="CA265" s="222"/>
      <c r="CB265" s="222"/>
      <c r="CC265" s="222"/>
      <c r="CD265" s="865"/>
      <c r="CE265" s="222"/>
      <c r="CF265" s="222"/>
      <c r="CG265" s="222"/>
      <c r="CH265" s="222"/>
      <c r="CI265" s="222"/>
      <c r="CJ265" s="222"/>
      <c r="CK265" s="222"/>
      <c r="CL265" s="222"/>
      <c r="CM265" s="222"/>
      <c r="CN265" s="222"/>
      <c r="CO265" s="222"/>
      <c r="CP265" s="222"/>
      <c r="CQ265" s="693" t="s">
        <v>926</v>
      </c>
    </row>
    <row r="266" spans="2:95" ht="16.5" customHeight="1" x14ac:dyDescent="0.25">
      <c r="G266" s="862"/>
      <c r="L266" s="862"/>
      <c r="Q266" s="862"/>
      <c r="V266" s="862"/>
      <c r="AA266" s="862"/>
      <c r="AF266" s="862"/>
      <c r="AK266" s="862"/>
      <c r="AP266" s="862"/>
      <c r="AU266" s="862"/>
      <c r="AZ266" s="862"/>
      <c r="BE266" s="862"/>
      <c r="BJ266" s="862"/>
      <c r="BO266" s="862"/>
      <c r="BT266" s="862"/>
      <c r="BY266" s="862"/>
      <c r="CD266" s="862"/>
      <c r="CI266" s="717"/>
      <c r="CJ266" s="717"/>
      <c r="CK266" s="717"/>
      <c r="CL266" s="717"/>
      <c r="CM266" s="717"/>
      <c r="CQ266" s="693"/>
    </row>
    <row r="267" spans="2:95" ht="16.5" customHeight="1" x14ac:dyDescent="0.25">
      <c r="B267" s="149" t="s">
        <v>890</v>
      </c>
      <c r="G267" s="867"/>
      <c r="H267" s="224"/>
      <c r="I267" s="224"/>
      <c r="J267" s="224"/>
      <c r="K267" s="224"/>
      <c r="L267" s="867"/>
      <c r="M267" s="224"/>
      <c r="N267" s="224"/>
      <c r="O267" s="224"/>
      <c r="P267" s="224"/>
      <c r="Q267" s="867"/>
      <c r="R267" s="224"/>
      <c r="S267" s="224"/>
      <c r="T267" s="224"/>
      <c r="U267" s="224"/>
      <c r="V267" s="867"/>
      <c r="W267" s="224"/>
      <c r="X267" s="224"/>
      <c r="Y267" s="224"/>
      <c r="Z267" s="224"/>
      <c r="AA267" s="867"/>
      <c r="AB267" s="224"/>
      <c r="AC267" s="224"/>
      <c r="AD267" s="224"/>
      <c r="AE267" s="224"/>
      <c r="AF267" s="867"/>
      <c r="AG267" s="224"/>
      <c r="AH267" s="224"/>
      <c r="AI267" s="224"/>
      <c r="AJ267" s="224"/>
      <c r="AK267" s="867"/>
      <c r="AL267" s="224"/>
      <c r="AM267" s="224"/>
      <c r="AN267" s="224"/>
      <c r="AO267" s="224"/>
      <c r="AP267" s="867"/>
      <c r="AQ267" s="224"/>
      <c r="AR267" s="224"/>
      <c r="AS267" s="224"/>
      <c r="AT267" s="224"/>
      <c r="AU267" s="867"/>
      <c r="AV267" s="224"/>
      <c r="AW267" s="224"/>
      <c r="AX267" s="224"/>
      <c r="AY267" s="224"/>
      <c r="AZ267" s="867"/>
      <c r="BA267" s="224"/>
      <c r="BB267" s="224"/>
      <c r="BC267" s="224"/>
      <c r="BD267" s="224"/>
      <c r="BE267" s="867"/>
      <c r="BF267" s="224"/>
      <c r="BG267" s="224"/>
      <c r="BH267" s="224"/>
      <c r="BI267" s="224"/>
      <c r="BJ267" s="867"/>
      <c r="BK267" s="224"/>
      <c r="BL267" s="224"/>
      <c r="BM267" s="224"/>
      <c r="BN267" s="224"/>
      <c r="BO267" s="867"/>
      <c r="BP267" s="224"/>
      <c r="BQ267" s="224"/>
      <c r="BR267" s="224"/>
      <c r="BS267" s="224"/>
      <c r="BT267" s="867"/>
      <c r="BU267" s="224"/>
      <c r="BV267" s="224"/>
      <c r="BW267" s="224"/>
      <c r="BX267" s="224"/>
      <c r="BY267" s="867"/>
      <c r="BZ267" s="224"/>
      <c r="CA267" s="224"/>
      <c r="CB267" s="224"/>
      <c r="CC267" s="224"/>
      <c r="CD267" s="867"/>
      <c r="CE267" s="224"/>
      <c r="CF267" s="224"/>
      <c r="CG267" s="224"/>
      <c r="CH267" s="224"/>
      <c r="CI267" s="224"/>
      <c r="CJ267" s="224"/>
      <c r="CK267" s="224"/>
      <c r="CL267" s="224"/>
      <c r="CM267" s="224"/>
      <c r="CN267" s="224"/>
      <c r="CO267" s="224"/>
      <c r="CP267" s="224"/>
      <c r="CQ267" s="693" t="s">
        <v>927</v>
      </c>
    </row>
    <row r="268" spans="2:95" ht="16.5" customHeight="1" x14ac:dyDescent="0.25">
      <c r="B268" t="s">
        <v>891</v>
      </c>
      <c r="G268" s="893">
        <f>IFERROR(G227/G114*365,"n/a")</f>
        <v>107.01149389949731</v>
      </c>
      <c r="H268" s="792"/>
      <c r="I268" s="792"/>
      <c r="J268" s="792"/>
      <c r="K268" s="792"/>
      <c r="L268" s="893">
        <f>IFERROR(L227/L114*365,"n/a")</f>
        <v>102.70342775498996</v>
      </c>
      <c r="M268" s="792"/>
      <c r="N268" s="792"/>
      <c r="O268" s="792"/>
      <c r="P268" s="792"/>
      <c r="Q268" s="893">
        <f>IFERROR(Q227/Q114*365,"n/a")</f>
        <v>110.04541541406968</v>
      </c>
      <c r="R268" s="792"/>
      <c r="S268" s="792"/>
      <c r="T268" s="792"/>
      <c r="U268" s="792"/>
      <c r="V268" s="893">
        <f>IFERROR(V227/V114*365,"n/a")</f>
        <v>113.45477224744482</v>
      </c>
      <c r="W268" s="792"/>
      <c r="X268" s="792"/>
      <c r="Y268" s="792"/>
      <c r="Z268" s="792"/>
      <c r="AA268" s="893">
        <f>IFERROR(AA227/AA114*365,"n/a")</f>
        <v>107.61993063697308</v>
      </c>
      <c r="AB268" s="792"/>
      <c r="AC268" s="792"/>
      <c r="AD268" s="792"/>
      <c r="AE268" s="792"/>
      <c r="AF268" s="893">
        <f>IFERROR(AF227/AF114*365,"n/a")</f>
        <v>100.93831121522118</v>
      </c>
      <c r="AG268" s="792"/>
      <c r="AH268" s="792"/>
      <c r="AI268" s="792"/>
      <c r="AJ268" s="792"/>
      <c r="AK268" s="893">
        <f>IFERROR(AK227/AK114*365,"n/a")</f>
        <v>104.1742052134861</v>
      </c>
      <c r="AL268" s="792"/>
      <c r="AM268" s="792"/>
      <c r="AN268" s="792"/>
      <c r="AO268" s="792"/>
      <c r="AP268" s="893">
        <f>IFERROR(AP227/AP114*365,"n/a")</f>
        <v>106.35537436276888</v>
      </c>
      <c r="AQ268" s="792"/>
      <c r="AR268" s="792"/>
      <c r="AS268" s="792"/>
      <c r="AT268" s="792"/>
      <c r="AU268" s="893">
        <f>IFERROR(AU227/AU114*365,"n/a")</f>
        <v>106.94996766892983</v>
      </c>
      <c r="AV268" s="792"/>
      <c r="AW268" s="792"/>
      <c r="AX268" s="792"/>
      <c r="AY268" s="792"/>
      <c r="AZ268" s="893">
        <f>IFERROR(AZ227/AZ114*365,"n/a")</f>
        <v>120.29270004816394</v>
      </c>
      <c r="BE268" s="893">
        <f>IFERROR(BE227/BE114*365,"n/a")</f>
        <v>108.25599902099249</v>
      </c>
      <c r="BF268" s="792"/>
      <c r="BG268" s="792"/>
      <c r="BH268" s="792"/>
      <c r="BI268" s="792"/>
      <c r="BJ268" s="893">
        <f>IFERROR(BJ227/BJ114*365,"n/a")</f>
        <v>121.06063549244335</v>
      </c>
      <c r="BK268" s="792"/>
      <c r="BL268" s="792"/>
      <c r="BM268" s="792"/>
      <c r="BN268" s="792"/>
      <c r="BO268" s="893">
        <f>IFERROR(BO227/BO114*365,"n/a")</f>
        <v>119.0617478258492</v>
      </c>
      <c r="BP268" s="792"/>
      <c r="BQ268" s="792"/>
      <c r="BR268" s="792"/>
      <c r="BS268" s="792"/>
      <c r="BT268" s="893">
        <f>IFERROR(BT227/BT114*365,"n/a")</f>
        <v>125.62104704495221</v>
      </c>
      <c r="BU268" s="792"/>
      <c r="BV268" s="792"/>
      <c r="BW268" s="792"/>
      <c r="BX268" s="792"/>
      <c r="BY268" s="893">
        <f>IFERROR(BY227/BY114*365,"n/a")</f>
        <v>112.31717586229827</v>
      </c>
      <c r="BZ268" s="792"/>
      <c r="CA268" s="792"/>
      <c r="CB268" s="792"/>
      <c r="CC268" s="792"/>
      <c r="CD268" s="893">
        <f>IFERROR(CD227/CD114*365,"n/a")</f>
        <v>118.28626667606066</v>
      </c>
      <c r="CE268" s="793">
        <f>IFERROR(CE227/CE114*90,"n/a")</f>
        <v>112.21106815492583</v>
      </c>
      <c r="CF268" s="793">
        <f>IFERROR(CF227/CF114*90,"n/a")</f>
        <v>123.85676274565164</v>
      </c>
      <c r="CG268" s="793">
        <f>CI268</f>
        <v>115</v>
      </c>
      <c r="CH268" s="793">
        <f>CG268</f>
        <v>115</v>
      </c>
      <c r="CI268" s="794">
        <v>115</v>
      </c>
      <c r="CJ268" s="794">
        <v>112</v>
      </c>
      <c r="CK268" s="794">
        <v>110</v>
      </c>
      <c r="CL268" s="794">
        <f>CK268</f>
        <v>110</v>
      </c>
      <c r="CM268" s="794">
        <f>CL268</f>
        <v>110</v>
      </c>
      <c r="CQ268" s="693" t="s">
        <v>928</v>
      </c>
    </row>
    <row r="269" spans="2:95" ht="16.5" customHeight="1" x14ac:dyDescent="0.25">
      <c r="B269" t="s">
        <v>790</v>
      </c>
      <c r="G269" s="893">
        <f>IFERROR(G228/G115*365,"n/a")</f>
        <v>112.0193208629759</v>
      </c>
      <c r="H269" s="792"/>
      <c r="I269" s="792"/>
      <c r="J269" s="792"/>
      <c r="K269" s="792"/>
      <c r="L269" s="893">
        <f>IFERROR(L228/L115*365,"n/a")</f>
        <v>111.05003140134798</v>
      </c>
      <c r="M269" s="792"/>
      <c r="N269" s="792"/>
      <c r="O269" s="792"/>
      <c r="P269" s="792"/>
      <c r="Q269" s="893">
        <f>IFERROR(Q228/Q115*365,"n/a")</f>
        <v>113.94384862361908</v>
      </c>
      <c r="R269" s="792"/>
      <c r="S269" s="792"/>
      <c r="T269" s="792"/>
      <c r="U269" s="792"/>
      <c r="V269" s="893">
        <f>IFERROR(V228/V115*365,"n/a")</f>
        <v>110.24050661324752</v>
      </c>
      <c r="W269" s="792"/>
      <c r="X269" s="792"/>
      <c r="Y269" s="792"/>
      <c r="Z269" s="792"/>
      <c r="AA269" s="893">
        <f>IFERROR(AA228/AA115*365,"n/a")</f>
        <v>101.96916051305134</v>
      </c>
      <c r="AB269" s="792"/>
      <c r="AC269" s="792"/>
      <c r="AD269" s="792"/>
      <c r="AE269" s="792"/>
      <c r="AF269" s="893">
        <f>IFERROR(AF228/AF115*365,"n/a")</f>
        <v>100.66725252511701</v>
      </c>
      <c r="AG269" s="792"/>
      <c r="AH269" s="792"/>
      <c r="AI269" s="792"/>
      <c r="AJ269" s="792"/>
      <c r="AK269" s="893">
        <f>IFERROR(AK228/AK115*365,"n/a")</f>
        <v>102.83129277785686</v>
      </c>
      <c r="AL269" s="792"/>
      <c r="AM269" s="792"/>
      <c r="AN269" s="792"/>
      <c r="AO269" s="792"/>
      <c r="AP269" s="893">
        <f>IFERROR(AP228/AP115*365,"n/a")</f>
        <v>101.09351801413588</v>
      </c>
      <c r="AQ269" s="792"/>
      <c r="AR269" s="792"/>
      <c r="AS269" s="792"/>
      <c r="AT269" s="792"/>
      <c r="AU269" s="893">
        <f>IFERROR(AU228/AU115*365,"n/a")</f>
        <v>97.271512428120317</v>
      </c>
      <c r="AV269" s="792"/>
      <c r="AW269" s="792"/>
      <c r="AX269" s="792"/>
      <c r="AY269" s="792"/>
      <c r="AZ269" s="893">
        <f>IFERROR(AZ228/AZ115*365,"n/a")</f>
        <v>93.480760291282536</v>
      </c>
      <c r="BE269" s="893">
        <f>IFERROR(BE228/BE115*365,"n/a")</f>
        <v>106.22409099529254</v>
      </c>
      <c r="BF269" s="792"/>
      <c r="BG269" s="792"/>
      <c r="BH269" s="792"/>
      <c r="BI269" s="792"/>
      <c r="BJ269" s="893">
        <f>IFERROR(BJ228/BJ115*365,"n/a")</f>
        <v>107.77966015980581</v>
      </c>
      <c r="BK269" s="792"/>
      <c r="BL269" s="792"/>
      <c r="BM269" s="792"/>
      <c r="BN269" s="792"/>
      <c r="BO269" s="893">
        <f>IFERROR(BO228/BO115*365,"n/a")</f>
        <v>97.129259323572938</v>
      </c>
      <c r="BP269" s="792"/>
      <c r="BQ269" s="792"/>
      <c r="BR269" s="792"/>
      <c r="BS269" s="792"/>
      <c r="BT269" s="893">
        <f>IFERROR(BT228/BT115*365,"n/a")</f>
        <v>109.46598097005496</v>
      </c>
      <c r="BU269" s="792"/>
      <c r="BV269" s="792"/>
      <c r="BW269" s="792"/>
      <c r="BX269" s="792"/>
      <c r="BY269" s="893">
        <f>IFERROR(BY228/BY115*365,"n/a")</f>
        <v>121.5773027871907</v>
      </c>
      <c r="BZ269" s="792"/>
      <c r="CA269" s="792"/>
      <c r="CB269" s="792"/>
      <c r="CC269" s="792"/>
      <c r="CD269" s="893">
        <f>IFERROR(CD228/CD115*365,"n/a")</f>
        <v>119.40746786355527</v>
      </c>
      <c r="CE269" s="793">
        <f>IFERROR(CE228/CE115*90,"n/a")</f>
        <v>102.23492940134423</v>
      </c>
      <c r="CF269" s="793">
        <f>IFERROR(CF228/CF115*90,"n/a")</f>
        <v>109.71119530293356</v>
      </c>
      <c r="CG269" s="793">
        <f>CI269</f>
        <v>117</v>
      </c>
      <c r="CH269" s="793">
        <f>CG269</f>
        <v>117</v>
      </c>
      <c r="CI269" s="794">
        <v>117</v>
      </c>
      <c r="CJ269" s="794">
        <v>115</v>
      </c>
      <c r="CK269" s="794">
        <v>110</v>
      </c>
      <c r="CL269" s="794">
        <v>105</v>
      </c>
      <c r="CM269" s="794">
        <f>CL269</f>
        <v>105</v>
      </c>
      <c r="CQ269" s="693" t="s">
        <v>929</v>
      </c>
    </row>
    <row r="270" spans="2:95" ht="16.5" customHeight="1" x14ac:dyDescent="0.25">
      <c r="B270" t="s">
        <v>892</v>
      </c>
      <c r="G270" s="893">
        <f>IFERROR(G243/G115*365,"n/a")</f>
        <v>37.510406948132072</v>
      </c>
      <c r="H270" s="792"/>
      <c r="I270" s="792"/>
      <c r="J270" s="792"/>
      <c r="K270" s="792"/>
      <c r="L270" s="893">
        <f>IFERROR(L243/L115*365,"n/a")</f>
        <v>36.670806072905634</v>
      </c>
      <c r="M270" s="792"/>
      <c r="N270" s="792"/>
      <c r="O270" s="792"/>
      <c r="P270" s="792"/>
      <c r="Q270" s="893">
        <f>IFERROR(Q243/Q115*365,"n/a")</f>
        <v>35.8996092173211</v>
      </c>
      <c r="R270" s="792"/>
      <c r="S270" s="792"/>
      <c r="T270" s="792"/>
      <c r="U270" s="792"/>
      <c r="V270" s="893">
        <f>IFERROR(V243/V115*365,"n/a")</f>
        <v>36.347510430804121</v>
      </c>
      <c r="W270" s="792"/>
      <c r="X270" s="792"/>
      <c r="Y270" s="792"/>
      <c r="Z270" s="792"/>
      <c r="AA270" s="893">
        <f>IFERROR(AA243/AA115*365,"n/a")</f>
        <v>32.079731079760258</v>
      </c>
      <c r="AB270" s="792"/>
      <c r="AC270" s="792"/>
      <c r="AD270" s="792"/>
      <c r="AE270" s="792"/>
      <c r="AF270" s="893">
        <f>IFERROR(AF243/AF115*365,"n/a")</f>
        <v>33.865830029494177</v>
      </c>
      <c r="AG270" s="792"/>
      <c r="AH270" s="792"/>
      <c r="AI270" s="792"/>
      <c r="AJ270" s="792"/>
      <c r="AK270" s="893">
        <f>IFERROR(AK243/AK115*365,"n/a")</f>
        <v>31.007807785908106</v>
      </c>
      <c r="AL270" s="792"/>
      <c r="AM270" s="792"/>
      <c r="AN270" s="792"/>
      <c r="AO270" s="792"/>
      <c r="AP270" s="893">
        <f>IFERROR(AP243/AP115*365,"n/a")</f>
        <v>35.317326933944578</v>
      </c>
      <c r="AQ270" s="792"/>
      <c r="AR270" s="792"/>
      <c r="AS270" s="792"/>
      <c r="AT270" s="792"/>
      <c r="AU270" s="893">
        <f>IFERROR(AU243/AU115*365,"n/a")</f>
        <v>39.366606020552425</v>
      </c>
      <c r="AV270" s="792"/>
      <c r="AW270" s="792"/>
      <c r="AX270" s="792"/>
      <c r="AY270" s="792"/>
      <c r="AZ270" s="893">
        <f>IFERROR(AZ243/AZ115*365,"n/a")</f>
        <v>45.026191683290797</v>
      </c>
      <c r="BE270" s="893">
        <f>IFERROR(BE243/BE115*365,"n/a")</f>
        <v>30.154648276532114</v>
      </c>
      <c r="BF270" s="792"/>
      <c r="BG270" s="792"/>
      <c r="BH270" s="792"/>
      <c r="BI270" s="792"/>
      <c r="BJ270" s="893">
        <f>IFERROR(BJ243/BJ115*365,"n/a")</f>
        <v>35.265032967773941</v>
      </c>
      <c r="BK270" s="792"/>
      <c r="BL270" s="792"/>
      <c r="BM270" s="792"/>
      <c r="BN270" s="792"/>
      <c r="BO270" s="893">
        <f>IFERROR(BO243/BO115*365,"n/a")</f>
        <v>38.309927176826825</v>
      </c>
      <c r="BP270" s="792"/>
      <c r="BQ270" s="792"/>
      <c r="BR270" s="792"/>
      <c r="BS270" s="792"/>
      <c r="BT270" s="893">
        <f>IFERROR(BT243/BT115*365,"n/a")</f>
        <v>40.002296931763098</v>
      </c>
      <c r="BU270" s="792"/>
      <c r="BV270" s="792"/>
      <c r="BW270" s="792"/>
      <c r="BX270" s="792"/>
      <c r="BY270" s="893">
        <f>IFERROR(BY243/BY115*365,"n/a")</f>
        <v>41.424245759357412</v>
      </c>
      <c r="BZ270" s="792"/>
      <c r="CA270" s="792"/>
      <c r="CB270" s="792"/>
      <c r="CC270" s="792"/>
      <c r="CD270" s="893">
        <f>IFERROR(CD243/CD115*365,"n/a")</f>
        <v>41.5831711870823</v>
      </c>
      <c r="CE270" s="793">
        <f>IFERROR(CE243/CE115*90,"n/a")</f>
        <v>32.958779614591627</v>
      </c>
      <c r="CF270" s="793">
        <f>IFERROR(CF243/CF115*90,"n/a")</f>
        <v>38.628818721284368</v>
      </c>
      <c r="CG270" s="793">
        <f>CI270</f>
        <v>41</v>
      </c>
      <c r="CH270" s="793">
        <f>CG270</f>
        <v>41</v>
      </c>
      <c r="CI270" s="794">
        <v>41</v>
      </c>
      <c r="CJ270" s="794">
        <v>40</v>
      </c>
      <c r="CK270" s="794">
        <f>CJ270</f>
        <v>40</v>
      </c>
      <c r="CL270" s="794">
        <f t="shared" ref="CL270:CM270" si="137">CK270</f>
        <v>40</v>
      </c>
      <c r="CM270" s="794">
        <f t="shared" si="137"/>
        <v>40</v>
      </c>
      <c r="CQ270" s="693" t="s">
        <v>930</v>
      </c>
    </row>
    <row r="271" spans="2:95" ht="16.5" customHeight="1" x14ac:dyDescent="0.25">
      <c r="B271" s="720" t="s">
        <v>346</v>
      </c>
      <c r="C271" s="836"/>
      <c r="D271" s="836"/>
      <c r="E271" s="836"/>
      <c r="F271" s="836"/>
      <c r="G271" s="894">
        <f>IFERROR(G268+G269-G270,"n/a")</f>
        <v>181.52040781434113</v>
      </c>
      <c r="H271" s="837"/>
      <c r="I271" s="837"/>
      <c r="J271" s="837"/>
      <c r="K271" s="837"/>
      <c r="L271" s="894">
        <f>IFERROR(L268+L269-L270,"n/a")</f>
        <v>177.08265308343232</v>
      </c>
      <c r="M271" s="837"/>
      <c r="N271" s="837"/>
      <c r="O271" s="837"/>
      <c r="P271" s="837"/>
      <c r="Q271" s="894">
        <f>IFERROR(Q268+Q269-Q270,"n/a")</f>
        <v>188.08965482036768</v>
      </c>
      <c r="R271" s="837"/>
      <c r="S271" s="837"/>
      <c r="T271" s="837"/>
      <c r="U271" s="837"/>
      <c r="V271" s="894">
        <f>IFERROR(V268+V269-V270,"n/a")</f>
        <v>187.34776842988822</v>
      </c>
      <c r="W271" s="837"/>
      <c r="X271" s="837"/>
      <c r="Y271" s="837"/>
      <c r="Z271" s="837"/>
      <c r="AA271" s="894">
        <f>IFERROR(AA268+AA269-AA270,"n/a")</f>
        <v>177.50936007026417</v>
      </c>
      <c r="AB271" s="837"/>
      <c r="AC271" s="837"/>
      <c r="AD271" s="837"/>
      <c r="AE271" s="837"/>
      <c r="AF271" s="894">
        <f>IFERROR(AF268+AF269-AF270,"n/a")</f>
        <v>167.73973371084401</v>
      </c>
      <c r="AG271" s="837"/>
      <c r="AH271" s="837"/>
      <c r="AI271" s="837"/>
      <c r="AJ271" s="837"/>
      <c r="AK271" s="894">
        <f>IFERROR(AK268+AK269-AK270,"n/a")</f>
        <v>175.99769020543485</v>
      </c>
      <c r="AL271" s="837"/>
      <c r="AM271" s="837"/>
      <c r="AN271" s="837"/>
      <c r="AO271" s="837"/>
      <c r="AP271" s="894">
        <f>IFERROR(AP268+AP269-AP270,"n/a")</f>
        <v>172.13156544296021</v>
      </c>
      <c r="AQ271" s="837"/>
      <c r="AR271" s="837"/>
      <c r="AS271" s="837"/>
      <c r="AT271" s="837"/>
      <c r="AU271" s="894">
        <f>IFERROR(AU268+AU269-AU270,"n/a")</f>
        <v>164.85487407649771</v>
      </c>
      <c r="AV271" s="837"/>
      <c r="AW271" s="837"/>
      <c r="AX271" s="837"/>
      <c r="AY271" s="837"/>
      <c r="AZ271" s="894">
        <f>IFERROR(AZ268+AZ269-AZ270,"n/a")</f>
        <v>168.74726865615568</v>
      </c>
      <c r="BA271" s="836"/>
      <c r="BB271" s="836"/>
      <c r="BC271" s="836"/>
      <c r="BD271" s="836"/>
      <c r="BE271" s="894">
        <f>IFERROR(BE268+BE269-BE270,"n/a")</f>
        <v>184.32544173975293</v>
      </c>
      <c r="BF271" s="837"/>
      <c r="BG271" s="837"/>
      <c r="BH271" s="837"/>
      <c r="BI271" s="837"/>
      <c r="BJ271" s="894">
        <f>IFERROR(BJ268+BJ269-BJ270,"n/a")</f>
        <v>193.57526268447521</v>
      </c>
      <c r="BK271" s="837"/>
      <c r="BL271" s="837"/>
      <c r="BM271" s="837"/>
      <c r="BN271" s="837"/>
      <c r="BO271" s="894">
        <f>IFERROR(BO268+BO269-BO270,"n/a")</f>
        <v>177.88107997259533</v>
      </c>
      <c r="BP271" s="837"/>
      <c r="BQ271" s="837"/>
      <c r="BR271" s="837"/>
      <c r="BS271" s="837"/>
      <c r="BT271" s="894">
        <f>IFERROR(BT268+BT269-BT270,"n/a")</f>
        <v>195.08473108324404</v>
      </c>
      <c r="BU271" s="837"/>
      <c r="BV271" s="837"/>
      <c r="BW271" s="837"/>
      <c r="BX271" s="837"/>
      <c r="BY271" s="894">
        <f>IFERROR(BY268+BY269-BY270,"n/a")</f>
        <v>192.47023289013157</v>
      </c>
      <c r="BZ271" s="837"/>
      <c r="CA271" s="837"/>
      <c r="CB271" s="837"/>
      <c r="CC271" s="837"/>
      <c r="CD271" s="894">
        <f t="shared" ref="CD271:CM271" si="138">IFERROR(CD268+CD269-CD270,"n/a")</f>
        <v>196.11056335253363</v>
      </c>
      <c r="CE271" s="816">
        <f>IFERROR(CE268+CE269-CE270,"n/a")</f>
        <v>181.48721794167844</v>
      </c>
      <c r="CF271" s="816">
        <f>IFERROR(CF268+CF269-CF270,"n/a")</f>
        <v>194.93913932730081</v>
      </c>
      <c r="CG271" s="816">
        <f>IFERROR(CG268+CG269-CG270,"n/a")</f>
        <v>191</v>
      </c>
      <c r="CH271" s="816">
        <f>IFERROR(CH268+CH269-CH270,"n/a")</f>
        <v>191</v>
      </c>
      <c r="CI271" s="857">
        <f t="shared" si="138"/>
        <v>191</v>
      </c>
      <c r="CJ271" s="857">
        <f t="shared" si="138"/>
        <v>187</v>
      </c>
      <c r="CK271" s="857">
        <f t="shared" si="138"/>
        <v>180</v>
      </c>
      <c r="CL271" s="857">
        <f t="shared" si="138"/>
        <v>175</v>
      </c>
      <c r="CM271" s="857">
        <f t="shared" si="138"/>
        <v>175</v>
      </c>
      <c r="CQ271" s="693" t="s">
        <v>931</v>
      </c>
    </row>
    <row r="272" spans="2:95" ht="16.5" customHeight="1" x14ac:dyDescent="0.25">
      <c r="B272" t="s">
        <v>893</v>
      </c>
      <c r="G272" s="895">
        <f>IFERROR(G244/G114,"n/a")</f>
        <v>4.9014024818233588E-2</v>
      </c>
      <c r="L272" s="895">
        <f>IFERROR(L244/L114,"n/a")</f>
        <v>5.2431050165616909E-2</v>
      </c>
      <c r="Q272" s="895">
        <f>IFERROR(Q244/Q114,"n/a")</f>
        <v>5.4333688595752397E-2</v>
      </c>
      <c r="V272" s="895">
        <f>IFERROR(V244/V114,"n/a")</f>
        <v>4.9981400683673328E-2</v>
      </c>
      <c r="AA272" s="895">
        <f>IFERROR(AA244/AA114,"n/a")</f>
        <v>5.3276241936123334E-2</v>
      </c>
      <c r="AF272" s="895">
        <f>IFERROR(AF244/AF114,"n/a")</f>
        <v>4.960143051048254E-2</v>
      </c>
      <c r="AK272" s="895">
        <f>IFERROR(AK244/AK114,"n/a")</f>
        <v>5.2372429296453436E-2</v>
      </c>
      <c r="AP272" s="895">
        <f>IFERROR(AP244/AP114,"n/a")</f>
        <v>5.942125080679906E-2</v>
      </c>
      <c r="AU272" s="895">
        <f>IFERROR(AU244/AU114,"n/a")</f>
        <v>5.4536536323735875E-2</v>
      </c>
      <c r="AZ272" s="895">
        <f>IFERROR(AZ244/AZ114,"n/a")</f>
        <v>4.949455410145686E-2</v>
      </c>
      <c r="BE272" s="895">
        <f>IFERROR(BE244/BE114,"n/a")</f>
        <v>3.7964274546429012E-2</v>
      </c>
      <c r="BJ272" s="895">
        <f>IFERROR(BJ244/BJ114,"n/a")</f>
        <v>3.9517277917582548E-2</v>
      </c>
      <c r="BO272" s="895">
        <f>IFERROR(BO244/BO114,"n/a")</f>
        <v>3.0681046701954651E-2</v>
      </c>
      <c r="BT272" s="895">
        <f>IFERROR(BT244/BT114,"n/a")</f>
        <v>3.3518586088251881E-2</v>
      </c>
      <c r="BY272" s="895">
        <f>IFERROR(BY244/BY114,"n/a")</f>
        <v>2.8824647543890761E-2</v>
      </c>
      <c r="CD272" s="895">
        <f>IFERROR(CD244/CD114,"n/a")</f>
        <v>2.7467062319459241E-2</v>
      </c>
      <c r="CE272" s="242">
        <f>IFERROR(CE244/CE114,"n/a")</f>
        <v>5.6064183447751888E-2</v>
      </c>
      <c r="CF272" s="242">
        <f>IFERROR(CF244/CF114,"n/a")</f>
        <v>7.7920275451139664E-2</v>
      </c>
      <c r="CG272" s="242">
        <f>CI272</f>
        <v>2.7467062319459199E-2</v>
      </c>
      <c r="CH272" s="242">
        <f>CG272</f>
        <v>2.7467062319459199E-2</v>
      </c>
      <c r="CI272" s="795">
        <v>2.7467062319459199E-2</v>
      </c>
      <c r="CJ272" s="795">
        <v>2.7467062319459199E-2</v>
      </c>
      <c r="CK272" s="795">
        <v>2.7467062319459199E-2</v>
      </c>
      <c r="CL272" s="795">
        <v>2.7467062319459199E-2</v>
      </c>
      <c r="CM272" s="795">
        <v>2.7467062319459199E-2</v>
      </c>
      <c r="CQ272" s="693"/>
    </row>
    <row r="273" spans="2:95" ht="16.5" customHeight="1" x14ac:dyDescent="0.25">
      <c r="B273" t="s">
        <v>894</v>
      </c>
      <c r="G273" s="895">
        <f>IFERROR(G245/G114,"n/a")</f>
        <v>3.533306341911939E-2</v>
      </c>
      <c r="L273" s="895">
        <f>IFERROR(L245/L114,"n/a")</f>
        <v>4.1760773679784445E-2</v>
      </c>
      <c r="Q273" s="895">
        <f>IFERROR(Q245/Q114,"n/a")</f>
        <v>4.5435255853731225E-2</v>
      </c>
      <c r="V273" s="895">
        <f>IFERROR(V245/V114,"n/a")</f>
        <v>5.5876100587248033E-2</v>
      </c>
      <c r="AA273" s="895">
        <f>IFERROR(AA245/AA114,"n/a")</f>
        <v>5.4939142156446283E-2</v>
      </c>
      <c r="AF273" s="895">
        <f>IFERROR(AF245/AF114,"n/a")</f>
        <v>6.6292171312816464E-2</v>
      </c>
      <c r="AK273" s="895">
        <f>IFERROR(AK245/AK114,"n/a")</f>
        <v>6.9452062802635398E-2</v>
      </c>
      <c r="AP273" s="895">
        <f>IFERROR(AP245/AP114,"n/a")</f>
        <v>6.3772760542040841E-2</v>
      </c>
      <c r="AU273" s="895">
        <f>IFERROR(AU245/AU114,"n/a")</f>
        <v>5.5984052957997667E-2</v>
      </c>
      <c r="AZ273" s="895">
        <f>IFERROR(AZ245/AZ114,"n/a")</f>
        <v>4.7248854686412843E-2</v>
      </c>
      <c r="BE273" s="895">
        <f>IFERROR(BE245/BE114,"n/a")</f>
        <v>7.0492006736570023E-2</v>
      </c>
      <c r="BJ273" s="895">
        <f>IFERROR(BJ245/BJ114,"n/a")</f>
        <v>9.245674866663417E-2</v>
      </c>
      <c r="BO273" s="895">
        <f>IFERROR(BO245/BO114,"n/a")</f>
        <v>9.7799809801952242E-2</v>
      </c>
      <c r="BT273" s="895">
        <f>IFERROR(BT245/BT114,"n/a")</f>
        <v>0.11397929551684312</v>
      </c>
      <c r="BY273" s="895">
        <f>IFERROR(BY245/BY114,"n/a")</f>
        <v>8.3715530235857413E-2</v>
      </c>
      <c r="CD273" s="895">
        <f>IFERROR(CD245/CD114,"n/a")</f>
        <v>9.6613397212471364E-2</v>
      </c>
      <c r="CE273" s="242">
        <f>IFERROR(CE245/CE114,"n/a")</f>
        <v>0.37301630578018186</v>
      </c>
      <c r="CF273" s="242">
        <f>IFERROR(CF245/CF114,"n/a")</f>
        <v>0.44603577936911276</v>
      </c>
      <c r="CG273" s="242">
        <f>CI273</f>
        <v>9.6613397212471405E-2</v>
      </c>
      <c r="CH273" s="242">
        <f>CG273</f>
        <v>9.6613397212471405E-2</v>
      </c>
      <c r="CI273" s="795">
        <v>9.6613397212471405E-2</v>
      </c>
      <c r="CJ273" s="795">
        <v>9.6613397212471405E-2</v>
      </c>
      <c r="CK273" s="795">
        <v>9.6613397212471405E-2</v>
      </c>
      <c r="CL273" s="795">
        <v>9.6613397212471405E-2</v>
      </c>
      <c r="CM273" s="795">
        <v>9.6613397212471405E-2</v>
      </c>
      <c r="CQ273" s="693"/>
    </row>
    <row r="274" spans="2:95" ht="16.5" customHeight="1" x14ac:dyDescent="0.25">
      <c r="B274" t="s">
        <v>895</v>
      </c>
      <c r="G274" s="895">
        <f>IFERROR(G246/G114,"n/a")</f>
        <v>6.5945781297593667E-2</v>
      </c>
      <c r="L274" s="895">
        <f>IFERROR(L246/L114,"n/a")</f>
        <v>6.447731992379907E-2</v>
      </c>
      <c r="Q274" s="895">
        <f>IFERROR(Q246/Q114,"n/a")</f>
        <v>6.2338026252704959E-2</v>
      </c>
      <c r="V274" s="895">
        <f>IFERROR(V246/V114,"n/a")</f>
        <v>5.9972164236368766E-2</v>
      </c>
      <c r="AA274" s="895">
        <f>IFERROR(AA246/AA114,"n/a")</f>
        <v>6.2158258712385089E-2</v>
      </c>
      <c r="AF274" s="895">
        <f>IFERROR(AF246/AF114,"n/a")</f>
        <v>5.8095482456765546E-2</v>
      </c>
      <c r="AK274" s="895">
        <f>IFERROR(AK246/AK114,"n/a")</f>
        <v>6.1825827125667053E-2</v>
      </c>
      <c r="AP274" s="895">
        <f>IFERROR(AP246/AP114,"n/a")</f>
        <v>6.0256478015826877E-2</v>
      </c>
      <c r="AU274" s="895">
        <f>IFERROR(AU246/AU114,"n/a")</f>
        <v>6.2655104249247459E-2</v>
      </c>
      <c r="AZ274" s="895">
        <f>IFERROR(AZ246/AZ114,"n/a")</f>
        <v>6.497311392061661E-2</v>
      </c>
      <c r="BE274" s="895">
        <f>IFERROR(BE246/BE114,"n/a")</f>
        <v>7.6437466589289016E-2</v>
      </c>
      <c r="BJ274" s="895">
        <f>IFERROR(BJ246/BJ114,"n/a")</f>
        <v>7.4335736448160994E-2</v>
      </c>
      <c r="BO274" s="895">
        <f>IFERROR(BO246/BO114,"n/a")</f>
        <v>7.094578235664406E-2</v>
      </c>
      <c r="BT274" s="895">
        <f>IFERROR(BT246/BT114,"n/a")</f>
        <v>6.3859127492694928E-2</v>
      </c>
      <c r="BY274" s="895">
        <f>IFERROR(BY246/BY114,"n/a")</f>
        <v>8.7585620234084061E-2</v>
      </c>
      <c r="CD274" s="895">
        <f>IFERROR(CD246/CD114,"n/a")</f>
        <v>8.2907581779525799E-2</v>
      </c>
      <c r="CE274" s="242">
        <f>IFERROR(CE246/CE114,"n/a")</f>
        <v>0.25501614946571349</v>
      </c>
      <c r="CF274" s="242">
        <f>IFERROR(CF246/CF114,"n/a")</f>
        <v>0.27258312443497629</v>
      </c>
      <c r="CG274" s="242">
        <f>CI274</f>
        <v>8.2907581779525799E-2</v>
      </c>
      <c r="CH274" s="242">
        <f>CG274</f>
        <v>8.2907581779525799E-2</v>
      </c>
      <c r="CI274" s="795">
        <v>8.2907581779525799E-2</v>
      </c>
      <c r="CJ274" s="795">
        <v>8.2907581779525799E-2</v>
      </c>
      <c r="CK274" s="795">
        <v>8.2907581779525799E-2</v>
      </c>
      <c r="CL274" s="795">
        <v>8.2907581779525799E-2</v>
      </c>
      <c r="CM274" s="795">
        <v>8.2907581779525799E-2</v>
      </c>
      <c r="CQ274" s="693"/>
    </row>
    <row r="275" spans="2:95" ht="16.5" customHeight="1" x14ac:dyDescent="0.25">
      <c r="B275" t="s">
        <v>896</v>
      </c>
      <c r="G275" s="895">
        <f>IFERROR(G229/G114,"n/a")</f>
        <v>4.6891288266488577E-2</v>
      </c>
      <c r="L275" s="895">
        <f>IFERROR(L229/L114,"n/a")</f>
        <v>4.6591123620574257E-2</v>
      </c>
      <c r="Q275" s="895">
        <f>IFERROR(Q229/Q114,"n/a")</f>
        <v>4.7480174413331092E-2</v>
      </c>
      <c r="V275" s="895">
        <f>IFERROR(V229/V114,"n/a")</f>
        <v>4.8743234043759534E-2</v>
      </c>
      <c r="AA275" s="895">
        <f>IFERROR(AA229/AA114,"n/a")</f>
        <v>5.0914802794910861E-2</v>
      </c>
      <c r="AF275" s="895">
        <f>IFERROR(AF229/AF114,"n/a")</f>
        <v>4.9836232524474049E-2</v>
      </c>
      <c r="AK275" s="895">
        <f>IFERROR(AK229/AK114,"n/a")</f>
        <v>4.5808825023207489E-2</v>
      </c>
      <c r="AP275" s="895">
        <f>IFERROR(AP229/AP114,"n/a")</f>
        <v>2.7249788190223601E-2</v>
      </c>
      <c r="AU275" s="895">
        <f>IFERROR(AU229/AU114,"n/a")</f>
        <v>2.2783808481960297E-2</v>
      </c>
      <c r="AZ275" s="895">
        <f>IFERROR(AZ229/AZ114,"n/a")</f>
        <v>2.309665527463943E-2</v>
      </c>
      <c r="BE275" s="895">
        <f>IFERROR(BE229/BE114,"n/a")</f>
        <v>1.727719432536191E-2</v>
      </c>
      <c r="BJ275" s="895">
        <f>IFERROR(BJ229/BJ114,"n/a")</f>
        <v>2.0631887946429041E-2</v>
      </c>
      <c r="BO275" s="895">
        <f>IFERROR(BO229/BO114,"n/a")</f>
        <v>1.9879220616229813E-2</v>
      </c>
      <c r="BT275" s="895">
        <f>IFERROR(BT229/BT114,"n/a")</f>
        <v>1.5337480663050067E-2</v>
      </c>
      <c r="BY275" s="895">
        <f>IFERROR(BY229/BY114,"n/a")</f>
        <v>2.5066778240822842E-2</v>
      </c>
      <c r="CD275" s="895">
        <f>IFERROR(CD229/CD114,"n/a")</f>
        <v>3.687098251474373E-2</v>
      </c>
      <c r="CE275" s="242">
        <f>IFERROR(CE229/CE114,"n/a")</f>
        <v>8.080185687047528E-2</v>
      </c>
      <c r="CF275" s="242">
        <f>IFERROR(CF229/CF114,"n/a")</f>
        <v>0.10060392776442161</v>
      </c>
      <c r="CG275" s="242">
        <f>CI275</f>
        <v>3.6870982514743703E-2</v>
      </c>
      <c r="CH275" s="242">
        <f>CG275</f>
        <v>3.6870982514743703E-2</v>
      </c>
      <c r="CI275" s="795">
        <v>3.6870982514743703E-2</v>
      </c>
      <c r="CJ275" s="795">
        <v>3.6870982514743703E-2</v>
      </c>
      <c r="CK275" s="795">
        <v>3.6870982514743703E-2</v>
      </c>
      <c r="CL275" s="795">
        <v>3.6870982514743703E-2</v>
      </c>
      <c r="CM275" s="795">
        <v>3.6870982514743703E-2</v>
      </c>
      <c r="CQ275" s="693"/>
    </row>
    <row r="276" spans="2:95" ht="16.5" customHeight="1" x14ac:dyDescent="0.25">
      <c r="G276" s="862"/>
      <c r="L276" s="862"/>
      <c r="Q276" s="862"/>
      <c r="V276" s="862"/>
      <c r="AA276" s="862"/>
      <c r="AF276" s="862"/>
      <c r="AK276" s="862"/>
      <c r="AP276" s="862"/>
      <c r="AU276" s="862"/>
      <c r="AZ276" s="862"/>
      <c r="BE276" s="862"/>
      <c r="BJ276" s="862"/>
      <c r="BO276" s="862"/>
      <c r="BT276" s="862"/>
      <c r="BY276" s="862"/>
      <c r="CD276" s="862"/>
      <c r="CI276" s="717"/>
      <c r="CJ276" s="717"/>
      <c r="CK276" s="717"/>
      <c r="CL276" s="717"/>
      <c r="CM276" s="717"/>
      <c r="CQ276" s="693"/>
    </row>
    <row r="277" spans="2:95" ht="16.5" customHeight="1" x14ac:dyDescent="0.25">
      <c r="B277" s="149" t="s">
        <v>897</v>
      </c>
      <c r="G277" s="867"/>
      <c r="H277" s="224"/>
      <c r="I277" s="224"/>
      <c r="J277" s="224"/>
      <c r="K277" s="224"/>
      <c r="L277" s="867"/>
      <c r="M277" s="224"/>
      <c r="N277" s="224"/>
      <c r="O277" s="224"/>
      <c r="P277" s="224"/>
      <c r="Q277" s="867"/>
      <c r="R277" s="224"/>
      <c r="S277" s="224"/>
      <c r="T277" s="224"/>
      <c r="U277" s="224"/>
      <c r="V277" s="867"/>
      <c r="W277" s="224"/>
      <c r="X277" s="224"/>
      <c r="Y277" s="224"/>
      <c r="Z277" s="224"/>
      <c r="AA277" s="867"/>
      <c r="AB277" s="224"/>
      <c r="AC277" s="224"/>
      <c r="AD277" s="224"/>
      <c r="AE277" s="224"/>
      <c r="AF277" s="867"/>
      <c r="AG277" s="224"/>
      <c r="AH277" s="224"/>
      <c r="AI277" s="224"/>
      <c r="AJ277" s="224"/>
      <c r="AK277" s="867"/>
      <c r="AL277" s="224"/>
      <c r="AM277" s="224"/>
      <c r="AN277" s="224"/>
      <c r="AO277" s="224"/>
      <c r="AP277" s="867"/>
      <c r="AQ277" s="224"/>
      <c r="AR277" s="224"/>
      <c r="AS277" s="224"/>
      <c r="AT277" s="224"/>
      <c r="AU277" s="867"/>
      <c r="AV277" s="224"/>
      <c r="AW277" s="224"/>
      <c r="AX277" s="224"/>
      <c r="AY277" s="224"/>
      <c r="AZ277" s="867"/>
      <c r="BA277" s="224"/>
      <c r="BB277" s="224"/>
      <c r="BC277" s="224"/>
      <c r="BD277" s="224"/>
      <c r="BE277" s="867"/>
      <c r="BF277" s="224"/>
      <c r="BG277" s="224"/>
      <c r="BH277" s="224"/>
      <c r="BI277" s="224"/>
      <c r="BJ277" s="867"/>
      <c r="BK277" s="224"/>
      <c r="BL277" s="224"/>
      <c r="BM277" s="224"/>
      <c r="BN277" s="224"/>
      <c r="BO277" s="867"/>
      <c r="BP277" s="224"/>
      <c r="BQ277" s="224"/>
      <c r="BR277" s="224"/>
      <c r="BS277" s="224"/>
      <c r="BT277" s="867"/>
      <c r="BU277" s="224"/>
      <c r="BV277" s="224"/>
      <c r="BW277" s="224"/>
      <c r="BX277" s="224"/>
      <c r="BY277" s="867"/>
      <c r="BZ277" s="224"/>
      <c r="CA277" s="224"/>
      <c r="CB277" s="224"/>
      <c r="CC277" s="224"/>
      <c r="CD277" s="867"/>
      <c r="CE277" s="224"/>
      <c r="CF277" s="224"/>
      <c r="CG277" s="224"/>
      <c r="CH277" s="224"/>
      <c r="CI277" s="224"/>
      <c r="CJ277" s="224"/>
      <c r="CK277" s="224"/>
      <c r="CL277" s="224"/>
      <c r="CM277" s="224"/>
      <c r="CN277" s="224"/>
      <c r="CO277" s="224"/>
      <c r="CP277" s="224"/>
      <c r="CQ277" s="693" t="s">
        <v>932</v>
      </c>
    </row>
    <row r="278" spans="2:95" ht="16.5" customHeight="1" x14ac:dyDescent="0.25">
      <c r="B278" t="s">
        <v>898</v>
      </c>
      <c r="G278" s="895">
        <f>IFERROR(ABS(G189)/G114,"n/a")</f>
        <v>3.1192591989980381E-2</v>
      </c>
      <c r="L278" s="895">
        <f>IFERROR(ABS(L189)/L114,"n/a")</f>
        <v>3.5904542880189474E-2</v>
      </c>
      <c r="Q278" s="895">
        <f>IFERROR(ABS(Q189)/Q114,"n/a")</f>
        <v>4.332190338589921E-2</v>
      </c>
      <c r="V278" s="895">
        <f>IFERROR(ABS(V189)/V114,"n/a")</f>
        <v>3.5694597310435422E-2</v>
      </c>
      <c r="AA278" s="895">
        <f>IFERROR(ABS(AA189)/AA114,"n/a")</f>
        <v>2.9743032074264125E-2</v>
      </c>
      <c r="AF278" s="895">
        <f>IFERROR(ABS(AF189)/AF114,"n/a")</f>
        <v>3.1950891930888223E-2</v>
      </c>
      <c r="AK278" s="895">
        <f>IFERROR(ABS(AK189)/AK114,"n/a")</f>
        <v>2.7864741077399616E-2</v>
      </c>
      <c r="AP278" s="895">
        <f>IFERROR(ABS(AP189)/AP114,"n/a")</f>
        <v>3.0349257905029143E-2</v>
      </c>
      <c r="AU278" s="895">
        <f>IFERROR(ABS(AU189)/AU114,"n/a")</f>
        <v>3.4883969842050173E-2</v>
      </c>
      <c r="AZ278" s="895">
        <f>IFERROR(ABS(AZ189)/AZ114,"n/a")</f>
        <v>4.0769617680261015E-2</v>
      </c>
      <c r="BE278" s="895">
        <f>IFERROR(ABS(BE189)/BE114,"n/a")</f>
        <v>3.0605771290813068E-2</v>
      </c>
      <c r="BJ278" s="895">
        <f>IFERROR(ABS(BJ189)/BJ114,"n/a")</f>
        <v>4.513825945575603E-2</v>
      </c>
      <c r="BO278" s="895">
        <f>IFERROR(ABS(BO189)/BO114,"n/a")</f>
        <v>4.5929172144385813E-2</v>
      </c>
      <c r="BT278" s="895">
        <f>IFERROR(ABS(BT189)/BT114,"n/a")</f>
        <v>5.3467684300356734E-2</v>
      </c>
      <c r="BY278" s="895">
        <f>IFERROR(ABS(BY189)/BY114,"n/a")</f>
        <v>4.2116011260861855E-2</v>
      </c>
      <c r="CD278" s="895">
        <f>IFERROR(ABS(CD189)/CD114,"n/a")</f>
        <v>3.7489017319479963E-2</v>
      </c>
      <c r="CE278" s="242">
        <f>IFERROR(ABS(CE189)/CE114,"n/a")</f>
        <v>3.1244717570655049E-2</v>
      </c>
      <c r="CF278" s="242">
        <f>IFERROR(ABS(CF189)/CF114,"n/a")</f>
        <v>3.0227758622820351E-2</v>
      </c>
      <c r="CG278" s="242">
        <f>CI278</f>
        <v>3.7489017319479997E-2</v>
      </c>
      <c r="CH278" s="242">
        <f>CG278</f>
        <v>3.7489017319479997E-2</v>
      </c>
      <c r="CI278" s="795">
        <v>3.7489017319479997E-2</v>
      </c>
      <c r="CJ278" s="795">
        <v>3.7489017319479997E-2</v>
      </c>
      <c r="CK278" s="795">
        <v>3.7489017319479997E-2</v>
      </c>
      <c r="CL278" s="795">
        <v>3.7489017319479997E-2</v>
      </c>
      <c r="CM278" s="795">
        <v>3.7489017319479997E-2</v>
      </c>
      <c r="CQ278" s="693" t="s">
        <v>933</v>
      </c>
    </row>
    <row r="279" spans="2:95" ht="16.5" customHeight="1" x14ac:dyDescent="0.25">
      <c r="B279" t="s">
        <v>899</v>
      </c>
      <c r="G279" s="895">
        <f>IFERROR(G176/G114,"n/a")</f>
        <v>2.8904785238467318E-2</v>
      </c>
      <c r="L279" s="895">
        <f>IFERROR(L176/L114,"n/a")</f>
        <v>2.7872981275850823E-2</v>
      </c>
      <c r="Q279" s="895">
        <f>IFERROR(Q176/Q114,"n/a")</f>
        <v>2.7164617158850893E-2</v>
      </c>
      <c r="V279" s="895">
        <f>IFERROR(V176/V114,"n/a")</f>
        <v>2.8732208537603374E-2</v>
      </c>
      <c r="AA279" s="895">
        <f>IFERROR(AA176/AA114,"n/a")</f>
        <v>2.948136317038497E-2</v>
      </c>
      <c r="AF279" s="895">
        <f>IFERROR(AF176/AF114,"n/a")</f>
        <v>3.1126115210577412E-2</v>
      </c>
      <c r="AK279" s="895">
        <f>IFERROR(AK176/AK114,"n/a")</f>
        <v>3.2093292652337103E-2</v>
      </c>
      <c r="AP279" s="895">
        <f>IFERROR(AP176/AP114,"n/a")</f>
        <v>2.8573499193601345E-2</v>
      </c>
      <c r="AU279" s="895">
        <f>IFERROR(AU176/AU114,"n/a")</f>
        <v>2.6289662767746289E-2</v>
      </c>
      <c r="AZ279" s="895">
        <f>IFERROR(AZ176/AZ114,"n/a")</f>
        <v>2.476225297048229E-2</v>
      </c>
      <c r="BE279" s="895">
        <f>IFERROR(BE176/BE114,"n/a")</f>
        <v>2.5738121040549074E-2</v>
      </c>
      <c r="BJ279" s="895">
        <f>IFERROR(BJ176/BJ114,"n/a")</f>
        <v>2.6883305814565467E-2</v>
      </c>
      <c r="BO279" s="895">
        <f>IFERROR(BO176/BO114,"n/a")</f>
        <v>2.478372136611872E-2</v>
      </c>
      <c r="BT279" s="895">
        <f>IFERROR(BT176/BT114,"n/a")</f>
        <v>2.3449500782524526E-2</v>
      </c>
      <c r="BY279" s="895">
        <f>IFERROR(BY176/BY114,"n/a")</f>
        <v>2.3795774960099308E-2</v>
      </c>
      <c r="CD279" s="895">
        <f>IFERROR(CD176/CD114,"n/a")</f>
        <v>2.4351762823833664E-2</v>
      </c>
      <c r="CE279" s="242">
        <f>IFERROR(CE176/CE114,"n/a")</f>
        <v>2.2615613634256862E-2</v>
      </c>
      <c r="CF279" s="242">
        <f>IFERROR(CF176/CF114,"n/a")</f>
        <v>2.4049690716357385E-2</v>
      </c>
      <c r="CG279" s="242">
        <f>CI279</f>
        <v>2.4351762823833702E-2</v>
      </c>
      <c r="CH279" s="242">
        <f>CG279</f>
        <v>2.4351762823833702E-2</v>
      </c>
      <c r="CI279" s="795">
        <v>2.4351762823833702E-2</v>
      </c>
      <c r="CJ279" s="795">
        <v>2.4351762823833702E-2</v>
      </c>
      <c r="CK279" s="795">
        <v>2.4351762823833702E-2</v>
      </c>
      <c r="CL279" s="795">
        <v>2.4351762823833702E-2</v>
      </c>
      <c r="CM279" s="795">
        <v>2.4351762823833702E-2</v>
      </c>
      <c r="CQ279" s="693" t="s">
        <v>934</v>
      </c>
    </row>
    <row r="280" spans="2:95" ht="16.5" customHeight="1" x14ac:dyDescent="0.25">
      <c r="B280" t="s">
        <v>900</v>
      </c>
      <c r="G280" s="862"/>
      <c r="L280" s="862"/>
      <c r="Q280" s="862"/>
      <c r="V280" s="862"/>
      <c r="AA280" s="862"/>
      <c r="AF280" s="862"/>
      <c r="AK280" s="862"/>
      <c r="AP280" s="862"/>
      <c r="AU280" s="862"/>
      <c r="AZ280" s="862"/>
      <c r="BE280" s="862"/>
      <c r="BJ280" s="862"/>
      <c r="BO280" s="862"/>
      <c r="BT280" s="862"/>
      <c r="BY280" s="862"/>
      <c r="CD280" s="862"/>
      <c r="CI280" s="717"/>
      <c r="CJ280" s="717"/>
      <c r="CK280" s="717"/>
      <c r="CL280" s="717"/>
      <c r="CM280" s="717"/>
      <c r="CQ280" s="693" t="s">
        <v>935</v>
      </c>
    </row>
    <row r="281" spans="2:95" ht="16.5" customHeight="1" x14ac:dyDescent="0.25">
      <c r="B281" t="s">
        <v>901</v>
      </c>
      <c r="G281" s="895">
        <f>IFERROR(G177/G114,"n/a")</f>
        <v>1.4238605426410854E-2</v>
      </c>
      <c r="L281" s="895">
        <f>IFERROR(L177/L114,"n/a")</f>
        <v>1.3457016836288123E-2</v>
      </c>
      <c r="Q281" s="895">
        <f>IFERROR(Q177/Q114,"n/a")</f>
        <v>1.365924610939059E-2</v>
      </c>
      <c r="V281" s="895">
        <f>IFERROR(V177/V114,"n/a")</f>
        <v>1.2670137772855418E-2</v>
      </c>
      <c r="AA281" s="895">
        <f>IFERROR(AA177/AA114,"n/a")</f>
        <v>1.1773590320138499E-2</v>
      </c>
      <c r="AF281" s="895">
        <f>IFERROR(AF177/AF114,"n/a")</f>
        <v>9.8985085122659296E-3</v>
      </c>
      <c r="AK281" s="895">
        <f>IFERROR(AK177/AK114,"n/a")</f>
        <v>8.8414415467734028E-3</v>
      </c>
      <c r="AP281" s="895">
        <f>IFERROR(AP177/AP114,"n/a")</f>
        <v>7.5290567778327653E-3</v>
      </c>
      <c r="AU281" s="895">
        <f>IFERROR(AU177/AU114,"n/a")</f>
        <v>6.4001494020228334E-3</v>
      </c>
      <c r="AZ281" s="895">
        <f>IFERROR(AZ177/AZ114,"n/a")</f>
        <v>4.5905497470790932E-3</v>
      </c>
      <c r="BE281" s="895">
        <f>IFERROR(BE177/BE114,"n/a")</f>
        <v>4.4128139046798916E-3</v>
      </c>
      <c r="BJ281" s="895">
        <f>IFERROR(BJ177/BJ114,"n/a")</f>
        <v>4.7293243707119898E-3</v>
      </c>
      <c r="BO281" s="895">
        <f>IFERROR(BO177/BO114,"n/a")</f>
        <v>4.3319960616420867E-3</v>
      </c>
      <c r="BT281" s="895">
        <f>IFERROR(BT177/BT114,"n/a")</f>
        <v>3.4801986617172117E-3</v>
      </c>
      <c r="BY281" s="895">
        <f>IFERROR(BY177/BY114,"n/a")</f>
        <v>2.8121674942365666E-3</v>
      </c>
      <c r="CD281" s="895">
        <f>IFERROR(CD177/CD114,"n/a")</f>
        <v>2.5164325767026265E-3</v>
      </c>
      <c r="CE281" s="242">
        <f>IFERROR(CE177/CE114,"n/a")</f>
        <v>2.4655880968349956E-3</v>
      </c>
      <c r="CF281" s="242">
        <f>IFERROR(CF177/CF114,"n/a")</f>
        <v>2.6008914897803792E-3</v>
      </c>
      <c r="CG281" s="242">
        <f>CI281</f>
        <v>2.51643257670263E-3</v>
      </c>
      <c r="CH281" s="242">
        <f>CG281</f>
        <v>2.51643257670263E-3</v>
      </c>
      <c r="CI281" s="795">
        <v>2.51643257670263E-3</v>
      </c>
      <c r="CJ281" s="795">
        <v>2.51643257670263E-3</v>
      </c>
      <c r="CK281" s="795">
        <v>2.51643257670263E-3</v>
      </c>
      <c r="CL281" s="795">
        <v>2.51643257670263E-3</v>
      </c>
      <c r="CM281" s="795">
        <v>2.51643257670263E-3</v>
      </c>
      <c r="CQ281" s="693" t="s">
        <v>936</v>
      </c>
    </row>
    <row r="282" spans="2:95" ht="16.5" customHeight="1" x14ac:dyDescent="0.25">
      <c r="B282" t="s">
        <v>902</v>
      </c>
      <c r="G282" s="862"/>
      <c r="L282" s="862"/>
      <c r="Q282" s="862"/>
      <c r="V282" s="862"/>
      <c r="AA282" s="862"/>
      <c r="AF282" s="862"/>
      <c r="AK282" s="862"/>
      <c r="AP282" s="862"/>
      <c r="AU282" s="862"/>
      <c r="AZ282" s="862"/>
      <c r="BE282" s="862"/>
      <c r="BJ282" s="862"/>
      <c r="BO282" s="862"/>
      <c r="BT282" s="862"/>
      <c r="BY282" s="862"/>
      <c r="CD282" s="862"/>
      <c r="CI282" s="717"/>
      <c r="CJ282" s="717"/>
      <c r="CK282" s="717"/>
      <c r="CL282" s="717"/>
      <c r="CM282" s="717"/>
      <c r="CQ282" s="693" t="s">
        <v>937</v>
      </c>
    </row>
    <row r="283" spans="2:95" ht="16.5" customHeight="1" x14ac:dyDescent="0.25">
      <c r="B283" t="s">
        <v>903</v>
      </c>
      <c r="G283" s="862"/>
      <c r="L283" s="862"/>
      <c r="Q283" s="862"/>
      <c r="V283" s="862"/>
      <c r="AA283" s="862"/>
      <c r="AF283" s="862"/>
      <c r="AK283" s="862"/>
      <c r="AP283" s="862"/>
      <c r="AU283" s="862"/>
      <c r="AZ283" s="862"/>
      <c r="BE283" s="862"/>
      <c r="BJ283" s="862"/>
      <c r="BO283" s="862"/>
      <c r="BT283" s="862"/>
      <c r="BY283" s="862"/>
      <c r="CD283" s="862"/>
      <c r="CI283" s="717"/>
      <c r="CJ283" s="717"/>
      <c r="CK283" s="717"/>
      <c r="CL283" s="717"/>
      <c r="CM283" s="717"/>
      <c r="CQ283" s="693" t="s">
        <v>938</v>
      </c>
    </row>
    <row r="284" spans="2:95" ht="16.5" customHeight="1" x14ac:dyDescent="0.25">
      <c r="B284" t="s">
        <v>904</v>
      </c>
      <c r="G284" s="862"/>
      <c r="L284" s="862"/>
      <c r="Q284" s="862"/>
      <c r="V284" s="862"/>
      <c r="AA284" s="862"/>
      <c r="AF284" s="862"/>
      <c r="AK284" s="862"/>
      <c r="AP284" s="862"/>
      <c r="AU284" s="862"/>
      <c r="AZ284" s="862"/>
      <c r="BE284" s="862"/>
      <c r="BJ284" s="862"/>
      <c r="BO284" s="862"/>
      <c r="BT284" s="862"/>
      <c r="BY284" s="862"/>
      <c r="CD284" s="862"/>
      <c r="CI284" s="717"/>
      <c r="CJ284" s="717"/>
      <c r="CK284" s="717"/>
      <c r="CL284" s="717"/>
      <c r="CM284" s="717"/>
      <c r="CQ284" s="693" t="s">
        <v>939</v>
      </c>
    </row>
    <row r="285" spans="2:95" ht="16.5" customHeight="1" x14ac:dyDescent="0.25">
      <c r="G285" s="862"/>
      <c r="L285" s="862"/>
      <c r="Q285" s="862"/>
      <c r="V285" s="862"/>
      <c r="AA285" s="862"/>
      <c r="AF285" s="862"/>
      <c r="AK285" s="862"/>
      <c r="AP285" s="862"/>
      <c r="AU285" s="862"/>
      <c r="AZ285" s="862"/>
      <c r="BE285" s="862"/>
      <c r="BJ285" s="862"/>
      <c r="BO285" s="862"/>
      <c r="BT285" s="862"/>
      <c r="BY285" s="862"/>
      <c r="CD285" s="862"/>
      <c r="CI285" s="717"/>
      <c r="CJ285" s="717"/>
      <c r="CK285" s="717"/>
      <c r="CL285" s="717"/>
      <c r="CM285" s="717"/>
      <c r="CQ285" s="693"/>
    </row>
    <row r="286" spans="2:95" ht="16.5" customHeight="1" x14ac:dyDescent="0.25">
      <c r="B286" s="149" t="s">
        <v>905</v>
      </c>
      <c r="G286" s="867"/>
      <c r="H286" s="224"/>
      <c r="I286" s="224"/>
      <c r="J286" s="224"/>
      <c r="K286" s="224"/>
      <c r="L286" s="867"/>
      <c r="M286" s="224"/>
      <c r="N286" s="224"/>
      <c r="O286" s="224"/>
      <c r="P286" s="224"/>
      <c r="Q286" s="867"/>
      <c r="R286" s="224"/>
      <c r="S286" s="224"/>
      <c r="T286" s="224"/>
      <c r="U286" s="224"/>
      <c r="V286" s="867"/>
      <c r="W286" s="224"/>
      <c r="X286" s="224"/>
      <c r="Y286" s="224"/>
      <c r="Z286" s="224"/>
      <c r="AA286" s="867"/>
      <c r="AB286" s="224"/>
      <c r="AC286" s="224"/>
      <c r="AD286" s="224"/>
      <c r="AE286" s="224"/>
      <c r="AF286" s="867"/>
      <c r="AG286" s="224"/>
      <c r="AH286" s="224"/>
      <c r="AI286" s="224"/>
      <c r="AJ286" s="224"/>
      <c r="AK286" s="867"/>
      <c r="AL286" s="224"/>
      <c r="AM286" s="224"/>
      <c r="AN286" s="224"/>
      <c r="AO286" s="224"/>
      <c r="AP286" s="867"/>
      <c r="AQ286" s="224"/>
      <c r="AR286" s="224"/>
      <c r="AS286" s="224"/>
      <c r="AT286" s="224"/>
      <c r="AU286" s="867"/>
      <c r="AV286" s="224"/>
      <c r="AW286" s="224"/>
      <c r="AX286" s="224"/>
      <c r="AY286" s="224"/>
      <c r="AZ286" s="867"/>
      <c r="BA286" s="224"/>
      <c r="BB286" s="224"/>
      <c r="BC286" s="224"/>
      <c r="BD286" s="224"/>
      <c r="BE286" s="867"/>
      <c r="BF286" s="224"/>
      <c r="BG286" s="224"/>
      <c r="BH286" s="224"/>
      <c r="BI286" s="224"/>
      <c r="BJ286" s="867"/>
      <c r="BK286" s="224"/>
      <c r="BL286" s="224"/>
      <c r="BM286" s="224"/>
      <c r="BN286" s="224"/>
      <c r="BO286" s="867"/>
      <c r="BP286" s="224"/>
      <c r="BQ286" s="224"/>
      <c r="BR286" s="224"/>
      <c r="BS286" s="224"/>
      <c r="BT286" s="867"/>
      <c r="BU286" s="224"/>
      <c r="BV286" s="224"/>
      <c r="BW286" s="224"/>
      <c r="BX286" s="224"/>
      <c r="BY286" s="867"/>
      <c r="BZ286" s="224"/>
      <c r="CA286" s="224"/>
      <c r="CB286" s="224"/>
      <c r="CC286" s="224"/>
      <c r="CD286" s="867"/>
      <c r="CE286" s="224"/>
      <c r="CF286" s="224"/>
      <c r="CG286" s="224"/>
      <c r="CH286" s="224"/>
      <c r="CI286" s="224"/>
      <c r="CJ286" s="224"/>
      <c r="CK286" s="224"/>
      <c r="CL286" s="224"/>
      <c r="CM286" s="224"/>
      <c r="CN286" s="224"/>
      <c r="CO286" s="224"/>
      <c r="CP286" s="224"/>
      <c r="CQ286" s="693" t="s">
        <v>940</v>
      </c>
    </row>
    <row r="287" spans="2:95" ht="16.5" customHeight="1" x14ac:dyDescent="0.25">
      <c r="B287" t="s">
        <v>906</v>
      </c>
      <c r="G287" s="895">
        <f>IFERROR(G235/G114,"n/a")</f>
        <v>0</v>
      </c>
      <c r="L287" s="895">
        <f>IFERROR(L235/L114,"n/a")</f>
        <v>0</v>
      </c>
      <c r="Q287" s="895">
        <f>IFERROR(Q235/Q114,"n/a")</f>
        <v>0</v>
      </c>
      <c r="V287" s="895">
        <f>IFERROR(V235/V114,"n/a")</f>
        <v>0</v>
      </c>
      <c r="AA287" s="895">
        <f>IFERROR(AA235/AA114,"n/a")</f>
        <v>0</v>
      </c>
      <c r="AF287" s="895">
        <f>IFERROR(AF235/AF114,"n/a")</f>
        <v>0</v>
      </c>
      <c r="AK287" s="895">
        <f>IFERROR(AK235/AK114,"n/a")</f>
        <v>0</v>
      </c>
      <c r="AP287" s="895">
        <f>IFERROR(AP235/AP114,"n/a")</f>
        <v>0</v>
      </c>
      <c r="AU287" s="895">
        <f>IFERROR(AU235/AU114,"n/a")</f>
        <v>0</v>
      </c>
      <c r="AZ287" s="895">
        <f>IFERROR(AZ235/AZ114,"n/a")</f>
        <v>0</v>
      </c>
      <c r="BE287" s="895">
        <f>IFERROR(BE235/BE114,"n/a")</f>
        <v>6.5604596065804276E-3</v>
      </c>
      <c r="BJ287" s="895">
        <f>IFERROR(BJ235/BJ114,"n/a")</f>
        <v>6.2303799483378807E-3</v>
      </c>
      <c r="BO287" s="895">
        <f>IFERROR(BO235/BO114,"n/a")</f>
        <v>2.8427591827215582E-3</v>
      </c>
      <c r="BT287" s="895">
        <f>IFERROR(BT235/BT114,"n/a")</f>
        <v>2.6382686154894624E-3</v>
      </c>
      <c r="BY287" s="895">
        <f>IFERROR(BY235/BY114,"n/a")</f>
        <v>6.6179730448661109E-3</v>
      </c>
      <c r="CD287" s="895">
        <f>IFERROR(CD235/CD114,"n/a")</f>
        <v>5.8174533443298287E-3</v>
      </c>
      <c r="CE287" s="242">
        <f>IFERROR(CE235/CE114,"n/a")</f>
        <v>6.0889938255784997E-3</v>
      </c>
      <c r="CF287" s="242">
        <f>IFERROR(CF235/CF114,"n/a")</f>
        <v>6.5621176732287845E-3</v>
      </c>
      <c r="CG287" s="242">
        <f>CI287</f>
        <v>5.8174533443298296E-3</v>
      </c>
      <c r="CH287" s="242">
        <f>CG287</f>
        <v>5.8174533443298296E-3</v>
      </c>
      <c r="CI287" s="795">
        <v>5.8174533443298296E-3</v>
      </c>
      <c r="CJ287" s="795">
        <v>5.8174533443298296E-3</v>
      </c>
      <c r="CK287" s="795">
        <v>5.8174533443298296E-3</v>
      </c>
      <c r="CL287" s="795">
        <v>5.8174533443298296E-3</v>
      </c>
      <c r="CM287" s="795">
        <v>5.8174533443298296E-3</v>
      </c>
      <c r="CQ287" s="693"/>
    </row>
    <row r="288" spans="2:95" ht="16.5" customHeight="1" x14ac:dyDescent="0.25">
      <c r="B288" t="s">
        <v>907</v>
      </c>
      <c r="G288" s="895">
        <f>IFERROR(G236/G114,"n/a")</f>
        <v>1.0510100025919332E-2</v>
      </c>
      <c r="L288" s="895">
        <f>IFERROR(L236/L114,"n/a")</f>
        <v>1.1191154512846037E-2</v>
      </c>
      <c r="Q288" s="895">
        <f>IFERROR(Q236/Q114,"n/a")</f>
        <v>1.4484907286227049E-2</v>
      </c>
      <c r="V288" s="895">
        <f>IFERROR(V236/V114,"n/a")</f>
        <v>1.9797257874636393E-2</v>
      </c>
      <c r="AA288" s="895">
        <f>IFERROR(AA236/AA114,"n/a")</f>
        <v>2.0056751567464698E-2</v>
      </c>
      <c r="AF288" s="895">
        <f>IFERROR(AF236/AF114,"n/a")</f>
        <v>1.6347050839189522E-2</v>
      </c>
      <c r="AK288" s="895">
        <f>IFERROR(AK236/AK114,"n/a")</f>
        <v>1.0712966383450314E-2</v>
      </c>
      <c r="AP288" s="895">
        <f>IFERROR(AP236/AP114,"n/a")</f>
        <v>1.261969854944337E-2</v>
      </c>
      <c r="AU288" s="895">
        <f>IFERROR(AU236/AU114,"n/a")</f>
        <v>8.3256196419370897E-3</v>
      </c>
      <c r="AZ288" s="895">
        <f>IFERROR(AZ236/AZ114,"n/a")</f>
        <v>5.0329418593482271E-3</v>
      </c>
      <c r="BE288" s="895">
        <f>IFERROR(BE236/BE114,"n/a")</f>
        <v>6.1108233716546815E-3</v>
      </c>
      <c r="BJ288" s="895">
        <f>IFERROR(BJ236/BJ114,"n/a")</f>
        <v>1.1496171273912665E-2</v>
      </c>
      <c r="BO288" s="895">
        <f>IFERROR(BO236/BO114,"n/a")</f>
        <v>1.254898653823412E-2</v>
      </c>
      <c r="BT288" s="895">
        <f>IFERROR(BT236/BT114,"n/a")</f>
        <v>1.5154137730347175E-2</v>
      </c>
      <c r="BY288" s="895">
        <f>IFERROR(BY236/BY114,"n/a")</f>
        <v>1.4601159336761838E-2</v>
      </c>
      <c r="CD288" s="895">
        <f>IFERROR(CD236/CD114,"n/a")</f>
        <v>1.3598060831616859E-2</v>
      </c>
      <c r="CE288" s="242">
        <f>IFERROR(CE236/CE114,"n/a")</f>
        <v>4.8796469474147224E-2</v>
      </c>
      <c r="CF288" s="242">
        <f>IFERROR(CF236/CF114,"n/a")</f>
        <v>5.1191742549767244E-2</v>
      </c>
      <c r="CG288" s="242">
        <f>CI288</f>
        <v>1.3598060831616901E-2</v>
      </c>
      <c r="CH288" s="242">
        <f>CG288</f>
        <v>1.3598060831616901E-2</v>
      </c>
      <c r="CI288" s="795">
        <v>1.3598060831616901E-2</v>
      </c>
      <c r="CJ288" s="795">
        <v>1.3598060831616901E-2</v>
      </c>
      <c r="CK288" s="795">
        <v>1.3598060831616901E-2</v>
      </c>
      <c r="CL288" s="795">
        <v>1.3598060831616901E-2</v>
      </c>
      <c r="CM288" s="795">
        <v>1.3598060831616901E-2</v>
      </c>
      <c r="CQ288" s="693"/>
    </row>
    <row r="289" spans="2:95" ht="16.5" customHeight="1" x14ac:dyDescent="0.25">
      <c r="B289" t="s">
        <v>908</v>
      </c>
      <c r="G289" s="895">
        <f>IFERROR(G250/G114,"n/a")</f>
        <v>0.13330009856913935</v>
      </c>
      <c r="L289" s="895">
        <f>IFERROR(L250/L114,"n/a")</f>
        <v>0.1420400913038255</v>
      </c>
      <c r="Q289" s="895">
        <f>IFERROR(Q250/Q114,"n/a")</f>
        <v>0.17314507664597723</v>
      </c>
      <c r="V289" s="895">
        <f>IFERROR(V250/V114,"n/a")</f>
        <v>0.10334055980302728</v>
      </c>
      <c r="AA289" s="895">
        <f>IFERROR(AA250/AA114,"n/a")</f>
        <v>0.1088270776341053</v>
      </c>
      <c r="AF289" s="895">
        <f>IFERROR(AF250/AF114,"n/a")</f>
        <v>0.13788738372746809</v>
      </c>
      <c r="AK289" s="895">
        <f>IFERROR(AK250/AK114,"n/a")</f>
        <v>0.16656612506877255</v>
      </c>
      <c r="AP289" s="895">
        <f>IFERROR(AP250/AP114,"n/a")</f>
        <v>0.10861637365646937</v>
      </c>
      <c r="AU289" s="895">
        <f>IFERROR(AU250/AU114,"n/a")</f>
        <v>4.3355743636758218E-2</v>
      </c>
      <c r="AZ289" s="895">
        <f>IFERROR(AZ250/AZ114,"n/a")</f>
        <v>5.5095548089399697E-2</v>
      </c>
      <c r="BE289" s="895">
        <f>IFERROR(BE250/BE114,"n/a")</f>
        <v>6.3568232731992538E-2</v>
      </c>
      <c r="BJ289" s="895">
        <f>IFERROR(BJ250/BJ114,"n/a")</f>
        <v>5.7057643549616011E-2</v>
      </c>
      <c r="BO289" s="895">
        <f>IFERROR(BO250/BO114,"n/a")</f>
        <v>4.6314904589689045E-2</v>
      </c>
      <c r="BT289" s="895">
        <f>IFERROR(BT250/BT114,"n/a")</f>
        <v>4.7480693205154113E-2</v>
      </c>
      <c r="BY289" s="895">
        <f>IFERROR(BY250/BY114,"n/a")</f>
        <v>4.6318329934385533E-2</v>
      </c>
      <c r="CD289" s="895">
        <f>IFERROR(CD250/CD114,"n/a")</f>
        <v>4.0723468537728617E-2</v>
      </c>
      <c r="CE289" s="242">
        <f>IFERROR(CE250/CE114,"n/a")</f>
        <v>0.14184901839966702</v>
      </c>
      <c r="CF289" s="242">
        <f>IFERROR(CF250/CF114,"n/a")</f>
        <v>0.14524591067800946</v>
      </c>
      <c r="CG289" s="242">
        <f>CI289</f>
        <v>4.0723468537728597E-2</v>
      </c>
      <c r="CH289" s="242">
        <f>CG289</f>
        <v>4.0723468537728597E-2</v>
      </c>
      <c r="CI289" s="795">
        <v>4.0723468537728597E-2</v>
      </c>
      <c r="CJ289" s="795">
        <v>4.0723468537728597E-2</v>
      </c>
      <c r="CK289" s="795">
        <v>4.0723468537728597E-2</v>
      </c>
      <c r="CL289" s="795">
        <v>4.0723468537728597E-2</v>
      </c>
      <c r="CM289" s="795">
        <v>4.0723468537728597E-2</v>
      </c>
      <c r="CQ289" s="693" t="s">
        <v>941</v>
      </c>
    </row>
    <row r="290" spans="2:95" ht="16.5" customHeight="1" x14ac:dyDescent="0.25">
      <c r="B290" t="s">
        <v>909</v>
      </c>
      <c r="G290" s="895">
        <f>IFERROR(G251/G114,"n/a")</f>
        <v>3.2891538000200546E-2</v>
      </c>
      <c r="L290" s="895">
        <f>IFERROR(L251/L114,"n/a")</f>
        <v>2.4340106749961385E-2</v>
      </c>
      <c r="Q290" s="895">
        <f>IFERROR(Q251/Q114,"n/a")</f>
        <v>1.4761882394101563E-2</v>
      </c>
      <c r="V290" s="895">
        <f>IFERROR(V251/V114,"n/a")</f>
        <v>3.9986423073725692E-2</v>
      </c>
      <c r="AA290" s="895">
        <f>IFERROR(AA251/AA114,"n/a")</f>
        <v>3.1691389280637063E-2</v>
      </c>
      <c r="AF290" s="895">
        <f>IFERROR(AF251/AF114,"n/a")</f>
        <v>2.3840125565623402E-2</v>
      </c>
      <c r="AK290" s="895">
        <f>IFERROR(AK251/AK114,"n/a")</f>
        <v>4.5714295190960631E-3</v>
      </c>
      <c r="AP290" s="895">
        <f>IFERROR(AP251/AP114,"n/a")</f>
        <v>5.3332820825745825E-3</v>
      </c>
      <c r="AU290" s="895">
        <f>IFERROR(AU251/AU114,"n/a")</f>
        <v>1.7153551914988477E-2</v>
      </c>
      <c r="AZ290" s="895">
        <f>IFERROR(AZ251/AZ114,"n/a")</f>
        <v>1.3952737374352894E-2</v>
      </c>
      <c r="BE290" s="895">
        <f>IFERROR(BE251/BE114,"n/a")</f>
        <v>1.4031285252416837E-2</v>
      </c>
      <c r="BJ290" s="895">
        <f>IFERROR(BJ251/BJ114,"n/a")</f>
        <v>2.2665553526954658E-2</v>
      </c>
      <c r="BO290" s="895">
        <f>IFERROR(BO251/BO114,"n/a")</f>
        <v>2.0926067508777801E-2</v>
      </c>
      <c r="BT290" s="895">
        <f>IFERROR(BT251/BT114,"n/a")</f>
        <v>1.1346153266248315E-2</v>
      </c>
      <c r="BY290" s="895">
        <f>IFERROR(BY251/BY114,"n/a")</f>
        <v>7.6620411420464628E-3</v>
      </c>
      <c r="CD290" s="895">
        <f>IFERROR(CD251/CD114,"n/a")</f>
        <v>8.4442307772007851E-3</v>
      </c>
      <c r="CE290" s="242">
        <f>IFERROR(CE251/CE114,"n/a")</f>
        <v>3.0013286729810441E-2</v>
      </c>
      <c r="CF290" s="242">
        <f>IFERROR(CF251/CF114,"n/a")</f>
        <v>4.3242672872302504E-2</v>
      </c>
      <c r="CG290" s="242">
        <f>CI290</f>
        <v>8.4442307772007903E-3</v>
      </c>
      <c r="CH290" s="242">
        <f>CG290</f>
        <v>8.4442307772007903E-3</v>
      </c>
      <c r="CI290" s="795">
        <v>8.4442307772007903E-3</v>
      </c>
      <c r="CJ290" s="795">
        <v>8.4442307772007903E-3</v>
      </c>
      <c r="CK290" s="795">
        <v>8.4442307772007903E-3</v>
      </c>
      <c r="CL290" s="795">
        <v>8.4442307772007903E-3</v>
      </c>
      <c r="CM290" s="795">
        <v>8.4442307772007903E-3</v>
      </c>
      <c r="CQ290" s="693"/>
    </row>
    <row r="291" spans="2:95" ht="16.5" customHeight="1" x14ac:dyDescent="0.25">
      <c r="B291" t="s">
        <v>910</v>
      </c>
      <c r="G291" s="895">
        <f>IFERROR(G252/G114,"n/a")</f>
        <v>1.4250902919803316E-3</v>
      </c>
      <c r="L291" s="895">
        <f>IFERROR(L252/L114,"n/a")</f>
        <v>9.2247756019702407E-4</v>
      </c>
      <c r="Q291" s="895">
        <f>IFERROR(Q252/Q114,"n/a")</f>
        <v>1.0269135578505435E-3</v>
      </c>
      <c r="V291" s="895">
        <f>IFERROR(V252/V114,"n/a")</f>
        <v>1.2584707339470278E-3</v>
      </c>
      <c r="AA291" s="895">
        <f>IFERROR(AA252/AA114,"n/a")</f>
        <v>3.6701612492141432E-4</v>
      </c>
      <c r="AF291" s="895">
        <f>IFERROR(AF252/AF114,"n/a")</f>
        <v>1.1557960857355993E-3</v>
      </c>
      <c r="AK291" s="895">
        <f>IFERROR(AK252/AK114,"n/a")</f>
        <v>1.8006274624917649E-3</v>
      </c>
      <c r="AP291" s="895">
        <f>IFERROR(AP252/AP114,"n/a")</f>
        <v>2.2458242643514136E-3</v>
      </c>
      <c r="AU291" s="895">
        <f>IFERROR(AU252/AU114,"n/a")</f>
        <v>1.3159040815392544E-2</v>
      </c>
      <c r="AZ291" s="895">
        <f>IFERROR(AZ252/AZ114,"n/a")</f>
        <v>1.0518259777468161E-2</v>
      </c>
      <c r="BE291" s="895">
        <f>IFERROR(BE252/BE114,"n/a")</f>
        <v>4.1036499923385032E-2</v>
      </c>
      <c r="BJ291" s="895">
        <f>IFERROR(BJ252/BJ114,"n/a")</f>
        <v>3.9600027068790136E-2</v>
      </c>
      <c r="BO291" s="895">
        <f>IFERROR(BO252/BO114,"n/a")</f>
        <v>3.8076173428733207E-2</v>
      </c>
      <c r="BT291" s="895">
        <f>IFERROR(BT252/BT114,"n/a")</f>
        <v>4.4720899586573749E-2</v>
      </c>
      <c r="BY291" s="895">
        <f>IFERROR(BY252/BY114,"n/a")</f>
        <v>4.6125199503458059E-2</v>
      </c>
      <c r="CD291" s="895">
        <f>IFERROR(CD252/CD114,"n/a")</f>
        <v>4.6751768626004504E-2</v>
      </c>
      <c r="CE291" s="242">
        <f>IFERROR(CE252/CE114,"n/a")</f>
        <v>0.17452601272690588</v>
      </c>
      <c r="CF291" s="242">
        <f>IFERROR(CF252/CF114,"n/a")</f>
        <v>0.1863325813943098</v>
      </c>
      <c r="CG291" s="242">
        <f>CI291</f>
        <v>4.6751768626004497E-2</v>
      </c>
      <c r="CH291" s="242">
        <f>CG291</f>
        <v>4.6751768626004497E-2</v>
      </c>
      <c r="CI291" s="795">
        <v>4.6751768626004497E-2</v>
      </c>
      <c r="CJ291" s="795">
        <v>4.6751768626004497E-2</v>
      </c>
      <c r="CK291" s="795">
        <v>4.6751768626004497E-2</v>
      </c>
      <c r="CL291" s="795">
        <v>4.6751768626004497E-2</v>
      </c>
      <c r="CM291" s="795">
        <v>4.6751768626004497E-2</v>
      </c>
      <c r="CQ291" s="693"/>
    </row>
    <row r="292" spans="2:95" ht="16.5" customHeight="1" x14ac:dyDescent="0.25">
      <c r="G292" s="862"/>
      <c r="L292" s="862"/>
      <c r="Q292" s="862"/>
      <c r="V292" s="862"/>
      <c r="AA292" s="862"/>
      <c r="AF292" s="862"/>
      <c r="AK292" s="862"/>
      <c r="AP292" s="862"/>
      <c r="AU292" s="862"/>
      <c r="AZ292" s="862"/>
      <c r="BE292" s="862"/>
      <c r="BJ292" s="862"/>
      <c r="BO292" s="862"/>
      <c r="BT292" s="862"/>
      <c r="BY292" s="862"/>
      <c r="CD292" s="862"/>
      <c r="CI292" s="717"/>
      <c r="CJ292" s="717"/>
      <c r="CK292" s="717"/>
      <c r="CL292" s="717"/>
      <c r="CM292" s="717"/>
      <c r="CQ292" s="693"/>
    </row>
    <row r="293" spans="2:95" ht="16.5" customHeight="1" x14ac:dyDescent="0.25">
      <c r="B293" s="149" t="s">
        <v>1135</v>
      </c>
      <c r="G293" s="867"/>
      <c r="H293" s="224"/>
      <c r="I293" s="224"/>
      <c r="J293" s="224"/>
      <c r="K293" s="224"/>
      <c r="L293" s="867"/>
      <c r="M293" s="224"/>
      <c r="N293" s="224"/>
      <c r="O293" s="224"/>
      <c r="P293" s="224"/>
      <c r="Q293" s="867"/>
      <c r="R293" s="224"/>
      <c r="S293" s="224"/>
      <c r="T293" s="224"/>
      <c r="U293" s="224"/>
      <c r="V293" s="867"/>
      <c r="W293" s="224"/>
      <c r="X293" s="224"/>
      <c r="Y293" s="224"/>
      <c r="Z293" s="224"/>
      <c r="AA293" s="867"/>
      <c r="AB293" s="224"/>
      <c r="AC293" s="224"/>
      <c r="AD293" s="224"/>
      <c r="AE293" s="224"/>
      <c r="AF293" s="867"/>
      <c r="AG293" s="224"/>
      <c r="AH293" s="224"/>
      <c r="AI293" s="224"/>
      <c r="AJ293" s="224"/>
      <c r="AK293" s="867"/>
      <c r="AL293" s="224"/>
      <c r="AM293" s="224"/>
      <c r="AN293" s="224"/>
      <c r="AO293" s="224"/>
      <c r="AP293" s="867"/>
      <c r="AQ293" s="224"/>
      <c r="AR293" s="224"/>
      <c r="AS293" s="224"/>
      <c r="AT293" s="224"/>
      <c r="AU293" s="867"/>
      <c r="AV293" s="224"/>
      <c r="AW293" s="224"/>
      <c r="AX293" s="224"/>
      <c r="AY293" s="224"/>
      <c r="AZ293" s="867"/>
      <c r="BA293" s="224"/>
      <c r="BB293" s="224"/>
      <c r="BC293" s="224"/>
      <c r="BD293" s="224"/>
      <c r="BE293" s="867"/>
      <c r="BF293" s="224"/>
      <c r="BG293" s="224"/>
      <c r="BH293" s="224"/>
      <c r="BI293" s="224"/>
      <c r="BJ293" s="867"/>
      <c r="BK293" s="224"/>
      <c r="BL293" s="224"/>
      <c r="BM293" s="224"/>
      <c r="BN293" s="224"/>
      <c r="BO293" s="867"/>
      <c r="BP293" s="224"/>
      <c r="BQ293" s="224"/>
      <c r="BR293" s="224"/>
      <c r="BS293" s="224"/>
      <c r="BT293" s="867"/>
      <c r="BU293" s="224"/>
      <c r="BV293" s="224"/>
      <c r="BW293" s="224"/>
      <c r="BX293" s="224"/>
      <c r="BY293" s="867"/>
      <c r="BZ293" s="224"/>
      <c r="CA293" s="224"/>
      <c r="CB293" s="224"/>
      <c r="CC293" s="224"/>
      <c r="CD293" s="867"/>
      <c r="CE293" s="224"/>
      <c r="CF293" s="224"/>
      <c r="CG293" s="224"/>
      <c r="CH293" s="224"/>
      <c r="CI293" s="224"/>
      <c r="CJ293" s="224"/>
      <c r="CK293" s="224"/>
      <c r="CL293" s="224"/>
      <c r="CM293" s="224"/>
      <c r="CN293" s="224"/>
      <c r="CO293" s="224"/>
      <c r="CP293" s="224"/>
      <c r="CQ293" s="693" t="s">
        <v>942</v>
      </c>
    </row>
    <row r="294" spans="2:95" ht="16.5" customHeight="1" x14ac:dyDescent="0.25">
      <c r="B294" t="s">
        <v>911</v>
      </c>
      <c r="G294" s="896">
        <f>0</f>
        <v>0</v>
      </c>
      <c r="L294" s="896">
        <f>G248-L248</f>
        <v>42.563000000000102</v>
      </c>
      <c r="Q294" s="896">
        <f>L248-Q248</f>
        <v>44.094999999999914</v>
      </c>
      <c r="V294" s="896">
        <f>Q248-V248</f>
        <v>69.975000000000023</v>
      </c>
      <c r="AA294" s="896">
        <f>V248-AA248</f>
        <v>-164.42700000000002</v>
      </c>
      <c r="AF294" s="896">
        <f>AA248-AF248</f>
        <v>-309.95299999999997</v>
      </c>
      <c r="AK294" s="896">
        <f>AF248-AK248</f>
        <v>70.220000000000027</v>
      </c>
      <c r="AP294" s="896">
        <f>AK248-AP248</f>
        <v>48.19399999999996</v>
      </c>
      <c r="AU294" s="896">
        <f>AP248-AU248</f>
        <v>97.817000000000007</v>
      </c>
      <c r="AZ294" s="896">
        <f>AU248-AZ248</f>
        <v>25.851999999999975</v>
      </c>
      <c r="BE294" s="896">
        <f>0</f>
        <v>0</v>
      </c>
      <c r="BJ294" s="896">
        <f>BE248-BJ248</f>
        <v>106.62699999999995</v>
      </c>
      <c r="BO294" s="896">
        <f>BJ248-BO248</f>
        <v>-13.516999999999939</v>
      </c>
      <c r="BT294" s="896">
        <f>BO248-BT248</f>
        <v>-26.220000000000027</v>
      </c>
      <c r="BY294" s="896">
        <f>BT248-BY248</f>
        <v>-11.047000000000025</v>
      </c>
      <c r="CD294" s="896">
        <f>BY248-CD248</f>
        <v>-69.984000000000037</v>
      </c>
      <c r="CE294" s="6">
        <f>CD248-CE248</f>
        <v>-108.18899999999985</v>
      </c>
      <c r="CF294" s="6">
        <f>CE248-CF248</f>
        <v>312.48699999999985</v>
      </c>
      <c r="CG294" s="2">
        <v>2.25</v>
      </c>
      <c r="CH294" s="2">
        <v>2.25</v>
      </c>
      <c r="CI294" s="796">
        <v>9</v>
      </c>
      <c r="CJ294" s="796">
        <v>9</v>
      </c>
      <c r="CK294" s="796">
        <v>9</v>
      </c>
      <c r="CL294" s="796">
        <v>9</v>
      </c>
      <c r="CM294" s="796">
        <v>9</v>
      </c>
      <c r="CQ294" s="693" t="s">
        <v>943</v>
      </c>
    </row>
    <row r="295" spans="2:95" ht="16.5" customHeight="1" x14ac:dyDescent="0.25">
      <c r="B295" t="s">
        <v>912</v>
      </c>
      <c r="G295" s="896">
        <f>G248</f>
        <v>757.32</v>
      </c>
      <c r="L295" s="896">
        <f>L248</f>
        <v>714.75699999999995</v>
      </c>
      <c r="Q295" s="896">
        <f>Q248</f>
        <v>670.66200000000003</v>
      </c>
      <c r="V295" s="896">
        <f>V248</f>
        <v>600.68700000000001</v>
      </c>
      <c r="AA295" s="896">
        <f>AA248</f>
        <v>765.11400000000003</v>
      </c>
      <c r="AF295" s="896">
        <f>AF248</f>
        <v>1075.067</v>
      </c>
      <c r="AK295" s="896">
        <f>AK248</f>
        <v>1004.847</v>
      </c>
      <c r="AP295" s="896">
        <f>AP248</f>
        <v>956.65300000000002</v>
      </c>
      <c r="AU295" s="896">
        <f>AU248</f>
        <v>858.83600000000001</v>
      </c>
      <c r="AZ295" s="896">
        <f>AZ248</f>
        <v>832.98400000000004</v>
      </c>
      <c r="BE295" s="896">
        <f>BE248</f>
        <v>929.98199999999997</v>
      </c>
      <c r="BJ295" s="896">
        <f>BJ248</f>
        <v>823.35500000000002</v>
      </c>
      <c r="BO295" s="896">
        <f>BO248</f>
        <v>836.87199999999996</v>
      </c>
      <c r="BT295" s="896">
        <f>BT248</f>
        <v>863.09199999999998</v>
      </c>
      <c r="BY295" s="896">
        <f>BY248</f>
        <v>874.13900000000001</v>
      </c>
      <c r="CD295" s="896">
        <f t="shared" ref="CD295:CM295" si="139">CD248</f>
        <v>944.12300000000005</v>
      </c>
      <c r="CE295" s="6">
        <f>CE248</f>
        <v>1052.3119999999999</v>
      </c>
      <c r="CF295" s="6">
        <f>CF248</f>
        <v>739.82500000000005</v>
      </c>
      <c r="CG295" s="6">
        <f>CG248</f>
        <v>737.57500000000005</v>
      </c>
      <c r="CH295" s="6">
        <f>CH248</f>
        <v>735.32500000000005</v>
      </c>
      <c r="CI295" s="797">
        <f t="shared" si="139"/>
        <v>935.12300000000005</v>
      </c>
      <c r="CJ295" s="797">
        <f t="shared" si="139"/>
        <v>926.12300000000005</v>
      </c>
      <c r="CK295" s="797">
        <f t="shared" si="139"/>
        <v>917.12300000000005</v>
      </c>
      <c r="CL295" s="797">
        <f t="shared" si="139"/>
        <v>908.12300000000005</v>
      </c>
      <c r="CM295" s="797">
        <f t="shared" si="139"/>
        <v>899.12300000000005</v>
      </c>
      <c r="CQ295" s="693" t="s">
        <v>944</v>
      </c>
    </row>
    <row r="296" spans="2:95" ht="16.5" customHeight="1" x14ac:dyDescent="0.25">
      <c r="B296" t="s">
        <v>913</v>
      </c>
      <c r="G296" s="896">
        <f>G241</f>
        <v>5.4050000000000002</v>
      </c>
      <c r="L296" s="896">
        <f>L241</f>
        <v>1.407</v>
      </c>
      <c r="Q296" s="896">
        <f>Q241</f>
        <v>3.1859999999999999</v>
      </c>
      <c r="V296" s="896">
        <f>V241</f>
        <v>3.3820000000000001</v>
      </c>
      <c r="AA296" s="896">
        <f>AA241</f>
        <v>5.2619999999999996</v>
      </c>
      <c r="AF296" s="896">
        <f>AF241</f>
        <v>3.4000000000000002E-2</v>
      </c>
      <c r="AK296" s="896">
        <f>AK241</f>
        <v>0.16700000000000001</v>
      </c>
      <c r="AP296" s="896">
        <f>AP241</f>
        <v>0.29499999999999998</v>
      </c>
      <c r="AU296" s="896">
        <f>AU241</f>
        <v>0.36499999999999999</v>
      </c>
      <c r="AZ296" s="896">
        <f>AZ241</f>
        <v>0.249</v>
      </c>
      <c r="BE296" s="896">
        <f>BE241</f>
        <v>0.35</v>
      </c>
      <c r="BJ296" s="896">
        <f>BJ241</f>
        <v>80.364999999999995</v>
      </c>
      <c r="BO296" s="896">
        <f>BO241</f>
        <v>0.91600000000000004</v>
      </c>
      <c r="BT296" s="896">
        <f>BT241</f>
        <v>0</v>
      </c>
      <c r="BY296" s="896">
        <f>BY241</f>
        <v>0</v>
      </c>
      <c r="CD296" s="896">
        <f t="shared" ref="CD296:CM297" si="140">CD241</f>
        <v>1.5629999999999999</v>
      </c>
      <c r="CE296" s="6">
        <f t="shared" ref="CE296:CH297" si="141">CE241</f>
        <v>4.6879999999999997</v>
      </c>
      <c r="CF296" s="6">
        <f t="shared" si="141"/>
        <v>500</v>
      </c>
      <c r="CG296" s="6">
        <f t="shared" si="141"/>
        <v>500</v>
      </c>
      <c r="CH296" s="6">
        <f t="shared" si="141"/>
        <v>500</v>
      </c>
      <c r="CI296" s="797">
        <f t="shared" si="140"/>
        <v>1.5629999999999999</v>
      </c>
      <c r="CJ296" s="797">
        <f t="shared" si="140"/>
        <v>1.5629999999999999</v>
      </c>
      <c r="CK296" s="797">
        <f t="shared" si="140"/>
        <v>1.5629999999999999</v>
      </c>
      <c r="CL296" s="797">
        <f t="shared" si="140"/>
        <v>1.5629999999999999</v>
      </c>
      <c r="CM296" s="797">
        <f t="shared" si="140"/>
        <v>1.5629999999999999</v>
      </c>
      <c r="CQ296" s="693" t="s">
        <v>945</v>
      </c>
    </row>
    <row r="297" spans="2:95" ht="16.5" customHeight="1" x14ac:dyDescent="0.25">
      <c r="B297" t="s">
        <v>914</v>
      </c>
      <c r="G297" s="896">
        <f>G242</f>
        <v>1.9910000000000001</v>
      </c>
      <c r="L297" s="896">
        <f>L242</f>
        <v>9.2829999999999995</v>
      </c>
      <c r="Q297" s="896">
        <f>Q242</f>
        <v>90.774000000000001</v>
      </c>
      <c r="V297" s="896">
        <f>V242</f>
        <v>105.08799999999999</v>
      </c>
      <c r="AA297" s="896">
        <f>AA242</f>
        <v>103.66</v>
      </c>
      <c r="AF297" s="896">
        <f>AF242</f>
        <v>8.3000000000000004E-2</v>
      </c>
      <c r="AK297" s="896">
        <f>AK242</f>
        <v>1.379</v>
      </c>
      <c r="AP297" s="896">
        <f>AP242</f>
        <v>8.8999999999999996E-2</v>
      </c>
      <c r="AU297" s="896">
        <f>AU242</f>
        <v>3.6230000000000002</v>
      </c>
      <c r="AZ297" s="896">
        <f>AZ242</f>
        <v>0</v>
      </c>
      <c r="BE297" s="896">
        <f>BE242</f>
        <v>0</v>
      </c>
      <c r="BJ297" s="896">
        <f>BJ242</f>
        <v>0</v>
      </c>
      <c r="BO297" s="896">
        <f>BO242</f>
        <v>0</v>
      </c>
      <c r="BT297" s="896">
        <f>BT242</f>
        <v>0</v>
      </c>
      <c r="BY297" s="896">
        <f>BY242</f>
        <v>0</v>
      </c>
      <c r="CD297" s="896">
        <f t="shared" si="140"/>
        <v>0</v>
      </c>
      <c r="CE297" s="6">
        <f t="shared" si="141"/>
        <v>0</v>
      </c>
      <c r="CF297" s="6">
        <f t="shared" si="141"/>
        <v>0</v>
      </c>
      <c r="CG297" s="6">
        <f t="shared" si="141"/>
        <v>0</v>
      </c>
      <c r="CH297" s="6">
        <f t="shared" si="141"/>
        <v>0</v>
      </c>
      <c r="CI297" s="797">
        <f t="shared" si="140"/>
        <v>0</v>
      </c>
      <c r="CJ297" s="797">
        <f t="shared" si="140"/>
        <v>0</v>
      </c>
      <c r="CK297" s="797">
        <f t="shared" si="140"/>
        <v>0</v>
      </c>
      <c r="CL297" s="797">
        <f t="shared" si="140"/>
        <v>0</v>
      </c>
      <c r="CM297" s="797">
        <f t="shared" si="140"/>
        <v>0</v>
      </c>
      <c r="CQ297" s="693" t="s">
        <v>946</v>
      </c>
    </row>
    <row r="298" spans="2:95" ht="16.5" customHeight="1" x14ac:dyDescent="0.25">
      <c r="B298" t="s">
        <v>1136</v>
      </c>
      <c r="G298" s="862"/>
      <c r="L298" s="862"/>
      <c r="Q298" s="862"/>
      <c r="V298" s="862"/>
      <c r="AA298" s="862"/>
      <c r="AF298" s="862"/>
      <c r="AK298" s="862"/>
      <c r="AP298" s="862"/>
      <c r="AU298" s="862"/>
      <c r="AZ298" s="862"/>
      <c r="BE298" s="862"/>
      <c r="BJ298" s="862"/>
      <c r="BO298" s="862"/>
      <c r="BT298" s="862"/>
      <c r="BY298" s="862"/>
      <c r="CD298" s="862"/>
      <c r="CI298" s="717"/>
      <c r="CJ298" s="717"/>
      <c r="CK298" s="717"/>
      <c r="CL298" s="717"/>
      <c r="CM298" s="717"/>
      <c r="CQ298" s="693"/>
    </row>
    <row r="299" spans="2:95" ht="16.5" customHeight="1" x14ac:dyDescent="0.25">
      <c r="B299" t="s">
        <v>1137</v>
      </c>
      <c r="G299" s="862"/>
      <c r="L299" s="862"/>
      <c r="Q299" s="862"/>
      <c r="V299" s="862"/>
      <c r="AA299" s="862"/>
      <c r="AF299" s="862"/>
      <c r="AK299" s="862"/>
      <c r="AP299" s="862"/>
      <c r="AU299" s="862"/>
      <c r="AZ299" s="862"/>
      <c r="BE299" s="862"/>
      <c r="BJ299" s="862"/>
      <c r="BO299" s="862"/>
      <c r="BT299" s="862"/>
      <c r="BY299" s="862"/>
      <c r="CD299" s="962">
        <f>IFERROR(CD127/((BY248+BY241+BY242+CD248+CD241+CD242)/2),0)</f>
        <v>7.921091313725219E-2</v>
      </c>
      <c r="CI299" s="959">
        <v>7.4999999999999997E-2</v>
      </c>
      <c r="CJ299" s="959">
        <v>7.1999999999999995E-2</v>
      </c>
      <c r="CK299" s="959">
        <v>7.0000000000000007E-2</v>
      </c>
      <c r="CL299" s="959">
        <v>6.8000000000000005E-2</v>
      </c>
      <c r="CM299" s="959">
        <v>6.5000000000000002E-2</v>
      </c>
      <c r="CQ299" s="693"/>
    </row>
    <row r="300" spans="2:95" ht="16.5" customHeight="1" x14ac:dyDescent="0.25">
      <c r="B300" t="s">
        <v>1138</v>
      </c>
      <c r="G300" s="862"/>
      <c r="L300" s="862"/>
      <c r="Q300" s="862"/>
      <c r="V300" s="862"/>
      <c r="AA300" s="862"/>
      <c r="AF300" s="862"/>
      <c r="AK300" s="862"/>
      <c r="AP300" s="862"/>
      <c r="AU300" s="862"/>
      <c r="AZ300" s="862"/>
      <c r="BE300" s="862"/>
      <c r="BJ300" s="862"/>
      <c r="BO300" s="862"/>
      <c r="BT300" s="862"/>
      <c r="BY300" s="862"/>
      <c r="CD300" s="896">
        <f>BY248+BY241+BY242</f>
        <v>874.13900000000001</v>
      </c>
      <c r="CI300" s="960">
        <f>CD303</f>
        <v>945.68600000000004</v>
      </c>
      <c r="CJ300" s="960">
        <f>CI303</f>
        <v>936.68600000000004</v>
      </c>
      <c r="CK300" s="960">
        <f>CJ303</f>
        <v>927.68600000000004</v>
      </c>
      <c r="CL300" s="960">
        <f>CK303</f>
        <v>918.68600000000004</v>
      </c>
      <c r="CM300" s="960">
        <f>CL303</f>
        <v>909.68600000000004</v>
      </c>
      <c r="CQ300" s="693"/>
    </row>
    <row r="301" spans="2:95" ht="16.5" customHeight="1" x14ac:dyDescent="0.25">
      <c r="B301" t="s">
        <v>1139</v>
      </c>
      <c r="G301" s="862"/>
      <c r="L301" s="862"/>
      <c r="Q301" s="862"/>
      <c r="V301" s="862"/>
      <c r="AA301" s="862"/>
      <c r="AF301" s="862"/>
      <c r="AK301" s="862"/>
      <c r="AP301" s="862"/>
      <c r="AU301" s="862"/>
      <c r="AZ301" s="862"/>
      <c r="BE301" s="862"/>
      <c r="BJ301" s="862"/>
      <c r="BO301" s="862"/>
      <c r="BT301" s="862"/>
      <c r="BY301" s="862"/>
      <c r="CD301" s="896">
        <f>CD196+CD197</f>
        <v>69.5</v>
      </c>
      <c r="CI301" s="960">
        <f>CI196+CI197</f>
        <v>-9</v>
      </c>
      <c r="CJ301" s="960">
        <f>CJ196+CJ197</f>
        <v>-9</v>
      </c>
      <c r="CK301" s="960">
        <f>CK196+CK197</f>
        <v>-9</v>
      </c>
      <c r="CL301" s="960">
        <f>CL196+CL197</f>
        <v>-9</v>
      </c>
      <c r="CM301" s="960">
        <f>CM196+CM197</f>
        <v>-9</v>
      </c>
      <c r="CQ301" s="693"/>
    </row>
    <row r="302" spans="2:95" ht="16.5" customHeight="1" x14ac:dyDescent="0.25">
      <c r="B302" t="s">
        <v>1140</v>
      </c>
      <c r="G302" s="862"/>
      <c r="L302" s="862"/>
      <c r="Q302" s="862"/>
      <c r="V302" s="862"/>
      <c r="AA302" s="862"/>
      <c r="AF302" s="862"/>
      <c r="AK302" s="862"/>
      <c r="AP302" s="862"/>
      <c r="AU302" s="862"/>
      <c r="AZ302" s="862"/>
      <c r="BE302" s="862"/>
      <c r="BJ302" s="862"/>
      <c r="BO302" s="862"/>
      <c r="BT302" s="862"/>
      <c r="BY302" s="862"/>
      <c r="CD302" s="896">
        <v>0</v>
      </c>
      <c r="CI302" s="960">
        <v>0</v>
      </c>
      <c r="CJ302" s="960">
        <v>0</v>
      </c>
      <c r="CK302" s="960">
        <v>0</v>
      </c>
      <c r="CL302" s="960">
        <v>0</v>
      </c>
      <c r="CM302" s="960">
        <v>0</v>
      </c>
      <c r="CQ302" s="693"/>
    </row>
    <row r="303" spans="2:95" ht="16.5" customHeight="1" x14ac:dyDescent="0.25">
      <c r="B303" t="s">
        <v>1141</v>
      </c>
      <c r="G303" s="862"/>
      <c r="L303" s="862"/>
      <c r="Q303" s="862"/>
      <c r="V303" s="862"/>
      <c r="AA303" s="862"/>
      <c r="AF303" s="862"/>
      <c r="AK303" s="862"/>
      <c r="AP303" s="862"/>
      <c r="AU303" s="862"/>
      <c r="AZ303" s="862"/>
      <c r="BE303" s="862"/>
      <c r="BJ303" s="862"/>
      <c r="BO303" s="862"/>
      <c r="BT303" s="862"/>
      <c r="BY303" s="862"/>
      <c r="CD303" s="896">
        <f>CD248+CD241+CD242</f>
        <v>945.68600000000004</v>
      </c>
      <c r="CI303" s="960">
        <f>CI300+CI301+CI302</f>
        <v>936.68600000000004</v>
      </c>
      <c r="CJ303" s="960">
        <f>CJ300+CJ301+CJ302</f>
        <v>927.68600000000004</v>
      </c>
      <c r="CK303" s="960">
        <f>CK300+CK301+CK302</f>
        <v>918.68600000000004</v>
      </c>
      <c r="CL303" s="960">
        <f>CL300+CL301+CL302</f>
        <v>909.68600000000004</v>
      </c>
      <c r="CM303" s="960">
        <f>CM300+CM301+CM302</f>
        <v>900.68600000000004</v>
      </c>
      <c r="CQ303" s="693"/>
    </row>
    <row r="304" spans="2:95" ht="16.5" customHeight="1" x14ac:dyDescent="0.25">
      <c r="B304" t="s">
        <v>1142</v>
      </c>
      <c r="G304" s="862"/>
      <c r="L304" s="862"/>
      <c r="Q304" s="862"/>
      <c r="V304" s="862"/>
      <c r="AA304" s="862"/>
      <c r="AF304" s="862"/>
      <c r="AK304" s="862"/>
      <c r="AP304" s="862"/>
      <c r="AU304" s="862"/>
      <c r="AZ304" s="862"/>
      <c r="BE304" s="862"/>
      <c r="BJ304" s="862"/>
      <c r="BO304" s="862"/>
      <c r="BT304" s="862"/>
      <c r="BY304" s="862"/>
      <c r="CD304" s="896">
        <f>(CD300+CD303)/2</f>
        <v>909.91250000000002</v>
      </c>
      <c r="CI304" s="960">
        <f>(CI300+CI303)/2</f>
        <v>941.18600000000004</v>
      </c>
      <c r="CJ304" s="960">
        <f>(CJ300+CJ303)/2</f>
        <v>932.18600000000004</v>
      </c>
      <c r="CK304" s="960">
        <f>(CK300+CK303)/2</f>
        <v>923.18600000000004</v>
      </c>
      <c r="CL304" s="960">
        <f>(CL300+CL303)/2</f>
        <v>914.18600000000004</v>
      </c>
      <c r="CM304" s="960">
        <f>(CM300+CM303)/2</f>
        <v>905.18600000000004</v>
      </c>
      <c r="CQ304" s="693"/>
    </row>
    <row r="305" spans="2:95" ht="16.5" customHeight="1" x14ac:dyDescent="0.25">
      <c r="B305" t="s">
        <v>1143</v>
      </c>
      <c r="G305" s="862"/>
      <c r="L305" s="862"/>
      <c r="Q305" s="862"/>
      <c r="V305" s="862"/>
      <c r="AA305" s="862"/>
      <c r="AF305" s="862"/>
      <c r="AK305" s="862"/>
      <c r="AP305" s="862"/>
      <c r="AU305" s="862"/>
      <c r="AZ305" s="862"/>
      <c r="BE305" s="862"/>
      <c r="BJ305" s="862"/>
      <c r="BO305" s="862"/>
      <c r="BT305" s="862"/>
      <c r="BY305" s="862"/>
      <c r="CD305" s="965">
        <f>CD304*CD299</f>
        <v>72.074999999999989</v>
      </c>
      <c r="CI305" s="964">
        <f>CI304*CI299</f>
        <v>70.588949999999997</v>
      </c>
      <c r="CJ305" s="964">
        <f>CJ304*CJ299</f>
        <v>67.117391999999995</v>
      </c>
      <c r="CK305" s="964">
        <f>CK304*CK299</f>
        <v>64.623020000000011</v>
      </c>
      <c r="CL305" s="964">
        <f>CL304*CL299</f>
        <v>62.164648000000007</v>
      </c>
      <c r="CM305" s="964">
        <f>CM304*CM299</f>
        <v>58.837090000000003</v>
      </c>
      <c r="CQ305" s="693"/>
    </row>
    <row r="306" spans="2:95" ht="16.5" customHeight="1" x14ac:dyDescent="0.25">
      <c r="B306" t="s">
        <v>1144</v>
      </c>
      <c r="G306" s="862"/>
      <c r="L306" s="862"/>
      <c r="Q306" s="862"/>
      <c r="V306" s="862"/>
      <c r="AA306" s="862"/>
      <c r="AF306" s="862"/>
      <c r="AK306" s="862"/>
      <c r="AP306" s="862"/>
      <c r="AU306" s="862"/>
      <c r="AZ306" s="862"/>
      <c r="BE306" s="862"/>
      <c r="BJ306" s="862"/>
      <c r="BO306" s="862"/>
      <c r="BT306" s="862"/>
      <c r="BY306" s="862"/>
      <c r="CD306" s="896">
        <f>CD127</f>
        <v>72.074999999999989</v>
      </c>
      <c r="CI306" s="960">
        <f>CI127</f>
        <v>70.588949999999997</v>
      </c>
      <c r="CJ306" s="960">
        <f>CJ127</f>
        <v>67.117391999999995</v>
      </c>
      <c r="CK306" s="960">
        <f>CK127</f>
        <v>64.623020000000011</v>
      </c>
      <c r="CL306" s="960">
        <f>CL127</f>
        <v>62.164648000000007</v>
      </c>
      <c r="CM306" s="960">
        <f>CM127</f>
        <v>58.837090000000003</v>
      </c>
      <c r="CQ306" s="693"/>
    </row>
    <row r="307" spans="2:95" ht="16.5" customHeight="1" x14ac:dyDescent="0.25">
      <c r="B307" s="3"/>
      <c r="G307" s="862"/>
      <c r="L307" s="862"/>
      <c r="Q307" s="862"/>
      <c r="V307" s="862"/>
      <c r="AA307" s="862"/>
      <c r="AF307" s="862"/>
      <c r="AK307" s="862"/>
      <c r="AP307" s="862"/>
      <c r="AU307" s="862"/>
      <c r="AZ307" s="862"/>
      <c r="BE307" s="862"/>
      <c r="BJ307" s="862"/>
      <c r="BO307" s="862"/>
      <c r="BT307" s="862"/>
      <c r="BY307" s="862"/>
      <c r="CD307" s="896"/>
      <c r="CI307" s="717"/>
      <c r="CJ307" s="717"/>
      <c r="CK307" s="717"/>
      <c r="CL307" s="717"/>
      <c r="CM307" s="717"/>
      <c r="CQ307" s="693"/>
    </row>
    <row r="308" spans="2:95" ht="16.5" customHeight="1" x14ac:dyDescent="0.25">
      <c r="B308" s="3" t="s">
        <v>1145</v>
      </c>
      <c r="G308" s="862"/>
      <c r="L308" s="862"/>
      <c r="Q308" s="862"/>
      <c r="V308" s="862"/>
      <c r="AA308" s="862"/>
      <c r="AF308" s="862"/>
      <c r="AK308" s="862"/>
      <c r="AP308" s="862"/>
      <c r="AU308" s="862"/>
      <c r="AZ308" s="862"/>
      <c r="BE308" s="862"/>
      <c r="BJ308" s="862"/>
      <c r="BO308" s="862"/>
      <c r="BT308" s="862"/>
      <c r="BY308" s="862"/>
      <c r="CD308" s="896">
        <f>CD303-CD226</f>
        <v>883.47300000000007</v>
      </c>
      <c r="CI308" s="960">
        <f>CI303-CI226</f>
        <v>833.9473364428153</v>
      </c>
      <c r="CJ308" s="960">
        <f>CJ303-CJ226</f>
        <v>724.25125152085798</v>
      </c>
      <c r="CK308" s="960">
        <f>CK303-CK226</f>
        <v>530.27838006382603</v>
      </c>
      <c r="CL308" s="960">
        <f>CL303-CL226</f>
        <v>297.57845320747936</v>
      </c>
      <c r="CM308" s="960">
        <f>CM303-CM226</f>
        <v>52.601190064978141</v>
      </c>
      <c r="CQ308" s="693"/>
    </row>
    <row r="309" spans="2:95" ht="16.5" customHeight="1" x14ac:dyDescent="0.25">
      <c r="B309" s="3" t="s">
        <v>1146</v>
      </c>
      <c r="G309" s="862"/>
      <c r="L309" s="862"/>
      <c r="Q309" s="862"/>
      <c r="V309" s="862"/>
      <c r="AA309" s="862"/>
      <c r="AF309" s="862"/>
      <c r="AK309" s="862"/>
      <c r="AP309" s="862"/>
      <c r="AU309" s="862"/>
      <c r="AZ309" s="862"/>
      <c r="BE309" s="862"/>
      <c r="BJ309" s="862"/>
      <c r="BO309" s="862"/>
      <c r="BT309" s="862"/>
      <c r="BY309" s="862"/>
      <c r="CD309" s="963">
        <f>IFERROR(CD303/(CD126+CD176+CD177),0)</f>
        <v>1.9360918495406925</v>
      </c>
      <c r="CI309" s="961">
        <f>IFERROR(CI303/(CI126+CI176+CI177),0)</f>
        <v>1.5822617909285233</v>
      </c>
      <c r="CJ309" s="961">
        <f>IFERROR(CJ303/(CJ126+CJ176+CJ177),0)</f>
        <v>1.3872577650943863</v>
      </c>
      <c r="CK309" s="961">
        <f>IFERROR(CK303/(CK126+CK176+CK177),0)</f>
        <v>1.2349662149449361</v>
      </c>
      <c r="CL309" s="961">
        <f>IFERROR(CL303/(CL126+CL176+CL177),0)</f>
        <v>1.090937998223009</v>
      </c>
      <c r="CM309" s="961">
        <f>IFERROR(CM303/(CM126+CM176+CM177),0)</f>
        <v>0.96966932941425465</v>
      </c>
      <c r="CQ309" s="693"/>
    </row>
    <row r="310" spans="2:95" ht="16.5" customHeight="1" x14ac:dyDescent="0.25">
      <c r="B310" s="3"/>
      <c r="G310" s="862"/>
      <c r="L310" s="862"/>
      <c r="Q310" s="862"/>
      <c r="V310" s="862"/>
      <c r="AA310" s="862"/>
      <c r="AF310" s="862"/>
      <c r="AK310" s="862"/>
      <c r="AP310" s="862"/>
      <c r="AU310" s="862"/>
      <c r="AZ310" s="862"/>
      <c r="BE310" s="862"/>
      <c r="BJ310" s="862"/>
      <c r="BO310" s="862"/>
      <c r="BT310" s="862"/>
      <c r="BY310" s="862"/>
      <c r="CD310" s="862"/>
      <c r="CI310" s="717"/>
      <c r="CJ310" s="717"/>
      <c r="CK310" s="717"/>
      <c r="CL310" s="717"/>
      <c r="CM310" s="717"/>
      <c r="CQ310" s="693"/>
    </row>
    <row r="311" spans="2:95" ht="16.5" customHeight="1" x14ac:dyDescent="0.25">
      <c r="B311" s="149" t="s">
        <v>915</v>
      </c>
      <c r="G311" s="867"/>
      <c r="H311" s="224"/>
      <c r="I311" s="224"/>
      <c r="J311" s="224"/>
      <c r="K311" s="224"/>
      <c r="L311" s="867"/>
      <c r="M311" s="224"/>
      <c r="N311" s="224"/>
      <c r="O311" s="224"/>
      <c r="P311" s="224"/>
      <c r="Q311" s="867"/>
      <c r="R311" s="224"/>
      <c r="S311" s="224"/>
      <c r="T311" s="224"/>
      <c r="U311" s="224"/>
      <c r="V311" s="867"/>
      <c r="W311" s="224"/>
      <c r="X311" s="224"/>
      <c r="Y311" s="224"/>
      <c r="Z311" s="224"/>
      <c r="AA311" s="867"/>
      <c r="AB311" s="224"/>
      <c r="AC311" s="224"/>
      <c r="AD311" s="224"/>
      <c r="AE311" s="224"/>
      <c r="AF311" s="867"/>
      <c r="AG311" s="224"/>
      <c r="AH311" s="224"/>
      <c r="AI311" s="224"/>
      <c r="AJ311" s="224"/>
      <c r="AK311" s="867"/>
      <c r="AL311" s="224"/>
      <c r="AM311" s="224"/>
      <c r="AN311" s="224"/>
      <c r="AO311" s="224"/>
      <c r="AP311" s="867"/>
      <c r="AQ311" s="224"/>
      <c r="AR311" s="224"/>
      <c r="AS311" s="224"/>
      <c r="AT311" s="224"/>
      <c r="AU311" s="867"/>
      <c r="AV311" s="224"/>
      <c r="AW311" s="224"/>
      <c r="AX311" s="224"/>
      <c r="AY311" s="224"/>
      <c r="AZ311" s="867"/>
      <c r="BA311" s="224"/>
      <c r="BB311" s="224"/>
      <c r="BC311" s="224"/>
      <c r="BD311" s="224"/>
      <c r="BE311" s="867"/>
      <c r="BF311" s="224"/>
      <c r="BG311" s="224"/>
      <c r="BH311" s="224"/>
      <c r="BI311" s="224"/>
      <c r="BJ311" s="867"/>
      <c r="BK311" s="224"/>
      <c r="BL311" s="224"/>
      <c r="BM311" s="224"/>
      <c r="BN311" s="224"/>
      <c r="BO311" s="867"/>
      <c r="BP311" s="224"/>
      <c r="BQ311" s="224"/>
      <c r="BR311" s="224"/>
      <c r="BS311" s="224"/>
      <c r="BT311" s="867"/>
      <c r="BU311" s="224"/>
      <c r="BV311" s="224"/>
      <c r="BW311" s="224"/>
      <c r="BX311" s="224"/>
      <c r="BY311" s="867"/>
      <c r="BZ311" s="224"/>
      <c r="CA311" s="224"/>
      <c r="CB311" s="224"/>
      <c r="CC311" s="224"/>
      <c r="CD311" s="867"/>
      <c r="CE311" s="224"/>
      <c r="CF311" s="224"/>
      <c r="CG311" s="224"/>
      <c r="CH311" s="224"/>
      <c r="CI311" s="224"/>
      <c r="CJ311" s="224"/>
      <c r="CK311" s="224"/>
      <c r="CL311" s="224"/>
      <c r="CM311" s="224"/>
      <c r="CN311" s="224"/>
      <c r="CO311" s="224"/>
      <c r="CP311" s="224"/>
      <c r="CQ311" s="693" t="s">
        <v>947</v>
      </c>
    </row>
    <row r="312" spans="2:95" ht="16.5" customHeight="1" x14ac:dyDescent="0.25">
      <c r="B312" t="s">
        <v>916</v>
      </c>
      <c r="G312" s="896">
        <f>G255</f>
        <v>0</v>
      </c>
      <c r="L312" s="896">
        <f>L255</f>
        <v>0</v>
      </c>
      <c r="Q312" s="896">
        <f>Q255</f>
        <v>0</v>
      </c>
      <c r="V312" s="896">
        <f>V255</f>
        <v>0</v>
      </c>
      <c r="AA312" s="896">
        <f>AA255</f>
        <v>0</v>
      </c>
      <c r="AF312" s="896">
        <f>AF255</f>
        <v>0</v>
      </c>
      <c r="AK312" s="896">
        <f>AK255</f>
        <v>0</v>
      </c>
      <c r="AP312" s="896">
        <f>AP255</f>
        <v>0</v>
      </c>
      <c r="AU312" s="896">
        <f>AU255</f>
        <v>0</v>
      </c>
      <c r="AZ312" s="896">
        <f>AZ255</f>
        <v>0</v>
      </c>
      <c r="BE312" s="896">
        <f>BE255</f>
        <v>51.28</v>
      </c>
      <c r="BJ312" s="896">
        <f>BJ255</f>
        <v>51.28</v>
      </c>
      <c r="BO312" s="896">
        <f>BO255</f>
        <v>51.28</v>
      </c>
      <c r="BT312" s="896">
        <f>BT255</f>
        <v>51.28</v>
      </c>
      <c r="BY312" s="896">
        <f>BY255</f>
        <v>51.28</v>
      </c>
      <c r="CD312" s="896">
        <f t="shared" ref="CD312:CM312" si="142">CD255</f>
        <v>51.28</v>
      </c>
      <c r="CE312" s="6">
        <f t="shared" si="142"/>
        <v>51.28</v>
      </c>
      <c r="CF312" s="6">
        <f t="shared" si="142"/>
        <v>51.28</v>
      </c>
      <c r="CG312" s="6">
        <f t="shared" si="142"/>
        <v>51.28</v>
      </c>
      <c r="CH312" s="6">
        <f t="shared" si="142"/>
        <v>51.28</v>
      </c>
      <c r="CI312" s="797">
        <f t="shared" si="142"/>
        <v>51.28</v>
      </c>
      <c r="CJ312" s="797">
        <f t="shared" si="142"/>
        <v>51.28</v>
      </c>
      <c r="CK312" s="797">
        <f t="shared" si="142"/>
        <v>51.28</v>
      </c>
      <c r="CL312" s="797">
        <f t="shared" si="142"/>
        <v>51.28</v>
      </c>
      <c r="CM312" s="797">
        <f t="shared" si="142"/>
        <v>51.28</v>
      </c>
      <c r="CQ312" s="693" t="s">
        <v>948</v>
      </c>
    </row>
    <row r="313" spans="2:95" ht="16.5" customHeight="1" x14ac:dyDescent="0.25">
      <c r="B313" t="s">
        <v>917</v>
      </c>
      <c r="G313" s="896">
        <f>G256</f>
        <v>0</v>
      </c>
      <c r="L313" s="896">
        <f>L256</f>
        <v>0</v>
      </c>
      <c r="Q313" s="896">
        <f>Q256</f>
        <v>0</v>
      </c>
      <c r="V313" s="896">
        <f>V256</f>
        <v>0</v>
      </c>
      <c r="AA313" s="896">
        <f>AA256</f>
        <v>0</v>
      </c>
      <c r="AF313" s="896">
        <f>AF256</f>
        <v>0</v>
      </c>
      <c r="AK313" s="896">
        <f>AK256</f>
        <v>0</v>
      </c>
      <c r="AP313" s="896">
        <f>AP256</f>
        <v>0</v>
      </c>
      <c r="AU313" s="896">
        <f>AU256</f>
        <v>0</v>
      </c>
      <c r="AZ313" s="896">
        <f>AZ256</f>
        <v>0</v>
      </c>
      <c r="BE313" s="896">
        <f>BE256</f>
        <v>472.64499999999998</v>
      </c>
      <c r="BJ313" s="896">
        <f>BJ256</f>
        <v>509.62200000000001</v>
      </c>
      <c r="BO313" s="896">
        <f>BO256</f>
        <v>516.12300000000005</v>
      </c>
      <c r="BT313" s="896">
        <f>BT256</f>
        <v>608.27</v>
      </c>
      <c r="BY313" s="896">
        <f>BY256</f>
        <v>784.50900000000001</v>
      </c>
      <c r="CD313" s="896">
        <f t="shared" ref="CD313:CM313" si="143">CD256</f>
        <v>839.32799999999997</v>
      </c>
      <c r="CE313" s="6">
        <f t="shared" si="143"/>
        <v>920.18100000000004</v>
      </c>
      <c r="CF313" s="6">
        <f t="shared" si="143"/>
        <v>1021.544</v>
      </c>
      <c r="CG313" s="6">
        <f t="shared" si="143"/>
        <v>1034.0439999999999</v>
      </c>
      <c r="CH313" s="6">
        <f t="shared" si="143"/>
        <v>1046.5439999999999</v>
      </c>
      <c r="CI313" s="797">
        <f t="shared" si="143"/>
        <v>887.32799999999997</v>
      </c>
      <c r="CJ313" s="797">
        <f t="shared" si="143"/>
        <v>931.32799999999997</v>
      </c>
      <c r="CK313" s="797">
        <f t="shared" si="143"/>
        <v>976.32799999999997</v>
      </c>
      <c r="CL313" s="797">
        <f t="shared" si="143"/>
        <v>1022.328</v>
      </c>
      <c r="CM313" s="797">
        <f t="shared" si="143"/>
        <v>1069.328</v>
      </c>
      <c r="CQ313" s="693" t="s">
        <v>949</v>
      </c>
    </row>
    <row r="314" spans="2:95" ht="16.5" customHeight="1" x14ac:dyDescent="0.25">
      <c r="B314" t="s">
        <v>918</v>
      </c>
      <c r="G314" s="896">
        <f>G257</f>
        <v>0</v>
      </c>
      <c r="L314" s="896">
        <f>L257</f>
        <v>0</v>
      </c>
      <c r="Q314" s="896">
        <f>Q257</f>
        <v>0</v>
      </c>
      <c r="V314" s="896">
        <f>V257</f>
        <v>0</v>
      </c>
      <c r="AA314" s="896">
        <f>AA257</f>
        <v>0</v>
      </c>
      <c r="AF314" s="896">
        <f>AF257</f>
        <v>0</v>
      </c>
      <c r="AK314" s="896">
        <f>AK257</f>
        <v>0</v>
      </c>
      <c r="AP314" s="896">
        <f>AP257</f>
        <v>0</v>
      </c>
      <c r="AU314" s="896">
        <f>AU257</f>
        <v>0</v>
      </c>
      <c r="AZ314" s="896">
        <f>AZ257</f>
        <v>0</v>
      </c>
      <c r="BE314" s="896">
        <f>BE257</f>
        <v>2112.7339999999999</v>
      </c>
      <c r="BJ314" s="896">
        <f>BJ257</f>
        <v>2237.848</v>
      </c>
      <c r="BO314" s="896">
        <f>BO257</f>
        <v>2360.0549999999998</v>
      </c>
      <c r="BT314" s="896">
        <f>BT257</f>
        <v>2496.9789999999998</v>
      </c>
      <c r="BY314" s="896">
        <f>BY257</f>
        <v>2635.95</v>
      </c>
      <c r="CD314" s="896">
        <f t="shared" ref="CD314:CM314" si="144">CD257</f>
        <v>2834.5479999999998</v>
      </c>
      <c r="CE314" s="6">
        <f t="shared" si="144"/>
        <v>2904.2060000000001</v>
      </c>
      <c r="CF314" s="6">
        <f t="shared" si="144"/>
        <v>2976.5320000000002</v>
      </c>
      <c r="CG314" s="6">
        <f t="shared" si="144"/>
        <v>3045.5812053237269</v>
      </c>
      <c r="CH314" s="6">
        <f t="shared" si="144"/>
        <v>3103.262794813334</v>
      </c>
      <c r="CI314" s="797">
        <f t="shared" si="144"/>
        <v>3103.7237948133334</v>
      </c>
      <c r="CJ314" s="797">
        <f t="shared" si="144"/>
        <v>3424.1422622285331</v>
      </c>
      <c r="CK314" s="797">
        <f t="shared" si="144"/>
        <v>3792.3189148533916</v>
      </c>
      <c r="CL314" s="797">
        <f t="shared" si="144"/>
        <v>4219.6188503690737</v>
      </c>
      <c r="CM314" s="797">
        <f t="shared" si="144"/>
        <v>4710.4542288633929</v>
      </c>
      <c r="CQ314" s="693" t="s">
        <v>950</v>
      </c>
    </row>
    <row r="315" spans="2:95" ht="16.5" customHeight="1" x14ac:dyDescent="0.25">
      <c r="B315" t="s">
        <v>919</v>
      </c>
      <c r="G315" s="896">
        <f>G198</f>
        <v>0</v>
      </c>
      <c r="L315" s="896">
        <f>L198</f>
        <v>0</v>
      </c>
      <c r="Q315" s="896">
        <f>Q198</f>
        <v>0</v>
      </c>
      <c r="V315" s="896">
        <f>V198</f>
        <v>0</v>
      </c>
      <c r="AA315" s="896">
        <f>AA198</f>
        <v>0</v>
      </c>
      <c r="AF315" s="896">
        <f>AF198</f>
        <v>0</v>
      </c>
      <c r="AK315" s="896">
        <f>AK198</f>
        <v>0</v>
      </c>
      <c r="AP315" s="896">
        <f>AP198</f>
        <v>0</v>
      </c>
      <c r="AU315" s="896">
        <f>AU198</f>
        <v>-17.888999999999999</v>
      </c>
      <c r="AZ315" s="896">
        <f>AZ198</f>
        <v>-34.856999999999999</v>
      </c>
      <c r="BE315" s="896">
        <f>BE198</f>
        <v>-25.21</v>
      </c>
      <c r="BJ315" s="896">
        <f>BJ198</f>
        <v>-32.106000000000002</v>
      </c>
      <c r="BO315" s="896">
        <f>BO198</f>
        <v>-32.97</v>
      </c>
      <c r="BT315" s="896">
        <f>BT198</f>
        <v>-34.073999999999998</v>
      </c>
      <c r="BY315" s="896">
        <f>BY198</f>
        <v>-35.475999999999999</v>
      </c>
      <c r="CD315" s="896">
        <f t="shared" ref="CD315:CM315" si="145">CD198</f>
        <v>-36.43</v>
      </c>
      <c r="CE315" s="6">
        <f>CE198</f>
        <v>-9.1929999999999996</v>
      </c>
      <c r="CF315" s="6">
        <f>CF198</f>
        <v>-9.5129999999999999</v>
      </c>
      <c r="CG315" s="6">
        <f>CG198</f>
        <v>-10</v>
      </c>
      <c r="CH315" s="6">
        <f>CH198</f>
        <v>-11.294</v>
      </c>
      <c r="CI315" s="797">
        <f t="shared" si="145"/>
        <v>-40</v>
      </c>
      <c r="CJ315" s="797">
        <f t="shared" si="145"/>
        <v>-45</v>
      </c>
      <c r="CK315" s="797">
        <f t="shared" si="145"/>
        <v>-50</v>
      </c>
      <c r="CL315" s="797">
        <f t="shared" si="145"/>
        <v>-55</v>
      </c>
      <c r="CM315" s="797">
        <f t="shared" si="145"/>
        <v>-60</v>
      </c>
      <c r="CQ315" s="693" t="s">
        <v>951</v>
      </c>
    </row>
    <row r="316" spans="2:95" ht="16.5" customHeight="1" x14ac:dyDescent="0.25">
      <c r="B316" t="s">
        <v>920</v>
      </c>
      <c r="G316" s="896">
        <f>G258</f>
        <v>0</v>
      </c>
      <c r="L316" s="896">
        <f>L258</f>
        <v>0</v>
      </c>
      <c r="Q316" s="896">
        <f>Q258</f>
        <v>0</v>
      </c>
      <c r="V316" s="896">
        <f>V258</f>
        <v>0</v>
      </c>
      <c r="AA316" s="896">
        <f>AA258</f>
        <v>0</v>
      </c>
      <c r="AF316" s="896">
        <f>AF258</f>
        <v>0</v>
      </c>
      <c r="AK316" s="896">
        <f>AK258</f>
        <v>0</v>
      </c>
      <c r="AP316" s="896">
        <f>AP258</f>
        <v>0</v>
      </c>
      <c r="AU316" s="896">
        <f>AU258</f>
        <v>0</v>
      </c>
      <c r="AZ316" s="896">
        <f>AZ258</f>
        <v>0</v>
      </c>
      <c r="BE316" s="896">
        <f>BE258</f>
        <v>-1108.123</v>
      </c>
      <c r="BJ316" s="896">
        <f>BJ258</f>
        <v>-1151.046</v>
      </c>
      <c r="BO316" s="896">
        <f>BO258</f>
        <v>-1179.6030000000001</v>
      </c>
      <c r="BT316" s="896">
        <f>BT258</f>
        <v>-1265.8330000000001</v>
      </c>
      <c r="BY316" s="896">
        <f>BY258</f>
        <v>-1440.11</v>
      </c>
      <c r="CD316" s="896">
        <f t="shared" ref="CD316:CM316" si="146">CD258</f>
        <v>-1574.8820000000001</v>
      </c>
      <c r="CE316" s="6">
        <f t="shared" si="146"/>
        <v>-1241.614</v>
      </c>
      <c r="CF316" s="6">
        <f t="shared" si="146"/>
        <v>-1252.3230000000001</v>
      </c>
      <c r="CG316" s="6">
        <f t="shared" si="146"/>
        <v>-1289.8230000000001</v>
      </c>
      <c r="CH316" s="6">
        <f t="shared" si="146"/>
        <v>-1327.3230000000001</v>
      </c>
      <c r="CI316" s="797">
        <f t="shared" si="146"/>
        <v>-1724.8820000000001</v>
      </c>
      <c r="CJ316" s="797">
        <f t="shared" si="146"/>
        <v>-1874.8820000000001</v>
      </c>
      <c r="CK316" s="797">
        <f t="shared" si="146"/>
        <v>-2024.8820000000001</v>
      </c>
      <c r="CL316" s="797">
        <f t="shared" si="146"/>
        <v>-2174.8820000000001</v>
      </c>
      <c r="CM316" s="797">
        <f t="shared" si="146"/>
        <v>-2324.8820000000001</v>
      </c>
      <c r="CQ316" s="693" t="s">
        <v>952</v>
      </c>
    </row>
    <row r="317" spans="2:95" ht="16.5" customHeight="1" x14ac:dyDescent="0.25">
      <c r="B317" t="s">
        <v>921</v>
      </c>
      <c r="G317" s="896">
        <f>G259</f>
        <v>0</v>
      </c>
      <c r="L317" s="896">
        <f>L259</f>
        <v>0</v>
      </c>
      <c r="Q317" s="896">
        <f>Q259</f>
        <v>0</v>
      </c>
      <c r="V317" s="896">
        <f>V259</f>
        <v>0</v>
      </c>
      <c r="AA317" s="896">
        <f>AA259</f>
        <v>0</v>
      </c>
      <c r="AF317" s="896">
        <f>AF259</f>
        <v>0</v>
      </c>
      <c r="AK317" s="896">
        <f>AK259</f>
        <v>0</v>
      </c>
      <c r="AP317" s="896">
        <f>AP259</f>
        <v>0</v>
      </c>
      <c r="AU317" s="896">
        <f>AU259</f>
        <v>0</v>
      </c>
      <c r="AZ317" s="896">
        <f>AZ259</f>
        <v>0</v>
      </c>
      <c r="BE317" s="896">
        <f>BE259</f>
        <v>-285.45299999999997</v>
      </c>
      <c r="BJ317" s="896">
        <f>BJ259</f>
        <v>-247.56</v>
      </c>
      <c r="BO317" s="896">
        <f>BO259</f>
        <v>-311.04199999999997</v>
      </c>
      <c r="BT317" s="896">
        <f>BT259</f>
        <v>-254.60900000000001</v>
      </c>
      <c r="BY317" s="896">
        <f>BY259</f>
        <v>-202.81200000000001</v>
      </c>
      <c r="CD317" s="896">
        <f t="shared" ref="CD317:CM317" si="147">CD259</f>
        <v>-157.71899999999999</v>
      </c>
      <c r="CE317" s="6">
        <f t="shared" si="147"/>
        <v>-151.79599999999999</v>
      </c>
      <c r="CF317" s="6">
        <f t="shared" si="147"/>
        <v>-161.34700000000001</v>
      </c>
      <c r="CG317" s="6">
        <f t="shared" si="147"/>
        <v>-161.34700000000001</v>
      </c>
      <c r="CH317" s="6">
        <f t="shared" si="147"/>
        <v>-161.34700000000001</v>
      </c>
      <c r="CI317" s="797">
        <f t="shared" si="147"/>
        <v>-157.71899999999999</v>
      </c>
      <c r="CJ317" s="797">
        <f t="shared" si="147"/>
        <v>-157.71899999999999</v>
      </c>
      <c r="CK317" s="797">
        <f t="shared" si="147"/>
        <v>-157.71899999999999</v>
      </c>
      <c r="CL317" s="797">
        <f t="shared" si="147"/>
        <v>-157.71899999999999</v>
      </c>
      <c r="CM317" s="797">
        <f t="shared" si="147"/>
        <v>-157.71899999999999</v>
      </c>
      <c r="CQ317" s="693" t="s">
        <v>953</v>
      </c>
    </row>
    <row r="318" spans="2:95" ht="16.5" customHeight="1" x14ac:dyDescent="0.25">
      <c r="G318" s="862"/>
      <c r="L318" s="862"/>
      <c r="Q318" s="862"/>
      <c r="V318" s="862"/>
      <c r="AA318" s="862"/>
      <c r="AF318" s="862"/>
      <c r="AK318" s="862"/>
      <c r="AP318" s="862"/>
      <c r="AU318" s="862"/>
      <c r="AZ318" s="862"/>
      <c r="BE318" s="862"/>
      <c r="BJ318" s="862"/>
      <c r="BO318" s="862"/>
      <c r="BT318" s="862"/>
      <c r="BY318" s="862"/>
      <c r="CD318" s="862"/>
      <c r="CI318" s="717"/>
      <c r="CJ318" s="717"/>
      <c r="CK318" s="717"/>
      <c r="CL318" s="717"/>
      <c r="CM318" s="717"/>
      <c r="CQ318" s="693"/>
    </row>
    <row r="319" spans="2:95" ht="16.5" customHeight="1" x14ac:dyDescent="0.25">
      <c r="B319" s="149" t="s">
        <v>922</v>
      </c>
      <c r="G319" s="867"/>
      <c r="H319" s="224"/>
      <c r="I319" s="224"/>
      <c r="J319" s="224"/>
      <c r="K319" s="224"/>
      <c r="L319" s="867"/>
      <c r="M319" s="224"/>
      <c r="N319" s="224"/>
      <c r="O319" s="224"/>
      <c r="P319" s="224"/>
      <c r="Q319" s="867"/>
      <c r="R319" s="224"/>
      <c r="S319" s="224"/>
      <c r="T319" s="224"/>
      <c r="U319" s="224"/>
      <c r="V319" s="867"/>
      <c r="W319" s="224"/>
      <c r="X319" s="224"/>
      <c r="Y319" s="224"/>
      <c r="Z319" s="224"/>
      <c r="AA319" s="867"/>
      <c r="AB319" s="224"/>
      <c r="AC319" s="224"/>
      <c r="AD319" s="224"/>
      <c r="AE319" s="224"/>
      <c r="AF319" s="867"/>
      <c r="AG319" s="224"/>
      <c r="AH319" s="224"/>
      <c r="AI319" s="224"/>
      <c r="AJ319" s="224"/>
      <c r="AK319" s="867"/>
      <c r="AL319" s="224"/>
      <c r="AM319" s="224"/>
      <c r="AN319" s="224"/>
      <c r="AO319" s="224"/>
      <c r="AP319" s="867"/>
      <c r="AQ319" s="224"/>
      <c r="AR319" s="224"/>
      <c r="AS319" s="224"/>
      <c r="AT319" s="224"/>
      <c r="AU319" s="867"/>
      <c r="AV319" s="224"/>
      <c r="AW319" s="224"/>
      <c r="AX319" s="224"/>
      <c r="AY319" s="224"/>
      <c r="AZ319" s="867"/>
      <c r="BA319" s="224"/>
      <c r="BB319" s="224"/>
      <c r="BC319" s="224"/>
      <c r="BD319" s="224"/>
      <c r="BE319" s="867"/>
      <c r="BF319" s="224"/>
      <c r="BG319" s="224"/>
      <c r="BH319" s="224"/>
      <c r="BI319" s="224"/>
      <c r="BJ319" s="867"/>
      <c r="BK319" s="224"/>
      <c r="BL319" s="224"/>
      <c r="BM319" s="224"/>
      <c r="BN319" s="224"/>
      <c r="BO319" s="867"/>
      <c r="BP319" s="224"/>
      <c r="BQ319" s="224"/>
      <c r="BR319" s="224"/>
      <c r="BS319" s="224"/>
      <c r="BT319" s="867"/>
      <c r="BU319" s="224"/>
      <c r="BV319" s="224"/>
      <c r="BW319" s="224"/>
      <c r="BX319" s="224"/>
      <c r="BY319" s="867"/>
      <c r="BZ319" s="224"/>
      <c r="CA319" s="224"/>
      <c r="CB319" s="224"/>
      <c r="CC319" s="224"/>
      <c r="CD319" s="867"/>
      <c r="CE319" s="224"/>
      <c r="CF319" s="224"/>
      <c r="CG319" s="224"/>
      <c r="CH319" s="224"/>
      <c r="CI319" s="224"/>
      <c r="CJ319" s="224"/>
      <c r="CK319" s="224"/>
      <c r="CL319" s="224"/>
      <c r="CM319" s="224"/>
      <c r="CN319" s="224"/>
      <c r="CO319" s="224"/>
      <c r="CP319" s="224"/>
      <c r="CQ319" s="693" t="s">
        <v>954</v>
      </c>
    </row>
    <row r="320" spans="2:95" ht="16.5" customHeight="1" x14ac:dyDescent="0.25">
      <c r="B320" t="s">
        <v>923</v>
      </c>
      <c r="G320" s="896">
        <f>G207</f>
        <v>112.42099999999995</v>
      </c>
      <c r="L320" s="896">
        <f>L207</f>
        <v>113.67899999999999</v>
      </c>
      <c r="Q320" s="896">
        <f>Q207</f>
        <v>148.84099999999995</v>
      </c>
      <c r="V320" s="896">
        <f>V207</f>
        <v>157.09</v>
      </c>
      <c r="AA320" s="896">
        <f>AA207</f>
        <v>231.292</v>
      </c>
      <c r="AF320" s="896">
        <f>AF207</f>
        <v>309.85299999999995</v>
      </c>
      <c r="AK320" s="896">
        <f>AK207</f>
        <v>325.12799999999999</v>
      </c>
      <c r="AP320" s="896">
        <f>AP207</f>
        <v>368.07299999999998</v>
      </c>
      <c r="AU320" s="896">
        <f>AU207</f>
        <v>127.70600000000002</v>
      </c>
      <c r="AZ320" s="896">
        <f>AZ207</f>
        <v>89.701999999999998</v>
      </c>
      <c r="BE320" s="896">
        <f>BE207</f>
        <v>85.071999999999761</v>
      </c>
      <c r="BJ320" s="896">
        <f>BJ207</f>
        <v>100.914</v>
      </c>
      <c r="BO320" s="896">
        <f>BO207</f>
        <v>117.32799999999999</v>
      </c>
      <c r="BT320" s="896">
        <f>BT207</f>
        <v>69.144000000000034</v>
      </c>
      <c r="BY320" s="896">
        <f>BY207</f>
        <v>64.536999999999992</v>
      </c>
      <c r="CD320" s="896">
        <f t="shared" ref="CD320:CM320" si="148">CD207</f>
        <v>62.212999999999965</v>
      </c>
      <c r="CE320" s="6">
        <f>CE207</f>
        <v>73.794000000000025</v>
      </c>
      <c r="CF320" s="6">
        <f>CF207</f>
        <v>307.85200000000015</v>
      </c>
      <c r="CG320" s="6">
        <f>CG207</f>
        <v>319.1803891203586</v>
      </c>
      <c r="CH320" s="6">
        <f>CH207</f>
        <v>448.20647255799247</v>
      </c>
      <c r="CI320" s="797">
        <f t="shared" si="148"/>
        <v>102.73866355718471</v>
      </c>
      <c r="CJ320" s="797">
        <f t="shared" si="148"/>
        <v>203.43474847914203</v>
      </c>
      <c r="CK320" s="797">
        <f t="shared" si="148"/>
        <v>388.407619936174</v>
      </c>
      <c r="CL320" s="797">
        <f t="shared" si="148"/>
        <v>612.10754679252068</v>
      </c>
      <c r="CM320" s="797">
        <f t="shared" si="148"/>
        <v>848.08480993502189</v>
      </c>
      <c r="CQ320" s="693" t="s">
        <v>955</v>
      </c>
    </row>
    <row r="321" spans="2:95" ht="16.5" customHeight="1" x14ac:dyDescent="0.25">
      <c r="B321" t="s">
        <v>924</v>
      </c>
      <c r="G321" s="896">
        <f>G226</f>
        <v>112.42100000000001</v>
      </c>
      <c r="L321" s="896">
        <f>L226</f>
        <v>113.679</v>
      </c>
      <c r="Q321" s="896">
        <f>Q226</f>
        <v>148.84100000000001</v>
      </c>
      <c r="V321" s="896">
        <f>V226</f>
        <v>157.09</v>
      </c>
      <c r="AA321" s="896">
        <f>AA226</f>
        <v>231.292</v>
      </c>
      <c r="AF321" s="896">
        <f>AF226</f>
        <v>309.85300000000001</v>
      </c>
      <c r="AK321" s="896">
        <f>AK226</f>
        <v>325.12799999999999</v>
      </c>
      <c r="AP321" s="896">
        <f>AP226</f>
        <v>368.07299999999998</v>
      </c>
      <c r="AU321" s="896">
        <f>AU226</f>
        <v>127.706</v>
      </c>
      <c r="AZ321" s="896">
        <f>AZ226</f>
        <v>89.701999999999998</v>
      </c>
      <c r="BE321" s="896">
        <f>BE226</f>
        <v>85.071999999999761</v>
      </c>
      <c r="BJ321" s="896">
        <f>BJ226</f>
        <v>100.914</v>
      </c>
      <c r="BO321" s="896">
        <f>BO226</f>
        <v>117.32799999999999</v>
      </c>
      <c r="BT321" s="896">
        <f>BT226</f>
        <v>69.144000000000034</v>
      </c>
      <c r="BY321" s="896">
        <f>BY226</f>
        <v>61.817</v>
      </c>
      <c r="CD321" s="896">
        <f t="shared" ref="CD321:CM321" si="149">CD226</f>
        <v>62.212999999999965</v>
      </c>
      <c r="CE321" s="6">
        <f>CE226</f>
        <v>73.793999999999997</v>
      </c>
      <c r="CF321" s="6">
        <f>CF226</f>
        <v>308.23200000000003</v>
      </c>
      <c r="CG321" s="6">
        <f>CG226</f>
        <v>319.1803891203586</v>
      </c>
      <c r="CH321" s="6">
        <f>CH226</f>
        <v>448.20647255799247</v>
      </c>
      <c r="CI321" s="797">
        <f t="shared" si="149"/>
        <v>102.73866355718471</v>
      </c>
      <c r="CJ321" s="797">
        <f t="shared" si="149"/>
        <v>203.43474847914203</v>
      </c>
      <c r="CK321" s="797">
        <f t="shared" si="149"/>
        <v>388.407619936174</v>
      </c>
      <c r="CL321" s="797">
        <f t="shared" si="149"/>
        <v>612.10754679252068</v>
      </c>
      <c r="CM321" s="797">
        <f t="shared" si="149"/>
        <v>848.08480993502189</v>
      </c>
      <c r="CQ321" s="693" t="s">
        <v>956</v>
      </c>
    </row>
    <row r="322" spans="2:95" ht="16.5" customHeight="1" x14ac:dyDescent="0.25">
      <c r="C322" s="291"/>
      <c r="D322" s="291"/>
      <c r="E322" s="291"/>
      <c r="F322" s="291"/>
      <c r="G322" s="864"/>
      <c r="H322" s="291"/>
      <c r="I322" s="291"/>
      <c r="J322" s="291"/>
      <c r="K322" s="291"/>
      <c r="L322" s="864"/>
      <c r="M322" s="291"/>
      <c r="N322" s="291"/>
      <c r="O322" s="291"/>
      <c r="P322" s="291"/>
      <c r="Q322" s="864"/>
      <c r="R322" s="291"/>
      <c r="S322" s="291"/>
      <c r="T322" s="291"/>
      <c r="U322" s="291"/>
      <c r="V322" s="864"/>
      <c r="W322" s="291"/>
      <c r="X322" s="291"/>
      <c r="Y322" s="291"/>
      <c r="Z322" s="291"/>
      <c r="AA322" s="864"/>
      <c r="AB322" s="291"/>
      <c r="AC322" s="291"/>
      <c r="AD322" s="291"/>
      <c r="AE322" s="291"/>
      <c r="AF322" s="864"/>
      <c r="AG322" s="291"/>
      <c r="AH322" s="291"/>
      <c r="AI322" s="291"/>
      <c r="AJ322" s="291"/>
      <c r="AK322" s="864"/>
      <c r="AL322" s="291"/>
      <c r="AM322" s="291"/>
      <c r="AN322" s="291"/>
      <c r="AO322" s="291"/>
      <c r="AP322" s="864"/>
      <c r="AQ322" s="291"/>
      <c r="AR322" s="291"/>
      <c r="AS322" s="291"/>
      <c r="AT322" s="291"/>
      <c r="AU322" s="864"/>
      <c r="AV322" s="291"/>
      <c r="AW322" s="291"/>
      <c r="AX322" s="291"/>
      <c r="AY322" s="291"/>
      <c r="AZ322" s="864"/>
      <c r="BA322" s="291"/>
      <c r="BB322" s="291"/>
      <c r="BC322" s="291"/>
      <c r="BD322" s="291"/>
      <c r="BE322" s="864"/>
      <c r="BF322" s="291"/>
      <c r="BG322" s="291"/>
      <c r="BH322" s="291"/>
      <c r="BI322" s="291"/>
      <c r="BJ322" s="864"/>
      <c r="BK322" s="291"/>
      <c r="BL322" s="291"/>
      <c r="BM322" s="291"/>
      <c r="BN322" s="291"/>
      <c r="BO322" s="864"/>
      <c r="BP322" s="291"/>
      <c r="BQ322" s="291"/>
      <c r="BR322" s="291"/>
      <c r="BS322" s="291"/>
      <c r="BT322" s="864"/>
      <c r="BU322" s="291"/>
      <c r="BV322" s="291"/>
      <c r="BW322" s="291"/>
      <c r="BX322" s="291"/>
      <c r="BY322" s="864"/>
      <c r="BZ322" s="291"/>
      <c r="CA322" s="291"/>
      <c r="CB322" s="291"/>
      <c r="CC322" s="291"/>
      <c r="CD322" s="864"/>
      <c r="CE322" s="291"/>
      <c r="CF322" s="291"/>
      <c r="CG322" s="291"/>
      <c r="CH322" s="291"/>
      <c r="CI322" s="749"/>
      <c r="CJ322" s="749"/>
      <c r="CK322" s="749"/>
      <c r="CL322" s="749"/>
      <c r="CM322" s="749"/>
      <c r="CN322" s="291"/>
      <c r="CO322" s="291"/>
      <c r="CP322" s="291"/>
      <c r="CQ322" s="693"/>
    </row>
    <row r="323" spans="2:95" ht="16.5" customHeight="1" x14ac:dyDescent="0.25">
      <c r="B323" s="221" t="s">
        <v>223</v>
      </c>
      <c r="C323" s="222"/>
      <c r="D323" s="222"/>
      <c r="E323" s="222"/>
      <c r="F323" s="222"/>
      <c r="G323" s="865"/>
      <c r="H323" s="222"/>
      <c r="I323" s="222"/>
      <c r="J323" s="222"/>
      <c r="K323" s="222"/>
      <c r="L323" s="865"/>
      <c r="M323" s="222"/>
      <c r="N323" s="222"/>
      <c r="O323" s="222"/>
      <c r="P323" s="222"/>
      <c r="Q323" s="865"/>
      <c r="R323" s="222"/>
      <c r="S323" s="222"/>
      <c r="T323" s="222"/>
      <c r="U323" s="222"/>
      <c r="V323" s="865"/>
      <c r="W323" s="222"/>
      <c r="X323" s="222"/>
      <c r="Y323" s="222"/>
      <c r="Z323" s="222"/>
      <c r="AA323" s="865"/>
      <c r="AB323" s="222"/>
      <c r="AC323" s="222"/>
      <c r="AD323" s="222"/>
      <c r="AE323" s="222"/>
      <c r="AF323" s="865"/>
      <c r="AG323" s="222"/>
      <c r="AH323" s="222"/>
      <c r="AI323" s="222"/>
      <c r="AJ323" s="222"/>
      <c r="AK323" s="865"/>
      <c r="AL323" s="222"/>
      <c r="AM323" s="222"/>
      <c r="AN323" s="222"/>
      <c r="AO323" s="222"/>
      <c r="AP323" s="865"/>
      <c r="AQ323" s="222"/>
      <c r="AR323" s="222"/>
      <c r="AS323" s="222"/>
      <c r="AT323" s="222"/>
      <c r="AU323" s="865"/>
      <c r="AV323" s="222"/>
      <c r="AW323" s="222"/>
      <c r="AX323" s="222"/>
      <c r="AY323" s="222"/>
      <c r="AZ323" s="865"/>
      <c r="BA323" s="222"/>
      <c r="BB323" s="222"/>
      <c r="BC323" s="222"/>
      <c r="BD323" s="222"/>
      <c r="BE323" s="865"/>
      <c r="BF323" s="222"/>
      <c r="BG323" s="222"/>
      <c r="BH323" s="222"/>
      <c r="BI323" s="222"/>
      <c r="BJ323" s="865"/>
      <c r="BK323" s="222"/>
      <c r="BL323" s="222"/>
      <c r="BM323" s="222"/>
      <c r="BN323" s="222"/>
      <c r="BO323" s="865"/>
      <c r="BP323" s="222"/>
      <c r="BQ323" s="222"/>
      <c r="BR323" s="222"/>
      <c r="BS323" s="222"/>
      <c r="BT323" s="865"/>
      <c r="BU323" s="222"/>
      <c r="BV323" s="222"/>
      <c r="BW323" s="222"/>
      <c r="BX323" s="222"/>
      <c r="BY323" s="865"/>
      <c r="BZ323" s="222"/>
      <c r="CA323" s="222"/>
      <c r="CB323" s="222"/>
      <c r="CC323" s="222"/>
      <c r="CD323" s="865"/>
      <c r="CE323" s="222"/>
      <c r="CF323" s="222"/>
      <c r="CG323" s="222"/>
      <c r="CH323" s="222"/>
      <c r="CI323" s="222"/>
      <c r="CJ323" s="222"/>
      <c r="CK323" s="222"/>
      <c r="CL323" s="222"/>
      <c r="CM323" s="222"/>
      <c r="CN323" s="222"/>
      <c r="CO323" s="222"/>
      <c r="CP323" s="222"/>
      <c r="CQ323" s="692" t="s">
        <v>872</v>
      </c>
    </row>
    <row r="324" spans="2:95" ht="16.5" customHeight="1" x14ac:dyDescent="0.25">
      <c r="C324" s="291"/>
      <c r="D324" s="291"/>
      <c r="E324" s="291"/>
      <c r="F324" s="291"/>
      <c r="G324" s="864"/>
      <c r="H324" s="291"/>
      <c r="I324" s="291"/>
      <c r="J324" s="291"/>
      <c r="K324" s="291"/>
      <c r="L324" s="864"/>
      <c r="M324" s="291"/>
      <c r="N324" s="291"/>
      <c r="O324" s="291"/>
      <c r="P324" s="291"/>
      <c r="Q324" s="864"/>
      <c r="R324" s="291"/>
      <c r="S324" s="291"/>
      <c r="T324" s="291"/>
      <c r="U324" s="291"/>
      <c r="V324" s="864"/>
      <c r="W324" s="291"/>
      <c r="X324" s="291"/>
      <c r="Y324" s="291"/>
      <c r="Z324" s="291"/>
      <c r="AA324" s="864"/>
      <c r="AB324" s="291"/>
      <c r="AC324" s="291"/>
      <c r="AD324" s="291"/>
      <c r="AE324" s="291"/>
      <c r="AF324" s="864"/>
      <c r="AG324" s="291"/>
      <c r="AH324" s="291"/>
      <c r="AI324" s="291"/>
      <c r="AJ324" s="291"/>
      <c r="AK324" s="864"/>
      <c r="AL324" s="291"/>
      <c r="AM324" s="291"/>
      <c r="AN324" s="291"/>
      <c r="AO324" s="291"/>
      <c r="AP324" s="864"/>
      <c r="AQ324" s="291"/>
      <c r="AR324" s="291"/>
      <c r="AS324" s="291"/>
      <c r="AT324" s="291"/>
      <c r="AU324" s="864"/>
      <c r="AV324" s="291"/>
      <c r="AW324" s="291"/>
      <c r="AX324" s="291"/>
      <c r="AY324" s="291"/>
      <c r="AZ324" s="864"/>
      <c r="BA324" s="291"/>
      <c r="BB324" s="291"/>
      <c r="BC324" s="291"/>
      <c r="BD324" s="291"/>
      <c r="BE324" s="864"/>
      <c r="BF324" s="291"/>
      <c r="BG324" s="291"/>
      <c r="BH324" s="291"/>
      <c r="BI324" s="291"/>
      <c r="BJ324" s="864"/>
      <c r="BK324" s="291"/>
      <c r="BL324" s="291"/>
      <c r="BM324" s="291"/>
      <c r="BN324" s="291"/>
      <c r="BO324" s="864"/>
      <c r="BP324" s="291"/>
      <c r="BQ324" s="291"/>
      <c r="BR324" s="291"/>
      <c r="BS324" s="291"/>
      <c r="BT324" s="864"/>
      <c r="BU324" s="291"/>
      <c r="BV324" s="291"/>
      <c r="BW324" s="291"/>
      <c r="BX324" s="291"/>
      <c r="BY324" s="864"/>
      <c r="BZ324" s="291"/>
      <c r="CA324" s="291"/>
      <c r="CB324" s="291"/>
      <c r="CC324" s="291"/>
      <c r="CD324" s="864"/>
      <c r="CE324" s="291"/>
      <c r="CF324" s="291"/>
      <c r="CG324" s="291"/>
      <c r="CH324" s="291"/>
      <c r="CI324" s="749"/>
      <c r="CJ324" s="749"/>
      <c r="CK324" s="749"/>
      <c r="CL324" s="749"/>
      <c r="CM324" s="749"/>
      <c r="CN324" s="291"/>
      <c r="CO324" s="291"/>
      <c r="CP324" s="291"/>
      <c r="CQ324" s="693"/>
    </row>
    <row r="325" spans="2:95" ht="16.5" customHeight="1" x14ac:dyDescent="0.25">
      <c r="B325" s="223" t="s">
        <v>791</v>
      </c>
      <c r="C325" s="224"/>
      <c r="D325" s="224"/>
      <c r="E325" s="224"/>
      <c r="F325" s="224"/>
      <c r="G325" s="867"/>
      <c r="H325" s="224"/>
      <c r="I325" s="224"/>
      <c r="J325" s="224"/>
      <c r="K325" s="224"/>
      <c r="L325" s="867"/>
      <c r="M325" s="224"/>
      <c r="N325" s="224"/>
      <c r="O325" s="224"/>
      <c r="P325" s="224"/>
      <c r="Q325" s="867"/>
      <c r="R325" s="224"/>
      <c r="S325" s="224"/>
      <c r="T325" s="224"/>
      <c r="U325" s="224"/>
      <c r="V325" s="867"/>
      <c r="W325" s="224"/>
      <c r="X325" s="224"/>
      <c r="Y325" s="224"/>
      <c r="Z325" s="224"/>
      <c r="AA325" s="867"/>
      <c r="AB325" s="224"/>
      <c r="AC325" s="224"/>
      <c r="AD325" s="224"/>
      <c r="AE325" s="224"/>
      <c r="AF325" s="867"/>
      <c r="AG325" s="224"/>
      <c r="AH325" s="224"/>
      <c r="AI325" s="224"/>
      <c r="AJ325" s="224"/>
      <c r="AK325" s="867"/>
      <c r="AL325" s="224"/>
      <c r="AM325" s="224"/>
      <c r="AN325" s="224"/>
      <c r="AO325" s="224"/>
      <c r="AP325" s="867"/>
      <c r="AQ325" s="224"/>
      <c r="AR325" s="224"/>
      <c r="AS325" s="224"/>
      <c r="AT325" s="224"/>
      <c r="AU325" s="867"/>
      <c r="AV325" s="224"/>
      <c r="AW325" s="224"/>
      <c r="AX325" s="224"/>
      <c r="AY325" s="224"/>
      <c r="AZ325" s="867"/>
      <c r="BA325" s="224"/>
      <c r="BB325" s="224"/>
      <c r="BC325" s="224"/>
      <c r="BD325" s="224"/>
      <c r="BE325" s="867"/>
      <c r="BF325" s="224"/>
      <c r="BG325" s="224"/>
      <c r="BH325" s="224"/>
      <c r="BI325" s="224"/>
      <c r="BJ325" s="867"/>
      <c r="BK325" s="224"/>
      <c r="BL325" s="224"/>
      <c r="BM325" s="224"/>
      <c r="BN325" s="224"/>
      <c r="BO325" s="867"/>
      <c r="BP325" s="224"/>
      <c r="BQ325" s="224"/>
      <c r="BR325" s="224"/>
      <c r="BS325" s="224"/>
      <c r="BT325" s="867"/>
      <c r="BU325" s="224"/>
      <c r="BV325" s="224"/>
      <c r="BW325" s="224"/>
      <c r="BX325" s="224"/>
      <c r="BY325" s="867"/>
      <c r="BZ325" s="224"/>
      <c r="CA325" s="224"/>
      <c r="CB325" s="224"/>
      <c r="CC325" s="224"/>
      <c r="CD325" s="867"/>
      <c r="CE325" s="224"/>
      <c r="CF325" s="224"/>
      <c r="CG325" s="224"/>
      <c r="CH325" s="224"/>
      <c r="CI325" s="224"/>
      <c r="CJ325" s="224"/>
      <c r="CK325" s="224"/>
      <c r="CL325" s="224"/>
      <c r="CM325" s="224"/>
      <c r="CN325" s="224"/>
      <c r="CO325" s="224"/>
      <c r="CP325" s="224"/>
      <c r="CQ325" s="693"/>
    </row>
    <row r="326" spans="2:95" ht="16.5" customHeight="1" x14ac:dyDescent="0.25">
      <c r="B326" t="s">
        <v>703</v>
      </c>
      <c r="C326" s="291">
        <f t="shared" ref="C326:AH326" si="150">IF(ISNUMBER(C150),IF(C150&gt;0,C150,C126),C126)</f>
        <v>0</v>
      </c>
      <c r="D326" s="291">
        <f t="shared" si="150"/>
        <v>0</v>
      </c>
      <c r="E326" s="291">
        <f t="shared" si="150"/>
        <v>0</v>
      </c>
      <c r="F326" s="291">
        <f t="shared" si="150"/>
        <v>0</v>
      </c>
      <c r="G326" s="864">
        <f t="shared" si="150"/>
        <v>191.47799999999984</v>
      </c>
      <c r="H326" s="291">
        <f t="shared" si="150"/>
        <v>0</v>
      </c>
      <c r="I326" s="291">
        <f t="shared" si="150"/>
        <v>0</v>
      </c>
      <c r="J326" s="291">
        <f t="shared" si="150"/>
        <v>0</v>
      </c>
      <c r="K326" s="291">
        <f t="shared" si="150"/>
        <v>0</v>
      </c>
      <c r="L326" s="864">
        <f t="shared" si="150"/>
        <v>219.45099999999988</v>
      </c>
      <c r="M326" s="291">
        <f t="shared" si="150"/>
        <v>0</v>
      </c>
      <c r="N326" s="291">
        <f t="shared" si="150"/>
        <v>0</v>
      </c>
      <c r="O326" s="291">
        <f t="shared" si="150"/>
        <v>0</v>
      </c>
      <c r="P326" s="291">
        <f t="shared" si="150"/>
        <v>0</v>
      </c>
      <c r="Q326" s="864">
        <f t="shared" si="150"/>
        <v>243.15300000000008</v>
      </c>
      <c r="R326" s="291">
        <f t="shared" si="150"/>
        <v>0</v>
      </c>
      <c r="S326" s="291">
        <f t="shared" si="150"/>
        <v>0</v>
      </c>
      <c r="T326" s="291">
        <f t="shared" si="150"/>
        <v>0</v>
      </c>
      <c r="U326" s="291">
        <f t="shared" si="150"/>
        <v>0</v>
      </c>
      <c r="V326" s="864">
        <f t="shared" si="150"/>
        <v>191.96800000000019</v>
      </c>
      <c r="W326" s="291">
        <f t="shared" si="150"/>
        <v>0</v>
      </c>
      <c r="X326" s="291">
        <f t="shared" si="150"/>
        <v>0</v>
      </c>
      <c r="Y326" s="291">
        <f t="shared" si="150"/>
        <v>0</v>
      </c>
      <c r="Z326" s="291">
        <f t="shared" si="150"/>
        <v>0</v>
      </c>
      <c r="AA326" s="864">
        <f t="shared" si="150"/>
        <v>231.43600000000023</v>
      </c>
      <c r="AB326" s="291">
        <f t="shared" si="150"/>
        <v>0</v>
      </c>
      <c r="AC326" s="291">
        <f t="shared" si="150"/>
        <v>0</v>
      </c>
      <c r="AD326" s="291">
        <f t="shared" si="150"/>
        <v>0</v>
      </c>
      <c r="AE326" s="291">
        <f t="shared" si="150"/>
        <v>0</v>
      </c>
      <c r="AF326" s="864">
        <f t="shared" si="150"/>
        <v>212.80100000000022</v>
      </c>
      <c r="AG326" s="291">
        <f t="shared" si="150"/>
        <v>0</v>
      </c>
      <c r="AH326" s="291">
        <f t="shared" si="150"/>
        <v>0</v>
      </c>
      <c r="AI326" s="291">
        <f t="shared" ref="AI326:BN326" si="151">IF(ISNUMBER(AI150),IF(AI150&gt;0,AI150,AI126),AI126)</f>
        <v>0</v>
      </c>
      <c r="AJ326" s="291">
        <f t="shared" si="151"/>
        <v>0</v>
      </c>
      <c r="AK326" s="864">
        <f t="shared" si="151"/>
        <v>204.09999999999982</v>
      </c>
      <c r="AL326" s="291">
        <f t="shared" si="151"/>
        <v>0</v>
      </c>
      <c r="AM326" s="291">
        <f t="shared" si="151"/>
        <v>0</v>
      </c>
      <c r="AN326" s="291">
        <f t="shared" si="151"/>
        <v>0</v>
      </c>
      <c r="AO326" s="291">
        <f t="shared" si="151"/>
        <v>0</v>
      </c>
      <c r="AP326" s="864">
        <f t="shared" si="151"/>
        <v>250.15199999999999</v>
      </c>
      <c r="AQ326" s="291">
        <f t="shared" si="151"/>
        <v>0</v>
      </c>
      <c r="AR326" s="291">
        <f t="shared" si="151"/>
        <v>0</v>
      </c>
      <c r="AS326" s="291">
        <f t="shared" si="151"/>
        <v>0</v>
      </c>
      <c r="AT326" s="291">
        <f t="shared" si="151"/>
        <v>0</v>
      </c>
      <c r="AU326" s="864">
        <f t="shared" si="151"/>
        <v>294.53399999999999</v>
      </c>
      <c r="AV326" s="291">
        <f t="shared" si="151"/>
        <v>0</v>
      </c>
      <c r="AW326" s="291">
        <f t="shared" si="151"/>
        <v>0</v>
      </c>
      <c r="AX326" s="291">
        <f t="shared" si="151"/>
        <v>0</v>
      </c>
      <c r="AY326" s="291">
        <f t="shared" si="151"/>
        <v>0</v>
      </c>
      <c r="AZ326" s="864">
        <f t="shared" si="151"/>
        <v>321.142</v>
      </c>
      <c r="BA326" s="291">
        <f t="shared" si="151"/>
        <v>0</v>
      </c>
      <c r="BB326" s="291">
        <f t="shared" si="151"/>
        <v>0</v>
      </c>
      <c r="BC326" s="291">
        <f t="shared" si="151"/>
        <v>0</v>
      </c>
      <c r="BD326" s="291">
        <f t="shared" si="151"/>
        <v>0</v>
      </c>
      <c r="BE326" s="864">
        <f t="shared" si="151"/>
        <v>287.60899999999998</v>
      </c>
      <c r="BF326" s="291">
        <f t="shared" si="151"/>
        <v>65.272999999999968</v>
      </c>
      <c r="BG326" s="291">
        <f t="shared" si="151"/>
        <v>57.892999999999986</v>
      </c>
      <c r="BH326" s="291">
        <f t="shared" si="151"/>
        <v>56.985999999999983</v>
      </c>
      <c r="BI326" s="291">
        <f t="shared" si="151"/>
        <v>55.515999999999948</v>
      </c>
      <c r="BJ326" s="864">
        <f t="shared" si="151"/>
        <v>277.863</v>
      </c>
      <c r="BK326" s="291">
        <f t="shared" si="151"/>
        <v>53.491</v>
      </c>
      <c r="BL326" s="291">
        <f t="shared" si="151"/>
        <v>49.511999999999972</v>
      </c>
      <c r="BM326" s="291">
        <f t="shared" si="151"/>
        <v>72.45799999999997</v>
      </c>
      <c r="BN326" s="291">
        <f t="shared" si="151"/>
        <v>64.239999999999981</v>
      </c>
      <c r="BO326" s="864">
        <f t="shared" ref="BO326:CM326" si="152">IF(ISNUMBER(BO150),IF(BO150&gt;0,BO150,BO126),BO126)</f>
        <v>308.279</v>
      </c>
      <c r="BP326" s="291">
        <f t="shared" si="152"/>
        <v>57.728999999999921</v>
      </c>
      <c r="BQ326" s="291">
        <f t="shared" si="152"/>
        <v>78.015000000000072</v>
      </c>
      <c r="BR326" s="291">
        <f t="shared" si="152"/>
        <v>76.644000000000034</v>
      </c>
      <c r="BS326" s="291">
        <f t="shared" si="152"/>
        <v>68.970000000000013</v>
      </c>
      <c r="BT326" s="864">
        <f t="shared" si="152"/>
        <v>361.80599999999998</v>
      </c>
      <c r="BU326" s="291">
        <f t="shared" si="152"/>
        <v>84.707000000000065</v>
      </c>
      <c r="BV326" s="291">
        <f t="shared" si="152"/>
        <v>103.11799999999997</v>
      </c>
      <c r="BW326" s="291">
        <f t="shared" si="152"/>
        <v>97.372</v>
      </c>
      <c r="BX326" s="291">
        <f t="shared" si="152"/>
        <v>50.879000000000019</v>
      </c>
      <c r="BY326" s="864">
        <f t="shared" si="152"/>
        <v>457.86199999999997</v>
      </c>
      <c r="BZ326" s="291">
        <f t="shared" si="152"/>
        <v>107.21299999999999</v>
      </c>
      <c r="CA326" s="291">
        <f t="shared" si="152"/>
        <v>116.65</v>
      </c>
      <c r="CB326" s="291">
        <f t="shared" si="152"/>
        <v>131.68</v>
      </c>
      <c r="CC326" s="291">
        <f t="shared" si="152"/>
        <v>143.49000000000004</v>
      </c>
      <c r="CD326" s="864">
        <f t="shared" si="152"/>
        <v>501.26799999999997</v>
      </c>
      <c r="CE326" s="291">
        <f t="shared" si="152"/>
        <v>122.75999999999999</v>
      </c>
      <c r="CF326" s="291">
        <f t="shared" si="152"/>
        <v>128.75899999999987</v>
      </c>
      <c r="CG326" s="291">
        <f t="shared" si="152"/>
        <v>136.00975393472825</v>
      </c>
      <c r="CH326" s="291">
        <f t="shared" si="152"/>
        <v>124.31178573193888</v>
      </c>
      <c r="CI326" s="749">
        <f t="shared" si="152"/>
        <v>511.84053966666681</v>
      </c>
      <c r="CJ326" s="749">
        <f t="shared" si="152"/>
        <v>567.74948012444418</v>
      </c>
      <c r="CK326" s="749">
        <f t="shared" si="152"/>
        <v>626.56642648129662</v>
      </c>
      <c r="CL326" s="749">
        <f t="shared" si="152"/>
        <v>702.82691955281598</v>
      </c>
      <c r="CM326" s="749">
        <f t="shared" si="152"/>
        <v>785.6865627352521</v>
      </c>
      <c r="CN326" s="291"/>
      <c r="CO326" s="291"/>
      <c r="CP326" s="291"/>
      <c r="CQ326" s="693"/>
    </row>
    <row r="327" spans="2:95" ht="16.5" customHeight="1" x14ac:dyDescent="0.25">
      <c r="B327" s="681" t="s">
        <v>792</v>
      </c>
      <c r="C327" s="241"/>
      <c r="D327" s="241"/>
      <c r="E327" s="241"/>
      <c r="F327" s="241"/>
      <c r="G327" s="886">
        <f>G132</f>
        <v>0.27067619945526949</v>
      </c>
      <c r="H327" s="758"/>
      <c r="I327" s="758"/>
      <c r="J327" s="758"/>
      <c r="K327" s="758"/>
      <c r="L327" s="886">
        <f>L132</f>
        <v>0.25989063307669308</v>
      </c>
      <c r="M327" s="758"/>
      <c r="N327" s="758"/>
      <c r="O327" s="758"/>
      <c r="P327" s="758"/>
      <c r="Q327" s="886">
        <f>Q132</f>
        <v>0.26996135816242972</v>
      </c>
      <c r="R327" s="758"/>
      <c r="S327" s="758"/>
      <c r="T327" s="758"/>
      <c r="U327" s="758"/>
      <c r="V327" s="886">
        <f>V132</f>
        <v>0.26974170636219258</v>
      </c>
      <c r="W327" s="758"/>
      <c r="X327" s="758"/>
      <c r="Y327" s="758"/>
      <c r="Z327" s="758"/>
      <c r="AA327" s="886">
        <f>AA132</f>
        <v>0.27738063154625114</v>
      </c>
      <c r="AB327" s="758"/>
      <c r="AC327" s="758"/>
      <c r="AD327" s="758"/>
      <c r="AE327" s="758"/>
      <c r="AF327" s="886">
        <f>AF132</f>
        <v>0.28259734325532782</v>
      </c>
      <c r="AG327" s="758"/>
      <c r="AH327" s="758"/>
      <c r="AI327" s="758"/>
      <c r="AJ327" s="758"/>
      <c r="AK327" s="886">
        <f>AK132</f>
        <v>0.29043334611640487</v>
      </c>
      <c r="AL327" s="758"/>
      <c r="AM327" s="758"/>
      <c r="AN327" s="758"/>
      <c r="AO327" s="758"/>
      <c r="AP327" s="886">
        <f>AP132</f>
        <v>0.22661106691174462</v>
      </c>
      <c r="AQ327" s="758"/>
      <c r="AR327" s="758"/>
      <c r="AS327" s="758"/>
      <c r="AT327" s="758"/>
      <c r="AU327" s="886">
        <f>AU132</f>
        <v>0.47655328001580921</v>
      </c>
      <c r="AV327" s="758"/>
      <c r="AW327" s="758"/>
      <c r="AX327" s="758"/>
      <c r="AY327" s="758"/>
      <c r="AZ327" s="886">
        <f>AZ132</f>
        <v>0.23090345094998074</v>
      </c>
      <c r="BA327" s="758"/>
      <c r="BB327" s="758"/>
      <c r="BC327" s="758"/>
      <c r="BD327" s="758"/>
      <c r="BE327" s="886">
        <v>0.25</v>
      </c>
      <c r="BF327" s="758"/>
      <c r="BG327" s="758"/>
      <c r="BH327" s="758"/>
      <c r="BI327" s="758"/>
      <c r="BJ327" s="886">
        <f>BJ132</f>
        <v>0.22845897906504264</v>
      </c>
      <c r="BK327" s="758"/>
      <c r="BL327" s="758"/>
      <c r="BM327" s="758"/>
      <c r="BN327" s="758"/>
      <c r="BO327" s="886">
        <f>BO132</f>
        <v>0.23550219480832993</v>
      </c>
      <c r="BP327" s="758"/>
      <c r="BQ327" s="758"/>
      <c r="BR327" s="758"/>
      <c r="BS327" s="758"/>
      <c r="BT327" s="886">
        <f>BT132</f>
        <v>0.20929938605994944</v>
      </c>
      <c r="BU327" s="758"/>
      <c r="BV327" s="758"/>
      <c r="BW327" s="758"/>
      <c r="BX327" s="758"/>
      <c r="BY327" s="886">
        <f>BY132</f>
        <v>0.22599037613162012</v>
      </c>
      <c r="BZ327" s="758"/>
      <c r="CA327" s="758"/>
      <c r="CB327" s="758"/>
      <c r="CC327" s="758"/>
      <c r="CD327" s="886">
        <f t="shared" ref="CD327:CM327" si="153">CD132</f>
        <v>0.2482664210230035</v>
      </c>
      <c r="CE327" s="758">
        <f>CE132</f>
        <v>0.21986917818324894</v>
      </c>
      <c r="CF327" s="758">
        <f>CF132</f>
        <v>0.2479346437662544</v>
      </c>
      <c r="CG327" s="758">
        <f>CG132</f>
        <v>0.24</v>
      </c>
      <c r="CH327" s="758">
        <f>CH132</f>
        <v>0.25281667085775456</v>
      </c>
      <c r="CI327" s="759">
        <f t="shared" si="153"/>
        <v>0.24</v>
      </c>
      <c r="CJ327" s="759">
        <f t="shared" si="153"/>
        <v>0.23499999999999999</v>
      </c>
      <c r="CK327" s="759">
        <f t="shared" si="153"/>
        <v>0.23499999999999999</v>
      </c>
      <c r="CL327" s="759">
        <f t="shared" si="153"/>
        <v>0.23499999999999999</v>
      </c>
      <c r="CM327" s="759">
        <f t="shared" si="153"/>
        <v>0.23499999999999999</v>
      </c>
      <c r="CN327" s="241"/>
      <c r="CO327" s="241"/>
      <c r="CP327" s="241"/>
      <c r="CQ327" s="693"/>
    </row>
    <row r="328" spans="2:95" ht="16.5" customHeight="1" x14ac:dyDescent="0.25">
      <c r="B328" t="s">
        <v>793</v>
      </c>
      <c r="C328" s="678"/>
      <c r="D328" s="678"/>
      <c r="E328" s="678"/>
      <c r="F328" s="678"/>
      <c r="G328" s="864">
        <f>G326*(1-G327)</f>
        <v>139.64946268070378</v>
      </c>
      <c r="H328" s="291"/>
      <c r="I328" s="291"/>
      <c r="J328" s="291"/>
      <c r="K328" s="291"/>
      <c r="L328" s="864">
        <f>L326*(1-L327)</f>
        <v>162.41774068068656</v>
      </c>
      <c r="M328" s="291"/>
      <c r="N328" s="291"/>
      <c r="O328" s="291"/>
      <c r="P328" s="291"/>
      <c r="Q328" s="864">
        <f>Q326*(1-Q327)</f>
        <v>177.5110858787308</v>
      </c>
      <c r="R328" s="291"/>
      <c r="S328" s="291"/>
      <c r="T328" s="291"/>
      <c r="U328" s="291"/>
      <c r="V328" s="864">
        <f>V326*(1-V327)</f>
        <v>140.18622411306276</v>
      </c>
      <c r="W328" s="291"/>
      <c r="X328" s="291"/>
      <c r="Y328" s="291"/>
      <c r="Z328" s="291"/>
      <c r="AA328" s="864">
        <f>AA326*(1-AA327)</f>
        <v>167.24013615746199</v>
      </c>
      <c r="AB328" s="291"/>
      <c r="AC328" s="291"/>
      <c r="AD328" s="291"/>
      <c r="AE328" s="291"/>
      <c r="AF328" s="864">
        <f>AF326*(1-AF327)</f>
        <v>152.66400275792313</v>
      </c>
      <c r="AG328" s="291"/>
      <c r="AH328" s="291"/>
      <c r="AI328" s="291"/>
      <c r="AJ328" s="291"/>
      <c r="AK328" s="864">
        <f>AK326*(1-AK327)</f>
        <v>144.82255405764164</v>
      </c>
      <c r="AL328" s="291"/>
      <c r="AM328" s="291"/>
      <c r="AN328" s="291"/>
      <c r="AO328" s="291"/>
      <c r="AP328" s="864">
        <f>AP326*(1-AP327)</f>
        <v>193.46478838989324</v>
      </c>
      <c r="AQ328" s="291"/>
      <c r="AR328" s="291"/>
      <c r="AS328" s="291"/>
      <c r="AT328" s="291"/>
      <c r="AU328" s="864">
        <f>AU326*(1-AU327)</f>
        <v>154.17285622382366</v>
      </c>
      <c r="AV328" s="291"/>
      <c r="AW328" s="291"/>
      <c r="AX328" s="291"/>
      <c r="AY328" s="291"/>
      <c r="AZ328" s="864">
        <f>AZ326*(1-AZ327)</f>
        <v>246.98920395502128</v>
      </c>
      <c r="BA328" s="291"/>
      <c r="BB328" s="291"/>
      <c r="BC328" s="291"/>
      <c r="BD328" s="291"/>
      <c r="BE328" s="864">
        <f>BE326*(1-BE327)</f>
        <v>215.70675</v>
      </c>
      <c r="BF328" s="291"/>
      <c r="BG328" s="291"/>
      <c r="BH328" s="291"/>
      <c r="BI328" s="291"/>
      <c r="BJ328" s="864">
        <f>BJ326*(1-BJ327)</f>
        <v>214.38270270005006</v>
      </c>
      <c r="BK328" s="291"/>
      <c r="BL328" s="291"/>
      <c r="BM328" s="291"/>
      <c r="BN328" s="291"/>
      <c r="BO328" s="864">
        <f>BO326*(1-BO327)</f>
        <v>235.67861888668287</v>
      </c>
      <c r="BP328" s="291"/>
      <c r="BQ328" s="291"/>
      <c r="BR328" s="291"/>
      <c r="BS328" s="291"/>
      <c r="BT328" s="864">
        <f>BT326*(1-BT327)</f>
        <v>286.08022632719388</v>
      </c>
      <c r="BU328" s="291"/>
      <c r="BV328" s="291"/>
      <c r="BW328" s="291"/>
      <c r="BX328" s="291"/>
      <c r="BY328" s="864">
        <f>BY326*(1-BY327)</f>
        <v>354.38959440362413</v>
      </c>
      <c r="BZ328" s="291"/>
      <c r="CA328" s="291"/>
      <c r="CB328" s="291"/>
      <c r="CC328" s="291"/>
      <c r="CD328" s="864">
        <f t="shared" ref="CD328:CM328" si="154">CD326*(1-CD327)</f>
        <v>376.81998766664111</v>
      </c>
      <c r="CE328" s="291">
        <f>CE326*(1-CE327)</f>
        <v>95.76885968622436</v>
      </c>
      <c r="CF328" s="291">
        <f>CF326*(1-CF327)</f>
        <v>96.835183203300758</v>
      </c>
      <c r="CG328" s="291">
        <f>CG326*(1-CG327)</f>
        <v>103.36741299039348</v>
      </c>
      <c r="CH328" s="291">
        <f>CH326*(1-CH327)</f>
        <v>92.88369391480758</v>
      </c>
      <c r="CI328" s="749">
        <f t="shared" si="154"/>
        <v>388.99881014666676</v>
      </c>
      <c r="CJ328" s="749">
        <f t="shared" si="154"/>
        <v>434.32835229519981</v>
      </c>
      <c r="CK328" s="749">
        <f t="shared" si="154"/>
        <v>479.32331625819194</v>
      </c>
      <c r="CL328" s="749">
        <f t="shared" si="154"/>
        <v>537.66259345790422</v>
      </c>
      <c r="CM328" s="749">
        <f t="shared" si="154"/>
        <v>601.05022049246782</v>
      </c>
      <c r="CN328" s="678"/>
      <c r="CO328" s="678"/>
      <c r="CP328" s="678"/>
      <c r="CQ328" s="693"/>
    </row>
    <row r="329" spans="2:95" ht="16.5" customHeight="1" x14ac:dyDescent="0.25">
      <c r="B329" t="s">
        <v>794</v>
      </c>
      <c r="C329" s="678"/>
      <c r="D329" s="678"/>
      <c r="E329" s="678"/>
      <c r="F329" s="678"/>
      <c r="G329" s="864">
        <f>G330+G331</f>
        <v>1773.2509999999997</v>
      </c>
      <c r="H329" s="291"/>
      <c r="I329" s="291"/>
      <c r="J329" s="291"/>
      <c r="K329" s="291"/>
      <c r="L329" s="864">
        <f>L330+L331</f>
        <v>1803.6590000000001</v>
      </c>
      <c r="M329" s="291"/>
      <c r="N329" s="291"/>
      <c r="O329" s="291"/>
      <c r="P329" s="291"/>
      <c r="Q329" s="864">
        <f>Q330+Q331</f>
        <v>1920.5709999999999</v>
      </c>
      <c r="R329" s="291"/>
      <c r="S329" s="291"/>
      <c r="T329" s="291"/>
      <c r="U329" s="291"/>
      <c r="V329" s="864">
        <f>V330+V331</f>
        <v>2087.8320000000003</v>
      </c>
      <c r="W329" s="291"/>
      <c r="X329" s="291"/>
      <c r="Y329" s="291"/>
      <c r="Z329" s="291"/>
      <c r="AA329" s="864">
        <f>AA330+AA331</f>
        <v>1990.1590000000001</v>
      </c>
      <c r="AB329" s="291"/>
      <c r="AC329" s="291"/>
      <c r="AD329" s="291"/>
      <c r="AE329" s="291"/>
      <c r="AF329" s="864">
        <f>AF330+AF331</f>
        <v>1759.8629999999998</v>
      </c>
      <c r="AG329" s="291"/>
      <c r="AH329" s="291"/>
      <c r="AI329" s="291"/>
      <c r="AJ329" s="291"/>
      <c r="AK329" s="864">
        <f>AK330+AK331</f>
        <v>1675.3270000000002</v>
      </c>
      <c r="AL329" s="291"/>
      <c r="AM329" s="291"/>
      <c r="AN329" s="291"/>
      <c r="AO329" s="291"/>
      <c r="AP329" s="864">
        <f>AP330+AP331</f>
        <v>1803.268</v>
      </c>
      <c r="AQ329" s="291"/>
      <c r="AR329" s="291"/>
      <c r="AS329" s="291"/>
      <c r="AT329" s="291"/>
      <c r="AU329" s="864">
        <f>AU330+AU331</f>
        <v>1960.1040000000003</v>
      </c>
      <c r="AV329" s="291"/>
      <c r="AW329" s="291"/>
      <c r="AX329" s="291"/>
      <c r="AY329" s="291"/>
      <c r="AZ329" s="864">
        <f>AZ330+AZ331</f>
        <v>2066.0120000000002</v>
      </c>
      <c r="BA329" s="291"/>
      <c r="BB329" s="291"/>
      <c r="BC329" s="291"/>
      <c r="BD329" s="291"/>
      <c r="BE329" s="864">
        <f>BE330+BE331</f>
        <v>2088.3429999999998</v>
      </c>
      <c r="BF329" s="291"/>
      <c r="BG329" s="291"/>
      <c r="BH329" s="291"/>
      <c r="BI329" s="291"/>
      <c r="BJ329" s="864">
        <f>BJ330+BJ331</f>
        <v>2202.9499999999998</v>
      </c>
      <c r="BK329" s="291"/>
      <c r="BL329" s="291"/>
      <c r="BM329" s="291"/>
      <c r="BN329" s="291"/>
      <c r="BO329" s="864">
        <f>BO330+BO331</f>
        <v>2157.2729999999997</v>
      </c>
      <c r="BP329" s="291"/>
      <c r="BQ329" s="291"/>
      <c r="BR329" s="291"/>
      <c r="BS329" s="291"/>
      <c r="BT329" s="864">
        <f>BT330+BT331</f>
        <v>2430.0349999999994</v>
      </c>
      <c r="BU329" s="291"/>
      <c r="BV329" s="291"/>
      <c r="BW329" s="291"/>
      <c r="BX329" s="291"/>
      <c r="BY329" s="864">
        <f>BY330+BY331</f>
        <v>2641.1389999999997</v>
      </c>
      <c r="BZ329" s="291"/>
      <c r="CA329" s="291"/>
      <c r="CB329" s="291"/>
      <c r="CC329" s="291"/>
      <c r="CD329" s="864">
        <f t="shared" ref="CD329:CM329" si="155">CD330+CD331</f>
        <v>2876.0279999999998</v>
      </c>
      <c r="CE329" s="291">
        <f>CE330+CE331</f>
        <v>3049.0060000000008</v>
      </c>
      <c r="CF329" s="291">
        <f>CF330+CF331</f>
        <v>3034.0730000000003</v>
      </c>
      <c r="CG329" s="291">
        <f>CG330+CG331</f>
        <v>3064.2938162033688</v>
      </c>
      <c r="CH329" s="291">
        <f>CH330+CH331</f>
        <v>2965.4493222553419</v>
      </c>
      <c r="CI329" s="749">
        <f t="shared" si="155"/>
        <v>2993.6781312561488</v>
      </c>
      <c r="CJ329" s="749">
        <f t="shared" si="155"/>
        <v>3098.4005137493905</v>
      </c>
      <c r="CK329" s="749">
        <f t="shared" si="155"/>
        <v>3167.604294917217</v>
      </c>
      <c r="CL329" s="749">
        <f t="shared" si="155"/>
        <v>3258.2043035765532</v>
      </c>
      <c r="CM329" s="749">
        <f t="shared" si="155"/>
        <v>3401.0624189283712</v>
      </c>
      <c r="CN329" s="678"/>
      <c r="CO329" s="678"/>
      <c r="CP329" s="678"/>
      <c r="CQ329" s="693"/>
    </row>
    <row r="330" spans="2:95" ht="16.5" customHeight="1" x14ac:dyDescent="0.25">
      <c r="B330" t="s">
        <v>199</v>
      </c>
      <c r="C330" s="291"/>
      <c r="D330" s="291"/>
      <c r="E330" s="291"/>
      <c r="F330" s="291"/>
      <c r="G330" s="864">
        <f>G260</f>
        <v>1120.9559999999999</v>
      </c>
      <c r="H330" s="291"/>
      <c r="I330" s="291"/>
      <c r="J330" s="291"/>
      <c r="K330" s="291"/>
      <c r="L330" s="864">
        <f>L260</f>
        <v>1191.8910000000001</v>
      </c>
      <c r="M330" s="291"/>
      <c r="N330" s="291"/>
      <c r="O330" s="291"/>
      <c r="P330" s="291"/>
      <c r="Q330" s="864">
        <f>Q260</f>
        <v>1304.79</v>
      </c>
      <c r="R330" s="291"/>
      <c r="S330" s="291"/>
      <c r="T330" s="291"/>
      <c r="U330" s="291"/>
      <c r="V330" s="864">
        <f>V260</f>
        <v>1535.7650000000001</v>
      </c>
      <c r="W330" s="291"/>
      <c r="X330" s="291"/>
      <c r="Y330" s="291"/>
      <c r="Z330" s="291"/>
      <c r="AA330" s="864">
        <f>AA260</f>
        <v>1347.415</v>
      </c>
      <c r="AB330" s="291"/>
      <c r="AC330" s="291"/>
      <c r="AD330" s="291"/>
      <c r="AE330" s="291"/>
      <c r="AF330" s="864">
        <f>AF260</f>
        <v>994.53200000000004</v>
      </c>
      <c r="AG330" s="291"/>
      <c r="AH330" s="291"/>
      <c r="AI330" s="291"/>
      <c r="AJ330" s="291"/>
      <c r="AK330" s="864">
        <f>AK260</f>
        <v>994.06200000000001</v>
      </c>
      <c r="AL330" s="291"/>
      <c r="AM330" s="291"/>
      <c r="AN330" s="291"/>
      <c r="AO330" s="291"/>
      <c r="AP330" s="864">
        <f>AP260</f>
        <v>1214.3040000000001</v>
      </c>
      <c r="AQ330" s="291"/>
      <c r="AR330" s="291"/>
      <c r="AS330" s="291"/>
      <c r="AT330" s="291"/>
      <c r="AU330" s="864">
        <f>AU260</f>
        <v>1224.9860000000001</v>
      </c>
      <c r="AV330" s="291"/>
      <c r="AW330" s="291"/>
      <c r="AX330" s="291"/>
      <c r="AY330" s="291"/>
      <c r="AZ330" s="864">
        <f>AZ260</f>
        <v>1322.481</v>
      </c>
      <c r="BA330" s="291"/>
      <c r="BB330" s="291"/>
      <c r="BC330" s="291"/>
      <c r="BD330" s="291"/>
      <c r="BE330" s="864">
        <f>BE260</f>
        <v>1243.0829999999996</v>
      </c>
      <c r="BF330" s="291"/>
      <c r="BG330" s="291"/>
      <c r="BH330" s="291"/>
      <c r="BI330" s="291"/>
      <c r="BJ330" s="864">
        <f>BJ260</f>
        <v>1400.144</v>
      </c>
      <c r="BK330" s="291"/>
      <c r="BL330" s="291"/>
      <c r="BM330" s="291"/>
      <c r="BN330" s="291"/>
      <c r="BO330" s="864">
        <f>BO260</f>
        <v>1436.8129999999996</v>
      </c>
      <c r="BP330" s="291"/>
      <c r="BQ330" s="291"/>
      <c r="BR330" s="291"/>
      <c r="BS330" s="291"/>
      <c r="BT330" s="864">
        <f>BT260</f>
        <v>1636.0869999999995</v>
      </c>
      <c r="BU330" s="291"/>
      <c r="BV330" s="291"/>
      <c r="BW330" s="291"/>
      <c r="BX330" s="291"/>
      <c r="BY330" s="864">
        <f>BY260</f>
        <v>1828.8169999999996</v>
      </c>
      <c r="BZ330" s="291"/>
      <c r="CA330" s="291"/>
      <c r="CB330" s="291"/>
      <c r="CC330" s="291"/>
      <c r="CD330" s="864">
        <f t="shared" ref="CD330:CM330" si="156">CD260</f>
        <v>1992.5549999999998</v>
      </c>
      <c r="CE330" s="291">
        <f>CE260</f>
        <v>2065.8000000000006</v>
      </c>
      <c r="CF330" s="291">
        <f>CF260</f>
        <v>2102.48</v>
      </c>
      <c r="CG330" s="291">
        <f>CG260</f>
        <v>2145.8992053237271</v>
      </c>
      <c r="CH330" s="291">
        <f>CH260</f>
        <v>2178.3307948133343</v>
      </c>
      <c r="CI330" s="749">
        <f t="shared" si="156"/>
        <v>2159.7307948133334</v>
      </c>
      <c r="CJ330" s="749">
        <f t="shared" si="156"/>
        <v>2374.1492622285327</v>
      </c>
      <c r="CK330" s="749">
        <f t="shared" si="156"/>
        <v>2637.3259148533912</v>
      </c>
      <c r="CL330" s="749">
        <f t="shared" si="156"/>
        <v>2960.6258503690738</v>
      </c>
      <c r="CM330" s="749">
        <f t="shared" si="156"/>
        <v>3348.461228863393</v>
      </c>
      <c r="CN330" s="291"/>
      <c r="CO330" s="291"/>
      <c r="CP330" s="291"/>
      <c r="CQ330" s="693"/>
    </row>
    <row r="331" spans="2:95" ht="16.5" customHeight="1" x14ac:dyDescent="0.25">
      <c r="B331" t="s">
        <v>795</v>
      </c>
      <c r="C331" s="291"/>
      <c r="D331" s="291"/>
      <c r="E331" s="291"/>
      <c r="F331" s="291"/>
      <c r="G331" s="864">
        <f>G241+G242+G248-G226</f>
        <v>652.29499999999996</v>
      </c>
      <c r="H331" s="291"/>
      <c r="I331" s="291"/>
      <c r="J331" s="291"/>
      <c r="K331" s="291"/>
      <c r="L331" s="864">
        <f>L241+L242+L248-L226</f>
        <v>611.76800000000003</v>
      </c>
      <c r="M331" s="291"/>
      <c r="N331" s="291"/>
      <c r="O331" s="291"/>
      <c r="P331" s="291"/>
      <c r="Q331" s="864">
        <f>Q241+Q242+Q248-Q226</f>
        <v>615.78100000000006</v>
      </c>
      <c r="R331" s="291"/>
      <c r="S331" s="291"/>
      <c r="T331" s="291"/>
      <c r="U331" s="291"/>
      <c r="V331" s="864">
        <f>V241+V242+V248-V226</f>
        <v>552.06700000000001</v>
      </c>
      <c r="W331" s="291"/>
      <c r="X331" s="291"/>
      <c r="Y331" s="291"/>
      <c r="Z331" s="291"/>
      <c r="AA331" s="864">
        <f>AA241+AA242+AA248-AA226</f>
        <v>642.74400000000003</v>
      </c>
      <c r="AB331" s="291"/>
      <c r="AC331" s="291"/>
      <c r="AD331" s="291"/>
      <c r="AE331" s="291"/>
      <c r="AF331" s="864">
        <f>AF241+AF242+AF248-AF226</f>
        <v>765.3309999999999</v>
      </c>
      <c r="AG331" s="291"/>
      <c r="AH331" s="291"/>
      <c r="AI331" s="291"/>
      <c r="AJ331" s="291"/>
      <c r="AK331" s="864">
        <f>AK241+AK242+AK248-AK226</f>
        <v>681.2650000000001</v>
      </c>
      <c r="AL331" s="291"/>
      <c r="AM331" s="291"/>
      <c r="AN331" s="291"/>
      <c r="AO331" s="291"/>
      <c r="AP331" s="864">
        <f>AP241+AP242+AP248-AP226</f>
        <v>588.96400000000006</v>
      </c>
      <c r="AQ331" s="291"/>
      <c r="AR331" s="291"/>
      <c r="AS331" s="291"/>
      <c r="AT331" s="291"/>
      <c r="AU331" s="864">
        <f>AU241+AU242+AU248-AU226</f>
        <v>735.11800000000005</v>
      </c>
      <c r="AV331" s="291"/>
      <c r="AW331" s="291"/>
      <c r="AX331" s="291"/>
      <c r="AY331" s="291"/>
      <c r="AZ331" s="864">
        <f>AZ241+AZ242+AZ248-AZ226</f>
        <v>743.53100000000006</v>
      </c>
      <c r="BA331" s="291"/>
      <c r="BB331" s="291"/>
      <c r="BC331" s="291"/>
      <c r="BD331" s="291"/>
      <c r="BE331" s="864">
        <f>BE241+BE242+BE248-BE226</f>
        <v>845.26000000000022</v>
      </c>
      <c r="BF331" s="291"/>
      <c r="BG331" s="291"/>
      <c r="BH331" s="291"/>
      <c r="BI331" s="291"/>
      <c r="BJ331" s="864">
        <f>BJ241+BJ242+BJ248-BJ226</f>
        <v>802.80600000000004</v>
      </c>
      <c r="BK331" s="291"/>
      <c r="BL331" s="291"/>
      <c r="BM331" s="291"/>
      <c r="BN331" s="291"/>
      <c r="BO331" s="864">
        <f>BO241+BO242+BO248-BO226</f>
        <v>720.46</v>
      </c>
      <c r="BP331" s="291"/>
      <c r="BQ331" s="291"/>
      <c r="BR331" s="291"/>
      <c r="BS331" s="291"/>
      <c r="BT331" s="864">
        <f>BT241+BT242+BT248-BT226</f>
        <v>793.94799999999998</v>
      </c>
      <c r="BU331" s="291"/>
      <c r="BV331" s="291"/>
      <c r="BW331" s="291"/>
      <c r="BX331" s="291"/>
      <c r="BY331" s="864">
        <f>BY241+BY242+BY248-BY226</f>
        <v>812.322</v>
      </c>
      <c r="BZ331" s="291"/>
      <c r="CA331" s="291"/>
      <c r="CB331" s="291"/>
      <c r="CC331" s="291"/>
      <c r="CD331" s="864">
        <f t="shared" ref="CD331:CM331" si="157">CD241+CD242+CD248-CD226</f>
        <v>883.47300000000007</v>
      </c>
      <c r="CE331" s="291">
        <f>CE241+CE242+CE248-CE226</f>
        <v>983.20600000000002</v>
      </c>
      <c r="CF331" s="291">
        <f>CF241+CF242+CF248-CF226</f>
        <v>931.59300000000007</v>
      </c>
      <c r="CG331" s="291">
        <f>CG241+CG242+CG248-CG226</f>
        <v>918.3946108796415</v>
      </c>
      <c r="CH331" s="291">
        <f>CH241+CH242+CH248-CH226</f>
        <v>787.11852744200758</v>
      </c>
      <c r="CI331" s="749">
        <f>CI241+CI242+CI248-CI226</f>
        <v>833.9473364428153</v>
      </c>
      <c r="CJ331" s="749">
        <f t="shared" si="157"/>
        <v>724.25125152085798</v>
      </c>
      <c r="CK331" s="749">
        <f t="shared" si="157"/>
        <v>530.27838006382603</v>
      </c>
      <c r="CL331" s="749">
        <f t="shared" si="157"/>
        <v>297.57845320747936</v>
      </c>
      <c r="CM331" s="749">
        <f t="shared" si="157"/>
        <v>52.601190064978141</v>
      </c>
      <c r="CN331" s="291"/>
      <c r="CO331" s="291"/>
      <c r="CP331" s="291"/>
      <c r="CQ331" s="693"/>
    </row>
    <row r="332" spans="2:95" ht="16.5" customHeight="1" x14ac:dyDescent="0.25">
      <c r="B332" s="268" t="s">
        <v>796</v>
      </c>
      <c r="C332" s="268"/>
      <c r="D332" s="268"/>
      <c r="E332" s="268"/>
      <c r="F332" s="268"/>
      <c r="G332" s="897">
        <f>G328/G329</f>
        <v>7.8753353406090729E-2</v>
      </c>
      <c r="H332" s="270"/>
      <c r="I332" s="270"/>
      <c r="J332" s="270"/>
      <c r="K332" s="270"/>
      <c r="L332" s="897">
        <f>L328/L329</f>
        <v>9.0049028491908142E-2</v>
      </c>
      <c r="M332" s="270"/>
      <c r="N332" s="270"/>
      <c r="O332" s="270"/>
      <c r="P332" s="270"/>
      <c r="Q332" s="897">
        <f>Q328/Q329</f>
        <v>9.2426203394058742E-2</v>
      </c>
      <c r="R332" s="270"/>
      <c r="S332" s="270"/>
      <c r="T332" s="270"/>
      <c r="U332" s="270"/>
      <c r="V332" s="897">
        <f>V328/V329</f>
        <v>6.7144398645610726E-2</v>
      </c>
      <c r="W332" s="270"/>
      <c r="X332" s="270"/>
      <c r="Y332" s="270"/>
      <c r="Z332" s="270"/>
      <c r="AA332" s="897">
        <f>AA328/AA329</f>
        <v>8.4033555187028763E-2</v>
      </c>
      <c r="AB332" s="270"/>
      <c r="AC332" s="270"/>
      <c r="AD332" s="270"/>
      <c r="AE332" s="270"/>
      <c r="AF332" s="897">
        <f>AF328/AF329</f>
        <v>8.6747663174873924E-2</v>
      </c>
      <c r="AG332" s="270"/>
      <c r="AH332" s="270"/>
      <c r="AI332" s="270"/>
      <c r="AJ332" s="270"/>
      <c r="AK332" s="897">
        <f>AK328/AK329</f>
        <v>8.6444350301548067E-2</v>
      </c>
      <c r="AL332" s="270"/>
      <c r="AM332" s="270"/>
      <c r="AN332" s="270"/>
      <c r="AO332" s="270"/>
      <c r="AP332" s="897">
        <f>AP328/AP329</f>
        <v>0.10728565492755</v>
      </c>
      <c r="AQ332" s="270"/>
      <c r="AR332" s="270"/>
      <c r="AS332" s="270"/>
      <c r="AT332" s="270"/>
      <c r="AU332" s="897">
        <f>AU328/AU329</f>
        <v>7.8655446968030077E-2</v>
      </c>
      <c r="AV332" s="270"/>
      <c r="AW332" s="270"/>
      <c r="AX332" s="270"/>
      <c r="AY332" s="270"/>
      <c r="AZ332" s="897">
        <f>AZ328/AZ329</f>
        <v>0.11954877510635042</v>
      </c>
      <c r="BA332" s="270"/>
      <c r="BB332" s="270"/>
      <c r="BC332" s="270"/>
      <c r="BD332" s="270"/>
      <c r="BE332" s="897">
        <f>BE328/BE329</f>
        <v>0.10329086266001324</v>
      </c>
      <c r="BF332" s="270"/>
      <c r="BG332" s="270"/>
      <c r="BH332" s="270"/>
      <c r="BI332" s="270"/>
      <c r="BJ332" s="897">
        <f>BJ328/BJ329</f>
        <v>9.7316190880433084E-2</v>
      </c>
      <c r="BK332" s="270"/>
      <c r="BL332" s="270"/>
      <c r="BM332" s="270"/>
      <c r="BN332" s="270"/>
      <c r="BO332" s="897">
        <f>BO328/BO329</f>
        <v>0.10924839780903155</v>
      </c>
      <c r="BP332" s="270"/>
      <c r="BQ332" s="270"/>
      <c r="BR332" s="270"/>
      <c r="BS332" s="270"/>
      <c r="BT332" s="897">
        <f>BT328/BT329</f>
        <v>0.11772679254710074</v>
      </c>
      <c r="BU332" s="270"/>
      <c r="BV332" s="270"/>
      <c r="BW332" s="270"/>
      <c r="BX332" s="270"/>
      <c r="BY332" s="897">
        <f>BY328/BY329</f>
        <v>0.13418059193538248</v>
      </c>
      <c r="BZ332" s="270"/>
      <c r="CA332" s="270"/>
      <c r="CB332" s="270"/>
      <c r="CC332" s="270"/>
      <c r="CD332" s="897">
        <f t="shared" ref="CD332:CM332" si="158">CD328/CD329</f>
        <v>0.13102097325430806</v>
      </c>
      <c r="CE332" s="270">
        <f>CE328/CE329</f>
        <v>3.1409862652360912E-2</v>
      </c>
      <c r="CF332" s="270">
        <f>CF328/CF329</f>
        <v>3.1915904199833277E-2</v>
      </c>
      <c r="CG332" s="270">
        <f>CG328/CG329</f>
        <v>3.3732866099134298E-2</v>
      </c>
      <c r="CH332" s="270">
        <f>CH328/CH329</f>
        <v>3.1321962988113329E-2</v>
      </c>
      <c r="CI332" s="270">
        <f t="shared" si="158"/>
        <v>0.12994009144979213</v>
      </c>
      <c r="CJ332" s="270">
        <f t="shared" si="158"/>
        <v>0.14017824692703038</v>
      </c>
      <c r="CK332" s="270">
        <f t="shared" si="158"/>
        <v>0.15132045281897141</v>
      </c>
      <c r="CL332" s="270">
        <f t="shared" si="158"/>
        <v>0.16501807233748611</v>
      </c>
      <c r="CM332" s="270">
        <f t="shared" si="158"/>
        <v>0.1767242544998191</v>
      </c>
      <c r="CN332" s="268"/>
      <c r="CO332" s="268"/>
      <c r="CP332" s="268"/>
      <c r="CQ332" s="694" t="s">
        <v>873</v>
      </c>
    </row>
    <row r="333" spans="2:95" ht="16.5" customHeight="1" x14ac:dyDescent="0.25">
      <c r="B333" s="12" t="s">
        <v>797</v>
      </c>
      <c r="C333" s="241"/>
      <c r="D333" s="241"/>
      <c r="E333" s="241"/>
      <c r="F333" s="241"/>
      <c r="G333" s="869">
        <f>G126/G114</f>
        <v>9.056536306930292E-2</v>
      </c>
      <c r="H333" s="241"/>
      <c r="I333" s="241"/>
      <c r="J333" s="241"/>
      <c r="K333" s="241"/>
      <c r="L333" s="869">
        <f>L126/L114</f>
        <v>9.4157499098975361E-2</v>
      </c>
      <c r="M333" s="241"/>
      <c r="N333" s="241"/>
      <c r="O333" s="241"/>
      <c r="P333" s="241"/>
      <c r="Q333" s="869">
        <f>Q126/Q114</f>
        <v>9.8461006440076215E-2</v>
      </c>
      <c r="R333" s="241"/>
      <c r="S333" s="241"/>
      <c r="T333" s="241"/>
      <c r="U333" s="241"/>
      <c r="V333" s="869">
        <f>V126/V114</f>
        <v>7.3542194780621989E-2</v>
      </c>
      <c r="W333" s="241"/>
      <c r="X333" s="241"/>
      <c r="Y333" s="241"/>
      <c r="Z333" s="241"/>
      <c r="AA333" s="869">
        <f>AA126/AA114</f>
        <v>8.738759659188533E-2</v>
      </c>
      <c r="AB333" s="241"/>
      <c r="AC333" s="241"/>
      <c r="AD333" s="241"/>
      <c r="AE333" s="241"/>
      <c r="AF333" s="869">
        <f>AF126/AF114</f>
        <v>8.425987079157983E-2</v>
      </c>
      <c r="AG333" s="241"/>
      <c r="AH333" s="241"/>
      <c r="AI333" s="241"/>
      <c r="AJ333" s="241"/>
      <c r="AK333" s="869">
        <f>AK126/AK114</f>
        <v>8.4620784042037517E-2</v>
      </c>
      <c r="AL333" s="241"/>
      <c r="AM333" s="241"/>
      <c r="AN333" s="241"/>
      <c r="AO333" s="241"/>
      <c r="AP333" s="869">
        <f>AP126/AP114</f>
        <v>8.6808375014614442E-2</v>
      </c>
      <c r="AQ333" s="241"/>
      <c r="AR333" s="241"/>
      <c r="AS333" s="241"/>
      <c r="AT333" s="241"/>
      <c r="AU333" s="869">
        <f>AU126/AU114</f>
        <v>8.0612504004476074E-2</v>
      </c>
      <c r="AV333" s="241"/>
      <c r="AW333" s="241"/>
      <c r="AX333" s="241"/>
      <c r="AY333" s="241"/>
      <c r="AZ333" s="869">
        <f>AZ126/AZ114</f>
        <v>9.1652973167627327E-2</v>
      </c>
      <c r="BA333" s="241"/>
      <c r="BB333" s="241"/>
      <c r="BC333" s="241"/>
      <c r="BD333" s="241"/>
      <c r="BE333" s="869">
        <f>BE126/BE114</f>
        <v>1.5362513580955637E-2</v>
      </c>
      <c r="BF333" s="241"/>
      <c r="BG333" s="241"/>
      <c r="BH333" s="241"/>
      <c r="BI333" s="241"/>
      <c r="BJ333" s="869">
        <f>BJ126/BJ114</f>
        <v>8.2632741384708858E-2</v>
      </c>
      <c r="BK333" s="241"/>
      <c r="BL333" s="241"/>
      <c r="BM333" s="241"/>
      <c r="BN333" s="241"/>
      <c r="BO333" s="869">
        <f>BO126/BO114</f>
        <v>7.8958542161939871E-2</v>
      </c>
      <c r="BP333" s="241"/>
      <c r="BQ333" s="241"/>
      <c r="BR333" s="241"/>
      <c r="BS333" s="241"/>
      <c r="BT333" s="869">
        <f>BT126/BT114</f>
        <v>8.4843751413519686E-2</v>
      </c>
      <c r="BU333" s="241"/>
      <c r="BV333" s="241"/>
      <c r="BW333" s="241"/>
      <c r="BX333" s="241"/>
      <c r="BY333" s="869">
        <f>BY151</f>
        <v>0.12686812821422236</v>
      </c>
      <c r="BZ333" s="241"/>
      <c r="CA333" s="241"/>
      <c r="CB333" s="241"/>
      <c r="CC333" s="241"/>
      <c r="CD333" s="869">
        <f t="shared" ref="CD333:CM333" si="159">CD151</f>
        <v>0.12984118629527247</v>
      </c>
      <c r="CE333" s="241">
        <f t="shared" si="159"/>
        <v>0.11156490776537561</v>
      </c>
      <c r="CF333" s="241">
        <f t="shared" si="159"/>
        <v>0.12240065326485068</v>
      </c>
      <c r="CG333" s="241">
        <f t="shared" si="159"/>
        <v>0.12634126970050083</v>
      </c>
      <c r="CH333" s="241">
        <f t="shared" si="159"/>
        <v>0.11997233016294984</v>
      </c>
      <c r="CI333" s="751">
        <f t="shared" si="159"/>
        <v>0.12000978095252524</v>
      </c>
      <c r="CJ333" s="751">
        <f t="shared" si="159"/>
        <v>0.12308819834174287</v>
      </c>
      <c r="CK333" s="751">
        <f t="shared" si="159"/>
        <v>0.12692366633705182</v>
      </c>
      <c r="CL333" s="751">
        <f t="shared" si="159"/>
        <v>0.1337043707925164</v>
      </c>
      <c r="CM333" s="751">
        <f t="shared" si="159"/>
        <v>0.14075611820420281</v>
      </c>
      <c r="CN333" s="241"/>
      <c r="CO333" s="241"/>
      <c r="CP333" s="241"/>
      <c r="CQ333" s="693"/>
    </row>
    <row r="334" spans="2:95" ht="16.5" customHeight="1" x14ac:dyDescent="0.25">
      <c r="B334" s="12" t="s">
        <v>798</v>
      </c>
      <c r="C334" s="682"/>
      <c r="D334" s="682"/>
      <c r="E334" s="682"/>
      <c r="F334" s="682"/>
      <c r="G334" s="898">
        <f>G114/G329</f>
        <v>1.1923027253333003</v>
      </c>
      <c r="H334" s="682"/>
      <c r="I334" s="682"/>
      <c r="J334" s="682"/>
      <c r="K334" s="682"/>
      <c r="L334" s="898">
        <f>L114/L329</f>
        <v>1.292195475974117</v>
      </c>
      <c r="M334" s="682"/>
      <c r="N334" s="682"/>
      <c r="O334" s="682"/>
      <c r="P334" s="682"/>
      <c r="Q334" s="898">
        <f>Q114/Q329</f>
        <v>1.2858342649139241</v>
      </c>
      <c r="R334" s="682"/>
      <c r="S334" s="682"/>
      <c r="T334" s="682"/>
      <c r="U334" s="682"/>
      <c r="V334" s="898">
        <f>V114/V329</f>
        <v>1.2502495411508205</v>
      </c>
      <c r="W334" s="682"/>
      <c r="X334" s="682"/>
      <c r="Y334" s="682"/>
      <c r="Z334" s="682"/>
      <c r="AA334" s="898">
        <f>AA114/AA329</f>
        <v>1.330740408178442</v>
      </c>
      <c r="AB334" s="682"/>
      <c r="AC334" s="682"/>
      <c r="AD334" s="682"/>
      <c r="AE334" s="682"/>
      <c r="AF334" s="898">
        <f>AF114/AF329</f>
        <v>1.4350730710288246</v>
      </c>
      <c r="AG334" s="682"/>
      <c r="AH334" s="682"/>
      <c r="AI334" s="682"/>
      <c r="AJ334" s="682"/>
      <c r="AK334" s="898">
        <f>AK114/AK329</f>
        <v>1.4396813278840486</v>
      </c>
      <c r="AL334" s="682"/>
      <c r="AM334" s="682"/>
      <c r="AN334" s="682"/>
      <c r="AO334" s="682"/>
      <c r="AP334" s="898">
        <f>AP114/AP329</f>
        <v>1.3849987910837434</v>
      </c>
      <c r="AQ334" s="682"/>
      <c r="AR334" s="682"/>
      <c r="AS334" s="682"/>
      <c r="AT334" s="682"/>
      <c r="AU334" s="898">
        <f>AU114/AU329</f>
        <v>1.3823082856828002</v>
      </c>
      <c r="AV334" s="682"/>
      <c r="AW334" s="682"/>
      <c r="AX334" s="682"/>
      <c r="AY334" s="682"/>
      <c r="AZ334" s="898">
        <f>AZ114/AZ329</f>
        <v>1.4059274583109875</v>
      </c>
      <c r="BA334" s="682"/>
      <c r="BB334" s="682"/>
      <c r="BC334" s="682"/>
      <c r="BD334" s="682"/>
      <c r="BE334" s="898">
        <f>BE114/BE329</f>
        <v>1.3812644761899746</v>
      </c>
      <c r="BF334" s="682"/>
      <c r="BG334" s="682"/>
      <c r="BH334" s="682"/>
      <c r="BI334" s="682"/>
      <c r="BJ334" s="898">
        <f>BJ114/BJ329</f>
        <v>1.2946244808098233</v>
      </c>
      <c r="BK334" s="682"/>
      <c r="BL334" s="682"/>
      <c r="BM334" s="682"/>
      <c r="BN334" s="682"/>
      <c r="BO334" s="898">
        <f>BO114/BO329</f>
        <v>1.4072317226424291</v>
      </c>
      <c r="BP334" s="682"/>
      <c r="BQ334" s="682"/>
      <c r="BR334" s="682"/>
      <c r="BS334" s="682"/>
      <c r="BT334" s="898">
        <f>BT114/BT329</f>
        <v>1.3646675870923672</v>
      </c>
      <c r="BU334" s="682"/>
      <c r="BV334" s="682"/>
      <c r="BW334" s="682"/>
      <c r="BX334" s="682"/>
      <c r="BY334" s="898">
        <f>BY114/BY329</f>
        <v>1.3664407666540839</v>
      </c>
      <c r="BZ334" s="682"/>
      <c r="CA334" s="682"/>
      <c r="CB334" s="682"/>
      <c r="CC334" s="682"/>
      <c r="CD334" s="898">
        <f t="shared" ref="CD334:CM334" si="160">CD114/CD329</f>
        <v>1.3423457629758822</v>
      </c>
      <c r="CE334" s="682">
        <f>CE114/CE329</f>
        <v>0.36088679392562684</v>
      </c>
      <c r="CF334" s="682">
        <f>CF114/CF329</f>
        <v>0.34671117010038971</v>
      </c>
      <c r="CG334" s="682">
        <f>CG114/CG329</f>
        <v>0.3513131555164663</v>
      </c>
      <c r="CH334" s="682">
        <f>CH114/CH329</f>
        <v>0.34941432390149596</v>
      </c>
      <c r="CI334" s="798">
        <f t="shared" si="160"/>
        <v>1.4246655829397425</v>
      </c>
      <c r="CJ334" s="798">
        <f t="shared" si="160"/>
        <v>1.4886848693483914</v>
      </c>
      <c r="CK334" s="798">
        <f t="shared" si="160"/>
        <v>1.5584525659979931</v>
      </c>
      <c r="CL334" s="798">
        <f t="shared" si="160"/>
        <v>1.6133346815947738</v>
      </c>
      <c r="CM334" s="798">
        <f t="shared" si="160"/>
        <v>1.6412224231009429</v>
      </c>
      <c r="CN334" s="682"/>
      <c r="CO334" s="682"/>
      <c r="CP334" s="682"/>
      <c r="CQ334" s="693"/>
    </row>
    <row r="335" spans="2:95" ht="16.5" customHeight="1" x14ac:dyDescent="0.25">
      <c r="B335" s="12" t="s">
        <v>799</v>
      </c>
      <c r="C335" s="241"/>
      <c r="D335" s="241"/>
      <c r="E335" s="241"/>
      <c r="F335" s="241"/>
      <c r="G335" s="869">
        <f>1-G327</f>
        <v>0.72932380054473045</v>
      </c>
      <c r="H335" s="241"/>
      <c r="I335" s="241"/>
      <c r="J335" s="241"/>
      <c r="K335" s="241"/>
      <c r="L335" s="869">
        <f>1-L327</f>
        <v>0.74010936692330698</v>
      </c>
      <c r="M335" s="241"/>
      <c r="N335" s="241"/>
      <c r="O335" s="241"/>
      <c r="P335" s="241"/>
      <c r="Q335" s="869">
        <f>1-Q327</f>
        <v>0.73003864183757028</v>
      </c>
      <c r="R335" s="241"/>
      <c r="S335" s="241"/>
      <c r="T335" s="241"/>
      <c r="U335" s="241"/>
      <c r="V335" s="869">
        <f>1-V327</f>
        <v>0.73025829363780748</v>
      </c>
      <c r="W335" s="241"/>
      <c r="X335" s="241"/>
      <c r="Y335" s="241"/>
      <c r="Z335" s="241"/>
      <c r="AA335" s="869">
        <f>1-AA327</f>
        <v>0.72261936845374886</v>
      </c>
      <c r="AB335" s="241"/>
      <c r="AC335" s="241"/>
      <c r="AD335" s="241"/>
      <c r="AE335" s="241"/>
      <c r="AF335" s="869">
        <f>1-AF327</f>
        <v>0.71740265674467218</v>
      </c>
      <c r="AG335" s="241"/>
      <c r="AH335" s="241"/>
      <c r="AI335" s="241"/>
      <c r="AJ335" s="241"/>
      <c r="AK335" s="869">
        <f>1-AK327</f>
        <v>0.70956665388359519</v>
      </c>
      <c r="AL335" s="241"/>
      <c r="AM335" s="241"/>
      <c r="AN335" s="241"/>
      <c r="AO335" s="241"/>
      <c r="AP335" s="869">
        <f>1-AP327</f>
        <v>0.7733889330882554</v>
      </c>
      <c r="AQ335" s="241"/>
      <c r="AR335" s="241"/>
      <c r="AS335" s="241"/>
      <c r="AT335" s="241"/>
      <c r="AU335" s="869">
        <f>1-AU327</f>
        <v>0.52344671998419079</v>
      </c>
      <c r="AV335" s="241"/>
      <c r="AW335" s="241"/>
      <c r="AX335" s="241"/>
      <c r="AY335" s="241"/>
      <c r="AZ335" s="869">
        <f>1-AZ327</f>
        <v>0.76909654905001923</v>
      </c>
      <c r="BA335" s="241"/>
      <c r="BB335" s="241"/>
      <c r="BC335" s="241"/>
      <c r="BD335" s="241"/>
      <c r="BE335" s="869">
        <f>1-BE327</f>
        <v>0.75</v>
      </c>
      <c r="BF335" s="241"/>
      <c r="BG335" s="241"/>
      <c r="BH335" s="241"/>
      <c r="BI335" s="241"/>
      <c r="BJ335" s="869">
        <f>1-BJ327</f>
        <v>0.77154102093495736</v>
      </c>
      <c r="BK335" s="241"/>
      <c r="BL335" s="241"/>
      <c r="BM335" s="241"/>
      <c r="BN335" s="241"/>
      <c r="BO335" s="869">
        <f>1-BO327</f>
        <v>0.7644978051916701</v>
      </c>
      <c r="BP335" s="241"/>
      <c r="BQ335" s="241"/>
      <c r="BR335" s="241"/>
      <c r="BS335" s="241"/>
      <c r="BT335" s="869">
        <f>1-BT327</f>
        <v>0.79070061394005053</v>
      </c>
      <c r="BU335" s="241"/>
      <c r="BV335" s="241"/>
      <c r="BW335" s="241"/>
      <c r="BX335" s="241"/>
      <c r="BY335" s="869">
        <f>1-BY327</f>
        <v>0.7740096238683799</v>
      </c>
      <c r="BZ335" s="241"/>
      <c r="CA335" s="241"/>
      <c r="CB335" s="241"/>
      <c r="CC335" s="241"/>
      <c r="CD335" s="869">
        <f t="shared" ref="CD335:CM335" si="161">1-CD327</f>
        <v>0.75173357897699655</v>
      </c>
      <c r="CE335" s="241">
        <f>1-CE327</f>
        <v>0.78013082181675109</v>
      </c>
      <c r="CF335" s="241">
        <f>1-CF327</f>
        <v>0.7520653562337456</v>
      </c>
      <c r="CG335" s="241">
        <f>1-CG327</f>
        <v>0.76</v>
      </c>
      <c r="CH335" s="241">
        <f>1-CH327</f>
        <v>0.74718332914224539</v>
      </c>
      <c r="CI335" s="751">
        <f t="shared" si="161"/>
        <v>0.76</v>
      </c>
      <c r="CJ335" s="751">
        <f t="shared" si="161"/>
        <v>0.76500000000000001</v>
      </c>
      <c r="CK335" s="751">
        <f t="shared" si="161"/>
        <v>0.76500000000000001</v>
      </c>
      <c r="CL335" s="751">
        <f t="shared" si="161"/>
        <v>0.76500000000000001</v>
      </c>
      <c r="CM335" s="751">
        <f t="shared" si="161"/>
        <v>0.76500000000000001</v>
      </c>
      <c r="CN335" s="241"/>
      <c r="CO335" s="241"/>
      <c r="CP335" s="241"/>
      <c r="CQ335" s="693"/>
    </row>
    <row r="336" spans="2:95" ht="16.5" customHeight="1" x14ac:dyDescent="0.25">
      <c r="B336" s="12" t="s">
        <v>800</v>
      </c>
      <c r="C336" s="241"/>
      <c r="D336" s="241"/>
      <c r="E336" s="241"/>
      <c r="F336" s="241"/>
      <c r="G336" s="869">
        <f>G333*G334*G335</f>
        <v>7.8753353406090729E-2</v>
      </c>
      <c r="H336" s="241"/>
      <c r="I336" s="241"/>
      <c r="J336" s="241"/>
      <c r="K336" s="241"/>
      <c r="L336" s="869">
        <f>L333*L334*L335</f>
        <v>9.0049028491908142E-2</v>
      </c>
      <c r="M336" s="241"/>
      <c r="N336" s="241"/>
      <c r="O336" s="241"/>
      <c r="P336" s="241"/>
      <c r="Q336" s="869">
        <f>Q333*Q334*Q335</f>
        <v>9.2426203394058729E-2</v>
      </c>
      <c r="R336" s="241"/>
      <c r="S336" s="241"/>
      <c r="T336" s="241"/>
      <c r="U336" s="241"/>
      <c r="V336" s="869">
        <f>V333*V334*V335</f>
        <v>6.7144398645610726E-2</v>
      </c>
      <c r="W336" s="241"/>
      <c r="X336" s="241"/>
      <c r="Y336" s="241"/>
      <c r="Z336" s="241"/>
      <c r="AA336" s="869">
        <f>AA333*AA334*AA335</f>
        <v>8.4033555187028763E-2</v>
      </c>
      <c r="AB336" s="241"/>
      <c r="AC336" s="241"/>
      <c r="AD336" s="241"/>
      <c r="AE336" s="241"/>
      <c r="AF336" s="869">
        <f>AF333*AF334*AF335</f>
        <v>8.6747663174873924E-2</v>
      </c>
      <c r="AG336" s="241"/>
      <c r="AH336" s="241"/>
      <c r="AI336" s="241"/>
      <c r="AJ336" s="241"/>
      <c r="AK336" s="869">
        <f>AK333*AK334*AK335</f>
        <v>8.6444350301548081E-2</v>
      </c>
      <c r="AL336" s="241"/>
      <c r="AM336" s="241"/>
      <c r="AN336" s="241"/>
      <c r="AO336" s="241"/>
      <c r="AP336" s="869">
        <f>AP333*AP334*AP335</f>
        <v>9.2984160439342475E-2</v>
      </c>
      <c r="AQ336" s="241"/>
      <c r="AR336" s="241"/>
      <c r="AS336" s="241"/>
      <c r="AT336" s="241"/>
      <c r="AU336" s="869">
        <f>AU333*AU334*AU335</f>
        <v>5.8328365351423626E-2</v>
      </c>
      <c r="AV336" s="241"/>
      <c r="AW336" s="241"/>
      <c r="AX336" s="241"/>
      <c r="AY336" s="241"/>
      <c r="AZ336" s="869">
        <f>AZ333*AZ334*AZ335</f>
        <v>9.9103805972397582E-2</v>
      </c>
      <c r="BA336" s="241"/>
      <c r="BB336" s="241"/>
      <c r="BC336" s="241"/>
      <c r="BD336" s="241"/>
      <c r="BE336" s="869">
        <f>BE333*BE334*BE335</f>
        <v>1.5914770705770045E-2</v>
      </c>
      <c r="BF336" s="241"/>
      <c r="BG336" s="241"/>
      <c r="BH336" s="241"/>
      <c r="BI336" s="241"/>
      <c r="BJ336" s="869">
        <f>BJ333*BJ334*BJ335</f>
        <v>8.2538200740688406E-2</v>
      </c>
      <c r="BK336" s="241"/>
      <c r="BL336" s="241"/>
      <c r="BM336" s="241"/>
      <c r="BN336" s="241"/>
      <c r="BO336" s="869">
        <f>BO333*BO334*BO335</f>
        <v>8.494561810315561E-2</v>
      </c>
      <c r="BP336" s="241"/>
      <c r="BQ336" s="241"/>
      <c r="BR336" s="241"/>
      <c r="BS336" s="241"/>
      <c r="BT336" s="869">
        <f>BT333*BT334*BT335</f>
        <v>9.155009838827205E-2</v>
      </c>
      <c r="BU336" s="241"/>
      <c r="BV336" s="241"/>
      <c r="BW336" s="241"/>
      <c r="BX336" s="241"/>
      <c r="BY336" s="869">
        <f>BY333*BY334*BY335</f>
        <v>0.13418059193538248</v>
      </c>
      <c r="BZ336" s="241"/>
      <c r="CA336" s="241"/>
      <c r="CB336" s="241"/>
      <c r="CC336" s="241"/>
      <c r="CD336" s="869">
        <f t="shared" ref="CD336:CM336" si="162">CD333*CD334*CD335</f>
        <v>0.13102097325430809</v>
      </c>
      <c r="CE336" s="241">
        <f>CE333*CE334*CE335</f>
        <v>3.1409862652360919E-2</v>
      </c>
      <c r="CF336" s="241">
        <f>CF333*CF334*CF335</f>
        <v>3.191590419983327E-2</v>
      </c>
      <c r="CG336" s="241">
        <f>CG333*CG334*CG335</f>
        <v>3.3732866099134291E-2</v>
      </c>
      <c r="CH336" s="241">
        <f>CH333*CH334*CH335</f>
        <v>3.1321962988113329E-2</v>
      </c>
      <c r="CI336" s="751">
        <f t="shared" si="162"/>
        <v>0.12994009144979213</v>
      </c>
      <c r="CJ336" s="751">
        <f t="shared" si="162"/>
        <v>0.14017824692703038</v>
      </c>
      <c r="CK336" s="751">
        <f t="shared" si="162"/>
        <v>0.15132045281897141</v>
      </c>
      <c r="CL336" s="751">
        <f t="shared" si="162"/>
        <v>0.16501807233748614</v>
      </c>
      <c r="CM336" s="751">
        <f t="shared" si="162"/>
        <v>0.17672425449981913</v>
      </c>
      <c r="CN336" s="241"/>
      <c r="CO336" s="241"/>
      <c r="CP336" s="241"/>
      <c r="CQ336" s="693"/>
    </row>
    <row r="337" spans="2:95" ht="16.5" customHeight="1" x14ac:dyDescent="0.25">
      <c r="C337" s="291"/>
      <c r="D337" s="291"/>
      <c r="E337" s="291"/>
      <c r="F337" s="291"/>
      <c r="G337" s="864"/>
      <c r="H337" s="291"/>
      <c r="I337" s="291"/>
      <c r="J337" s="291"/>
      <c r="K337" s="291"/>
      <c r="L337" s="864"/>
      <c r="M337" s="291"/>
      <c r="N337" s="291"/>
      <c r="O337" s="291"/>
      <c r="P337" s="291"/>
      <c r="Q337" s="864"/>
      <c r="R337" s="291"/>
      <c r="S337" s="291"/>
      <c r="T337" s="291"/>
      <c r="U337" s="291"/>
      <c r="V337" s="864"/>
      <c r="W337" s="291"/>
      <c r="X337" s="291"/>
      <c r="Y337" s="291"/>
      <c r="Z337" s="291"/>
      <c r="AA337" s="864"/>
      <c r="AB337" s="291"/>
      <c r="AC337" s="291"/>
      <c r="AD337" s="291"/>
      <c r="AE337" s="291"/>
      <c r="AF337" s="864"/>
      <c r="AG337" s="291"/>
      <c r="AH337" s="291"/>
      <c r="AI337" s="291"/>
      <c r="AJ337" s="291"/>
      <c r="AK337" s="864"/>
      <c r="AL337" s="291"/>
      <c r="AM337" s="291"/>
      <c r="AN337" s="291"/>
      <c r="AO337" s="291"/>
      <c r="AP337" s="864"/>
      <c r="AQ337" s="291"/>
      <c r="AR337" s="291"/>
      <c r="AS337" s="291"/>
      <c r="AT337" s="291"/>
      <c r="AU337" s="864"/>
      <c r="AV337" s="291"/>
      <c r="AW337" s="291"/>
      <c r="AX337" s="291"/>
      <c r="AY337" s="291"/>
      <c r="AZ337" s="864"/>
      <c r="BA337" s="291"/>
      <c r="BB337" s="291"/>
      <c r="BC337" s="291"/>
      <c r="BD337" s="291"/>
      <c r="BE337" s="864"/>
      <c r="BF337" s="291"/>
      <c r="BG337" s="291"/>
      <c r="BH337" s="291"/>
      <c r="BI337" s="291"/>
      <c r="BJ337" s="864"/>
      <c r="BK337" s="291"/>
      <c r="BL337" s="291"/>
      <c r="BM337" s="291"/>
      <c r="BN337" s="291"/>
      <c r="BO337" s="864"/>
      <c r="BP337" s="291"/>
      <c r="BQ337" s="291"/>
      <c r="BR337" s="291"/>
      <c r="BS337" s="291"/>
      <c r="BT337" s="864"/>
      <c r="BU337" s="291"/>
      <c r="BV337" s="291"/>
      <c r="BW337" s="291"/>
      <c r="BX337" s="291"/>
      <c r="BY337" s="864"/>
      <c r="BZ337" s="291"/>
      <c r="CA337" s="291"/>
      <c r="CB337" s="291"/>
      <c r="CC337" s="291"/>
      <c r="CD337" s="864"/>
      <c r="CE337" s="291"/>
      <c r="CF337" s="291"/>
      <c r="CG337" s="291"/>
      <c r="CH337" s="291"/>
      <c r="CI337" s="749"/>
      <c r="CJ337" s="749"/>
      <c r="CK337" s="749"/>
      <c r="CL337" s="749"/>
      <c r="CM337" s="749"/>
      <c r="CN337" s="291"/>
      <c r="CO337" s="291"/>
      <c r="CP337" s="291"/>
      <c r="CQ337" s="693"/>
    </row>
    <row r="338" spans="2:95" ht="16.5" customHeight="1" x14ac:dyDescent="0.25">
      <c r="B338" s="149" t="s">
        <v>205</v>
      </c>
      <c r="C338" s="333"/>
      <c r="D338" s="333"/>
      <c r="E338" s="333"/>
      <c r="F338" s="333"/>
      <c r="G338" s="899"/>
      <c r="H338" s="333"/>
      <c r="I338" s="333"/>
      <c r="J338" s="333"/>
      <c r="K338" s="333"/>
      <c r="L338" s="899"/>
      <c r="M338" s="333"/>
      <c r="N338" s="333"/>
      <c r="O338" s="333"/>
      <c r="P338" s="333"/>
      <c r="Q338" s="899"/>
      <c r="R338" s="333"/>
      <c r="S338" s="333"/>
      <c r="T338" s="333"/>
      <c r="U338" s="333"/>
      <c r="V338" s="899"/>
      <c r="W338" s="333"/>
      <c r="X338" s="333"/>
      <c r="Y338" s="333"/>
      <c r="Z338" s="333"/>
      <c r="AA338" s="899"/>
      <c r="AB338" s="333"/>
      <c r="AC338" s="333"/>
      <c r="AD338" s="333"/>
      <c r="AE338" s="333"/>
      <c r="AF338" s="899"/>
      <c r="AG338" s="333"/>
      <c r="AH338" s="333"/>
      <c r="AI338" s="333"/>
      <c r="AJ338" s="333"/>
      <c r="AK338" s="899"/>
      <c r="AL338" s="333"/>
      <c r="AM338" s="333"/>
      <c r="AN338" s="333"/>
      <c r="AO338" s="333"/>
      <c r="AP338" s="899"/>
      <c r="AQ338" s="333"/>
      <c r="AR338" s="333"/>
      <c r="AS338" s="333"/>
      <c r="AT338" s="333"/>
      <c r="AU338" s="899"/>
      <c r="AV338" s="333"/>
      <c r="AW338" s="333"/>
      <c r="AX338" s="333"/>
      <c r="AY338" s="333"/>
      <c r="AZ338" s="899"/>
      <c r="BA338" s="333"/>
      <c r="BB338" s="333"/>
      <c r="BC338" s="333"/>
      <c r="BD338" s="333"/>
      <c r="BE338" s="899"/>
      <c r="BF338" s="333"/>
      <c r="BG338" s="333"/>
      <c r="BH338" s="333"/>
      <c r="BI338" s="333"/>
      <c r="BJ338" s="899"/>
      <c r="BK338" s="333"/>
      <c r="BL338" s="333"/>
      <c r="BM338" s="333"/>
      <c r="BN338" s="333"/>
      <c r="BO338" s="899"/>
      <c r="BP338" s="333"/>
      <c r="BQ338" s="333"/>
      <c r="BR338" s="333"/>
      <c r="BS338" s="333"/>
      <c r="BT338" s="899"/>
      <c r="BU338" s="333"/>
      <c r="BV338" s="333"/>
      <c r="BW338" s="333"/>
      <c r="BX338" s="333"/>
      <c r="BY338" s="899"/>
      <c r="BZ338" s="333"/>
      <c r="CA338" s="333"/>
      <c r="CB338" s="333"/>
      <c r="CC338" s="333"/>
      <c r="CD338" s="899"/>
      <c r="CE338" s="333"/>
      <c r="CF338" s="333"/>
      <c r="CG338" s="333"/>
      <c r="CH338" s="333"/>
      <c r="CI338" s="333"/>
      <c r="CJ338" s="333"/>
      <c r="CK338" s="333"/>
      <c r="CL338" s="333"/>
      <c r="CM338" s="333"/>
      <c r="CN338" s="241"/>
      <c r="CO338" s="241"/>
      <c r="CP338" s="241"/>
      <c r="CQ338" s="693"/>
    </row>
    <row r="339" spans="2:95" ht="16.5" customHeight="1" x14ac:dyDescent="0.25">
      <c r="B339" s="19" t="s">
        <v>196</v>
      </c>
      <c r="C339" s="241">
        <f t="shared" ref="C339:AH339" si="163">IFERROR(IF(ISNUMBER(C150),IF(C150&gt;0,C150,C126),C126),"n/a")</f>
        <v>0</v>
      </c>
      <c r="D339" s="241">
        <f t="shared" si="163"/>
        <v>0</v>
      </c>
      <c r="E339" s="241">
        <f t="shared" si="163"/>
        <v>0</v>
      </c>
      <c r="F339" s="241">
        <f t="shared" si="163"/>
        <v>0</v>
      </c>
      <c r="G339" s="900">
        <f t="shared" si="163"/>
        <v>191.47799999999984</v>
      </c>
      <c r="H339" s="241">
        <f t="shared" si="163"/>
        <v>0</v>
      </c>
      <c r="I339" s="241">
        <f t="shared" si="163"/>
        <v>0</v>
      </c>
      <c r="J339" s="241">
        <f t="shared" si="163"/>
        <v>0</v>
      </c>
      <c r="K339" s="241">
        <f t="shared" si="163"/>
        <v>0</v>
      </c>
      <c r="L339" s="900">
        <f t="shared" si="163"/>
        <v>219.45099999999988</v>
      </c>
      <c r="M339" s="241">
        <f t="shared" si="163"/>
        <v>0</v>
      </c>
      <c r="N339" s="241">
        <f t="shared" si="163"/>
        <v>0</v>
      </c>
      <c r="O339" s="241">
        <f t="shared" si="163"/>
        <v>0</v>
      </c>
      <c r="P339" s="241">
        <f t="shared" si="163"/>
        <v>0</v>
      </c>
      <c r="Q339" s="900">
        <f t="shared" si="163"/>
        <v>243.15300000000008</v>
      </c>
      <c r="R339" s="241">
        <f t="shared" si="163"/>
        <v>0</v>
      </c>
      <c r="S339" s="241">
        <f t="shared" si="163"/>
        <v>0</v>
      </c>
      <c r="T339" s="241">
        <f t="shared" si="163"/>
        <v>0</v>
      </c>
      <c r="U339" s="241">
        <f t="shared" si="163"/>
        <v>0</v>
      </c>
      <c r="V339" s="900">
        <f t="shared" si="163"/>
        <v>191.96800000000019</v>
      </c>
      <c r="W339" s="241">
        <f t="shared" si="163"/>
        <v>0</v>
      </c>
      <c r="X339" s="241">
        <f t="shared" si="163"/>
        <v>0</v>
      </c>
      <c r="Y339" s="241">
        <f t="shared" si="163"/>
        <v>0</v>
      </c>
      <c r="Z339" s="241">
        <f t="shared" si="163"/>
        <v>0</v>
      </c>
      <c r="AA339" s="900">
        <f t="shared" si="163"/>
        <v>231.43600000000023</v>
      </c>
      <c r="AB339" s="241">
        <f t="shared" si="163"/>
        <v>0</v>
      </c>
      <c r="AC339" s="241">
        <f t="shared" si="163"/>
        <v>0</v>
      </c>
      <c r="AD339" s="241">
        <f t="shared" si="163"/>
        <v>0</v>
      </c>
      <c r="AE339" s="241">
        <f t="shared" si="163"/>
        <v>0</v>
      </c>
      <c r="AF339" s="900">
        <f t="shared" si="163"/>
        <v>212.80100000000022</v>
      </c>
      <c r="AG339" s="241">
        <f t="shared" si="163"/>
        <v>0</v>
      </c>
      <c r="AH339" s="241">
        <f t="shared" si="163"/>
        <v>0</v>
      </c>
      <c r="AI339" s="241">
        <f t="shared" ref="AI339:BN339" si="164">IFERROR(IF(ISNUMBER(AI150),IF(AI150&gt;0,AI150,AI126),AI126),"n/a")</f>
        <v>0</v>
      </c>
      <c r="AJ339" s="241">
        <f t="shared" si="164"/>
        <v>0</v>
      </c>
      <c r="AK339" s="900">
        <f t="shared" si="164"/>
        <v>204.09999999999982</v>
      </c>
      <c r="AL339" s="241">
        <f t="shared" si="164"/>
        <v>0</v>
      </c>
      <c r="AM339" s="241">
        <f t="shared" si="164"/>
        <v>0</v>
      </c>
      <c r="AN339" s="241">
        <f t="shared" si="164"/>
        <v>0</v>
      </c>
      <c r="AO339" s="241">
        <f t="shared" si="164"/>
        <v>0</v>
      </c>
      <c r="AP339" s="900">
        <f t="shared" si="164"/>
        <v>250.15199999999999</v>
      </c>
      <c r="AQ339" s="241">
        <f t="shared" si="164"/>
        <v>0</v>
      </c>
      <c r="AR339" s="241">
        <f t="shared" si="164"/>
        <v>0</v>
      </c>
      <c r="AS339" s="241">
        <f t="shared" si="164"/>
        <v>0</v>
      </c>
      <c r="AT339" s="241">
        <f t="shared" si="164"/>
        <v>0</v>
      </c>
      <c r="AU339" s="900">
        <f t="shared" si="164"/>
        <v>294.53399999999999</v>
      </c>
      <c r="AV339" s="241">
        <f t="shared" si="164"/>
        <v>0</v>
      </c>
      <c r="AW339" s="241">
        <f t="shared" si="164"/>
        <v>0</v>
      </c>
      <c r="AX339" s="241">
        <f t="shared" si="164"/>
        <v>0</v>
      </c>
      <c r="AY339" s="241">
        <f t="shared" si="164"/>
        <v>0</v>
      </c>
      <c r="AZ339" s="900">
        <f t="shared" si="164"/>
        <v>321.142</v>
      </c>
      <c r="BA339" s="241">
        <f t="shared" si="164"/>
        <v>0</v>
      </c>
      <c r="BB339" s="241">
        <f t="shared" si="164"/>
        <v>0</v>
      </c>
      <c r="BC339" s="241">
        <f t="shared" si="164"/>
        <v>0</v>
      </c>
      <c r="BD339" s="241">
        <f t="shared" si="164"/>
        <v>0</v>
      </c>
      <c r="BE339" s="900">
        <f t="shared" si="164"/>
        <v>287.60899999999998</v>
      </c>
      <c r="BF339" s="241">
        <f t="shared" si="164"/>
        <v>65.272999999999968</v>
      </c>
      <c r="BG339" s="241">
        <f t="shared" si="164"/>
        <v>57.892999999999986</v>
      </c>
      <c r="BH339" s="241">
        <f t="shared" si="164"/>
        <v>56.985999999999983</v>
      </c>
      <c r="BI339" s="241">
        <f t="shared" si="164"/>
        <v>55.515999999999948</v>
      </c>
      <c r="BJ339" s="900">
        <f t="shared" si="164"/>
        <v>277.863</v>
      </c>
      <c r="BK339" s="241">
        <f t="shared" si="164"/>
        <v>53.491</v>
      </c>
      <c r="BL339" s="241">
        <f t="shared" si="164"/>
        <v>49.511999999999972</v>
      </c>
      <c r="BM339" s="241">
        <f t="shared" si="164"/>
        <v>72.45799999999997</v>
      </c>
      <c r="BN339" s="241">
        <f t="shared" si="164"/>
        <v>64.239999999999981</v>
      </c>
      <c r="BO339" s="900">
        <f t="shared" ref="BO339:CM339" si="165">IFERROR(IF(ISNUMBER(BO150),IF(BO150&gt;0,BO150,BO126),BO126),"n/a")</f>
        <v>308.279</v>
      </c>
      <c r="BP339" s="241">
        <f t="shared" si="165"/>
        <v>57.728999999999921</v>
      </c>
      <c r="BQ339" s="241">
        <f t="shared" si="165"/>
        <v>78.015000000000072</v>
      </c>
      <c r="BR339" s="241">
        <f t="shared" si="165"/>
        <v>76.644000000000034</v>
      </c>
      <c r="BS339" s="241">
        <f t="shared" si="165"/>
        <v>68.970000000000013</v>
      </c>
      <c r="BT339" s="900">
        <f t="shared" si="165"/>
        <v>361.80599999999998</v>
      </c>
      <c r="BU339" s="241">
        <f t="shared" si="165"/>
        <v>84.707000000000065</v>
      </c>
      <c r="BV339" s="241">
        <f t="shared" si="165"/>
        <v>103.11799999999997</v>
      </c>
      <c r="BW339" s="241">
        <f t="shared" si="165"/>
        <v>97.372</v>
      </c>
      <c r="BX339" s="241">
        <f t="shared" si="165"/>
        <v>50.879000000000019</v>
      </c>
      <c r="BY339" s="900">
        <f t="shared" si="165"/>
        <v>457.86199999999997</v>
      </c>
      <c r="BZ339" s="241">
        <f t="shared" si="165"/>
        <v>107.21299999999999</v>
      </c>
      <c r="CA339" s="241">
        <f t="shared" si="165"/>
        <v>116.65</v>
      </c>
      <c r="CB339" s="241">
        <f t="shared" si="165"/>
        <v>131.68</v>
      </c>
      <c r="CC339" s="241">
        <f t="shared" si="165"/>
        <v>143.49000000000004</v>
      </c>
      <c r="CD339" s="900">
        <f t="shared" si="165"/>
        <v>501.26799999999997</v>
      </c>
      <c r="CE339" s="799">
        <f t="shared" si="165"/>
        <v>122.75999999999999</v>
      </c>
      <c r="CF339" s="799">
        <f t="shared" si="165"/>
        <v>128.75899999999987</v>
      </c>
      <c r="CG339" s="799">
        <f t="shared" si="165"/>
        <v>136.00975393472825</v>
      </c>
      <c r="CH339" s="799">
        <f t="shared" si="165"/>
        <v>124.31178573193888</v>
      </c>
      <c r="CI339" s="800">
        <f t="shared" si="165"/>
        <v>511.84053966666681</v>
      </c>
      <c r="CJ339" s="800">
        <f t="shared" si="165"/>
        <v>567.74948012444418</v>
      </c>
      <c r="CK339" s="800">
        <f t="shared" si="165"/>
        <v>626.56642648129662</v>
      </c>
      <c r="CL339" s="800">
        <f t="shared" si="165"/>
        <v>702.82691955281598</v>
      </c>
      <c r="CM339" s="800">
        <f t="shared" si="165"/>
        <v>785.6865627352521</v>
      </c>
      <c r="CN339" s="241"/>
      <c r="CO339" s="241"/>
      <c r="CP339" s="241"/>
      <c r="CQ339" s="693"/>
    </row>
    <row r="340" spans="2:95" ht="16.5" customHeight="1" x14ac:dyDescent="0.25">
      <c r="B340" s="19" t="s">
        <v>197</v>
      </c>
      <c r="C340" s="241"/>
      <c r="D340" s="241"/>
      <c r="E340" s="241"/>
      <c r="F340" s="241"/>
      <c r="G340" s="900">
        <f>IFERROR(G339*(1-G132),"n/a")</f>
        <v>139.64946268070378</v>
      </c>
      <c r="H340" s="241"/>
      <c r="I340" s="241"/>
      <c r="J340" s="241"/>
      <c r="K340" s="241"/>
      <c r="L340" s="900">
        <f>IFERROR(L339*(1-L132),"n/a")</f>
        <v>162.41774068068656</v>
      </c>
      <c r="M340" s="241"/>
      <c r="N340" s="241"/>
      <c r="O340" s="241"/>
      <c r="P340" s="241"/>
      <c r="Q340" s="900">
        <f>IFERROR(Q339*(1-Q132),"n/a")</f>
        <v>177.5110858787308</v>
      </c>
      <c r="R340" s="241"/>
      <c r="S340" s="241"/>
      <c r="T340" s="241"/>
      <c r="U340" s="241"/>
      <c r="V340" s="900">
        <f>IFERROR(V339*(1-V132),"n/a")</f>
        <v>140.18622411306276</v>
      </c>
      <c r="W340" s="241"/>
      <c r="X340" s="241"/>
      <c r="Y340" s="241"/>
      <c r="Z340" s="241"/>
      <c r="AA340" s="900">
        <f>IFERROR(AA339*(1-AA132),"n/a")</f>
        <v>167.24013615746199</v>
      </c>
      <c r="AB340" s="241"/>
      <c r="AC340" s="241"/>
      <c r="AD340" s="241"/>
      <c r="AE340" s="241"/>
      <c r="AF340" s="900">
        <f>IFERROR(AF339*(1-AF132),"n/a")</f>
        <v>152.66400275792313</v>
      </c>
      <c r="AG340" s="241"/>
      <c r="AH340" s="241"/>
      <c r="AI340" s="241"/>
      <c r="AJ340" s="241"/>
      <c r="AK340" s="900">
        <f>IFERROR(AK339*(1-AK132),"n/a")</f>
        <v>144.82255405764164</v>
      </c>
      <c r="AL340" s="241"/>
      <c r="AM340" s="241"/>
      <c r="AN340" s="241"/>
      <c r="AO340" s="241"/>
      <c r="AP340" s="900">
        <f>IFERROR(AP339*(1-AP132),"n/a")</f>
        <v>193.46478838989324</v>
      </c>
      <c r="AQ340" s="241"/>
      <c r="AR340" s="241"/>
      <c r="AS340" s="241"/>
      <c r="AT340" s="241"/>
      <c r="AU340" s="900">
        <f>IFERROR(AU339*(1-AU132),"n/a")</f>
        <v>154.17285622382366</v>
      </c>
      <c r="AV340" s="241"/>
      <c r="AW340" s="241"/>
      <c r="AX340" s="241"/>
      <c r="AY340" s="241"/>
      <c r="AZ340" s="900">
        <f>IFERROR(AZ339*(1-AZ132),"n/a")</f>
        <v>246.98920395502128</v>
      </c>
      <c r="BA340" s="241"/>
      <c r="BB340" s="241"/>
      <c r="BC340" s="241"/>
      <c r="BD340" s="241"/>
      <c r="BE340" s="900">
        <f>IFERROR(BE339*(1-BE327),"n/a")</f>
        <v>215.70675</v>
      </c>
      <c r="BF340" s="241"/>
      <c r="BG340" s="241"/>
      <c r="BH340" s="241"/>
      <c r="BI340" s="241"/>
      <c r="BJ340" s="900">
        <f>IFERROR(BJ339*(1-BJ132),"n/a")</f>
        <v>214.38270270005006</v>
      </c>
      <c r="BK340" s="241"/>
      <c r="BL340" s="241"/>
      <c r="BM340" s="241"/>
      <c r="BN340" s="241"/>
      <c r="BO340" s="900">
        <f>IFERROR(BO339*(1-BO132),"n/a")</f>
        <v>235.67861888668287</v>
      </c>
      <c r="BP340" s="241"/>
      <c r="BQ340" s="241"/>
      <c r="BR340" s="241"/>
      <c r="BS340" s="241"/>
      <c r="BT340" s="900">
        <f>IFERROR(BT339*(1-BT132),"n/a")</f>
        <v>286.08022632719388</v>
      </c>
      <c r="BU340" s="241"/>
      <c r="BV340" s="241"/>
      <c r="BW340" s="241"/>
      <c r="BX340" s="241"/>
      <c r="BY340" s="900">
        <f>IFERROR(BY339*(1-BY132),"n/a")</f>
        <v>354.38959440362413</v>
      </c>
      <c r="BZ340" s="241"/>
      <c r="CA340" s="241"/>
      <c r="CB340" s="241"/>
      <c r="CC340" s="241"/>
      <c r="CD340" s="900">
        <f t="shared" ref="CD340:CM340" si="166">IFERROR(CD339*(1-CD132),"n/a")</f>
        <v>376.81998766664111</v>
      </c>
      <c r="CE340" s="799">
        <f>IFERROR(CE339*(1-CE132),"n/a")</f>
        <v>95.76885968622436</v>
      </c>
      <c r="CF340" s="799">
        <f>IFERROR(CF339*(1-CF132),"n/a")</f>
        <v>96.835183203300758</v>
      </c>
      <c r="CG340" s="799">
        <f>IFERROR(CG339*(1-CG132),"n/a")</f>
        <v>103.36741299039348</v>
      </c>
      <c r="CH340" s="799">
        <f>IFERROR(CH339*(1-CH132),"n/a")</f>
        <v>92.88369391480758</v>
      </c>
      <c r="CI340" s="800">
        <f t="shared" si="166"/>
        <v>388.99881014666676</v>
      </c>
      <c r="CJ340" s="800">
        <f t="shared" si="166"/>
        <v>434.32835229519981</v>
      </c>
      <c r="CK340" s="800">
        <f t="shared" si="166"/>
        <v>479.32331625819194</v>
      </c>
      <c r="CL340" s="800">
        <f t="shared" si="166"/>
        <v>537.66259345790422</v>
      </c>
      <c r="CM340" s="800">
        <f t="shared" si="166"/>
        <v>601.05022049246782</v>
      </c>
      <c r="CN340" s="241"/>
      <c r="CO340" s="241"/>
      <c r="CP340" s="241"/>
      <c r="CQ340" s="693"/>
    </row>
    <row r="341" spans="2:95" ht="16.5" customHeight="1" x14ac:dyDescent="0.25">
      <c r="B341" s="305" t="s">
        <v>206</v>
      </c>
      <c r="C341" s="241"/>
      <c r="D341" s="241"/>
      <c r="E341" s="241"/>
      <c r="F341" s="241"/>
      <c r="G341" s="869"/>
      <c r="H341" s="241"/>
      <c r="I341" s="241"/>
      <c r="J341" s="241"/>
      <c r="K341" s="241"/>
      <c r="L341" s="869"/>
      <c r="M341" s="241"/>
      <c r="N341" s="241"/>
      <c r="O341" s="241"/>
      <c r="P341" s="241"/>
      <c r="Q341" s="869"/>
      <c r="R341" s="241"/>
      <c r="S341" s="241"/>
      <c r="T341" s="241"/>
      <c r="U341" s="241"/>
      <c r="V341" s="869"/>
      <c r="W341" s="241"/>
      <c r="X341" s="241"/>
      <c r="Y341" s="241"/>
      <c r="Z341" s="241"/>
      <c r="AA341" s="869"/>
      <c r="AB341" s="241"/>
      <c r="AC341" s="241"/>
      <c r="AD341" s="241"/>
      <c r="AE341" s="241"/>
      <c r="AF341" s="869"/>
      <c r="AG341" s="241"/>
      <c r="AH341" s="241"/>
      <c r="AI341" s="241"/>
      <c r="AJ341" s="241"/>
      <c r="AK341" s="869"/>
      <c r="AL341" s="241"/>
      <c r="AM341" s="241"/>
      <c r="AN341" s="241"/>
      <c r="AO341" s="241"/>
      <c r="AP341" s="869"/>
      <c r="AQ341" s="241"/>
      <c r="AR341" s="241"/>
      <c r="AS341" s="241"/>
      <c r="AT341" s="241"/>
      <c r="AU341" s="869"/>
      <c r="AV341" s="241"/>
      <c r="AW341" s="241"/>
      <c r="AX341" s="241"/>
      <c r="AY341" s="241"/>
      <c r="AZ341" s="869"/>
      <c r="BA341" s="241"/>
      <c r="BB341" s="241"/>
      <c r="BC341" s="241"/>
      <c r="BD341" s="241"/>
      <c r="BE341" s="869"/>
      <c r="BF341" s="241"/>
      <c r="BG341" s="241"/>
      <c r="BH341" s="241"/>
      <c r="BI341" s="241"/>
      <c r="BJ341" s="869"/>
      <c r="BK341" s="241"/>
      <c r="BL341" s="241"/>
      <c r="BM341" s="241"/>
      <c r="BN341" s="241"/>
      <c r="BO341" s="869"/>
      <c r="BP341" s="241"/>
      <c r="BQ341" s="241"/>
      <c r="BR341" s="241"/>
      <c r="BS341" s="241"/>
      <c r="BT341" s="869"/>
      <c r="BU341" s="241"/>
      <c r="BV341" s="241"/>
      <c r="BW341" s="241"/>
      <c r="BX341" s="241"/>
      <c r="BY341" s="869"/>
      <c r="BZ341" s="241"/>
      <c r="CA341" s="241"/>
      <c r="CB341" s="241"/>
      <c r="CC341" s="241"/>
      <c r="CD341" s="869"/>
      <c r="CE341" s="241"/>
      <c r="CF341" s="241"/>
      <c r="CG341" s="241"/>
      <c r="CH341" s="241"/>
      <c r="CI341" s="751"/>
      <c r="CJ341" s="751"/>
      <c r="CK341" s="751"/>
      <c r="CL341" s="751"/>
      <c r="CM341" s="751"/>
      <c r="CN341" s="241"/>
      <c r="CO341" s="241"/>
      <c r="CP341" s="241"/>
      <c r="CQ341" s="693"/>
    </row>
    <row r="342" spans="2:95" ht="16.5" customHeight="1" x14ac:dyDescent="0.25">
      <c r="B342" s="19" t="s">
        <v>207</v>
      </c>
      <c r="C342" s="241"/>
      <c r="D342" s="241"/>
      <c r="E342" s="241"/>
      <c r="F342" s="241"/>
      <c r="G342" s="900">
        <f>IFERROR(G237,"n/a")</f>
        <v>2712.134</v>
      </c>
      <c r="H342" s="241"/>
      <c r="I342" s="241"/>
      <c r="J342" s="241"/>
      <c r="K342" s="241"/>
      <c r="L342" s="900">
        <f>IFERROR(L237,"n/a")</f>
        <v>2842.9670000000001</v>
      </c>
      <c r="M342" s="241"/>
      <c r="N342" s="241"/>
      <c r="O342" s="241"/>
      <c r="P342" s="241"/>
      <c r="Q342" s="900">
        <f>IFERROR(Q237,"n/a")</f>
        <v>3105.9069999999997</v>
      </c>
      <c r="R342" s="241"/>
      <c r="S342" s="241"/>
      <c r="T342" s="241"/>
      <c r="U342" s="241"/>
      <c r="V342" s="900">
        <f>IFERROR(V237,"n/a")</f>
        <v>3237.0949999999998</v>
      </c>
      <c r="W342" s="241"/>
      <c r="X342" s="241"/>
      <c r="Y342" s="241"/>
      <c r="Z342" s="241"/>
      <c r="AA342" s="900">
        <f>IFERROR(AA237,"n/a")</f>
        <v>3208.4520000000002</v>
      </c>
      <c r="AB342" s="241"/>
      <c r="AC342" s="241"/>
      <c r="AD342" s="241"/>
      <c r="AE342" s="241"/>
      <c r="AF342" s="900">
        <f>IFERROR(AF237,"n/a")</f>
        <v>3086.471</v>
      </c>
      <c r="AG342" s="241"/>
      <c r="AH342" s="241"/>
      <c r="AI342" s="241"/>
      <c r="AJ342" s="241"/>
      <c r="AK342" s="900">
        <f>IFERROR(AK237,"n/a")</f>
        <v>3004.9740000000002</v>
      </c>
      <c r="AL342" s="241"/>
      <c r="AM342" s="241"/>
      <c r="AN342" s="241"/>
      <c r="AO342" s="241"/>
      <c r="AP342" s="900">
        <f>IFERROR(AP237,"n/a")</f>
        <v>3090.5920000000001</v>
      </c>
      <c r="AQ342" s="241"/>
      <c r="AR342" s="241"/>
      <c r="AS342" s="241"/>
      <c r="AT342" s="241"/>
      <c r="AU342" s="900">
        <f>IFERROR(AU237,"n/a")</f>
        <v>2964.0479999999998</v>
      </c>
      <c r="AV342" s="241"/>
      <c r="AW342" s="241"/>
      <c r="AX342" s="241"/>
      <c r="AY342" s="241"/>
      <c r="AZ342" s="900">
        <f>IFERROR(AZ237,"n/a")</f>
        <v>3114.3230000000003</v>
      </c>
      <c r="BA342" s="241"/>
      <c r="BB342" s="241"/>
      <c r="BC342" s="241"/>
      <c r="BD342" s="241"/>
      <c r="BE342" s="900">
        <f>IFERROR(BE237,"n/a")</f>
        <v>3225.8309999999997</v>
      </c>
      <c r="BF342" s="241"/>
      <c r="BG342" s="241"/>
      <c r="BH342" s="241"/>
      <c r="BI342" s="241"/>
      <c r="BJ342" s="900">
        <f>IFERROR(BJ237,"n/a")</f>
        <v>3433.1690000000003</v>
      </c>
      <c r="BK342" s="241"/>
      <c r="BL342" s="241"/>
      <c r="BM342" s="241"/>
      <c r="BN342" s="241"/>
      <c r="BO342" s="900">
        <f>IFERROR(BO237,"n/a")</f>
        <v>3431.8410000000003</v>
      </c>
      <c r="BP342" s="241"/>
      <c r="BQ342" s="241"/>
      <c r="BR342" s="241"/>
      <c r="BS342" s="241"/>
      <c r="BT342" s="900">
        <f>IFERROR(BT237,"n/a")</f>
        <v>3808.0360000000001</v>
      </c>
      <c r="BU342" s="241"/>
      <c r="BV342" s="241"/>
      <c r="BW342" s="241"/>
      <c r="BX342" s="241"/>
      <c r="BY342" s="900">
        <f>IFERROR(BY237,"n/a")</f>
        <v>4080.3669999999997</v>
      </c>
      <c r="BZ342" s="241"/>
      <c r="CA342" s="241"/>
      <c r="CB342" s="241"/>
      <c r="CC342" s="241"/>
      <c r="CD342" s="900">
        <f t="shared" ref="CD342:CM342" si="167">IFERROR(CD237,"n/a")</f>
        <v>4426.0550000000003</v>
      </c>
      <c r="CE342" s="799">
        <f>IFERROR(CE237,"n/a")</f>
        <v>4551.893</v>
      </c>
      <c r="CF342" s="799">
        <f>IFERROR(CF237,"n/a")</f>
        <v>4902.598</v>
      </c>
      <c r="CG342" s="799">
        <f>IFERROR(CG237,"n/a")</f>
        <v>4961.3822420560846</v>
      </c>
      <c r="CH342" s="799">
        <f>IFERROR(CH237,"n/a")</f>
        <v>4964.5042968907183</v>
      </c>
      <c r="CI342" s="800">
        <f t="shared" si="167"/>
        <v>4689.4661480143013</v>
      </c>
      <c r="CJ342" s="800">
        <f t="shared" si="167"/>
        <v>4978.3063851810512</v>
      </c>
      <c r="CK342" s="800">
        <f t="shared" si="167"/>
        <v>5317.2350391452383</v>
      </c>
      <c r="CL342" s="800">
        <f t="shared" si="167"/>
        <v>5714.7931547972457</v>
      </c>
      <c r="CM342" s="800">
        <f t="shared" si="167"/>
        <v>6178.0432974580617</v>
      </c>
      <c r="CN342" s="241"/>
      <c r="CO342" s="241"/>
      <c r="CP342" s="241"/>
      <c r="CQ342" s="693"/>
    </row>
    <row r="343" spans="2:95" ht="16.5" customHeight="1" x14ac:dyDescent="0.25">
      <c r="B343" s="19" t="s">
        <v>208</v>
      </c>
      <c r="C343" s="241"/>
      <c r="D343" s="241"/>
      <c r="E343" s="241"/>
      <c r="F343" s="241"/>
      <c r="G343" s="900">
        <f>IFERROR(-G232-G233,"n/a")</f>
        <v>-910.69</v>
      </c>
      <c r="H343" s="241"/>
      <c r="I343" s="241"/>
      <c r="J343" s="241"/>
      <c r="K343" s="241"/>
      <c r="L343" s="900">
        <f>IFERROR(-L232-L233,"n/a")</f>
        <v>-932.56599999999992</v>
      </c>
      <c r="M343" s="241"/>
      <c r="N343" s="241"/>
      <c r="O343" s="241"/>
      <c r="P343" s="241"/>
      <c r="Q343" s="900">
        <f>IFERROR(-Q232-Q233,"n/a")</f>
        <v>-975.04899999999998</v>
      </c>
      <c r="R343" s="241"/>
      <c r="S343" s="241"/>
      <c r="T343" s="241"/>
      <c r="U343" s="241"/>
      <c r="V343" s="900">
        <f>IFERROR(-V232-V233,"n/a")</f>
        <v>-975.68</v>
      </c>
      <c r="W343" s="241"/>
      <c r="X343" s="241"/>
      <c r="Y343" s="241"/>
      <c r="Z343" s="241"/>
      <c r="AA343" s="900">
        <f>IFERROR(-AA232-AA233,"n/a")</f>
        <v>-935.92200000000003</v>
      </c>
      <c r="AB343" s="241"/>
      <c r="AC343" s="241"/>
      <c r="AD343" s="241"/>
      <c r="AE343" s="241"/>
      <c r="AF343" s="900">
        <f>IFERROR(-AF232-AF233,"n/a")</f>
        <v>-880.93499999999995</v>
      </c>
      <c r="AG343" s="241"/>
      <c r="AH343" s="241"/>
      <c r="AI343" s="241"/>
      <c r="AJ343" s="241"/>
      <c r="AK343" s="900">
        <f>IFERROR(-AK232-AK233,"n/a")</f>
        <v>-853.72199999999998</v>
      </c>
      <c r="AL343" s="241"/>
      <c r="AM343" s="241"/>
      <c r="AN343" s="241"/>
      <c r="AO343" s="241"/>
      <c r="AP343" s="900">
        <f>IFERROR(-AP232-AP233,"n/a")</f>
        <v>-883.08600000000001</v>
      </c>
      <c r="AQ343" s="241"/>
      <c r="AR343" s="241"/>
      <c r="AS343" s="241"/>
      <c r="AT343" s="241"/>
      <c r="AU343" s="900">
        <f>IFERROR(-AU232-AU233,"n/a")</f>
        <v>-892.75400000000002</v>
      </c>
      <c r="AV343" s="241"/>
      <c r="AW343" s="241"/>
      <c r="AX343" s="241"/>
      <c r="AY343" s="241"/>
      <c r="AZ343" s="900">
        <f>IFERROR(-AZ232-AZ233,"n/a")</f>
        <v>-863.88599999999997</v>
      </c>
      <c r="BA343" s="241"/>
      <c r="BB343" s="241"/>
      <c r="BC343" s="241"/>
      <c r="BD343" s="241"/>
      <c r="BE343" s="900">
        <f>IFERROR(-BE232-BE233,"n/a")</f>
        <v>-906.90200000000004</v>
      </c>
      <c r="BF343" s="241"/>
      <c r="BG343" s="241"/>
      <c r="BH343" s="241"/>
      <c r="BI343" s="241"/>
      <c r="BJ343" s="900">
        <f>IFERROR(-BJ232-BJ233,"n/a")</f>
        <v>-957.7</v>
      </c>
      <c r="BK343" s="241"/>
      <c r="BL343" s="241"/>
      <c r="BM343" s="241"/>
      <c r="BN343" s="241"/>
      <c r="BO343" s="900">
        <f>IFERROR(-BO232-BO233,"n/a")</f>
        <v>-890.73</v>
      </c>
      <c r="BP343" s="241"/>
      <c r="BQ343" s="241"/>
      <c r="BR343" s="241"/>
      <c r="BS343" s="241"/>
      <c r="BT343" s="900">
        <f>IFERROR(-BT232-BT233,"n/a")</f>
        <v>-892.9380000000001</v>
      </c>
      <c r="BU343" s="241"/>
      <c r="BV343" s="241"/>
      <c r="BW343" s="241"/>
      <c r="BX343" s="241"/>
      <c r="BY343" s="900">
        <f>IFERROR(-BY232-BY233,"n/a")</f>
        <v>-897.24300000000005</v>
      </c>
      <c r="BZ343" s="241"/>
      <c r="CA343" s="241"/>
      <c r="CB343" s="241"/>
      <c r="CC343" s="241"/>
      <c r="CD343" s="900">
        <f t="shared" ref="CD343:CM343" si="168">IFERROR(-CD232-CD233,"n/a")</f>
        <v>-908.41399999999999</v>
      </c>
      <c r="CE343" s="799">
        <f>IFERROR(-CE232-CE233,"n/a")</f>
        <v>-940.61599999999999</v>
      </c>
      <c r="CF343" s="799">
        <f>IFERROR(-CF232-CF233,"n/a")</f>
        <v>-934.05399999999997</v>
      </c>
      <c r="CG343" s="799">
        <f>IFERROR(-CG232-CG233,"n/a")</f>
        <v>-931.34499306693681</v>
      </c>
      <c r="CH343" s="799">
        <f>IFERROR(-CH232-CH233,"n/a")</f>
        <v>-928.73753994121159</v>
      </c>
      <c r="CI343" s="800">
        <f t="shared" si="168"/>
        <v>-897.68143972140251</v>
      </c>
      <c r="CJ343" s="800">
        <f t="shared" si="168"/>
        <v>-886.07428886178502</v>
      </c>
      <c r="CK343" s="800">
        <f t="shared" si="168"/>
        <v>-873.65176584012363</v>
      </c>
      <c r="CL343" s="800">
        <f t="shared" si="168"/>
        <v>-860.4239517779281</v>
      </c>
      <c r="CM343" s="800">
        <f t="shared" si="168"/>
        <v>-846.37747701882608</v>
      </c>
      <c r="CN343" s="241"/>
      <c r="CO343" s="241"/>
      <c r="CP343" s="241"/>
      <c r="CQ343" s="693"/>
    </row>
    <row r="344" spans="2:95" ht="16.5" customHeight="1" x14ac:dyDescent="0.25">
      <c r="B344" s="19" t="s">
        <v>209</v>
      </c>
      <c r="C344" s="241"/>
      <c r="D344" s="241"/>
      <c r="E344" s="241"/>
      <c r="F344" s="241"/>
      <c r="G344" s="900">
        <f>IFERROR(-SUM(G243:G246),"n/a")</f>
        <v>-472.07800000000003</v>
      </c>
      <c r="H344" s="241"/>
      <c r="I344" s="241"/>
      <c r="J344" s="241"/>
      <c r="K344" s="241"/>
      <c r="L344" s="900">
        <f>IFERROR(-SUM(L243:L246),"n/a")</f>
        <v>-535.70000000000005</v>
      </c>
      <c r="M344" s="241"/>
      <c r="N344" s="241"/>
      <c r="O344" s="241"/>
      <c r="P344" s="241"/>
      <c r="Q344" s="900">
        <f>IFERROR(-SUM(Q243:Q246),"n/a")</f>
        <v>-569.91599999999994</v>
      </c>
      <c r="R344" s="241"/>
      <c r="S344" s="241"/>
      <c r="T344" s="241"/>
      <c r="U344" s="241"/>
      <c r="V344" s="900">
        <f>IFERROR(-SUM(V243:V246),"n/a")</f>
        <v>-614.76</v>
      </c>
      <c r="W344" s="241"/>
      <c r="X344" s="241"/>
      <c r="Y344" s="241"/>
      <c r="Z344" s="241"/>
      <c r="AA344" s="900">
        <f>IFERROR(-SUM(AA243:AA246),"n/a")</f>
        <v>-613.88200000000006</v>
      </c>
      <c r="AB344" s="241"/>
      <c r="AC344" s="241"/>
      <c r="AD344" s="241"/>
      <c r="AE344" s="241"/>
      <c r="AF344" s="900">
        <f>IFERROR(-SUM(AF243:AF246),"n/a")</f>
        <v>-605.38800000000003</v>
      </c>
      <c r="AG344" s="241"/>
      <c r="AH344" s="241"/>
      <c r="AI344" s="241"/>
      <c r="AJ344" s="241"/>
      <c r="AK344" s="900">
        <f>IFERROR(-SUM(AK243:AK246),"n/a")</f>
        <v>-587.40300000000002</v>
      </c>
      <c r="AL344" s="241"/>
      <c r="AM344" s="241"/>
      <c r="AN344" s="241"/>
      <c r="AO344" s="241"/>
      <c r="AP344" s="900">
        <f>IFERROR(-SUM(AP243:AP246),"n/a")</f>
        <v>-629.04999999999995</v>
      </c>
      <c r="AQ344" s="241"/>
      <c r="AR344" s="241"/>
      <c r="AS344" s="241"/>
      <c r="AT344" s="241"/>
      <c r="AU344" s="900">
        <f>IFERROR(-SUM(AU243:AU246),"n/a")</f>
        <v>-676.63599999999997</v>
      </c>
      <c r="AV344" s="241"/>
      <c r="AW344" s="241"/>
      <c r="AX344" s="241"/>
      <c r="AY344" s="241"/>
      <c r="AZ344" s="900">
        <f>IFERROR(-SUM(AZ243:AZ246),"n/a")</f>
        <v>-727.40899999999999</v>
      </c>
      <c r="BA344" s="241"/>
      <c r="BB344" s="241"/>
      <c r="BC344" s="241"/>
      <c r="BD344" s="241"/>
      <c r="BE344" s="900">
        <f>IFERROR(-SUM(BE243:BE246),"n/a")</f>
        <v>-710.20399999999995</v>
      </c>
      <c r="BF344" s="241"/>
      <c r="BG344" s="241"/>
      <c r="BH344" s="241"/>
      <c r="BI344" s="241"/>
      <c r="BJ344" s="900">
        <f>IFERROR(-SUM(BJ243:BJ246),"n/a")</f>
        <v>-788.99599999999998</v>
      </c>
      <c r="BK344" s="241"/>
      <c r="BL344" s="241"/>
      <c r="BM344" s="241"/>
      <c r="BN344" s="241"/>
      <c r="BO344" s="900">
        <f>IFERROR(-SUM(BO243:BO246),"n/a")</f>
        <v>-837.52</v>
      </c>
      <c r="BP344" s="241"/>
      <c r="BQ344" s="241"/>
      <c r="BR344" s="241"/>
      <c r="BS344" s="241"/>
      <c r="BT344" s="900">
        <f>IFERROR(-SUM(BT243:BT246),"n/a")</f>
        <v>-965.47299999999996</v>
      </c>
      <c r="BU344" s="241"/>
      <c r="BV344" s="241"/>
      <c r="BW344" s="241"/>
      <c r="BX344" s="241"/>
      <c r="BY344" s="900">
        <f>IFERROR(-SUM(BY243:BY246),"n/a")</f>
        <v>-1016.134</v>
      </c>
      <c r="BZ344" s="241"/>
      <c r="CA344" s="241"/>
      <c r="CB344" s="241"/>
      <c r="CC344" s="241"/>
      <c r="CD344" s="900">
        <f t="shared" ref="CD344:CM344" si="169">IFERROR(-SUM(CD243:CD246),"n/a")</f>
        <v>-1117.5050000000001</v>
      </c>
      <c r="CE344" s="799">
        <f>IFERROR(-SUM(CE243:CE246),"n/a")</f>
        <v>-1047.9459999999999</v>
      </c>
      <c r="CF344" s="799">
        <f>IFERROR(-SUM(CF243:CF246),"n/a")</f>
        <v>-1166.001</v>
      </c>
      <c r="CG344" s="799">
        <f>IFERROR(-SUM(CG243:CG246),"n/a")</f>
        <v>-1185.6160367323573</v>
      </c>
      <c r="CH344" s="799">
        <f>IFERROR(-SUM(CH243:CH246),"n/a")</f>
        <v>-1160.556502077384</v>
      </c>
      <c r="CI344" s="800">
        <f t="shared" si="169"/>
        <v>-1227.7403532009675</v>
      </c>
      <c r="CJ344" s="800">
        <f t="shared" si="169"/>
        <v>-1316.1621229525185</v>
      </c>
      <c r="CK344" s="800">
        <f t="shared" si="169"/>
        <v>-1405.9141242918461</v>
      </c>
      <c r="CL344" s="800">
        <f t="shared" si="169"/>
        <v>-1494.1723044281712</v>
      </c>
      <c r="CM344" s="800">
        <f t="shared" si="169"/>
        <v>-1583.5870685946688</v>
      </c>
      <c r="CN344" s="241"/>
      <c r="CO344" s="241"/>
      <c r="CP344" s="241"/>
      <c r="CQ344" s="693"/>
    </row>
    <row r="345" spans="2:95" ht="16.5" customHeight="1" x14ac:dyDescent="0.25">
      <c r="B345" s="240" t="s">
        <v>925</v>
      </c>
      <c r="C345" s="801"/>
      <c r="D345" s="801"/>
      <c r="E345" s="801"/>
      <c r="F345" s="801"/>
      <c r="G345" s="901">
        <f>IFERROR(G342+G343+G344-G226,"n/a")</f>
        <v>1216.9449999999999</v>
      </c>
      <c r="H345" s="801"/>
      <c r="I345" s="801"/>
      <c r="J345" s="801"/>
      <c r="K345" s="801"/>
      <c r="L345" s="901">
        <f>IFERROR(L342+L343+L344-L226,"n/a")</f>
        <v>1261.0220000000002</v>
      </c>
      <c r="M345" s="801"/>
      <c r="N345" s="801"/>
      <c r="O345" s="801"/>
      <c r="P345" s="801"/>
      <c r="Q345" s="901">
        <f>IFERROR(Q342+Q343+Q344-Q226,"n/a")</f>
        <v>1412.1009999999997</v>
      </c>
      <c r="R345" s="801"/>
      <c r="S345" s="801"/>
      <c r="T345" s="801"/>
      <c r="U345" s="801"/>
      <c r="V345" s="901">
        <f>IFERROR(V342+V343+V344-V226,"n/a")</f>
        <v>1489.5650000000001</v>
      </c>
      <c r="W345" s="801"/>
      <c r="X345" s="801"/>
      <c r="Y345" s="801"/>
      <c r="Z345" s="801"/>
      <c r="AA345" s="901">
        <f>IFERROR(AA342+AA343+AA344-AA226,"n/a")</f>
        <v>1427.3560000000002</v>
      </c>
      <c r="AB345" s="801"/>
      <c r="AC345" s="801"/>
      <c r="AD345" s="801"/>
      <c r="AE345" s="801"/>
      <c r="AF345" s="901">
        <f>IFERROR(AF342+AF343+AF344-AF226,"n/a")</f>
        <v>1290.2950000000001</v>
      </c>
      <c r="AG345" s="801"/>
      <c r="AH345" s="801"/>
      <c r="AI345" s="801"/>
      <c r="AJ345" s="801"/>
      <c r="AK345" s="901">
        <f>IFERROR(AK342+AK343+AK344-AK226,"n/a")</f>
        <v>1238.7210000000005</v>
      </c>
      <c r="AL345" s="801"/>
      <c r="AM345" s="801"/>
      <c r="AN345" s="801"/>
      <c r="AO345" s="801"/>
      <c r="AP345" s="901">
        <f>IFERROR(AP342+AP343+AP344-AP226,"n/a")</f>
        <v>1210.3830000000003</v>
      </c>
      <c r="AQ345" s="801"/>
      <c r="AR345" s="801"/>
      <c r="AS345" s="801"/>
      <c r="AT345" s="801"/>
      <c r="AU345" s="901">
        <f>IFERROR(AU342+AU343+AU344-AU226,"n/a")</f>
        <v>1266.952</v>
      </c>
      <c r="AV345" s="801"/>
      <c r="AW345" s="801"/>
      <c r="AX345" s="801"/>
      <c r="AY345" s="801"/>
      <c r="AZ345" s="901">
        <f>IFERROR(AZ342+AZ343+AZ344-AZ226,"n/a")</f>
        <v>1433.3260000000002</v>
      </c>
      <c r="BA345" s="801"/>
      <c r="BB345" s="801"/>
      <c r="BC345" s="801"/>
      <c r="BD345" s="801"/>
      <c r="BE345" s="901">
        <f>IFERROR(BE342+BE343+BE344-BE226,"n/a")</f>
        <v>1523.653</v>
      </c>
      <c r="BF345" s="801"/>
      <c r="BG345" s="801"/>
      <c r="BH345" s="801"/>
      <c r="BI345" s="801"/>
      <c r="BJ345" s="901">
        <f>IFERROR(BJ342+BJ343+BJ344-BJ226,"n/a")</f>
        <v>1585.559</v>
      </c>
      <c r="BK345" s="801"/>
      <c r="BL345" s="801"/>
      <c r="BM345" s="801"/>
      <c r="BN345" s="801"/>
      <c r="BO345" s="901">
        <f>IFERROR(BO342+BO343+BO344-BO226,"n/a")</f>
        <v>1586.2630000000004</v>
      </c>
      <c r="BP345" s="801"/>
      <c r="BQ345" s="801"/>
      <c r="BR345" s="801"/>
      <c r="BS345" s="801"/>
      <c r="BT345" s="901">
        <f>IFERROR(BT342+BT343+BT344-BT226,"n/a")</f>
        <v>1880.481</v>
      </c>
      <c r="BU345" s="801"/>
      <c r="BV345" s="801"/>
      <c r="BW345" s="801"/>
      <c r="BX345" s="801"/>
      <c r="BY345" s="901">
        <f>IFERROR(BY342+BY343+BY344-BY226,"n/a")</f>
        <v>2105.1729999999998</v>
      </c>
      <c r="BZ345" s="801"/>
      <c r="CA345" s="801"/>
      <c r="CB345" s="801"/>
      <c r="CC345" s="801"/>
      <c r="CD345" s="901">
        <f t="shared" ref="CD345:CM345" si="170">IFERROR(CD342+CD343+CD344-CD226,"n/a")</f>
        <v>2337.9230000000007</v>
      </c>
      <c r="CE345" s="802">
        <f>IFERROR(CE342+CE343+CE344-CE226,"n/a")</f>
        <v>2489.5370000000003</v>
      </c>
      <c r="CF345" s="802">
        <f>IFERROR(CF342+CF343+CF344-CF226,"n/a")</f>
        <v>2494.3109999999997</v>
      </c>
      <c r="CG345" s="802">
        <f>IFERROR(CG342+CG343+CG344-CG226,"n/a")</f>
        <v>2525.240823136432</v>
      </c>
      <c r="CH345" s="802">
        <f>IFERROR(CH342+CH343+CH344-CH226,"n/a")</f>
        <v>2427.0037823141297</v>
      </c>
      <c r="CI345" s="803">
        <f t="shared" si="170"/>
        <v>2461.3056915347465</v>
      </c>
      <c r="CJ345" s="803">
        <f t="shared" si="170"/>
        <v>2572.6352248876055</v>
      </c>
      <c r="CK345" s="803">
        <f t="shared" si="170"/>
        <v>2649.261529077095</v>
      </c>
      <c r="CL345" s="803">
        <f t="shared" si="170"/>
        <v>2748.089351798626</v>
      </c>
      <c r="CM345" s="803">
        <f t="shared" si="170"/>
        <v>2899.9939419095444</v>
      </c>
      <c r="CN345" s="241"/>
      <c r="CO345" s="241"/>
      <c r="CP345" s="241"/>
      <c r="CQ345" s="693"/>
    </row>
    <row r="346" spans="2:95" ht="16.5" customHeight="1" x14ac:dyDescent="0.25">
      <c r="B346" s="722" t="s">
        <v>211</v>
      </c>
      <c r="C346" s="241"/>
      <c r="D346" s="241"/>
      <c r="E346" s="241"/>
      <c r="F346" s="241"/>
      <c r="G346" s="902">
        <f>IFERROR(G340/G345,"n/a")</f>
        <v>0.11475412831369025</v>
      </c>
      <c r="H346" s="804"/>
      <c r="I346" s="804"/>
      <c r="J346" s="804"/>
      <c r="K346" s="804"/>
      <c r="L346" s="902">
        <f>IFERROR(L340/L345,"n/a")</f>
        <v>0.12879849890064293</v>
      </c>
      <c r="M346" s="804"/>
      <c r="N346" s="804"/>
      <c r="O346" s="804"/>
      <c r="P346" s="804"/>
      <c r="Q346" s="902">
        <f>IFERROR(Q340/Q345,"n/a")</f>
        <v>0.12570707469135056</v>
      </c>
      <c r="R346" s="804"/>
      <c r="S346" s="804"/>
      <c r="T346" s="804"/>
      <c r="U346" s="804"/>
      <c r="V346" s="902">
        <f>IFERROR(V340/V345,"n/a")</f>
        <v>9.4112189876281171E-2</v>
      </c>
      <c r="W346" s="804"/>
      <c r="X346" s="804"/>
      <c r="Y346" s="804"/>
      <c r="Z346" s="804"/>
      <c r="AA346" s="902">
        <f>IFERROR(AA340/AA345,"n/a")</f>
        <v>0.11716778165885873</v>
      </c>
      <c r="AB346" s="804"/>
      <c r="AC346" s="804"/>
      <c r="AD346" s="804"/>
      <c r="AE346" s="804"/>
      <c r="AF346" s="902">
        <f>IFERROR(AF340/AF345,"n/a")</f>
        <v>0.11831713116606909</v>
      </c>
      <c r="AG346" s="804"/>
      <c r="AH346" s="804"/>
      <c r="AI346" s="804"/>
      <c r="AJ346" s="804"/>
      <c r="AK346" s="902">
        <f>IFERROR(AK340/AK345,"n/a")</f>
        <v>0.11691297237847875</v>
      </c>
      <c r="AL346" s="804"/>
      <c r="AM346" s="804"/>
      <c r="AN346" s="804"/>
      <c r="AO346" s="804"/>
      <c r="AP346" s="902">
        <f>IFERROR(AP340/AP345,"n/a")</f>
        <v>0.1598376616243728</v>
      </c>
      <c r="AQ346" s="804"/>
      <c r="AR346" s="804"/>
      <c r="AS346" s="804"/>
      <c r="AT346" s="804"/>
      <c r="AU346" s="902">
        <f>IFERROR(AU340/AU345,"n/a")</f>
        <v>0.12168800098490208</v>
      </c>
      <c r="AV346" s="804"/>
      <c r="AW346" s="804"/>
      <c r="AX346" s="804"/>
      <c r="AY346" s="804"/>
      <c r="AZ346" s="902">
        <f>IFERROR(AZ340/AZ345,"n/a")</f>
        <v>0.17231893090268455</v>
      </c>
      <c r="BA346" s="804"/>
      <c r="BB346" s="804"/>
      <c r="BC346" s="804"/>
      <c r="BD346" s="804"/>
      <c r="BE346" s="902">
        <f>IFERROR(BE340/BE345,"n/a")</f>
        <v>0.1415720967963178</v>
      </c>
      <c r="BF346" s="804"/>
      <c r="BG346" s="804"/>
      <c r="BH346" s="804"/>
      <c r="BI346" s="804"/>
      <c r="BJ346" s="902">
        <f>IFERROR(BJ340/BJ345,"n/a")</f>
        <v>0.13520953979009931</v>
      </c>
      <c r="BK346" s="804"/>
      <c r="BL346" s="804"/>
      <c r="BM346" s="804"/>
      <c r="BN346" s="804"/>
      <c r="BO346" s="902">
        <f>IFERROR(BO340/BO345,"n/a")</f>
        <v>0.14857474383925162</v>
      </c>
      <c r="BP346" s="804"/>
      <c r="BQ346" s="804"/>
      <c r="BR346" s="804"/>
      <c r="BS346" s="804"/>
      <c r="BT346" s="902">
        <f>IFERROR(BT340/BT345,"n/a")</f>
        <v>0.15213141016962889</v>
      </c>
      <c r="BU346" s="804"/>
      <c r="BV346" s="804"/>
      <c r="BW346" s="804"/>
      <c r="BX346" s="804"/>
      <c r="BY346" s="902">
        <f>IFERROR(BY340/BY345,"n/a")</f>
        <v>0.16834226659928858</v>
      </c>
      <c r="BZ346" s="804"/>
      <c r="CA346" s="804"/>
      <c r="CB346" s="804"/>
      <c r="CC346" s="804"/>
      <c r="CD346" s="902">
        <f t="shared" ref="CD346:CM346" si="171">IFERROR(CD340/CD345,"n/a")</f>
        <v>0.16117724478806231</v>
      </c>
      <c r="CE346" s="805">
        <f>IFERROR(CE340/CE345,"n/a")</f>
        <v>3.8468542418218468E-2</v>
      </c>
      <c r="CF346" s="805">
        <f>IFERROR(CF340/CF345,"n/a")</f>
        <v>3.8822417574753416E-2</v>
      </c>
      <c r="CG346" s="805">
        <f>IFERROR(CG340/CG345,"n/a")</f>
        <v>4.0933685232447552E-2</v>
      </c>
      <c r="CH346" s="805">
        <f>IFERROR(CH340/CH345,"n/a")</f>
        <v>3.82709308455398E-2</v>
      </c>
      <c r="CI346" s="805">
        <f t="shared" si="171"/>
        <v>0.15804571186933983</v>
      </c>
      <c r="CJ346" s="805">
        <f t="shared" si="171"/>
        <v>0.16882624792412027</v>
      </c>
      <c r="CK346" s="805">
        <f t="shared" si="171"/>
        <v>0.18092714177039762</v>
      </c>
      <c r="CL346" s="805">
        <f t="shared" si="171"/>
        <v>0.19564960400796422</v>
      </c>
      <c r="CM346" s="805">
        <f t="shared" si="171"/>
        <v>0.2072591296851804</v>
      </c>
      <c r="CN346" s="241"/>
      <c r="CO346" s="241"/>
      <c r="CP346" s="241"/>
      <c r="CQ346" s="693"/>
    </row>
    <row r="347" spans="2:95" ht="16.5" customHeight="1" x14ac:dyDescent="0.25">
      <c r="B347" s="305"/>
      <c r="C347" s="241"/>
      <c r="D347" s="241"/>
      <c r="E347" s="241"/>
      <c r="F347" s="241"/>
      <c r="G347" s="869"/>
      <c r="H347" s="241"/>
      <c r="I347" s="241"/>
      <c r="J347" s="241"/>
      <c r="K347" s="241"/>
      <c r="L347" s="869"/>
      <c r="M347" s="241"/>
      <c r="N347" s="241"/>
      <c r="O347" s="241"/>
      <c r="P347" s="241"/>
      <c r="Q347" s="869"/>
      <c r="R347" s="241"/>
      <c r="S347" s="241"/>
      <c r="T347" s="241"/>
      <c r="U347" s="241"/>
      <c r="V347" s="869"/>
      <c r="W347" s="241"/>
      <c r="X347" s="241"/>
      <c r="Y347" s="241"/>
      <c r="Z347" s="241"/>
      <c r="AA347" s="869"/>
      <c r="AB347" s="241"/>
      <c r="AC347" s="241"/>
      <c r="AD347" s="241"/>
      <c r="AE347" s="241"/>
      <c r="AF347" s="869"/>
      <c r="AG347" s="241"/>
      <c r="AH347" s="241"/>
      <c r="AI347" s="241"/>
      <c r="AJ347" s="241"/>
      <c r="AK347" s="869"/>
      <c r="AL347" s="241"/>
      <c r="AM347" s="241"/>
      <c r="AN347" s="241"/>
      <c r="AO347" s="241"/>
      <c r="AP347" s="869"/>
      <c r="AQ347" s="241"/>
      <c r="AR347" s="241"/>
      <c r="AS347" s="241"/>
      <c r="AT347" s="241"/>
      <c r="AU347" s="869"/>
      <c r="AV347" s="241"/>
      <c r="AW347" s="241"/>
      <c r="AX347" s="241"/>
      <c r="AY347" s="241"/>
      <c r="AZ347" s="869"/>
      <c r="BA347" s="241"/>
      <c r="BB347" s="241"/>
      <c r="BC347" s="241"/>
      <c r="BD347" s="241"/>
      <c r="BE347" s="869"/>
      <c r="BF347" s="241"/>
      <c r="BG347" s="241"/>
      <c r="BH347" s="241"/>
      <c r="BI347" s="241"/>
      <c r="BJ347" s="869"/>
      <c r="BK347" s="241"/>
      <c r="BL347" s="241"/>
      <c r="BM347" s="241"/>
      <c r="BN347" s="241"/>
      <c r="BO347" s="869"/>
      <c r="BP347" s="241"/>
      <c r="BQ347" s="241"/>
      <c r="BR347" s="241"/>
      <c r="BS347" s="241"/>
      <c r="BT347" s="869"/>
      <c r="BU347" s="241"/>
      <c r="BV347" s="241"/>
      <c r="BW347" s="241"/>
      <c r="BX347" s="241"/>
      <c r="BY347" s="869"/>
      <c r="BZ347" s="241"/>
      <c r="CA347" s="241"/>
      <c r="CB347" s="241"/>
      <c r="CC347" s="241"/>
      <c r="CD347" s="869"/>
      <c r="CE347" s="241"/>
      <c r="CF347" s="241"/>
      <c r="CG347" s="241"/>
      <c r="CH347" s="241"/>
      <c r="CI347" s="751"/>
      <c r="CJ347" s="751"/>
      <c r="CK347" s="751"/>
      <c r="CL347" s="751"/>
      <c r="CM347" s="751"/>
      <c r="CN347" s="241"/>
      <c r="CO347" s="241"/>
      <c r="CP347" s="241"/>
      <c r="CQ347" s="693"/>
    </row>
    <row r="348" spans="2:95" ht="16.5" customHeight="1" x14ac:dyDescent="0.25">
      <c r="B348" s="149" t="s">
        <v>212</v>
      </c>
      <c r="C348" s="333"/>
      <c r="D348" s="333"/>
      <c r="E348" s="333"/>
      <c r="F348" s="333"/>
      <c r="G348" s="899"/>
      <c r="H348" s="333"/>
      <c r="I348" s="333"/>
      <c r="J348" s="333"/>
      <c r="K348" s="333"/>
      <c r="L348" s="899"/>
      <c r="M348" s="333"/>
      <c r="N348" s="333"/>
      <c r="O348" s="333"/>
      <c r="P348" s="333"/>
      <c r="Q348" s="899"/>
      <c r="R348" s="333"/>
      <c r="S348" s="333"/>
      <c r="T348" s="333"/>
      <c r="U348" s="333"/>
      <c r="V348" s="899"/>
      <c r="W348" s="333"/>
      <c r="X348" s="333"/>
      <c r="Y348" s="333"/>
      <c r="Z348" s="333"/>
      <c r="AA348" s="899"/>
      <c r="AB348" s="333"/>
      <c r="AC348" s="333"/>
      <c r="AD348" s="333"/>
      <c r="AE348" s="333"/>
      <c r="AF348" s="899"/>
      <c r="AG348" s="333"/>
      <c r="AH348" s="333"/>
      <c r="AI348" s="333"/>
      <c r="AJ348" s="333"/>
      <c r="AK348" s="899"/>
      <c r="AL348" s="333"/>
      <c r="AM348" s="333"/>
      <c r="AN348" s="333"/>
      <c r="AO348" s="333"/>
      <c r="AP348" s="899"/>
      <c r="AQ348" s="333"/>
      <c r="AR348" s="333"/>
      <c r="AS348" s="333"/>
      <c r="AT348" s="333"/>
      <c r="AU348" s="899"/>
      <c r="AV348" s="333"/>
      <c r="AW348" s="333"/>
      <c r="AX348" s="333"/>
      <c r="AY348" s="333"/>
      <c r="AZ348" s="899"/>
      <c r="BA348" s="333"/>
      <c r="BB348" s="333"/>
      <c r="BC348" s="333"/>
      <c r="BD348" s="333"/>
      <c r="BE348" s="899"/>
      <c r="BF348" s="333"/>
      <c r="BG348" s="333"/>
      <c r="BH348" s="333"/>
      <c r="BI348" s="333"/>
      <c r="BJ348" s="899"/>
      <c r="BK348" s="333"/>
      <c r="BL348" s="333"/>
      <c r="BM348" s="333"/>
      <c r="BN348" s="333"/>
      <c r="BO348" s="899"/>
      <c r="BP348" s="333"/>
      <c r="BQ348" s="333"/>
      <c r="BR348" s="333"/>
      <c r="BS348" s="333"/>
      <c r="BT348" s="899"/>
      <c r="BU348" s="333"/>
      <c r="BV348" s="333"/>
      <c r="BW348" s="333"/>
      <c r="BX348" s="333"/>
      <c r="BY348" s="899"/>
      <c r="BZ348" s="333"/>
      <c r="CA348" s="333"/>
      <c r="CB348" s="333"/>
      <c r="CC348" s="333"/>
      <c r="CD348" s="899"/>
      <c r="CE348" s="333"/>
      <c r="CF348" s="333"/>
      <c r="CG348" s="333"/>
      <c r="CH348" s="333"/>
      <c r="CI348" s="333"/>
      <c r="CJ348" s="333"/>
      <c r="CK348" s="333"/>
      <c r="CL348" s="333"/>
      <c r="CM348" s="333"/>
      <c r="CN348" s="241"/>
      <c r="CO348" s="241"/>
      <c r="CP348" s="241"/>
      <c r="CQ348" s="693"/>
    </row>
    <row r="349" spans="2:95" ht="16.5" customHeight="1" x14ac:dyDescent="0.25">
      <c r="B349" s="19" t="s">
        <v>213</v>
      </c>
      <c r="C349" s="241"/>
      <c r="D349" s="241"/>
      <c r="E349" s="241"/>
      <c r="F349" s="241"/>
      <c r="G349" s="900">
        <f>IFERROR(G133,"n/a")</f>
        <v>111.39399999999985</v>
      </c>
      <c r="H349" s="241"/>
      <c r="I349" s="241"/>
      <c r="J349" s="241"/>
      <c r="K349" s="241"/>
      <c r="L349" s="900">
        <f>IFERROR(L133,"n/a")</f>
        <v>136.02099999999987</v>
      </c>
      <c r="M349" s="241"/>
      <c r="N349" s="241"/>
      <c r="O349" s="241"/>
      <c r="P349" s="241"/>
      <c r="Q349" s="900">
        <f>IFERROR(Q133,"n/a")</f>
        <v>152.46200000000007</v>
      </c>
      <c r="R349" s="241"/>
      <c r="S349" s="241"/>
      <c r="T349" s="241"/>
      <c r="U349" s="241"/>
      <c r="V349" s="900">
        <f>IFERROR(V133,"n/a")</f>
        <v>120.4970000000002</v>
      </c>
      <c r="W349" s="241"/>
      <c r="X349" s="241"/>
      <c r="Y349" s="241"/>
      <c r="Z349" s="241"/>
      <c r="AA349" s="900">
        <f>IFERROR(AA133,"n/a")</f>
        <v>158.19800000000023</v>
      </c>
      <c r="AB349" s="241"/>
      <c r="AC349" s="241"/>
      <c r="AD349" s="241"/>
      <c r="AE349" s="241"/>
      <c r="AF349" s="900">
        <f>IFERROR(AF155,"n/a")</f>
        <v>131.88300000000024</v>
      </c>
      <c r="AG349" s="241"/>
      <c r="AH349" s="241"/>
      <c r="AI349" s="241"/>
      <c r="AJ349" s="241"/>
      <c r="AK349" s="900">
        <f>IFERROR(AK155,"n/a")</f>
        <v>120.26799999999983</v>
      </c>
      <c r="AL349" s="241"/>
      <c r="AM349" s="241"/>
      <c r="AN349" s="241"/>
      <c r="AO349" s="241"/>
      <c r="AP349" s="900">
        <f>IFERROR(AP155,"n/a")</f>
        <v>141.27999999999994</v>
      </c>
      <c r="AQ349" s="241"/>
      <c r="AR349" s="241"/>
      <c r="AS349" s="241"/>
      <c r="AT349" s="241"/>
      <c r="AU349" s="900">
        <f>IFERROR(AU155,"n/a")</f>
        <v>163.94199999999978</v>
      </c>
      <c r="AV349" s="241"/>
      <c r="AW349" s="241"/>
      <c r="AX349" s="241"/>
      <c r="AY349" s="241"/>
      <c r="AZ349" s="900">
        <f>IFERROR(AZ155,"n/a")</f>
        <v>179.74799999999988</v>
      </c>
      <c r="BA349" s="241"/>
      <c r="BB349" s="241"/>
      <c r="BC349" s="241"/>
      <c r="BD349" s="241"/>
      <c r="BE349" s="900">
        <f>IFERROR(BE155,"n/a")</f>
        <v>156.63799999999989</v>
      </c>
      <c r="BF349" s="241"/>
      <c r="BG349" s="241"/>
      <c r="BH349" s="241"/>
      <c r="BI349" s="241"/>
      <c r="BJ349" s="900">
        <f>IFERROR(BJ155,"n/a")</f>
        <v>157.52799999999999</v>
      </c>
      <c r="BK349" s="241"/>
      <c r="BL349" s="241"/>
      <c r="BM349" s="241"/>
      <c r="BN349" s="241"/>
      <c r="BO349" s="900">
        <f>IFERROR(BO155,"n/a")</f>
        <v>178.60599999999999</v>
      </c>
      <c r="BP349" s="241"/>
      <c r="BQ349" s="241"/>
      <c r="BR349" s="241"/>
      <c r="BS349" s="241"/>
      <c r="BT349" s="900">
        <f>IFERROR(BT155,"n/a")</f>
        <v>197.00800000000001</v>
      </c>
      <c r="BU349" s="241"/>
      <c r="BV349" s="241"/>
      <c r="BW349" s="241"/>
      <c r="BX349" s="241"/>
      <c r="BY349" s="900">
        <f>IFERROR(BY155,"n/a")</f>
        <v>253.84399999999997</v>
      </c>
      <c r="BZ349" s="241"/>
      <c r="CA349" s="241"/>
      <c r="CB349" s="241"/>
      <c r="CC349" s="241"/>
      <c r="CD349" s="900">
        <f t="shared" ref="CD349:CM349" si="172">IFERROR(CD155,"n/a")</f>
        <v>278.68499999999995</v>
      </c>
      <c r="CE349" s="799">
        <f>IFERROR(CE155,"n/a")</f>
        <v>82.354510205085319</v>
      </c>
      <c r="CF349" s="799">
        <f>IFERROR(CF155,"n/a")</f>
        <v>85.14808756742832</v>
      </c>
      <c r="CG349" s="799">
        <f>IFERROR(CG155,"n/a")</f>
        <v>88.98291199039349</v>
      </c>
      <c r="CH349" s="799">
        <f>IFERROR(CH155,"n/a")</f>
        <v>78.741773723715525</v>
      </c>
      <c r="CI349" s="800">
        <f t="shared" si="172"/>
        <v>335.35120814666681</v>
      </c>
      <c r="CJ349" s="800">
        <f t="shared" si="172"/>
        <v>382.98354741519989</v>
      </c>
      <c r="CK349" s="800">
        <f t="shared" si="172"/>
        <v>429.88670595819195</v>
      </c>
      <c r="CL349" s="800">
        <f t="shared" si="172"/>
        <v>490.10663773790412</v>
      </c>
      <c r="CM349" s="800">
        <f t="shared" si="172"/>
        <v>556.03984664246786</v>
      </c>
      <c r="CN349" s="241"/>
      <c r="CO349" s="241"/>
      <c r="CP349" s="241"/>
      <c r="CQ349" s="693"/>
    </row>
    <row r="350" spans="2:95" ht="16.5" customHeight="1" x14ac:dyDescent="0.25">
      <c r="B350" s="19" t="s">
        <v>99</v>
      </c>
      <c r="C350" s="241"/>
      <c r="D350" s="241"/>
      <c r="E350" s="241"/>
      <c r="F350" s="241"/>
      <c r="G350" s="900">
        <f>IFERROR(G260,"n/a")</f>
        <v>1120.9559999999999</v>
      </c>
      <c r="H350" s="241"/>
      <c r="I350" s="241"/>
      <c r="J350" s="241"/>
      <c r="K350" s="241"/>
      <c r="L350" s="900">
        <f>IFERROR(L260,"n/a")</f>
        <v>1191.8910000000001</v>
      </c>
      <c r="M350" s="241"/>
      <c r="N350" s="241"/>
      <c r="O350" s="241"/>
      <c r="P350" s="241"/>
      <c r="Q350" s="900">
        <f>IFERROR(Q260,"n/a")</f>
        <v>1304.79</v>
      </c>
      <c r="R350" s="241"/>
      <c r="S350" s="241"/>
      <c r="T350" s="241"/>
      <c r="U350" s="241"/>
      <c r="V350" s="900">
        <f>IFERROR(V260,"n/a")</f>
        <v>1535.7650000000001</v>
      </c>
      <c r="W350" s="241"/>
      <c r="X350" s="241"/>
      <c r="Y350" s="241"/>
      <c r="Z350" s="241"/>
      <c r="AA350" s="900">
        <f>IFERROR(AA260,"n/a")</f>
        <v>1347.415</v>
      </c>
      <c r="AB350" s="241"/>
      <c r="AC350" s="241"/>
      <c r="AD350" s="241"/>
      <c r="AE350" s="241"/>
      <c r="AF350" s="900">
        <f>IFERROR(AF260,"n/a")</f>
        <v>994.53200000000004</v>
      </c>
      <c r="AG350" s="241"/>
      <c r="AH350" s="241"/>
      <c r="AI350" s="241"/>
      <c r="AJ350" s="241"/>
      <c r="AK350" s="900">
        <f>IFERROR(AK260,"n/a")</f>
        <v>994.06200000000001</v>
      </c>
      <c r="AL350" s="241"/>
      <c r="AM350" s="241"/>
      <c r="AN350" s="241"/>
      <c r="AO350" s="241"/>
      <c r="AP350" s="900">
        <f>IFERROR(AP260,"n/a")</f>
        <v>1214.3040000000001</v>
      </c>
      <c r="AQ350" s="241"/>
      <c r="AR350" s="241"/>
      <c r="AS350" s="241"/>
      <c r="AT350" s="241"/>
      <c r="AU350" s="900">
        <f>IFERROR(AU260,"n/a")</f>
        <v>1224.9860000000001</v>
      </c>
      <c r="AV350" s="241"/>
      <c r="AW350" s="241"/>
      <c r="AX350" s="241"/>
      <c r="AY350" s="241"/>
      <c r="AZ350" s="900">
        <f>IFERROR(AZ260,"n/a")</f>
        <v>1322.481</v>
      </c>
      <c r="BA350" s="241"/>
      <c r="BB350" s="241"/>
      <c r="BC350" s="241"/>
      <c r="BD350" s="241"/>
      <c r="BE350" s="900">
        <f>IFERROR(BE260,"n/a")</f>
        <v>1243.0829999999996</v>
      </c>
      <c r="BF350" s="241"/>
      <c r="BG350" s="241"/>
      <c r="BH350" s="241"/>
      <c r="BI350" s="241"/>
      <c r="BJ350" s="900">
        <f>IFERROR(BJ260,"n/a")</f>
        <v>1400.144</v>
      </c>
      <c r="BK350" s="241"/>
      <c r="BL350" s="241"/>
      <c r="BM350" s="241"/>
      <c r="BN350" s="241"/>
      <c r="BO350" s="900">
        <f>IFERROR(BO260,"n/a")</f>
        <v>1436.8129999999996</v>
      </c>
      <c r="BP350" s="241"/>
      <c r="BQ350" s="241"/>
      <c r="BR350" s="241"/>
      <c r="BS350" s="241"/>
      <c r="BT350" s="900">
        <f>IFERROR(BT260,"n/a")</f>
        <v>1636.0869999999995</v>
      </c>
      <c r="BU350" s="241"/>
      <c r="BV350" s="241"/>
      <c r="BW350" s="241"/>
      <c r="BX350" s="241"/>
      <c r="BY350" s="900">
        <f>IFERROR(BY260,"n/a")</f>
        <v>1828.8169999999996</v>
      </c>
      <c r="BZ350" s="241"/>
      <c r="CA350" s="241"/>
      <c r="CB350" s="241"/>
      <c r="CC350" s="241"/>
      <c r="CD350" s="900">
        <f t="shared" ref="CD350:CM350" si="173">IFERROR(CD260,"n/a")</f>
        <v>1992.5549999999998</v>
      </c>
      <c r="CE350" s="799">
        <f>IFERROR(CE260,"n/a")</f>
        <v>2065.8000000000006</v>
      </c>
      <c r="CF350" s="799">
        <f>IFERROR(CF260,"n/a")</f>
        <v>2102.48</v>
      </c>
      <c r="CG350" s="799">
        <f>IFERROR(CG260,"n/a")</f>
        <v>2145.8992053237271</v>
      </c>
      <c r="CH350" s="799">
        <f>IFERROR(CH260,"n/a")</f>
        <v>2178.3307948133343</v>
      </c>
      <c r="CI350" s="800">
        <f t="shared" si="173"/>
        <v>2159.7307948133334</v>
      </c>
      <c r="CJ350" s="800">
        <f t="shared" si="173"/>
        <v>2374.1492622285327</v>
      </c>
      <c r="CK350" s="800">
        <f t="shared" si="173"/>
        <v>2637.3259148533912</v>
      </c>
      <c r="CL350" s="800">
        <f t="shared" si="173"/>
        <v>2960.6258503690738</v>
      </c>
      <c r="CM350" s="800">
        <f t="shared" si="173"/>
        <v>3348.461228863393</v>
      </c>
      <c r="CN350" s="241"/>
      <c r="CO350" s="241"/>
      <c r="CP350" s="241"/>
      <c r="CQ350" s="693"/>
    </row>
    <row r="351" spans="2:95" ht="16.5" customHeight="1" x14ac:dyDescent="0.25">
      <c r="B351" s="722" t="s">
        <v>214</v>
      </c>
      <c r="C351" s="241"/>
      <c r="D351" s="241"/>
      <c r="E351" s="241"/>
      <c r="F351" s="241"/>
      <c r="G351" s="902">
        <f>IFERROR(G349/G350,"n/a")</f>
        <v>9.9374105674085209E-2</v>
      </c>
      <c r="H351" s="804"/>
      <c r="I351" s="804"/>
      <c r="J351" s="804"/>
      <c r="K351" s="804"/>
      <c r="L351" s="902">
        <f>IFERROR(L349/L350,"n/a")</f>
        <v>0.11412201283506618</v>
      </c>
      <c r="M351" s="804"/>
      <c r="N351" s="804"/>
      <c r="O351" s="804"/>
      <c r="P351" s="804"/>
      <c r="Q351" s="902">
        <f>IFERROR(Q349/Q350,"n/a")</f>
        <v>0.11684792188781343</v>
      </c>
      <c r="R351" s="804"/>
      <c r="S351" s="804"/>
      <c r="T351" s="804"/>
      <c r="U351" s="804"/>
      <c r="V351" s="902">
        <f>IFERROR(V349/V350,"n/a")</f>
        <v>7.8460571767165019E-2</v>
      </c>
      <c r="W351" s="804"/>
      <c r="X351" s="804"/>
      <c r="Y351" s="804"/>
      <c r="Z351" s="804"/>
      <c r="AA351" s="902">
        <f>IFERROR(AA349/AA350,"n/a")</f>
        <v>0.11740851927579865</v>
      </c>
      <c r="AB351" s="804"/>
      <c r="AC351" s="804"/>
      <c r="AD351" s="804"/>
      <c r="AE351" s="804"/>
      <c r="AF351" s="902">
        <f>IFERROR(AF349/AF350,"n/a")</f>
        <v>0.13260810109679752</v>
      </c>
      <c r="AG351" s="804"/>
      <c r="AH351" s="804"/>
      <c r="AI351" s="804"/>
      <c r="AJ351" s="804"/>
      <c r="AK351" s="902">
        <f>IFERROR(AK349/AK350,"n/a")</f>
        <v>0.12098641734620158</v>
      </c>
      <c r="AL351" s="804"/>
      <c r="AM351" s="804"/>
      <c r="AN351" s="804"/>
      <c r="AO351" s="804"/>
      <c r="AP351" s="902">
        <f>IFERROR(AP349/AP350,"n/a")</f>
        <v>0.11634648325295802</v>
      </c>
      <c r="AQ351" s="804"/>
      <c r="AR351" s="804"/>
      <c r="AS351" s="804"/>
      <c r="AT351" s="804"/>
      <c r="AU351" s="902">
        <f>IFERROR(AU349/AU350,"n/a")</f>
        <v>0.13383173358715916</v>
      </c>
      <c r="AV351" s="804"/>
      <c r="AW351" s="804"/>
      <c r="AX351" s="804"/>
      <c r="AY351" s="804"/>
      <c r="AZ351" s="902">
        <f>IFERROR(AZ349/AZ350,"n/a")</f>
        <v>0.13591726459586179</v>
      </c>
      <c r="BA351" s="804"/>
      <c r="BB351" s="804"/>
      <c r="BC351" s="804"/>
      <c r="BD351" s="804"/>
      <c r="BE351" s="902">
        <f>IFERROR(BE349/BE350,"n/a")</f>
        <v>0.12600767607633595</v>
      </c>
      <c r="BF351" s="804"/>
      <c r="BG351" s="804"/>
      <c r="BH351" s="804"/>
      <c r="BI351" s="804"/>
      <c r="BJ351" s="902">
        <f>IFERROR(BJ349/BJ350,"n/a")</f>
        <v>0.11250842770457894</v>
      </c>
      <c r="BK351" s="804"/>
      <c r="BL351" s="804"/>
      <c r="BM351" s="804"/>
      <c r="BN351" s="804"/>
      <c r="BO351" s="902">
        <f>IFERROR(BO349/BO350,"n/a")</f>
        <v>0.1243070601393501</v>
      </c>
      <c r="BP351" s="804"/>
      <c r="BQ351" s="804"/>
      <c r="BR351" s="804"/>
      <c r="BS351" s="804"/>
      <c r="BT351" s="902">
        <f>IFERROR(BT349/BT350,"n/a")</f>
        <v>0.12041413445617505</v>
      </c>
      <c r="BU351" s="804"/>
      <c r="BV351" s="804"/>
      <c r="BW351" s="804"/>
      <c r="BX351" s="804"/>
      <c r="BY351" s="902">
        <f>IFERROR(BY349/BY350,"n/a")</f>
        <v>0.13880229678529893</v>
      </c>
      <c r="BZ351" s="804"/>
      <c r="CA351" s="804"/>
      <c r="CB351" s="804"/>
      <c r="CC351" s="804"/>
      <c r="CD351" s="902">
        <f t="shared" ref="CD351:CM351" si="174">IFERROR(CD349/CD350,"n/a")</f>
        <v>0.13986314054066259</v>
      </c>
      <c r="CE351" s="805">
        <f>IFERROR(CE349/CE350,"n/a")</f>
        <v>3.986567441431179E-2</v>
      </c>
      <c r="CF351" s="805">
        <f>IFERROR(CF349/CF350,"n/a")</f>
        <v>4.0498881115362963E-2</v>
      </c>
      <c r="CG351" s="805">
        <f>IFERROR(CG349/CG350,"n/a")</f>
        <v>4.1466491888173126E-2</v>
      </c>
      <c r="CH351" s="805">
        <f>IFERROR(CH349/CH350,"n/a")</f>
        <v>3.614775768271828E-2</v>
      </c>
      <c r="CI351" s="805">
        <f t="shared" si="174"/>
        <v>0.15527454113819375</v>
      </c>
      <c r="CJ351" s="805">
        <f t="shared" si="174"/>
        <v>0.1613140140378985</v>
      </c>
      <c r="CK351" s="805">
        <f t="shared" si="174"/>
        <v>0.16300097896019397</v>
      </c>
      <c r="CL351" s="805">
        <f t="shared" si="174"/>
        <v>0.1655415653676087</v>
      </c>
      <c r="CM351" s="805">
        <f t="shared" si="174"/>
        <v>0.16605832011715152</v>
      </c>
      <c r="CN351" s="241"/>
      <c r="CO351" s="241"/>
      <c r="CP351" s="241"/>
      <c r="CQ351" s="693"/>
    </row>
    <row r="352" spans="2:95" ht="16.5" customHeight="1" x14ac:dyDescent="0.25">
      <c r="C352" s="291"/>
      <c r="D352" s="291"/>
      <c r="E352" s="291"/>
      <c r="F352" s="291"/>
      <c r="G352" s="864"/>
      <c r="H352" s="291"/>
      <c r="I352" s="291"/>
      <c r="J352" s="291"/>
      <c r="K352" s="291"/>
      <c r="L352" s="864"/>
      <c r="M352" s="291"/>
      <c r="N352" s="291"/>
      <c r="O352" s="291"/>
      <c r="P352" s="291"/>
      <c r="Q352" s="864"/>
      <c r="R352" s="291"/>
      <c r="S352" s="291"/>
      <c r="T352" s="291"/>
      <c r="U352" s="291"/>
      <c r="V352" s="864"/>
      <c r="W352" s="291"/>
      <c r="X352" s="291"/>
      <c r="Y352" s="291"/>
      <c r="Z352" s="291"/>
      <c r="AA352" s="864"/>
      <c r="AB352" s="291"/>
      <c r="AC352" s="291"/>
      <c r="AD352" s="291"/>
      <c r="AE352" s="291"/>
      <c r="AF352" s="864"/>
      <c r="AG352" s="291"/>
      <c r="AH352" s="291"/>
      <c r="AI352" s="291"/>
      <c r="AJ352" s="291"/>
      <c r="AK352" s="864"/>
      <c r="AL352" s="291"/>
      <c r="AM352" s="291"/>
      <c r="AN352" s="291"/>
      <c r="AO352" s="291"/>
      <c r="AP352" s="864"/>
      <c r="AQ352" s="291"/>
      <c r="AR352" s="291"/>
      <c r="AS352" s="291"/>
      <c r="AT352" s="291"/>
      <c r="AU352" s="864"/>
      <c r="AV352" s="291"/>
      <c r="AW352" s="291"/>
      <c r="AX352" s="291"/>
      <c r="AY352" s="291"/>
      <c r="AZ352" s="864"/>
      <c r="BA352" s="291"/>
      <c r="BB352" s="291"/>
      <c r="BC352" s="291"/>
      <c r="BD352" s="291"/>
      <c r="BE352" s="864"/>
      <c r="BF352" s="291"/>
      <c r="BG352" s="291"/>
      <c r="BH352" s="291"/>
      <c r="BI352" s="291"/>
      <c r="BJ352" s="864"/>
      <c r="BK352" s="291"/>
      <c r="BL352" s="291"/>
      <c r="BM352" s="291"/>
      <c r="BN352" s="291"/>
      <c r="BO352" s="864"/>
      <c r="BP352" s="291"/>
      <c r="BQ352" s="291"/>
      <c r="BR352" s="291"/>
      <c r="BS352" s="291"/>
      <c r="BT352" s="864"/>
      <c r="BU352" s="291"/>
      <c r="BV352" s="291"/>
      <c r="BW352" s="291"/>
      <c r="BX352" s="291"/>
      <c r="BY352" s="864"/>
      <c r="BZ352" s="291"/>
      <c r="CA352" s="291"/>
      <c r="CB352" s="291"/>
      <c r="CC352" s="291"/>
      <c r="CD352" s="864"/>
      <c r="CE352" s="291"/>
      <c r="CF352" s="291"/>
      <c r="CG352" s="291"/>
      <c r="CH352" s="291"/>
      <c r="CI352" s="749"/>
      <c r="CJ352" s="749"/>
      <c r="CK352" s="749"/>
      <c r="CL352" s="749"/>
      <c r="CM352" s="749"/>
      <c r="CN352" s="291"/>
      <c r="CO352" s="291"/>
      <c r="CP352" s="291"/>
      <c r="CQ352" s="693"/>
    </row>
    <row r="353" spans="2:95" ht="16.5" customHeight="1" x14ac:dyDescent="0.25">
      <c r="B353" s="223" t="s">
        <v>215</v>
      </c>
      <c r="C353" s="224"/>
      <c r="D353" s="224"/>
      <c r="E353" s="224"/>
      <c r="F353" s="224"/>
      <c r="G353" s="867"/>
      <c r="H353" s="224"/>
      <c r="I353" s="224"/>
      <c r="J353" s="224"/>
      <c r="K353" s="224"/>
      <c r="L353" s="867"/>
      <c r="M353" s="224"/>
      <c r="N353" s="224"/>
      <c r="O353" s="224"/>
      <c r="P353" s="224"/>
      <c r="Q353" s="867"/>
      <c r="R353" s="224"/>
      <c r="S353" s="224"/>
      <c r="T353" s="224"/>
      <c r="U353" s="224"/>
      <c r="V353" s="867"/>
      <c r="W353" s="224"/>
      <c r="X353" s="224"/>
      <c r="Y353" s="224"/>
      <c r="Z353" s="224"/>
      <c r="AA353" s="867"/>
      <c r="AB353" s="224"/>
      <c r="AC353" s="224"/>
      <c r="AD353" s="224"/>
      <c r="AE353" s="224"/>
      <c r="AF353" s="867"/>
      <c r="AG353" s="224"/>
      <c r="AH353" s="224"/>
      <c r="AI353" s="224"/>
      <c r="AJ353" s="224"/>
      <c r="AK353" s="867"/>
      <c r="AL353" s="224"/>
      <c r="AM353" s="224"/>
      <c r="AN353" s="224"/>
      <c r="AO353" s="224"/>
      <c r="AP353" s="867"/>
      <c r="AQ353" s="224"/>
      <c r="AR353" s="224"/>
      <c r="AS353" s="224"/>
      <c r="AT353" s="224"/>
      <c r="AU353" s="867"/>
      <c r="AV353" s="224"/>
      <c r="AW353" s="224"/>
      <c r="AX353" s="224"/>
      <c r="AY353" s="224"/>
      <c r="AZ353" s="867"/>
      <c r="BA353" s="224"/>
      <c r="BB353" s="224"/>
      <c r="BC353" s="224"/>
      <c r="BD353" s="224"/>
      <c r="BE353" s="867"/>
      <c r="BF353" s="224"/>
      <c r="BG353" s="224"/>
      <c r="BH353" s="224"/>
      <c r="BI353" s="224"/>
      <c r="BJ353" s="867"/>
      <c r="BK353" s="224"/>
      <c r="BL353" s="224"/>
      <c r="BM353" s="224"/>
      <c r="BN353" s="224"/>
      <c r="BO353" s="867"/>
      <c r="BP353" s="224"/>
      <c r="BQ353" s="224"/>
      <c r="BR353" s="224"/>
      <c r="BS353" s="224"/>
      <c r="BT353" s="867"/>
      <c r="BU353" s="224"/>
      <c r="BV353" s="224"/>
      <c r="BW353" s="224"/>
      <c r="BX353" s="224"/>
      <c r="BY353" s="867"/>
      <c r="BZ353" s="224"/>
      <c r="CA353" s="224"/>
      <c r="CB353" s="224"/>
      <c r="CC353" s="224"/>
      <c r="CD353" s="867"/>
      <c r="CE353" s="224"/>
      <c r="CF353" s="224"/>
      <c r="CG353" s="224"/>
      <c r="CH353" s="224"/>
      <c r="CI353" s="224"/>
      <c r="CJ353" s="224"/>
      <c r="CK353" s="224"/>
      <c r="CL353" s="224"/>
      <c r="CM353" s="224"/>
      <c r="CN353" s="224"/>
      <c r="CO353" s="224"/>
      <c r="CP353" s="224"/>
      <c r="CQ353" s="693"/>
    </row>
    <row r="354" spans="2:95" ht="16.5" customHeight="1" x14ac:dyDescent="0.25">
      <c r="B354" s="12" t="s">
        <v>801</v>
      </c>
      <c r="C354" s="678"/>
      <c r="D354" s="678"/>
      <c r="E354" s="678"/>
      <c r="F354" s="678"/>
      <c r="G354" s="864">
        <f>G331</f>
        <v>652.29499999999996</v>
      </c>
      <c r="H354" s="291"/>
      <c r="I354" s="291"/>
      <c r="J354" s="291"/>
      <c r="K354" s="291"/>
      <c r="L354" s="864">
        <f>L331</f>
        <v>611.76800000000003</v>
      </c>
      <c r="M354" s="291"/>
      <c r="N354" s="291"/>
      <c r="O354" s="291"/>
      <c r="P354" s="291"/>
      <c r="Q354" s="864">
        <f>Q331</f>
        <v>615.78100000000006</v>
      </c>
      <c r="R354" s="291"/>
      <c r="S354" s="291"/>
      <c r="T354" s="291"/>
      <c r="U354" s="291"/>
      <c r="V354" s="864">
        <f>V331</f>
        <v>552.06700000000001</v>
      </c>
      <c r="W354" s="291"/>
      <c r="X354" s="291"/>
      <c r="Y354" s="291"/>
      <c r="Z354" s="291"/>
      <c r="AA354" s="864">
        <f>AA331</f>
        <v>642.74400000000003</v>
      </c>
      <c r="AB354" s="291"/>
      <c r="AC354" s="291"/>
      <c r="AD354" s="291"/>
      <c r="AE354" s="291"/>
      <c r="AF354" s="864">
        <f>AF331</f>
        <v>765.3309999999999</v>
      </c>
      <c r="AG354" s="291"/>
      <c r="AH354" s="291"/>
      <c r="AI354" s="291"/>
      <c r="AJ354" s="291"/>
      <c r="AK354" s="864">
        <f>AK331</f>
        <v>681.2650000000001</v>
      </c>
      <c r="AL354" s="291"/>
      <c r="AM354" s="291"/>
      <c r="AN354" s="291"/>
      <c r="AO354" s="291"/>
      <c r="AP354" s="864">
        <f>AP331</f>
        <v>588.96400000000006</v>
      </c>
      <c r="AQ354" s="291"/>
      <c r="AR354" s="291"/>
      <c r="AS354" s="291"/>
      <c r="AT354" s="291"/>
      <c r="AU354" s="864">
        <f>AU331</f>
        <v>735.11800000000005</v>
      </c>
      <c r="AV354" s="291"/>
      <c r="AW354" s="291"/>
      <c r="AX354" s="291"/>
      <c r="AY354" s="291"/>
      <c r="AZ354" s="864">
        <f>AZ331</f>
        <v>743.53100000000006</v>
      </c>
      <c r="BA354" s="291"/>
      <c r="BB354" s="291"/>
      <c r="BC354" s="291"/>
      <c r="BD354" s="291"/>
      <c r="BE354" s="864">
        <f>BE331</f>
        <v>845.26000000000022</v>
      </c>
      <c r="BF354" s="291"/>
      <c r="BG354" s="291"/>
      <c r="BH354" s="291"/>
      <c r="BI354" s="291"/>
      <c r="BJ354" s="864">
        <f>BJ331</f>
        <v>802.80600000000004</v>
      </c>
      <c r="BK354" s="291"/>
      <c r="BL354" s="291"/>
      <c r="BM354" s="291"/>
      <c r="BN354" s="291"/>
      <c r="BO354" s="864">
        <f>BO331</f>
        <v>720.46</v>
      </c>
      <c r="BP354" s="291"/>
      <c r="BQ354" s="291"/>
      <c r="BR354" s="291"/>
      <c r="BS354" s="291"/>
      <c r="BT354" s="864">
        <f>BT331</f>
        <v>793.94799999999998</v>
      </c>
      <c r="BU354" s="291"/>
      <c r="BV354" s="291"/>
      <c r="BW354" s="291"/>
      <c r="BX354" s="291"/>
      <c r="BY354" s="864">
        <f>BY331</f>
        <v>812.322</v>
      </c>
      <c r="BZ354" s="291"/>
      <c r="CA354" s="291"/>
      <c r="CB354" s="291"/>
      <c r="CC354" s="291"/>
      <c r="CD354" s="864">
        <f t="shared" ref="CD354:CM354" si="175">CD331</f>
        <v>883.47300000000007</v>
      </c>
      <c r="CE354" s="291">
        <f>CE331</f>
        <v>983.20600000000002</v>
      </c>
      <c r="CF354" s="291">
        <f>CF331</f>
        <v>931.59300000000007</v>
      </c>
      <c r="CG354" s="291">
        <f>CG331</f>
        <v>918.3946108796415</v>
      </c>
      <c r="CH354" s="291">
        <f>CH331</f>
        <v>787.11852744200758</v>
      </c>
      <c r="CI354" s="749">
        <f t="shared" si="175"/>
        <v>833.9473364428153</v>
      </c>
      <c r="CJ354" s="749">
        <f t="shared" si="175"/>
        <v>724.25125152085798</v>
      </c>
      <c r="CK354" s="749">
        <f t="shared" si="175"/>
        <v>530.27838006382603</v>
      </c>
      <c r="CL354" s="749">
        <f t="shared" si="175"/>
        <v>297.57845320747936</v>
      </c>
      <c r="CM354" s="749">
        <f t="shared" si="175"/>
        <v>52.601190064978141</v>
      </c>
      <c r="CN354" s="678"/>
      <c r="CO354" s="678"/>
      <c r="CP354" s="678"/>
      <c r="CQ354" s="693"/>
    </row>
    <row r="355" spans="2:95" ht="16.5" customHeight="1" x14ac:dyDescent="0.25">
      <c r="B355" s="12" t="s">
        <v>802</v>
      </c>
      <c r="C355" s="678"/>
      <c r="D355" s="678"/>
      <c r="E355" s="678"/>
      <c r="F355" s="678"/>
      <c r="G355" s="864">
        <f>G126+G176+G177</f>
        <v>282.69399999999985</v>
      </c>
      <c r="H355" s="291"/>
      <c r="I355" s="291"/>
      <c r="J355" s="291"/>
      <c r="K355" s="291"/>
      <c r="L355" s="864">
        <f>L126+L176+L177</f>
        <v>315.77799999999985</v>
      </c>
      <c r="M355" s="291"/>
      <c r="N355" s="291"/>
      <c r="O355" s="291"/>
      <c r="P355" s="291"/>
      <c r="Q355" s="864">
        <f>Q126+Q176+Q177</f>
        <v>343.96900000000005</v>
      </c>
      <c r="R355" s="291"/>
      <c r="S355" s="291"/>
      <c r="T355" s="291"/>
      <c r="U355" s="291"/>
      <c r="V355" s="864">
        <f>V126+V176+V177</f>
        <v>300.04100000000017</v>
      </c>
      <c r="W355" s="291"/>
      <c r="X355" s="291"/>
      <c r="Y355" s="291"/>
      <c r="Z355" s="291"/>
      <c r="AA355" s="864">
        <f>AA126+AA176+AA177</f>
        <v>340.69500000000022</v>
      </c>
      <c r="AB355" s="291"/>
      <c r="AC355" s="291"/>
      <c r="AD355" s="291"/>
      <c r="AE355" s="291"/>
      <c r="AF355" s="864">
        <f>AF126+AF176+AF177</f>
        <v>316.41000000000025</v>
      </c>
      <c r="AG355" s="291"/>
      <c r="AH355" s="291"/>
      <c r="AI355" s="291"/>
      <c r="AJ355" s="291"/>
      <c r="AK355" s="864">
        <f>AK126+AK176+AK177</f>
        <v>302.83199999999982</v>
      </c>
      <c r="AL355" s="291"/>
      <c r="AM355" s="291"/>
      <c r="AN355" s="291"/>
      <c r="AO355" s="291"/>
      <c r="AP355" s="864">
        <f>AP126+AP176+AP177</f>
        <v>306.9729999999999</v>
      </c>
      <c r="AQ355" s="291"/>
      <c r="AR355" s="291"/>
      <c r="AS355" s="291"/>
      <c r="AT355" s="291"/>
      <c r="AU355" s="864">
        <f>AU126+AU176+AU177</f>
        <v>306.98899999999981</v>
      </c>
      <c r="AV355" s="291"/>
      <c r="AW355" s="291"/>
      <c r="AX355" s="291"/>
      <c r="AY355" s="291"/>
      <c r="AZ355" s="864">
        <f>AZ126+AZ176+AZ177</f>
        <v>351.48099999999988</v>
      </c>
      <c r="BA355" s="291"/>
      <c r="BB355" s="291"/>
      <c r="BC355" s="291"/>
      <c r="BD355" s="291"/>
      <c r="BE355" s="864">
        <f>BE126+BE176+BE177</f>
        <v>131.28599999999989</v>
      </c>
      <c r="BF355" s="291"/>
      <c r="BG355" s="291"/>
      <c r="BH355" s="291"/>
      <c r="BI355" s="291"/>
      <c r="BJ355" s="864">
        <f>BJ126+BJ176+BJ177</f>
        <v>325.827</v>
      </c>
      <c r="BK355" s="291"/>
      <c r="BL355" s="291"/>
      <c r="BM355" s="291"/>
      <c r="BN355" s="291"/>
      <c r="BO355" s="864">
        <f>BO126+BO176+BO177</f>
        <v>328.09000000000032</v>
      </c>
      <c r="BP355" s="291"/>
      <c r="BQ355" s="291"/>
      <c r="BR355" s="291"/>
      <c r="BS355" s="291"/>
      <c r="BT355" s="864">
        <f>BT126+BT176+BT177</f>
        <v>370.66199999999986</v>
      </c>
      <c r="BU355" s="291"/>
      <c r="BV355" s="291"/>
      <c r="BW355" s="291"/>
      <c r="BX355" s="291"/>
      <c r="BY355" s="864">
        <f>BY126+BY176+BY177</f>
        <v>432.10299999999989</v>
      </c>
      <c r="BZ355" s="291"/>
      <c r="CA355" s="291"/>
      <c r="CB355" s="291"/>
      <c r="CC355" s="291"/>
      <c r="CD355" s="864">
        <f t="shared" ref="CD355:CM355" si="176">CD126+CD176+CD177</f>
        <v>488.45099999999962</v>
      </c>
      <c r="CE355" s="291">
        <f>CE126+CE176+CE177</f>
        <v>146.45799999999997</v>
      </c>
      <c r="CF355" s="291">
        <f>CF126+CF176+CF177</f>
        <v>152.39399999999983</v>
      </c>
      <c r="CG355" s="291">
        <f>CG126+CG176+CG177</f>
        <v>151.86341780360203</v>
      </c>
      <c r="CH355" s="291">
        <f>CH126+CH176+CH177</f>
        <v>139.08114972149775</v>
      </c>
      <c r="CI355" s="749">
        <f t="shared" si="176"/>
        <v>591.99179640830607</v>
      </c>
      <c r="CJ355" s="749">
        <f t="shared" si="176"/>
        <v>668.71927001748099</v>
      </c>
      <c r="CK355" s="749">
        <f t="shared" si="176"/>
        <v>743.89565389119718</v>
      </c>
      <c r="CL355" s="749">
        <f t="shared" si="176"/>
        <v>833.8567374880663</v>
      </c>
      <c r="CM355" s="749">
        <f t="shared" si="176"/>
        <v>928.85891373307106</v>
      </c>
      <c r="CN355" s="678"/>
      <c r="CO355" s="678"/>
      <c r="CP355" s="678"/>
      <c r="CQ355" s="693"/>
    </row>
    <row r="356" spans="2:95" ht="16.5" customHeight="1" x14ac:dyDescent="0.25">
      <c r="B356" s="679" t="s">
        <v>216</v>
      </c>
      <c r="C356" s="723"/>
      <c r="D356" s="723"/>
      <c r="E356" s="723"/>
      <c r="F356" s="723"/>
      <c r="G356" s="903">
        <f>G354/G355</f>
        <v>2.3074242820859316</v>
      </c>
      <c r="H356" s="723"/>
      <c r="I356" s="723"/>
      <c r="J356" s="723"/>
      <c r="K356" s="723"/>
      <c r="L356" s="903">
        <f>L354/L355</f>
        <v>1.9373357231979438</v>
      </c>
      <c r="M356" s="723"/>
      <c r="N356" s="723"/>
      <c r="O356" s="723"/>
      <c r="P356" s="723"/>
      <c r="Q356" s="903">
        <f>Q354/Q355</f>
        <v>1.7902223746907424</v>
      </c>
      <c r="R356" s="723"/>
      <c r="S356" s="723"/>
      <c r="T356" s="723"/>
      <c r="U356" s="723"/>
      <c r="V356" s="903">
        <f>V354/V355</f>
        <v>1.8399718705110291</v>
      </c>
      <c r="W356" s="723"/>
      <c r="X356" s="723"/>
      <c r="Y356" s="723"/>
      <c r="Z356" s="723"/>
      <c r="AA356" s="903">
        <f>AA354/AA355</f>
        <v>1.8865671641791033</v>
      </c>
      <c r="AB356" s="723"/>
      <c r="AC356" s="723"/>
      <c r="AD356" s="723"/>
      <c r="AE356" s="723"/>
      <c r="AF356" s="903">
        <f>AF354/AF355</f>
        <v>2.418795234031792</v>
      </c>
      <c r="AG356" s="723"/>
      <c r="AH356" s="723"/>
      <c r="AI356" s="723"/>
      <c r="AJ356" s="723"/>
      <c r="AK356" s="903">
        <f>AK354/AK355</f>
        <v>2.2496466687800512</v>
      </c>
      <c r="AL356" s="723"/>
      <c r="AM356" s="723"/>
      <c r="AN356" s="723"/>
      <c r="AO356" s="723"/>
      <c r="AP356" s="903">
        <f>AP354/AP355</f>
        <v>1.9186182498135023</v>
      </c>
      <c r="AQ356" s="723"/>
      <c r="AR356" s="723"/>
      <c r="AS356" s="723"/>
      <c r="AT356" s="723"/>
      <c r="AU356" s="903">
        <f>AU354/AU355</f>
        <v>2.3946069728882811</v>
      </c>
      <c r="AV356" s="723"/>
      <c r="AW356" s="723"/>
      <c r="AX356" s="723"/>
      <c r="AY356" s="723"/>
      <c r="AZ356" s="903">
        <f>AZ354/AZ355</f>
        <v>2.1154230242886536</v>
      </c>
      <c r="BA356" s="723"/>
      <c r="BB356" s="723"/>
      <c r="BC356" s="723"/>
      <c r="BD356" s="723"/>
      <c r="BE356" s="903">
        <f>BE354/BE355</f>
        <v>6.4383102539493997</v>
      </c>
      <c r="BF356" s="723"/>
      <c r="BG356" s="723"/>
      <c r="BH356" s="723"/>
      <c r="BI356" s="723"/>
      <c r="BJ356" s="903">
        <f>BJ354/BJ355</f>
        <v>2.463902623171192</v>
      </c>
      <c r="BK356" s="723"/>
      <c r="BL356" s="723"/>
      <c r="BM356" s="723"/>
      <c r="BN356" s="723"/>
      <c r="BO356" s="903">
        <f>BO354/BO355</f>
        <v>2.1959218507116929</v>
      </c>
      <c r="BP356" s="723"/>
      <c r="BQ356" s="723"/>
      <c r="BR356" s="723"/>
      <c r="BS356" s="723"/>
      <c r="BT356" s="903">
        <f>BT354/BT355</f>
        <v>2.1419730104515713</v>
      </c>
      <c r="BU356" s="723"/>
      <c r="BV356" s="723"/>
      <c r="BW356" s="723"/>
      <c r="BX356" s="723"/>
      <c r="BY356" s="903">
        <f>BY354/BY355</f>
        <v>1.8799267767175887</v>
      </c>
      <c r="BZ356" s="723"/>
      <c r="CA356" s="723"/>
      <c r="CB356" s="723"/>
      <c r="CC356" s="723"/>
      <c r="CD356" s="903">
        <f t="shared" ref="CD356:CM356" si="177">CD354/CD355</f>
        <v>1.8087239047519623</v>
      </c>
      <c r="CE356" s="723">
        <f>CE354/CE355</f>
        <v>6.7132283658113607</v>
      </c>
      <c r="CF356" s="723">
        <f>CF354/CF355</f>
        <v>6.1130556321115073</v>
      </c>
      <c r="CG356" s="723">
        <f>CG354/CG355</f>
        <v>6.0475038963455896</v>
      </c>
      <c r="CH356" s="723">
        <f>CH354/CH355</f>
        <v>5.6594191881370595</v>
      </c>
      <c r="CI356" s="806">
        <f t="shared" si="177"/>
        <v>1.4087143462164273</v>
      </c>
      <c r="CJ356" s="806">
        <f t="shared" si="177"/>
        <v>1.0830422929219989</v>
      </c>
      <c r="CK356" s="806">
        <f t="shared" si="177"/>
        <v>0.7128397340272471</v>
      </c>
      <c r="CL356" s="806">
        <f t="shared" si="177"/>
        <v>0.35686999916066292</v>
      </c>
      <c r="CM356" s="806">
        <f t="shared" si="177"/>
        <v>5.6629902870366705E-2</v>
      </c>
      <c r="CN356" s="682"/>
      <c r="CO356" s="682"/>
      <c r="CP356" s="682"/>
      <c r="CQ356" s="694" t="s">
        <v>874</v>
      </c>
    </row>
    <row r="357" spans="2:95" ht="16.5" customHeight="1" x14ac:dyDescent="0.25">
      <c r="B357" s="12" t="s">
        <v>803</v>
      </c>
      <c r="C357" s="682"/>
      <c r="D357" s="682"/>
      <c r="E357" s="682"/>
      <c r="F357" s="682"/>
      <c r="G357" s="898">
        <f>G126/G127</f>
        <v>4.9423881059315438</v>
      </c>
      <c r="H357" s="682"/>
      <c r="I357" s="682"/>
      <c r="J357" s="682"/>
      <c r="K357" s="682"/>
      <c r="L357" s="898">
        <f>L126/L127</f>
        <v>6.1529467840520358</v>
      </c>
      <c r="M357" s="682"/>
      <c r="N357" s="682"/>
      <c r="O357" s="682"/>
      <c r="P357" s="682"/>
      <c r="Q357" s="898">
        <f>Q126/Q127</f>
        <v>7.0865294940545613</v>
      </c>
      <c r="R357" s="682"/>
      <c r="S357" s="682"/>
      <c r="T357" s="682"/>
      <c r="U357" s="682"/>
      <c r="V357" s="898">
        <f>V126/V127</f>
        <v>7.1199465914991542</v>
      </c>
      <c r="W357" s="682"/>
      <c r="X357" s="682"/>
      <c r="Y357" s="682"/>
      <c r="Z357" s="682"/>
      <c r="AA357" s="898">
        <f>AA126/AA127</f>
        <v>18.495644529689141</v>
      </c>
      <c r="AB357" s="682"/>
      <c r="AC357" s="682"/>
      <c r="AD357" s="682"/>
      <c r="AE357" s="682"/>
      <c r="AF357" s="898">
        <f>AF126/AF127</f>
        <v>7.3463251285946152</v>
      </c>
      <c r="AG357" s="682"/>
      <c r="AH357" s="682"/>
      <c r="AI357" s="682"/>
      <c r="AJ357" s="682"/>
      <c r="AK357" s="898">
        <f>AK126/AK127</f>
        <v>5.8979916197081304</v>
      </c>
      <c r="AL357" s="682"/>
      <c r="AM357" s="682"/>
      <c r="AN357" s="682"/>
      <c r="AO357" s="682"/>
      <c r="AP357" s="898">
        <f>AP126/AP127</f>
        <v>6.2749558623484099</v>
      </c>
      <c r="AQ357" s="682"/>
      <c r="AR357" s="682"/>
      <c r="AS357" s="682"/>
      <c r="AT357" s="682"/>
      <c r="AU357" s="898">
        <f>AU126/AU127</f>
        <v>6.0272917931453112</v>
      </c>
      <c r="AV357" s="682"/>
      <c r="AW357" s="682"/>
      <c r="AX357" s="682"/>
      <c r="AY357" s="682"/>
      <c r="AZ357" s="898">
        <f>AZ126/AZ127</f>
        <v>6.7794188800325932</v>
      </c>
      <c r="BA357" s="682"/>
      <c r="BB357" s="682"/>
      <c r="BC357" s="682"/>
      <c r="BD357" s="682"/>
      <c r="BE357" s="898">
        <f>BE126/BE127</f>
        <v>1.1392652389644422</v>
      </c>
      <c r="BF357" s="682"/>
      <c r="BG357" s="682"/>
      <c r="BH357" s="682"/>
      <c r="BI357" s="682"/>
      <c r="BJ357" s="898">
        <f>BJ126/BJ127</f>
        <v>6.9534993508792633</v>
      </c>
      <c r="BK357" s="682"/>
      <c r="BL357" s="682"/>
      <c r="BM357" s="682"/>
      <c r="BN357" s="682"/>
      <c r="BO357" s="898">
        <f>BO126/BO127</f>
        <v>6.5212340506570259</v>
      </c>
      <c r="BP357" s="682"/>
      <c r="BQ357" s="682"/>
      <c r="BR357" s="682"/>
      <c r="BS357" s="682"/>
      <c r="BT357" s="898">
        <f>BT126/BT127</f>
        <v>4.701995387546372</v>
      </c>
      <c r="BU357" s="682"/>
      <c r="BV357" s="682"/>
      <c r="BW357" s="682"/>
      <c r="BX357" s="682"/>
      <c r="BY357" s="898">
        <f>BY126/BY127</f>
        <v>5.0667269712045817</v>
      </c>
      <c r="BZ357" s="682"/>
      <c r="CA357" s="682"/>
      <c r="CB357" s="682"/>
      <c r="CC357" s="682"/>
      <c r="CD357" s="898">
        <f t="shared" ref="CD357:CM357" si="178">CD126/CD127</f>
        <v>5.3378147762747092</v>
      </c>
      <c r="CE357" s="682">
        <f>CE126/CE127</f>
        <v>6.9124745565571377</v>
      </c>
      <c r="CF357" s="682">
        <f>CF126/CF127</f>
        <v>8.0025096525096426</v>
      </c>
      <c r="CG357" s="682">
        <f>CG126/CG127</f>
        <v>6.4954429996373761</v>
      </c>
      <c r="CH357" s="682">
        <f>CH126/CH127</f>
        <v>5.877385005542207</v>
      </c>
      <c r="CI357" s="798">
        <f t="shared" si="178"/>
        <v>6.7630869468002226</v>
      </c>
      <c r="CJ357" s="798">
        <f t="shared" si="178"/>
        <v>8.1169511359373949</v>
      </c>
      <c r="CK357" s="798">
        <f t="shared" si="178"/>
        <v>9.4588455819928754</v>
      </c>
      <c r="CL357" s="798">
        <f t="shared" si="178"/>
        <v>11.141735734539074</v>
      </c>
      <c r="CM357" s="798">
        <f t="shared" si="178"/>
        <v>13.237964970697963</v>
      </c>
      <c r="CN357" s="682"/>
      <c r="CO357" s="682"/>
      <c r="CP357" s="682"/>
      <c r="CQ357" s="693"/>
    </row>
    <row r="358" spans="2:95" ht="16.5" customHeight="1" x14ac:dyDescent="0.25">
      <c r="C358" s="291"/>
      <c r="D358" s="291"/>
      <c r="E358" s="291"/>
      <c r="F358" s="291"/>
      <c r="G358" s="864"/>
      <c r="H358" s="291"/>
      <c r="I358" s="291"/>
      <c r="J358" s="291"/>
      <c r="K358" s="291"/>
      <c r="L358" s="864"/>
      <c r="M358" s="291"/>
      <c r="N358" s="291"/>
      <c r="O358" s="291"/>
      <c r="P358" s="291"/>
      <c r="Q358" s="864"/>
      <c r="R358" s="291"/>
      <c r="S358" s="291"/>
      <c r="T358" s="291"/>
      <c r="U358" s="291"/>
      <c r="V358" s="864"/>
      <c r="W358" s="291"/>
      <c r="X358" s="291"/>
      <c r="Y358" s="291"/>
      <c r="Z358" s="291"/>
      <c r="AA358" s="864"/>
      <c r="AB358" s="291"/>
      <c r="AC358" s="291"/>
      <c r="AD358" s="291"/>
      <c r="AE358" s="291"/>
      <c r="AF358" s="864"/>
      <c r="AG358" s="291"/>
      <c r="AH358" s="291"/>
      <c r="AI358" s="291"/>
      <c r="AJ358" s="291"/>
      <c r="AK358" s="864"/>
      <c r="AL358" s="291"/>
      <c r="AM358" s="291"/>
      <c r="AN358" s="291"/>
      <c r="AO358" s="291"/>
      <c r="AP358" s="864"/>
      <c r="AQ358" s="291"/>
      <c r="AR358" s="291"/>
      <c r="AS358" s="291"/>
      <c r="AT358" s="291"/>
      <c r="AU358" s="864"/>
      <c r="AV358" s="291"/>
      <c r="AW358" s="291"/>
      <c r="AX358" s="291"/>
      <c r="AY358" s="291"/>
      <c r="AZ358" s="864"/>
      <c r="BA358" s="291"/>
      <c r="BB358" s="291"/>
      <c r="BC358" s="291"/>
      <c r="BD358" s="291"/>
      <c r="BE358" s="864"/>
      <c r="BF358" s="291"/>
      <c r="BG358" s="291"/>
      <c r="BH358" s="291"/>
      <c r="BI358" s="291"/>
      <c r="BJ358" s="864"/>
      <c r="BK358" s="291"/>
      <c r="BL358" s="291"/>
      <c r="BM358" s="291"/>
      <c r="BN358" s="291"/>
      <c r="BO358" s="864"/>
      <c r="BP358" s="291"/>
      <c r="BQ358" s="291"/>
      <c r="BR358" s="291"/>
      <c r="BS358" s="291"/>
      <c r="BT358" s="864"/>
      <c r="BU358" s="291"/>
      <c r="BV358" s="291"/>
      <c r="BW358" s="291"/>
      <c r="BX358" s="291"/>
      <c r="BY358" s="864"/>
      <c r="BZ358" s="291"/>
      <c r="CA358" s="291"/>
      <c r="CB358" s="291"/>
      <c r="CC358" s="291"/>
      <c r="CD358" s="864"/>
      <c r="CE358" s="291"/>
      <c r="CF358" s="291"/>
      <c r="CG358" s="291"/>
      <c r="CH358" s="291"/>
      <c r="CI358" s="749"/>
      <c r="CJ358" s="749"/>
      <c r="CK358" s="749"/>
      <c r="CL358" s="749"/>
      <c r="CM358" s="749"/>
      <c r="CN358" s="291"/>
      <c r="CO358" s="291"/>
      <c r="CP358" s="291"/>
      <c r="CQ358" s="693"/>
    </row>
    <row r="359" spans="2:95" ht="16.5" customHeight="1" x14ac:dyDescent="0.25">
      <c r="B359" s="221" t="s">
        <v>398</v>
      </c>
      <c r="C359" s="222"/>
      <c r="D359" s="222"/>
      <c r="E359" s="222"/>
      <c r="F359" s="222"/>
      <c r="G359" s="865"/>
      <c r="H359" s="222"/>
      <c r="I359" s="222"/>
      <c r="J359" s="222"/>
      <c r="K359" s="222"/>
      <c r="L359" s="865"/>
      <c r="M359" s="222"/>
      <c r="N359" s="222"/>
      <c r="O359" s="222"/>
      <c r="P359" s="222"/>
      <c r="Q359" s="865"/>
      <c r="R359" s="222"/>
      <c r="S359" s="222"/>
      <c r="T359" s="222"/>
      <c r="U359" s="222"/>
      <c r="V359" s="865"/>
      <c r="W359" s="222"/>
      <c r="X359" s="222"/>
      <c r="Y359" s="222"/>
      <c r="Z359" s="222"/>
      <c r="AA359" s="865"/>
      <c r="AB359" s="222"/>
      <c r="AC359" s="222"/>
      <c r="AD359" s="222"/>
      <c r="AE359" s="222"/>
      <c r="AF359" s="865"/>
      <c r="AG359" s="222"/>
      <c r="AH359" s="222"/>
      <c r="AI359" s="222"/>
      <c r="AJ359" s="222"/>
      <c r="AK359" s="865"/>
      <c r="AL359" s="222"/>
      <c r="AM359" s="222"/>
      <c r="AN359" s="222"/>
      <c r="AO359" s="222"/>
      <c r="AP359" s="865"/>
      <c r="AQ359" s="222"/>
      <c r="AR359" s="222"/>
      <c r="AS359" s="222"/>
      <c r="AT359" s="222"/>
      <c r="AU359" s="865"/>
      <c r="AV359" s="222"/>
      <c r="AW359" s="222"/>
      <c r="AX359" s="222"/>
      <c r="AY359" s="222"/>
      <c r="AZ359" s="865"/>
      <c r="BA359" s="222"/>
      <c r="BB359" s="222"/>
      <c r="BC359" s="222"/>
      <c r="BD359" s="222"/>
      <c r="BE359" s="865"/>
      <c r="BF359" s="222"/>
      <c r="BG359" s="222"/>
      <c r="BH359" s="222"/>
      <c r="BI359" s="222"/>
      <c r="BJ359" s="865"/>
      <c r="BK359" s="222"/>
      <c r="BL359" s="222"/>
      <c r="BM359" s="222"/>
      <c r="BN359" s="222"/>
      <c r="BO359" s="865"/>
      <c r="BP359" s="222"/>
      <c r="BQ359" s="222"/>
      <c r="BR359" s="222"/>
      <c r="BS359" s="222"/>
      <c r="BT359" s="865"/>
      <c r="BU359" s="222"/>
      <c r="BV359" s="222"/>
      <c r="BW359" s="222"/>
      <c r="BX359" s="222"/>
      <c r="BY359" s="865"/>
      <c r="BZ359" s="222"/>
      <c r="CA359" s="222"/>
      <c r="CB359" s="222"/>
      <c r="CC359" s="222"/>
      <c r="CD359" s="865"/>
      <c r="CE359" s="222"/>
      <c r="CF359" s="222"/>
      <c r="CG359" s="222"/>
      <c r="CH359" s="222"/>
      <c r="CI359" s="222"/>
      <c r="CJ359" s="222"/>
      <c r="CK359" s="222"/>
      <c r="CL359" s="222"/>
      <c r="CM359" s="222"/>
      <c r="CN359" s="222"/>
      <c r="CO359" s="222"/>
      <c r="CP359" s="222"/>
      <c r="CQ359" s="692" t="s">
        <v>875</v>
      </c>
    </row>
    <row r="360" spans="2:95" ht="16.5" customHeight="1" x14ac:dyDescent="0.25">
      <c r="B360" s="305" t="s">
        <v>804</v>
      </c>
      <c r="C360" s="777"/>
      <c r="D360" s="777"/>
      <c r="E360" s="777"/>
      <c r="F360" s="777"/>
      <c r="G360" s="904">
        <v>32.47</v>
      </c>
      <c r="H360" s="777"/>
      <c r="I360" s="777"/>
      <c r="J360" s="777"/>
      <c r="K360" s="777"/>
      <c r="L360" s="904">
        <v>40.270000000000003</v>
      </c>
      <c r="M360" s="777"/>
      <c r="N360" s="777"/>
      <c r="O360" s="777"/>
      <c r="P360" s="777"/>
      <c r="Q360" s="904">
        <v>39.72</v>
      </c>
      <c r="R360" s="777"/>
      <c r="S360" s="777"/>
      <c r="T360" s="777"/>
      <c r="U360" s="777"/>
      <c r="V360" s="904">
        <v>45.98</v>
      </c>
      <c r="W360" s="777"/>
      <c r="X360" s="777"/>
      <c r="Y360" s="777"/>
      <c r="Z360" s="777"/>
      <c r="AA360" s="904">
        <v>65.900000000000006</v>
      </c>
      <c r="AB360" s="777"/>
      <c r="AC360" s="777"/>
      <c r="AD360" s="777"/>
      <c r="AE360" s="777"/>
      <c r="AF360" s="904">
        <v>69.459999999999994</v>
      </c>
      <c r="AG360" s="777"/>
      <c r="AH360" s="777"/>
      <c r="AI360" s="777"/>
      <c r="AJ360" s="777"/>
      <c r="AK360" s="904">
        <v>53.97</v>
      </c>
      <c r="AL360" s="777"/>
      <c r="AM360" s="680"/>
      <c r="AN360" s="680"/>
      <c r="AO360" s="680"/>
      <c r="AP360" s="904">
        <v>69.2</v>
      </c>
      <c r="AQ360" s="680"/>
      <c r="AR360" s="680"/>
      <c r="AS360" s="680"/>
      <c r="AT360" s="680"/>
      <c r="AU360" s="904">
        <v>83.14</v>
      </c>
      <c r="AV360" s="680"/>
      <c r="AW360" s="680"/>
      <c r="AX360" s="680"/>
      <c r="AY360" s="680"/>
      <c r="AZ360" s="904">
        <v>81</v>
      </c>
      <c r="BA360" s="680"/>
      <c r="BB360" s="680"/>
      <c r="BC360" s="680"/>
      <c r="BD360" s="680"/>
      <c r="BE360" s="904">
        <v>59.49</v>
      </c>
      <c r="BF360" s="680"/>
      <c r="BG360" s="680"/>
      <c r="BH360" s="680"/>
      <c r="BI360" s="680"/>
      <c r="BJ360" s="904">
        <v>83.3</v>
      </c>
      <c r="BK360" s="680"/>
      <c r="BL360" s="680"/>
      <c r="BM360" s="680"/>
      <c r="BN360" s="680"/>
      <c r="BO360" s="904">
        <v>73.5</v>
      </c>
      <c r="BP360" s="680"/>
      <c r="BQ360" s="680"/>
      <c r="BR360" s="680"/>
      <c r="BS360" s="680"/>
      <c r="BT360" s="904">
        <v>135</v>
      </c>
      <c r="BU360" s="680"/>
      <c r="BV360" s="680"/>
      <c r="BW360" s="680"/>
      <c r="BX360" s="680"/>
      <c r="BY360" s="904">
        <v>200</v>
      </c>
      <c r="BZ360" s="680"/>
      <c r="CA360" s="680"/>
      <c r="CB360" s="680"/>
      <c r="CC360" s="680"/>
      <c r="CD360" s="904">
        <v>206</v>
      </c>
      <c r="CE360" s="807">
        <v>310</v>
      </c>
      <c r="CF360" s="807">
        <v>320</v>
      </c>
      <c r="CG360" s="807">
        <v>335</v>
      </c>
      <c r="CH360" s="807">
        <v>345</v>
      </c>
      <c r="CI360" s="808">
        <v>345</v>
      </c>
      <c r="CJ360" s="809">
        <f t="shared" ref="CJ360:CM360" si="179">CI360</f>
        <v>345</v>
      </c>
      <c r="CK360" s="809">
        <f t="shared" si="179"/>
        <v>345</v>
      </c>
      <c r="CL360" s="809">
        <f t="shared" si="179"/>
        <v>345</v>
      </c>
      <c r="CM360" s="809">
        <f t="shared" si="179"/>
        <v>345</v>
      </c>
      <c r="CN360" s="680"/>
      <c r="CO360" s="680"/>
      <c r="CP360" s="680"/>
      <c r="CQ360" s="693"/>
    </row>
    <row r="361" spans="2:95" ht="16.5" customHeight="1" x14ac:dyDescent="0.25">
      <c r="B361" s="305" t="s">
        <v>400</v>
      </c>
      <c r="C361" s="291"/>
      <c r="D361" s="291"/>
      <c r="E361" s="291"/>
      <c r="F361" s="291"/>
      <c r="G361" s="864">
        <f>G139</f>
        <v>45709.02</v>
      </c>
      <c r="H361" s="291"/>
      <c r="I361" s="291"/>
      <c r="J361" s="291"/>
      <c r="K361" s="291"/>
      <c r="L361" s="864">
        <f>L139</f>
        <v>46047.421999999999</v>
      </c>
      <c r="M361" s="291"/>
      <c r="N361" s="291"/>
      <c r="O361" s="291"/>
      <c r="P361" s="291"/>
      <c r="Q361" s="864">
        <f>Q139</f>
        <v>45718.324000000001</v>
      </c>
      <c r="R361" s="291"/>
      <c r="S361" s="291"/>
      <c r="T361" s="291"/>
      <c r="U361" s="291"/>
      <c r="V361" s="864">
        <f>V139</f>
        <v>45823.72</v>
      </c>
      <c r="W361" s="291"/>
      <c r="X361" s="291"/>
      <c r="Y361" s="291"/>
      <c r="Z361" s="291"/>
      <c r="AA361" s="864">
        <f>AA139</f>
        <v>44952.436999999998</v>
      </c>
      <c r="AB361" s="291"/>
      <c r="AC361" s="291"/>
      <c r="AD361" s="291"/>
      <c r="AE361" s="291"/>
      <c r="AF361" s="864">
        <f>AF139</f>
        <v>39334.519999999997</v>
      </c>
      <c r="AG361" s="291"/>
      <c r="AH361" s="291"/>
      <c r="AI361" s="291"/>
      <c r="AJ361" s="291"/>
      <c r="AK361" s="864">
        <f>AK139</f>
        <v>36529.286</v>
      </c>
      <c r="AL361" s="291"/>
      <c r="AM361" s="291"/>
      <c r="AN361" s="291"/>
      <c r="AO361" s="291"/>
      <c r="AP361" s="864">
        <f>AP139</f>
        <v>36230.042999999998</v>
      </c>
      <c r="AQ361" s="291"/>
      <c r="AR361" s="291"/>
      <c r="AS361" s="291"/>
      <c r="AT361" s="291"/>
      <c r="AU361" s="864">
        <f>AU139</f>
        <v>36052.307000000001</v>
      </c>
      <c r="AV361" s="291"/>
      <c r="AW361" s="291"/>
      <c r="AX361" s="291"/>
      <c r="AY361" s="291"/>
      <c r="AZ361" s="864">
        <f>AZ139</f>
        <v>35178.968000000001</v>
      </c>
      <c r="BA361" s="291"/>
      <c r="BB361" s="291"/>
      <c r="BC361" s="291"/>
      <c r="BD361" s="291"/>
      <c r="BE361" s="864">
        <f>BE139</f>
        <v>33437.800999999999</v>
      </c>
      <c r="BF361" s="291"/>
      <c r="BG361" s="291"/>
      <c r="BH361" s="291"/>
      <c r="BI361" s="291"/>
      <c r="BJ361" s="864">
        <f>BJ139</f>
        <v>32297.955999999998</v>
      </c>
      <c r="BK361" s="291"/>
      <c r="BL361" s="291"/>
      <c r="BM361" s="291"/>
      <c r="BN361" s="291"/>
      <c r="BO361" s="864">
        <f>BO139</f>
        <v>32117.027999999998</v>
      </c>
      <c r="BP361" s="291"/>
      <c r="BQ361" s="291"/>
      <c r="BR361" s="291"/>
      <c r="BS361" s="291"/>
      <c r="BT361" s="864">
        <f>BT139</f>
        <v>32044.225999999999</v>
      </c>
      <c r="BU361" s="291"/>
      <c r="BV361" s="291"/>
      <c r="BW361" s="291"/>
      <c r="BX361" s="291"/>
      <c r="BY361" s="864">
        <f>BY139</f>
        <v>32359.338</v>
      </c>
      <c r="BZ361" s="291"/>
      <c r="CA361" s="291"/>
      <c r="CB361" s="291"/>
      <c r="CC361" s="291"/>
      <c r="CD361" s="864">
        <f t="shared" ref="CD361:CM361" si="180">CD139</f>
        <v>32082.600999999999</v>
      </c>
      <c r="CE361" s="291">
        <f>CE139</f>
        <v>32042.205000000002</v>
      </c>
      <c r="CF361" s="291">
        <f>CF139</f>
        <v>32102.535</v>
      </c>
      <c r="CG361" s="291">
        <f>CG139</f>
        <v>32102.535</v>
      </c>
      <c r="CH361" s="291">
        <f>CH139</f>
        <v>32102.535</v>
      </c>
      <c r="CI361" s="749">
        <f t="shared" si="180"/>
        <v>31647.818391304347</v>
      </c>
      <c r="CJ361" s="749">
        <f t="shared" si="180"/>
        <v>31241.479504672898</v>
      </c>
      <c r="CK361" s="749">
        <f t="shared" si="180"/>
        <v>30861.723535858458</v>
      </c>
      <c r="CL361" s="749">
        <f t="shared" si="180"/>
        <v>30506.811415471133</v>
      </c>
      <c r="CM361" s="749">
        <f t="shared" si="180"/>
        <v>30175.117845015688</v>
      </c>
      <c r="CN361" s="291"/>
      <c r="CO361" s="291"/>
      <c r="CP361" s="291"/>
      <c r="CQ361" s="693"/>
    </row>
    <row r="362" spans="2:95" ht="16.5" customHeight="1" x14ac:dyDescent="0.25">
      <c r="B362" s="262" t="s">
        <v>805</v>
      </c>
      <c r="C362" s="678"/>
      <c r="D362" s="678"/>
      <c r="E362" s="678"/>
      <c r="F362" s="678"/>
      <c r="G362" s="871">
        <f>G360*G361/1000</f>
        <v>1484.1718793999999</v>
      </c>
      <c r="H362" s="291"/>
      <c r="I362" s="291"/>
      <c r="J362" s="291"/>
      <c r="K362" s="291"/>
      <c r="L362" s="871">
        <f>L360*L361/1000</f>
        <v>1854.3296839400002</v>
      </c>
      <c r="M362" s="291"/>
      <c r="N362" s="291"/>
      <c r="O362" s="291"/>
      <c r="P362" s="291"/>
      <c r="Q362" s="871">
        <f>Q360*Q361/1000</f>
        <v>1815.9318292799999</v>
      </c>
      <c r="R362" s="291"/>
      <c r="S362" s="291"/>
      <c r="T362" s="291"/>
      <c r="U362" s="291"/>
      <c r="V362" s="871">
        <f>V360*V361/1000</f>
        <v>2106.9746455999998</v>
      </c>
      <c r="W362" s="291"/>
      <c r="X362" s="291"/>
      <c r="Y362" s="291"/>
      <c r="Z362" s="291"/>
      <c r="AA362" s="871">
        <f>AA360*AA361/1000</f>
        <v>2962.3655983000003</v>
      </c>
      <c r="AB362" s="291"/>
      <c r="AC362" s="291"/>
      <c r="AD362" s="291"/>
      <c r="AE362" s="291"/>
      <c r="AF362" s="871">
        <f>AF360*AF361/1000</f>
        <v>2732.1757591999999</v>
      </c>
      <c r="AG362" s="291"/>
      <c r="AH362" s="291"/>
      <c r="AI362" s="291"/>
      <c r="AJ362" s="291"/>
      <c r="AK362" s="871">
        <f>AK360*AK361/1000</f>
        <v>1971.4855654199998</v>
      </c>
      <c r="AL362" s="291"/>
      <c r="AM362" s="291"/>
      <c r="AN362" s="291"/>
      <c r="AO362" s="291"/>
      <c r="AP362" s="871">
        <f>AP360*AP361/1000</f>
        <v>2507.1189755999999</v>
      </c>
      <c r="AQ362" s="291"/>
      <c r="AR362" s="291"/>
      <c r="AS362" s="291"/>
      <c r="AT362" s="291"/>
      <c r="AU362" s="871">
        <f>AU360*AU361/1000</f>
        <v>2997.3888039799999</v>
      </c>
      <c r="AV362" s="291"/>
      <c r="AW362" s="291"/>
      <c r="AX362" s="291"/>
      <c r="AY362" s="291"/>
      <c r="AZ362" s="871">
        <f>AZ360*AZ361/1000</f>
        <v>2849.4964080000004</v>
      </c>
      <c r="BA362" s="291"/>
      <c r="BB362" s="291"/>
      <c r="BC362" s="291"/>
      <c r="BD362" s="291"/>
      <c r="BE362" s="871">
        <f>BE360*BE361/1000</f>
        <v>1989.21478149</v>
      </c>
      <c r="BF362" s="291"/>
      <c r="BG362" s="291"/>
      <c r="BH362" s="291"/>
      <c r="BI362" s="291"/>
      <c r="BJ362" s="871">
        <f>BJ360*BJ361/1000</f>
        <v>2690.4197347999998</v>
      </c>
      <c r="BK362" s="291"/>
      <c r="BL362" s="291"/>
      <c r="BM362" s="291"/>
      <c r="BN362" s="291"/>
      <c r="BO362" s="871">
        <f>BO360*BO361/1000</f>
        <v>2360.6015579999998</v>
      </c>
      <c r="BP362" s="291"/>
      <c r="BQ362" s="291"/>
      <c r="BR362" s="291"/>
      <c r="BS362" s="291"/>
      <c r="BT362" s="871">
        <f>BT360*BT361/1000</f>
        <v>4325.9705100000001</v>
      </c>
      <c r="BU362" s="291"/>
      <c r="BV362" s="291"/>
      <c r="BW362" s="291"/>
      <c r="BX362" s="291"/>
      <c r="BY362" s="871">
        <f>BY360*BY361/1000</f>
        <v>6471.8675999999996</v>
      </c>
      <c r="BZ362" s="291"/>
      <c r="CA362" s="291"/>
      <c r="CB362" s="291"/>
      <c r="CC362" s="291"/>
      <c r="CD362" s="871">
        <f t="shared" ref="CD362:CM362" si="181">CD360*CD361/1000</f>
        <v>6609.0158059999994</v>
      </c>
      <c r="CE362" s="274">
        <f>CE360*CE361/1000</f>
        <v>9933.0835500000012</v>
      </c>
      <c r="CF362" s="274">
        <f>CF360*CF361/1000</f>
        <v>10272.8112</v>
      </c>
      <c r="CG362" s="274">
        <f>CG360*CG361/1000</f>
        <v>10754.349225</v>
      </c>
      <c r="CH362" s="274">
        <f>CH360*CH361/1000</f>
        <v>11075.374575</v>
      </c>
      <c r="CI362" s="274">
        <f t="shared" si="181"/>
        <v>10918.497344999998</v>
      </c>
      <c r="CJ362" s="274">
        <f t="shared" si="181"/>
        <v>10778.310429112149</v>
      </c>
      <c r="CK362" s="274">
        <f t="shared" si="181"/>
        <v>10647.294619871167</v>
      </c>
      <c r="CL362" s="274">
        <f t="shared" si="181"/>
        <v>10524.84993833754</v>
      </c>
      <c r="CM362" s="274">
        <f t="shared" si="181"/>
        <v>10410.415656530411</v>
      </c>
      <c r="CN362" s="678"/>
      <c r="CO362" s="678"/>
      <c r="CP362" s="678"/>
      <c r="CQ362" s="693"/>
    </row>
    <row r="363" spans="2:95" ht="16.5" customHeight="1" x14ac:dyDescent="0.25">
      <c r="B363" s="305" t="s">
        <v>806</v>
      </c>
      <c r="C363" s="678"/>
      <c r="D363" s="678"/>
      <c r="E363" s="678"/>
      <c r="F363" s="678"/>
      <c r="G363" s="864">
        <f>G331</f>
        <v>652.29499999999996</v>
      </c>
      <c r="H363" s="291"/>
      <c r="I363" s="291"/>
      <c r="J363" s="291"/>
      <c r="K363" s="291"/>
      <c r="L363" s="864">
        <f>L331</f>
        <v>611.76800000000003</v>
      </c>
      <c r="M363" s="291"/>
      <c r="N363" s="291"/>
      <c r="O363" s="291"/>
      <c r="P363" s="291"/>
      <c r="Q363" s="864">
        <f>Q331</f>
        <v>615.78100000000006</v>
      </c>
      <c r="R363" s="291"/>
      <c r="S363" s="291"/>
      <c r="T363" s="291"/>
      <c r="U363" s="291"/>
      <c r="V363" s="864">
        <f>V331</f>
        <v>552.06700000000001</v>
      </c>
      <c r="W363" s="291"/>
      <c r="X363" s="291"/>
      <c r="Y363" s="291"/>
      <c r="Z363" s="291"/>
      <c r="AA363" s="864">
        <f>AA331</f>
        <v>642.74400000000003</v>
      </c>
      <c r="AB363" s="291"/>
      <c r="AC363" s="291"/>
      <c r="AD363" s="291"/>
      <c r="AE363" s="291"/>
      <c r="AF363" s="864">
        <f>AF331</f>
        <v>765.3309999999999</v>
      </c>
      <c r="AG363" s="291"/>
      <c r="AH363" s="291"/>
      <c r="AI363" s="291"/>
      <c r="AJ363" s="291"/>
      <c r="AK363" s="864">
        <f>AK331</f>
        <v>681.2650000000001</v>
      </c>
      <c r="AL363" s="291"/>
      <c r="AM363" s="291"/>
      <c r="AN363" s="291"/>
      <c r="AO363" s="291"/>
      <c r="AP363" s="864">
        <f>AP331</f>
        <v>588.96400000000006</v>
      </c>
      <c r="AQ363" s="291"/>
      <c r="AR363" s="291"/>
      <c r="AS363" s="291"/>
      <c r="AT363" s="291"/>
      <c r="AU363" s="864">
        <f>AU331</f>
        <v>735.11800000000005</v>
      </c>
      <c r="AV363" s="291"/>
      <c r="AW363" s="291"/>
      <c r="AX363" s="291"/>
      <c r="AY363" s="291"/>
      <c r="AZ363" s="864">
        <f>AZ331</f>
        <v>743.53100000000006</v>
      </c>
      <c r="BA363" s="291"/>
      <c r="BB363" s="291"/>
      <c r="BC363" s="291"/>
      <c r="BD363" s="291"/>
      <c r="BE363" s="864">
        <f>BE331</f>
        <v>845.26000000000022</v>
      </c>
      <c r="BF363" s="291"/>
      <c r="BG363" s="291"/>
      <c r="BH363" s="291"/>
      <c r="BI363" s="291"/>
      <c r="BJ363" s="864">
        <f>BJ331</f>
        <v>802.80600000000004</v>
      </c>
      <c r="BK363" s="291"/>
      <c r="BL363" s="291"/>
      <c r="BM363" s="291"/>
      <c r="BN363" s="291"/>
      <c r="BO363" s="864">
        <f>BO331</f>
        <v>720.46</v>
      </c>
      <c r="BP363" s="291"/>
      <c r="BQ363" s="291"/>
      <c r="BR363" s="291"/>
      <c r="BS363" s="291"/>
      <c r="BT363" s="864">
        <f>BT331</f>
        <v>793.94799999999998</v>
      </c>
      <c r="BU363" s="291"/>
      <c r="BV363" s="291"/>
      <c r="BW363" s="291"/>
      <c r="BX363" s="291"/>
      <c r="BY363" s="864">
        <f>BY331</f>
        <v>812.322</v>
      </c>
      <c r="BZ363" s="291"/>
      <c r="CA363" s="291"/>
      <c r="CB363" s="291"/>
      <c r="CC363" s="291"/>
      <c r="CD363" s="864">
        <f t="shared" ref="CD363:CM363" si="182">CD331</f>
        <v>883.47300000000007</v>
      </c>
      <c r="CE363" s="291">
        <f>CE331</f>
        <v>983.20600000000002</v>
      </c>
      <c r="CF363" s="291">
        <f>CF331</f>
        <v>931.59300000000007</v>
      </c>
      <c r="CG363" s="291">
        <f>CG331</f>
        <v>918.3946108796415</v>
      </c>
      <c r="CH363" s="291">
        <f>CH331</f>
        <v>787.11852744200758</v>
      </c>
      <c r="CI363" s="749">
        <f t="shared" si="182"/>
        <v>833.9473364428153</v>
      </c>
      <c r="CJ363" s="749">
        <f t="shared" si="182"/>
        <v>724.25125152085798</v>
      </c>
      <c r="CK363" s="749">
        <f t="shared" si="182"/>
        <v>530.27838006382603</v>
      </c>
      <c r="CL363" s="749">
        <f t="shared" si="182"/>
        <v>297.57845320747936</v>
      </c>
      <c r="CM363" s="749">
        <f t="shared" si="182"/>
        <v>52.601190064978141</v>
      </c>
      <c r="CN363" s="678"/>
      <c r="CO363" s="678"/>
      <c r="CP363" s="678"/>
      <c r="CQ363" s="693"/>
    </row>
    <row r="364" spans="2:95" ht="16.5" customHeight="1" x14ac:dyDescent="0.25">
      <c r="B364" s="262" t="s">
        <v>807</v>
      </c>
      <c r="C364" s="274"/>
      <c r="D364" s="274"/>
      <c r="E364" s="274"/>
      <c r="F364" s="274"/>
      <c r="G364" s="871">
        <f>G362+G363</f>
        <v>2136.4668793999999</v>
      </c>
      <c r="H364" s="810"/>
      <c r="I364" s="810"/>
      <c r="J364" s="810"/>
      <c r="K364" s="810"/>
      <c r="L364" s="871">
        <f>L362+L363</f>
        <v>2466.09768394</v>
      </c>
      <c r="M364" s="810"/>
      <c r="N364" s="810"/>
      <c r="O364" s="810"/>
      <c r="P364" s="810"/>
      <c r="Q364" s="871">
        <f>Q362+Q363</f>
        <v>2431.7128292799998</v>
      </c>
      <c r="R364" s="810"/>
      <c r="S364" s="810"/>
      <c r="T364" s="810"/>
      <c r="U364" s="810"/>
      <c r="V364" s="871">
        <f>V362+V363</f>
        <v>2659.0416455999998</v>
      </c>
      <c r="W364" s="810"/>
      <c r="X364" s="810"/>
      <c r="Y364" s="810"/>
      <c r="Z364" s="810"/>
      <c r="AA364" s="871">
        <f>AA362+AA363</f>
        <v>3605.1095983000005</v>
      </c>
      <c r="AB364" s="810"/>
      <c r="AC364" s="810"/>
      <c r="AD364" s="810"/>
      <c r="AE364" s="810"/>
      <c r="AF364" s="871">
        <f>AF362+AF363</f>
        <v>3497.5067591999996</v>
      </c>
      <c r="AG364" s="810"/>
      <c r="AH364" s="810"/>
      <c r="AI364" s="810"/>
      <c r="AJ364" s="810"/>
      <c r="AK364" s="871">
        <f>AK362+AK363</f>
        <v>2652.7505654199999</v>
      </c>
      <c r="AL364" s="810"/>
      <c r="AM364" s="810"/>
      <c r="AN364" s="810"/>
      <c r="AO364" s="810"/>
      <c r="AP364" s="871">
        <f>AP362+AP363</f>
        <v>3096.0829755999998</v>
      </c>
      <c r="AQ364" s="810"/>
      <c r="AR364" s="810"/>
      <c r="AS364" s="810"/>
      <c r="AT364" s="810"/>
      <c r="AU364" s="871">
        <f>AU362+AU363</f>
        <v>3732.5068039799999</v>
      </c>
      <c r="AV364" s="810"/>
      <c r="AW364" s="810"/>
      <c r="AX364" s="810"/>
      <c r="AY364" s="810"/>
      <c r="AZ364" s="871">
        <f>AZ362+AZ363</f>
        <v>3593.0274080000004</v>
      </c>
      <c r="BA364" s="810"/>
      <c r="BB364" s="810"/>
      <c r="BC364" s="810"/>
      <c r="BD364" s="810"/>
      <c r="BE364" s="871">
        <f>BE362+BE363</f>
        <v>2834.4747814900002</v>
      </c>
      <c r="BF364" s="810"/>
      <c r="BG364" s="810"/>
      <c r="BH364" s="810"/>
      <c r="BI364" s="810"/>
      <c r="BJ364" s="871">
        <f>BJ362+BJ363</f>
        <v>3493.2257347999998</v>
      </c>
      <c r="BK364" s="810"/>
      <c r="BL364" s="810"/>
      <c r="BM364" s="810"/>
      <c r="BN364" s="810"/>
      <c r="BO364" s="871">
        <f>BO362+BO363</f>
        <v>3081.0615579999999</v>
      </c>
      <c r="BP364" s="810"/>
      <c r="BQ364" s="810"/>
      <c r="BR364" s="810"/>
      <c r="BS364" s="810"/>
      <c r="BT364" s="871">
        <f>BT362+BT363</f>
        <v>5119.9185100000004</v>
      </c>
      <c r="BU364" s="810"/>
      <c r="BV364" s="810"/>
      <c r="BW364" s="810"/>
      <c r="BX364" s="810"/>
      <c r="BY364" s="871">
        <f>BY362+BY363</f>
        <v>7284.1895999999997</v>
      </c>
      <c r="BZ364" s="810"/>
      <c r="CA364" s="810"/>
      <c r="CB364" s="810"/>
      <c r="CC364" s="810"/>
      <c r="CD364" s="871">
        <f t="shared" ref="CD364:CM364" si="183">CD362+CD363</f>
        <v>7492.4888059999994</v>
      </c>
      <c r="CE364" s="274">
        <f>CE362+CE363</f>
        <v>10916.289550000001</v>
      </c>
      <c r="CF364" s="274">
        <f>CF362+CF363</f>
        <v>11204.404200000001</v>
      </c>
      <c r="CG364" s="274">
        <f>CG362+CG363</f>
        <v>11672.743835879641</v>
      </c>
      <c r="CH364" s="274">
        <f>CH362+CH363</f>
        <v>11862.493102442008</v>
      </c>
      <c r="CI364" s="274">
        <f t="shared" si="183"/>
        <v>11752.444681442814</v>
      </c>
      <c r="CJ364" s="274">
        <f t="shared" si="183"/>
        <v>11502.561680633007</v>
      </c>
      <c r="CK364" s="274">
        <f t="shared" si="183"/>
        <v>11177.572999934993</v>
      </c>
      <c r="CL364" s="274">
        <f t="shared" si="183"/>
        <v>10822.42839154502</v>
      </c>
      <c r="CM364" s="274">
        <f t="shared" si="183"/>
        <v>10463.016846595388</v>
      </c>
      <c r="CN364" s="274"/>
      <c r="CO364" s="274"/>
      <c r="CP364" s="274"/>
      <c r="CQ364" s="693"/>
    </row>
    <row r="365" spans="2:95" ht="16.5" customHeight="1" x14ac:dyDescent="0.25">
      <c r="C365" s="291"/>
      <c r="D365" s="291"/>
      <c r="E365" s="291"/>
      <c r="F365" s="291"/>
      <c r="G365" s="864"/>
      <c r="H365" s="291"/>
      <c r="I365" s="291"/>
      <c r="J365" s="291"/>
      <c r="K365" s="291"/>
      <c r="L365" s="864"/>
      <c r="M365" s="291"/>
      <c r="N365" s="291"/>
      <c r="O365" s="291"/>
      <c r="P365" s="291"/>
      <c r="Q365" s="864"/>
      <c r="R365" s="291"/>
      <c r="S365" s="291"/>
      <c r="T365" s="291"/>
      <c r="U365" s="291"/>
      <c r="V365" s="864"/>
      <c r="W365" s="291"/>
      <c r="X365" s="291"/>
      <c r="Y365" s="291"/>
      <c r="Z365" s="291"/>
      <c r="AA365" s="864"/>
      <c r="AB365" s="291"/>
      <c r="AC365" s="291"/>
      <c r="AD365" s="291"/>
      <c r="AE365" s="291"/>
      <c r="AF365" s="864"/>
      <c r="AG365" s="291"/>
      <c r="AH365" s="291"/>
      <c r="AI365" s="291"/>
      <c r="AJ365" s="291"/>
      <c r="AK365" s="864"/>
      <c r="AL365" s="291"/>
      <c r="AM365" s="291"/>
      <c r="AN365" s="291"/>
      <c r="AO365" s="291"/>
      <c r="AP365" s="864"/>
      <c r="AQ365" s="291"/>
      <c r="AR365" s="291"/>
      <c r="AS365" s="291"/>
      <c r="AT365" s="291"/>
      <c r="AU365" s="864"/>
      <c r="AV365" s="291"/>
      <c r="AW365" s="291"/>
      <c r="AX365" s="291"/>
      <c r="AY365" s="291"/>
      <c r="AZ365" s="864"/>
      <c r="BA365" s="291"/>
      <c r="BB365" s="291"/>
      <c r="BC365" s="291"/>
      <c r="BD365" s="291"/>
      <c r="BE365" s="864"/>
      <c r="BF365" s="291"/>
      <c r="BG365" s="291"/>
      <c r="BH365" s="291"/>
      <c r="BI365" s="291"/>
      <c r="BJ365" s="864"/>
      <c r="BK365" s="291"/>
      <c r="BL365" s="291"/>
      <c r="BM365" s="291"/>
      <c r="BN365" s="291"/>
      <c r="BO365" s="864"/>
      <c r="BP365" s="291"/>
      <c r="BQ365" s="291"/>
      <c r="BR365" s="291"/>
      <c r="BS365" s="291"/>
      <c r="BT365" s="864"/>
      <c r="BU365" s="291"/>
      <c r="BV365" s="291"/>
      <c r="BW365" s="291"/>
      <c r="BX365" s="291"/>
      <c r="BY365" s="864"/>
      <c r="BZ365" s="291"/>
      <c r="CA365" s="291"/>
      <c r="CB365" s="291"/>
      <c r="CC365" s="291"/>
      <c r="CD365" s="864"/>
      <c r="CE365" s="291"/>
      <c r="CF365" s="291"/>
      <c r="CG365" s="291"/>
      <c r="CH365" s="291"/>
      <c r="CI365" s="749"/>
      <c r="CJ365" s="749"/>
      <c r="CK365" s="749"/>
      <c r="CL365" s="749"/>
      <c r="CM365" s="749"/>
      <c r="CN365" s="291"/>
      <c r="CO365" s="291"/>
      <c r="CP365" s="291"/>
      <c r="CQ365" s="693"/>
    </row>
    <row r="366" spans="2:95" ht="16.5" customHeight="1" x14ac:dyDescent="0.25">
      <c r="B366" s="223" t="s">
        <v>404</v>
      </c>
      <c r="C366" s="224"/>
      <c r="D366" s="224"/>
      <c r="E366" s="224"/>
      <c r="F366" s="224"/>
      <c r="G366" s="867"/>
      <c r="H366" s="224"/>
      <c r="I366" s="224"/>
      <c r="J366" s="224"/>
      <c r="K366" s="224"/>
      <c r="L366" s="867"/>
      <c r="M366" s="224"/>
      <c r="N366" s="224"/>
      <c r="O366" s="224"/>
      <c r="P366" s="224"/>
      <c r="Q366" s="867"/>
      <c r="R366" s="224"/>
      <c r="S366" s="224"/>
      <c r="T366" s="224"/>
      <c r="U366" s="224"/>
      <c r="V366" s="867"/>
      <c r="W366" s="224"/>
      <c r="X366" s="224"/>
      <c r="Y366" s="224"/>
      <c r="Z366" s="224"/>
      <c r="AA366" s="867"/>
      <c r="AB366" s="224"/>
      <c r="AC366" s="224"/>
      <c r="AD366" s="224"/>
      <c r="AE366" s="224"/>
      <c r="AF366" s="867"/>
      <c r="AG366" s="224"/>
      <c r="AH366" s="224"/>
      <c r="AI366" s="224"/>
      <c r="AJ366" s="224"/>
      <c r="AK366" s="867"/>
      <c r="AL366" s="224"/>
      <c r="AM366" s="224"/>
      <c r="AN366" s="224"/>
      <c r="AO366" s="224"/>
      <c r="AP366" s="867"/>
      <c r="AQ366" s="224"/>
      <c r="AR366" s="224"/>
      <c r="AS366" s="224"/>
      <c r="AT366" s="224"/>
      <c r="AU366" s="867"/>
      <c r="AV366" s="224"/>
      <c r="AW366" s="224"/>
      <c r="AX366" s="224"/>
      <c r="AY366" s="224"/>
      <c r="AZ366" s="867"/>
      <c r="BA366" s="224"/>
      <c r="BB366" s="224"/>
      <c r="BC366" s="224"/>
      <c r="BD366" s="224"/>
      <c r="BE366" s="867"/>
      <c r="BF366" s="224"/>
      <c r="BG366" s="224"/>
      <c r="BH366" s="224"/>
      <c r="BI366" s="224"/>
      <c r="BJ366" s="867"/>
      <c r="BK366" s="224"/>
      <c r="BL366" s="224"/>
      <c r="BM366" s="224"/>
      <c r="BN366" s="224"/>
      <c r="BO366" s="867"/>
      <c r="BP366" s="224"/>
      <c r="BQ366" s="224"/>
      <c r="BR366" s="224"/>
      <c r="BS366" s="224"/>
      <c r="BT366" s="867"/>
      <c r="BU366" s="224"/>
      <c r="BV366" s="224"/>
      <c r="BW366" s="224"/>
      <c r="BX366" s="224"/>
      <c r="BY366" s="867"/>
      <c r="BZ366" s="224"/>
      <c r="CA366" s="224"/>
      <c r="CB366" s="224"/>
      <c r="CC366" s="224"/>
      <c r="CD366" s="867"/>
      <c r="CE366" s="224"/>
      <c r="CF366" s="224"/>
      <c r="CG366" s="224"/>
      <c r="CH366" s="224"/>
      <c r="CI366" s="224"/>
      <c r="CJ366" s="224"/>
      <c r="CK366" s="224"/>
      <c r="CL366" s="224"/>
      <c r="CM366" s="224"/>
      <c r="CN366" s="224"/>
      <c r="CO366" s="224"/>
      <c r="CP366" s="224"/>
      <c r="CQ366" s="693"/>
    </row>
    <row r="367" spans="2:95" ht="16.5" customHeight="1" x14ac:dyDescent="0.25">
      <c r="B367" s="305" t="s">
        <v>405</v>
      </c>
      <c r="C367" s="682"/>
      <c r="D367" s="682"/>
      <c r="E367" s="682"/>
      <c r="F367" s="682"/>
      <c r="G367" s="898">
        <f>G364/G114</f>
        <v>1.0105072051013786</v>
      </c>
      <c r="H367" s="682"/>
      <c r="I367" s="682"/>
      <c r="J367" s="682"/>
      <c r="K367" s="682"/>
      <c r="L367" s="898">
        <f>L364/L114</f>
        <v>1.0581022207853503</v>
      </c>
      <c r="M367" s="682"/>
      <c r="N367" s="682"/>
      <c r="O367" s="682"/>
      <c r="P367" s="682"/>
      <c r="Q367" s="898">
        <f>Q364/Q114</f>
        <v>0.984684098259754</v>
      </c>
      <c r="R367" s="682"/>
      <c r="S367" s="682"/>
      <c r="T367" s="682"/>
      <c r="U367" s="682"/>
      <c r="V367" s="898">
        <f>V364/V114</f>
        <v>1.0186685209540165</v>
      </c>
      <c r="W367" s="682"/>
      <c r="X367" s="682"/>
      <c r="Y367" s="682"/>
      <c r="Z367" s="682"/>
      <c r="AA367" s="898">
        <f>AA364/AA114</f>
        <v>1.3612483072891592</v>
      </c>
      <c r="AB367" s="682"/>
      <c r="AC367" s="682"/>
      <c r="AD367" s="682"/>
      <c r="AE367" s="682"/>
      <c r="AF367" s="898">
        <f>AF364/AF114</f>
        <v>1.3848594114824122</v>
      </c>
      <c r="AG367" s="682"/>
      <c r="AH367" s="682"/>
      <c r="AI367" s="682"/>
      <c r="AJ367" s="682"/>
      <c r="AK367" s="898">
        <f>AK364/AK114</f>
        <v>1.0998423944821112</v>
      </c>
      <c r="AL367" s="682"/>
      <c r="AM367" s="682"/>
      <c r="AN367" s="682"/>
      <c r="AO367" s="682"/>
      <c r="AP367" s="898">
        <f>AP364/AP114</f>
        <v>1.2396609504453211</v>
      </c>
      <c r="AQ367" s="682"/>
      <c r="AR367" s="682"/>
      <c r="AS367" s="682"/>
      <c r="AT367" s="682"/>
      <c r="AU367" s="898">
        <f>AU364/AU114</f>
        <v>1.3775792162815725</v>
      </c>
      <c r="AV367" s="682"/>
      <c r="AW367" s="682"/>
      <c r="AX367" s="682"/>
      <c r="AY367" s="682"/>
      <c r="AZ367" s="898">
        <f>AZ364/AZ114</f>
        <v>1.2369859801291925</v>
      </c>
      <c r="BA367" s="682"/>
      <c r="BB367" s="682"/>
      <c r="BC367" s="682"/>
      <c r="BD367" s="682"/>
      <c r="BE367" s="898">
        <f>BE364/BE114</f>
        <v>0.98263883480427128</v>
      </c>
      <c r="BF367" s="682"/>
      <c r="BG367" s="682"/>
      <c r="BH367" s="682"/>
      <c r="BI367" s="682"/>
      <c r="BJ367" s="898">
        <f>BJ364/BJ114</f>
        <v>1.2248367141153571</v>
      </c>
      <c r="BK367" s="682"/>
      <c r="BL367" s="682"/>
      <c r="BM367" s="682"/>
      <c r="BN367" s="682"/>
      <c r="BO367" s="898">
        <f>BO364/BO114</f>
        <v>1.0149149520897902</v>
      </c>
      <c r="BP367" s="682"/>
      <c r="BQ367" s="682"/>
      <c r="BR367" s="682"/>
      <c r="BS367" s="682"/>
      <c r="BT367" s="898">
        <f>BT364/BT114</f>
        <v>1.5439159125381841</v>
      </c>
      <c r="BU367" s="682"/>
      <c r="BV367" s="682"/>
      <c r="BW367" s="682"/>
      <c r="BX367" s="682"/>
      <c r="BY367" s="898">
        <f>BY364/BY114</f>
        <v>2.0183625199503457</v>
      </c>
      <c r="BZ367" s="682"/>
      <c r="CA367" s="682"/>
      <c r="CB367" s="682"/>
      <c r="CC367" s="682"/>
      <c r="CD367" s="898">
        <f t="shared" ref="CD367:CM367" si="184">CD364/CD114</f>
        <v>1.9407455390631152</v>
      </c>
      <c r="CE367" s="682">
        <f>CE364/CE114</f>
        <v>9.920779054951808</v>
      </c>
      <c r="CF367" s="682">
        <f>CF364/CF114</f>
        <v>10.65111093999983</v>
      </c>
      <c r="CG367" s="682">
        <f>CG364/CG114</f>
        <v>10.84296702589042</v>
      </c>
      <c r="CH367" s="682">
        <f>CH364/CH114</f>
        <v>11.448399125331191</v>
      </c>
      <c r="CI367" s="798">
        <f t="shared" si="184"/>
        <v>2.7555619427783946</v>
      </c>
      <c r="CJ367" s="798">
        <f t="shared" si="184"/>
        <v>2.4937576222413327</v>
      </c>
      <c r="CK367" s="798">
        <f t="shared" si="184"/>
        <v>2.2642428415275733</v>
      </c>
      <c r="CL367" s="798">
        <f t="shared" si="184"/>
        <v>2.0588368747447396</v>
      </c>
      <c r="CM367" s="798">
        <f t="shared" si="184"/>
        <v>1.874454401898946</v>
      </c>
      <c r="CN367" s="682"/>
      <c r="CO367" s="682"/>
      <c r="CP367" s="682"/>
      <c r="CQ367" s="694" t="s">
        <v>876</v>
      </c>
    </row>
    <row r="368" spans="2:95" ht="16.5" customHeight="1" x14ac:dyDescent="0.25">
      <c r="B368" s="305" t="s">
        <v>406</v>
      </c>
      <c r="C368" s="682"/>
      <c r="D368" s="682"/>
      <c r="E368" s="682"/>
      <c r="F368" s="682"/>
      <c r="G368" s="898">
        <f>G364/G355</f>
        <v>7.5575246711992508</v>
      </c>
      <c r="H368" s="682"/>
      <c r="I368" s="682"/>
      <c r="J368" s="682"/>
      <c r="K368" s="682"/>
      <c r="L368" s="898">
        <f>L364/L355</f>
        <v>7.8095930810252812</v>
      </c>
      <c r="M368" s="682"/>
      <c r="N368" s="682"/>
      <c r="O368" s="682"/>
      <c r="P368" s="682"/>
      <c r="Q368" s="898">
        <f>Q364/Q355</f>
        <v>7.0695697265741959</v>
      </c>
      <c r="R368" s="682"/>
      <c r="S368" s="682"/>
      <c r="T368" s="682"/>
      <c r="U368" s="682"/>
      <c r="V368" s="898">
        <f>V364/V355</f>
        <v>8.8622609763332285</v>
      </c>
      <c r="W368" s="682"/>
      <c r="X368" s="682"/>
      <c r="Y368" s="682"/>
      <c r="Z368" s="682"/>
      <c r="AA368" s="898">
        <f>AA364/AA355</f>
        <v>10.581633420801591</v>
      </c>
      <c r="AB368" s="682"/>
      <c r="AC368" s="682"/>
      <c r="AD368" s="682"/>
      <c r="AE368" s="682"/>
      <c r="AF368" s="898">
        <f>AF364/AF355</f>
        <v>11.053717515881283</v>
      </c>
      <c r="AG368" s="682"/>
      <c r="AH368" s="682"/>
      <c r="AI368" s="682"/>
      <c r="AJ368" s="682"/>
      <c r="AK368" s="898">
        <f>AK364/AK355</f>
        <v>8.7598092850821629</v>
      </c>
      <c r="AL368" s="682"/>
      <c r="AM368" s="682"/>
      <c r="AN368" s="682"/>
      <c r="AO368" s="682"/>
      <c r="AP368" s="898">
        <f>AP364/AP355</f>
        <v>10.085847861538314</v>
      </c>
      <c r="AQ368" s="682"/>
      <c r="AR368" s="682"/>
      <c r="AS368" s="682"/>
      <c r="AT368" s="682"/>
      <c r="AU368" s="898">
        <f>AU364/AU355</f>
        <v>12.158438263195105</v>
      </c>
      <c r="AV368" s="682"/>
      <c r="AW368" s="682"/>
      <c r="AX368" s="682"/>
      <c r="AY368" s="682"/>
      <c r="AZ368" s="898">
        <f>AZ364/AZ355</f>
        <v>10.222536660587632</v>
      </c>
      <c r="BA368" s="682"/>
      <c r="BB368" s="682"/>
      <c r="BC368" s="682"/>
      <c r="BD368" s="682"/>
      <c r="BE368" s="898">
        <f>BE364/BE355</f>
        <v>21.590076485611586</v>
      </c>
      <c r="BF368" s="682"/>
      <c r="BG368" s="682"/>
      <c r="BH368" s="682"/>
      <c r="BI368" s="682"/>
      <c r="BJ368" s="898">
        <f>BJ364/BJ355</f>
        <v>10.721105785585602</v>
      </c>
      <c r="BK368" s="682"/>
      <c r="BL368" s="682"/>
      <c r="BM368" s="682"/>
      <c r="BN368" s="682"/>
      <c r="BO368" s="898">
        <f>BO364/BO355</f>
        <v>9.3909035874302695</v>
      </c>
      <c r="BP368" s="682"/>
      <c r="BQ368" s="682"/>
      <c r="BR368" s="682"/>
      <c r="BS368" s="682"/>
      <c r="BT368" s="898">
        <f>BT364/BT355</f>
        <v>13.812903696629281</v>
      </c>
      <c r="BU368" s="682"/>
      <c r="BV368" s="682"/>
      <c r="BW368" s="682"/>
      <c r="BX368" s="682"/>
      <c r="BY368" s="898">
        <f>BY364/BY355</f>
        <v>16.857530727627445</v>
      </c>
      <c r="BZ368" s="682"/>
      <c r="CA368" s="682"/>
      <c r="CB368" s="682"/>
      <c r="CC368" s="682"/>
      <c r="CD368" s="898">
        <f t="shared" ref="CD368:CM368" si="185">CD364/CD355</f>
        <v>15.339284403143827</v>
      </c>
      <c r="CE368" s="682">
        <f>CE364/CE355</f>
        <v>74.535290322140156</v>
      </c>
      <c r="CF368" s="682">
        <f>CF364/CF355</f>
        <v>73.522607189259503</v>
      </c>
      <c r="CG368" s="682">
        <f>CG364/CG355</f>
        <v>76.863434293145332</v>
      </c>
      <c r="CH368" s="682">
        <f>CH364/CH355</f>
        <v>85.291882661280766</v>
      </c>
      <c r="CI368" s="798">
        <f t="shared" si="185"/>
        <v>19.852377605139932</v>
      </c>
      <c r="CJ368" s="798">
        <f t="shared" si="185"/>
        <v>17.200882636943181</v>
      </c>
      <c r="CK368" s="798">
        <f t="shared" si="185"/>
        <v>15.02572698397541</v>
      </c>
      <c r="CL368" s="798">
        <f t="shared" si="185"/>
        <v>12.978762304118103</v>
      </c>
      <c r="CM368" s="798">
        <f t="shared" si="185"/>
        <v>11.264376851964169</v>
      </c>
      <c r="CN368" s="682"/>
      <c r="CO368" s="682"/>
      <c r="CP368" s="682"/>
      <c r="CQ368" s="693"/>
    </row>
    <row r="369" spans="2:95" ht="16.5" customHeight="1" x14ac:dyDescent="0.25">
      <c r="B369" s="305" t="s">
        <v>407</v>
      </c>
      <c r="C369" s="682"/>
      <c r="D369" s="682"/>
      <c r="E369" s="682"/>
      <c r="F369" s="682"/>
      <c r="G369" s="898">
        <f>G364/G126</f>
        <v>11.157766842143754</v>
      </c>
      <c r="H369" s="682"/>
      <c r="I369" s="682"/>
      <c r="J369" s="682"/>
      <c r="K369" s="682"/>
      <c r="L369" s="898">
        <f>L364/L126</f>
        <v>11.237577791579904</v>
      </c>
      <c r="M369" s="682"/>
      <c r="N369" s="682"/>
      <c r="O369" s="682"/>
      <c r="P369" s="682"/>
      <c r="Q369" s="898">
        <f>Q364/Q126</f>
        <v>10.000751910443215</v>
      </c>
      <c r="R369" s="682"/>
      <c r="S369" s="682"/>
      <c r="T369" s="682"/>
      <c r="U369" s="682"/>
      <c r="V369" s="898">
        <f>V364/V126</f>
        <v>13.851483818136341</v>
      </c>
      <c r="W369" s="682"/>
      <c r="X369" s="682"/>
      <c r="Y369" s="682"/>
      <c r="Z369" s="682"/>
      <c r="AA369" s="898">
        <f>AA364/AA126</f>
        <v>15.577134059956087</v>
      </c>
      <c r="AB369" s="682"/>
      <c r="AC369" s="682"/>
      <c r="AD369" s="682"/>
      <c r="AE369" s="682"/>
      <c r="AF369" s="898">
        <f>AF364/AF126</f>
        <v>16.435574829065633</v>
      </c>
      <c r="AG369" s="682"/>
      <c r="AH369" s="682"/>
      <c r="AI369" s="682"/>
      <c r="AJ369" s="682"/>
      <c r="AK369" s="898">
        <f>AK364/AK126</f>
        <v>12.997308012836855</v>
      </c>
      <c r="AL369" s="682"/>
      <c r="AM369" s="682"/>
      <c r="AN369" s="682"/>
      <c r="AO369" s="682"/>
      <c r="AP369" s="898">
        <f>AP364/AP126</f>
        <v>14.280430318349127</v>
      </c>
      <c r="AQ369" s="682"/>
      <c r="AR369" s="682"/>
      <c r="AS369" s="682"/>
      <c r="AT369" s="682"/>
      <c r="AU369" s="898">
        <f>AU364/AU126</f>
        <v>17.088902438821172</v>
      </c>
      <c r="AV369" s="682"/>
      <c r="AW369" s="682"/>
      <c r="AX369" s="682"/>
      <c r="AY369" s="682"/>
      <c r="AZ369" s="898">
        <f>AZ364/AZ126</f>
        <v>13.496408652961268</v>
      </c>
      <c r="BA369" s="682"/>
      <c r="BB369" s="682"/>
      <c r="BC369" s="682"/>
      <c r="BD369" s="682"/>
      <c r="BE369" s="898">
        <f>BE364/BE126</f>
        <v>63.963415207158143</v>
      </c>
      <c r="BF369" s="682"/>
      <c r="BG369" s="682"/>
      <c r="BH369" s="682"/>
      <c r="BI369" s="682"/>
      <c r="BJ369" s="898">
        <f>BJ364/BJ126</f>
        <v>14.822656172242308</v>
      </c>
      <c r="BK369" s="682"/>
      <c r="BL369" s="682"/>
      <c r="BM369" s="682"/>
      <c r="BN369" s="682"/>
      <c r="BO369" s="898">
        <f>BO364/BO126</f>
        <v>12.853770146974755</v>
      </c>
      <c r="BP369" s="682"/>
      <c r="BQ369" s="682"/>
      <c r="BR369" s="682"/>
      <c r="BS369" s="682"/>
      <c r="BT369" s="898">
        <f>BT364/BT126</f>
        <v>18.197166990098037</v>
      </c>
      <c r="BU369" s="682"/>
      <c r="BV369" s="682"/>
      <c r="BW369" s="682"/>
      <c r="BX369" s="682"/>
      <c r="BY369" s="898">
        <f>BY364/BY126</f>
        <v>21.674233209155076</v>
      </c>
      <c r="BZ369" s="682"/>
      <c r="CA369" s="682"/>
      <c r="CB369" s="682"/>
      <c r="CC369" s="682"/>
      <c r="CD369" s="898">
        <f t="shared" ref="CD369:CM369" si="186">CD364/CD126</f>
        <v>19.475021784504712</v>
      </c>
      <c r="CE369" s="682">
        <f>CE364/CE126</f>
        <v>91.841574541477385</v>
      </c>
      <c r="CF369" s="682">
        <f>CF364/CF126</f>
        <v>90.097252309845004</v>
      </c>
      <c r="CG369" s="682">
        <f>CG364/CG126</f>
        <v>94.947376747867779</v>
      </c>
      <c r="CH369" s="682">
        <f>CH364/CH126</f>
        <v>106.63766422092115</v>
      </c>
      <c r="CI369" s="798">
        <f t="shared" si="186"/>
        <v>24.617646040318146</v>
      </c>
      <c r="CJ369" s="798">
        <f t="shared" si="186"/>
        <v>21.113807935195059</v>
      </c>
      <c r="CK369" s="798">
        <f t="shared" si="186"/>
        <v>18.286143749357933</v>
      </c>
      <c r="CL369" s="798">
        <f t="shared" si="186"/>
        <v>15.625300872325941</v>
      </c>
      <c r="CM369" s="798">
        <f t="shared" si="186"/>
        <v>13.433355622916491</v>
      </c>
      <c r="CN369" s="682"/>
      <c r="CO369" s="682"/>
      <c r="CP369" s="682"/>
      <c r="CQ369" s="693"/>
    </row>
    <row r="370" spans="2:95" ht="16.5" customHeight="1" x14ac:dyDescent="0.25">
      <c r="B370" s="305" t="s">
        <v>808</v>
      </c>
      <c r="C370" s="682"/>
      <c r="D370" s="682"/>
      <c r="E370" s="682"/>
      <c r="F370" s="682"/>
      <c r="G370" s="898">
        <f>G360/G137</f>
        <v>13.758474576271187</v>
      </c>
      <c r="H370" s="682"/>
      <c r="I370" s="682"/>
      <c r="J370" s="682"/>
      <c r="K370" s="682"/>
      <c r="L370" s="898">
        <f>L360/L137</f>
        <v>13.650847457627119</v>
      </c>
      <c r="M370" s="682"/>
      <c r="N370" s="682"/>
      <c r="O370" s="682"/>
      <c r="P370" s="682"/>
      <c r="Q370" s="898">
        <f>Q360/Q137</f>
        <v>11.927927927927927</v>
      </c>
      <c r="R370" s="682"/>
      <c r="S370" s="682"/>
      <c r="T370" s="682"/>
      <c r="U370" s="682"/>
      <c r="V370" s="898">
        <f>V360/V137</f>
        <v>17.482889733840302</v>
      </c>
      <c r="W370" s="682"/>
      <c r="X370" s="682"/>
      <c r="Y370" s="682"/>
      <c r="Z370" s="682"/>
      <c r="AA370" s="898">
        <f>AA360/AA137</f>
        <v>18.72159090909091</v>
      </c>
      <c r="AB370" s="682"/>
      <c r="AC370" s="682"/>
      <c r="AD370" s="682"/>
      <c r="AE370" s="682"/>
      <c r="AF370" s="898">
        <f>AF360/AF137</f>
        <v>20.716663703434065</v>
      </c>
      <c r="AG370" s="682"/>
      <c r="AH370" s="682"/>
      <c r="AI370" s="682"/>
      <c r="AJ370" s="682"/>
      <c r="AK370" s="898">
        <f>AK360/AK137</f>
        <v>16.392436603419053</v>
      </c>
      <c r="AL370" s="682"/>
      <c r="AM370" s="682"/>
      <c r="AN370" s="682"/>
      <c r="AO370" s="682"/>
      <c r="AP370" s="898">
        <f>AP360/AP137</f>
        <v>17.786788424592427</v>
      </c>
      <c r="AQ370" s="682"/>
      <c r="AR370" s="682"/>
      <c r="AS370" s="682"/>
      <c r="AT370" s="682"/>
      <c r="AU370" s="898">
        <f>AU360/AU137</f>
        <v>31.432019420727627</v>
      </c>
      <c r="AV370" s="682"/>
      <c r="AW370" s="682"/>
      <c r="AX370" s="682"/>
      <c r="AY370" s="682"/>
      <c r="AZ370" s="898">
        <f>AZ360/AZ137</f>
        <v>16.325001764557612</v>
      </c>
      <c r="BA370" s="682"/>
      <c r="BB370" s="682"/>
      <c r="BC370" s="682"/>
      <c r="BD370" s="682"/>
      <c r="BE370" s="898">
        <f>BE360/BE137</f>
        <v>216.10155149266916</v>
      </c>
      <c r="BF370" s="682"/>
      <c r="BG370" s="682"/>
      <c r="BH370" s="682"/>
      <c r="BI370" s="682"/>
      <c r="BJ370" s="898">
        <f>BJ360/BJ137</f>
        <v>17.112452199465714</v>
      </c>
      <c r="BK370" s="682"/>
      <c r="BL370" s="682"/>
      <c r="BM370" s="682"/>
      <c r="BN370" s="682"/>
      <c r="BO370" s="898">
        <f>BO360/BO137</f>
        <v>15.212315987549701</v>
      </c>
      <c r="BP370" s="682"/>
      <c r="BQ370" s="682"/>
      <c r="BR370" s="682"/>
      <c r="BS370" s="682"/>
      <c r="BT370" s="898">
        <f>BT360/BT137</f>
        <v>24.697815147639815</v>
      </c>
      <c r="BU370" s="682"/>
      <c r="BV370" s="682"/>
      <c r="BW370" s="682"/>
      <c r="BX370" s="682"/>
      <c r="BY370" s="898">
        <f>BY360/BY137</f>
        <v>30.997612866763102</v>
      </c>
      <c r="BZ370" s="682"/>
      <c r="CA370" s="682"/>
      <c r="CB370" s="682"/>
      <c r="CC370" s="682"/>
      <c r="CD370" s="898">
        <f t="shared" ref="CD370:CM370" si="187">CD360/CD137</f>
        <v>28.120121032387633</v>
      </c>
      <c r="CE370" s="682">
        <f>CE360/CE137</f>
        <v>125.24061365241076</v>
      </c>
      <c r="CF370" s="682">
        <f>CF360/CF137</f>
        <v>125.52464228546316</v>
      </c>
      <c r="CG370" s="682">
        <f>CG360/CG137</f>
        <v>136.04626613206514</v>
      </c>
      <c r="CH370" s="682">
        <f>CH360/CH137</f>
        <v>160.56948055034465</v>
      </c>
      <c r="CI370" s="798">
        <f t="shared" si="187"/>
        <v>35.314851706266651</v>
      </c>
      <c r="CJ370" s="798">
        <f t="shared" si="187"/>
        <v>29.4958010889622</v>
      </c>
      <c r="CK370" s="798">
        <f t="shared" si="187"/>
        <v>25.461236424939134</v>
      </c>
      <c r="CL370" s="798">
        <f t="shared" si="187"/>
        <v>21.822208885606056</v>
      </c>
      <c r="CM370" s="798">
        <f t="shared" si="187"/>
        <v>18.89932285211373</v>
      </c>
      <c r="CN370" s="682"/>
      <c r="CO370" s="682"/>
      <c r="CP370" s="682"/>
      <c r="CQ370" s="693"/>
    </row>
    <row r="371" spans="2:95" ht="16.5" customHeight="1" x14ac:dyDescent="0.25">
      <c r="B371" s="262" t="s">
        <v>410</v>
      </c>
      <c r="C371" s="682"/>
      <c r="D371" s="682"/>
      <c r="E371" s="682"/>
      <c r="F371" s="682"/>
      <c r="G371" s="905"/>
      <c r="H371" s="682"/>
      <c r="I371" s="682"/>
      <c r="J371" s="682"/>
      <c r="K371" s="682"/>
      <c r="L371" s="905"/>
      <c r="M371" s="682"/>
      <c r="N371" s="682"/>
      <c r="O371" s="682"/>
      <c r="P371" s="682"/>
      <c r="Q371" s="905"/>
      <c r="R371" s="682"/>
      <c r="S371" s="682"/>
      <c r="T371" s="682"/>
      <c r="U371" s="682"/>
      <c r="V371" s="905"/>
      <c r="W371" s="682"/>
      <c r="X371" s="682"/>
      <c r="Y371" s="682"/>
      <c r="Z371" s="682"/>
      <c r="AA371" s="905"/>
      <c r="AB371" s="682"/>
      <c r="AC371" s="682"/>
      <c r="AD371" s="682"/>
      <c r="AE371" s="682"/>
      <c r="AF371" s="905"/>
      <c r="AG371" s="682"/>
      <c r="AH371" s="682"/>
      <c r="AI371" s="682"/>
      <c r="AJ371" s="682"/>
      <c r="AK371" s="905"/>
      <c r="AL371" s="682"/>
      <c r="AM371" s="682"/>
      <c r="AN371" s="682"/>
      <c r="AO371" s="682"/>
      <c r="AP371" s="905"/>
      <c r="AQ371" s="682"/>
      <c r="AR371" s="682"/>
      <c r="AS371" s="682"/>
      <c r="AT371" s="682"/>
      <c r="AU371" s="905"/>
      <c r="AV371" s="682"/>
      <c r="AW371" s="682"/>
      <c r="AX371" s="682"/>
      <c r="AY371" s="682"/>
      <c r="AZ371" s="905"/>
      <c r="BA371" s="682"/>
      <c r="BB371" s="682"/>
      <c r="BC371" s="682"/>
      <c r="BD371" s="682"/>
      <c r="BE371" s="905">
        <f>IFERROR(BE360/BE156,0)</f>
        <v>12.699439353732819</v>
      </c>
      <c r="BF371" s="682"/>
      <c r="BG371" s="682"/>
      <c r="BH371" s="682"/>
      <c r="BI371" s="682"/>
      <c r="BJ371" s="905">
        <f>IFERROR(BJ360/BJ156,0)</f>
        <v>17.07899379665837</v>
      </c>
      <c r="BK371" s="682"/>
      <c r="BL371" s="682"/>
      <c r="BM371" s="682"/>
      <c r="BN371" s="682"/>
      <c r="BO371" s="905">
        <f>IFERROR(BO360/BO156,0)</f>
        <v>13.216809950393605</v>
      </c>
      <c r="BP371" s="682"/>
      <c r="BQ371" s="682"/>
      <c r="BR371" s="682"/>
      <c r="BS371" s="682"/>
      <c r="BT371" s="905">
        <f>IFERROR(BT360/BT156,0)</f>
        <v>21.958349457890034</v>
      </c>
      <c r="BU371" s="682"/>
      <c r="BV371" s="682"/>
      <c r="BW371" s="682"/>
      <c r="BX371" s="682"/>
      <c r="BY371" s="905">
        <f>IFERROR(BY360/BY156,0)</f>
        <v>25.495452325050035</v>
      </c>
      <c r="BZ371" s="682"/>
      <c r="CA371" s="682"/>
      <c r="CB371" s="682"/>
      <c r="CC371" s="682"/>
      <c r="CD371" s="905">
        <f t="shared" ref="CD371:CM371" si="188">IFERROR(CD360/CD156,0)</f>
        <v>23.715003699517382</v>
      </c>
      <c r="CE371" s="811">
        <f>IFERROR(CE360/CE156,0)</f>
        <v>120.61371654404719</v>
      </c>
      <c r="CF371" s="811">
        <f>IFERROR(CF360/CF156,0)</f>
        <v>120.64641136966247</v>
      </c>
      <c r="CG371" s="811">
        <f>IFERROR(CG360/CG156,0)</f>
        <v>120.85858941277434</v>
      </c>
      <c r="CH371" s="811">
        <f>IFERROR(CH360/CH156,0)</f>
        <v>140.65436998994485</v>
      </c>
      <c r="CI371" s="811">
        <f t="shared" si="188"/>
        <v>32.55839573485229</v>
      </c>
      <c r="CJ371" s="811">
        <f t="shared" si="188"/>
        <v>28.14301163028075</v>
      </c>
      <c r="CK371" s="811">
        <f t="shared" si="188"/>
        <v>24.767675930194166</v>
      </c>
      <c r="CL371" s="811">
        <f t="shared" si="188"/>
        <v>21.474612110774853</v>
      </c>
      <c r="CM371" s="811">
        <f t="shared" si="188"/>
        <v>18.722427393273275</v>
      </c>
      <c r="CN371" s="682"/>
      <c r="CO371" s="682"/>
      <c r="CP371" s="682"/>
      <c r="CQ371" s="693"/>
    </row>
    <row r="372" spans="2:95" ht="16.5" customHeight="1" x14ac:dyDescent="0.25">
      <c r="B372" s="262" t="s">
        <v>809</v>
      </c>
      <c r="C372" s="241"/>
      <c r="D372" s="241"/>
      <c r="E372" s="241"/>
      <c r="F372" s="241"/>
      <c r="G372" s="906">
        <f>G210/G362</f>
        <v>8.7124006184697678E-2</v>
      </c>
      <c r="H372" s="241"/>
      <c r="I372" s="241"/>
      <c r="J372" s="241"/>
      <c r="K372" s="241"/>
      <c r="L372" s="906">
        <f>L210/L362</f>
        <v>0.13927566507550795</v>
      </c>
      <c r="M372" s="241"/>
      <c r="N372" s="241"/>
      <c r="O372" s="241"/>
      <c r="P372" s="241"/>
      <c r="Q372" s="906">
        <f>Q210/Q362</f>
        <v>0.15733465066983324</v>
      </c>
      <c r="R372" s="241"/>
      <c r="S372" s="241"/>
      <c r="T372" s="241"/>
      <c r="U372" s="241"/>
      <c r="V372" s="906">
        <f>V210/V362</f>
        <v>7.5037922421215111E-2</v>
      </c>
      <c r="W372" s="241"/>
      <c r="X372" s="241"/>
      <c r="Y372" s="241"/>
      <c r="Z372" s="241"/>
      <c r="AA372" s="906">
        <f>AA210/AA362</f>
        <v>7.1197491667144563E-2</v>
      </c>
      <c r="AB372" s="241"/>
      <c r="AC372" s="241"/>
      <c r="AD372" s="241"/>
      <c r="AE372" s="241"/>
      <c r="AF372" s="906">
        <f>AF210/AF362</f>
        <v>9.8318345404929106E-2</v>
      </c>
      <c r="AG372" s="241"/>
      <c r="AH372" s="241"/>
      <c r="AI372" s="241"/>
      <c r="AJ372" s="241"/>
      <c r="AK372" s="906">
        <f>AK210/AK362</f>
        <v>9.3901778053627913E-2</v>
      </c>
      <c r="AL372" s="241"/>
      <c r="AM372" s="241"/>
      <c r="AN372" s="241"/>
      <c r="AO372" s="241"/>
      <c r="AP372" s="906">
        <f>AP210/AP362</f>
        <v>8.6011075700303932E-2</v>
      </c>
      <c r="AQ372" s="241"/>
      <c r="AR372" s="241"/>
      <c r="AS372" s="241"/>
      <c r="AT372" s="241"/>
      <c r="AU372" s="906">
        <f>AU210/AU362</f>
        <v>2.5750079501703174E-2</v>
      </c>
      <c r="AV372" s="241"/>
      <c r="AW372" s="241"/>
      <c r="AX372" s="241"/>
      <c r="AY372" s="241"/>
      <c r="AZ372" s="906">
        <f>AZ210/AZ362</f>
        <v>2.2109520764133559E-2</v>
      </c>
      <c r="BA372" s="241"/>
      <c r="BB372" s="241"/>
      <c r="BC372" s="241"/>
      <c r="BD372" s="241"/>
      <c r="BE372" s="906">
        <f>BE210/BE362</f>
        <v>9.5963996334781684E-2</v>
      </c>
      <c r="BF372" s="241"/>
      <c r="BG372" s="241"/>
      <c r="BH372" s="241"/>
      <c r="BI372" s="241"/>
      <c r="BJ372" s="906">
        <f>BJ210/BJ362</f>
        <v>6.1139902399737635E-2</v>
      </c>
      <c r="BK372" s="241"/>
      <c r="BL372" s="241"/>
      <c r="BM372" s="241"/>
      <c r="BN372" s="241"/>
      <c r="BO372" s="906">
        <f>BO210/BO362</f>
        <v>4.5484592533679924E-2</v>
      </c>
      <c r="BP372" s="241"/>
      <c r="BQ372" s="241"/>
      <c r="BR372" s="241"/>
      <c r="BS372" s="241"/>
      <c r="BT372" s="906">
        <f>BT210/BT362</f>
        <v>-8.705098639241524E-3</v>
      </c>
      <c r="BU372" s="241"/>
      <c r="BV372" s="241"/>
      <c r="BW372" s="241"/>
      <c r="BX372" s="241"/>
      <c r="BY372" s="906">
        <f>BY210/BY362</f>
        <v>7.0871350952853183E-3</v>
      </c>
      <c r="BZ372" s="241"/>
      <c r="CA372" s="241"/>
      <c r="CB372" s="241"/>
      <c r="CC372" s="241"/>
      <c r="CD372" s="906">
        <f t="shared" ref="CD372:CM372" si="189">CD210/CD362</f>
        <v>1.9421197311023645E-2</v>
      </c>
      <c r="CE372" s="268">
        <f>CE210/CE362</f>
        <v>-7.9681198292145625E-3</v>
      </c>
      <c r="CF372" s="268">
        <f>CF210/CF362</f>
        <v>9.5198868251370194E-3</v>
      </c>
      <c r="CG372" s="268">
        <f>CG210/CG362</f>
        <v>5.0052669849354322E-3</v>
      </c>
      <c r="CH372" s="268">
        <f>CH210/CH362</f>
        <v>1.5603994453400584E-2</v>
      </c>
      <c r="CI372" s="268">
        <f t="shared" si="189"/>
        <v>1.9189972478505447E-2</v>
      </c>
      <c r="CJ372" s="268">
        <f t="shared" si="189"/>
        <v>2.5949900660357669E-2</v>
      </c>
      <c r="CK372" s="268">
        <f t="shared" si="189"/>
        <v>3.4654143106776975E-2</v>
      </c>
      <c r="CL372" s="268">
        <f t="shared" si="189"/>
        <v>3.9211953545585175E-2</v>
      </c>
      <c r="CM372" s="268">
        <f t="shared" si="189"/>
        <v>4.1302602828617925E-2</v>
      </c>
      <c r="CN372" s="241"/>
      <c r="CO372" s="241"/>
      <c r="CP372" s="241"/>
      <c r="CQ372" s="693"/>
    </row>
    <row r="373" spans="2:95" ht="16.5" customHeight="1" x14ac:dyDescent="0.25">
      <c r="B373" s="305" t="s">
        <v>810</v>
      </c>
      <c r="C373" s="241"/>
      <c r="D373" s="241"/>
      <c r="E373" s="241"/>
      <c r="F373" s="241"/>
      <c r="G373" s="70"/>
      <c r="H373" s="241"/>
      <c r="I373" s="241"/>
      <c r="J373" s="241"/>
      <c r="K373" s="241"/>
      <c r="L373" s="70"/>
      <c r="M373" s="241"/>
      <c r="N373" s="241"/>
      <c r="O373" s="241"/>
      <c r="P373" s="241"/>
      <c r="Q373" s="70"/>
      <c r="R373" s="241"/>
      <c r="S373" s="241"/>
      <c r="T373" s="241"/>
      <c r="U373" s="241"/>
      <c r="V373" s="70"/>
      <c r="W373" s="241"/>
      <c r="X373" s="241"/>
      <c r="Y373" s="241"/>
      <c r="Z373" s="241"/>
      <c r="AA373" s="70"/>
      <c r="AB373" s="241"/>
      <c r="AC373" s="241"/>
      <c r="AD373" s="241"/>
      <c r="AE373" s="241"/>
      <c r="AF373" s="70"/>
      <c r="AG373" s="241"/>
      <c r="AH373" s="241"/>
      <c r="AI373" s="241"/>
      <c r="AJ373" s="241"/>
      <c r="AK373" s="70"/>
      <c r="AL373" s="241"/>
      <c r="AM373" s="241"/>
      <c r="AN373" s="241"/>
      <c r="AO373" s="241"/>
      <c r="AP373" s="70"/>
      <c r="AQ373" s="241"/>
      <c r="AR373" s="241"/>
      <c r="AS373" s="241"/>
      <c r="AT373" s="241"/>
      <c r="AU373" s="70"/>
      <c r="AV373" s="241"/>
      <c r="AW373" s="241"/>
      <c r="AX373" s="241"/>
      <c r="AY373" s="241"/>
      <c r="AZ373" s="70"/>
      <c r="BA373" s="241"/>
      <c r="BB373" s="241"/>
      <c r="BC373" s="241"/>
      <c r="BD373" s="241"/>
      <c r="BE373" s="70">
        <f>BE140/BE360</f>
        <v>1.2607160867372668E-2</v>
      </c>
      <c r="BF373" s="241"/>
      <c r="BG373" s="241"/>
      <c r="BH373" s="241"/>
      <c r="BI373" s="241"/>
      <c r="BJ373" s="70">
        <f>BJ140/BJ360</f>
        <v>1.2004801920768308E-2</v>
      </c>
      <c r="BK373" s="241"/>
      <c r="BL373" s="241"/>
      <c r="BM373" s="241"/>
      <c r="BN373" s="241"/>
      <c r="BO373" s="70">
        <f>BO140/BO360</f>
        <v>1.4013605442176872E-2</v>
      </c>
      <c r="BP373" s="241"/>
      <c r="BQ373" s="241"/>
      <c r="BR373" s="241"/>
      <c r="BS373" s="241"/>
      <c r="BT373" s="70">
        <f>BT140/BT360</f>
        <v>8.1481481481481492E-3</v>
      </c>
      <c r="BU373" s="241"/>
      <c r="BV373" s="241"/>
      <c r="BW373" s="241"/>
      <c r="BX373" s="241"/>
      <c r="BY373" s="70">
        <f>BY140/BY360</f>
        <v>5.6999999999999993E-3</v>
      </c>
      <c r="BZ373" s="241"/>
      <c r="CA373" s="241"/>
      <c r="CB373" s="241"/>
      <c r="CC373" s="241"/>
      <c r="CD373" s="241">
        <f t="shared" ref="CD373:CM373" si="190">CD140/CD360</f>
        <v>5.6310679611650477E-3</v>
      </c>
      <c r="CE373" s="241"/>
      <c r="CF373" s="241"/>
      <c r="CG373" s="241"/>
      <c r="CH373" s="241"/>
      <c r="CI373" s="369">
        <f t="shared" si="190"/>
        <v>3.4782608695652171E-3</v>
      </c>
      <c r="CJ373" s="369">
        <f t="shared" si="190"/>
        <v>3.6521739130434784E-3</v>
      </c>
      <c r="CK373" s="369">
        <f t="shared" si="190"/>
        <v>3.8260869565217392E-3</v>
      </c>
      <c r="CL373" s="369">
        <f t="shared" si="190"/>
        <v>4.0000000000000001E-3</v>
      </c>
      <c r="CM373" s="369">
        <f t="shared" si="190"/>
        <v>4.1739130434782605E-3</v>
      </c>
      <c r="CN373" s="241"/>
      <c r="CO373" s="241"/>
      <c r="CP373" s="241"/>
      <c r="CQ373" s="693"/>
    </row>
    <row r="374" spans="2:95" ht="16.5" customHeight="1" x14ac:dyDescent="0.25"/>
    <row r="375" spans="2:95" ht="16.5" customHeight="1" x14ac:dyDescent="0.25"/>
    <row r="376" spans="2:95" ht="16.5" customHeight="1" x14ac:dyDescent="0.25"/>
    <row r="377" spans="2:95" ht="16.5" customHeight="1" x14ac:dyDescent="0.25"/>
    <row r="378" spans="2:95" ht="16.5" customHeight="1" x14ac:dyDescent="0.25"/>
    <row r="379" spans="2:95" ht="16.5" customHeight="1" x14ac:dyDescent="0.25"/>
    <row r="380" spans="2:95" ht="16.5" customHeight="1" x14ac:dyDescent="0.25"/>
    <row r="381" spans="2:95" ht="16.5" customHeight="1" x14ac:dyDescent="0.25"/>
    <row r="382" spans="2:95" ht="16.5" customHeight="1" x14ac:dyDescent="0.25"/>
    <row r="383" spans="2:95" ht="16.5" customHeight="1" x14ac:dyDescent="0.25"/>
    <row r="384" spans="2:95" ht="16.5" customHeight="1" x14ac:dyDescent="0.25"/>
    <row r="385" spans="87:91" ht="16.5" customHeight="1" x14ac:dyDescent="0.25"/>
    <row r="386" spans="87:91" ht="16.5" customHeight="1" x14ac:dyDescent="0.25"/>
    <row r="387" spans="87:91" ht="16.5" customHeight="1" x14ac:dyDescent="0.25"/>
    <row r="388" spans="87:91" ht="16.5" customHeight="1" x14ac:dyDescent="0.25"/>
    <row r="389" spans="87:91" ht="16.5" customHeight="1" x14ac:dyDescent="0.25"/>
    <row r="390" spans="87:91" ht="16.5" customHeight="1" x14ac:dyDescent="0.25"/>
    <row r="391" spans="87:91" ht="16.5" customHeight="1" x14ac:dyDescent="0.25"/>
    <row r="392" spans="87:91" ht="16.5" customHeight="1" x14ac:dyDescent="0.25"/>
    <row r="393" spans="87:91" ht="16.5" customHeight="1" x14ac:dyDescent="0.25"/>
    <row r="394" spans="87:91" ht="16.5" customHeight="1" x14ac:dyDescent="0.25">
      <c r="CI394" s="717"/>
      <c r="CJ394" s="717"/>
      <c r="CK394" s="717"/>
      <c r="CL394" s="717"/>
      <c r="CM394" s="717"/>
    </row>
    <row r="399" spans="87:91" x14ac:dyDescent="0.25">
      <c r="CK399" s="289"/>
    </row>
    <row r="400" spans="87:91" x14ac:dyDescent="0.25">
      <c r="CK400" s="307"/>
    </row>
    <row r="401" spans="89:89" x14ac:dyDescent="0.25">
      <c r="CK401" s="308"/>
    </row>
    <row r="402" spans="89:89" x14ac:dyDescent="0.25">
      <c r="CK402" s="289"/>
    </row>
    <row r="403" spans="89:89" x14ac:dyDescent="0.25">
      <c r="CK403" s="289"/>
    </row>
    <row r="404" spans="89:89" x14ac:dyDescent="0.25">
      <c r="CK404" s="289"/>
    </row>
    <row r="405" spans="89:89" x14ac:dyDescent="0.25">
      <c r="CK405" s="289"/>
    </row>
    <row r="406" spans="89:89" x14ac:dyDescent="0.25">
      <c r="CK406" s="289"/>
    </row>
    <row r="407" spans="89:89" x14ac:dyDescent="0.25">
      <c r="CK407" s="289"/>
    </row>
    <row r="408" spans="89:89" x14ac:dyDescent="0.25">
      <c r="CK408" s="289"/>
    </row>
    <row r="409" spans="89:89" x14ac:dyDescent="0.25">
      <c r="CK409" s="289"/>
    </row>
    <row r="410" spans="89:89" x14ac:dyDescent="0.25">
      <c r="CK410" s="289"/>
    </row>
    <row r="411" spans="89:89" x14ac:dyDescent="0.25">
      <c r="CK411" s="289"/>
    </row>
    <row r="412" spans="89:89" x14ac:dyDescent="0.25">
      <c r="CK412" s="289"/>
    </row>
    <row r="413" spans="89:89" x14ac:dyDescent="0.25">
      <c r="CK413" s="289"/>
    </row>
    <row r="414" spans="89:89" x14ac:dyDescent="0.25">
      <c r="CK414" s="289"/>
    </row>
    <row r="415" spans="89:89" ht="21.95" customHeight="1" x14ac:dyDescent="0.25">
      <c r="CK415" s="289"/>
    </row>
    <row r="416" spans="89:89" x14ac:dyDescent="0.25">
      <c r="CK416" s="289"/>
    </row>
    <row r="417" spans="89:89" x14ac:dyDescent="0.25">
      <c r="CK417" s="289"/>
    </row>
    <row r="418" spans="89:89" x14ac:dyDescent="0.25">
      <c r="CK418" s="289"/>
    </row>
    <row r="419" spans="89:89" x14ac:dyDescent="0.25">
      <c r="CK419" s="289"/>
    </row>
    <row r="420" spans="89:89" x14ac:dyDescent="0.25">
      <c r="CK420" s="289"/>
    </row>
    <row r="421" spans="89:89" x14ac:dyDescent="0.25">
      <c r="CK421" s="289"/>
    </row>
    <row r="422" spans="89:89" x14ac:dyDescent="0.25">
      <c r="CK422" s="289"/>
    </row>
    <row r="423" spans="89:89" x14ac:dyDescent="0.25">
      <c r="CK423" s="289"/>
    </row>
    <row r="424" spans="89:89" x14ac:dyDescent="0.25">
      <c r="CK424" s="289"/>
    </row>
    <row r="425" spans="89:89" x14ac:dyDescent="0.25">
      <c r="CK425" s="289"/>
    </row>
    <row r="426" spans="89:89" x14ac:dyDescent="0.25">
      <c r="CK426" s="289"/>
    </row>
    <row r="427" spans="89:89" x14ac:dyDescent="0.25">
      <c r="CK427" s="289"/>
    </row>
    <row r="428" spans="89:89" x14ac:dyDescent="0.25">
      <c r="CK428" s="289"/>
    </row>
    <row r="429" spans="89:89" ht="21.95" customHeight="1" x14ac:dyDescent="0.25">
      <c r="CK429" s="313"/>
    </row>
    <row r="430" spans="89:89" x14ac:dyDescent="0.25">
      <c r="CK430" s="289"/>
    </row>
    <row r="431" spans="89:89" x14ac:dyDescent="0.25">
      <c r="CK431" s="289"/>
    </row>
    <row r="432" spans="89:89" x14ac:dyDescent="0.25">
      <c r="CK432" s="289"/>
    </row>
    <row r="433" spans="89:89" x14ac:dyDescent="0.25">
      <c r="CK433" s="289"/>
    </row>
    <row r="434" spans="89:89" ht="21.95" customHeight="1" x14ac:dyDescent="0.25">
      <c r="CK434" s="289"/>
    </row>
    <row r="435" spans="89:89" x14ac:dyDescent="0.25">
      <c r="CK435" s="289"/>
    </row>
    <row r="436" spans="89:89" x14ac:dyDescent="0.25">
      <c r="CK436" s="289"/>
    </row>
    <row r="437" spans="89:89" x14ac:dyDescent="0.25">
      <c r="CK437" s="289"/>
    </row>
    <row r="438" spans="89:89" x14ac:dyDescent="0.25">
      <c r="CK438" s="289"/>
    </row>
    <row r="439" spans="89:89" ht="21.95" customHeight="1" x14ac:dyDescent="0.25">
      <c r="CK439" s="289"/>
    </row>
    <row r="459" spans="75:75" x14ac:dyDescent="0.25">
      <c r="BW459" s="305"/>
    </row>
    <row r="460" spans="75:75" x14ac:dyDescent="0.25">
      <c r="BW460" s="305"/>
    </row>
    <row r="461" spans="75:75" x14ac:dyDescent="0.25">
      <c r="BW461" s="305"/>
    </row>
    <row r="462" spans="75:75" x14ac:dyDescent="0.25">
      <c r="BW462" s="305"/>
    </row>
    <row r="463" spans="75:75" x14ac:dyDescent="0.25">
      <c r="BW463" s="305"/>
    </row>
    <row r="464" spans="75:75" x14ac:dyDescent="0.25">
      <c r="BW464" s="305"/>
    </row>
    <row r="465" spans="75:75" x14ac:dyDescent="0.25">
      <c r="BW465" s="305"/>
    </row>
    <row r="466" spans="75:75" x14ac:dyDescent="0.25">
      <c r="BW466" s="305"/>
    </row>
    <row r="467" spans="75:75" x14ac:dyDescent="0.25">
      <c r="BW467" s="305"/>
    </row>
    <row r="468" spans="75:75" x14ac:dyDescent="0.25">
      <c r="BW468" s="305"/>
    </row>
    <row r="469" spans="75:75" x14ac:dyDescent="0.25">
      <c r="BW469" s="305"/>
    </row>
    <row r="470" spans="75:75" x14ac:dyDescent="0.25">
      <c r="BW470" s="305"/>
    </row>
    <row r="471" spans="75:75" x14ac:dyDescent="0.25">
      <c r="BW471" s="305"/>
    </row>
    <row r="472" spans="75:75" x14ac:dyDescent="0.25">
      <c r="BW472" s="305"/>
    </row>
    <row r="473" spans="75:75" x14ac:dyDescent="0.25">
      <c r="BW473" s="305"/>
    </row>
    <row r="474" spans="75:75" x14ac:dyDescent="0.25">
      <c r="BW474" s="305"/>
    </row>
    <row r="475" spans="75:75" x14ac:dyDescent="0.25">
      <c r="BW475" s="305"/>
    </row>
    <row r="476" spans="75:75" x14ac:dyDescent="0.25">
      <c r="BW476" s="305"/>
    </row>
    <row r="477" spans="75:75" x14ac:dyDescent="0.25">
      <c r="BW477" s="305"/>
    </row>
    <row r="478" spans="75:75" x14ac:dyDescent="0.25">
      <c r="BW478" s="305"/>
    </row>
    <row r="479" spans="75:75" x14ac:dyDescent="0.25">
      <c r="BW479" s="305"/>
    </row>
    <row r="480" spans="75:75" x14ac:dyDescent="0.25">
      <c r="BW480" s="305"/>
    </row>
    <row r="481" spans="75:75" x14ac:dyDescent="0.25">
      <c r="BW481" s="305"/>
    </row>
    <row r="482" spans="75:75" x14ac:dyDescent="0.25">
      <c r="BW482" s="305"/>
    </row>
    <row r="483" spans="75:75" x14ac:dyDescent="0.25">
      <c r="BW483" s="305"/>
    </row>
    <row r="484" spans="75:75" x14ac:dyDescent="0.25">
      <c r="BW484" s="305"/>
    </row>
    <row r="485" spans="75:75" x14ac:dyDescent="0.25">
      <c r="BW485" s="305"/>
    </row>
    <row r="486" spans="75:75" x14ac:dyDescent="0.25">
      <c r="BW486" s="305"/>
    </row>
    <row r="487" spans="75:75" x14ac:dyDescent="0.25">
      <c r="BW487" s="305"/>
    </row>
    <row r="488" spans="75:75" x14ac:dyDescent="0.25">
      <c r="BW488" s="305"/>
    </row>
    <row r="489" spans="75:75" x14ac:dyDescent="0.25">
      <c r="BW489" s="305"/>
    </row>
  </sheetData>
  <mergeCells count="5">
    <mergeCell ref="CT54:DA54"/>
    <mergeCell ref="CT57:CY57"/>
    <mergeCell ref="CT67:CY67"/>
    <mergeCell ref="CT77:CY77"/>
    <mergeCell ref="CO5:CR5"/>
  </mergeCells>
  <dataValidations count="1">
    <dataValidation type="list" allowBlank="1" showInputMessage="1" showErrorMessage="1" promptTitle="Scenario" prompt="Toggle Base / Bull / Bear cases — all forecast drivers respond." sqref="CO3" xr:uid="{98D62A0D-B29A-4BBE-8D91-EE9F3B6484C0}">
      <formula1>"Base,Bull,Bear"</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D1B25-34B5-4D7E-8DE0-F1A9E44C1373}">
  <dimension ref="B2:AJ47"/>
  <sheetViews>
    <sheetView showGridLines="0" zoomScale="60" zoomScaleNormal="60" workbookViewId="0">
      <selection activeCell="E10" sqref="E10"/>
    </sheetView>
  </sheetViews>
  <sheetFormatPr defaultRowHeight="15.75" x14ac:dyDescent="0.25"/>
  <cols>
    <col min="2" max="2" width="46.625" customWidth="1"/>
    <col min="3" max="3" width="14.125" customWidth="1"/>
    <col min="4" max="9" width="11.375" customWidth="1"/>
    <col min="10" max="10" width="19.875" bestFit="1" customWidth="1"/>
    <col min="11" max="12" width="14.125" customWidth="1"/>
    <col min="14" max="14" width="39.5" bestFit="1" customWidth="1"/>
    <col min="15" max="20" width="10.25" customWidth="1"/>
    <col min="26" max="26" width="31.125" customWidth="1"/>
    <col min="27" max="32" width="10.5" customWidth="1"/>
  </cols>
  <sheetData>
    <row r="2" spans="2:36" ht="21" x14ac:dyDescent="0.35">
      <c r="B2" s="550" t="s">
        <v>978</v>
      </c>
      <c r="J2" s="553" t="s">
        <v>987</v>
      </c>
      <c r="K2" s="555">
        <v>345</v>
      </c>
    </row>
    <row r="3" spans="2:36" x14ac:dyDescent="0.25">
      <c r="B3" s="173" t="s">
        <v>979</v>
      </c>
      <c r="J3" s="554" t="s">
        <v>554</v>
      </c>
      <c r="K3" s="556">
        <f ca="1">TODAY()</f>
        <v>46169</v>
      </c>
    </row>
    <row r="5" spans="2:36" x14ac:dyDescent="0.25">
      <c r="B5" s="551" t="s">
        <v>539</v>
      </c>
      <c r="C5" s="552" t="str">
        <f>Model!CO3</f>
        <v>Base</v>
      </c>
      <c r="N5" s="551" t="s">
        <v>539</v>
      </c>
      <c r="O5" s="552" t="s">
        <v>414</v>
      </c>
      <c r="Z5" s="551" t="s">
        <v>539</v>
      </c>
      <c r="AA5" s="552" t="s">
        <v>415</v>
      </c>
    </row>
    <row r="7" spans="2:36" ht="16.5" thickBot="1" x14ac:dyDescent="0.3">
      <c r="B7" s="646" t="s">
        <v>980</v>
      </c>
      <c r="C7" s="607" t="s">
        <v>981</v>
      </c>
      <c r="D7" s="624" t="s">
        <v>668</v>
      </c>
      <c r="E7" s="557" t="s">
        <v>669</v>
      </c>
      <c r="F7" s="557" t="s">
        <v>670</v>
      </c>
      <c r="G7" s="557" t="s">
        <v>671</v>
      </c>
      <c r="H7" s="557" t="s">
        <v>672</v>
      </c>
      <c r="I7" s="591" t="s">
        <v>542</v>
      </c>
      <c r="J7" s="601" t="s">
        <v>581</v>
      </c>
      <c r="K7" s="558" t="s">
        <v>582</v>
      </c>
      <c r="L7" s="580" t="s">
        <v>583</v>
      </c>
      <c r="N7" s="646" t="s">
        <v>980</v>
      </c>
      <c r="O7" s="607" t="s">
        <v>981</v>
      </c>
      <c r="P7" s="624" t="s">
        <v>668</v>
      </c>
      <c r="Q7" s="557" t="s">
        <v>669</v>
      </c>
      <c r="R7" s="557" t="s">
        <v>670</v>
      </c>
      <c r="S7" s="557" t="s">
        <v>671</v>
      </c>
      <c r="T7" s="557" t="s">
        <v>672</v>
      </c>
      <c r="U7" s="591" t="s">
        <v>542</v>
      </c>
      <c r="V7" s="601" t="s">
        <v>581</v>
      </c>
      <c r="W7" s="558" t="s">
        <v>582</v>
      </c>
      <c r="X7" s="580" t="s">
        <v>583</v>
      </c>
      <c r="Z7" s="646" t="s">
        <v>980</v>
      </c>
      <c r="AA7" s="607" t="s">
        <v>981</v>
      </c>
      <c r="AB7" s="624" t="s">
        <v>668</v>
      </c>
      <c r="AC7" s="557" t="s">
        <v>669</v>
      </c>
      <c r="AD7" s="557" t="s">
        <v>670</v>
      </c>
      <c r="AE7" s="557" t="s">
        <v>671</v>
      </c>
      <c r="AF7" s="557" t="s">
        <v>672</v>
      </c>
      <c r="AG7" s="591" t="s">
        <v>542</v>
      </c>
      <c r="AH7" s="601" t="s">
        <v>581</v>
      </c>
      <c r="AI7" s="558" t="s">
        <v>582</v>
      </c>
      <c r="AJ7" s="580" t="s">
        <v>583</v>
      </c>
    </row>
    <row r="8" spans="2:36" x14ac:dyDescent="0.25">
      <c r="B8" s="575"/>
      <c r="C8" s="608"/>
      <c r="D8" s="575"/>
      <c r="I8" s="575"/>
      <c r="J8" s="575"/>
      <c r="L8" s="581"/>
      <c r="N8" s="575"/>
      <c r="O8" s="608"/>
      <c r="P8" s="575"/>
      <c r="U8" s="575"/>
      <c r="V8" s="575"/>
      <c r="X8" s="581"/>
      <c r="Z8" s="575"/>
      <c r="AA8" s="608"/>
      <c r="AB8" s="575"/>
      <c r="AG8" s="575"/>
      <c r="AH8" s="575"/>
      <c r="AJ8" s="581"/>
    </row>
    <row r="9" spans="2:36" x14ac:dyDescent="0.25">
      <c r="B9" s="576" t="s">
        <v>4</v>
      </c>
      <c r="C9" s="609">
        <f>Model!CD114</f>
        <v>3860.6239999999998</v>
      </c>
      <c r="D9" s="625">
        <f>Model!CI114</f>
        <v>4264.9902000000002</v>
      </c>
      <c r="E9" s="570">
        <f>Model!CJ114</f>
        <v>4612.541964</v>
      </c>
      <c r="F9" s="570">
        <f>Model!CK114</f>
        <v>4936.5610414800003</v>
      </c>
      <c r="G9" s="570">
        <f>Model!CL114</f>
        <v>5256.5740026814001</v>
      </c>
      <c r="H9" s="570">
        <f>Model!CM114</f>
        <v>5581.8999043111753</v>
      </c>
      <c r="I9" s="592">
        <f>IFERROR((H9/C9)^(1/5)-1,"n/m")</f>
        <v>7.6526952782249413E-2</v>
      </c>
      <c r="J9" s="575"/>
      <c r="L9" s="581"/>
      <c r="N9" s="576" t="s">
        <v>4</v>
      </c>
      <c r="O9" s="609">
        <v>3860.6239999999998</v>
      </c>
      <c r="P9" s="625">
        <v>4264.9902000000002</v>
      </c>
      <c r="Q9" s="570">
        <v>4738.1423880000002</v>
      </c>
      <c r="R9" s="570">
        <v>5175.8989438400004</v>
      </c>
      <c r="S9" s="570">
        <v>5605.2429136858009</v>
      </c>
      <c r="T9" s="570">
        <v>6047.340544497376</v>
      </c>
      <c r="U9" s="592">
        <v>9.3909474706423524E-2</v>
      </c>
      <c r="V9" s="575"/>
      <c r="X9" s="581"/>
      <c r="Z9" s="576" t="s">
        <v>4</v>
      </c>
      <c r="AA9" s="609">
        <v>3860.6239999999998</v>
      </c>
      <c r="AB9" s="625">
        <v>4264.9902000000002</v>
      </c>
      <c r="AC9" s="570">
        <v>4421.3914199999999</v>
      </c>
      <c r="AD9" s="570">
        <v>4555.9174664400007</v>
      </c>
      <c r="AE9" s="570">
        <v>4684.1497341488002</v>
      </c>
      <c r="AF9" s="570">
        <v>4822.1842514618766</v>
      </c>
      <c r="AG9" s="592">
        <v>4.5483682327801311E-2</v>
      </c>
      <c r="AH9" s="575"/>
      <c r="AJ9" s="581"/>
    </row>
    <row r="10" spans="2:36" x14ac:dyDescent="0.25">
      <c r="B10" s="647" t="s">
        <v>543</v>
      </c>
      <c r="C10" s="610"/>
      <c r="D10" s="626">
        <f>IFERROR(D9/C9-1,"")</f>
        <v>0.10474115065336598</v>
      </c>
      <c r="E10" s="560">
        <f>IFERROR(E9/D9-1,"")</f>
        <v>8.1489463680362029E-2</v>
      </c>
      <c r="F10" s="560">
        <f>IFERROR(F9/E9-1,"")</f>
        <v>7.0247399375205077E-2</v>
      </c>
      <c r="G10" s="560">
        <f>IFERROR(G9/F9-1,"")</f>
        <v>6.4825079344194458E-2</v>
      </c>
      <c r="H10" s="560">
        <f>IFERROR(H9/G9-1,"")</f>
        <v>6.1889341130520581E-2</v>
      </c>
      <c r="I10" s="593"/>
      <c r="J10" s="600"/>
      <c r="K10" s="561"/>
      <c r="L10" s="582"/>
      <c r="N10" s="647" t="s">
        <v>543</v>
      </c>
      <c r="O10" s="610"/>
      <c r="P10" s="626">
        <v>0.10474115065336598</v>
      </c>
      <c r="Q10" s="560">
        <v>0.11093863427869066</v>
      </c>
      <c r="R10" s="560">
        <v>9.2389911486974174E-2</v>
      </c>
      <c r="S10" s="560">
        <v>8.2950609064107894E-2</v>
      </c>
      <c r="T10" s="560">
        <v>7.8872162655457156E-2</v>
      </c>
      <c r="U10" s="593"/>
      <c r="V10" s="600"/>
      <c r="W10" s="561"/>
      <c r="X10" s="582"/>
      <c r="Z10" s="647" t="s">
        <v>543</v>
      </c>
      <c r="AA10" s="610"/>
      <c r="AB10" s="626">
        <v>0.10474115065336598</v>
      </c>
      <c r="AC10" s="560">
        <v>3.6670944753870671E-2</v>
      </c>
      <c r="AD10" s="560">
        <v>3.0426178924461977E-2</v>
      </c>
      <c r="AE10" s="560">
        <v>2.8146310518877948E-2</v>
      </c>
      <c r="AF10" s="560">
        <v>2.9468425466155468E-2</v>
      </c>
      <c r="AG10" s="593"/>
      <c r="AH10" s="600"/>
      <c r="AI10" s="561"/>
      <c r="AJ10" s="582"/>
    </row>
    <row r="11" spans="2:36" x14ac:dyDescent="0.25">
      <c r="B11" s="575"/>
      <c r="C11" s="608"/>
      <c r="D11" s="575"/>
      <c r="I11" s="594"/>
      <c r="J11" s="575"/>
      <c r="L11" s="581"/>
      <c r="N11" s="575"/>
      <c r="O11" s="608"/>
      <c r="P11" s="575"/>
      <c r="U11" s="594"/>
      <c r="V11" s="575"/>
      <c r="X11" s="581"/>
      <c r="Z11" s="575"/>
      <c r="AA11" s="608"/>
      <c r="AB11" s="575"/>
      <c r="AG11" s="594"/>
      <c r="AH11" s="575"/>
      <c r="AJ11" s="581"/>
    </row>
    <row r="12" spans="2:36" x14ac:dyDescent="0.25">
      <c r="B12" s="576" t="s">
        <v>544</v>
      </c>
      <c r="C12" s="609">
        <f>Model!CD116</f>
        <v>1057.3479999999997</v>
      </c>
      <c r="D12" s="625">
        <f>Model!CI116</f>
        <v>1194.1972560000004</v>
      </c>
      <c r="E12" s="570">
        <f>Model!CJ116</f>
        <v>1314.5744597399998</v>
      </c>
      <c r="F12" s="570">
        <f>Model!CK116</f>
        <v>1431.6027020292004</v>
      </c>
      <c r="G12" s="570">
        <f>Model!CL116</f>
        <v>1550.6893307910127</v>
      </c>
      <c r="H12" s="570">
        <f>Model!CM116</f>
        <v>1674.5699712933529</v>
      </c>
      <c r="I12" s="592">
        <f>IFERROR((H12/C12)^(1/5)-1,"n/m")</f>
        <v>9.6319326598472088E-2</v>
      </c>
      <c r="J12" s="575"/>
      <c r="L12" s="581"/>
      <c r="N12" s="576" t="s">
        <v>544</v>
      </c>
      <c r="O12" s="609">
        <v>1057.3479999999997</v>
      </c>
      <c r="P12" s="625">
        <v>1194.1972560000004</v>
      </c>
      <c r="Q12" s="570">
        <v>1350.3705805799996</v>
      </c>
      <c r="R12" s="570">
        <v>1501.0106937136002</v>
      </c>
      <c r="S12" s="570">
        <v>1653.5466595373109</v>
      </c>
      <c r="T12" s="570">
        <v>1814.2021633492132</v>
      </c>
      <c r="U12" s="592">
        <v>0.11402143306337953</v>
      </c>
      <c r="V12" s="575"/>
      <c r="X12" s="581"/>
      <c r="Z12" s="576" t="s">
        <v>544</v>
      </c>
      <c r="AA12" s="609">
        <v>1057.3479999999997</v>
      </c>
      <c r="AB12" s="625">
        <v>1194.1972560000004</v>
      </c>
      <c r="AC12" s="570">
        <v>1260.0965546999996</v>
      </c>
      <c r="AD12" s="570">
        <v>1321.2160652676002</v>
      </c>
      <c r="AE12" s="570">
        <v>1381.8241715738959</v>
      </c>
      <c r="AF12" s="570">
        <v>1446.655275438563</v>
      </c>
      <c r="AG12" s="592">
        <v>6.4705313338444759E-2</v>
      </c>
      <c r="AH12" s="575"/>
      <c r="AJ12" s="581"/>
    </row>
    <row r="13" spans="2:36" x14ac:dyDescent="0.25">
      <c r="B13" s="647" t="s">
        <v>545</v>
      </c>
      <c r="C13" s="610">
        <f t="shared" ref="C13:H13" si="0">IFERROR(C12/C9,"")</f>
        <v>0.27388007741753662</v>
      </c>
      <c r="D13" s="627">
        <f t="shared" si="0"/>
        <v>0.28000000000000008</v>
      </c>
      <c r="E13" s="562">
        <f t="shared" si="0"/>
        <v>0.28499999999999998</v>
      </c>
      <c r="F13" s="562">
        <f t="shared" si="0"/>
        <v>0.29000000000000004</v>
      </c>
      <c r="G13" s="562">
        <f t="shared" si="0"/>
        <v>0.29499999999999993</v>
      </c>
      <c r="H13" s="562">
        <f t="shared" si="0"/>
        <v>0.30000000000000004</v>
      </c>
      <c r="I13" s="593"/>
      <c r="J13" s="602">
        <f>AVERAGE(Model!AF165,Model!AK165,Model!AP165,Model!AU165,Model!AZ165,Model!BE165,Model!BJ165,Model!BO165,Model!BT165,Model!BY165,Model!CD165)</f>
        <v>0.27922810201245313</v>
      </c>
      <c r="K13" s="563">
        <f>MIN(Model!AF165,Model!AK165,Model!AP165,Model!AU165,Model!AZ165,Model!BE165,Model!BJ165,Model!BO165,Model!BT165,Model!BY165,Model!CD165)</f>
        <v>0.25782009974505588</v>
      </c>
      <c r="L13" s="583">
        <f>MAX(Model!AF165,Model!AK165,Model!AP165,Model!AU165,Model!AZ165,Model!BE165,Model!BJ165,Model!BO165,Model!BT165,Model!BY165,Model!CD165)</f>
        <v>0.2950255334198198</v>
      </c>
      <c r="N13" s="647" t="s">
        <v>545</v>
      </c>
      <c r="O13" s="610">
        <v>0.27388007741753662</v>
      </c>
      <c r="P13" s="627">
        <v>0.28000000000000008</v>
      </c>
      <c r="Q13" s="562">
        <v>0.28499999999999992</v>
      </c>
      <c r="R13" s="562">
        <v>0.29000000000000004</v>
      </c>
      <c r="S13" s="562">
        <v>0.29499999999999993</v>
      </c>
      <c r="T13" s="562">
        <v>0.30000000000000004</v>
      </c>
      <c r="U13" s="593"/>
      <c r="V13" s="602">
        <v>0.27922810201245313</v>
      </c>
      <c r="W13" s="563">
        <v>0.25782009974505588</v>
      </c>
      <c r="X13" s="583">
        <v>0.2950255334198198</v>
      </c>
      <c r="Z13" s="647" t="s">
        <v>545</v>
      </c>
      <c r="AA13" s="610">
        <v>0.27388007741753662</v>
      </c>
      <c r="AB13" s="627">
        <v>0.28000000000000008</v>
      </c>
      <c r="AC13" s="562">
        <v>0.28499999999999992</v>
      </c>
      <c r="AD13" s="562">
        <v>0.29000000000000004</v>
      </c>
      <c r="AE13" s="562">
        <v>0.29499999999999998</v>
      </c>
      <c r="AF13" s="562">
        <v>0.3</v>
      </c>
      <c r="AG13" s="593"/>
      <c r="AH13" s="602">
        <v>0.27922810201245313</v>
      </c>
      <c r="AI13" s="563">
        <v>0.25782009974505588</v>
      </c>
      <c r="AJ13" s="583">
        <v>0.2950255334198198</v>
      </c>
    </row>
    <row r="14" spans="2:36" x14ac:dyDescent="0.25">
      <c r="B14" s="575"/>
      <c r="C14" s="608"/>
      <c r="D14" s="575"/>
      <c r="I14" s="594"/>
      <c r="J14" s="575"/>
      <c r="L14" s="581"/>
      <c r="N14" s="575"/>
      <c r="O14" s="608"/>
      <c r="P14" s="575"/>
      <c r="U14" s="594"/>
      <c r="V14" s="575"/>
      <c r="X14" s="581"/>
      <c r="Z14" s="575"/>
      <c r="AA14" s="608"/>
      <c r="AB14" s="575"/>
      <c r="AG14" s="594"/>
      <c r="AH14" s="575"/>
      <c r="AJ14" s="581"/>
    </row>
    <row r="15" spans="2:36" x14ac:dyDescent="0.25">
      <c r="B15" s="576" t="s">
        <v>546</v>
      </c>
      <c r="C15" s="609">
        <f>IF(ISNUMBER(Model!CD150),IF(Model!CD150&gt;0,Model!CD150,Model!CD126),Model!CD126)</f>
        <v>501.26799999999997</v>
      </c>
      <c r="D15" s="625">
        <f>IF(ISNUMBER(Model!CI150),IF(Model!CI150&gt;0,Model!CI150,Model!CI126),Model!CI126)</f>
        <v>511.84053966666681</v>
      </c>
      <c r="E15" s="570">
        <f>IF(ISNUMBER(Model!CJ150),IF(Model!CJ150&gt;0,Model!CJ150,Model!CJ126),Model!CJ126)</f>
        <v>567.74948012444418</v>
      </c>
      <c r="F15" s="570">
        <f>IF(ISNUMBER(Model!CK150),IF(Model!CK150&gt;0,Model!CK150,Model!CK126),Model!CK126)</f>
        <v>626.56642648129662</v>
      </c>
      <c r="G15" s="570">
        <f>IF(ISNUMBER(Model!CL150),IF(Model!CL150&gt;0,Model!CL150,Model!CL126),Model!CL126)</f>
        <v>702.82691955281598</v>
      </c>
      <c r="H15" s="570">
        <f>IF(ISNUMBER(Model!CM150),IF(Model!CM150&gt;0,Model!CM150,Model!CM126),Model!CM126)</f>
        <v>785.6865627352521</v>
      </c>
      <c r="I15" s="592">
        <f>IFERROR((H15/C15)^(1/5)-1,"n/m")</f>
        <v>9.404672126357605E-2</v>
      </c>
      <c r="J15" s="575"/>
      <c r="L15" s="581"/>
      <c r="N15" s="576" t="s">
        <v>546</v>
      </c>
      <c r="O15" s="609">
        <v>501.26799999999997</v>
      </c>
      <c r="P15" s="625">
        <v>511.84053966666681</v>
      </c>
      <c r="Q15" s="570">
        <v>582.82153100444373</v>
      </c>
      <c r="R15" s="570">
        <v>656.48366427629628</v>
      </c>
      <c r="S15" s="570">
        <v>749.02555026089908</v>
      </c>
      <c r="T15" s="570">
        <v>850.84825236132031</v>
      </c>
      <c r="U15" s="592">
        <v>0.11162018977226196</v>
      </c>
      <c r="V15" s="575"/>
      <c r="X15" s="581"/>
      <c r="Z15" s="576" t="s">
        <v>546</v>
      </c>
      <c r="AA15" s="609">
        <v>501.26799999999997</v>
      </c>
      <c r="AB15" s="625">
        <v>511.84053966666681</v>
      </c>
      <c r="AC15" s="570">
        <v>544.81141484444402</v>
      </c>
      <c r="AD15" s="570">
        <v>578.98597960129621</v>
      </c>
      <c r="AE15" s="570">
        <v>626.98070397224672</v>
      </c>
      <c r="AF15" s="570">
        <v>679.32637133635001</v>
      </c>
      <c r="AG15" s="592">
        <v>6.2678021806114925E-2</v>
      </c>
      <c r="AH15" s="575"/>
      <c r="AJ15" s="581"/>
    </row>
    <row r="16" spans="2:36" x14ac:dyDescent="0.25">
      <c r="B16" s="648" t="s">
        <v>547</v>
      </c>
      <c r="C16" s="611"/>
      <c r="D16" s="628">
        <f>IFERROR(D15/C15-1,"")</f>
        <v>2.109159105840952E-2</v>
      </c>
      <c r="E16" s="571">
        <f>IFERROR(E15/D15-1,"")</f>
        <v>0.10923116893825524</v>
      </c>
      <c r="F16" s="571">
        <f>IFERROR(F15/E15-1,"")</f>
        <v>0.10359665383394168</v>
      </c>
      <c r="G16" s="571">
        <f>IFERROR(G15/F15-1,"")</f>
        <v>0.12171174491392223</v>
      </c>
      <c r="H16" s="571">
        <f>IFERROR(H15/G15-1,"")</f>
        <v>0.1178948057868312</v>
      </c>
      <c r="I16" s="594"/>
      <c r="J16" s="575"/>
      <c r="L16" s="581"/>
      <c r="N16" s="648" t="s">
        <v>547</v>
      </c>
      <c r="O16" s="611"/>
      <c r="P16" s="628">
        <v>2.109159105840952E-2</v>
      </c>
      <c r="Q16" s="571">
        <v>0.13867793939105111</v>
      </c>
      <c r="R16" s="571">
        <v>0.12638883320748651</v>
      </c>
      <c r="S16" s="571">
        <v>0.14096601487657789</v>
      </c>
      <c r="T16" s="571">
        <v>0.13594022535673789</v>
      </c>
      <c r="U16" s="594"/>
      <c r="V16" s="575"/>
      <c r="X16" s="581"/>
      <c r="Z16" s="648" t="s">
        <v>547</v>
      </c>
      <c r="AA16" s="611"/>
      <c r="AB16" s="628">
        <v>2.109159105840952E-2</v>
      </c>
      <c r="AC16" s="571">
        <v>6.4416302779082946E-2</v>
      </c>
      <c r="AD16" s="571">
        <v>6.2727328807179683E-2</v>
      </c>
      <c r="AE16" s="571">
        <v>8.2894450059051161E-2</v>
      </c>
      <c r="AF16" s="571">
        <v>8.3488482233131656E-2</v>
      </c>
      <c r="AG16" s="594"/>
      <c r="AH16" s="575"/>
      <c r="AJ16" s="581"/>
    </row>
    <row r="17" spans="2:36" x14ac:dyDescent="0.25">
      <c r="B17" s="647" t="s">
        <v>548</v>
      </c>
      <c r="C17" s="610">
        <f t="shared" ref="C17:H17" si="1">IFERROR(C15/C9,"")</f>
        <v>0.12984118629527247</v>
      </c>
      <c r="D17" s="627">
        <f t="shared" si="1"/>
        <v>0.12000978095252524</v>
      </c>
      <c r="E17" s="562">
        <f t="shared" si="1"/>
        <v>0.12308819834174287</v>
      </c>
      <c r="F17" s="562">
        <f t="shared" si="1"/>
        <v>0.12692366633705182</v>
      </c>
      <c r="G17" s="562">
        <f t="shared" si="1"/>
        <v>0.1337043707925164</v>
      </c>
      <c r="H17" s="562">
        <f t="shared" si="1"/>
        <v>0.14075611820420281</v>
      </c>
      <c r="I17" s="593"/>
      <c r="J17" s="602">
        <f>AVERAGE(Model!AF151,Model!AK151,Model!AP151,Model!AU151,Model!AZ151,Model!BE151,Model!BJ151,Model!BO151,Model!BT151,Model!BY151,Model!CD151)</f>
        <v>0.10480016979924166</v>
      </c>
      <c r="K17" s="563">
        <f>MIN(Model!AF151,Model!AK151,Model!AP151,Model!AU151,Model!AZ151,Model!BE151,Model!BJ151,Model!BO151,Model!BT151,Model!BY151,Model!CD151)</f>
        <v>8.425987079157983E-2</v>
      </c>
      <c r="L17" s="583">
        <f>MAX(Model!AF151,Model!AK151,Model!AP151,Model!AU151,Model!AZ151,Model!BE151,Model!BJ151,Model!BO151,Model!BT151,Model!BY151,Model!CD151)</f>
        <v>0.12984118629527247</v>
      </c>
      <c r="N17" s="647" t="s">
        <v>548</v>
      </c>
      <c r="O17" s="610">
        <v>0.12984118629527247</v>
      </c>
      <c r="P17" s="627">
        <v>0.12000978095252524</v>
      </c>
      <c r="Q17" s="562">
        <v>0.12300633524237678</v>
      </c>
      <c r="R17" s="562">
        <v>0.12683471439441416</v>
      </c>
      <c r="S17" s="562">
        <v>0.13362945402991777</v>
      </c>
      <c r="T17" s="562">
        <v>0.14069792268198425</v>
      </c>
      <c r="U17" s="593"/>
      <c r="V17" s="602">
        <v>0.10480016979924166</v>
      </c>
      <c r="W17" s="563">
        <v>8.425987079157983E-2</v>
      </c>
      <c r="X17" s="583">
        <v>0.12984118629527247</v>
      </c>
      <c r="Z17" s="647" t="s">
        <v>548</v>
      </c>
      <c r="AA17" s="610">
        <v>0.12984118629527247</v>
      </c>
      <c r="AB17" s="627">
        <v>0.12000978095252524</v>
      </c>
      <c r="AC17" s="562">
        <v>0.12322171078995853</v>
      </c>
      <c r="AD17" s="562">
        <v>0.12708438725377449</v>
      </c>
      <c r="AE17" s="562">
        <v>0.13385155034677412</v>
      </c>
      <c r="AF17" s="562">
        <v>0.14087524157344419</v>
      </c>
      <c r="AG17" s="593"/>
      <c r="AH17" s="602">
        <v>0.10480016979924166</v>
      </c>
      <c r="AI17" s="563">
        <v>8.425987079157983E-2</v>
      </c>
      <c r="AJ17" s="583">
        <v>0.12984118629527247</v>
      </c>
    </row>
    <row r="18" spans="2:36" x14ac:dyDescent="0.25">
      <c r="B18" s="575"/>
      <c r="C18" s="608"/>
      <c r="D18" s="575"/>
      <c r="I18" s="594"/>
      <c r="J18" s="575"/>
      <c r="L18" s="581"/>
      <c r="N18" s="575"/>
      <c r="O18" s="608"/>
      <c r="P18" s="575"/>
      <c r="U18" s="594"/>
      <c r="V18" s="575"/>
      <c r="X18" s="581"/>
      <c r="Z18" s="575"/>
      <c r="AA18" s="608"/>
      <c r="AB18" s="575"/>
      <c r="AG18" s="594"/>
      <c r="AH18" s="575"/>
      <c r="AJ18" s="581"/>
    </row>
    <row r="19" spans="2:36" x14ac:dyDescent="0.25">
      <c r="B19" s="577" t="s">
        <v>549</v>
      </c>
      <c r="C19" s="612">
        <f>Model!CD155</f>
        <v>278.68499999999995</v>
      </c>
      <c r="D19" s="629">
        <f>Model!CI155</f>
        <v>335.35120814666681</v>
      </c>
      <c r="E19" s="564">
        <f>Model!CJ155</f>
        <v>382.98354741519989</v>
      </c>
      <c r="F19" s="564">
        <f>Model!CK155</f>
        <v>429.88670595819195</v>
      </c>
      <c r="G19" s="564">
        <f>Model!CL155</f>
        <v>490.10663773790412</v>
      </c>
      <c r="H19" s="564">
        <f>Model!CM155</f>
        <v>556.03984664246786</v>
      </c>
      <c r="I19" s="595">
        <f>IFERROR((H19/C19)^(1/5)-1,"n/m")</f>
        <v>0.14814956133005097</v>
      </c>
      <c r="J19" s="600"/>
      <c r="K19" s="561"/>
      <c r="L19" s="582"/>
      <c r="N19" s="577" t="s">
        <v>549</v>
      </c>
      <c r="O19" s="612">
        <v>278.68499999999995</v>
      </c>
      <c r="P19" s="629">
        <v>335.79881014666682</v>
      </c>
      <c r="Q19" s="564">
        <v>396.13347121839956</v>
      </c>
      <c r="R19" s="564">
        <v>456.3100031713667</v>
      </c>
      <c r="S19" s="564">
        <v>530.9295459495878</v>
      </c>
      <c r="T19" s="564">
        <v>612.64891305641004</v>
      </c>
      <c r="U19" s="595">
        <v>0.17062990572956549</v>
      </c>
      <c r="V19" s="600"/>
      <c r="W19" s="561"/>
      <c r="X19" s="582"/>
      <c r="Z19" s="577" t="s">
        <v>549</v>
      </c>
      <c r="AA19" s="612">
        <v>278.68499999999995</v>
      </c>
      <c r="AB19" s="629">
        <v>335.79881014666682</v>
      </c>
      <c r="AC19" s="564">
        <v>367.05573235599974</v>
      </c>
      <c r="AD19" s="564">
        <v>397.02427439499161</v>
      </c>
      <c r="AE19" s="564">
        <v>437.56523853876871</v>
      </c>
      <c r="AF19" s="564">
        <v>481.43467407230764</v>
      </c>
      <c r="AG19" s="595">
        <v>0.11553899056257233</v>
      </c>
      <c r="AH19" s="600"/>
      <c r="AI19" s="561"/>
      <c r="AJ19" s="582"/>
    </row>
    <row r="20" spans="2:36" x14ac:dyDescent="0.25">
      <c r="B20" s="575"/>
      <c r="C20" s="608"/>
      <c r="D20" s="575"/>
      <c r="I20" s="594"/>
      <c r="J20" s="575"/>
      <c r="L20" s="581"/>
      <c r="N20" s="575"/>
      <c r="O20" s="608"/>
      <c r="P20" s="575"/>
      <c r="U20" s="594"/>
      <c r="V20" s="575"/>
      <c r="X20" s="581"/>
      <c r="Z20" s="575"/>
      <c r="AA20" s="608"/>
      <c r="AB20" s="575"/>
      <c r="AG20" s="594"/>
      <c r="AH20" s="575"/>
      <c r="AJ20" s="581"/>
    </row>
    <row r="21" spans="2:36" x14ac:dyDescent="0.25">
      <c r="B21" s="577" t="s">
        <v>471</v>
      </c>
      <c r="C21" s="612">
        <f>Model!CD139</f>
        <v>32082.600999999999</v>
      </c>
      <c r="D21" s="629">
        <f>Model!CI139</f>
        <v>31647.818391304347</v>
      </c>
      <c r="E21" s="564">
        <f>Model!CJ139</f>
        <v>31241.479504672898</v>
      </c>
      <c r="F21" s="564">
        <f>Model!CK139</f>
        <v>30861.723535858458</v>
      </c>
      <c r="G21" s="564">
        <f>Model!CL139</f>
        <v>30506.811415471133</v>
      </c>
      <c r="H21" s="564">
        <f>Model!CM139</f>
        <v>30175.117845015688</v>
      </c>
      <c r="I21" s="595">
        <f>IFERROR((H21/C21)^(1/5)-1,"n/m")</f>
        <v>-1.2184398864965806E-2</v>
      </c>
      <c r="J21" s="600"/>
      <c r="K21" s="561"/>
      <c r="L21" s="582"/>
      <c r="N21" s="577" t="s">
        <v>471</v>
      </c>
      <c r="O21" s="612">
        <v>32082.600999999999</v>
      </c>
      <c r="P21" s="629">
        <v>31647.818391304347</v>
      </c>
      <c r="Q21" s="564">
        <v>31241.479504672898</v>
      </c>
      <c r="R21" s="564">
        <v>30861.723535858458</v>
      </c>
      <c r="S21" s="564">
        <v>30506.811415471133</v>
      </c>
      <c r="T21" s="564">
        <v>30175.117845015688</v>
      </c>
      <c r="U21" s="595">
        <v>-1.2184398864965806E-2</v>
      </c>
      <c r="V21" s="600"/>
      <c r="W21" s="561"/>
      <c r="X21" s="582"/>
      <c r="Z21" s="577" t="s">
        <v>471</v>
      </c>
      <c r="AA21" s="612">
        <v>32082.600999999999</v>
      </c>
      <c r="AB21" s="629">
        <v>31647.818391304347</v>
      </c>
      <c r="AC21" s="564">
        <v>31241.479504672898</v>
      </c>
      <c r="AD21" s="564">
        <v>30861.723535858458</v>
      </c>
      <c r="AE21" s="564">
        <v>30506.811415471133</v>
      </c>
      <c r="AF21" s="564">
        <v>30175.117845015688</v>
      </c>
      <c r="AG21" s="595">
        <v>-1.2184398864965806E-2</v>
      </c>
      <c r="AH21" s="600"/>
      <c r="AI21" s="561"/>
      <c r="AJ21" s="582"/>
    </row>
    <row r="22" spans="2:36" x14ac:dyDescent="0.25">
      <c r="B22" s="575"/>
      <c r="C22" s="608"/>
      <c r="D22" s="575"/>
      <c r="I22" s="594"/>
      <c r="J22" s="575"/>
      <c r="L22" s="581"/>
      <c r="N22" s="575"/>
      <c r="O22" s="608"/>
      <c r="P22" s="575"/>
      <c r="U22" s="594"/>
      <c r="V22" s="575"/>
      <c r="X22" s="581"/>
      <c r="Z22" s="575"/>
      <c r="AA22" s="608"/>
      <c r="AB22" s="575"/>
      <c r="AG22" s="594"/>
      <c r="AH22" s="575"/>
      <c r="AJ22" s="581"/>
    </row>
    <row r="23" spans="2:36" x14ac:dyDescent="0.25">
      <c r="B23" s="576" t="s">
        <v>982</v>
      </c>
      <c r="C23" s="613">
        <f>Model!CD156</f>
        <v>8.6864839917436854</v>
      </c>
      <c r="D23" s="630">
        <f>Model!CI156</f>
        <v>10.596345188798511</v>
      </c>
      <c r="E23" s="572">
        <f>Model!CJ156</f>
        <v>12.258815955176377</v>
      </c>
      <c r="F23" s="572">
        <f>Model!CK156</f>
        <v>13.92944582173784</v>
      </c>
      <c r="G23" s="572">
        <f>Model!CL156</f>
        <v>16.065482264375653</v>
      </c>
      <c r="H23" s="572">
        <f>Model!CM156</f>
        <v>18.427097766390805</v>
      </c>
      <c r="I23" s="592">
        <f>IFERROR((H23/C23)^(1/5)-1,"n/m")</f>
        <v>0.1623116298333287</v>
      </c>
      <c r="J23" s="575"/>
      <c r="L23" s="581"/>
      <c r="N23" s="576" t="s">
        <v>982</v>
      </c>
      <c r="O23" s="613">
        <v>8.6864839917436854</v>
      </c>
      <c r="P23" s="630">
        <v>10.610488406964947</v>
      </c>
      <c r="Q23" s="572">
        <v>12.679728281086961</v>
      </c>
      <c r="R23" s="572">
        <v>14.785629280917407</v>
      </c>
      <c r="S23" s="572">
        <v>17.403639427237348</v>
      </c>
      <c r="T23" s="572">
        <v>20.30311583878726</v>
      </c>
      <c r="U23" s="592">
        <v>0.18506926230408949</v>
      </c>
      <c r="V23" s="575"/>
      <c r="X23" s="581"/>
      <c r="Z23" s="576" t="s">
        <v>982</v>
      </c>
      <c r="AA23" s="613">
        <v>8.6864839917436854</v>
      </c>
      <c r="AB23" s="630">
        <v>10.610488406964947</v>
      </c>
      <c r="AC23" s="572">
        <v>11.748986865397905</v>
      </c>
      <c r="AD23" s="572">
        <v>12.864617685194615</v>
      </c>
      <c r="AE23" s="572">
        <v>14.343198067460539</v>
      </c>
      <c r="AF23" s="572">
        <v>15.954690766910486</v>
      </c>
      <c r="AG23" s="592">
        <v>0.12929881779633723</v>
      </c>
      <c r="AH23" s="575"/>
      <c r="AJ23" s="581"/>
    </row>
    <row r="24" spans="2:36" x14ac:dyDescent="0.25">
      <c r="B24" s="647" t="s">
        <v>552</v>
      </c>
      <c r="C24" s="614"/>
      <c r="D24" s="626">
        <f>IFERROR(D23/C23-1,"")</f>
        <v>0.21986585123164981</v>
      </c>
      <c r="E24" s="560">
        <f>IFERROR(E23/D23-1,"")</f>
        <v>0.1568909597372572</v>
      </c>
      <c r="F24" s="560">
        <f>IFERROR(F23/E23-1,"")</f>
        <v>0.13627987178125678</v>
      </c>
      <c r="G24" s="560">
        <f>IFERROR(G23/F23-1,"")</f>
        <v>0.15334683590242948</v>
      </c>
      <c r="H24" s="560">
        <f>IFERROR(H23/G23-1,"")</f>
        <v>0.14699935321903834</v>
      </c>
      <c r="I24" s="593"/>
      <c r="J24" s="600"/>
      <c r="K24" s="561"/>
      <c r="L24" s="582"/>
      <c r="N24" s="647" t="s">
        <v>552</v>
      </c>
      <c r="O24" s="614"/>
      <c r="P24" s="626">
        <v>0.2214940379847572</v>
      </c>
      <c r="Q24" s="560">
        <v>0.19501834361966996</v>
      </c>
      <c r="R24" s="560">
        <v>0.16608407949652992</v>
      </c>
      <c r="S24" s="560">
        <v>0.17706450612141289</v>
      </c>
      <c r="T24" s="560">
        <v>0.16660172854489974</v>
      </c>
      <c r="U24" s="593"/>
      <c r="V24" s="600"/>
      <c r="W24" s="561"/>
      <c r="X24" s="582"/>
      <c r="Z24" s="647" t="s">
        <v>552</v>
      </c>
      <c r="AA24" s="614"/>
      <c r="AB24" s="627">
        <v>0.2214940379847572</v>
      </c>
      <c r="AC24" s="562">
        <v>0.10729934521069007</v>
      </c>
      <c r="AD24" s="562">
        <v>9.4955491275794168E-2</v>
      </c>
      <c r="AE24" s="562">
        <v>0.11493387665671295</v>
      </c>
      <c r="AF24" s="562">
        <v>0.11235239811028142</v>
      </c>
      <c r="AG24" s="593"/>
      <c r="AH24" s="600"/>
      <c r="AI24" s="561"/>
      <c r="AJ24" s="582"/>
    </row>
    <row r="25" spans="2:36" ht="16.5" thickBot="1" x14ac:dyDescent="0.3">
      <c r="B25" s="575"/>
      <c r="C25" s="608"/>
      <c r="D25" s="575"/>
      <c r="I25" s="594"/>
      <c r="J25" s="575"/>
      <c r="L25" s="581"/>
      <c r="N25" s="575"/>
      <c r="O25" s="608"/>
      <c r="P25" s="575"/>
      <c r="U25" s="594"/>
      <c r="V25" s="575"/>
      <c r="X25" s="581"/>
      <c r="Z25" s="575"/>
      <c r="AA25" s="608"/>
      <c r="AB25" s="575"/>
      <c r="AG25" s="594"/>
      <c r="AH25" s="575"/>
      <c r="AJ25" s="581"/>
    </row>
    <row r="26" spans="2:36" x14ac:dyDescent="0.25">
      <c r="B26" s="649" t="s">
        <v>561</v>
      </c>
      <c r="C26" s="615"/>
      <c r="D26" s="603"/>
      <c r="E26" s="567">
        <v>20</v>
      </c>
      <c r="F26" s="567">
        <f>E26</f>
        <v>20</v>
      </c>
      <c r="G26" s="567">
        <f t="shared" ref="G26:H26" si="2">F26</f>
        <v>20</v>
      </c>
      <c r="H26" s="567">
        <f t="shared" si="2"/>
        <v>20</v>
      </c>
      <c r="I26" s="596"/>
      <c r="J26" s="603"/>
      <c r="K26" s="566"/>
      <c r="L26" s="584"/>
      <c r="N26" s="649" t="s">
        <v>561</v>
      </c>
      <c r="O26" s="615"/>
      <c r="P26" s="603"/>
      <c r="Q26" s="567"/>
      <c r="R26" s="567">
        <v>25</v>
      </c>
      <c r="S26" s="567">
        <v>22</v>
      </c>
      <c r="T26" s="567">
        <v>22</v>
      </c>
      <c r="U26" s="596"/>
      <c r="V26" s="603"/>
      <c r="W26" s="566"/>
      <c r="X26" s="584"/>
      <c r="Z26" s="649" t="s">
        <v>561</v>
      </c>
      <c r="AA26" s="615"/>
      <c r="AB26" s="603"/>
      <c r="AC26" s="567">
        <v>18</v>
      </c>
      <c r="AD26" s="567">
        <v>18</v>
      </c>
      <c r="AE26" s="567">
        <v>18</v>
      </c>
      <c r="AF26" s="567">
        <v>18</v>
      </c>
      <c r="AG26" s="596"/>
      <c r="AH26" s="603"/>
      <c r="AI26" s="566"/>
      <c r="AJ26" s="584"/>
    </row>
    <row r="27" spans="2:36" x14ac:dyDescent="0.25">
      <c r="B27" s="578" t="s">
        <v>983</v>
      </c>
      <c r="C27" s="616"/>
      <c r="D27" s="604"/>
      <c r="E27" s="495"/>
      <c r="F27" s="495">
        <f>F26*F23</f>
        <v>278.58891643475681</v>
      </c>
      <c r="G27" s="495">
        <f>G26*G23</f>
        <v>321.30964528751304</v>
      </c>
      <c r="H27" s="495">
        <f>H26*H23</f>
        <v>368.54195532781608</v>
      </c>
      <c r="I27" s="597"/>
      <c r="J27" s="604"/>
      <c r="K27" s="544"/>
      <c r="L27" s="585"/>
      <c r="N27" s="578" t="s">
        <v>983</v>
      </c>
      <c r="O27" s="616"/>
      <c r="P27" s="604"/>
      <c r="Q27" s="495"/>
      <c r="R27" s="495">
        <f>R26*R23</f>
        <v>369.6407320229352</v>
      </c>
      <c r="S27" s="495">
        <f>S26*S23</f>
        <v>382.88006739922167</v>
      </c>
      <c r="T27" s="495">
        <f>T26*T23</f>
        <v>446.66854845331972</v>
      </c>
      <c r="U27" s="597"/>
      <c r="V27" s="604"/>
      <c r="W27" s="544"/>
      <c r="X27" s="585"/>
      <c r="Z27" s="578" t="s">
        <v>983</v>
      </c>
      <c r="AA27" s="616"/>
      <c r="AB27" s="604"/>
      <c r="AC27" s="495">
        <v>211.4817635771623</v>
      </c>
      <c r="AD27" s="495">
        <v>231.56311833350307</v>
      </c>
      <c r="AE27" s="495">
        <v>258.1775652142897</v>
      </c>
      <c r="AF27" s="495">
        <v>287.18443380438873</v>
      </c>
      <c r="AG27" s="597"/>
      <c r="AH27" s="604"/>
      <c r="AI27" s="544"/>
      <c r="AJ27" s="585"/>
    </row>
    <row r="28" spans="2:36" x14ac:dyDescent="0.25">
      <c r="B28" s="650" t="s">
        <v>563</v>
      </c>
      <c r="C28" s="617"/>
      <c r="D28" s="605"/>
      <c r="E28" s="644"/>
      <c r="F28" s="644">
        <f>IFERROR(F27/$K$2-1,"")</f>
        <v>-0.1924958943920092</v>
      </c>
      <c r="G28" s="644">
        <f>IFERROR(G27/$K$2-1,"")</f>
        <v>-6.8667694818802749E-2</v>
      </c>
      <c r="H28" s="644">
        <f>IFERROR(H27/$K$2-1,"")</f>
        <v>6.8237551674829255E-2</v>
      </c>
      <c r="I28" s="598"/>
      <c r="J28" s="605"/>
      <c r="K28" s="171"/>
      <c r="L28" s="586"/>
      <c r="N28" s="650" t="s">
        <v>563</v>
      </c>
      <c r="O28" s="617"/>
      <c r="P28" s="605"/>
      <c r="Q28" s="644"/>
      <c r="R28" s="644">
        <f>IFERROR(R27/$K$2-1,"")</f>
        <v>7.1422411660681639E-2</v>
      </c>
      <c r="S28" s="644">
        <f>IFERROR(S27/$K$2-1,"")</f>
        <v>0.10979729680933814</v>
      </c>
      <c r="T28" s="644">
        <f>IFERROR(T27/$K$2-1,"")</f>
        <v>0.29469144479223108</v>
      </c>
      <c r="U28" s="598"/>
      <c r="V28" s="605"/>
      <c r="W28" s="171"/>
      <c r="X28" s="586"/>
      <c r="Z28" s="650" t="s">
        <v>563</v>
      </c>
      <c r="AA28" s="617"/>
      <c r="AB28" s="605"/>
      <c r="AC28" s="644">
        <v>-0.31780076265431512</v>
      </c>
      <c r="AD28" s="644">
        <v>-0.25302219892418365</v>
      </c>
      <c r="AE28" s="644">
        <v>-0.16716914447003317</v>
      </c>
      <c r="AF28" s="644">
        <v>-7.3598600631004096E-2</v>
      </c>
      <c r="AG28" s="598"/>
      <c r="AH28" s="605"/>
      <c r="AI28" s="171"/>
      <c r="AJ28" s="586"/>
    </row>
    <row r="29" spans="2:36" ht="16.5" thickBot="1" x14ac:dyDescent="0.3">
      <c r="B29" s="579" t="s">
        <v>564</v>
      </c>
      <c r="C29" s="618"/>
      <c r="D29" s="579"/>
      <c r="E29" s="569"/>
      <c r="F29" s="645">
        <f ca="1">IFERROR((F27/$K$2)^(1/((DATE(2025+3,12,31)-$K$3)/365.25))-1,"")</f>
        <v>-7.8995023650160312E-2</v>
      </c>
      <c r="G29" s="645">
        <f ca="1">IFERROR((G27/$K$2)^(1/((DATE(2025+4,12,31)-$K$3)/365.25))-1,"")</f>
        <v>-1.95801736176201E-2</v>
      </c>
      <c r="H29" s="645">
        <f ca="1">IFERROR((H27/$K$2)^(1/((DATE(2025+5,12,31)-$K$3)/365.25))-1,"")</f>
        <v>1.4463457836157101E-2</v>
      </c>
      <c r="I29" s="599"/>
      <c r="J29" s="579"/>
      <c r="K29" s="568"/>
      <c r="L29" s="587"/>
      <c r="N29" s="579" t="s">
        <v>564</v>
      </c>
      <c r="O29" s="618"/>
      <c r="P29" s="579"/>
      <c r="Q29" s="569"/>
      <c r="R29" s="645">
        <f ca="1">IFERROR((R27/$K$2)^(1/((DATE(2025+3,12,31)-$K$3)/365.25))-1,"")</f>
        <v>2.6907318754191056E-2</v>
      </c>
      <c r="S29" s="645">
        <f ca="1">IFERROR((S27/$K$2)^(1/((DATE(2025+4,12,31)-$K$3)/365.25))-1,"")</f>
        <v>2.9381341688320184E-2</v>
      </c>
      <c r="T29" s="645">
        <f ca="1">IFERROR((T27/$K$2)^(1/((DATE(2025+5,12,31)-$K$3)/365.25))-1,"")</f>
        <v>5.7792966275930668E-2</v>
      </c>
      <c r="U29" s="599"/>
      <c r="V29" s="579"/>
      <c r="W29" s="568"/>
      <c r="X29" s="587"/>
      <c r="Z29" s="579" t="s">
        <v>564</v>
      </c>
      <c r="AA29" s="618"/>
      <c r="AB29" s="579"/>
      <c r="AC29" s="569">
        <v>-0.2127305139938952</v>
      </c>
      <c r="AD29" s="645">
        <v>-0.10609751842579018</v>
      </c>
      <c r="AE29" s="645">
        <v>-4.9539386848311939E-2</v>
      </c>
      <c r="AF29" s="645">
        <v>-1.6483181578504369E-2</v>
      </c>
      <c r="AG29" s="599"/>
      <c r="AH29" s="579"/>
      <c r="AI29" s="568"/>
      <c r="AJ29" s="587"/>
    </row>
    <row r="30" spans="2:36" x14ac:dyDescent="0.25">
      <c r="B30" s="575"/>
      <c r="C30" s="608"/>
      <c r="D30" s="575"/>
      <c r="I30" s="594"/>
      <c r="J30" s="575"/>
      <c r="L30" s="581"/>
      <c r="N30" s="575"/>
      <c r="O30" s="608"/>
      <c r="P30" s="575"/>
      <c r="U30" s="594"/>
      <c r="V30" s="575"/>
      <c r="X30" s="581"/>
      <c r="Z30" s="575"/>
      <c r="AA30" s="608"/>
      <c r="AB30" s="575"/>
      <c r="AG30" s="594"/>
      <c r="AH30" s="575"/>
      <c r="AJ30" s="581"/>
    </row>
    <row r="31" spans="2:36" x14ac:dyDescent="0.25">
      <c r="B31" s="576" t="s">
        <v>555</v>
      </c>
      <c r="C31" s="609">
        <f>Model!CD210</f>
        <v>128.35499999999996</v>
      </c>
      <c r="D31" s="625">
        <f>Model!CI210</f>
        <v>209.52566355718474</v>
      </c>
      <c r="E31" s="570">
        <f>Model!CJ210</f>
        <v>279.69608492195732</v>
      </c>
      <c r="F31" s="570">
        <f>Model!CK210</f>
        <v>368.972871457032</v>
      </c>
      <c r="G31" s="570">
        <f>Model!CL210</f>
        <v>412.69992685634662</v>
      </c>
      <c r="H31" s="570">
        <f>Model!CM210</f>
        <v>429.97726314250127</v>
      </c>
      <c r="I31" s="592">
        <f>IFERROR((H31/C31)^(1/5)-1,"n/m")</f>
        <v>0.27352225872088765</v>
      </c>
      <c r="J31" s="575"/>
      <c r="L31" s="581"/>
      <c r="N31" s="576" t="s">
        <v>555</v>
      </c>
      <c r="O31" s="609">
        <v>128.35499999999996</v>
      </c>
      <c r="P31" s="625">
        <v>209.9732655571847</v>
      </c>
      <c r="Q31" s="570">
        <v>255.88546062121736</v>
      </c>
      <c r="R31" s="570">
        <v>364.47770302053164</v>
      </c>
      <c r="S31" s="570">
        <v>424.28431578728373</v>
      </c>
      <c r="T31" s="570">
        <v>452.07033328468401</v>
      </c>
      <c r="U31" s="592">
        <v>0.28634849681374597</v>
      </c>
      <c r="V31" s="575"/>
      <c r="X31" s="581"/>
      <c r="Z31" s="576" t="s">
        <v>555</v>
      </c>
      <c r="AA31" s="609">
        <v>128.35499999999996</v>
      </c>
      <c r="AB31" s="625">
        <v>209.9732655571847</v>
      </c>
      <c r="AC31" s="570">
        <v>320.01830988337224</v>
      </c>
      <c r="AD31" s="570">
        <v>387.72395776903988</v>
      </c>
      <c r="AE31" s="570">
        <v>411.44649063895599</v>
      </c>
      <c r="AF31" s="570">
        <v>410.86100394023839</v>
      </c>
      <c r="AG31" s="592">
        <v>0.26199149017022716</v>
      </c>
      <c r="AH31" s="575"/>
      <c r="AJ31" s="581"/>
    </row>
    <row r="32" spans="2:36" x14ac:dyDescent="0.25">
      <c r="B32" s="648" t="s">
        <v>580</v>
      </c>
      <c r="C32" s="619">
        <f t="shared" ref="C32:H32" si="3">IFERROR(C31/C9,"")</f>
        <v>3.3247215994098356E-2</v>
      </c>
      <c r="D32" s="628">
        <f t="shared" si="3"/>
        <v>4.9126880422183557E-2</v>
      </c>
      <c r="E32" s="571">
        <f t="shared" si="3"/>
        <v>6.0638165919124701E-2</v>
      </c>
      <c r="F32" s="571">
        <f t="shared" si="3"/>
        <v>7.4742896594754249E-2</v>
      </c>
      <c r="G32" s="571">
        <f t="shared" si="3"/>
        <v>7.8511198861811266E-2</v>
      </c>
      <c r="H32" s="571">
        <f t="shared" si="3"/>
        <v>7.7030629447584459E-2</v>
      </c>
      <c r="I32" s="575"/>
      <c r="J32" s="606">
        <f>AVERAGE(IFERROR(Model!AF210/Model!AF114,NA()),IFERROR(Model!AK210/Model!AK114,NA()),IFERROR(Model!AP210/Model!AP114,NA()),IFERROR(Model!AU210/Model!AU114,NA()),IFERROR(Model!AZ210/Model!AZ114,NA()),IFERROR(Model!BE210/Model!BE114,NA()),IFERROR(Model!BJ210/Model!BJ114,NA()),IFERROR(Model!BO210/Model!BO114,NA()),IFERROR(Model!BT210/Model!BT114,NA()),IFERROR(Model!BY210/Model!BY114,NA()),IFERROR(Model!CD210/Model!CD114,NA()))</f>
        <v>4.6677948147310501E-2</v>
      </c>
      <c r="K32" s="559">
        <f>MIN(IFERROR(Model!AF210/Model!AF114,99),IFERROR(Model!AK210/Model!AK114,99),IFERROR(Model!AP210/Model!AP114,99),IFERROR(Model!AU210/Model!AU114,99),IFERROR(Model!AZ210/Model!AZ114,99),IFERROR(Model!BE210/Model!BE114,99),IFERROR(Model!BJ210/Model!BJ114,99),IFERROR(Model!BO210/Model!BO114,99),IFERROR(Model!BT210/Model!BT114,99),IFERROR(Model!BY210/Model!BY114,99),IFERROR(Model!CD210/Model!CD114,99))</f>
        <v>-1.1355802894285297E-2</v>
      </c>
      <c r="L32" s="588">
        <f>MAX(IFERROR(Model!AF210/Model!AF114,-99),IFERROR(Model!AK210/Model!AK114,-99),IFERROR(Model!AP210/Model!AP114,-99),IFERROR(Model!AU210/Model!AU114,-99),IFERROR(Model!AZ210/Model!AZ114,-99),IFERROR(Model!BE210/Model!BE114,-99),IFERROR(Model!BJ210/Model!BJ114,-99),IFERROR(Model!BO210/Model!BO114,-99),IFERROR(Model!BT210/Model!BT114,-99),IFERROR(Model!BY210/Model!BY114,-99),IFERROR(Model!CD210/Model!CD114,-99))</f>
        <v>0.10636293660108047</v>
      </c>
      <c r="N32" s="648" t="s">
        <v>580</v>
      </c>
      <c r="O32" s="619">
        <v>3.3247215994098356E-2</v>
      </c>
      <c r="P32" s="628">
        <v>4.9231828377280844E-2</v>
      </c>
      <c r="Q32" s="571">
        <v>5.40054391926428E-2</v>
      </c>
      <c r="R32" s="571">
        <v>7.0418241734473586E-2</v>
      </c>
      <c r="S32" s="571">
        <v>7.5694188872947529E-2</v>
      </c>
      <c r="T32" s="571">
        <v>7.4755229998752754E-2</v>
      </c>
      <c r="U32" s="575"/>
      <c r="V32" s="606">
        <v>4.6677948147310501E-2</v>
      </c>
      <c r="W32" s="559">
        <v>-1.1355802894285297E-2</v>
      </c>
      <c r="X32" s="588">
        <v>0.10636293660108047</v>
      </c>
      <c r="Z32" s="648" t="s">
        <v>580</v>
      </c>
      <c r="AA32" s="619">
        <v>3.3247215994098356E-2</v>
      </c>
      <c r="AB32" s="628">
        <v>4.9231828377280844E-2</v>
      </c>
      <c r="AC32" s="571">
        <v>7.2379547405773959E-2</v>
      </c>
      <c r="AD32" s="571">
        <v>8.5103376131176467E-2</v>
      </c>
      <c r="AE32" s="571">
        <v>8.7838031231024197E-2</v>
      </c>
      <c r="AF32" s="571">
        <v>8.5202261571752091E-2</v>
      </c>
      <c r="AG32" s="575"/>
      <c r="AH32" s="606">
        <v>4.6677948147310501E-2</v>
      </c>
      <c r="AI32" s="559">
        <v>-1.1355802894285297E-2</v>
      </c>
      <c r="AJ32" s="588">
        <v>0.10636293660108047</v>
      </c>
    </row>
    <row r="33" spans="2:36" x14ac:dyDescent="0.25">
      <c r="B33" s="648" t="s">
        <v>984</v>
      </c>
      <c r="C33" s="651">
        <f t="shared" ref="C33:H33" si="4">IFERROR(C31*1000/C21,"")</f>
        <v>4.0007666460708711</v>
      </c>
      <c r="D33" s="652">
        <f t="shared" si="4"/>
        <v>6.620540505084378</v>
      </c>
      <c r="E33" s="653">
        <f t="shared" si="4"/>
        <v>8.9527157278233958</v>
      </c>
      <c r="F33" s="653">
        <f t="shared" si="4"/>
        <v>11.955679371838055</v>
      </c>
      <c r="G33" s="653">
        <f t="shared" si="4"/>
        <v>13.528123973226885</v>
      </c>
      <c r="H33" s="653">
        <f t="shared" si="4"/>
        <v>14.249397975873183</v>
      </c>
      <c r="I33" s="594"/>
      <c r="J33" s="575"/>
      <c r="L33" s="581"/>
      <c r="N33" s="648" t="s">
        <v>984</v>
      </c>
      <c r="O33" s="651">
        <v>4.0007666460708711</v>
      </c>
      <c r="P33" s="652">
        <v>6.6346837232508138</v>
      </c>
      <c r="Q33" s="653">
        <v>8.1905679461481231</v>
      </c>
      <c r="R33" s="653">
        <v>11.810024239153149</v>
      </c>
      <c r="S33" s="653">
        <v>13.907855200236149</v>
      </c>
      <c r="T33" s="653">
        <v>14.981559827092996</v>
      </c>
      <c r="U33" s="594"/>
      <c r="V33" s="575"/>
      <c r="X33" s="581"/>
      <c r="Z33" s="648" t="s">
        <v>984</v>
      </c>
      <c r="AA33" s="651">
        <v>4.0007666460708711</v>
      </c>
      <c r="AB33" s="652">
        <v>6.6346837232508138</v>
      </c>
      <c r="AC33" s="653">
        <v>10.243378833435401</v>
      </c>
      <c r="AD33" s="653">
        <v>12.563263270715929</v>
      </c>
      <c r="AE33" s="653">
        <v>13.487036879583432</v>
      </c>
      <c r="AF33" s="653">
        <v>13.615887303257184</v>
      </c>
      <c r="AG33" s="594"/>
      <c r="AH33" s="575"/>
      <c r="AJ33" s="581"/>
    </row>
    <row r="34" spans="2:36" x14ac:dyDescent="0.25">
      <c r="B34" s="647" t="s">
        <v>584</v>
      </c>
      <c r="C34" s="620"/>
      <c r="D34" s="632" t="str">
        <f>IFERROR(D33/D27,"")</f>
        <v/>
      </c>
      <c r="E34" s="654" t="str">
        <f>IFERROR(E33/E27,"")</f>
        <v/>
      </c>
      <c r="F34" s="654">
        <f>IFERROR(F33/F27,"")</f>
        <v>4.2915129305361205E-2</v>
      </c>
      <c r="G34" s="654">
        <f>IFERROR(G33/G27,"")</f>
        <v>4.2103074624858218E-2</v>
      </c>
      <c r="H34" s="654">
        <f>IFERROR(H33/H27,"")</f>
        <v>3.8664249130600126E-2</v>
      </c>
      <c r="I34" s="593"/>
      <c r="J34" s="600"/>
      <c r="K34" s="561"/>
      <c r="L34" s="582"/>
      <c r="N34" s="647" t="s">
        <v>584</v>
      </c>
      <c r="O34" s="620"/>
      <c r="P34" s="632" t="s">
        <v>1050</v>
      </c>
      <c r="Q34" s="654">
        <v>2.9361713023618344E-2</v>
      </c>
      <c r="R34" s="654">
        <v>3.6306826946533741E-2</v>
      </c>
      <c r="S34" s="654">
        <v>3.6324312453002931E-2</v>
      </c>
      <c r="T34" s="654">
        <v>3.3540664277728262E-2</v>
      </c>
      <c r="U34" s="593"/>
      <c r="V34" s="600"/>
      <c r="W34" s="561"/>
      <c r="X34" s="582"/>
      <c r="Z34" s="647" t="s">
        <v>584</v>
      </c>
      <c r="AA34" s="620"/>
      <c r="AB34" s="632" t="s">
        <v>1050</v>
      </c>
      <c r="AC34" s="654">
        <v>4.8436227597931626E-2</v>
      </c>
      <c r="AD34" s="654">
        <v>5.4254163448524642E-2</v>
      </c>
      <c r="AE34" s="654">
        <v>5.2239383652057721E-2</v>
      </c>
      <c r="AF34" s="654">
        <v>4.7411648057956501E-2</v>
      </c>
      <c r="AG34" s="593"/>
      <c r="AH34" s="600"/>
      <c r="AI34" s="561"/>
      <c r="AJ34" s="582"/>
    </row>
    <row r="35" spans="2:36" x14ac:dyDescent="0.25">
      <c r="B35" s="576" t="s">
        <v>557</v>
      </c>
      <c r="C35" s="609">
        <f>IF(ISNUMBER(Model!CD150),IF(Model!CD150&gt;0,Model!CD150,Model!CD126),Model!CD126)+Model!CD176+Model!CD177</f>
        <v>604.99599999999998</v>
      </c>
      <c r="D35" s="625">
        <f>IF(ISNUMBER(Model!CI150),IF(Model!CI150&gt;0,Model!CI150,Model!CI126),Model!CI126)+Model!CI176+Model!CI177</f>
        <v>626.43312974163939</v>
      </c>
      <c r="E35" s="570">
        <f>IF(ISNUMBER(Model!CJ150),IF(Model!CJ150&gt;0,Model!CJ150,Model!CJ126),Model!CJ126)+Model!CJ176+Model!CJ177</f>
        <v>691.6801589063698</v>
      </c>
      <c r="F35" s="570">
        <f>IF(ISNUMBER(Model!CK150),IF(Model!CK150&gt;0,Model!CK150,Model!CK126),Model!CK126)+Model!CK176+Model!CK177</f>
        <v>759.20291315045642</v>
      </c>
      <c r="G35" s="570">
        <f>IF(ISNUMBER(Model!CL150),IF(Model!CL150&gt;0,Model!CL150,Model!CL126),Model!CL126)+Model!CL176+Model!CL177</f>
        <v>844.0615769942392</v>
      </c>
      <c r="H35" s="570">
        <f>IF(ISNUMBER(Model!CM150),IF(Model!CM150&gt;0,Model!CM150,Model!CM126),Model!CM126)+Model!CM176+Model!CM177</f>
        <v>935.66214007051974</v>
      </c>
      <c r="I35" s="592">
        <f>IFERROR((H35/C35)^(1/5)-1,"n/m")</f>
        <v>9.11219957107261E-2</v>
      </c>
      <c r="J35" s="575"/>
      <c r="L35" s="581"/>
      <c r="N35" s="576" t="s">
        <v>557</v>
      </c>
      <c r="O35" s="609">
        <v>604.99599999999998</v>
      </c>
      <c r="P35" s="625">
        <v>626.43312974163939</v>
      </c>
      <c r="Q35" s="570">
        <v>710.12686652079151</v>
      </c>
      <c r="R35" s="570">
        <v>795.55072847281906</v>
      </c>
      <c r="S35" s="570">
        <v>899.62831213328082</v>
      </c>
      <c r="T35" s="570">
        <v>1013.3293797644616</v>
      </c>
      <c r="U35" s="592">
        <v>0.10866318484336879</v>
      </c>
      <c r="V35" s="575"/>
      <c r="X35" s="581"/>
      <c r="Z35" s="576" t="s">
        <v>557</v>
      </c>
      <c r="AA35" s="609">
        <v>604.99599999999998</v>
      </c>
      <c r="AB35" s="625">
        <v>626.43312974163939</v>
      </c>
      <c r="AC35" s="570">
        <v>663.60622345925879</v>
      </c>
      <c r="AD35" s="570">
        <v>701.39526031832247</v>
      </c>
      <c r="AE35" s="570">
        <v>752.83535431472694</v>
      </c>
      <c r="AF35" s="570">
        <v>808.88976006201676</v>
      </c>
      <c r="AG35" s="592">
        <v>5.9808423118762777E-2</v>
      </c>
      <c r="AH35" s="575"/>
      <c r="AJ35" s="581"/>
    </row>
    <row r="36" spans="2:36" x14ac:dyDescent="0.25">
      <c r="B36" s="647" t="s">
        <v>558</v>
      </c>
      <c r="C36" s="610">
        <f t="shared" ref="C36:H36" si="5">IFERROR(C35/C9,"")</f>
        <v>0.15670938169580875</v>
      </c>
      <c r="D36" s="627">
        <f t="shared" si="5"/>
        <v>0.14687797635306157</v>
      </c>
      <c r="E36" s="562">
        <f t="shared" si="5"/>
        <v>0.1499563937422792</v>
      </c>
      <c r="F36" s="562">
        <f t="shared" si="5"/>
        <v>0.15379186173758816</v>
      </c>
      <c r="G36" s="562">
        <f t="shared" si="5"/>
        <v>0.16057256619305271</v>
      </c>
      <c r="H36" s="562">
        <f t="shared" si="5"/>
        <v>0.16762431360473912</v>
      </c>
      <c r="I36" s="600"/>
      <c r="J36" s="602">
        <f>AVERAGE(IFERROR((IF(ISNUMBER(Model!AF150),IF(Model!AF150&gt;0,Model!AF150,Model!AF126),Model!AF126)+Model!AF176+Model!AF177)/Model!AF114,NA()),IFERROR((IF(ISNUMBER(Model!AK150),IF(Model!AK150&gt;0,Model!AK150,Model!AK126),Model!AK126)+Model!AK176+Model!AK177)/Model!AK114,NA()),IFERROR((IF(ISNUMBER(Model!AP150),IF(Model!AP150&gt;0,Model!AP150,Model!AP126),Model!AP126)+Model!AP176+Model!AP177)/Model!AP114,NA()),IFERROR((IF(ISNUMBER(Model!AU150),IF(Model!AU150&gt;0,Model!AU150,Model!AU126),Model!AU126)+Model!AU176+Model!AU177)/Model!AU114,NA()),IFERROR((IF(ISNUMBER(Model!AZ150),IF(Model!AZ150&gt;0,Model!AZ150,Model!AZ126),Model!AZ126)+Model!AZ176+Model!AZ177)/Model!AZ114,NA()),IFERROR((IF(ISNUMBER(Model!BE150),IF(Model!BE150&gt;0,Model!BE150,Model!BE126),Model!BE126)+Model!BE176+Model!BE177)/Model!BE114,NA()),IFERROR((IF(ISNUMBER(Model!BJ150),IF(Model!BJ150&gt;0,Model!BJ150,Model!BJ126),Model!BJ126)+Model!BJ176+Model!BJ177)/Model!BJ114,NA()),IFERROR((IF(ISNUMBER(Model!BO150),IF(Model!BO150&gt;0,Model!BO150,Model!BO126),Model!BO126)+Model!BO176+Model!BO177)/Model!BO114,NA()),IFERROR((IF(ISNUMBER(Model!BT150),IF(Model!BT150&gt;0,Model!BT150,Model!BT126),Model!BT126)+Model!BT176+Model!BT177)/Model!BT114,NA()),IFERROR((IF(ISNUMBER(Model!BY150),IF(Model!BY150&gt;0,Model!BY150,Model!BY126),Model!BY126)+Model!BY176+Model!BY177)/Model!BY114,NA()),IFERROR((IF(ISNUMBER(Model!CD150),IF(Model!CD150&gt;0,Model!CD150,Model!CD126),Model!CD126)+Model!CD176+Model!CD177)/Model!CD114,NA()))</f>
        <v>0.13674468331179618</v>
      </c>
      <c r="K36" s="563">
        <f>MIN(IFERROR((IF(ISNUMBER(Model!AF150),IF(Model!AF150&gt;0,Model!AF150,Model!AF126),Model!AF126)+Model!AF176+Model!AF177)/Model!AF114,99),IFERROR((IF(ISNUMBER(Model!AK150),IF(Model!AK150&gt;0,Model!AK150,Model!AK126),Model!AK126)+Model!AK176+Model!AK177)/Model!AK114,99),IFERROR((IF(ISNUMBER(Model!AP150),IF(Model!AP150&gt;0,Model!AP150,Model!AP126),Model!AP126)+Model!AP176+Model!AP177)/Model!AP114,99),IFERROR((IF(ISNUMBER(Model!AU150),IF(Model!AU150&gt;0,Model!AU150,Model!AU126),Model!AU126)+Model!AU176+Model!AU177)/Model!AU114,99),IFERROR((IF(ISNUMBER(Model!AZ150),IF(Model!AZ150&gt;0,Model!AZ150,Model!AZ126),Model!AZ126)+Model!AZ176+Model!AZ177)/Model!AZ114,99),IFERROR((IF(ISNUMBER(Model!BE150),IF(Model!BE150&gt;0,Model!BE150,Model!BE126),Model!BE126)+Model!BE176+Model!BE177)/Model!BE114,99),IFERROR((IF(ISNUMBER(Model!BJ150),IF(Model!BJ150&gt;0,Model!BJ150,Model!BJ126),Model!BJ126)+Model!BJ176+Model!BJ177)/Model!BJ114,99),IFERROR((IF(ISNUMBER(Model!BO150),IF(Model!BO150&gt;0,Model!BO150,Model!BO126),Model!BO126)+Model!BO176+Model!BO177)/Model!BO114,99),IFERROR((IF(ISNUMBER(Model!BT150),IF(Model!BT150&gt;0,Model!BT150,Model!BT126),Model!BT126)+Model!BT176+Model!BT177)/Model!BT114,99),IFERROR((IF(ISNUMBER(Model!BY150),IF(Model!BY150&gt;0,Model!BY150,Model!BY126),Model!BY126)+Model!BY176+Model!BY177)/Model!BY114,99),IFERROR((IF(ISNUMBER(Model!CD150),IF(Model!CD150&gt;0,Model!CD150,Model!CD126),Model!CD126)+Model!CD176+Model!CD177)/Model!CD114,99))</f>
        <v>0.12528449451442319</v>
      </c>
      <c r="L36" s="583">
        <f>MAX(IFERROR((IF(ISNUMBER(Model!AF150),IF(Model!AF150&gt;0,Model!AF150,Model!AF126),Model!AF126)+Model!AF176+Model!AF177)/Model!AF114,-99),IFERROR((IF(ISNUMBER(Model!AK150),IF(Model!AK150&gt;0,Model!AK150,Model!AK126),Model!AK126)+Model!AK176+Model!AK177)/Model!AK114,-99),IFERROR((IF(ISNUMBER(Model!AP150),IF(Model!AP150&gt;0,Model!AP150,Model!AP126),Model!AP126)+Model!AP176+Model!AP177)/Model!AP114,-99),IFERROR((IF(ISNUMBER(Model!AU150),IF(Model!AU150&gt;0,Model!AU150,Model!AU126),Model!AU126)+Model!AU176+Model!AU177)/Model!AU114,-99),IFERROR((IF(ISNUMBER(Model!AZ150),IF(Model!AZ150&gt;0,Model!AZ150,Model!AZ126),Model!AZ126)+Model!AZ176+Model!AZ177)/Model!AZ114,-99),IFERROR((IF(ISNUMBER(Model!BE150),IF(Model!BE150&gt;0,Model!BE150,Model!BE126),Model!BE126)+Model!BE176+Model!BE177)/Model!BE114,-99),IFERROR((IF(ISNUMBER(Model!BJ150),IF(Model!BJ150&gt;0,Model!BJ150,Model!BJ126),Model!BJ126)+Model!BJ176+Model!BJ177)/Model!BJ114,-99),IFERROR((IF(ISNUMBER(Model!BO150),IF(Model!BO150&gt;0,Model!BO150,Model!BO126),Model!BO126)+Model!BO176+Model!BO177)/Model!BO114,-99),IFERROR((IF(ISNUMBER(Model!BT150),IF(Model!BT150&gt;0,Model!BT150,Model!BT126),Model!BT126)+Model!BT176+Model!BT177)/Model!BT114,-99),IFERROR((IF(ISNUMBER(Model!BY150),IF(Model!BY150&gt;0,Model!BY150,Model!BY126),Model!BY126)+Model!BY176+Model!BY177)/Model!BY114,-99),IFERROR((IF(ISNUMBER(Model!CD150),IF(Model!CD150&gt;0,Model!CD150,Model!CD126),Model!CD126)+Model!CD176+Model!CD177)/Model!CD114,-99))</f>
        <v>0.15670938169580875</v>
      </c>
      <c r="N36" s="647" t="s">
        <v>558</v>
      </c>
      <c r="O36" s="610">
        <v>0.15670938169580875</v>
      </c>
      <c r="P36" s="627">
        <v>0.14687797635306157</v>
      </c>
      <c r="Q36" s="562">
        <v>0.14987453064291312</v>
      </c>
      <c r="R36" s="562">
        <v>0.15370290979495049</v>
      </c>
      <c r="S36" s="562">
        <v>0.16049764943045411</v>
      </c>
      <c r="T36" s="562">
        <v>0.16756611808252059</v>
      </c>
      <c r="U36" s="600"/>
      <c r="V36" s="602">
        <v>0.13674468331179618</v>
      </c>
      <c r="W36" s="563">
        <v>0.12528449451442319</v>
      </c>
      <c r="X36" s="583">
        <v>0.15670938169580875</v>
      </c>
      <c r="Z36" s="647" t="s">
        <v>558</v>
      </c>
      <c r="AA36" s="610">
        <v>0.15670938169580875</v>
      </c>
      <c r="AB36" s="627">
        <v>0.14687797635306157</v>
      </c>
      <c r="AC36" s="562">
        <v>0.15008990619049484</v>
      </c>
      <c r="AD36" s="562">
        <v>0.1539525826543108</v>
      </c>
      <c r="AE36" s="562">
        <v>0.16071974574731043</v>
      </c>
      <c r="AF36" s="562">
        <v>0.16774343697398053</v>
      </c>
      <c r="AG36" s="600"/>
      <c r="AH36" s="602">
        <v>0.13674468331179618</v>
      </c>
      <c r="AI36" s="563">
        <v>0.12528449451442319</v>
      </c>
      <c r="AJ36" s="583">
        <v>0.15670938169580875</v>
      </c>
    </row>
    <row r="37" spans="2:36" x14ac:dyDescent="0.25">
      <c r="B37" s="575"/>
      <c r="C37" s="608"/>
      <c r="D37" s="575"/>
      <c r="I37" s="575"/>
      <c r="J37" s="575"/>
      <c r="L37" s="581"/>
      <c r="N37" s="575"/>
      <c r="O37" s="608"/>
      <c r="P37" s="575"/>
      <c r="U37" s="575"/>
      <c r="V37" s="575"/>
      <c r="X37" s="581"/>
      <c r="Z37" s="575"/>
      <c r="AA37" s="608"/>
      <c r="AB37" s="575"/>
      <c r="AG37" s="575"/>
      <c r="AH37" s="575"/>
      <c r="AJ37" s="581"/>
    </row>
    <row r="38" spans="2:36" x14ac:dyDescent="0.25">
      <c r="B38" s="576" t="s">
        <v>559</v>
      </c>
      <c r="C38" s="609">
        <f>Model!CD331</f>
        <v>883.47300000000007</v>
      </c>
      <c r="D38" s="625">
        <f>Model!CI331</f>
        <v>833.9473364428153</v>
      </c>
      <c r="E38" s="570">
        <f>Model!CJ331</f>
        <v>724.25125152085798</v>
      </c>
      <c r="F38" s="570">
        <f>Model!CK331</f>
        <v>530.27838006382603</v>
      </c>
      <c r="G38" s="570">
        <f>Model!CL331</f>
        <v>297.57845320747936</v>
      </c>
      <c r="H38" s="570">
        <f>Model!CM331</f>
        <v>52.601190064978141</v>
      </c>
      <c r="I38" s="575"/>
      <c r="J38" s="575"/>
      <c r="L38" s="581"/>
      <c r="N38" s="576" t="s">
        <v>559</v>
      </c>
      <c r="O38" s="609">
        <v>883.47300000000007</v>
      </c>
      <c r="P38" s="625">
        <v>833.49973444281534</v>
      </c>
      <c r="Q38" s="570">
        <v>747.61427382159798</v>
      </c>
      <c r="R38" s="570">
        <v>558.13657080106634</v>
      </c>
      <c r="S38" s="570">
        <v>313.85225501378261</v>
      </c>
      <c r="T38" s="570">
        <v>46.781921729098599</v>
      </c>
      <c r="U38" s="575"/>
      <c r="V38" s="575"/>
      <c r="X38" s="581"/>
      <c r="Z38" s="576" t="s">
        <v>559</v>
      </c>
      <c r="AA38" s="609">
        <v>883.47300000000007</v>
      </c>
      <c r="AB38" s="625">
        <v>833.49973444281534</v>
      </c>
      <c r="AC38" s="570">
        <v>683.4814245594431</v>
      </c>
      <c r="AD38" s="570">
        <v>470.75746679040321</v>
      </c>
      <c r="AE38" s="570">
        <v>239.31097615144722</v>
      </c>
      <c r="AF38" s="570">
        <v>13.449972211208774</v>
      </c>
      <c r="AG38" s="575"/>
      <c r="AH38" s="575"/>
      <c r="AJ38" s="581"/>
    </row>
    <row r="39" spans="2:36" x14ac:dyDescent="0.25">
      <c r="B39" s="647" t="s">
        <v>560</v>
      </c>
      <c r="C39" s="621">
        <f t="shared" ref="C39:H39" si="6">IFERROR(C38/C35,"")</f>
        <v>1.4602956052602003</v>
      </c>
      <c r="D39" s="948">
        <f t="shared" si="6"/>
        <v>1.3312631418245093</v>
      </c>
      <c r="E39" s="949">
        <f t="shared" si="6"/>
        <v>1.0470898177359707</v>
      </c>
      <c r="F39" s="949">
        <f t="shared" si="6"/>
        <v>0.69846726201739051</v>
      </c>
      <c r="G39" s="949">
        <f t="shared" si="6"/>
        <v>0.3525553837756441</v>
      </c>
      <c r="H39" s="949">
        <f t="shared" si="6"/>
        <v>5.6218145217475243E-2</v>
      </c>
      <c r="I39" s="600"/>
      <c r="J39" s="600"/>
      <c r="K39" s="561"/>
      <c r="L39" s="582"/>
      <c r="N39" s="647" t="s">
        <v>560</v>
      </c>
      <c r="O39" s="621">
        <v>1.4602956052602003</v>
      </c>
      <c r="P39" s="948">
        <v>1.3305486170352718</v>
      </c>
      <c r="Q39" s="949">
        <v>1.0527897324663591</v>
      </c>
      <c r="R39" s="949">
        <v>0.70157257208788504</v>
      </c>
      <c r="S39" s="949">
        <v>0.34886880590668329</v>
      </c>
      <c r="T39" s="949">
        <v>4.6166550248422283E-2</v>
      </c>
      <c r="U39" s="600"/>
      <c r="V39" s="600"/>
      <c r="W39" s="561"/>
      <c r="X39" s="582"/>
      <c r="Z39" s="647" t="s">
        <v>560</v>
      </c>
      <c r="AA39" s="621">
        <v>1.4602956052602003</v>
      </c>
      <c r="AB39" s="948">
        <v>1.3305486170352718</v>
      </c>
      <c r="AC39" s="949">
        <v>1.0299502934083085</v>
      </c>
      <c r="AD39" s="949">
        <v>0.67117286560612599</v>
      </c>
      <c r="AE39" s="949">
        <v>0.31787956660096223</v>
      </c>
      <c r="AF39" s="949">
        <v>1.6627694990449103E-2</v>
      </c>
      <c r="AG39" s="600"/>
      <c r="AH39" s="600"/>
      <c r="AI39" s="561"/>
      <c r="AJ39" s="582"/>
    </row>
    <row r="40" spans="2:36" x14ac:dyDescent="0.25">
      <c r="B40" s="575"/>
      <c r="C40" s="608"/>
      <c r="D40" s="575"/>
      <c r="I40" s="575"/>
      <c r="J40" s="575"/>
      <c r="L40" s="581"/>
      <c r="N40" s="575"/>
      <c r="O40" s="608"/>
      <c r="P40" s="575"/>
      <c r="U40" s="575"/>
      <c r="V40" s="575"/>
      <c r="X40" s="581"/>
      <c r="Z40" s="575"/>
      <c r="AA40" s="608"/>
      <c r="AB40" s="575"/>
      <c r="AG40" s="575"/>
      <c r="AH40" s="575"/>
      <c r="AJ40" s="581"/>
    </row>
    <row r="41" spans="2:36" x14ac:dyDescent="0.25">
      <c r="B41" s="576" t="s">
        <v>565</v>
      </c>
      <c r="C41" s="622">
        <f>Model!CD332</f>
        <v>0.13102097325430806</v>
      </c>
      <c r="D41" s="634">
        <f>Model!CI332</f>
        <v>0.12994009144979213</v>
      </c>
      <c r="E41" s="574">
        <f>Model!CJ332</f>
        <v>0.14017824692703038</v>
      </c>
      <c r="F41" s="574">
        <f>Model!CK332</f>
        <v>0.15132045281897141</v>
      </c>
      <c r="G41" s="574">
        <f>Model!CL332</f>
        <v>0.16501807233748611</v>
      </c>
      <c r="H41" s="574">
        <f>Model!CM332</f>
        <v>0.1767242544998191</v>
      </c>
      <c r="I41" s="642"/>
      <c r="J41" s="636">
        <f>AVERAGE(Model!AF332,Model!AK332,Model!AP332,Model!AU332,Model!AZ332,Model!BE332,Model!BJ332,Model!BO332,Model!BT332,Model!BY332,Model!CD332)</f>
        <v>0.10649688177860198</v>
      </c>
      <c r="K41" s="637">
        <f>MIN(Model!AF332,Model!AK332,Model!AP332,Model!AU332,Model!AZ332,Model!BE332,Model!BJ332,Model!BO332,Model!BT332,Model!BY332,Model!CD332)</f>
        <v>7.8655446968030077E-2</v>
      </c>
      <c r="L41" s="638">
        <f>MAX(Model!AF332,Model!AK332,Model!AP332,Model!AU332,Model!AZ332,Model!BE332,Model!BJ332,Model!BO332,Model!BT332,Model!BY332,Model!CD332)</f>
        <v>0.13418059193538248</v>
      </c>
      <c r="N41" s="576" t="s">
        <v>565</v>
      </c>
      <c r="O41" s="622">
        <v>0.13102097325430806</v>
      </c>
      <c r="P41" s="634">
        <v>0.12994009144979216</v>
      </c>
      <c r="Q41" s="574">
        <v>0.14220323032105589</v>
      </c>
      <c r="R41" s="574">
        <v>0.15521946963085384</v>
      </c>
      <c r="S41" s="574">
        <v>0.17077483885371736</v>
      </c>
      <c r="T41" s="574">
        <v>0.1842499107181032</v>
      </c>
      <c r="U41" s="642"/>
      <c r="V41" s="636">
        <v>0.10649688177860198</v>
      </c>
      <c r="W41" s="637">
        <v>7.8655446968030077E-2</v>
      </c>
      <c r="X41" s="638">
        <v>0.13418059193538248</v>
      </c>
      <c r="Z41" s="576" t="s">
        <v>565</v>
      </c>
      <c r="AA41" s="622">
        <v>0.13102097325430806</v>
      </c>
      <c r="AB41" s="634">
        <v>0.12994009144979216</v>
      </c>
      <c r="AC41" s="574">
        <v>0.13700201089828073</v>
      </c>
      <c r="AD41" s="574">
        <v>0.14475875979811639</v>
      </c>
      <c r="AE41" s="574">
        <v>0.15476994816495088</v>
      </c>
      <c r="AF41" s="574">
        <v>0.1630934874823316</v>
      </c>
      <c r="AG41" s="642"/>
      <c r="AH41" s="636">
        <v>0.10649688177860198</v>
      </c>
      <c r="AI41" s="637">
        <v>7.8655446968030077E-2</v>
      </c>
      <c r="AJ41" s="638">
        <v>0.13418059193538248</v>
      </c>
    </row>
    <row r="42" spans="2:36" ht="16.5" thickBot="1" x14ac:dyDescent="0.3">
      <c r="B42" s="589" t="s">
        <v>566</v>
      </c>
      <c r="C42" s="623">
        <f>Model!CD346</f>
        <v>0.16117724478806231</v>
      </c>
      <c r="D42" s="635">
        <f>Model!CI346</f>
        <v>0.15804571186933983</v>
      </c>
      <c r="E42" s="590">
        <f>Model!CJ346</f>
        <v>0.16882624792412027</v>
      </c>
      <c r="F42" s="590">
        <f>Model!CK346</f>
        <v>0.18092714177039762</v>
      </c>
      <c r="G42" s="590">
        <f>Model!CL346</f>
        <v>0.19564960400796422</v>
      </c>
      <c r="H42" s="590">
        <f>Model!CM346</f>
        <v>0.2072591296851804</v>
      </c>
      <c r="I42" s="643"/>
      <c r="J42" s="639">
        <f>AVERAGE(Model!AF346,Model!AK346,Model!AP346,Model!AU346,Model!AZ346,Model!BE346,Model!BJ346,Model!BO346,Model!BT346,Model!BY346,Model!CD346)</f>
        <v>0.14509836354901418</v>
      </c>
      <c r="K42" s="640">
        <f>MIN(Model!AF346,Model!AK346,Model!AP346,Model!AU346,Model!AZ346,Model!BE346,Model!BJ346,Model!BO346,Model!BT346,Model!BY346,Model!CD346)</f>
        <v>0.11691297237847875</v>
      </c>
      <c r="L42" s="641">
        <f>MAX(Model!AF346,Model!AK346,Model!AP346,Model!AU346,Model!AZ346,Model!BE346,Model!BJ346,Model!BO346,Model!BT346,Model!BY346,Model!CD346)</f>
        <v>0.17231893090268455</v>
      </c>
      <c r="N42" s="589" t="s">
        <v>566</v>
      </c>
      <c r="O42" s="623">
        <v>0.16117724478806231</v>
      </c>
      <c r="P42" s="635">
        <v>0.15804571186933986</v>
      </c>
      <c r="Q42" s="590">
        <v>0.17083277094974533</v>
      </c>
      <c r="R42" s="590">
        <v>0.18476788926322812</v>
      </c>
      <c r="S42" s="590">
        <v>0.20126589980846679</v>
      </c>
      <c r="T42" s="590">
        <v>0.21449288213387638</v>
      </c>
      <c r="U42" s="643"/>
      <c r="V42" s="639">
        <v>0.14509836354901418</v>
      </c>
      <c r="W42" s="640">
        <v>0.11691297237847875</v>
      </c>
      <c r="X42" s="641">
        <v>0.17231893090268455</v>
      </c>
      <c r="Z42" s="589" t="s">
        <v>566</v>
      </c>
      <c r="AA42" s="623">
        <v>0.16117724478806231</v>
      </c>
      <c r="AB42" s="635">
        <v>0.15804571186933986</v>
      </c>
      <c r="AC42" s="590">
        <v>0.16565842918607143</v>
      </c>
      <c r="AD42" s="590">
        <v>0.1743824442558726</v>
      </c>
      <c r="AE42" s="590">
        <v>0.18547153584704942</v>
      </c>
      <c r="AF42" s="590">
        <v>0.19387150874848613</v>
      </c>
      <c r="AG42" s="643"/>
      <c r="AH42" s="639">
        <v>0.14509836354901418</v>
      </c>
      <c r="AI42" s="640">
        <v>0.11691297237847875</v>
      </c>
      <c r="AJ42" s="641">
        <v>0.17231893090268455</v>
      </c>
    </row>
    <row r="44" spans="2:36" x14ac:dyDescent="0.25">
      <c r="B44" s="3" t="s">
        <v>985</v>
      </c>
      <c r="E44" s="16">
        <f>E27*E21/1000</f>
        <v>0</v>
      </c>
      <c r="F44" s="16">
        <f>F27*F21/1000</f>
        <v>8597.7341191638388</v>
      </c>
      <c r="G44" s="16">
        <f>G27*G21/1000</f>
        <v>9802.1327547580822</v>
      </c>
      <c r="H44" s="16">
        <f>H27*H21/1000</f>
        <v>11120.796932849356</v>
      </c>
      <c r="N44" s="3" t="s">
        <v>985</v>
      </c>
      <c r="Q44" s="16">
        <v>8714.9363668047918</v>
      </c>
      <c r="R44" s="16">
        <v>10038.820069770069</v>
      </c>
      <c r="S44" s="16">
        <v>11680.450010890932</v>
      </c>
      <c r="T44" s="16">
        <v>13478.276087241022</v>
      </c>
      <c r="Z44" s="3" t="s">
        <v>985</v>
      </c>
      <c r="AC44" s="16">
        <v>6607.0031824079961</v>
      </c>
      <c r="AD44" s="16">
        <v>7146.4369391098489</v>
      </c>
      <c r="AE44" s="16">
        <v>7876.1742936978362</v>
      </c>
      <c r="AF44" s="16">
        <v>8665.8241333015376</v>
      </c>
    </row>
    <row r="45" spans="2:36" x14ac:dyDescent="0.25">
      <c r="B45" s="210" t="s">
        <v>568</v>
      </c>
      <c r="E45" s="211">
        <f>E38</f>
        <v>724.25125152085798</v>
      </c>
      <c r="F45" s="211">
        <f>F38</f>
        <v>530.27838006382603</v>
      </c>
      <c r="G45" s="211">
        <f>G38</f>
        <v>297.57845320747936</v>
      </c>
      <c r="H45" s="211">
        <f>H38</f>
        <v>52.601190064978141</v>
      </c>
      <c r="N45" s="210" t="s">
        <v>568</v>
      </c>
      <c r="Q45" s="211">
        <v>747.61427382159798</v>
      </c>
      <c r="R45" s="211">
        <v>558.13657080106634</v>
      </c>
      <c r="S45" s="211">
        <v>313.85225501378261</v>
      </c>
      <c r="T45" s="211">
        <v>46.781921729098599</v>
      </c>
      <c r="Z45" s="210" t="s">
        <v>568</v>
      </c>
      <c r="AC45" s="211">
        <v>683.4814245594431</v>
      </c>
      <c r="AD45" s="211">
        <v>470.75746679040321</v>
      </c>
      <c r="AE45" s="211">
        <v>239.31097615144722</v>
      </c>
      <c r="AF45" s="211">
        <v>13.449972211208774</v>
      </c>
    </row>
    <row r="46" spans="2:36" x14ac:dyDescent="0.25">
      <c r="B46" s="57" t="s">
        <v>986</v>
      </c>
      <c r="C46" s="543"/>
      <c r="D46" s="543"/>
      <c r="E46" s="495">
        <f>E44+E45</f>
        <v>724.25125152085798</v>
      </c>
      <c r="F46" s="495">
        <f>F44+F45</f>
        <v>9128.0124992276651</v>
      </c>
      <c r="G46" s="495">
        <f>G44+G45</f>
        <v>10099.711207965562</v>
      </c>
      <c r="H46" s="495">
        <f>H44+H45</f>
        <v>11173.398122914334</v>
      </c>
      <c r="N46" s="57" t="s">
        <v>986</v>
      </c>
      <c r="O46" s="543"/>
      <c r="P46" s="543"/>
      <c r="Q46" s="495">
        <v>9462.5506406263903</v>
      </c>
      <c r="R46" s="495">
        <v>10596.956640571136</v>
      </c>
      <c r="S46" s="495">
        <v>11994.302265904715</v>
      </c>
      <c r="T46" s="495">
        <v>13525.05800897012</v>
      </c>
      <c r="Z46" s="57" t="s">
        <v>986</v>
      </c>
      <c r="AA46" s="543"/>
      <c r="AB46" s="543"/>
      <c r="AC46" s="495">
        <v>7290.4846069674395</v>
      </c>
      <c r="AD46" s="495">
        <v>7617.1944059002526</v>
      </c>
      <c r="AE46" s="495">
        <v>8115.4852698492832</v>
      </c>
      <c r="AF46" s="495">
        <v>8679.2741055127462</v>
      </c>
    </row>
    <row r="47" spans="2:36" x14ac:dyDescent="0.25">
      <c r="B47" s="546" t="s">
        <v>570</v>
      </c>
      <c r="C47" s="547"/>
      <c r="D47" s="547"/>
      <c r="E47" s="548">
        <f>IFERROR(E46/E35,"")</f>
        <v>1.0470898177359707</v>
      </c>
      <c r="F47" s="548">
        <f>IFERROR(F46/F35,"")</f>
        <v>12.023152626416101</v>
      </c>
      <c r="G47" s="548">
        <f>IFERROR(G46/G35,"")</f>
        <v>11.965609480686613</v>
      </c>
      <c r="H47" s="548">
        <f>IFERROR(H46/H35,"")</f>
        <v>11.941701651059866</v>
      </c>
      <c r="N47" s="546" t="s">
        <v>570</v>
      </c>
      <c r="O47" s="547"/>
      <c r="P47" s="547"/>
      <c r="Q47" s="548">
        <v>13.325155105012971</v>
      </c>
      <c r="R47" s="548">
        <v>13.320277716184874</v>
      </c>
      <c r="S47" s="548">
        <v>13.33250866400895</v>
      </c>
      <c r="T47" s="548">
        <v>13.347148793923143</v>
      </c>
      <c r="Z47" s="546" t="s">
        <v>570</v>
      </c>
      <c r="AA47" s="547"/>
      <c r="AB47" s="547"/>
      <c r="AC47" s="548">
        <v>10.986160691747987</v>
      </c>
      <c r="AD47" s="548">
        <v>10.860059707907423</v>
      </c>
      <c r="AE47" s="548">
        <v>10.779893934758755</v>
      </c>
      <c r="AF47" s="548">
        <v>10.729860277681492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C773B-B0F9-465C-9061-9F0555E56742}">
  <dimension ref="B2:T129"/>
  <sheetViews>
    <sheetView topLeftCell="A103" zoomScale="70" zoomScaleNormal="70" workbookViewId="0">
      <selection activeCell="B131" sqref="B131"/>
    </sheetView>
  </sheetViews>
  <sheetFormatPr defaultRowHeight="15.75" x14ac:dyDescent="0.25"/>
  <cols>
    <col min="2" max="2" width="43.375" customWidth="1"/>
    <col min="3" max="4" width="13" customWidth="1"/>
    <col min="5" max="5" width="11.5" customWidth="1"/>
    <col min="6" max="13" width="13" customWidth="1"/>
    <col min="14" max="18" width="11.125" customWidth="1"/>
    <col min="19" max="19" width="10.875" bestFit="1" customWidth="1"/>
  </cols>
  <sheetData>
    <row r="2" spans="2:4" ht="18.75" x14ac:dyDescent="0.3">
      <c r="B2" s="481" t="s">
        <v>988</v>
      </c>
    </row>
    <row r="4" spans="2:4" x14ac:dyDescent="0.25">
      <c r="B4" s="148" t="s">
        <v>437</v>
      </c>
    </row>
    <row r="5" spans="2:4" x14ac:dyDescent="0.25">
      <c r="B5" t="s">
        <v>483</v>
      </c>
      <c r="C5" s="484">
        <v>4.2999999999999997E-2</v>
      </c>
      <c r="D5" t="s">
        <v>989</v>
      </c>
    </row>
    <row r="6" spans="2:4" x14ac:dyDescent="0.25">
      <c r="B6" t="s">
        <v>438</v>
      </c>
      <c r="C6" s="484">
        <v>5.5E-2</v>
      </c>
      <c r="D6" t="s">
        <v>445</v>
      </c>
    </row>
    <row r="7" spans="2:4" x14ac:dyDescent="0.25">
      <c r="B7" t="s">
        <v>439</v>
      </c>
      <c r="C7" s="485">
        <v>1.02</v>
      </c>
      <c r="D7" t="s">
        <v>990</v>
      </c>
    </row>
    <row r="8" spans="2:4" x14ac:dyDescent="0.25">
      <c r="B8" t="s">
        <v>440</v>
      </c>
      <c r="C8" s="484">
        <f>C5+C7*C6</f>
        <v>9.9099999999999994E-2</v>
      </c>
    </row>
    <row r="9" spans="2:4" x14ac:dyDescent="0.25">
      <c r="B9" t="s">
        <v>441</v>
      </c>
      <c r="C9" s="484">
        <v>0.05</v>
      </c>
      <c r="D9" t="s">
        <v>991</v>
      </c>
    </row>
    <row r="10" spans="2:4" x14ac:dyDescent="0.25">
      <c r="B10" t="s">
        <v>442</v>
      </c>
      <c r="C10" s="484">
        <v>0.24</v>
      </c>
      <c r="D10" t="s">
        <v>992</v>
      </c>
    </row>
    <row r="11" spans="2:4" x14ac:dyDescent="0.25">
      <c r="B11" t="s">
        <v>443</v>
      </c>
      <c r="C11" s="484">
        <f>C9*(1-C10)</f>
        <v>3.8000000000000006E-2</v>
      </c>
    </row>
    <row r="12" spans="2:4" x14ac:dyDescent="0.25">
      <c r="B12" t="s">
        <v>444</v>
      </c>
      <c r="C12" s="484">
        <v>0.2</v>
      </c>
      <c r="D12" t="s">
        <v>449</v>
      </c>
    </row>
    <row r="13" spans="2:4" x14ac:dyDescent="0.25">
      <c r="B13" s="3" t="s">
        <v>450</v>
      </c>
      <c r="C13" s="483">
        <f>C8*(1-C12)+C11*C12</f>
        <v>8.6879999999999999E-2</v>
      </c>
    </row>
    <row r="15" spans="2:4" x14ac:dyDescent="0.25">
      <c r="B15" s="3" t="s">
        <v>585</v>
      </c>
      <c r="C15" s="655">
        <f ca="1">TODAY()</f>
        <v>46169</v>
      </c>
      <c r="D15" s="539"/>
    </row>
    <row r="16" spans="2:4" x14ac:dyDescent="0.25">
      <c r="B16" s="148" t="s">
        <v>1094</v>
      </c>
    </row>
    <row r="17" spans="2:20" x14ac:dyDescent="0.25">
      <c r="D17" s="63" t="s">
        <v>668</v>
      </c>
      <c r="E17" s="63" t="s">
        <v>669</v>
      </c>
      <c r="F17" s="63" t="s">
        <v>670</v>
      </c>
      <c r="G17" s="63" t="s">
        <v>671</v>
      </c>
      <c r="H17" s="63" t="s">
        <v>672</v>
      </c>
      <c r="I17" s="63" t="s">
        <v>994</v>
      </c>
      <c r="J17" s="63" t="s">
        <v>995</v>
      </c>
      <c r="K17" s="63" t="s">
        <v>996</v>
      </c>
      <c r="L17" s="63" t="s">
        <v>997</v>
      </c>
      <c r="M17" s="63" t="s">
        <v>998</v>
      </c>
      <c r="N17" s="63" t="s">
        <v>1088</v>
      </c>
      <c r="O17" s="544" t="s">
        <v>1089</v>
      </c>
      <c r="P17" s="63" t="s">
        <v>1090</v>
      </c>
      <c r="Q17" s="63" t="s">
        <v>1091</v>
      </c>
      <c r="R17" s="63" t="s">
        <v>1092</v>
      </c>
      <c r="S17" s="63" t="s">
        <v>457</v>
      </c>
      <c r="T17" s="544" t="s">
        <v>1093</v>
      </c>
    </row>
    <row r="18" spans="2:20" x14ac:dyDescent="0.25">
      <c r="B18" t="s">
        <v>196</v>
      </c>
      <c r="D18" s="1">
        <f>IF(ISNUMBER(Model!CI150),IF(Model!CI150&gt;0,Model!CI150,Model!CI126),Model!CI126)</f>
        <v>511.84053966666681</v>
      </c>
      <c r="E18" s="1">
        <f>IF(ISNUMBER(Model!CJ150),IF(Model!CJ150&gt;0,Model!CJ150,Model!CJ126),Model!CJ126)</f>
        <v>567.74948012444418</v>
      </c>
      <c r="F18" s="1">
        <f>IF(ISNUMBER(Model!CK150),IF(Model!CK150&gt;0,Model!CK150,Model!CK126),Model!CK126)</f>
        <v>626.56642648129662</v>
      </c>
      <c r="G18" s="1">
        <f>IF(ISNUMBER(Model!CL150),IF(Model!CL150&gt;0,Model!CL150,Model!CL126),Model!CL126)</f>
        <v>702.82691955281598</v>
      </c>
      <c r="H18" s="1">
        <f>IF(ISNUMBER(Model!CM150),IF(Model!CM150&gt;0,Model!CM150,Model!CM126),Model!CM126)</f>
        <v>785.6865627352521</v>
      </c>
      <c r="I18" s="1">
        <f>H18*(1+(H18/G18-1)+(($C$27-(H18/G18-1))*1/10))</f>
        <v>871.80199395552154</v>
      </c>
      <c r="J18" s="1">
        <f>I18*(1+(H18/G18-1)+(($C$27-(H18/G18-1))*2/10))</f>
        <v>960.12934932277687</v>
      </c>
      <c r="K18" s="1">
        <f>J18*(1+(H18/G18-1)+(($C$27-(H18/G18-1))*3/10))</f>
        <v>1049.4466917087177</v>
      </c>
      <c r="L18" s="1">
        <f>K18*(1+(H18/G18-1)+(($C$27-(H18/G18-1))*4/10))</f>
        <v>1138.3735337342189</v>
      </c>
      <c r="M18" s="1">
        <f>L18*(1+(H18/G18-1)+(($C$27-(H18/G18-1))*5/10))</f>
        <v>1225.3992339107999</v>
      </c>
      <c r="N18" s="1">
        <f>M18*(1+(H18/G18-1)+(($C$27-(H18/G18-1))*6/10))</f>
        <v>1308.9198997002247</v>
      </c>
      <c r="O18" s="1">
        <f>N18*(1+(H18/G18-1)+(($C$27-(H18/G18-1))*7/10))</f>
        <v>1387.2828944525832</v>
      </c>
      <c r="P18" s="1">
        <f>O18*(1+(H18/G18-1)+(($C$27-(H18/G18-1))*8/10))</f>
        <v>1458.8375049798317</v>
      </c>
      <c r="Q18" s="1">
        <f>P18*(1+(H18/G18-1)+(($C$27-(H18/G18-1))*9/10))</f>
        <v>1521.9898228191107</v>
      </c>
      <c r="R18" s="1">
        <f>Q18*(1+$C$27)</f>
        <v>1575.2594666177795</v>
      </c>
      <c r="T18" s="486">
        <f>IFERROR((R18/D18)^(1/14)-1,"n/m")</f>
        <v>8.3609172761688999E-2</v>
      </c>
    </row>
    <row r="19" spans="2:20" x14ac:dyDescent="0.25">
      <c r="B19" t="s">
        <v>458</v>
      </c>
      <c r="D19" s="486">
        <f t="shared" ref="D19:H19" si="0">1-$C$10</f>
        <v>0.76</v>
      </c>
      <c r="E19" s="486">
        <f t="shared" si="0"/>
        <v>0.76</v>
      </c>
      <c r="F19" s="486">
        <f t="shared" si="0"/>
        <v>0.76</v>
      </c>
      <c r="G19" s="486">
        <f t="shared" si="0"/>
        <v>0.76</v>
      </c>
      <c r="H19" s="486">
        <f t="shared" si="0"/>
        <v>0.76</v>
      </c>
      <c r="I19" s="486">
        <f t="shared" ref="I19:R19" si="1">1-$C$10</f>
        <v>0.76</v>
      </c>
      <c r="J19" s="486">
        <f t="shared" si="1"/>
        <v>0.76</v>
      </c>
      <c r="K19" s="486">
        <f t="shared" si="1"/>
        <v>0.76</v>
      </c>
      <c r="L19" s="486">
        <f t="shared" si="1"/>
        <v>0.76</v>
      </c>
      <c r="M19" s="486">
        <f t="shared" si="1"/>
        <v>0.76</v>
      </c>
      <c r="N19" s="486">
        <f t="shared" si="1"/>
        <v>0.76</v>
      </c>
      <c r="O19" s="486">
        <f t="shared" si="1"/>
        <v>0.76</v>
      </c>
      <c r="P19" s="486">
        <f t="shared" si="1"/>
        <v>0.76</v>
      </c>
      <c r="Q19" s="486">
        <f t="shared" si="1"/>
        <v>0.76</v>
      </c>
      <c r="R19" s="486">
        <f t="shared" si="1"/>
        <v>0.76</v>
      </c>
    </row>
    <row r="20" spans="2:20" x14ac:dyDescent="0.25">
      <c r="B20" s="3" t="s">
        <v>480</v>
      </c>
      <c r="C20" s="3"/>
      <c r="D20" s="16">
        <f t="shared" ref="D20:H20" si="2">D18*D19</f>
        <v>388.99881014666676</v>
      </c>
      <c r="E20" s="16">
        <f t="shared" si="2"/>
        <v>431.48960489457755</v>
      </c>
      <c r="F20" s="16">
        <f t="shared" si="2"/>
        <v>476.19048412578542</v>
      </c>
      <c r="G20" s="16">
        <f t="shared" si="2"/>
        <v>534.14845886014018</v>
      </c>
      <c r="H20" s="16">
        <f t="shared" si="2"/>
        <v>597.12178767879163</v>
      </c>
      <c r="I20" s="16">
        <f t="shared" ref="I20:R20" si="3">I18*I19</f>
        <v>662.56951540619639</v>
      </c>
      <c r="J20" s="16">
        <f t="shared" si="3"/>
        <v>729.69830548531047</v>
      </c>
      <c r="K20" s="16">
        <f t="shared" si="3"/>
        <v>797.57948569862549</v>
      </c>
      <c r="L20" s="16">
        <f t="shared" si="3"/>
        <v>865.16388563800638</v>
      </c>
      <c r="M20" s="16">
        <f t="shared" si="3"/>
        <v>931.30341777220792</v>
      </c>
      <c r="N20" s="16">
        <f t="shared" si="3"/>
        <v>994.77912377217081</v>
      </c>
      <c r="O20" s="16">
        <f t="shared" si="3"/>
        <v>1054.3349997839632</v>
      </c>
      <c r="P20" s="16">
        <f t="shared" si="3"/>
        <v>1108.7165037846721</v>
      </c>
      <c r="Q20" s="16">
        <f t="shared" si="3"/>
        <v>1156.7122653425242</v>
      </c>
      <c r="R20" s="16">
        <f t="shared" si="3"/>
        <v>1197.1971946295125</v>
      </c>
      <c r="T20" s="944">
        <f>IFERROR((R20/D20)^(1/14)-1,"n/m")</f>
        <v>8.3609172761688999E-2</v>
      </c>
    </row>
    <row r="21" spans="2:20" x14ac:dyDescent="0.25">
      <c r="B21" t="s">
        <v>482</v>
      </c>
      <c r="D21" s="1">
        <f>Model!CI176+Model!CI177</f>
        <v>114.59259007497253</v>
      </c>
      <c r="E21" s="1">
        <f>Model!CJ176+Model!CJ177</f>
        <v>123.93067878192562</v>
      </c>
      <c r="F21" s="1">
        <f>Model!CK176+Model!CK177</f>
        <v>132.63648666915978</v>
      </c>
      <c r="G21" s="1">
        <f>Model!CL176+Model!CL177</f>
        <v>141.23465744142325</v>
      </c>
      <c r="H21" s="1">
        <f>Model!CM176+Model!CM177</f>
        <v>149.9755773352677</v>
      </c>
      <c r="I21" s="1">
        <f t="shared" ref="I21:R21" si="4">H21*(I18/H18)</f>
        <v>166.41369926237948</v>
      </c>
      <c r="J21" s="1">
        <f t="shared" si="4"/>
        <v>183.27404376106122</v>
      </c>
      <c r="K21" s="1">
        <f t="shared" si="4"/>
        <v>200.32336167703662</v>
      </c>
      <c r="L21" s="1">
        <f t="shared" si="4"/>
        <v>217.29813903220276</v>
      </c>
      <c r="M21" s="1">
        <f t="shared" si="4"/>
        <v>233.91001741478701</v>
      </c>
      <c r="N21" s="1">
        <f t="shared" si="4"/>
        <v>249.85283821038175</v>
      </c>
      <c r="O21" s="1">
        <f t="shared" si="4"/>
        <v>264.81113829736654</v>
      </c>
      <c r="P21" s="1">
        <f t="shared" si="4"/>
        <v>278.46982171364436</v>
      </c>
      <c r="Q21" s="1">
        <f t="shared" si="4"/>
        <v>290.52463565246654</v>
      </c>
      <c r="R21" s="1">
        <f t="shared" si="4"/>
        <v>300.69299790030283</v>
      </c>
    </row>
    <row r="22" spans="2:20" x14ac:dyDescent="0.25">
      <c r="B22" t="s">
        <v>993</v>
      </c>
      <c r="D22" s="1">
        <f>-ABS(Model!CI189)</f>
        <v>-159.89029147521248</v>
      </c>
      <c r="E22" s="1">
        <f>-ABS(Model!CJ189)</f>
        <v>-172.91966557522429</v>
      </c>
      <c r="F22" s="1">
        <f>-ABS(Model!CK189)</f>
        <v>-185.06682238271395</v>
      </c>
      <c r="G22" s="1">
        <f>-ABS(Model!CL189)</f>
        <v>-197.0637938276513</v>
      </c>
      <c r="H22" s="1">
        <f>-ABS(Model!CM189)</f>
        <v>-209.2599421883254</v>
      </c>
      <c r="I22" s="1">
        <f t="shared" ref="I22:R22" si="5">H22*(I18/H18)</f>
        <v>-232.19594620491509</v>
      </c>
      <c r="J22" s="1">
        <f t="shared" si="5"/>
        <v>-255.72107461420384</v>
      </c>
      <c r="K22" s="1">
        <f t="shared" si="5"/>
        <v>-279.50987639672189</v>
      </c>
      <c r="L22" s="1">
        <f t="shared" si="5"/>
        <v>-303.19467222225165</v>
      </c>
      <c r="M22" s="1">
        <f t="shared" si="5"/>
        <v>-326.37311748476321</v>
      </c>
      <c r="N22" s="1">
        <f t="shared" si="5"/>
        <v>-348.61803107190673</v>
      </c>
      <c r="O22" s="1">
        <f t="shared" si="5"/>
        <v>-369.48924935327142</v>
      </c>
      <c r="P22" s="1">
        <f t="shared" si="5"/>
        <v>-388.54712099372824</v>
      </c>
      <c r="Q22" s="1">
        <f t="shared" si="5"/>
        <v>-405.3671240418895</v>
      </c>
      <c r="R22" s="1">
        <f t="shared" si="5"/>
        <v>-419.55497338335562</v>
      </c>
    </row>
    <row r="23" spans="2:20" x14ac:dyDescent="0.25">
      <c r="B23" t="s">
        <v>460</v>
      </c>
      <c r="D23" s="1">
        <f>Model!CI180+Model!CI181+Model!CI182+Model!CI183+Model!CI184</f>
        <v>-67.352429855908838</v>
      </c>
      <c r="E23" s="1">
        <f>Model!CJ180+Model!CJ181+Model!CJ182+Model!CJ183+Model!CJ184</f>
        <v>-50.733395699943856</v>
      </c>
      <c r="F23" s="1">
        <f>Model!CK180+Model!CK181+Model!CK182+Model!CK183+Model!CK184</f>
        <v>-11.773445454272476</v>
      </c>
      <c r="G23" s="1">
        <f>Model!CL180+Model!CL181+Model!CL182+Model!CL183+Model!CL184</f>
        <v>-29.770872273107301</v>
      </c>
      <c r="H23" s="1">
        <f>Model!CM180+Model!CM181+Model!CM182+Model!CM183+Model!CM184</f>
        <v>-78.57375049876066</v>
      </c>
      <c r="I23" s="1">
        <f t="shared" ref="I23:R23" si="6">H23*(I18/H18)</f>
        <v>-87.185851975001214</v>
      </c>
      <c r="J23" s="1">
        <f t="shared" si="6"/>
        <v>-96.019160207587959</v>
      </c>
      <c r="K23" s="1">
        <f t="shared" si="6"/>
        <v>-104.95147356090938</v>
      </c>
      <c r="L23" s="1">
        <f t="shared" si="6"/>
        <v>-113.84473434626521</v>
      </c>
      <c r="M23" s="1">
        <f t="shared" si="6"/>
        <v>-122.54786862012803</v>
      </c>
      <c r="N23" s="1">
        <f t="shared" si="6"/>
        <v>-130.90047672937476</v>
      </c>
      <c r="O23" s="1">
        <f t="shared" si="6"/>
        <v>-138.73728429366841</v>
      </c>
      <c r="P23" s="1">
        <f t="shared" si="6"/>
        <v>-145.89320929133001</v>
      </c>
      <c r="Q23" s="1">
        <f t="shared" si="6"/>
        <v>-152.20885054150881</v>
      </c>
      <c r="R23" s="1">
        <f t="shared" si="6"/>
        <v>-157.53616031046161</v>
      </c>
    </row>
    <row r="24" spans="2:20" x14ac:dyDescent="0.25">
      <c r="B24" s="482" t="s">
        <v>481</v>
      </c>
      <c r="C24" s="482"/>
      <c r="D24" s="287">
        <f t="shared" ref="D24:R24" si="7">D20+D21+D22+D23</f>
        <v>276.34867889051799</v>
      </c>
      <c r="E24" s="287">
        <f t="shared" si="7"/>
        <v>331.76722240133512</v>
      </c>
      <c r="F24" s="287">
        <f t="shared" si="7"/>
        <v>411.98670295795876</v>
      </c>
      <c r="G24" s="287">
        <f t="shared" si="7"/>
        <v>448.54845020080484</v>
      </c>
      <c r="H24" s="287">
        <f t="shared" si="7"/>
        <v>459.26367232697328</v>
      </c>
      <c r="I24" s="287">
        <f t="shared" si="7"/>
        <v>509.60141648865954</v>
      </c>
      <c r="J24" s="287">
        <f t="shared" si="7"/>
        <v>561.23211442457978</v>
      </c>
      <c r="K24" s="287">
        <f t="shared" si="7"/>
        <v>613.44149741803085</v>
      </c>
      <c r="L24" s="287">
        <f t="shared" si="7"/>
        <v>665.42261810169214</v>
      </c>
      <c r="M24" s="287">
        <f t="shared" si="7"/>
        <v>716.29244908210364</v>
      </c>
      <c r="N24" s="287">
        <f t="shared" si="7"/>
        <v>765.11345418127121</v>
      </c>
      <c r="O24" s="287">
        <f t="shared" si="7"/>
        <v>810.91960443439007</v>
      </c>
      <c r="P24" s="287">
        <f t="shared" si="7"/>
        <v>852.7459952132582</v>
      </c>
      <c r="Q24" s="287">
        <f t="shared" si="7"/>
        <v>889.66092641159253</v>
      </c>
      <c r="R24" s="287">
        <f t="shared" si="7"/>
        <v>920.79905883599804</v>
      </c>
      <c r="S24" s="958">
        <f>R24*(1+$C$27)</f>
        <v>953.02702589525791</v>
      </c>
      <c r="T24" s="486">
        <f>IFERROR((R24/D24)^(1/14)-1,"n/m")</f>
        <v>8.9773512986178083E-2</v>
      </c>
    </row>
    <row r="25" spans="2:20" x14ac:dyDescent="0.25">
      <c r="B25" s="482" t="s">
        <v>462</v>
      </c>
      <c r="C25" s="482"/>
      <c r="D25" s="287"/>
      <c r="E25" s="287"/>
      <c r="F25" s="287"/>
      <c r="G25" s="287"/>
      <c r="H25" s="287"/>
      <c r="I25" s="287"/>
      <c r="J25" s="287"/>
      <c r="K25" s="287"/>
      <c r="L25" s="287"/>
      <c r="M25" s="287"/>
      <c r="N25" s="287"/>
      <c r="O25" s="287"/>
      <c r="P25" s="287"/>
      <c r="Q25" s="287"/>
      <c r="R25" s="287"/>
      <c r="S25" s="958">
        <f>S24/($C$13-$C$27)</f>
        <v>18369.834731982613</v>
      </c>
    </row>
    <row r="27" spans="2:20" x14ac:dyDescent="0.25">
      <c r="B27" t="s">
        <v>461</v>
      </c>
      <c r="C27" s="15">
        <v>3.5000000000000003E-2</v>
      </c>
    </row>
    <row r="29" spans="2:20" x14ac:dyDescent="0.25">
      <c r="B29" t="s">
        <v>463</v>
      </c>
      <c r="D29" s="656">
        <f ca="1">(DATE(2026+0,12,31)-$C$15)/365.25</f>
        <v>0.59685147159479812</v>
      </c>
      <c r="E29" s="656">
        <f ca="1">(DATE(2026+1,12,31)-$C$15)/365.25</f>
        <v>1.5961670088980151</v>
      </c>
      <c r="F29" s="656">
        <f ca="1">(DATE(2026+2,12,31)-$C$15)/365.25</f>
        <v>2.5982203969883639</v>
      </c>
      <c r="G29" s="656">
        <f ca="1">(DATE(2026+3,12,31)-$C$15)/365.25</f>
        <v>3.5975359342915811</v>
      </c>
      <c r="H29" s="656">
        <f ca="1">(DATE(2026+4,12,31)-$C$15)/365.25</f>
        <v>4.5968514715947979</v>
      </c>
      <c r="I29" s="656">
        <f ca="1">(DATE(2031,12,31)-$C$15)/365.25</f>
        <v>5.5961670088980151</v>
      </c>
      <c r="J29" s="656">
        <f ca="1">(DATE(2032,12,31)-$C$15)/365.25</f>
        <v>6.5982203969883644</v>
      </c>
      <c r="K29" s="656">
        <f ca="1">(DATE(2033,12,31)-$C$15)/365.25</f>
        <v>7.5975359342915807</v>
      </c>
      <c r="L29" s="656">
        <f ca="1">(DATE(2034,12,31)-$C$15)/365.25</f>
        <v>8.5968514715947979</v>
      </c>
      <c r="M29" s="656">
        <f ca="1">(DATE(2035,12,31)-$C$15)/365.25</f>
        <v>9.5961670088980142</v>
      </c>
      <c r="N29" s="656">
        <f ca="1">(DATE(2036,12,31)-$C$15)/365.25</f>
        <v>10.598220396988363</v>
      </c>
      <c r="O29" s="656">
        <f ca="1">(DATE(2037,12,31)-$C$15)/365.25</f>
        <v>11.597535934291582</v>
      </c>
      <c r="P29" s="656">
        <f ca="1">(DATE(2038,12,31)-$C$15)/365.25</f>
        <v>12.596851471594798</v>
      </c>
      <c r="Q29" s="656">
        <f ca="1">(DATE(2039,12,31)-$C$15)/365.25</f>
        <v>13.596167008898014</v>
      </c>
      <c r="R29" s="656">
        <f ca="1">(DATE(2040,12,31)-$C$15)/365.25</f>
        <v>14.598220396988363</v>
      </c>
      <c r="S29" s="656">
        <f ca="1">R29</f>
        <v>14.598220396988363</v>
      </c>
    </row>
    <row r="30" spans="2:20" x14ac:dyDescent="0.25">
      <c r="B30" t="s">
        <v>464</v>
      </c>
      <c r="D30" s="656">
        <f t="shared" ref="D30:H30" ca="1" si="8">1/(1+$C$13)^D29</f>
        <v>0.95149160406710864</v>
      </c>
      <c r="E30" s="656">
        <f t="shared" ca="1" si="8"/>
        <v>0.87548382794131396</v>
      </c>
      <c r="F30" s="656">
        <f t="shared" ca="1" si="8"/>
        <v>0.80536404343009682</v>
      </c>
      <c r="G30" s="656">
        <f t="shared" ca="1" si="8"/>
        <v>0.74102934026388534</v>
      </c>
      <c r="H30" s="656">
        <f t="shared" ca="1" si="8"/>
        <v>0.68183387079608515</v>
      </c>
      <c r="I30" s="656">
        <f t="shared" ref="I30:S30" ca="1" si="9">1/(1+$C$13)^I29</f>
        <v>0.62736709885093001</v>
      </c>
      <c r="J30" s="656">
        <f t="shared" ca="1" si="9"/>
        <v>0.57711963067747629</v>
      </c>
      <c r="K30" s="656">
        <f t="shared" ca="1" si="9"/>
        <v>0.53101772131870362</v>
      </c>
      <c r="L30" s="656">
        <f t="shared" ca="1" si="9"/>
        <v>0.48859855975353744</v>
      </c>
      <c r="M30" s="656">
        <f t="shared" ca="1" si="9"/>
        <v>0.449567957921224</v>
      </c>
      <c r="N30" s="656">
        <f t="shared" ca="1" si="9"/>
        <v>0.41356088694344084</v>
      </c>
      <c r="O30" s="656">
        <f t="shared" ca="1" si="9"/>
        <v>0.38052450157249312</v>
      </c>
      <c r="P30" s="656">
        <f t="shared" ca="1" si="9"/>
        <v>0.35012715386887444</v>
      </c>
      <c r="Q30" s="656">
        <f t="shared" ca="1" si="9"/>
        <v>0.32215803021809958</v>
      </c>
      <c r="R30" s="656">
        <f t="shared" ca="1" si="9"/>
        <v>0.29635555284901949</v>
      </c>
      <c r="S30" s="656">
        <f t="shared" ca="1" si="9"/>
        <v>0.29635555284901949</v>
      </c>
    </row>
    <row r="31" spans="2:20" x14ac:dyDescent="0.25">
      <c r="B31" t="s">
        <v>465</v>
      </c>
      <c r="D31" s="1">
        <f t="shared" ref="D31:H31" ca="1" si="10">D24*D30</f>
        <v>262.94344775936531</v>
      </c>
      <c r="E31" s="1">
        <f t="shared" ca="1" si="10"/>
        <v>290.45683785337809</v>
      </c>
      <c r="F31" s="1">
        <f t="shared" ca="1" si="10"/>
        <v>331.7992769336559</v>
      </c>
      <c r="G31" s="1">
        <f t="shared" ca="1" si="10"/>
        <v>332.38756212869066</v>
      </c>
      <c r="H31" s="1">
        <f t="shared" ca="1" si="10"/>
        <v>313.1415274187251</v>
      </c>
      <c r="I31" s="1">
        <f t="shared" ref="I31:R31" ca="1" si="11">I24*I30</f>
        <v>319.70716223281482</v>
      </c>
      <c r="J31" s="1">
        <f t="shared" ca="1" si="11"/>
        <v>323.89807060105261</v>
      </c>
      <c r="K31" s="1">
        <f t="shared" ca="1" si="11"/>
        <v>325.74830612125618</v>
      </c>
      <c r="L31" s="1">
        <f t="shared" ca="1" si="11"/>
        <v>325.12453283191496</v>
      </c>
      <c r="M31" s="1">
        <f t="shared" ca="1" si="11"/>
        <v>322.02213360823367</v>
      </c>
      <c r="N31" s="1">
        <f t="shared" ca="1" si="11"/>
        <v>316.42099872356619</v>
      </c>
      <c r="O31" s="1">
        <f t="shared" ca="1" si="11"/>
        <v>308.57477829275956</v>
      </c>
      <c r="P31" s="1">
        <f t="shared" ca="1" si="11"/>
        <v>298.56952827709893</v>
      </c>
      <c r="Q31" s="1">
        <f t="shared" ca="1" si="11"/>
        <v>286.61141161476831</v>
      </c>
      <c r="R31" s="1">
        <f t="shared" ca="1" si="11"/>
        <v>272.88391414419903</v>
      </c>
      <c r="S31" s="1">
        <f ca="1">S25*S30</f>
        <v>5444.0025277418272</v>
      </c>
    </row>
    <row r="34" spans="2:3" x14ac:dyDescent="0.25">
      <c r="B34" s="148" t="s">
        <v>466</v>
      </c>
    </row>
    <row r="35" spans="2:3" x14ac:dyDescent="0.25">
      <c r="B35" t="s">
        <v>467</v>
      </c>
      <c r="C35" s="1">
        <f ca="1">SUM(D31:R31)</f>
        <v>4630.2894885414789</v>
      </c>
    </row>
    <row r="36" spans="2:3" x14ac:dyDescent="0.25">
      <c r="B36" t="s">
        <v>468</v>
      </c>
      <c r="C36" s="1">
        <f ca="1">S31</f>
        <v>5444.0025277418272</v>
      </c>
    </row>
    <row r="37" spans="2:3" x14ac:dyDescent="0.25">
      <c r="B37" s="8" t="s">
        <v>469</v>
      </c>
      <c r="C37" s="492">
        <f ca="1">C35+C36</f>
        <v>10074.292016283307</v>
      </c>
    </row>
    <row r="38" spans="2:3" x14ac:dyDescent="0.25">
      <c r="B38" t="s">
        <v>999</v>
      </c>
      <c r="C38" s="1">
        <f>Model!CI331</f>
        <v>833.9473364428153</v>
      </c>
    </row>
    <row r="39" spans="2:3" x14ac:dyDescent="0.25">
      <c r="B39" s="8" t="s">
        <v>470</v>
      </c>
      <c r="C39" s="493">
        <f ca="1">C37-C38</f>
        <v>9240.3446798404912</v>
      </c>
    </row>
    <row r="40" spans="2:3" x14ac:dyDescent="0.25">
      <c r="B40" t="s">
        <v>471</v>
      </c>
      <c r="C40" s="1">
        <f>Model!CI139</f>
        <v>31647.818391304347</v>
      </c>
    </row>
    <row r="41" spans="2:3" x14ac:dyDescent="0.25">
      <c r="B41" s="3" t="s">
        <v>1000</v>
      </c>
      <c r="C41" s="58">
        <f ca="1">C39*1000/C40</f>
        <v>291.97414386008347</v>
      </c>
    </row>
    <row r="42" spans="2:3" x14ac:dyDescent="0.25">
      <c r="B42" t="s">
        <v>1001</v>
      </c>
      <c r="C42" s="2">
        <v>345</v>
      </c>
    </row>
    <row r="43" spans="2:3" x14ac:dyDescent="0.25">
      <c r="B43" s="3" t="s">
        <v>474</v>
      </c>
      <c r="C43" s="487">
        <f ca="1">C41/C42-1</f>
        <v>-0.15369813373888852</v>
      </c>
    </row>
    <row r="46" spans="2:3" x14ac:dyDescent="0.25">
      <c r="B46" s="148" t="s">
        <v>1002</v>
      </c>
    </row>
    <row r="48" spans="2:3" x14ac:dyDescent="0.25">
      <c r="B48" s="3" t="s">
        <v>476</v>
      </c>
    </row>
    <row r="49" spans="2:8" x14ac:dyDescent="0.25">
      <c r="B49" s="3" t="s">
        <v>1003</v>
      </c>
      <c r="D49" s="488">
        <v>7.0000000000000007E-2</v>
      </c>
      <c r="E49" s="488">
        <v>7.4999999999999997E-2</v>
      </c>
      <c r="F49" s="488">
        <v>0.08</v>
      </c>
      <c r="G49" s="488">
        <v>8.5000000000000006E-2</v>
      </c>
      <c r="H49" s="488">
        <v>0.09</v>
      </c>
    </row>
    <row r="50" spans="2:8" x14ac:dyDescent="0.25">
      <c r="B50" s="488">
        <v>0.02</v>
      </c>
      <c r="D50" s="489" cm="1">
        <f t="array" aca="1" ref="D50" ca="1">IFERROR((SUMPRODUCT($D$24:$M$24/(1+D$49)^$D$29:$M$29)+($M$24*(1+$B50)/(D$49-$B50))/(1+D$49)^$M$29-$C$38)*1000/$C$40,"")</f>
        <v>322.86878049939844</v>
      </c>
      <c r="E50" s="489" cm="1">
        <f t="array" aca="1" ref="E50" ca="1">IFERROR((SUMPRODUCT($D$24:$M$24/(1+E$49)^$D$29:$M$29)+($M$24*(1+$B50)/(E$49-$B50))/(1+E$49)^$M$29-$C$38)*1000/$C$40,"")</f>
        <v>288.7010013795462</v>
      </c>
      <c r="F50" s="489" cm="1">
        <f t="array" aca="1" ref="F50" ca="1">IFERROR((SUMPRODUCT($D$24:$M$24/(1+F$49)^$D$29:$M$29)+($M$24*(1+$B50)/(F$49-$B50))/(1+F$49)^$M$29-$C$38)*1000/$C$40,"")</f>
        <v>260.30422372374534</v>
      </c>
      <c r="G50" s="489" cm="1">
        <f t="array" aca="1" ref="G50" ca="1">IFERROR((SUMPRODUCT($D$24:$M$24/(1+G$49)^$D$29:$M$29)+($M$24*(1+$B50)/(G$49-$B50))/(1+G$49)^$M$29-$C$38)*1000/$C$40,"")</f>
        <v>236.34391637558883</v>
      </c>
      <c r="H50" s="489" cm="1">
        <f t="array" aca="1" ref="H50" ca="1">IFERROR((SUMPRODUCT($D$24:$M$24/(1+H$49)^$D$29:$M$29)+($M$24*(1+$B50)/(H$49-$B50))/(1+H$49)^$M$29-$C$38)*1000/$C$40,"")</f>
        <v>215.86695845415016</v>
      </c>
    </row>
    <row r="51" spans="2:8" x14ac:dyDescent="0.25">
      <c r="B51" s="488">
        <v>2.2499999999999999E-2</v>
      </c>
      <c r="D51" s="489" cm="1">
        <f t="array" aca="1" ref="D51" ca="1">IFERROR((SUMPRODUCT($D$24:$M$24/(1+D$49)^$D$29:$M$29)+($M$24*(1+$B51)/(D$49-$B51))/(1+D$49)^$M$29-$C$38)*1000/$C$40,"")</f>
        <v>336.18666148760661</v>
      </c>
      <c r="E51" s="489" cm="1">
        <f t="array" aca="1" ref="E51" ca="1">IFERROR((SUMPRODUCT($D$24:$M$24/(1+E$49)^$D$29:$M$29)+($M$24*(1+$B51)/(E$49-$B51))/(1+E$49)^$M$29-$C$38)*1000/$C$40,"")</f>
        <v>299.22479219284588</v>
      </c>
      <c r="F51" s="489" cm="1">
        <f t="array" aca="1" ref="F51" ca="1">IFERROR((SUMPRODUCT($D$24:$M$24/(1+F$49)^$D$29:$M$29)+($M$24*(1+$B51)/(F$49-$B51))/(1+F$49)^$M$29-$C$38)*1000/$C$40,"")</f>
        <v>268.76774956603475</v>
      </c>
      <c r="G51" s="489" cm="1">
        <f t="array" aca="1" ref="G51" ca="1">IFERROR((SUMPRODUCT($D$24:$M$24/(1+G$49)^$D$29:$M$29)+($M$24*(1+$B51)/(G$49-$B51))/(1+G$49)^$M$29-$C$38)*1000/$C$40,"")</f>
        <v>243.25161343976984</v>
      </c>
      <c r="H51" s="489" cm="1">
        <f t="array" aca="1" ref="H51" ca="1">IFERROR((SUMPRODUCT($D$24:$M$24/(1+H$49)^$D$29:$M$29)+($M$24*(1+$B51)/(H$49-$B51))/(1+H$49)^$M$29-$C$38)*1000/$C$40,"")</f>
        <v>221.57596267649026</v>
      </c>
    </row>
    <row r="52" spans="2:8" x14ac:dyDescent="0.25">
      <c r="B52" s="488">
        <v>2.5000000000000001E-2</v>
      </c>
      <c r="D52" s="489" cm="1">
        <f t="array" aca="1" ref="D52" ca="1">IFERROR((SUMPRODUCT($D$24:$M$24/(1+D$49)^$D$29:$M$29)+($M$24*(1+$B52)/(D$49-$B52))/(1+D$49)^$M$29-$C$38)*1000/$C$40,"")</f>
        <v>350.98430703006017</v>
      </c>
      <c r="E52" s="489" cm="1">
        <f t="array" aca="1" ref="E52" ca="1">IFERROR((SUMPRODUCT($D$24:$M$24/(1+E$49)^$D$29:$M$29)+($M$24*(1+$B52)/(E$49-$B52))/(1+E$49)^$M$29-$C$38)*1000/$C$40,"")</f>
        <v>310.80096208747551</v>
      </c>
      <c r="F52" s="490" cm="1">
        <f t="array" aca="1" ref="F52" ca="1">IFERROR((SUMPRODUCT($D$24:$M$24/(1+F$49)^$D$29:$M$29)+($M$24*(1+$B52)/(F$49-$B52))/(1+F$49)^$M$29-$C$38)*1000/$C$40,"")</f>
        <v>278.00068684853227</v>
      </c>
      <c r="G52" s="489" cm="1">
        <f t="array" aca="1" ref="G52" ca="1">IFERROR((SUMPRODUCT($D$24:$M$24/(1+G$49)^$D$29:$M$29)+($M$24*(1+$B52)/(G$49-$B52))/(1+G$49)^$M$29-$C$38)*1000/$C$40,"")</f>
        <v>250.73495192596596</v>
      </c>
      <c r="H52" s="489" cm="1">
        <f t="array" aca="1" ref="H52" ca="1">IFERROR((SUMPRODUCT($D$24:$M$24/(1+H$49)^$D$29:$M$29)+($M$24*(1+$B52)/(H$49-$B52))/(1+H$49)^$M$29-$C$38)*1000/$C$40,"")</f>
        <v>227.7241210697797</v>
      </c>
    </row>
    <row r="53" spans="2:8" x14ac:dyDescent="0.25">
      <c r="B53" s="488">
        <v>2.75E-2</v>
      </c>
      <c r="D53" s="489" cm="1">
        <f t="array" aca="1" ref="D53" ca="1">IFERROR((SUMPRODUCT($D$24:$M$24/(1+D$49)^$D$29:$M$29)+($M$24*(1+$B53)/(D$49-$B53))/(1+D$49)^$M$29-$C$38)*1000/$C$40,"")</f>
        <v>367.52285204809641</v>
      </c>
      <c r="E53" s="489" cm="1">
        <f t="array" aca="1" ref="E53" ca="1">IFERROR((SUMPRODUCT($D$24:$M$24/(1+E$49)^$D$29:$M$29)+($M$24*(1+$B53)/(E$49-$B53))/(1+E$49)^$M$29-$C$38)*1000/$C$40,"")</f>
        <v>323.59567618154</v>
      </c>
      <c r="F53" s="489" cm="1">
        <f t="array" aca="1" ref="F53" ca="1">IFERROR((SUMPRODUCT($D$24:$M$24/(1+F$49)^$D$29:$M$29)+($M$24*(1+$B53)/(F$49-$B53))/(1+F$49)^$M$29-$C$38)*1000/$C$40,"")</f>
        <v>288.11295149126772</v>
      </c>
      <c r="G53" s="489" cm="1">
        <f t="array" aca="1" ref="G53" ca="1">IFERROR((SUMPRODUCT($D$24:$M$24/(1+G$49)^$D$29:$M$29)+($M$24*(1+$B53)/(G$49-$B53))/(1+G$49)^$M$29-$C$38)*1000/$C$40,"")</f>
        <v>258.86901549791816</v>
      </c>
      <c r="H53" s="489" cm="1">
        <f t="array" aca="1" ref="H53" ca="1">IFERROR((SUMPRODUCT($D$24:$M$24/(1+H$49)^$D$29:$M$29)+($M$24*(1+$B53)/(H$49-$B53))/(1+H$49)^$M$29-$C$38)*1000/$C$40,"")</f>
        <v>234.36413213453221</v>
      </c>
    </row>
    <row r="54" spans="2:8" x14ac:dyDescent="0.25">
      <c r="B54" s="488">
        <v>0.03</v>
      </c>
      <c r="D54" s="489" cm="1">
        <f t="array" aca="1" ref="D54" ca="1">IFERROR((SUMPRODUCT($D$24:$M$24/(1+D$49)^$D$29:$M$29)+($M$24*(1+$B54)/(D$49-$B54))/(1+D$49)^$M$29-$C$38)*1000/$C$40,"")</f>
        <v>386.12871519338739</v>
      </c>
      <c r="E54" s="489" cm="1">
        <f t="array" aca="1" ref="E54" ca="1">IFERROR((SUMPRODUCT($D$24:$M$24/(1+E$49)^$D$29:$M$29)+($M$24*(1+$B54)/(E$49-$B54))/(1+E$49)^$M$29-$C$38)*1000/$C$40,"")</f>
        <v>337.81202517494478</v>
      </c>
      <c r="F54" s="489" cm="1">
        <f t="array" aca="1" ref="F54" ca="1">IFERROR((SUMPRODUCT($D$24:$M$24/(1+F$49)^$D$29:$M$29)+($M$24*(1+$B54)/(F$49-$B54))/(1+F$49)^$M$29-$C$38)*1000/$C$40,"")</f>
        <v>299.23644259827665</v>
      </c>
      <c r="G54" s="489" cm="1">
        <f t="array" aca="1" ref="G54" ca="1">IFERROR((SUMPRODUCT($D$24:$M$24/(1+G$49)^$D$29:$M$29)+($M$24*(1+$B54)/(G$49-$B54))/(1+G$49)^$M$29-$C$38)*1000/$C$40,"")</f>
        <v>267.74253939459339</v>
      </c>
      <c r="H54" s="489" cm="1">
        <f t="array" aca="1" ref="H54" ca="1">IFERROR((SUMPRODUCT($D$24:$M$24/(1+H$49)^$D$29:$M$29)+($M$24*(1+$B54)/(H$49-$B54))/(1+H$49)^$M$29-$C$38)*1000/$C$40,"")</f>
        <v>241.55747745468082</v>
      </c>
    </row>
    <row r="57" spans="2:8" x14ac:dyDescent="0.25">
      <c r="B57" s="148" t="s">
        <v>478</v>
      </c>
    </row>
    <row r="58" spans="2:8" ht="50.1" customHeight="1" x14ac:dyDescent="0.25">
      <c r="B58" s="942" t="s">
        <v>1013</v>
      </c>
    </row>
    <row r="60" spans="2:8" x14ac:dyDescent="0.25">
      <c r="B60" s="57" t="s">
        <v>588</v>
      </c>
      <c r="E60" s="57" t="s">
        <v>1051</v>
      </c>
    </row>
    <row r="61" spans="2:8" x14ac:dyDescent="0.25">
      <c r="B61" s="173" t="s">
        <v>589</v>
      </c>
      <c r="E61" s="173" t="s">
        <v>1052</v>
      </c>
    </row>
    <row r="62" spans="2:8" x14ac:dyDescent="0.25">
      <c r="B62" s="540" t="s">
        <v>590</v>
      </c>
      <c r="E62" s="540" t="s">
        <v>1053</v>
      </c>
    </row>
    <row r="64" spans="2:8" x14ac:dyDescent="0.25">
      <c r="B64" s="148" t="s">
        <v>591</v>
      </c>
      <c r="C64" s="449" t="s">
        <v>592</v>
      </c>
      <c r="D64" s="148" t="s">
        <v>1014</v>
      </c>
      <c r="E64" s="449" t="s">
        <v>1054</v>
      </c>
      <c r="F64" s="449" t="s">
        <v>592</v>
      </c>
      <c r="G64" s="449" t="s">
        <v>1055</v>
      </c>
    </row>
    <row r="65" spans="2:7" ht="32.1" customHeight="1" x14ac:dyDescent="0.25">
      <c r="B65" t="s">
        <v>594</v>
      </c>
      <c r="C65" s="657">
        <f>$C$13</f>
        <v>8.6879999999999999E-2</v>
      </c>
      <c r="D65" t="s">
        <v>595</v>
      </c>
      <c r="E65" t="s">
        <v>1056</v>
      </c>
      <c r="F65" s="663">
        <f>C79</f>
        <v>626.56642648129662</v>
      </c>
      <c r="G65" s="173" t="s">
        <v>1057</v>
      </c>
    </row>
    <row r="66" spans="2:7" ht="32.1" customHeight="1" x14ac:dyDescent="0.25">
      <c r="B66" t="s">
        <v>596</v>
      </c>
      <c r="C66" s="658">
        <v>0.08</v>
      </c>
      <c r="D66" t="s">
        <v>1015</v>
      </c>
      <c r="E66" t="s">
        <v>1058</v>
      </c>
      <c r="F66" s="664">
        <f>1-$C$10</f>
        <v>0.76</v>
      </c>
      <c r="G66" s="173" t="s">
        <v>1059</v>
      </c>
    </row>
    <row r="67" spans="2:7" ht="32.1" customHeight="1" x14ac:dyDescent="0.25">
      <c r="B67" t="s">
        <v>598</v>
      </c>
      <c r="C67" s="658">
        <v>0.2</v>
      </c>
      <c r="D67" t="s">
        <v>1016</v>
      </c>
      <c r="E67" s="943" t="s">
        <v>1060</v>
      </c>
      <c r="F67" s="291">
        <f>F65*F66</f>
        <v>476.19048412578542</v>
      </c>
      <c r="G67" s="173" t="s">
        <v>1061</v>
      </c>
    </row>
    <row r="68" spans="2:7" ht="32.1" customHeight="1" x14ac:dyDescent="0.25">
      <c r="B68" t="s">
        <v>600</v>
      </c>
      <c r="C68" s="659">
        <v>15</v>
      </c>
      <c r="D68" t="s">
        <v>1017</v>
      </c>
      <c r="E68" t="s">
        <v>1062</v>
      </c>
      <c r="F68" s="945">
        <f>C76</f>
        <v>18.387901075200983</v>
      </c>
      <c r="G68" s="173" t="s">
        <v>1063</v>
      </c>
    </row>
    <row r="69" spans="2:7" x14ac:dyDescent="0.25">
      <c r="E69" t="s">
        <v>1064</v>
      </c>
      <c r="F69" s="291">
        <f>F67*F68</f>
        <v>8756.1435150570069</v>
      </c>
      <c r="G69" s="173" t="s">
        <v>1065</v>
      </c>
    </row>
    <row r="70" spans="2:7" x14ac:dyDescent="0.25">
      <c r="B70" s="148" t="s">
        <v>602</v>
      </c>
      <c r="C70" s="449" t="s">
        <v>592</v>
      </c>
      <c r="E70" t="s">
        <v>1066</v>
      </c>
      <c r="F70" s="663">
        <f>C84</f>
        <v>724.25125152085798</v>
      </c>
      <c r="G70" s="173" t="s">
        <v>1067</v>
      </c>
    </row>
    <row r="71" spans="2:7" x14ac:dyDescent="0.25">
      <c r="B71" t="s">
        <v>603</v>
      </c>
      <c r="C71" s="660">
        <f>1/C65</f>
        <v>11.510128913443831</v>
      </c>
      <c r="E71" t="s">
        <v>1068</v>
      </c>
      <c r="F71" s="291">
        <f>F69-F70</f>
        <v>8031.8922635361487</v>
      </c>
      <c r="G71" s="173" t="s">
        <v>1069</v>
      </c>
    </row>
    <row r="72" spans="2:7" x14ac:dyDescent="0.25">
      <c r="B72" t="s">
        <v>604</v>
      </c>
      <c r="C72" s="661">
        <f>1-C65/C67</f>
        <v>0.5656000000000001</v>
      </c>
      <c r="E72" t="s">
        <v>1070</v>
      </c>
      <c r="F72" s="663">
        <f>Model!CK133</f>
        <v>418.1766526248586</v>
      </c>
      <c r="G72" s="173" t="s">
        <v>1071</v>
      </c>
    </row>
    <row r="73" spans="2:7" x14ac:dyDescent="0.25">
      <c r="B73" t="s">
        <v>605</v>
      </c>
      <c r="C73" s="662">
        <f>C66*C72/(C65*(C65-C66))</f>
        <v>75.699173412137611</v>
      </c>
      <c r="E73" t="s">
        <v>1072</v>
      </c>
      <c r="F73" s="663">
        <f>Model!CK155</f>
        <v>429.88670595819195</v>
      </c>
      <c r="G73" s="173" t="s">
        <v>1073</v>
      </c>
    </row>
    <row r="74" spans="2:7" x14ac:dyDescent="0.25">
      <c r="B74" t="s">
        <v>606</v>
      </c>
      <c r="C74" s="661">
        <f>1-((1+C66)/(1+C65))^C68</f>
        <v>9.0856634910816192E-2</v>
      </c>
    </row>
    <row r="75" spans="2:7" x14ac:dyDescent="0.25">
      <c r="B75" s="542" t="s">
        <v>607</v>
      </c>
      <c r="C75" s="660">
        <f>C73*C74</f>
        <v>6.877772161757151</v>
      </c>
      <c r="E75" s="695" t="s">
        <v>1074</v>
      </c>
      <c r="F75" s="674">
        <f>IFERROR(F71/F72,"n/a")</f>
        <v>19.206936143184123</v>
      </c>
      <c r="G75" s="173" t="s">
        <v>1075</v>
      </c>
    </row>
    <row r="76" spans="2:7" x14ac:dyDescent="0.25">
      <c r="B76" s="57" t="s">
        <v>608</v>
      </c>
      <c r="C76" s="673">
        <f>C71+C75</f>
        <v>18.387901075200983</v>
      </c>
      <c r="E76" s="695" t="s">
        <v>1076</v>
      </c>
      <c r="F76" s="674">
        <f>IFERROR(F71/F73,"n/a")</f>
        <v>18.683741907378916</v>
      </c>
      <c r="G76" s="173" t="s">
        <v>1077</v>
      </c>
    </row>
    <row r="78" spans="2:7" x14ac:dyDescent="0.25">
      <c r="B78" s="148" t="s">
        <v>1018</v>
      </c>
      <c r="C78" s="449" t="s">
        <v>1025</v>
      </c>
      <c r="E78" s="57" t="s">
        <v>1078</v>
      </c>
    </row>
    <row r="79" spans="2:7" x14ac:dyDescent="0.25">
      <c r="B79" t="s">
        <v>1019</v>
      </c>
      <c r="C79" s="663">
        <f>IF(ISNUMBER(Model!CK150),IF(Model!CK150&gt;0,Model!CK150,Model!CK126),Model!CK126)</f>
        <v>626.56642648129662</v>
      </c>
      <c r="E79" s="3" t="s">
        <v>1079</v>
      </c>
      <c r="F79" s="668">
        <f>$C$42</f>
        <v>345</v>
      </c>
    </row>
    <row r="80" spans="2:7" x14ac:dyDescent="0.25">
      <c r="B80" t="s">
        <v>612</v>
      </c>
      <c r="C80" s="664">
        <f>$C$10</f>
        <v>0.24</v>
      </c>
      <c r="E80" s="3" t="s">
        <v>1080</v>
      </c>
      <c r="F80" s="668">
        <f>Model!CK156</f>
        <v>13.92944582173784</v>
      </c>
      <c r="G80" s="173" t="s">
        <v>1081</v>
      </c>
    </row>
    <row r="81" spans="2:7" x14ac:dyDescent="0.25">
      <c r="B81" s="3" t="s">
        <v>1020</v>
      </c>
      <c r="C81" s="665">
        <f>C79*(1-C80)</f>
        <v>476.19048412578542</v>
      </c>
      <c r="E81" s="695" t="s">
        <v>1082</v>
      </c>
      <c r="F81" s="674">
        <f>IFERROR(F79/F80,"n/a")</f>
        <v>24.767675930194166</v>
      </c>
      <c r="G81" s="173" t="s">
        <v>1083</v>
      </c>
    </row>
    <row r="82" spans="2:7" x14ac:dyDescent="0.25">
      <c r="B82" t="s">
        <v>614</v>
      </c>
      <c r="C82" s="675">
        <f>C76</f>
        <v>18.387901075200983</v>
      </c>
    </row>
    <row r="83" spans="2:7" x14ac:dyDescent="0.25">
      <c r="B83" s="57" t="s">
        <v>1021</v>
      </c>
      <c r="C83" s="495">
        <f>C81*C82</f>
        <v>8756.1435150570069</v>
      </c>
      <c r="E83" s="3" t="s">
        <v>1084</v>
      </c>
      <c r="F83" s="723">
        <f>F76-F81</f>
        <v>-6.0839340228152494</v>
      </c>
      <c r="G83" s="173" t="s">
        <v>1085</v>
      </c>
    </row>
    <row r="84" spans="2:7" x14ac:dyDescent="0.25">
      <c r="B84" t="s">
        <v>1022</v>
      </c>
      <c r="C84" s="663">
        <f>Model!CJ331</f>
        <v>724.25125152085798</v>
      </c>
      <c r="E84" s="695" t="s">
        <v>1086</v>
      </c>
      <c r="F84" s="947">
        <f>F83*F80</f>
        <v>-84.745829353832562</v>
      </c>
      <c r="G84" s="173" t="s">
        <v>1087</v>
      </c>
    </row>
    <row r="85" spans="2:7" x14ac:dyDescent="0.25">
      <c r="B85" s="3" t="s">
        <v>617</v>
      </c>
      <c r="C85" s="665">
        <f>C83-C84</f>
        <v>8031.8922635361487</v>
      </c>
    </row>
    <row r="86" spans="2:7" x14ac:dyDescent="0.25">
      <c r="B86" t="s">
        <v>1023</v>
      </c>
      <c r="C86" s="666">
        <f>Model!CK139</f>
        <v>30861.723535858458</v>
      </c>
    </row>
    <row r="87" spans="2:7" x14ac:dyDescent="0.25">
      <c r="B87" s="57" t="s">
        <v>1024</v>
      </c>
      <c r="C87" s="667">
        <f>C85*1000/C86</f>
        <v>260.25417064616744</v>
      </c>
    </row>
    <row r="89" spans="2:7" x14ac:dyDescent="0.25">
      <c r="B89" t="s">
        <v>620</v>
      </c>
      <c r="C89" s="668">
        <f>C42</f>
        <v>345</v>
      </c>
    </row>
    <row r="90" spans="2:7" x14ac:dyDescent="0.25">
      <c r="B90" s="3" t="s">
        <v>474</v>
      </c>
      <c r="C90" s="669">
        <f>C87/C89-1</f>
        <v>-0.2456400850835726</v>
      </c>
    </row>
    <row r="92" spans="2:7" x14ac:dyDescent="0.25">
      <c r="B92" s="148" t="s">
        <v>621</v>
      </c>
      <c r="C92" s="449" t="s">
        <v>1025</v>
      </c>
    </row>
    <row r="93" spans="2:7" x14ac:dyDescent="0.25">
      <c r="B93" t="s">
        <v>622</v>
      </c>
      <c r="C93" s="670">
        <f>C42*C40/1000</f>
        <v>10918.497344999998</v>
      </c>
    </row>
    <row r="94" spans="2:7" x14ac:dyDescent="0.25">
      <c r="B94" t="s">
        <v>1026</v>
      </c>
      <c r="C94" s="663">
        <f>C38</f>
        <v>833.9473364428153</v>
      </c>
    </row>
    <row r="95" spans="2:7" x14ac:dyDescent="0.25">
      <c r="B95" s="3" t="s">
        <v>624</v>
      </c>
      <c r="C95" s="665">
        <f>C93+C94</f>
        <v>11752.444681442814</v>
      </c>
    </row>
    <row r="96" spans="2:7" x14ac:dyDescent="0.25">
      <c r="B96" s="57" t="s">
        <v>1027</v>
      </c>
      <c r="C96" s="674">
        <f>C95/C81</f>
        <v>24.68013341975648</v>
      </c>
    </row>
    <row r="98" spans="2:4" x14ac:dyDescent="0.25">
      <c r="B98" s="3" t="s">
        <v>626</v>
      </c>
      <c r="C98" s="671">
        <f>C76-C96</f>
        <v>-6.2922323445554973</v>
      </c>
    </row>
    <row r="99" spans="2:4" x14ac:dyDescent="0.25">
      <c r="B99" s="541" t="s">
        <v>627</v>
      </c>
      <c r="C99" s="672">
        <f>C76/C96-1</f>
        <v>-0.25495130992762616</v>
      </c>
    </row>
    <row r="102" spans="2:4" x14ac:dyDescent="0.25">
      <c r="B102" s="57" t="s">
        <v>1095</v>
      </c>
    </row>
    <row r="103" spans="2:4" x14ac:dyDescent="0.25">
      <c r="B103" s="173" t="s">
        <v>1096</v>
      </c>
    </row>
    <row r="105" spans="2:4" x14ac:dyDescent="0.25">
      <c r="B105" s="449" t="s">
        <v>1097</v>
      </c>
      <c r="C105" s="449" t="s">
        <v>592</v>
      </c>
      <c r="D105" s="148" t="s">
        <v>1055</v>
      </c>
    </row>
    <row r="106" spans="2:4" x14ac:dyDescent="0.25">
      <c r="B106" t="s">
        <v>1001</v>
      </c>
      <c r="C106" s="946">
        <f>C42</f>
        <v>345</v>
      </c>
      <c r="D106" t="s">
        <v>1098</v>
      </c>
    </row>
    <row r="107" spans="2:4" x14ac:dyDescent="0.25">
      <c r="B107" t="s">
        <v>1099</v>
      </c>
      <c r="C107" s="950">
        <v>0.15</v>
      </c>
      <c r="D107" t="s">
        <v>1100</v>
      </c>
    </row>
    <row r="108" spans="2:4" x14ac:dyDescent="0.25">
      <c r="B108" t="s">
        <v>1101</v>
      </c>
      <c r="C108" s="951">
        <v>5</v>
      </c>
      <c r="D108" t="s">
        <v>1102</v>
      </c>
    </row>
    <row r="109" spans="2:4" x14ac:dyDescent="0.25">
      <c r="B109" t="s">
        <v>1103</v>
      </c>
      <c r="C109" s="952">
        <f>C106*(1+C107)^C108</f>
        <v>693.91822968749977</v>
      </c>
      <c r="D109" t="s">
        <v>1104</v>
      </c>
    </row>
    <row r="110" spans="2:4" x14ac:dyDescent="0.25">
      <c r="B110" t="s">
        <v>1105</v>
      </c>
      <c r="C110" s="666">
        <f>Model!CM139</f>
        <v>30175.117845015688</v>
      </c>
      <c r="D110" t="s">
        <v>1106</v>
      </c>
    </row>
    <row r="111" spans="2:4" x14ac:dyDescent="0.25">
      <c r="B111" t="s">
        <v>1107</v>
      </c>
      <c r="C111" s="664">
        <f>C10</f>
        <v>0.24</v>
      </c>
      <c r="D111" t="s">
        <v>1108</v>
      </c>
    </row>
    <row r="112" spans="2:4" x14ac:dyDescent="0.25">
      <c r="B112" t="s">
        <v>1109</v>
      </c>
      <c r="C112" s="663">
        <f>Model!CD150</f>
        <v>501.26799999999997</v>
      </c>
      <c r="D112" t="s">
        <v>1110</v>
      </c>
    </row>
    <row r="113" spans="2:5" x14ac:dyDescent="0.25">
      <c r="B113" t="s">
        <v>1111</v>
      </c>
      <c r="C113" s="663">
        <f>Model!CD114</f>
        <v>3860.6239999999998</v>
      </c>
    </row>
    <row r="114" spans="2:5" x14ac:dyDescent="0.25">
      <c r="B114" t="s">
        <v>1130</v>
      </c>
      <c r="C114" s="956">
        <f>IFERROR((Model!CM150-Model!CD150)/(Model!CM114-Model!CD114),"n/a")</f>
        <v>0.16523705585077103</v>
      </c>
      <c r="D114" t="s">
        <v>1131</v>
      </c>
    </row>
    <row r="115" spans="2:5" x14ac:dyDescent="0.25">
      <c r="B115" s="3" t="s">
        <v>1132</v>
      </c>
      <c r="C115" s="957">
        <v>0.25</v>
      </c>
      <c r="D115" t="s">
        <v>1133</v>
      </c>
    </row>
    <row r="117" spans="2:5" x14ac:dyDescent="0.25">
      <c r="B117" s="148" t="s">
        <v>1112</v>
      </c>
      <c r="C117" s="148" t="s">
        <v>1113</v>
      </c>
      <c r="D117" s="148" t="s">
        <v>1055</v>
      </c>
    </row>
    <row r="118" spans="2:5" x14ac:dyDescent="0.25">
      <c r="B118" t="s">
        <v>1114</v>
      </c>
      <c r="C118" s="953">
        <v>25</v>
      </c>
      <c r="D118" s="945">
        <f>F76</f>
        <v>18.683741907378916</v>
      </c>
    </row>
    <row r="119" spans="2:5" x14ac:dyDescent="0.25">
      <c r="B119" t="s">
        <v>1115</v>
      </c>
      <c r="C119" s="670">
        <f>$C$109*$C$110/1000/C118</f>
        <v>837.5625742249988</v>
      </c>
      <c r="D119" s="670">
        <f>$C$109*$C$110/1000/D118</f>
        <v>1120.7104261783525</v>
      </c>
      <c r="E119" t="s">
        <v>1116</v>
      </c>
    </row>
    <row r="120" spans="2:5" x14ac:dyDescent="0.25">
      <c r="B120" t="s">
        <v>1117</v>
      </c>
      <c r="C120" s="670">
        <f>C119/(1-$C$111)</f>
        <v>1102.0560187171036</v>
      </c>
      <c r="D120" s="670">
        <f>D119/(1-$C$111)</f>
        <v>1474.6189818136218</v>
      </c>
      <c r="E120" t="s">
        <v>1118</v>
      </c>
    </row>
    <row r="121" spans="2:5" x14ac:dyDescent="0.25">
      <c r="B121" t="s">
        <v>1119</v>
      </c>
      <c r="C121" s="670">
        <f>C120-$C$112</f>
        <v>600.78801871710357</v>
      </c>
      <c r="D121" s="670">
        <f>D120-$C$112</f>
        <v>973.35098181362173</v>
      </c>
    </row>
    <row r="122" spans="2:5" x14ac:dyDescent="0.25">
      <c r="B122" t="s">
        <v>1120</v>
      </c>
      <c r="C122" s="670">
        <f>C121/$C$115</f>
        <v>2403.1520748684143</v>
      </c>
      <c r="D122" s="670">
        <f>D121/$C$115</f>
        <v>3893.4039272544869</v>
      </c>
      <c r="E122" t="s">
        <v>1121</v>
      </c>
    </row>
    <row r="123" spans="2:5" x14ac:dyDescent="0.25">
      <c r="B123" t="s">
        <v>1122</v>
      </c>
      <c r="C123" s="665">
        <f>$C$113+C122</f>
        <v>6263.7760748684141</v>
      </c>
      <c r="D123" s="665">
        <f>$C$113+D122</f>
        <v>7754.0279272544867</v>
      </c>
    </row>
    <row r="124" spans="2:5" x14ac:dyDescent="0.25">
      <c r="B124" s="3" t="s">
        <v>1123</v>
      </c>
      <c r="C124" s="954">
        <f>IFERROR((C123/$C$113)^(1/5)-1,"n/m")</f>
        <v>0.10162997263033091</v>
      </c>
      <c r="D124" s="954">
        <f>IFERROR((D123/$C$113)^(1/5)-1,"n/m")</f>
        <v>0.1496720439058068</v>
      </c>
      <c r="E124" t="s">
        <v>1124</v>
      </c>
    </row>
    <row r="126" spans="2:5" x14ac:dyDescent="0.25">
      <c r="B126" s="3" t="s">
        <v>1125</v>
      </c>
    </row>
    <row r="127" spans="2:5" x14ac:dyDescent="0.25">
      <c r="B127" t="s">
        <v>1126</v>
      </c>
      <c r="C127" s="663">
        <f>Model!CM114</f>
        <v>5581.8999043111753</v>
      </c>
      <c r="D127" s="663">
        <f>Model!CM114</f>
        <v>5581.8999043111753</v>
      </c>
    </row>
    <row r="128" spans="2:5" x14ac:dyDescent="0.25">
      <c r="B128" s="3" t="s">
        <v>1127</v>
      </c>
      <c r="C128" s="955">
        <f>IFERROR((Model!CM114/Model!CD114)^(1/5)-1,"n/m")</f>
        <v>7.6526952782249413E-2</v>
      </c>
      <c r="D128" s="955">
        <f>IFERROR((Model!CM114/Model!CD114)^(1/5)-1,"n/m")</f>
        <v>7.6526952782249413E-2</v>
      </c>
    </row>
    <row r="129" spans="2:5" x14ac:dyDescent="0.25">
      <c r="B129" s="3" t="s">
        <v>1128</v>
      </c>
      <c r="C129" s="669">
        <f>C124-C128</f>
        <v>2.5103019848081498E-2</v>
      </c>
      <c r="D129" s="669">
        <f>D124-D128</f>
        <v>7.3145091123557382E-2</v>
      </c>
      <c r="E129" t="s">
        <v>1129</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034C4-BD82-4CB2-8531-B87448BFF2BA}">
  <dimension ref="B2:M21"/>
  <sheetViews>
    <sheetView zoomScale="60" zoomScaleNormal="60" workbookViewId="0">
      <selection activeCell="L2" sqref="L2"/>
    </sheetView>
  </sheetViews>
  <sheetFormatPr defaultRowHeight="15.75" x14ac:dyDescent="0.25"/>
  <cols>
    <col min="2" max="2" width="36.625" customWidth="1"/>
    <col min="3" max="13" width="12" customWidth="1"/>
  </cols>
  <sheetData>
    <row r="2" spans="2:13" ht="21" x14ac:dyDescent="0.35">
      <c r="B2" s="550" t="s">
        <v>1004</v>
      </c>
    </row>
    <row r="3" spans="2:13" x14ac:dyDescent="0.25">
      <c r="B3" s="732" t="s">
        <v>1005</v>
      </c>
    </row>
    <row r="7" spans="2:13" x14ac:dyDescent="0.25">
      <c r="B7" s="733"/>
      <c r="C7" s="734">
        <v>2015</v>
      </c>
      <c r="D7" s="734">
        <v>2016</v>
      </c>
      <c r="E7" s="734">
        <v>2017</v>
      </c>
      <c r="F7" s="734">
        <v>2018</v>
      </c>
      <c r="G7" s="734">
        <v>2019</v>
      </c>
      <c r="H7" s="734">
        <v>2020</v>
      </c>
      <c r="I7" s="734">
        <v>2021</v>
      </c>
      <c r="J7" s="734">
        <v>2022</v>
      </c>
      <c r="K7" s="734">
        <v>2023</v>
      </c>
      <c r="L7" s="734">
        <v>2024</v>
      </c>
      <c r="M7" s="734">
        <v>2025</v>
      </c>
    </row>
    <row r="8" spans="2:13" x14ac:dyDescent="0.25">
      <c r="B8" s="3" t="s">
        <v>1006</v>
      </c>
      <c r="C8" s="545">
        <v>0</v>
      </c>
      <c r="D8" s="545">
        <f>IFERROR(Model!AK114/Model!AF114-1,"")</f>
        <v>-4.4978642123718937E-2</v>
      </c>
      <c r="E8" s="545">
        <f>IFERROR(Model!AP114/Model!AK114-1,"")</f>
        <v>3.548475768645698E-2</v>
      </c>
      <c r="F8" s="545">
        <f>IFERROR(Model!AU114/Model!AP114-1,"")</f>
        <v>8.4861646975164184E-2</v>
      </c>
      <c r="G8" s="545">
        <f>IFERROR(Model!AZ114/Model!AU114-1,"")</f>
        <v>7.2041817803347508E-2</v>
      </c>
      <c r="H8" s="545">
        <f>IFERROR(Model!BE114/Model!AZ114-1,"")</f>
        <v>-6.9230062144902682E-3</v>
      </c>
      <c r="I8" s="545">
        <f>IFERROR(Model!BJ114/Model!BE114-1,"")</f>
        <v>-1.1288053543112797E-2</v>
      </c>
      <c r="J8" s="545">
        <f>IFERROR(Model!BO114/Model!BJ114-1,"")</f>
        <v>6.4442654662897336E-2</v>
      </c>
      <c r="K8" s="545">
        <f>IFERROR(Model!BT114/Model!BO114-1,"")</f>
        <v>9.236727394546973E-2</v>
      </c>
      <c r="L8" s="545">
        <f>IFERROR(Model!BY114/Model!BT114-1,"")</f>
        <v>8.8285050012212762E-2</v>
      </c>
      <c r="M8" s="545">
        <f>IFERROR(Model!CD114/Model!BY114-1,"")</f>
        <v>6.9733108707217495E-2</v>
      </c>
    </row>
    <row r="9" spans="2:13" x14ac:dyDescent="0.25">
      <c r="B9" s="735"/>
      <c r="C9" s="735"/>
      <c r="D9" s="735"/>
      <c r="E9" s="735"/>
      <c r="F9" s="735"/>
      <c r="G9" s="735"/>
      <c r="H9" s="735"/>
      <c r="I9" s="735"/>
      <c r="J9" s="735"/>
      <c r="K9" s="735"/>
      <c r="L9" s="735"/>
      <c r="M9" s="735"/>
    </row>
    <row r="11" spans="2:13" x14ac:dyDescent="0.25">
      <c r="B11" s="733" t="s">
        <v>1007</v>
      </c>
      <c r="C11" s="734">
        <v>2015</v>
      </c>
      <c r="D11" s="734">
        <v>2016</v>
      </c>
      <c r="E11" s="734">
        <v>2017</v>
      </c>
      <c r="F11" s="734">
        <v>2018</v>
      </c>
      <c r="G11" s="734">
        <v>2019</v>
      </c>
      <c r="H11" s="734">
        <v>2020</v>
      </c>
      <c r="I11" s="734">
        <v>2021</v>
      </c>
      <c r="J11" s="734">
        <v>2022</v>
      </c>
      <c r="K11" s="734">
        <v>2023</v>
      </c>
      <c r="L11" s="734">
        <v>2024</v>
      </c>
      <c r="M11" s="734">
        <v>2025</v>
      </c>
    </row>
    <row r="12" spans="2:13" x14ac:dyDescent="0.25">
      <c r="B12" s="3" t="s">
        <v>1008</v>
      </c>
      <c r="C12" s="1">
        <f>Model!AF116</f>
        <v>736.70400000000018</v>
      </c>
      <c r="D12" s="1">
        <f>Model!AK116</f>
        <v>711.58299999999986</v>
      </c>
      <c r="E12" s="1">
        <f>Model!AP116</f>
        <v>731.52199999999993</v>
      </c>
      <c r="F12" s="1">
        <f>Model!AU116</f>
        <v>774.09099999999978</v>
      </c>
      <c r="G12" s="1">
        <f>Model!AZ116</f>
        <v>815.83199999999988</v>
      </c>
      <c r="H12" s="1">
        <f>Model!BE116</f>
        <v>743.69599999999991</v>
      </c>
      <c r="I12" s="1">
        <f>Model!BJ116</f>
        <v>775.72299999999996</v>
      </c>
      <c r="J12" s="1">
        <f>Model!BO116</f>
        <v>820.80100000000039</v>
      </c>
      <c r="K12" s="1">
        <f>Model!BT116</f>
        <v>897.75499999999988</v>
      </c>
      <c r="L12" s="1">
        <f>Model!BY116</f>
        <v>1012.4079999999999</v>
      </c>
      <c r="M12" s="1">
        <f>Model!CD116</f>
        <v>1057.3479999999997</v>
      </c>
    </row>
    <row r="13" spans="2:13" x14ac:dyDescent="0.25">
      <c r="B13" s="3" t="s">
        <v>1009</v>
      </c>
      <c r="C13" s="1">
        <f>IF(ISNUMBER(Model!AF150),IF(Model!AF150&gt;0,Model!AF150,Model!AF126),Model!AF126)</f>
        <v>212.80100000000022</v>
      </c>
      <c r="D13" s="1">
        <f>IF(ISNUMBER(Model!AK150),IF(Model!AK150&gt;0,Model!AK150,Model!AK126),Model!AK126)</f>
        <v>204.09999999999982</v>
      </c>
      <c r="E13" s="1">
        <f>IF(ISNUMBER(Model!AP150),IF(Model!AP150&gt;0,Model!AP150,Model!AP126),Model!AP126)</f>
        <v>250.15199999999999</v>
      </c>
      <c r="F13" s="1">
        <f>IF(ISNUMBER(Model!AU150),IF(Model!AU150&gt;0,Model!AU150,Model!AU126),Model!AU126)</f>
        <v>294.53399999999999</v>
      </c>
      <c r="G13" s="1">
        <f>IF(ISNUMBER(Model!AZ150),IF(Model!AZ150&gt;0,Model!AZ150,Model!AZ126),Model!AZ126)</f>
        <v>321.142</v>
      </c>
      <c r="H13" s="1">
        <f>IF(ISNUMBER(Model!BE150),IF(Model!BE150&gt;0,Model!BE150,Model!BE126),Model!BE126)</f>
        <v>287.60899999999998</v>
      </c>
      <c r="I13" s="1">
        <f>IF(ISNUMBER(Model!BJ150),IF(Model!BJ150&gt;0,Model!BJ150,Model!BJ126),Model!BJ126)</f>
        <v>277.863</v>
      </c>
      <c r="J13" s="1">
        <f>IF(ISNUMBER(Model!BO150),IF(Model!BO150&gt;0,Model!BO150,Model!BO126),Model!BO126)</f>
        <v>308.279</v>
      </c>
      <c r="K13" s="1">
        <f>IF(ISNUMBER(Model!BT150),IF(Model!BT150&gt;0,Model!BT150,Model!BT126),Model!BT126)</f>
        <v>361.80599999999998</v>
      </c>
      <c r="L13" s="1">
        <f>IF(ISNUMBER(Model!BY150),IF(Model!BY150&gt;0,Model!BY150,Model!BY126),Model!BY126)</f>
        <v>457.86199999999997</v>
      </c>
      <c r="M13" s="1">
        <f>IF(ISNUMBER(Model!CD150),IF(Model!CD150&gt;0,Model!CD150,Model!CD126),Model!CD126)</f>
        <v>501.26799999999997</v>
      </c>
    </row>
    <row r="14" spans="2:13" x14ac:dyDescent="0.25">
      <c r="B14" s="3" t="s">
        <v>1010</v>
      </c>
      <c r="C14" s="545">
        <f>IFERROR(Model!AF116/Model!AF114,"")</f>
        <v>0.29170250070084247</v>
      </c>
      <c r="D14" s="545">
        <f>IFERROR(Model!AK116/Model!AK114,"")</f>
        <v>0.2950255334198198</v>
      </c>
      <c r="E14" s="545">
        <f>IFERROR(Model!AP116/Model!AP114,"")</f>
        <v>0.29289888705774197</v>
      </c>
      <c r="F14" s="545">
        <f>IFERROR(Model!AU116/Model!AU114,"")</f>
        <v>0.28569852089044778</v>
      </c>
      <c r="G14" s="545">
        <f>IFERROR(Model!AZ116/Model!AZ114,"")</f>
        <v>0.28086976010642195</v>
      </c>
      <c r="H14" s="545">
        <f>IFERROR(Model!BE116/Model!BE114,"")</f>
        <v>0.25782009974505588</v>
      </c>
      <c r="I14" s="545">
        <f>IFERROR(Model!BJ116/Model!BJ114,"")</f>
        <v>0.27199330433139213</v>
      </c>
      <c r="J14" s="545">
        <f>IFERROR(Model!BO116/Model!BO114,"")</f>
        <v>0.27037538585597204</v>
      </c>
      <c r="K14" s="545">
        <f>IFERROR(Model!BT116/Model!BT114,"")</f>
        <v>0.2707188068234932</v>
      </c>
      <c r="L14" s="545">
        <f>IFERROR(Model!BY116/Model!BY114,"")</f>
        <v>0.2805262457882603</v>
      </c>
      <c r="M14" s="545">
        <f>IFERROR(Model!CD116/Model!CD114,"")</f>
        <v>0.27388007741753662</v>
      </c>
    </row>
    <row r="15" spans="2:13" x14ac:dyDescent="0.25">
      <c r="B15" s="736" t="s">
        <v>1011</v>
      </c>
      <c r="C15" s="737">
        <f>IFERROR(IF(ISNUMBER(Model!AF150),IF(Model!AF150&gt;0,Model!AF150,Model!AF126),Model!AF126)/Model!AF114,"")</f>
        <v>8.425987079157983E-2</v>
      </c>
      <c r="D15" s="737">
        <f>IFERROR(IF(ISNUMBER(Model!AK150),IF(Model!AK150&gt;0,Model!AK150,Model!AK126),Model!AK126)/Model!AK114,"")</f>
        <v>8.4620784042037517E-2</v>
      </c>
      <c r="E15" s="737">
        <f>IFERROR(IF(ISNUMBER(Model!AP150),IF(Model!AP150&gt;0,Model!AP150,Model!AP126),Model!AP126)/Model!AP114,"")</f>
        <v>0.10015999846247724</v>
      </c>
      <c r="F15" s="737">
        <f>IFERROR(IF(ISNUMBER(Model!AU150),IF(Model!AU150&gt;0,Model!AU150,Model!AU126),Model!AU126)/Model!AU114,"")</f>
        <v>0.10870547280868421</v>
      </c>
      <c r="G15" s="737">
        <f>IFERROR(IF(ISNUMBER(Model!AZ150),IF(Model!AZ150&gt;0,Model!AZ150,Model!AZ126),Model!AZ126)/Model!AZ114,"")</f>
        <v>0.11056084647341188</v>
      </c>
      <c r="H15" s="737">
        <f>IFERROR(IF(ISNUMBER(Model!BE150),IF(Model!BE150&gt;0,Model!BE150,Model!BE126),Model!BE126)/Model!BE114,"")</f>
        <v>9.9706575089251223E-2</v>
      </c>
      <c r="I15" s="737">
        <f>IFERROR(IF(ISNUMBER(Model!BJ150),IF(Model!BJ150&gt;0,Model!BJ150,Model!BJ126),Model!BJ126)/Model!BJ114,"")</f>
        <v>9.7427658483032739E-2</v>
      </c>
      <c r="J15" s="737">
        <f>IFERROR(IF(ISNUMBER(Model!BO150),IF(Model!BO150&gt;0,Model!BO150,Model!BO126),Model!BO126)/Model!BO114,"")</f>
        <v>0.1015484308331656</v>
      </c>
      <c r="K15" s="737">
        <f>IFERROR(IF(ISNUMBER(Model!BT150),IF(Model!BT150&gt;0,Model!BT150,Model!BT126),Model!BT126)/Model!BT114,"")</f>
        <v>0.1091029162985233</v>
      </c>
      <c r="L15" s="737">
        <f>IFERROR(IF(ISNUMBER(Model!BY150),IF(Model!BY150&gt;0,Model!BY150,Model!BY126),Model!BY126)/Model!BY114,"")</f>
        <v>0.12686812821422236</v>
      </c>
      <c r="M15" s="737">
        <f>IFERROR(IF(ISNUMBER(Model!CD150),IF(Model!CD150&gt;0,Model!CD150,Model!CD126),Model!CD126)/Model!CD114,"")</f>
        <v>0.12984118629527247</v>
      </c>
    </row>
    <row r="17" spans="2:13" x14ac:dyDescent="0.25">
      <c r="B17" s="733" t="s">
        <v>1007</v>
      </c>
      <c r="C17" s="734">
        <v>2015</v>
      </c>
      <c r="D17" s="734">
        <v>2016</v>
      </c>
      <c r="E17" s="734">
        <v>2017</v>
      </c>
      <c r="F17" s="734">
        <v>2018</v>
      </c>
      <c r="G17" s="734">
        <v>2019</v>
      </c>
      <c r="H17" s="734">
        <v>2020</v>
      </c>
      <c r="I17" s="734">
        <v>2021</v>
      </c>
      <c r="J17" s="734">
        <v>2022</v>
      </c>
      <c r="K17" s="734">
        <v>2023</v>
      </c>
      <c r="L17" s="734">
        <v>2024</v>
      </c>
      <c r="M17" s="734">
        <v>2025</v>
      </c>
    </row>
    <row r="18" spans="2:13" x14ac:dyDescent="0.25">
      <c r="B18" s="3" t="s">
        <v>565</v>
      </c>
      <c r="C18" s="545">
        <f>IFERROR(Model!AF332,NA())</f>
        <v>8.6747663174873924E-2</v>
      </c>
      <c r="D18" s="545">
        <f>IFERROR(Model!AK332,NA())</f>
        <v>8.6444350301548067E-2</v>
      </c>
      <c r="E18" s="545">
        <f>IFERROR(Model!AP332,NA())</f>
        <v>0.10728565492755</v>
      </c>
      <c r="F18" s="545">
        <f>IFERROR(Model!AU332,NA())</f>
        <v>7.8655446968030077E-2</v>
      </c>
      <c r="G18" s="545">
        <f>IFERROR(Model!AZ332,NA())</f>
        <v>0.11954877510635042</v>
      </c>
      <c r="H18" s="545">
        <f>IFERROR(Model!BE332,NA())</f>
        <v>0.10329086266001324</v>
      </c>
      <c r="I18" s="545">
        <f>IFERROR(Model!BJ332,NA())</f>
        <v>9.7316190880433084E-2</v>
      </c>
      <c r="J18" s="545">
        <f>IFERROR(Model!BO332,NA())</f>
        <v>0.10924839780903155</v>
      </c>
      <c r="K18" s="545">
        <f>IFERROR(Model!BT332,NA())</f>
        <v>0.11772679254710074</v>
      </c>
      <c r="L18" s="545">
        <f>IFERROR(Model!BY332,NA())</f>
        <v>0.13418059193538248</v>
      </c>
      <c r="M18" s="545">
        <f>IFERROR(Model!CD332,NA())</f>
        <v>0.13102097325430806</v>
      </c>
    </row>
    <row r="19" spans="2:13" x14ac:dyDescent="0.25">
      <c r="B19" s="3" t="s">
        <v>566</v>
      </c>
      <c r="C19" s="545">
        <f>IFERROR(Model!AF346,NA())</f>
        <v>0.11831713116606909</v>
      </c>
      <c r="D19" s="545">
        <f>IFERROR(Model!AK346,NA())</f>
        <v>0.11691297237847875</v>
      </c>
      <c r="E19" s="545">
        <f>IFERROR(Model!AP346,NA())</f>
        <v>0.1598376616243728</v>
      </c>
      <c r="F19" s="545">
        <f>IFERROR(Model!AU346,NA())</f>
        <v>0.12168800098490208</v>
      </c>
      <c r="G19" s="545">
        <f>IFERROR(Model!AZ346,NA())</f>
        <v>0.17231893090268455</v>
      </c>
      <c r="H19" s="545">
        <f>IFERROR(Model!BE346,NA())</f>
        <v>0.1415720967963178</v>
      </c>
      <c r="I19" s="545">
        <f>IFERROR(Model!BJ346,NA())</f>
        <v>0.13520953979009931</v>
      </c>
      <c r="J19" s="545">
        <f>IFERROR(Model!BO346,NA())</f>
        <v>0.14857474383925162</v>
      </c>
      <c r="K19" s="545">
        <f>IFERROR(Model!BT346,NA())</f>
        <v>0.15213141016962889</v>
      </c>
      <c r="L19" s="545">
        <f>IFERROR(Model!BY346,NA())</f>
        <v>0.16834226659928858</v>
      </c>
      <c r="M19" s="545">
        <f>IFERROR(Model!CD346,NA())</f>
        <v>0.16117724478806231</v>
      </c>
    </row>
    <row r="20" spans="2:13" x14ac:dyDescent="0.25">
      <c r="B20" s="3" t="s">
        <v>1012</v>
      </c>
      <c r="C20" s="545">
        <f>IFERROR(IF(ISNUMBER(Model!AF150),IF(Model!AF150&gt;0,Model!AF150,Model!AF126),Model!AF126)/Model!AF116,NA())</f>
        <v>0.2888554969159936</v>
      </c>
      <c r="D20" s="545">
        <f>IFERROR(IF(ISNUMBER(Model!AK150),IF(Model!AK150&gt;0,Model!AK150,Model!AK126),Model!AK126)/Model!AK116,NA())</f>
        <v>0.28682528953052544</v>
      </c>
      <c r="E20" s="545">
        <f>IFERROR(IF(ISNUMBER(Model!AP150),IF(Model!AP150&gt;0,Model!AP150,Model!AP126),Model!AP126)/Model!AP116,NA())</f>
        <v>0.34196100732445506</v>
      </c>
      <c r="F20" s="545">
        <f>IFERROR(IF(ISNUMBER(Model!AU150),IF(Model!AU150&gt;0,Model!AU150,Model!AU126),Model!AU126)/Model!AU116,NA())</f>
        <v>0.38049014909099843</v>
      </c>
      <c r="G20" s="545">
        <f>IFERROR(IF(ISNUMBER(Model!AZ150),IF(Model!AZ150&gt;0,Model!AZ150,Model!AZ126),Model!AZ126)/Model!AZ116,NA())</f>
        <v>0.39363741554633802</v>
      </c>
      <c r="H20" s="545">
        <f>IFERROR(IF(ISNUMBER(Model!BE150),IF(Model!BE150&gt;0,Model!BE150,Model!BE126),Model!BE126)/Model!BE116,NA())</f>
        <v>0.38672925496439409</v>
      </c>
      <c r="I20" s="545">
        <f>IFERROR(IF(ISNUMBER(Model!BJ150),IF(Model!BJ150&gt;0,Model!BJ150,Model!BJ126),Model!BJ126)/Model!BJ116,NA())</f>
        <v>0.35819873846721062</v>
      </c>
      <c r="J20" s="545">
        <f>IFERROR(IF(ISNUMBER(Model!BO150),IF(Model!BO150&gt;0,Model!BO150,Model!BO126),Model!BO126)/Model!BO116,NA())</f>
        <v>0.37558311941627731</v>
      </c>
      <c r="K20" s="545">
        <f>IFERROR(IF(ISNUMBER(Model!BT150),IF(Model!BT150&gt;0,Model!BT150,Model!BT126),Model!BT126)/Model!BT116,NA())</f>
        <v>0.40301195760536007</v>
      </c>
      <c r="L20" s="545">
        <f>IFERROR(IF(ISNUMBER(Model!BY150),IF(Model!BY150&gt;0,Model!BY150,Model!BY126),Model!BY126)/Model!BY116,NA())</f>
        <v>0.45225047609264252</v>
      </c>
      <c r="M20" s="545">
        <f>IFERROR(IF(ISNUMBER(Model!CD150),IF(Model!CD150&gt;0,Model!CD150,Model!CD126),Model!CD126)/Model!CD116,NA())</f>
        <v>0.47408043520203386</v>
      </c>
    </row>
    <row r="21" spans="2:13" x14ac:dyDescent="0.25">
      <c r="B21" s="736" t="s">
        <v>574</v>
      </c>
      <c r="C21" s="737"/>
      <c r="D21" s="737">
        <f>IFERROR((IF(ISNUMBER(Model!AK150),IF(Model!AK150&gt;0,Model!AK150,Model!AK126),Model!AK126)-IF(ISNUMBER(Model!AF150),IF(Model!AF150&gt;0,Model!AF150,Model!AF126),Model!AF126))/(Model!AK114-Model!AF114),NA())</f>
        <v>7.6596681191957144E-2</v>
      </c>
      <c r="E21" s="737">
        <f>IFERROR((IF(ISNUMBER(Model!AP150),IF(Model!AP150&gt;0,Model!AP150,Model!AP126),Model!AP126)-IF(ISNUMBER(Model!AK150),IF(Model!AK150&gt;0,Model!AK150,Model!AK126),Model!AK126))/(Model!AP114-Model!AK114),NA())</f>
        <v>0.53807237080397918</v>
      </c>
      <c r="F21" s="737">
        <f>IFERROR((IF(ISNUMBER(Model!AU150),IF(Model!AU150&gt;0,Model!AU150,Model!AU126),Model!AU126)-IF(ISNUMBER(Model!AP150),IF(Model!AP150&gt;0,Model!AP150,Model!AP126),Model!AP126))/(Model!AU114-Model!AP114),NA())</f>
        <v>0.20940437096591558</v>
      </c>
      <c r="G21" s="737">
        <f>IFERROR((IF(ISNUMBER(Model!AZ150),IF(Model!AZ150&gt;0,Model!AZ150,Model!AZ126),Model!AZ126)-IF(ISNUMBER(Model!AU150),IF(Model!AU150&gt;0,Model!AU150,Model!AU126),Model!AU126))/(Model!AZ114-Model!AU114),NA())</f>
        <v>0.13631496708419777</v>
      </c>
      <c r="H21" s="737">
        <f>IFERROR((IF(ISNUMBER(Model!BE150),IF(Model!BE150&gt;0,Model!BE150,Model!BE126),Model!BE126)-IF(ISNUMBER(Model!AZ150),IF(Model!AZ150&gt;0,Model!AZ150,Model!AZ126),Model!AZ126))/(Model!BE114-Model!AZ114),NA())</f>
        <v>1.6675617882540228</v>
      </c>
      <c r="I21" s="737">
        <f>IFERROR((IF(ISNUMBER(Model!BJ150),IF(Model!BJ150&gt;0,Model!BJ150,Model!BJ126),Model!BJ126)-IF(ISNUMBER(Model!BE150),IF(Model!BE150&gt;0,Model!BE150,Model!BE126),Model!BE126))/(Model!BJ114-Model!BE114),NA())</f>
        <v>0.29931513159915041</v>
      </c>
      <c r="J21" s="737">
        <f>IFERROR((IF(ISNUMBER(Model!BO150),IF(Model!BO150&gt;0,Model!BO150,Model!BO126),Model!BO126)-IF(ISNUMBER(Model!BJ150),IF(Model!BJ150&gt;0,Model!BJ150,Model!BJ126),Model!BJ126))/(Model!BO114-Model!BJ114),NA())</f>
        <v>0.16549322596441551</v>
      </c>
      <c r="K21" s="737">
        <f>IFERROR((IF(ISNUMBER(Model!BT150),IF(Model!BT150&gt;0,Model!BT150,Model!BT126),Model!BT126)-IF(ISNUMBER(Model!BO150),IF(Model!BO150&gt;0,Model!BO150,Model!BO126),Model!BO126))/(Model!BT114-Model!BO114),NA())</f>
        <v>0.19089038433420008</v>
      </c>
      <c r="L21" s="737">
        <f>IFERROR((IF(ISNUMBER(Model!BY150),IF(Model!BY150&gt;0,Model!BY150,Model!BY126),Model!BY126)-IF(ISNUMBER(Model!BT150),IF(Model!BT150&gt;0,Model!BT150,Model!BT126),Model!BT126))/(Model!BY114-Model!BT114),NA())</f>
        <v>0.32809372545001192</v>
      </c>
      <c r="M21" s="737">
        <f>IFERROR((IF(ISNUMBER(Model!CD150),IF(Model!CD150&gt;0,Model!CD150,Model!CD126),Model!CD126)-IF(ISNUMBER(Model!BY150),IF(Model!BY150&gt;0,Model!BY150,Model!BY126),Model!BY126))/(Model!CD114-Model!BY114),NA())</f>
        <v>0.17247599974569286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0D608-D38E-42CC-B94B-E4A494B288B4}">
  <dimension ref="A1:CG431"/>
  <sheetViews>
    <sheetView showGridLines="0" zoomScale="60" zoomScaleNormal="60" workbookViewId="0">
      <pane xSplit="2" ySplit="6" topLeftCell="AR7" activePane="bottomRight" state="frozen"/>
      <selection pane="topRight" activeCell="C1" sqref="C1"/>
      <selection pane="bottomLeft" activeCell="A7" sqref="A7"/>
      <selection pane="bottomRight" activeCell="BR384" sqref="BR384:BU384"/>
    </sheetView>
  </sheetViews>
  <sheetFormatPr defaultRowHeight="15.75" outlineLevelCol="1" x14ac:dyDescent="0.25"/>
  <cols>
    <col min="2" max="2" width="55" customWidth="1"/>
    <col min="3" max="7" width="9.125" hidden="1" customWidth="1" outlineLevel="1"/>
    <col min="8" max="8" width="14.125" customWidth="1" collapsed="1"/>
    <col min="9" max="10" width="9.625" hidden="1" customWidth="1" outlineLevel="1"/>
    <col min="11" max="11" width="10.875" hidden="1" customWidth="1" outlineLevel="1"/>
    <col min="12" max="13" width="9.625" hidden="1" customWidth="1" outlineLevel="1"/>
    <col min="14" max="14" width="14.125" customWidth="1" collapsed="1"/>
    <col min="15" max="16" width="9.625" hidden="1" customWidth="1" outlineLevel="1"/>
    <col min="17" max="17" width="10.875" hidden="1" customWidth="1" outlineLevel="1"/>
    <col min="18" max="19" width="9.625" hidden="1" customWidth="1" outlineLevel="1"/>
    <col min="20" max="20" width="14.125" customWidth="1" collapsed="1"/>
    <col min="21" max="22" width="9.625" hidden="1" customWidth="1" outlineLevel="1"/>
    <col min="23" max="23" width="10.875" hidden="1" customWidth="1" outlineLevel="1"/>
    <col min="24" max="25" width="9.625" hidden="1" customWidth="1" outlineLevel="1"/>
    <col min="26" max="26" width="14.125" customWidth="1" collapsed="1"/>
    <col min="27" max="28" width="9.625" hidden="1" customWidth="1" outlineLevel="1"/>
    <col min="29" max="29" width="10.875" hidden="1" customWidth="1" outlineLevel="1"/>
    <col min="30" max="31" width="9.625" hidden="1" customWidth="1" outlineLevel="1"/>
    <col min="32" max="32" width="14.125" customWidth="1" collapsed="1"/>
    <col min="33" max="34" width="9.625" hidden="1" customWidth="1" outlineLevel="1"/>
    <col min="35" max="35" width="10.875" hidden="1" customWidth="1" outlineLevel="1"/>
    <col min="36" max="37" width="9.625" hidden="1" customWidth="1" outlineLevel="1"/>
    <col min="38" max="38" width="14.125" customWidth="1" collapsed="1"/>
    <col min="39" max="40" width="9.625" hidden="1" customWidth="1" outlineLevel="1"/>
    <col min="41" max="41" width="10.875" hidden="1" customWidth="1" outlineLevel="1"/>
    <col min="42" max="43" width="9.625" hidden="1" customWidth="1" outlineLevel="1"/>
    <col min="44" max="44" width="14.125" customWidth="1" collapsed="1"/>
    <col min="45" max="46" width="9.625" hidden="1" customWidth="1" outlineLevel="1"/>
    <col min="47" max="47" width="10.875" hidden="1" customWidth="1" outlineLevel="1"/>
    <col min="48" max="49" width="9.625" hidden="1" customWidth="1" outlineLevel="1"/>
    <col min="50" max="50" width="14.125" customWidth="1" collapsed="1"/>
    <col min="51" max="52" width="9.625" hidden="1" customWidth="1" outlineLevel="1"/>
    <col min="53" max="53" width="10.875" hidden="1" customWidth="1" outlineLevel="1"/>
    <col min="54" max="55" width="9.625" hidden="1" customWidth="1" outlineLevel="1"/>
    <col min="56" max="56" width="14.125" customWidth="1" collapsed="1"/>
    <col min="57" max="58" width="9.625" hidden="1" customWidth="1" outlineLevel="1"/>
    <col min="59" max="59" width="10.875" hidden="1" customWidth="1" outlineLevel="1"/>
    <col min="60" max="61" width="9.625" hidden="1" customWidth="1" outlineLevel="1"/>
    <col min="62" max="62" width="14.125" customWidth="1" collapsed="1"/>
    <col min="63" max="64" width="9.625" hidden="1" customWidth="1" outlineLevel="1"/>
    <col min="65" max="65" width="10.875" hidden="1" customWidth="1" outlineLevel="1"/>
    <col min="66" max="67" width="9.625" hidden="1" customWidth="1" outlineLevel="1"/>
    <col min="68" max="68" width="14.125" customWidth="1" collapsed="1"/>
    <col min="69" max="73" width="14.125" customWidth="1"/>
    <col min="74" max="74" width="86.875" customWidth="1"/>
    <col min="75" max="75" width="2" customWidth="1"/>
    <col min="76" max="76" width="14.125" customWidth="1"/>
    <col min="77" max="77" width="12.375" bestFit="1" customWidth="1"/>
    <col min="78" max="78" width="13.5" bestFit="1" customWidth="1"/>
    <col min="79" max="79" width="2" customWidth="1"/>
    <col min="80" max="80" width="14.125" customWidth="1"/>
    <col min="81" max="81" width="21.625" customWidth="1"/>
    <col min="82" max="84" width="11.625" customWidth="1"/>
    <col min="85" max="85" width="14.125" customWidth="1"/>
    <col min="86" max="87" width="10" customWidth="1"/>
  </cols>
  <sheetData>
    <row r="1" spans="1:84" ht="16.5" thickBot="1" x14ac:dyDescent="0.3">
      <c r="BV1" s="365"/>
      <c r="BW1" s="305"/>
      <c r="BX1" s="365"/>
    </row>
    <row r="2" spans="1:84" ht="21" x14ac:dyDescent="0.35">
      <c r="B2" s="170" t="s">
        <v>0</v>
      </c>
      <c r="C2" s="170"/>
      <c r="D2" s="170"/>
      <c r="E2" s="170"/>
      <c r="F2" s="170"/>
      <c r="G2" s="170"/>
      <c r="H2" s="64"/>
      <c r="I2" s="171"/>
      <c r="J2" s="171"/>
      <c r="K2" s="172"/>
      <c r="L2" s="171"/>
      <c r="M2" s="171"/>
      <c r="N2" s="64"/>
      <c r="O2" s="171"/>
      <c r="P2" s="171"/>
      <c r="Q2" s="172"/>
      <c r="R2" s="171"/>
      <c r="S2" s="171"/>
      <c r="T2" s="64"/>
      <c r="U2" s="171"/>
      <c r="V2" s="171"/>
      <c r="W2" s="172"/>
      <c r="X2" s="171"/>
      <c r="Y2" s="171"/>
      <c r="Z2" s="64"/>
      <c r="AA2" s="171"/>
      <c r="AB2" s="171"/>
      <c r="AC2" s="172"/>
      <c r="AD2" s="171"/>
      <c r="AE2" s="171"/>
      <c r="AF2" s="64"/>
      <c r="AG2" s="171"/>
      <c r="AH2" s="171"/>
      <c r="AI2" s="172"/>
      <c r="AJ2" s="171"/>
      <c r="AK2" s="171"/>
      <c r="AL2" s="64"/>
      <c r="AM2" s="171"/>
      <c r="AN2" s="171"/>
      <c r="AO2" s="172"/>
      <c r="AP2" s="171"/>
      <c r="AQ2" s="171"/>
      <c r="AR2" s="64"/>
      <c r="AS2" s="171"/>
      <c r="AT2" s="171"/>
      <c r="AU2" s="172"/>
      <c r="AV2" s="171"/>
      <c r="AW2" s="171"/>
      <c r="AX2" s="64"/>
      <c r="AY2" s="171"/>
      <c r="AZ2" s="171"/>
      <c r="BA2" s="172"/>
      <c r="BB2" s="171"/>
      <c r="BC2" s="171"/>
      <c r="BD2" s="64"/>
      <c r="BE2" s="171"/>
      <c r="BF2" s="171"/>
      <c r="BG2" s="172"/>
      <c r="BH2" s="171"/>
      <c r="BI2" s="171"/>
      <c r="BJ2" s="64"/>
      <c r="BK2" s="171"/>
      <c r="BL2" s="171"/>
      <c r="BM2" s="172"/>
      <c r="BN2" s="171"/>
      <c r="BO2" s="171"/>
      <c r="BP2" s="64"/>
      <c r="BQ2" s="365"/>
      <c r="BR2" s="365"/>
      <c r="BS2" s="365"/>
      <c r="BT2" s="365"/>
      <c r="BU2" s="476" t="s">
        <v>411</v>
      </c>
      <c r="BV2" s="477" t="s">
        <v>412</v>
      </c>
      <c r="BW2" s="305"/>
      <c r="BX2" s="365"/>
    </row>
    <row r="3" spans="1:84" x14ac:dyDescent="0.25">
      <c r="B3" s="173" t="s">
        <v>1</v>
      </c>
      <c r="C3" s="173"/>
      <c r="D3" s="173"/>
      <c r="E3" s="173"/>
      <c r="F3" s="173"/>
      <c r="G3" s="173"/>
      <c r="H3" s="64"/>
      <c r="I3" s="171"/>
      <c r="J3" s="171"/>
      <c r="K3" s="172"/>
      <c r="L3" s="171"/>
      <c r="M3" s="171"/>
      <c r="N3" s="64"/>
      <c r="O3" s="171"/>
      <c r="P3" s="171"/>
      <c r="Q3" s="172"/>
      <c r="R3" s="171"/>
      <c r="S3" s="171"/>
      <c r="T3" s="64"/>
      <c r="U3" s="171"/>
      <c r="V3" s="171"/>
      <c r="W3" s="172"/>
      <c r="X3" s="171"/>
      <c r="Y3" s="171"/>
      <c r="Z3" s="64"/>
      <c r="AA3" s="171"/>
      <c r="AB3" s="171"/>
      <c r="AC3" s="172"/>
      <c r="AD3" s="171"/>
      <c r="AE3" s="171"/>
      <c r="AF3" s="64"/>
      <c r="AG3" s="171"/>
      <c r="AH3" s="171"/>
      <c r="AI3" s="172"/>
      <c r="AJ3" s="171"/>
      <c r="AK3" s="171"/>
      <c r="AL3" s="64"/>
      <c r="AM3" s="171"/>
      <c r="AN3" s="171"/>
      <c r="AO3" s="172"/>
      <c r="AP3" s="171"/>
      <c r="AQ3" s="171"/>
      <c r="AR3" s="64"/>
      <c r="AS3" s="171"/>
      <c r="AT3" s="171"/>
      <c r="AU3" s="172"/>
      <c r="AV3" s="171"/>
      <c r="AW3" s="171"/>
      <c r="AX3" s="64"/>
      <c r="AY3" s="171"/>
      <c r="AZ3" s="171"/>
      <c r="BA3" s="172"/>
      <c r="BB3" s="171"/>
      <c r="BC3" s="171"/>
      <c r="BD3" s="64"/>
      <c r="BE3" s="171"/>
      <c r="BF3" s="171"/>
      <c r="BG3" s="172"/>
      <c r="BH3" s="171"/>
      <c r="BI3" s="171"/>
      <c r="BJ3" s="64"/>
      <c r="BK3" s="171"/>
      <c r="BL3" s="171"/>
      <c r="BM3" s="172"/>
      <c r="BN3" s="171"/>
      <c r="BO3" s="171"/>
      <c r="BP3" s="64"/>
      <c r="BQ3" s="365"/>
      <c r="BR3" s="365"/>
      <c r="BS3" s="365"/>
      <c r="BT3" s="365"/>
      <c r="BU3" s="365"/>
      <c r="BV3" s="365"/>
      <c r="BW3" s="305"/>
      <c r="BX3" s="365"/>
    </row>
    <row r="4" spans="1:84" x14ac:dyDescent="0.25">
      <c r="B4" s="174" t="s">
        <v>2</v>
      </c>
      <c r="C4" s="174"/>
      <c r="D4" s="174"/>
      <c r="E4" s="174"/>
      <c r="F4" s="174"/>
      <c r="G4" s="174"/>
      <c r="H4" s="64"/>
      <c r="I4" s="171"/>
      <c r="J4" s="171"/>
      <c r="K4" s="172"/>
      <c r="L4" s="171"/>
      <c r="M4" s="171"/>
      <c r="N4" s="64"/>
      <c r="O4" s="171"/>
      <c r="P4" s="171"/>
      <c r="Q4" s="172"/>
      <c r="R4" s="171"/>
      <c r="S4" s="171"/>
      <c r="T4" s="64"/>
      <c r="U4" s="171"/>
      <c r="V4" s="171"/>
      <c r="W4" s="172"/>
      <c r="X4" s="171"/>
      <c r="Y4" s="171"/>
      <c r="Z4" s="64"/>
      <c r="AA4" s="171"/>
      <c r="AB4" s="171"/>
      <c r="AC4" s="172"/>
      <c r="AD4" s="171"/>
      <c r="AE4" s="171"/>
      <c r="AF4" s="64"/>
      <c r="AG4" s="171"/>
      <c r="AH4" s="171"/>
      <c r="AI4" s="172"/>
      <c r="AJ4" s="171"/>
      <c r="AK4" s="171"/>
      <c r="AL4" s="64"/>
      <c r="AM4" s="171"/>
      <c r="AN4" s="171"/>
      <c r="AO4" s="172"/>
      <c r="AP4" s="171"/>
      <c r="AQ4" s="171"/>
      <c r="AR4" s="64"/>
      <c r="AS4" s="171"/>
      <c r="AT4" s="171"/>
      <c r="AU4" s="172"/>
      <c r="AV4" s="171"/>
      <c r="AW4" s="171"/>
      <c r="AX4" s="64"/>
      <c r="AY4" s="171"/>
      <c r="AZ4" s="171"/>
      <c r="BA4" s="172"/>
      <c r="BB4" s="171"/>
      <c r="BC4" s="171"/>
      <c r="BD4" s="64"/>
      <c r="BE4" s="171"/>
      <c r="BF4" s="171"/>
      <c r="BG4" s="172"/>
      <c r="BH4" s="171"/>
      <c r="BI4" s="171"/>
      <c r="BJ4" s="64"/>
      <c r="BK4" s="171"/>
      <c r="BL4" s="171"/>
      <c r="BM4" s="172"/>
      <c r="BN4" s="171"/>
      <c r="BO4" s="171"/>
      <c r="BP4" s="64"/>
      <c r="BQ4" s="365"/>
      <c r="BR4" s="365"/>
      <c r="BS4" s="365"/>
      <c r="BT4" s="365"/>
      <c r="BU4" s="365"/>
      <c r="BV4" s="365"/>
      <c r="BW4" s="305"/>
      <c r="BX4" s="365"/>
    </row>
    <row r="5" spans="1:84" x14ac:dyDescent="0.25">
      <c r="H5" s="64"/>
      <c r="I5" s="171"/>
      <c r="J5" s="171"/>
      <c r="K5" s="172"/>
      <c r="L5" s="171"/>
      <c r="M5" s="171"/>
      <c r="N5" s="64"/>
      <c r="O5" s="171"/>
      <c r="P5" s="171"/>
      <c r="Q5" s="172"/>
      <c r="R5" s="171"/>
      <c r="S5" s="171"/>
      <c r="T5" s="64"/>
      <c r="U5" s="171"/>
      <c r="V5" s="171"/>
      <c r="W5" s="172"/>
      <c r="X5" s="171"/>
      <c r="Y5" s="171"/>
      <c r="Z5" s="64"/>
      <c r="AA5" s="171"/>
      <c r="AB5" s="171"/>
      <c r="AC5" s="172"/>
      <c r="AD5" s="171"/>
      <c r="AE5" s="171"/>
      <c r="AF5" s="64"/>
      <c r="AG5" s="171"/>
      <c r="AH5" s="171"/>
      <c r="AI5" s="172"/>
      <c r="AJ5" s="171"/>
      <c r="AK5" s="171"/>
      <c r="AL5" s="64"/>
      <c r="AM5" s="171"/>
      <c r="AN5" s="171"/>
      <c r="AO5" s="172"/>
      <c r="AP5" s="171"/>
      <c r="AQ5" s="171"/>
      <c r="AR5" s="64"/>
      <c r="AS5" s="171"/>
      <c r="AT5" s="171"/>
      <c r="AU5" s="172"/>
      <c r="AV5" s="171"/>
      <c r="AW5" s="171"/>
      <c r="AX5" s="64"/>
      <c r="AY5" s="171"/>
      <c r="AZ5" s="171"/>
      <c r="BA5" s="172"/>
      <c r="BB5" s="171"/>
      <c r="BC5" s="171"/>
      <c r="BD5" s="64"/>
      <c r="BE5" s="171"/>
      <c r="BF5" s="171"/>
      <c r="BG5" s="172"/>
      <c r="BH5" s="171"/>
      <c r="BI5" s="171"/>
      <c r="BJ5" s="64"/>
      <c r="BK5" s="171"/>
      <c r="BL5" s="171"/>
      <c r="BM5" s="172"/>
      <c r="BN5" s="171"/>
      <c r="BO5" s="171"/>
      <c r="BP5" s="64"/>
      <c r="BQ5" s="365"/>
      <c r="BR5" s="365"/>
      <c r="BS5" s="365"/>
      <c r="BT5" s="365"/>
      <c r="BU5" s="365"/>
      <c r="BV5" s="365"/>
      <c r="BW5" s="305"/>
      <c r="BX5" s="175" t="s">
        <v>390</v>
      </c>
      <c r="BY5" s="449" t="s">
        <v>392</v>
      </c>
      <c r="BZ5" s="449" t="s">
        <v>392</v>
      </c>
    </row>
    <row r="6" spans="1:84" x14ac:dyDescent="0.25">
      <c r="A6" s="63"/>
      <c r="B6" s="63" t="s">
        <v>3</v>
      </c>
      <c r="C6" s="63" t="s">
        <v>120</v>
      </c>
      <c r="D6" s="63" t="s">
        <v>121</v>
      </c>
      <c r="E6" s="63" t="s">
        <v>122</v>
      </c>
      <c r="F6" s="63" t="s">
        <v>123</v>
      </c>
      <c r="G6" s="63" t="s">
        <v>124</v>
      </c>
      <c r="H6" s="65">
        <v>2015</v>
      </c>
      <c r="I6" s="63" t="s">
        <v>125</v>
      </c>
      <c r="J6" s="63" t="s">
        <v>126</v>
      </c>
      <c r="K6" s="63" t="s">
        <v>127</v>
      </c>
      <c r="L6" s="63" t="s">
        <v>128</v>
      </c>
      <c r="M6" s="63" t="s">
        <v>129</v>
      </c>
      <c r="N6" s="65">
        <v>2016</v>
      </c>
      <c r="O6" s="63" t="s">
        <v>130</v>
      </c>
      <c r="P6" s="63" t="s">
        <v>131</v>
      </c>
      <c r="Q6" s="63" t="s">
        <v>132</v>
      </c>
      <c r="R6" s="63" t="s">
        <v>133</v>
      </c>
      <c r="S6" s="63" t="s">
        <v>134</v>
      </c>
      <c r="T6" s="65">
        <v>2017</v>
      </c>
      <c r="U6" s="63" t="s">
        <v>135</v>
      </c>
      <c r="V6" s="63" t="s">
        <v>136</v>
      </c>
      <c r="W6" s="63" t="s">
        <v>137</v>
      </c>
      <c r="X6" s="63" t="s">
        <v>138</v>
      </c>
      <c r="Y6" s="63" t="s">
        <v>139</v>
      </c>
      <c r="Z6" s="65">
        <v>2018</v>
      </c>
      <c r="AA6" s="63" t="s">
        <v>140</v>
      </c>
      <c r="AB6" s="63" t="s">
        <v>141</v>
      </c>
      <c r="AC6" s="63" t="s">
        <v>142</v>
      </c>
      <c r="AD6" s="63" t="s">
        <v>143</v>
      </c>
      <c r="AE6" s="63" t="s">
        <v>144</v>
      </c>
      <c r="AF6" s="65">
        <v>2019</v>
      </c>
      <c r="AG6" s="63" t="s">
        <v>145</v>
      </c>
      <c r="AH6" s="63" t="s">
        <v>146</v>
      </c>
      <c r="AI6" s="63" t="s">
        <v>147</v>
      </c>
      <c r="AJ6" s="63" t="s">
        <v>148</v>
      </c>
      <c r="AK6" s="63" t="s">
        <v>149</v>
      </c>
      <c r="AL6" s="65">
        <v>2020</v>
      </c>
      <c r="AM6" s="63" t="s">
        <v>150</v>
      </c>
      <c r="AN6" s="63" t="s">
        <v>151</v>
      </c>
      <c r="AO6" s="63" t="s">
        <v>152</v>
      </c>
      <c r="AP6" s="63" t="s">
        <v>153</v>
      </c>
      <c r="AQ6" s="63" t="s">
        <v>154</v>
      </c>
      <c r="AR6" s="65">
        <v>2021</v>
      </c>
      <c r="AS6" s="63" t="s">
        <v>155</v>
      </c>
      <c r="AT6" s="63" t="s">
        <v>156</v>
      </c>
      <c r="AU6" s="63" t="s">
        <v>157</v>
      </c>
      <c r="AV6" s="63" t="s">
        <v>158</v>
      </c>
      <c r="AW6" s="63" t="s">
        <v>159</v>
      </c>
      <c r="AX6" s="65">
        <v>2022</v>
      </c>
      <c r="AY6" s="63" t="s">
        <v>160</v>
      </c>
      <c r="AZ6" s="63" t="s">
        <v>161</v>
      </c>
      <c r="BA6" s="63" t="s">
        <v>162</v>
      </c>
      <c r="BB6" s="63" t="s">
        <v>163</v>
      </c>
      <c r="BC6" s="63" t="s">
        <v>164</v>
      </c>
      <c r="BD6" s="65">
        <v>2023</v>
      </c>
      <c r="BE6" s="63" t="s">
        <v>165</v>
      </c>
      <c r="BF6" s="63" t="s">
        <v>166</v>
      </c>
      <c r="BG6" s="63" t="s">
        <v>167</v>
      </c>
      <c r="BH6" s="63" t="s">
        <v>168</v>
      </c>
      <c r="BI6" s="63" t="s">
        <v>169</v>
      </c>
      <c r="BJ6" s="65">
        <v>2024</v>
      </c>
      <c r="BK6" s="63" t="s">
        <v>170</v>
      </c>
      <c r="BL6" s="63" t="s">
        <v>171</v>
      </c>
      <c r="BM6" s="63" t="s">
        <v>172</v>
      </c>
      <c r="BN6" s="63" t="s">
        <v>173</v>
      </c>
      <c r="BO6" s="63" t="s">
        <v>174</v>
      </c>
      <c r="BP6" s="65">
        <v>2025</v>
      </c>
      <c r="BQ6" s="63" t="s">
        <v>269</v>
      </c>
      <c r="BR6" s="63" t="s">
        <v>270</v>
      </c>
      <c r="BS6" s="63" t="s">
        <v>271</v>
      </c>
      <c r="BT6" s="63" t="s">
        <v>272</v>
      </c>
      <c r="BU6" s="63" t="s">
        <v>273</v>
      </c>
      <c r="BV6" s="63" t="s">
        <v>282</v>
      </c>
      <c r="BW6" s="447"/>
      <c r="BX6" s="175" t="s">
        <v>191</v>
      </c>
      <c r="BY6" s="175" t="s">
        <v>191</v>
      </c>
      <c r="BZ6" s="175" t="s">
        <v>192</v>
      </c>
      <c r="CA6" s="307"/>
      <c r="CB6" s="307"/>
      <c r="CC6" s="307"/>
    </row>
    <row r="7" spans="1:84" x14ac:dyDescent="0.25">
      <c r="C7" s="1"/>
      <c r="D7" s="1"/>
      <c r="E7" s="1"/>
      <c r="F7" s="1"/>
      <c r="G7" s="1"/>
      <c r="H7" s="64"/>
      <c r="I7" s="176"/>
      <c r="J7" s="176"/>
      <c r="K7" s="177"/>
      <c r="L7" s="176"/>
      <c r="M7" s="176"/>
      <c r="N7" s="64"/>
      <c r="O7" s="176"/>
      <c r="P7" s="176"/>
      <c r="Q7" s="177"/>
      <c r="R7" s="176"/>
      <c r="S7" s="176"/>
      <c r="T7" s="64"/>
      <c r="U7" s="176"/>
      <c r="V7" s="176"/>
      <c r="W7" s="177"/>
      <c r="X7" s="176"/>
      <c r="Y7" s="176"/>
      <c r="Z7" s="64"/>
      <c r="AA7" s="176"/>
      <c r="AB7" s="176"/>
      <c r="AC7" s="177"/>
      <c r="AD7" s="176"/>
      <c r="AE7" s="176"/>
      <c r="AF7" s="64"/>
      <c r="AG7" s="176"/>
      <c r="AH7" s="176"/>
      <c r="AI7" s="177"/>
      <c r="AJ7" s="176"/>
      <c r="AK7" s="176"/>
      <c r="AL7" s="64"/>
      <c r="AM7" s="176"/>
      <c r="AN7" s="176"/>
      <c r="AO7" s="177"/>
      <c r="AP7" s="176"/>
      <c r="AQ7" s="176"/>
      <c r="AR7" s="64"/>
      <c r="AS7" s="176"/>
      <c r="AT7" s="176"/>
      <c r="AU7" s="177"/>
      <c r="AV7" s="176"/>
      <c r="AW7" s="176"/>
      <c r="AX7" s="64"/>
      <c r="AY7" s="176"/>
      <c r="AZ7" s="176"/>
      <c r="BA7" s="177"/>
      <c r="BB7" s="176"/>
      <c r="BC7" s="176"/>
      <c r="BD7" s="64"/>
      <c r="BE7" s="176"/>
      <c r="BF7" s="176"/>
      <c r="BG7" s="177"/>
      <c r="BH7" s="176"/>
      <c r="BI7" s="176"/>
      <c r="BJ7" s="64"/>
      <c r="BK7" s="176"/>
      <c r="BL7" s="176"/>
      <c r="BM7" s="177"/>
      <c r="BN7" s="176"/>
      <c r="BO7" s="176"/>
      <c r="BP7" s="91"/>
      <c r="BQ7" s="366"/>
      <c r="BR7" s="366"/>
      <c r="BS7" s="366"/>
      <c r="BT7" s="366"/>
      <c r="BU7" s="366"/>
      <c r="BV7" s="365"/>
      <c r="BW7" s="305"/>
      <c r="BX7" s="448" t="s">
        <v>391</v>
      </c>
      <c r="BY7" s="178" t="s">
        <v>193</v>
      </c>
      <c r="BZ7" s="178" t="s">
        <v>194</v>
      </c>
      <c r="CA7" s="308"/>
      <c r="CB7" s="308"/>
      <c r="CC7" s="308"/>
    </row>
    <row r="8" spans="1:84" x14ac:dyDescent="0.25">
      <c r="B8" s="57" t="s">
        <v>222</v>
      </c>
      <c r="C8" s="58"/>
      <c r="D8" s="58"/>
      <c r="E8" s="58"/>
      <c r="F8" s="58"/>
      <c r="G8" s="58"/>
      <c r="H8" s="66"/>
      <c r="I8" s="58"/>
      <c r="J8" s="58"/>
      <c r="K8" s="58"/>
      <c r="L8" s="58"/>
      <c r="M8" s="58"/>
      <c r="N8" s="66"/>
      <c r="O8" s="58"/>
      <c r="P8" s="58"/>
      <c r="Q8" s="58"/>
      <c r="R8" s="58"/>
      <c r="S8" s="58"/>
      <c r="T8" s="66"/>
      <c r="U8" s="58"/>
      <c r="V8" s="58"/>
      <c r="W8" s="58"/>
      <c r="X8" s="58"/>
      <c r="Y8" s="58"/>
      <c r="Z8" s="66"/>
      <c r="AA8" s="58"/>
      <c r="AB8" s="58"/>
      <c r="AC8" s="58"/>
      <c r="AD8" s="58"/>
      <c r="AE8" s="58"/>
      <c r="AF8" s="66"/>
      <c r="AG8" s="58"/>
      <c r="AH8" s="58"/>
      <c r="AI8" s="58"/>
      <c r="AJ8" s="58"/>
      <c r="AK8" s="58"/>
      <c r="AL8" s="66"/>
      <c r="AM8" s="58"/>
      <c r="AN8" s="58"/>
      <c r="AO8" s="58"/>
      <c r="AP8" s="58"/>
      <c r="AQ8" s="58"/>
      <c r="AR8" s="66"/>
      <c r="AS8" s="58"/>
      <c r="AT8" s="58"/>
      <c r="AU8" s="58"/>
      <c r="AV8" s="58"/>
      <c r="AW8" s="58"/>
      <c r="AX8" s="66"/>
      <c r="AY8" s="58"/>
      <c r="AZ8" s="58"/>
      <c r="BA8" s="58"/>
      <c r="BB8" s="58"/>
      <c r="BC8" s="58"/>
      <c r="BD8" s="66"/>
      <c r="BE8" s="58"/>
      <c r="BF8" s="58"/>
      <c r="BG8" s="58"/>
      <c r="BH8" s="58"/>
      <c r="BI8" s="58"/>
      <c r="BJ8" s="66"/>
      <c r="BK8" s="58"/>
      <c r="BL8" s="58"/>
      <c r="BM8" s="58"/>
      <c r="BN8" s="58"/>
      <c r="BO8" s="58"/>
      <c r="BP8" s="106"/>
      <c r="BQ8" s="58"/>
      <c r="BR8" s="58"/>
      <c r="BS8" s="58"/>
      <c r="BT8" s="58"/>
      <c r="BU8" s="58"/>
      <c r="BV8" s="399"/>
      <c r="BW8" s="305"/>
      <c r="BX8" s="399"/>
      <c r="BY8" s="59"/>
      <c r="BZ8" s="59"/>
    </row>
    <row r="9" spans="1:84" x14ac:dyDescent="0.25">
      <c r="C9" s="1"/>
      <c r="D9" s="1"/>
      <c r="E9" s="1"/>
      <c r="F9" s="1"/>
      <c r="G9" s="1"/>
      <c r="H9" s="64"/>
      <c r="I9" s="176"/>
      <c r="J9" s="176"/>
      <c r="K9" s="177"/>
      <c r="L9" s="176"/>
      <c r="M9" s="176"/>
      <c r="N9" s="64"/>
      <c r="O9" s="176"/>
      <c r="P9" s="176"/>
      <c r="Q9" s="177"/>
      <c r="R9" s="176"/>
      <c r="S9" s="176"/>
      <c r="T9" s="64"/>
      <c r="U9" s="176"/>
      <c r="V9" s="176"/>
      <c r="W9" s="177"/>
      <c r="X9" s="176"/>
      <c r="Y9" s="176"/>
      <c r="Z9" s="64"/>
      <c r="AA9" s="176"/>
      <c r="AB9" s="176"/>
      <c r="AC9" s="177"/>
      <c r="AD9" s="176"/>
      <c r="AE9" s="176"/>
      <c r="AF9" s="64"/>
      <c r="AG9" s="176"/>
      <c r="AH9" s="176"/>
      <c r="AI9" s="177"/>
      <c r="AJ9" s="176"/>
      <c r="AK9" s="176"/>
      <c r="AL9" s="64"/>
      <c r="AM9" s="176"/>
      <c r="AN9" s="176"/>
      <c r="AO9" s="177"/>
      <c r="AP9" s="176"/>
      <c r="AQ9" s="176"/>
      <c r="AR9" s="64"/>
      <c r="AS9" s="176"/>
      <c r="AT9" s="176"/>
      <c r="AU9" s="177"/>
      <c r="AV9" s="176"/>
      <c r="AW9" s="176"/>
      <c r="AX9" s="64"/>
      <c r="AY9" s="176"/>
      <c r="AZ9" s="176"/>
      <c r="BA9" s="177"/>
      <c r="BB9" s="176"/>
      <c r="BC9" s="176"/>
      <c r="BD9" s="64"/>
      <c r="BE9" s="176"/>
      <c r="BF9" s="176"/>
      <c r="BG9" s="177"/>
      <c r="BH9" s="176"/>
      <c r="BI9" s="176"/>
      <c r="BJ9" s="64"/>
      <c r="BK9" s="176"/>
      <c r="BL9" s="176"/>
      <c r="BM9" s="177"/>
      <c r="BN9" s="176"/>
      <c r="BO9" s="176"/>
      <c r="BP9" s="91"/>
      <c r="BQ9" s="366"/>
      <c r="BR9" s="366"/>
      <c r="BS9" s="366"/>
      <c r="BT9" s="366"/>
      <c r="BU9" s="366"/>
      <c r="BV9" s="365"/>
      <c r="BW9" s="305"/>
      <c r="BX9" s="365"/>
      <c r="CC9" s="4" t="s">
        <v>413</v>
      </c>
      <c r="CD9" s="478" t="s">
        <v>414</v>
      </c>
      <c r="CE9" s="478" t="s">
        <v>412</v>
      </c>
      <c r="CF9" s="478" t="s">
        <v>415</v>
      </c>
    </row>
    <row r="10" spans="1:84" x14ac:dyDescent="0.25">
      <c r="B10" s="223" t="s">
        <v>10</v>
      </c>
      <c r="C10" s="224"/>
      <c r="D10" s="224"/>
      <c r="E10" s="224"/>
      <c r="F10" s="224"/>
      <c r="G10" s="224"/>
      <c r="H10" s="152"/>
      <c r="I10" s="224"/>
      <c r="J10" s="224"/>
      <c r="K10" s="224"/>
      <c r="L10" s="224"/>
      <c r="M10" s="224"/>
      <c r="N10" s="152"/>
      <c r="O10" s="224"/>
      <c r="P10" s="224"/>
      <c r="Q10" s="224"/>
      <c r="R10" s="224"/>
      <c r="S10" s="224"/>
      <c r="T10" s="152"/>
      <c r="U10" s="224"/>
      <c r="V10" s="224"/>
      <c r="W10" s="224"/>
      <c r="X10" s="224"/>
      <c r="Y10" s="224"/>
      <c r="Z10" s="152"/>
      <c r="AA10" s="224"/>
      <c r="AB10" s="224"/>
      <c r="AC10" s="224"/>
      <c r="AD10" s="224"/>
      <c r="AE10" s="224"/>
      <c r="AF10" s="152"/>
      <c r="AG10" s="224"/>
      <c r="AH10" s="224"/>
      <c r="AI10" s="224"/>
      <c r="AJ10" s="224"/>
      <c r="AK10" s="224"/>
      <c r="AL10" s="152"/>
      <c r="AM10" s="224"/>
      <c r="AN10" s="224"/>
      <c r="AO10" s="224"/>
      <c r="AP10" s="224"/>
      <c r="AQ10" s="224"/>
      <c r="AR10" s="152"/>
      <c r="AS10" s="224"/>
      <c r="AT10" s="224"/>
      <c r="AU10" s="224"/>
      <c r="AV10" s="224"/>
      <c r="AW10" s="224"/>
      <c r="AX10" s="152"/>
      <c r="AY10" s="224"/>
      <c r="AZ10" s="224"/>
      <c r="BA10" s="224"/>
      <c r="BB10" s="224"/>
      <c r="BC10" s="224"/>
      <c r="BD10" s="152"/>
      <c r="BE10" s="224"/>
      <c r="BF10" s="224"/>
      <c r="BG10" s="224"/>
      <c r="BH10" s="224"/>
      <c r="BI10" s="224"/>
      <c r="BJ10" s="152"/>
      <c r="BK10" s="224"/>
      <c r="BL10" s="224"/>
      <c r="BM10" s="224"/>
      <c r="BN10" s="224"/>
      <c r="BO10" s="224"/>
      <c r="BP10" s="153"/>
      <c r="BQ10" s="224"/>
      <c r="BR10" s="224"/>
      <c r="BS10" s="224"/>
      <c r="BT10" s="224"/>
      <c r="BU10" s="224"/>
      <c r="BV10" s="148" t="s">
        <v>283</v>
      </c>
      <c r="BW10" s="305"/>
      <c r="BX10" s="148"/>
    </row>
    <row r="11" spans="1:84" x14ac:dyDescent="0.25">
      <c r="B11" t="s">
        <v>11</v>
      </c>
      <c r="C11" s="2"/>
      <c r="D11" s="2"/>
      <c r="E11" s="2"/>
      <c r="F11" s="2"/>
      <c r="G11" s="2"/>
      <c r="H11" s="67">
        <v>21685</v>
      </c>
      <c r="I11" s="179"/>
      <c r="J11" s="179"/>
      <c r="K11" s="180"/>
      <c r="L11" s="179"/>
      <c r="M11" s="179"/>
      <c r="N11" s="67">
        <v>32100</v>
      </c>
      <c r="O11" s="179"/>
      <c r="P11" s="179"/>
      <c r="Q11" s="180"/>
      <c r="R11" s="179"/>
      <c r="S11" s="179"/>
      <c r="T11" s="87">
        <v>34587</v>
      </c>
      <c r="U11" s="36"/>
      <c r="V11" s="36"/>
      <c r="W11" s="53"/>
      <c r="X11" s="36"/>
      <c r="Y11" s="36"/>
      <c r="Z11" s="87">
        <v>36350</v>
      </c>
      <c r="AA11" s="36"/>
      <c r="AB11" s="36"/>
      <c r="AC11" s="53"/>
      <c r="AD11" s="36"/>
      <c r="AE11" s="36"/>
      <c r="AF11" s="87">
        <v>50527</v>
      </c>
      <c r="AG11" s="36"/>
      <c r="AH11" s="36"/>
      <c r="AI11" s="53"/>
      <c r="AJ11" s="36"/>
      <c r="AK11" s="36"/>
      <c r="AL11" s="87">
        <v>73032</v>
      </c>
      <c r="AM11" s="36"/>
      <c r="AN11" s="36"/>
      <c r="AO11" s="53"/>
      <c r="AP11" s="36"/>
      <c r="AQ11" s="36"/>
      <c r="AR11" s="87">
        <v>130899</v>
      </c>
      <c r="AS11" s="36"/>
      <c r="AT11" s="36"/>
      <c r="AU11" s="53"/>
      <c r="AV11" s="36"/>
      <c r="AW11" s="36"/>
      <c r="AX11" s="87">
        <v>172868</v>
      </c>
      <c r="AY11" s="36"/>
      <c r="AZ11" s="36"/>
      <c r="BA11" s="53"/>
      <c r="BB11" s="36"/>
      <c r="BC11" s="36"/>
      <c r="BD11" s="87">
        <v>92438</v>
      </c>
      <c r="BE11" s="36"/>
      <c r="BF11" s="36"/>
      <c r="BG11" s="53"/>
      <c r="BH11" s="36"/>
      <c r="BI11" s="36"/>
      <c r="BJ11" s="87">
        <v>103926</v>
      </c>
      <c r="BK11" s="36"/>
      <c r="BL11" s="36"/>
      <c r="BM11" s="53"/>
      <c r="BN11" s="36"/>
      <c r="BO11" s="36"/>
      <c r="BP11" s="87">
        <v>132991</v>
      </c>
      <c r="BQ11" s="373">
        <f>BQ13-BQ12</f>
        <v>151500.78213333292</v>
      </c>
      <c r="BR11" s="373">
        <f>BR13-BR12</f>
        <v>160590.82906133292</v>
      </c>
      <c r="BS11" s="373">
        <f>BS13-BS12</f>
        <v>168620.37051439958</v>
      </c>
      <c r="BT11" s="373">
        <f>BT13-BT12</f>
        <v>175365.18533497557</v>
      </c>
      <c r="BU11" s="373">
        <f>BU13-BU12</f>
        <v>182379.7927483746</v>
      </c>
      <c r="BV11" s="365"/>
      <c r="BW11" s="305"/>
      <c r="BX11" s="365"/>
      <c r="CC11" s="148" t="s">
        <v>416</v>
      </c>
      <c r="CD11" s="13"/>
      <c r="CE11" s="13"/>
      <c r="CF11" s="13"/>
    </row>
    <row r="12" spans="1:84" x14ac:dyDescent="0.25">
      <c r="B12" t="s">
        <v>13</v>
      </c>
      <c r="C12" s="1"/>
      <c r="D12" s="1"/>
      <c r="E12" s="1"/>
      <c r="F12" s="1"/>
      <c r="G12" s="1"/>
      <c r="H12" s="67">
        <v>-408</v>
      </c>
      <c r="I12" s="179"/>
      <c r="J12" s="179"/>
      <c r="K12" s="180"/>
      <c r="L12" s="179"/>
      <c r="M12" s="179"/>
      <c r="N12" s="67">
        <v>-716</v>
      </c>
      <c r="O12" s="179"/>
      <c r="P12" s="179"/>
      <c r="Q12" s="180"/>
      <c r="R12" s="179"/>
      <c r="S12" s="179"/>
      <c r="T12" s="67">
        <v>617</v>
      </c>
      <c r="U12" s="179"/>
      <c r="V12" s="179"/>
      <c r="W12" s="180"/>
      <c r="X12" s="179"/>
      <c r="Y12" s="179"/>
      <c r="Z12" s="67">
        <v>622</v>
      </c>
      <c r="AA12" s="179"/>
      <c r="AB12" s="179"/>
      <c r="AC12" s="180"/>
      <c r="AD12" s="179"/>
      <c r="AE12" s="179"/>
      <c r="AF12" s="67">
        <v>624</v>
      </c>
      <c r="AG12" s="179"/>
      <c r="AH12" s="179"/>
      <c r="AI12" s="180"/>
      <c r="AJ12" s="179"/>
      <c r="AK12" s="179"/>
      <c r="AL12" s="67">
        <v>657</v>
      </c>
      <c r="AM12" s="179"/>
      <c r="AN12" s="179"/>
      <c r="AO12" s="180"/>
      <c r="AP12" s="179"/>
      <c r="AQ12" s="179"/>
      <c r="AR12" s="67">
        <v>1002</v>
      </c>
      <c r="AS12" s="179"/>
      <c r="AT12" s="179"/>
      <c r="AU12" s="180"/>
      <c r="AV12" s="179"/>
      <c r="AW12" s="179"/>
      <c r="AX12" s="67">
        <v>1563</v>
      </c>
      <c r="AY12" s="179"/>
      <c r="AZ12" s="179"/>
      <c r="BA12" s="180"/>
      <c r="BB12" s="179"/>
      <c r="BC12" s="179"/>
      <c r="BD12" s="67">
        <v>534</v>
      </c>
      <c r="BE12" s="179"/>
      <c r="BF12" s="179"/>
      <c r="BG12" s="180"/>
      <c r="BH12" s="179"/>
      <c r="BI12" s="179"/>
      <c r="BJ12" s="67">
        <v>570</v>
      </c>
      <c r="BK12" s="179"/>
      <c r="BL12" s="179"/>
      <c r="BM12" s="180"/>
      <c r="BN12" s="179"/>
      <c r="BO12" s="179"/>
      <c r="BP12" s="67">
        <v>4329</v>
      </c>
      <c r="BQ12" s="371">
        <f>BQ13*BQ37</f>
        <v>4685.5911999999871</v>
      </c>
      <c r="BR12" s="371">
        <f>BR13*BR37</f>
        <v>4966.726671999987</v>
      </c>
      <c r="BS12" s="371">
        <f>BS13*BS37</f>
        <v>5215.0630055999864</v>
      </c>
      <c r="BT12" s="371">
        <f>BT13*BT37</f>
        <v>5423.6655258239862</v>
      </c>
      <c r="BU12" s="371">
        <f>BU13*BU37</f>
        <v>5640.6121468569454</v>
      </c>
      <c r="BV12" s="365"/>
      <c r="BW12" s="305"/>
      <c r="BX12" s="365"/>
      <c r="CC12" t="s">
        <v>417</v>
      </c>
      <c r="CD12" s="13">
        <v>0.18</v>
      </c>
      <c r="CE12" s="13">
        <v>0.18</v>
      </c>
      <c r="CF12" s="13">
        <v>0.03</v>
      </c>
    </row>
    <row r="13" spans="1:84" x14ac:dyDescent="0.25">
      <c r="B13" t="s">
        <v>14</v>
      </c>
      <c r="C13" s="10">
        <v>5421</v>
      </c>
      <c r="D13" s="10">
        <v>5703</v>
      </c>
      <c r="E13" s="10">
        <v>11124</v>
      </c>
      <c r="F13" s="10">
        <v>5379</v>
      </c>
      <c r="G13" s="10">
        <v>5182</v>
      </c>
      <c r="H13" s="67">
        <v>21277</v>
      </c>
      <c r="I13" s="179">
        <v>7055</v>
      </c>
      <c r="J13" s="179">
        <v>8416</v>
      </c>
      <c r="K13" s="180">
        <v>15471</v>
      </c>
      <c r="L13" s="179">
        <v>8282</v>
      </c>
      <c r="M13" s="179">
        <v>8347</v>
      </c>
      <c r="N13" s="67">
        <v>31384</v>
      </c>
      <c r="O13" s="179"/>
      <c r="P13" s="179"/>
      <c r="Q13" s="180"/>
      <c r="R13" s="179"/>
      <c r="S13" s="179"/>
      <c r="T13" s="67">
        <v>35204</v>
      </c>
      <c r="U13" s="179"/>
      <c r="V13" s="179"/>
      <c r="W13" s="180"/>
      <c r="X13" s="179"/>
      <c r="Y13" s="179"/>
      <c r="Z13" s="67">
        <v>36972</v>
      </c>
      <c r="AA13" s="179"/>
      <c r="AB13" s="179"/>
      <c r="AC13" s="180"/>
      <c r="AD13" s="179"/>
      <c r="AE13" s="179"/>
      <c r="AF13" s="67">
        <v>51151</v>
      </c>
      <c r="AG13" s="179">
        <v>16674</v>
      </c>
      <c r="AH13" s="179">
        <v>19144</v>
      </c>
      <c r="AI13" s="180">
        <v>35818</v>
      </c>
      <c r="AJ13" s="179">
        <v>17910</v>
      </c>
      <c r="AK13" s="179">
        <v>19961</v>
      </c>
      <c r="AL13" s="67">
        <v>73689</v>
      </c>
      <c r="AM13" s="179">
        <v>22924</v>
      </c>
      <c r="AN13" s="179">
        <v>25948</v>
      </c>
      <c r="AO13" s="180">
        <v>48872</v>
      </c>
      <c r="AP13" s="179">
        <v>36861</v>
      </c>
      <c r="AQ13" s="179">
        <v>46168</v>
      </c>
      <c r="AR13" s="67">
        <v>131901</v>
      </c>
      <c r="AS13" s="179">
        <v>45887</v>
      </c>
      <c r="AT13" s="179">
        <v>47282</v>
      </c>
      <c r="AU13" s="180">
        <v>93169</v>
      </c>
      <c r="AV13" s="179">
        <v>45339</v>
      </c>
      <c r="AW13" s="179">
        <v>35923</v>
      </c>
      <c r="AX13" s="67">
        <v>174431</v>
      </c>
      <c r="AY13" s="179">
        <v>26213</v>
      </c>
      <c r="AZ13" s="179">
        <v>22993</v>
      </c>
      <c r="BA13" s="180">
        <v>49206</v>
      </c>
      <c r="BB13" s="179">
        <v>21912</v>
      </c>
      <c r="BC13" s="179">
        <v>21854</v>
      </c>
      <c r="BD13" s="67">
        <v>92972</v>
      </c>
      <c r="BE13" s="179">
        <v>22716</v>
      </c>
      <c r="BF13" s="179">
        <v>24616</v>
      </c>
      <c r="BG13" s="180">
        <v>47332</v>
      </c>
      <c r="BH13" s="179">
        <v>28416</v>
      </c>
      <c r="BI13" s="179">
        <v>28748</v>
      </c>
      <c r="BJ13" s="67">
        <v>104496</v>
      </c>
      <c r="BK13" s="179">
        <v>26108</v>
      </c>
      <c r="BL13" s="179">
        <v>34475</v>
      </c>
      <c r="BM13" s="180">
        <v>60583</v>
      </c>
      <c r="BN13" s="179">
        <v>38688</v>
      </c>
      <c r="BO13" s="179"/>
      <c r="BP13" s="67">
        <v>132361.33333333299</v>
      </c>
      <c r="BQ13" s="371">
        <f>BP13*(1+BQ21)</f>
        <v>156186.37333333291</v>
      </c>
      <c r="BR13" s="371">
        <f>BQ13*(1+BR21)</f>
        <v>165557.55573333291</v>
      </c>
      <c r="BS13" s="371">
        <f>BR13*(1+BS21)</f>
        <v>173835.43351999955</v>
      </c>
      <c r="BT13" s="371">
        <f>BS13*(1+BT21)</f>
        <v>180788.85086079955</v>
      </c>
      <c r="BU13" s="371">
        <f>BT13*(1+BU21)</f>
        <v>188020.40489523154</v>
      </c>
      <c r="BV13" s="365"/>
      <c r="BW13" s="305"/>
      <c r="BX13" s="450">
        <f>IFERROR((BU13/BP13)^(1/5)-1,"n/m")</f>
        <v>7.2725909015291412E-2</v>
      </c>
      <c r="BY13" s="290">
        <f>IFERROR((BP13/AL13)^(1/5)-1,"n/m")</f>
        <v>0.12427277503346201</v>
      </c>
      <c r="BZ13" s="290">
        <f>IFERROR((BP13/H13)^(1/10)-1,"n/m")</f>
        <v>0.20056332956471956</v>
      </c>
      <c r="CC13" t="s">
        <v>418</v>
      </c>
      <c r="CD13" s="13">
        <v>0.08</v>
      </c>
      <c r="CE13" s="13">
        <v>0.06</v>
      </c>
      <c r="CF13" s="13">
        <v>0</v>
      </c>
    </row>
    <row r="14" spans="1:84" x14ac:dyDescent="0.25">
      <c r="B14" t="s">
        <v>15</v>
      </c>
      <c r="C14" s="2">
        <v>4195</v>
      </c>
      <c r="D14" s="2">
        <v>4351</v>
      </c>
      <c r="E14" s="2">
        <v>8546</v>
      </c>
      <c r="F14" s="2">
        <v>4012</v>
      </c>
      <c r="G14" s="2">
        <v>3836</v>
      </c>
      <c r="H14" s="67" t="s">
        <v>12</v>
      </c>
      <c r="I14" s="179">
        <v>5178</v>
      </c>
      <c r="J14" s="179">
        <v>6108</v>
      </c>
      <c r="K14" s="180">
        <v>11286</v>
      </c>
      <c r="L14" s="179">
        <v>6159</v>
      </c>
      <c r="M14" s="179">
        <v>6317</v>
      </c>
      <c r="N14" s="67" t="s">
        <v>12</v>
      </c>
      <c r="O14" s="179"/>
      <c r="P14" s="179"/>
      <c r="Q14" s="180"/>
      <c r="R14" s="179"/>
      <c r="S14" s="179"/>
      <c r="T14" s="67">
        <v>26580</v>
      </c>
      <c r="U14" s="179"/>
      <c r="V14" s="179"/>
      <c r="W14" s="180"/>
      <c r="X14" s="179"/>
      <c r="Y14" s="179"/>
      <c r="Z14" s="67">
        <v>27779</v>
      </c>
      <c r="AA14" s="179"/>
      <c r="AB14" s="179"/>
      <c r="AC14" s="180"/>
      <c r="AD14" s="179"/>
      <c r="AE14" s="179"/>
      <c r="AF14" s="67">
        <v>38634</v>
      </c>
      <c r="AG14" s="179">
        <v>12799</v>
      </c>
      <c r="AH14" s="179">
        <v>14481</v>
      </c>
      <c r="AI14" s="180">
        <v>27280</v>
      </c>
      <c r="AJ14" s="179">
        <v>13607</v>
      </c>
      <c r="AK14" s="179">
        <v>15893</v>
      </c>
      <c r="AL14" s="67">
        <v>56780</v>
      </c>
      <c r="AM14" s="179">
        <v>18136</v>
      </c>
      <c r="AN14" s="179">
        <v>20806</v>
      </c>
      <c r="AO14" s="180">
        <v>38942</v>
      </c>
      <c r="AP14" s="179">
        <v>30547</v>
      </c>
      <c r="AQ14" s="179">
        <v>38643</v>
      </c>
      <c r="AR14" s="67">
        <v>108132</v>
      </c>
      <c r="AS14" s="179">
        <v>37250</v>
      </c>
      <c r="AT14" s="179">
        <v>37707</v>
      </c>
      <c r="AU14" s="180">
        <v>74957</v>
      </c>
      <c r="AV14" s="179">
        <v>36204</v>
      </c>
      <c r="AW14" s="179">
        <v>28646</v>
      </c>
      <c r="AX14" s="67">
        <v>139807</v>
      </c>
      <c r="AY14" s="179">
        <v>19186</v>
      </c>
      <c r="AZ14" s="179">
        <v>16239</v>
      </c>
      <c r="BA14" s="180">
        <v>35425</v>
      </c>
      <c r="BB14" s="179">
        <v>15702</v>
      </c>
      <c r="BC14" s="179">
        <v>15875</v>
      </c>
      <c r="BD14" s="67">
        <v>67002</v>
      </c>
      <c r="BE14" s="179">
        <v>16953</v>
      </c>
      <c r="BF14" s="179">
        <v>18544</v>
      </c>
      <c r="BG14" s="180">
        <v>35497</v>
      </c>
      <c r="BH14" s="179">
        <v>21958</v>
      </c>
      <c r="BI14" s="179">
        <v>22320</v>
      </c>
      <c r="BJ14" s="67">
        <v>79775</v>
      </c>
      <c r="BK14" s="179">
        <v>19735</v>
      </c>
      <c r="BL14" s="179">
        <v>25989</v>
      </c>
      <c r="BM14" s="180">
        <v>45724</v>
      </c>
      <c r="BN14" s="179">
        <v>29528</v>
      </c>
      <c r="BO14" s="179"/>
      <c r="BP14" s="67">
        <v>100336</v>
      </c>
      <c r="BQ14" s="412">
        <f>BQ13*BQ38</f>
        <v>117920.71186666634</v>
      </c>
      <c r="BR14" s="413">
        <f>BR13*BR38</f>
        <v>124168.16679999969</v>
      </c>
      <c r="BS14" s="413">
        <f>BS13*BS38</f>
        <v>129507.39797239967</v>
      </c>
      <c r="BT14" s="413">
        <f>BT13*BT38</f>
        <v>134687.69389129567</v>
      </c>
      <c r="BU14" s="413">
        <f>BU13*BU38</f>
        <v>140075.20164694751</v>
      </c>
      <c r="BV14" s="366">
        <f>BQ13-BQ14</f>
        <v>38265.66146666657</v>
      </c>
      <c r="BW14" s="305"/>
      <c r="BX14" s="451"/>
      <c r="BY14" s="459"/>
      <c r="BZ14" s="459"/>
      <c r="CC14" t="s">
        <v>419</v>
      </c>
      <c r="CD14" s="13">
        <v>7.0000000000000007E-2</v>
      </c>
      <c r="CE14" s="13">
        <v>0.05</v>
      </c>
      <c r="CF14" s="13">
        <v>0.01</v>
      </c>
    </row>
    <row r="15" spans="1:84" x14ac:dyDescent="0.25">
      <c r="B15" s="8" t="s">
        <v>16</v>
      </c>
      <c r="C15" s="14">
        <v>1226</v>
      </c>
      <c r="D15" s="14">
        <v>1352</v>
      </c>
      <c r="E15" s="14">
        <v>2578</v>
      </c>
      <c r="F15" s="14">
        <v>1367</v>
      </c>
      <c r="G15" s="14">
        <v>1346</v>
      </c>
      <c r="H15" s="77" t="s">
        <v>12</v>
      </c>
      <c r="I15" s="21">
        <v>1877</v>
      </c>
      <c r="J15" s="21">
        <v>2308</v>
      </c>
      <c r="K15" s="38">
        <v>4185</v>
      </c>
      <c r="L15" s="21">
        <v>2123</v>
      </c>
      <c r="M15" s="21">
        <v>2030</v>
      </c>
      <c r="N15" s="77" t="s">
        <v>12</v>
      </c>
      <c r="O15" s="21"/>
      <c r="P15" s="21"/>
      <c r="Q15" s="38"/>
      <c r="R15" s="21"/>
      <c r="S15" s="21"/>
      <c r="T15" s="77">
        <f>T13-T14</f>
        <v>8624</v>
      </c>
      <c r="U15" s="21"/>
      <c r="V15" s="21"/>
      <c r="W15" s="38"/>
      <c r="X15" s="21"/>
      <c r="Y15" s="21"/>
      <c r="Z15" s="77">
        <f>Z13-Z14</f>
        <v>9193</v>
      </c>
      <c r="AA15" s="21"/>
      <c r="AB15" s="21"/>
      <c r="AC15" s="38"/>
      <c r="AD15" s="21"/>
      <c r="AE15" s="21"/>
      <c r="AF15" s="77">
        <f>AF13-AF14</f>
        <v>12517</v>
      </c>
      <c r="AG15" s="21">
        <v>3875</v>
      </c>
      <c r="AH15" s="21">
        <v>4663</v>
      </c>
      <c r="AI15" s="38">
        <v>8538</v>
      </c>
      <c r="AJ15" s="21">
        <v>4303</v>
      </c>
      <c r="AK15" s="21">
        <v>4068</v>
      </c>
      <c r="AL15" s="77">
        <f>AL13-AL14</f>
        <v>16909</v>
      </c>
      <c r="AM15" s="21">
        <v>4788</v>
      </c>
      <c r="AN15" s="21">
        <v>5142</v>
      </c>
      <c r="AO15" s="38">
        <v>9930</v>
      </c>
      <c r="AP15" s="21">
        <v>6314</v>
      </c>
      <c r="AQ15" s="21">
        <v>7525</v>
      </c>
      <c r="AR15" s="77">
        <f>AR13-AR14</f>
        <v>23769</v>
      </c>
      <c r="AS15" s="21">
        <v>8637</v>
      </c>
      <c r="AT15" s="21">
        <v>9575</v>
      </c>
      <c r="AU15" s="38">
        <v>18212</v>
      </c>
      <c r="AV15" s="21">
        <v>9135</v>
      </c>
      <c r="AW15" s="21">
        <v>7277</v>
      </c>
      <c r="AX15" s="77">
        <f>AX13-AX14</f>
        <v>34624</v>
      </c>
      <c r="AY15" s="21">
        <v>7027</v>
      </c>
      <c r="AZ15" s="21">
        <v>6754</v>
      </c>
      <c r="BA15" s="38">
        <v>13781</v>
      </c>
      <c r="BB15" s="21">
        <v>6210</v>
      </c>
      <c r="BC15" s="21">
        <v>5979</v>
      </c>
      <c r="BD15" s="77">
        <f>BD13-BD14</f>
        <v>25970</v>
      </c>
      <c r="BE15" s="21">
        <v>5763</v>
      </c>
      <c r="BF15" s="21">
        <v>6072</v>
      </c>
      <c r="BG15" s="38">
        <v>11835</v>
      </c>
      <c r="BH15" s="21">
        <v>6458</v>
      </c>
      <c r="BI15" s="21">
        <v>6428</v>
      </c>
      <c r="BJ15" s="77">
        <f>BJ13-BJ14</f>
        <v>24721</v>
      </c>
      <c r="BK15" s="21">
        <v>6373</v>
      </c>
      <c r="BL15" s="21">
        <v>8486</v>
      </c>
      <c r="BM15" s="38">
        <v>14859</v>
      </c>
      <c r="BN15" s="21">
        <v>9160</v>
      </c>
      <c r="BO15" s="21"/>
      <c r="BP15" s="77">
        <f>BP13-BP14</f>
        <v>32025.333333332994</v>
      </c>
      <c r="BQ15" s="414">
        <f>BQ13*BQ25</f>
        <v>38265.661466666563</v>
      </c>
      <c r="BR15" s="414">
        <f>BR13*BR25</f>
        <v>41389.388933333226</v>
      </c>
      <c r="BS15" s="414">
        <f>BS13*BS25</f>
        <v>44328.035547599888</v>
      </c>
      <c r="BT15" s="414">
        <f>BT13*BT25</f>
        <v>46101.156969503885</v>
      </c>
      <c r="BU15" s="414">
        <f>BU13*BU25</f>
        <v>47945.203248284044</v>
      </c>
      <c r="BV15" s="365"/>
      <c r="BW15" s="305"/>
      <c r="BX15" s="450">
        <f>IFERROR((BU15/BP15)^(1/5)-1,"n/m")</f>
        <v>8.4052464363886248E-2</v>
      </c>
      <c r="BY15" s="290">
        <f>IFERROR((BP15/AL15)^(1/5)-1,"n/m")</f>
        <v>0.13625327221372352</v>
      </c>
      <c r="BZ15" s="290" t="str">
        <f>IFERROR((BP15/H15)^(1/10)-1,"n/m")</f>
        <v>n/m</v>
      </c>
      <c r="CC15" t="s">
        <v>420</v>
      </c>
      <c r="CD15" s="13">
        <v>0.06</v>
      </c>
      <c r="CE15" s="13">
        <v>0.04</v>
      </c>
      <c r="CF15" s="13">
        <v>0.01</v>
      </c>
    </row>
    <row r="16" spans="1:84" x14ac:dyDescent="0.25">
      <c r="B16" t="s">
        <v>17</v>
      </c>
      <c r="C16" s="2">
        <v>264</v>
      </c>
      <c r="D16" s="2">
        <v>257</v>
      </c>
      <c r="E16" s="2">
        <v>521</v>
      </c>
      <c r="F16" s="2">
        <v>258</v>
      </c>
      <c r="G16" s="2">
        <v>266</v>
      </c>
      <c r="H16" s="67" t="s">
        <v>12</v>
      </c>
      <c r="I16" s="179">
        <v>479</v>
      </c>
      <c r="J16" s="179">
        <v>640</v>
      </c>
      <c r="K16" s="180">
        <v>1119</v>
      </c>
      <c r="L16" s="179">
        <v>550</v>
      </c>
      <c r="M16" s="179">
        <v>508</v>
      </c>
      <c r="N16" s="67" t="s">
        <v>12</v>
      </c>
      <c r="O16" s="179"/>
      <c r="P16" s="179"/>
      <c r="Q16" s="180"/>
      <c r="R16" s="179"/>
      <c r="S16" s="179"/>
      <c r="T16" s="67">
        <v>1798</v>
      </c>
      <c r="U16" s="179"/>
      <c r="V16" s="179"/>
      <c r="W16" s="180"/>
      <c r="X16" s="179"/>
      <c r="Y16" s="179"/>
      <c r="Z16" s="67">
        <v>1854</v>
      </c>
      <c r="AA16" s="179"/>
      <c r="AB16" s="179"/>
      <c r="AC16" s="180"/>
      <c r="AD16" s="179"/>
      <c r="AE16" s="179"/>
      <c r="AF16" s="67">
        <v>2267</v>
      </c>
      <c r="AG16" s="179">
        <v>797</v>
      </c>
      <c r="AH16" s="179">
        <v>736</v>
      </c>
      <c r="AI16" s="180">
        <v>1533</v>
      </c>
      <c r="AJ16" s="179">
        <v>692</v>
      </c>
      <c r="AK16" s="179">
        <v>645</v>
      </c>
      <c r="AL16" s="67">
        <v>2870</v>
      </c>
      <c r="AM16" s="179">
        <v>753</v>
      </c>
      <c r="AN16" s="179">
        <v>663</v>
      </c>
      <c r="AO16" s="180">
        <v>1416</v>
      </c>
      <c r="AP16" s="179">
        <v>814</v>
      </c>
      <c r="AQ16" s="179">
        <v>1136</v>
      </c>
      <c r="AR16" s="67">
        <v>3366</v>
      </c>
      <c r="AS16" s="179">
        <v>1076</v>
      </c>
      <c r="AT16" s="179">
        <v>1028</v>
      </c>
      <c r="AU16" s="180">
        <v>2104</v>
      </c>
      <c r="AV16" s="179">
        <v>1097</v>
      </c>
      <c r="AW16" s="179">
        <v>1043</v>
      </c>
      <c r="AX16" s="67">
        <v>4244</v>
      </c>
      <c r="AY16" s="179">
        <v>1023</v>
      </c>
      <c r="AZ16" s="179">
        <v>883</v>
      </c>
      <c r="BA16" s="180">
        <v>1906</v>
      </c>
      <c r="BB16" s="179">
        <v>762</v>
      </c>
      <c r="BC16" s="179">
        <v>906</v>
      </c>
      <c r="BD16" s="67">
        <v>3574</v>
      </c>
      <c r="BE16" s="179">
        <v>908</v>
      </c>
      <c r="BF16" s="179">
        <v>890</v>
      </c>
      <c r="BG16" s="180">
        <v>1798</v>
      </c>
      <c r="BH16" s="179">
        <v>956</v>
      </c>
      <c r="BI16" s="179">
        <v>978</v>
      </c>
      <c r="BJ16" s="67">
        <v>3732</v>
      </c>
      <c r="BK16" s="179">
        <v>1009</v>
      </c>
      <c r="BL16" s="179">
        <v>1375</v>
      </c>
      <c r="BM16" s="180">
        <v>2384</v>
      </c>
      <c r="BN16" s="179">
        <v>1596</v>
      </c>
      <c r="BO16" s="179"/>
      <c r="BP16" s="67">
        <v>5306.6666666666697</v>
      </c>
      <c r="BQ16" s="371">
        <f>BQ13*BQ39</f>
        <v>6247.4549333333171</v>
      </c>
      <c r="BR16" s="371">
        <f>BR13*BR39</f>
        <v>6291.1871178666506</v>
      </c>
      <c r="BS16" s="371">
        <f>BS13*BS39</f>
        <v>6258.0756067199836</v>
      </c>
      <c r="BT16" s="371">
        <f>BT13*BT39</f>
        <v>6146.8209292671854</v>
      </c>
      <c r="BU16" s="371">
        <f>BU13*BU39</f>
        <v>6204.673361542641</v>
      </c>
      <c r="BV16" s="365"/>
      <c r="BW16" s="305"/>
      <c r="BX16" s="451"/>
      <c r="BY16" s="459"/>
      <c r="BZ16" s="459"/>
      <c r="CC16" t="s">
        <v>421</v>
      </c>
      <c r="CD16" s="13">
        <v>0.06</v>
      </c>
      <c r="CE16" s="13">
        <v>0.04</v>
      </c>
      <c r="CF16" s="13">
        <v>0.01</v>
      </c>
    </row>
    <row r="17" spans="2:84" x14ac:dyDescent="0.25">
      <c r="B17" t="s">
        <v>18</v>
      </c>
      <c r="C17" s="10">
        <v>545</v>
      </c>
      <c r="D17" s="10">
        <v>565</v>
      </c>
      <c r="E17" s="10">
        <v>1110</v>
      </c>
      <c r="F17" s="10">
        <v>544</v>
      </c>
      <c r="G17" s="10">
        <v>561</v>
      </c>
      <c r="H17" s="67" t="s">
        <v>12</v>
      </c>
      <c r="I17" s="179">
        <v>937</v>
      </c>
      <c r="J17" s="179">
        <v>1078</v>
      </c>
      <c r="K17" s="180">
        <v>2015</v>
      </c>
      <c r="L17" s="179">
        <v>898</v>
      </c>
      <c r="M17" s="179">
        <v>911</v>
      </c>
      <c r="N17" s="67" t="s">
        <v>12</v>
      </c>
      <c r="O17" s="179"/>
      <c r="P17" s="179"/>
      <c r="Q17" s="180"/>
      <c r="R17" s="179"/>
      <c r="S17" s="179"/>
      <c r="T17" s="67">
        <v>3490</v>
      </c>
      <c r="U17" s="179"/>
      <c r="V17" s="179"/>
      <c r="W17" s="180"/>
      <c r="X17" s="179"/>
      <c r="Y17" s="179"/>
      <c r="Z17" s="67">
        <v>3560</v>
      </c>
      <c r="AA17" s="179"/>
      <c r="AB17" s="179"/>
      <c r="AC17" s="180"/>
      <c r="AD17" s="179"/>
      <c r="AE17" s="179"/>
      <c r="AF17" s="67">
        <v>5093</v>
      </c>
      <c r="AG17" s="179">
        <v>1679</v>
      </c>
      <c r="AH17" s="179">
        <v>1530</v>
      </c>
      <c r="AI17" s="180">
        <v>3209</v>
      </c>
      <c r="AJ17" s="179">
        <v>1394</v>
      </c>
      <c r="AK17" s="179">
        <v>1445</v>
      </c>
      <c r="AL17" s="67">
        <v>6048</v>
      </c>
      <c r="AM17" s="179">
        <v>1445</v>
      </c>
      <c r="AN17" s="179">
        <v>1435</v>
      </c>
      <c r="AO17" s="180">
        <v>2880</v>
      </c>
      <c r="AP17" s="179">
        <v>1698</v>
      </c>
      <c r="AQ17" s="179">
        <v>2020</v>
      </c>
      <c r="AR17" s="67">
        <v>6598</v>
      </c>
      <c r="AS17" s="179">
        <v>2033</v>
      </c>
      <c r="AT17" s="179">
        <v>2082</v>
      </c>
      <c r="AU17" s="180">
        <v>4115</v>
      </c>
      <c r="AV17" s="179">
        <v>2276</v>
      </c>
      <c r="AW17" s="179">
        <v>2080</v>
      </c>
      <c r="AX17" s="67">
        <v>8471</v>
      </c>
      <c r="AY17" s="179">
        <v>2093</v>
      </c>
      <c r="AZ17" s="179">
        <v>2005</v>
      </c>
      <c r="BA17" s="180">
        <v>4098</v>
      </c>
      <c r="BB17" s="179">
        <v>1873</v>
      </c>
      <c r="BC17" s="179">
        <v>1906</v>
      </c>
      <c r="BD17" s="67">
        <v>7877</v>
      </c>
      <c r="BE17" s="179">
        <v>1943</v>
      </c>
      <c r="BF17" s="179">
        <v>1994</v>
      </c>
      <c r="BG17" s="180">
        <v>3937</v>
      </c>
      <c r="BH17" s="179">
        <v>1957</v>
      </c>
      <c r="BI17" s="179">
        <v>2051</v>
      </c>
      <c r="BJ17" s="67">
        <v>7945</v>
      </c>
      <c r="BK17" s="179">
        <v>2117</v>
      </c>
      <c r="BL17" s="179">
        <v>3252</v>
      </c>
      <c r="BM17" s="180">
        <v>5369</v>
      </c>
      <c r="BN17" s="179">
        <v>3599</v>
      </c>
      <c r="BO17" s="179"/>
      <c r="BP17" s="67">
        <v>11957.333333333299</v>
      </c>
      <c r="BQ17" s="371">
        <f>BQ13*BQ40</f>
        <v>14056.773599999962</v>
      </c>
      <c r="BR17" s="371">
        <f>BR13*BR40</f>
        <v>14403.507348799962</v>
      </c>
      <c r="BS17" s="371">
        <f>BS13*BS40</f>
        <v>14602.176415679964</v>
      </c>
      <c r="BT17" s="371">
        <f>BT13*BT40</f>
        <v>14824.685770585564</v>
      </c>
      <c r="BU17" s="371">
        <f>BU13*BU40</f>
        <v>15041.632391618523</v>
      </c>
      <c r="BV17" s="365"/>
      <c r="BW17" s="305"/>
      <c r="BX17" s="451"/>
      <c r="BY17" s="459"/>
      <c r="BZ17" s="459"/>
      <c r="CD17" s="13"/>
      <c r="CE17" s="13"/>
      <c r="CF17" s="13"/>
    </row>
    <row r="18" spans="2:84" x14ac:dyDescent="0.25">
      <c r="B18" s="240" t="s">
        <v>19</v>
      </c>
      <c r="C18" s="20">
        <v>417</v>
      </c>
      <c r="D18" s="20">
        <v>530</v>
      </c>
      <c r="E18" s="20">
        <v>947</v>
      </c>
      <c r="F18" s="20">
        <v>565</v>
      </c>
      <c r="G18" s="20">
        <v>519</v>
      </c>
      <c r="H18" s="75" t="s">
        <v>12</v>
      </c>
      <c r="I18" s="27">
        <v>461</v>
      </c>
      <c r="J18" s="27">
        <v>590</v>
      </c>
      <c r="K18" s="44">
        <v>1051</v>
      </c>
      <c r="L18" s="27">
        <v>675</v>
      </c>
      <c r="M18" s="27">
        <v>611</v>
      </c>
      <c r="N18" s="75" t="s">
        <v>12</v>
      </c>
      <c r="O18" s="27"/>
      <c r="P18" s="27"/>
      <c r="Q18" s="44"/>
      <c r="R18" s="27"/>
      <c r="S18" s="27"/>
      <c r="T18" s="75">
        <f>T15-T16-T17</f>
        <v>3336</v>
      </c>
      <c r="U18" s="27"/>
      <c r="V18" s="27"/>
      <c r="W18" s="44"/>
      <c r="X18" s="27"/>
      <c r="Y18" s="27"/>
      <c r="Z18" s="75">
        <f>Z15-Z16-Z17</f>
        <v>3779</v>
      </c>
      <c r="AA18" s="27"/>
      <c r="AB18" s="27"/>
      <c r="AC18" s="44"/>
      <c r="AD18" s="27"/>
      <c r="AE18" s="27"/>
      <c r="AF18" s="75">
        <f>AF15-AF16-AF17</f>
        <v>5157</v>
      </c>
      <c r="AG18" s="27">
        <v>1399</v>
      </c>
      <c r="AH18" s="27">
        <v>2397</v>
      </c>
      <c r="AI18" s="44">
        <v>3796</v>
      </c>
      <c r="AJ18" s="27">
        <v>2217</v>
      </c>
      <c r="AK18" s="27">
        <v>1978</v>
      </c>
      <c r="AL18" s="75">
        <f>AL15-AL16-AL17</f>
        <v>7991</v>
      </c>
      <c r="AM18" s="27">
        <v>2590</v>
      </c>
      <c r="AN18" s="27">
        <v>3044</v>
      </c>
      <c r="AO18" s="44">
        <v>5634</v>
      </c>
      <c r="AP18" s="27">
        <v>3802</v>
      </c>
      <c r="AQ18" s="27">
        <v>4369</v>
      </c>
      <c r="AR18" s="75">
        <f>AR15-AR16-AR17</f>
        <v>13805</v>
      </c>
      <c r="AS18" s="27">
        <v>5528</v>
      </c>
      <c r="AT18" s="27">
        <v>6465</v>
      </c>
      <c r="AU18" s="44">
        <v>11993</v>
      </c>
      <c r="AV18" s="27">
        <v>5762</v>
      </c>
      <c r="AW18" s="27">
        <v>4154</v>
      </c>
      <c r="AX18" s="75">
        <f>AX15-AX16-AX17</f>
        <v>21909</v>
      </c>
      <c r="AY18" s="27">
        <v>3911</v>
      </c>
      <c r="AZ18" s="27">
        <v>3866</v>
      </c>
      <c r="BA18" s="44">
        <v>7777</v>
      </c>
      <c r="BB18" s="27">
        <v>3575</v>
      </c>
      <c r="BC18" s="27">
        <v>3167</v>
      </c>
      <c r="BD18" s="75">
        <f>BD15-BD16-BD17</f>
        <v>14519</v>
      </c>
      <c r="BE18" s="27">
        <v>2912</v>
      </c>
      <c r="BF18" s="27">
        <v>3188</v>
      </c>
      <c r="BG18" s="44">
        <v>6100</v>
      </c>
      <c r="BH18" s="27">
        <v>3545</v>
      </c>
      <c r="BI18" s="27">
        <v>3399</v>
      </c>
      <c r="BJ18" s="75">
        <f>BJ15-BJ16-BJ17</f>
        <v>13044</v>
      </c>
      <c r="BK18" s="27">
        <v>3247</v>
      </c>
      <c r="BL18" s="27">
        <v>3859</v>
      </c>
      <c r="BM18" s="44">
        <v>7106</v>
      </c>
      <c r="BN18" s="27">
        <v>3965</v>
      </c>
      <c r="BO18" s="27"/>
      <c r="BP18" s="75">
        <f t="shared" ref="BP18:BU18" si="0">BP15-BP16-BP17</f>
        <v>14761.333333333023</v>
      </c>
      <c r="BQ18" s="414">
        <f t="shared" si="0"/>
        <v>17961.432933333286</v>
      </c>
      <c r="BR18" s="414">
        <f t="shared" si="0"/>
        <v>20694.694466666617</v>
      </c>
      <c r="BS18" s="414">
        <f>BS15-BS16-BS17</f>
        <v>23467.783525199942</v>
      </c>
      <c r="BT18" s="414">
        <f t="shared" si="0"/>
        <v>25129.650269651131</v>
      </c>
      <c r="BU18" s="414">
        <f t="shared" si="0"/>
        <v>26698.897495122881</v>
      </c>
      <c r="BV18" s="365"/>
      <c r="BW18" s="305"/>
      <c r="BX18" s="450">
        <f>IFERROR((BU18/BP18)^(1/5)-1,"n/m")</f>
        <v>0.12583189496655289</v>
      </c>
      <c r="BY18" s="459">
        <f>IFERROR((BP18/AL18)^(1/5)-1,"n/m")</f>
        <v>0.13058935310886666</v>
      </c>
      <c r="BZ18" s="459" t="str">
        <f>IFERROR((BP18/H18)^(1/10)-1,"n/m")</f>
        <v>n/m</v>
      </c>
      <c r="CC18" s="148" t="s">
        <v>422</v>
      </c>
      <c r="CD18" s="13"/>
      <c r="CE18" s="13"/>
      <c r="CF18" s="13"/>
    </row>
    <row r="19" spans="2:84" x14ac:dyDescent="0.25">
      <c r="B19" t="s">
        <v>20</v>
      </c>
      <c r="C19" s="10">
        <v>29</v>
      </c>
      <c r="D19" s="10">
        <v>28</v>
      </c>
      <c r="E19" s="10">
        <v>57</v>
      </c>
      <c r="F19" s="10">
        <v>24</v>
      </c>
      <c r="G19" s="10">
        <v>27</v>
      </c>
      <c r="H19" s="67">
        <v>108</v>
      </c>
      <c r="I19" s="179">
        <v>47</v>
      </c>
      <c r="J19" s="179">
        <v>56</v>
      </c>
      <c r="K19" s="180">
        <v>103</v>
      </c>
      <c r="L19" s="179">
        <v>49</v>
      </c>
      <c r="M19" s="179">
        <v>42</v>
      </c>
      <c r="N19" s="67">
        <v>194</v>
      </c>
      <c r="O19" s="179"/>
      <c r="P19" s="179"/>
      <c r="Q19" s="180"/>
      <c r="R19" s="179"/>
      <c r="S19" s="179"/>
      <c r="T19" s="67">
        <v>111</v>
      </c>
      <c r="U19" s="179"/>
      <c r="V19" s="179"/>
      <c r="W19" s="180"/>
      <c r="X19" s="179"/>
      <c r="Y19" s="179"/>
      <c r="Z19" s="67">
        <v>86</v>
      </c>
      <c r="AA19" s="179"/>
      <c r="AB19" s="179"/>
      <c r="AC19" s="180"/>
      <c r="AD19" s="179"/>
      <c r="AE19" s="179"/>
      <c r="AF19" s="67">
        <v>651</v>
      </c>
      <c r="AG19" s="179">
        <v>269</v>
      </c>
      <c r="AH19" s="179">
        <v>285</v>
      </c>
      <c r="AI19" s="180">
        <v>554</v>
      </c>
      <c r="AJ19" s="179">
        <v>223</v>
      </c>
      <c r="AK19" s="179">
        <v>188</v>
      </c>
      <c r="AL19" s="67">
        <v>965</v>
      </c>
      <c r="AM19" s="179">
        <v>197</v>
      </c>
      <c r="AN19" s="179">
        <v>201</v>
      </c>
      <c r="AO19" s="180">
        <v>398</v>
      </c>
      <c r="AP19" s="179">
        <v>281</v>
      </c>
      <c r="AQ19" s="179">
        <v>358</v>
      </c>
      <c r="AR19" s="67">
        <v>1037</v>
      </c>
      <c r="AS19" s="179">
        <v>304</v>
      </c>
      <c r="AT19" s="179">
        <v>302</v>
      </c>
      <c r="AU19" s="180">
        <v>606</v>
      </c>
      <c r="AV19" s="179">
        <v>307</v>
      </c>
      <c r="AW19" s="179">
        <v>338</v>
      </c>
      <c r="AX19" s="67">
        <v>1251</v>
      </c>
      <c r="AY19" s="179">
        <v>285</v>
      </c>
      <c r="AZ19" s="179">
        <v>292</v>
      </c>
      <c r="BA19" s="180">
        <v>577</v>
      </c>
      <c r="BB19" s="179">
        <v>294</v>
      </c>
      <c r="BC19" s="179">
        <v>285</v>
      </c>
      <c r="BD19" s="67">
        <v>1156</v>
      </c>
      <c r="BE19" s="179">
        <v>285</v>
      </c>
      <c r="BF19" s="179">
        <v>290</v>
      </c>
      <c r="BG19" s="180">
        <v>575</v>
      </c>
      <c r="BH19" s="179">
        <v>285</v>
      </c>
      <c r="BI19" s="179">
        <v>296</v>
      </c>
      <c r="BJ19" s="67">
        <v>1156</v>
      </c>
      <c r="BK19" s="179">
        <v>298</v>
      </c>
      <c r="BL19" s="179">
        <v>398</v>
      </c>
      <c r="BM19" s="180">
        <v>696</v>
      </c>
      <c r="BN19" s="179">
        <v>433</v>
      </c>
      <c r="BO19" s="179"/>
      <c r="BP19" s="67">
        <v>1505.3333333333301</v>
      </c>
      <c r="BQ19" s="371">
        <f>BQ13*BQ41</f>
        <v>2030.4228533333278</v>
      </c>
      <c r="BR19" s="371">
        <f>BR13*BR41</f>
        <v>2152.2482245333276</v>
      </c>
      <c r="BS19" s="371">
        <f>BS13*BS41</f>
        <v>2172.9429189999946</v>
      </c>
      <c r="BT19" s="371">
        <f>BT13*BT41</f>
        <v>2259.8606357599942</v>
      </c>
      <c r="BU19" s="371">
        <f>BU13*BU41</f>
        <v>2256.2448587427784</v>
      </c>
      <c r="BV19" s="365"/>
      <c r="BW19" s="305"/>
      <c r="BX19" s="451"/>
      <c r="BY19" s="459"/>
      <c r="BZ19" s="459"/>
      <c r="CC19" t="s">
        <v>417</v>
      </c>
      <c r="CD19" s="13">
        <v>0.12</v>
      </c>
      <c r="CE19" s="13">
        <v>0.1</v>
      </c>
      <c r="CF19" s="13">
        <v>0.02</v>
      </c>
    </row>
    <row r="20" spans="2:84" x14ac:dyDescent="0.25">
      <c r="B20" s="262" t="s">
        <v>21</v>
      </c>
      <c r="C20" s="10">
        <v>388</v>
      </c>
      <c r="D20" s="10">
        <v>502</v>
      </c>
      <c r="E20" s="10">
        <v>890</v>
      </c>
      <c r="F20" s="10">
        <v>541</v>
      </c>
      <c r="G20" s="10">
        <v>492</v>
      </c>
      <c r="H20" s="263">
        <v>1923</v>
      </c>
      <c r="I20" s="264">
        <v>414</v>
      </c>
      <c r="J20" s="264">
        <v>534</v>
      </c>
      <c r="K20" s="264">
        <v>948</v>
      </c>
      <c r="L20" s="264">
        <v>626</v>
      </c>
      <c r="M20" s="264">
        <v>569</v>
      </c>
      <c r="N20" s="263">
        <v>2143</v>
      </c>
      <c r="O20" s="264"/>
      <c r="P20" s="264"/>
      <c r="Q20" s="264"/>
      <c r="R20" s="264"/>
      <c r="S20" s="264"/>
      <c r="T20" s="281">
        <f>T18-T19</f>
        <v>3225</v>
      </c>
      <c r="U20" s="282"/>
      <c r="V20" s="282"/>
      <c r="W20" s="282"/>
      <c r="X20" s="282"/>
      <c r="Y20" s="282"/>
      <c r="Z20" s="281">
        <f>Z18-Z19</f>
        <v>3693</v>
      </c>
      <c r="AA20" s="282"/>
      <c r="AB20" s="282"/>
      <c r="AC20" s="282"/>
      <c r="AD20" s="282"/>
      <c r="AE20" s="282"/>
      <c r="AF20" s="281">
        <f>AF18-AF19</f>
        <v>4506</v>
      </c>
      <c r="AG20" s="282">
        <v>1130</v>
      </c>
      <c r="AH20" s="282">
        <v>2112</v>
      </c>
      <c r="AI20" s="282">
        <v>3242</v>
      </c>
      <c r="AJ20" s="282">
        <v>1994</v>
      </c>
      <c r="AK20" s="282">
        <v>1790</v>
      </c>
      <c r="AL20" s="281">
        <f>AL18-AL19</f>
        <v>7026</v>
      </c>
      <c r="AM20" s="282">
        <v>2393</v>
      </c>
      <c r="AN20" s="282">
        <v>2843</v>
      </c>
      <c r="AO20" s="282">
        <v>5236</v>
      </c>
      <c r="AP20" s="282">
        <v>3521</v>
      </c>
      <c r="AQ20" s="282">
        <v>4011</v>
      </c>
      <c r="AR20" s="281">
        <f>AR18-AR19</f>
        <v>12768</v>
      </c>
      <c r="AS20" s="282">
        <v>5224</v>
      </c>
      <c r="AT20" s="282">
        <v>6163</v>
      </c>
      <c r="AU20" s="282">
        <v>11387</v>
      </c>
      <c r="AV20" s="282">
        <v>5455</v>
      </c>
      <c r="AW20" s="282">
        <v>3816</v>
      </c>
      <c r="AX20" s="281">
        <f>AX18-AX19</f>
        <v>20658</v>
      </c>
      <c r="AY20" s="282">
        <v>3626</v>
      </c>
      <c r="AZ20" s="282">
        <v>3574</v>
      </c>
      <c r="BA20" s="282">
        <v>7200</v>
      </c>
      <c r="BB20" s="282">
        <v>3281.32124299925</v>
      </c>
      <c r="BC20" s="282">
        <v>2882</v>
      </c>
      <c r="BD20" s="281">
        <f>BD18-BD19</f>
        <v>13363</v>
      </c>
      <c r="BE20" s="282">
        <v>2627</v>
      </c>
      <c r="BF20" s="282">
        <v>2898</v>
      </c>
      <c r="BG20" s="282">
        <v>5525</v>
      </c>
      <c r="BH20" s="282">
        <v>3260</v>
      </c>
      <c r="BI20" s="282">
        <v>3103</v>
      </c>
      <c r="BJ20" s="281">
        <f>BJ18-BJ19</f>
        <v>11888</v>
      </c>
      <c r="BK20" s="282">
        <v>2949</v>
      </c>
      <c r="BL20" s="282">
        <v>3461</v>
      </c>
      <c r="BM20" s="282">
        <v>6410</v>
      </c>
      <c r="BN20" s="282">
        <v>3532</v>
      </c>
      <c r="BO20" s="282"/>
      <c r="BP20" s="281">
        <f t="shared" ref="BP20:BU20" si="1">BP18-BP19</f>
        <v>13255.999999999693</v>
      </c>
      <c r="BQ20" s="274">
        <f t="shared" si="1"/>
        <v>15931.010079999958</v>
      </c>
      <c r="BR20" s="274">
        <f t="shared" si="1"/>
        <v>18542.44624213329</v>
      </c>
      <c r="BS20" s="274">
        <f t="shared" si="1"/>
        <v>21294.840606199949</v>
      </c>
      <c r="BT20" s="274">
        <f t="shared" si="1"/>
        <v>22869.789633891138</v>
      </c>
      <c r="BU20" s="274">
        <f t="shared" si="1"/>
        <v>24442.652636380102</v>
      </c>
      <c r="BV20" s="365"/>
      <c r="BW20" s="305"/>
      <c r="BX20" s="450">
        <f>IFERROR((BU20/BP20)^(1/5)-1,"n/m")</f>
        <v>0.13017883017302068</v>
      </c>
      <c r="BY20" s="265">
        <f>IFERROR((BP20/AL20)^(1/5)-1,"n/m")</f>
        <v>0.13537903333134382</v>
      </c>
      <c r="BZ20" s="265">
        <f>IFERROR((BP20/H20)^(1/10)-1,"n/m")</f>
        <v>0.21295117941837072</v>
      </c>
      <c r="CC20" t="s">
        <v>418</v>
      </c>
      <c r="CD20" s="13">
        <v>0.05</v>
      </c>
      <c r="CE20" s="13">
        <v>0.04</v>
      </c>
      <c r="CF20" s="13">
        <v>0</v>
      </c>
    </row>
    <row r="21" spans="2:84" x14ac:dyDescent="0.25">
      <c r="B21" s="305" t="s">
        <v>175</v>
      </c>
      <c r="C21" s="16"/>
      <c r="D21" s="16"/>
      <c r="E21" s="16"/>
      <c r="F21" s="16"/>
      <c r="G21" s="16"/>
      <c r="H21" s="69"/>
      <c r="I21" s="183"/>
      <c r="J21" s="183"/>
      <c r="K21" s="184"/>
      <c r="L21" s="183"/>
      <c r="M21" s="183"/>
      <c r="N21" s="69">
        <f>IFERROR(N11/H11-1,"")</f>
        <v>0.4802859119206826</v>
      </c>
      <c r="O21" s="183"/>
      <c r="P21" s="183"/>
      <c r="Q21" s="184"/>
      <c r="R21" s="183"/>
      <c r="S21" s="183"/>
      <c r="T21" s="69">
        <f>IFERROR(T11/N11-1,"")</f>
        <v>7.7476635514018621E-2</v>
      </c>
      <c r="U21" s="183"/>
      <c r="V21" s="183"/>
      <c r="W21" s="184"/>
      <c r="X21" s="183"/>
      <c r="Y21" s="183"/>
      <c r="Z21" s="69">
        <f>IFERROR(Z11/T11-1,"")</f>
        <v>5.0972908896406155E-2</v>
      </c>
      <c r="AA21" s="183"/>
      <c r="AB21" s="183"/>
      <c r="AC21" s="184"/>
      <c r="AD21" s="183"/>
      <c r="AE21" s="183"/>
      <c r="AF21" s="69">
        <f>IFERROR(AF11/Z11-1,"")</f>
        <v>0.39001375515818437</v>
      </c>
      <c r="AG21" s="183"/>
      <c r="AH21" s="183"/>
      <c r="AI21" s="184"/>
      <c r="AJ21" s="183"/>
      <c r="AK21" s="183"/>
      <c r="AL21" s="69">
        <f>IFERROR(AL11/AF11-1,"")</f>
        <v>0.44540542680151196</v>
      </c>
      <c r="AM21" s="183"/>
      <c r="AN21" s="183"/>
      <c r="AO21" s="184"/>
      <c r="AP21" s="183"/>
      <c r="AQ21" s="183"/>
      <c r="AR21" s="69">
        <f>IFERROR(AR11/AL11-1,"")</f>
        <v>0.79235129806112381</v>
      </c>
      <c r="AS21" s="183"/>
      <c r="AT21" s="183"/>
      <c r="AU21" s="184"/>
      <c r="AV21" s="183"/>
      <c r="AW21" s="183"/>
      <c r="AX21" s="69">
        <f>IFERROR(AX11/AR11-1,"")</f>
        <v>0.32062124233187417</v>
      </c>
      <c r="AY21" s="183"/>
      <c r="AZ21" s="183"/>
      <c r="BA21" s="184"/>
      <c r="BB21" s="183"/>
      <c r="BC21" s="183"/>
      <c r="BD21" s="69">
        <f>IFERROR(BD11/AX11-1,"")</f>
        <v>-0.465268297197862</v>
      </c>
      <c r="BE21" s="183"/>
      <c r="BF21" s="183"/>
      <c r="BG21" s="184"/>
      <c r="BH21" s="183"/>
      <c r="BI21" s="183"/>
      <c r="BJ21" s="69">
        <f>IFERROR(BJ11/BD11-1,"")</f>
        <v>0.1242778943724443</v>
      </c>
      <c r="BK21" s="183"/>
      <c r="BL21" s="183"/>
      <c r="BM21" s="184"/>
      <c r="BN21" s="183"/>
      <c r="BO21" s="183"/>
      <c r="BP21" s="69">
        <f>IFERROR(BP11/BJ11-1,"")</f>
        <v>0.27967014991436212</v>
      </c>
      <c r="BQ21" s="499">
        <f>CHOOSE(MATCH($BV$2,{"Bull","Base","Bear"},0),CD12,CE12,CF12)</f>
        <v>0.18</v>
      </c>
      <c r="BR21" s="499">
        <f>CHOOSE(MATCH($BV$2,{"Bull","Base","Bear"},0),CD13,CE13,CF13)</f>
        <v>0.06</v>
      </c>
      <c r="BS21" s="499">
        <f>CHOOSE(MATCH($BV$2,{"Bull","Base","Bear"},0),CD14,CE14,CF14)</f>
        <v>0.05</v>
      </c>
      <c r="BT21" s="499">
        <f>CHOOSE(MATCH($BV$2,{"Bull","Base","Bear"},0),CD15,CE15,CF15)</f>
        <v>0.04</v>
      </c>
      <c r="BU21" s="499">
        <f>CHOOSE(MATCH($BV$2,{"Bull","Base","Bear"},0),CD16,CE16,CF16)</f>
        <v>0.04</v>
      </c>
      <c r="BV21" s="400" t="s">
        <v>284</v>
      </c>
      <c r="BW21" s="289"/>
      <c r="BX21" s="451"/>
      <c r="BY21" s="290"/>
      <c r="BZ21" s="290"/>
      <c r="CC21" t="s">
        <v>419</v>
      </c>
      <c r="CD21" s="13">
        <v>0.05</v>
      </c>
      <c r="CE21" s="13">
        <v>0.04</v>
      </c>
      <c r="CF21" s="13">
        <v>0.01</v>
      </c>
    </row>
    <row r="22" spans="2:84" x14ac:dyDescent="0.25">
      <c r="B22" s="12" t="s">
        <v>176</v>
      </c>
      <c r="C22" s="16"/>
      <c r="D22" s="16"/>
      <c r="E22" s="16"/>
      <c r="F22" s="16"/>
      <c r="G22" s="16"/>
      <c r="H22" s="69"/>
      <c r="I22" s="183"/>
      <c r="J22" s="183"/>
      <c r="K22" s="184"/>
      <c r="L22" s="183"/>
      <c r="M22" s="183"/>
      <c r="N22" s="69" t="str">
        <f>IFERROR(N15/H15-1,"")</f>
        <v/>
      </c>
      <c r="O22" s="183"/>
      <c r="P22" s="183"/>
      <c r="Q22" s="184"/>
      <c r="R22" s="183"/>
      <c r="S22" s="183"/>
      <c r="T22" s="69" t="str">
        <f>IFERROR(T15/N15-1,"")</f>
        <v/>
      </c>
      <c r="U22" s="183"/>
      <c r="V22" s="183"/>
      <c r="W22" s="184"/>
      <c r="X22" s="183"/>
      <c r="Y22" s="183"/>
      <c r="Z22" s="69">
        <f>IFERROR(Z15/T15-1,"")</f>
        <v>6.5978664192949843E-2</v>
      </c>
      <c r="AA22" s="183"/>
      <c r="AB22" s="183"/>
      <c r="AC22" s="184"/>
      <c r="AD22" s="183"/>
      <c r="AE22" s="183"/>
      <c r="AF22" s="69">
        <f>IFERROR(AF15/Z15-1,"")</f>
        <v>0.36157946263461338</v>
      </c>
      <c r="AG22" s="183"/>
      <c r="AH22" s="183"/>
      <c r="AI22" s="184"/>
      <c r="AJ22" s="183"/>
      <c r="AK22" s="183"/>
      <c r="AL22" s="69">
        <f>IFERROR(AL15/AF15-1,"")</f>
        <v>0.35088279939282585</v>
      </c>
      <c r="AM22" s="183"/>
      <c r="AN22" s="183"/>
      <c r="AO22" s="184"/>
      <c r="AP22" s="183"/>
      <c r="AQ22" s="183"/>
      <c r="AR22" s="69">
        <f>IFERROR(AR15/AL15-1,"")</f>
        <v>0.40570110591992425</v>
      </c>
      <c r="AS22" s="183"/>
      <c r="AT22" s="183"/>
      <c r="AU22" s="184"/>
      <c r="AV22" s="183"/>
      <c r="AW22" s="183"/>
      <c r="AX22" s="69">
        <f>IFERROR(AX15/AR15-1,"")</f>
        <v>0.45668728175354456</v>
      </c>
      <c r="AY22" s="183"/>
      <c r="AZ22" s="183"/>
      <c r="BA22" s="184"/>
      <c r="BB22" s="183"/>
      <c r="BC22" s="183"/>
      <c r="BD22" s="69">
        <f>IFERROR(BD15/AX15-1,"")</f>
        <v>-0.24994223659889092</v>
      </c>
      <c r="BE22" s="183"/>
      <c r="BF22" s="183"/>
      <c r="BG22" s="184"/>
      <c r="BH22" s="183"/>
      <c r="BI22" s="183"/>
      <c r="BJ22" s="69">
        <f>IFERROR(BJ15/BD15-1,"")</f>
        <v>-4.8093954562957286E-2</v>
      </c>
      <c r="BK22" s="183"/>
      <c r="BL22" s="183"/>
      <c r="BM22" s="184"/>
      <c r="BN22" s="183"/>
      <c r="BO22" s="183"/>
      <c r="BP22" s="69">
        <f>IFERROR(BP15/BJ15-1,"")</f>
        <v>0.2954707873198088</v>
      </c>
      <c r="BQ22" s="415">
        <f>IFERROR(BQ15/BP15-1,"n/a")</f>
        <v>0.19485599317208147</v>
      </c>
      <c r="BR22" s="415">
        <f>IFERROR(BR15/BQ15-1,"n/a")</f>
        <v>8.163265306122458E-2</v>
      </c>
      <c r="BS22" s="415">
        <f>IFERROR(BS15/BR15-1,"n/a")</f>
        <v>7.0999999999999952E-2</v>
      </c>
      <c r="BT22" s="415">
        <f>IFERROR(BT15/BS15-1,"n/a")</f>
        <v>4.0000000000000036E-2</v>
      </c>
      <c r="BU22" s="415">
        <f>IFERROR(BU15/BT15-1,"n/a")</f>
        <v>4.0000000000000036E-2</v>
      </c>
      <c r="BV22" s="365"/>
      <c r="BW22" s="305"/>
      <c r="BX22" s="451"/>
      <c r="BY22" s="459"/>
      <c r="BZ22" s="459"/>
      <c r="CC22" t="s">
        <v>420</v>
      </c>
      <c r="CD22" s="13">
        <v>0.04</v>
      </c>
      <c r="CE22" s="13">
        <v>0.03</v>
      </c>
      <c r="CF22" s="13">
        <v>0.01</v>
      </c>
    </row>
    <row r="23" spans="2:84" x14ac:dyDescent="0.25">
      <c r="B23" s="12" t="s">
        <v>177</v>
      </c>
      <c r="C23" s="16"/>
      <c r="D23" s="16"/>
      <c r="E23" s="16"/>
      <c r="F23" s="16"/>
      <c r="G23" s="16"/>
      <c r="H23" s="69"/>
      <c r="I23" s="183"/>
      <c r="J23" s="183"/>
      <c r="K23" s="184"/>
      <c r="L23" s="183"/>
      <c r="M23" s="183"/>
      <c r="N23" s="69" t="str">
        <f>IFERROR(N18/H18-1,"")</f>
        <v/>
      </c>
      <c r="O23" s="183"/>
      <c r="P23" s="183"/>
      <c r="Q23" s="184"/>
      <c r="R23" s="183"/>
      <c r="S23" s="183"/>
      <c r="T23" s="69" t="str">
        <f>IFERROR(T18/N18-1,"")</f>
        <v/>
      </c>
      <c r="U23" s="183"/>
      <c r="V23" s="183"/>
      <c r="W23" s="184"/>
      <c r="X23" s="183"/>
      <c r="Y23" s="183"/>
      <c r="Z23" s="69">
        <f>IFERROR(Z18/T18-1,"")</f>
        <v>0.13279376498800954</v>
      </c>
      <c r="AA23" s="183"/>
      <c r="AB23" s="183"/>
      <c r="AC23" s="184"/>
      <c r="AD23" s="183"/>
      <c r="AE23" s="183"/>
      <c r="AF23" s="69">
        <f>IFERROR(AF18/Z18-1,"")</f>
        <v>0.36464673193966668</v>
      </c>
      <c r="AG23" s="183"/>
      <c r="AH23" s="183"/>
      <c r="AI23" s="184"/>
      <c r="AJ23" s="183"/>
      <c r="AK23" s="183"/>
      <c r="AL23" s="69">
        <f>IFERROR(AL18/AF18-1,"")</f>
        <v>0.54954430870661231</v>
      </c>
      <c r="AM23" s="183"/>
      <c r="AN23" s="183"/>
      <c r="AO23" s="184"/>
      <c r="AP23" s="183"/>
      <c r="AQ23" s="183"/>
      <c r="AR23" s="69">
        <f>IFERROR(AR18/AL18-1,"")</f>
        <v>0.72756851457890126</v>
      </c>
      <c r="AS23" s="183"/>
      <c r="AT23" s="183"/>
      <c r="AU23" s="184"/>
      <c r="AV23" s="183"/>
      <c r="AW23" s="183"/>
      <c r="AX23" s="69">
        <f>IFERROR(AX18/AR18-1,"")</f>
        <v>0.58703368344802609</v>
      </c>
      <c r="AY23" s="183"/>
      <c r="AZ23" s="183"/>
      <c r="BA23" s="184"/>
      <c r="BB23" s="183"/>
      <c r="BC23" s="183"/>
      <c r="BD23" s="69">
        <f>IFERROR(BD18/AX18-1,"")</f>
        <v>-0.33730430416723722</v>
      </c>
      <c r="BE23" s="183"/>
      <c r="BF23" s="183"/>
      <c r="BG23" s="184"/>
      <c r="BH23" s="183"/>
      <c r="BI23" s="183"/>
      <c r="BJ23" s="69">
        <f>IFERROR(BJ18/BD18-1,"")</f>
        <v>-0.10159101866519737</v>
      </c>
      <c r="BK23" s="183"/>
      <c r="BL23" s="183"/>
      <c r="BM23" s="184"/>
      <c r="BN23" s="183"/>
      <c r="BO23" s="183"/>
      <c r="BP23" s="69">
        <f>IFERROR(BP18/BJ18-1,"")</f>
        <v>0.13165695594396065</v>
      </c>
      <c r="BQ23" s="415">
        <f>IFERROR(BQ18/BP18-1,"n/a")</f>
        <v>0.21678933249031229</v>
      </c>
      <c r="BR23" s="415">
        <f>IFERROR(BR18/BQ18-1,"n/a")</f>
        <v>0.15217391304347849</v>
      </c>
      <c r="BS23" s="415">
        <f>IFERROR(BS18/BR18-1,"n/a")</f>
        <v>0.1339999999999999</v>
      </c>
      <c r="BT23" s="415">
        <f>IFERROR(BT18/BS18-1,"n/a")</f>
        <v>7.0814814814814442E-2</v>
      </c>
      <c r="BU23" s="415">
        <f>IFERROR(BU18/BT18-1,"n/a")</f>
        <v>6.244604316546809E-2</v>
      </c>
      <c r="BV23" s="365"/>
      <c r="BW23" s="305"/>
      <c r="BX23" s="451"/>
      <c r="BY23" s="459"/>
      <c r="BZ23" s="459"/>
      <c r="CC23" t="s">
        <v>421</v>
      </c>
      <c r="CD23" s="13">
        <v>0.04</v>
      </c>
      <c r="CE23" s="13">
        <v>0.03</v>
      </c>
      <c r="CF23" s="13">
        <v>0.01</v>
      </c>
    </row>
    <row r="24" spans="2:84" x14ac:dyDescent="0.25">
      <c r="B24" s="289" t="s">
        <v>178</v>
      </c>
      <c r="C24" s="16"/>
      <c r="D24" s="16"/>
      <c r="E24" s="16"/>
      <c r="F24" s="16"/>
      <c r="G24" s="16"/>
      <c r="H24" s="69"/>
      <c r="I24" s="183"/>
      <c r="J24" s="183"/>
      <c r="K24" s="184"/>
      <c r="L24" s="183"/>
      <c r="M24" s="183"/>
      <c r="N24" s="69">
        <f>IFERROR(N20/H20-1,"")</f>
        <v>0.11440457618304722</v>
      </c>
      <c r="O24" s="183"/>
      <c r="P24" s="183"/>
      <c r="Q24" s="184"/>
      <c r="R24" s="183"/>
      <c r="S24" s="183"/>
      <c r="T24" s="69">
        <f>IFERROR(T20/N20-1,"")</f>
        <v>0.50489967335510966</v>
      </c>
      <c r="U24" s="183"/>
      <c r="V24" s="183"/>
      <c r="W24" s="184"/>
      <c r="X24" s="183"/>
      <c r="Y24" s="183"/>
      <c r="Z24" s="69">
        <f>IFERROR(Z20/T20-1,"")</f>
        <v>0.14511627906976754</v>
      </c>
      <c r="AA24" s="183"/>
      <c r="AB24" s="183"/>
      <c r="AC24" s="184"/>
      <c r="AD24" s="183"/>
      <c r="AE24" s="183"/>
      <c r="AF24" s="69">
        <f>IFERROR(AF20/Z20-1,"")</f>
        <v>0.22014622258326555</v>
      </c>
      <c r="AG24" s="183"/>
      <c r="AH24" s="183"/>
      <c r="AI24" s="184"/>
      <c r="AJ24" s="183"/>
      <c r="AK24" s="183"/>
      <c r="AL24" s="69">
        <f>IFERROR(AL20/AF20-1,"")</f>
        <v>0.55925432756324911</v>
      </c>
      <c r="AM24" s="183"/>
      <c r="AN24" s="183"/>
      <c r="AO24" s="184"/>
      <c r="AP24" s="183"/>
      <c r="AQ24" s="183"/>
      <c r="AR24" s="69">
        <f>IFERROR(AR20/AL20-1,"")</f>
        <v>0.8172502134927413</v>
      </c>
      <c r="AS24" s="183"/>
      <c r="AT24" s="183"/>
      <c r="AU24" s="184"/>
      <c r="AV24" s="183"/>
      <c r="AW24" s="183"/>
      <c r="AX24" s="69">
        <f>IFERROR(AX20/AR20-1,"")</f>
        <v>0.61795112781954886</v>
      </c>
      <c r="AY24" s="183"/>
      <c r="AZ24" s="183"/>
      <c r="BA24" s="184"/>
      <c r="BB24" s="183"/>
      <c r="BC24" s="183"/>
      <c r="BD24" s="69">
        <f>IFERROR(BD20/AX20-1,"")</f>
        <v>-0.35313195856326851</v>
      </c>
      <c r="BE24" s="183"/>
      <c r="BF24" s="183"/>
      <c r="BG24" s="184"/>
      <c r="BH24" s="183"/>
      <c r="BI24" s="183"/>
      <c r="BJ24" s="69">
        <f>IFERROR(BJ20/BD20-1,"")</f>
        <v>-0.11037940582204597</v>
      </c>
      <c r="BK24" s="183"/>
      <c r="BL24" s="183"/>
      <c r="BM24" s="184"/>
      <c r="BN24" s="183"/>
      <c r="BO24" s="183"/>
      <c r="BP24" s="69">
        <f>IFERROR(BP20/BJ20-1,"")</f>
        <v>0.11507402422608459</v>
      </c>
      <c r="BQ24" s="415">
        <f>IFERROR(BQ20/BP20-1,"n/a")</f>
        <v>0.20179617380811155</v>
      </c>
      <c r="BR24" s="415">
        <f>IFERROR(BR20/BQ20-1,"n/a")</f>
        <v>0.16392156862745133</v>
      </c>
      <c r="BS24" s="415">
        <f>IFERROR(BS20/BR20-1,"n/a")</f>
        <v>0.1484375</v>
      </c>
      <c r="BT24" s="415">
        <f>IFERROR(BT20/BS20-1,"n/a")</f>
        <v>7.3959183673468987E-2</v>
      </c>
      <c r="BU24" s="415">
        <f>IFERROR(BU20/BT20-1,"n/a")</f>
        <v>6.8774703557312522E-2</v>
      </c>
      <c r="BV24" s="365"/>
      <c r="BW24" s="305"/>
      <c r="BX24" s="451"/>
      <c r="BY24" s="290"/>
      <c r="BZ24" s="290"/>
      <c r="CD24" s="13"/>
      <c r="CE24" s="13"/>
      <c r="CF24" s="13"/>
    </row>
    <row r="25" spans="2:84" x14ac:dyDescent="0.25">
      <c r="B25" s="12" t="s">
        <v>179</v>
      </c>
      <c r="C25" s="16"/>
      <c r="D25" s="16"/>
      <c r="E25" s="16"/>
      <c r="F25" s="16"/>
      <c r="G25" s="16"/>
      <c r="H25" s="70" t="str">
        <f>IFERROR(H15/H11,"")</f>
        <v/>
      </c>
      <c r="I25" s="185" t="str">
        <f t="shared" ref="I25:BP25" si="2">IFERROR(I15/I11,"")</f>
        <v/>
      </c>
      <c r="J25" s="185" t="str">
        <f t="shared" si="2"/>
        <v/>
      </c>
      <c r="K25" s="186" t="str">
        <f t="shared" si="2"/>
        <v/>
      </c>
      <c r="L25" s="185" t="str">
        <f t="shared" si="2"/>
        <v/>
      </c>
      <c r="M25" s="185" t="str">
        <f t="shared" si="2"/>
        <v/>
      </c>
      <c r="N25" s="70" t="str">
        <f t="shared" si="2"/>
        <v/>
      </c>
      <c r="O25" s="185" t="str">
        <f t="shared" si="2"/>
        <v/>
      </c>
      <c r="P25" s="185" t="str">
        <f t="shared" si="2"/>
        <v/>
      </c>
      <c r="Q25" s="186" t="str">
        <f t="shared" si="2"/>
        <v/>
      </c>
      <c r="R25" s="185" t="str">
        <f t="shared" si="2"/>
        <v/>
      </c>
      <c r="S25" s="185" t="str">
        <f t="shared" si="2"/>
        <v/>
      </c>
      <c r="T25" s="70">
        <f t="shared" si="2"/>
        <v>0.24934223841327666</v>
      </c>
      <c r="U25" s="185" t="str">
        <f t="shared" si="2"/>
        <v/>
      </c>
      <c r="V25" s="185" t="str">
        <f t="shared" si="2"/>
        <v/>
      </c>
      <c r="W25" s="186" t="str">
        <f t="shared" si="2"/>
        <v/>
      </c>
      <c r="X25" s="185" t="str">
        <f t="shared" si="2"/>
        <v/>
      </c>
      <c r="Y25" s="185" t="str">
        <f t="shared" si="2"/>
        <v/>
      </c>
      <c r="Z25" s="70">
        <f t="shared" si="2"/>
        <v>0.25290233837689136</v>
      </c>
      <c r="AA25" s="185" t="str">
        <f t="shared" si="2"/>
        <v/>
      </c>
      <c r="AB25" s="185" t="str">
        <f t="shared" si="2"/>
        <v/>
      </c>
      <c r="AC25" s="186" t="str">
        <f t="shared" si="2"/>
        <v/>
      </c>
      <c r="AD25" s="185" t="str">
        <f t="shared" si="2"/>
        <v/>
      </c>
      <c r="AE25" s="185" t="str">
        <f t="shared" si="2"/>
        <v/>
      </c>
      <c r="AF25" s="70">
        <f t="shared" si="2"/>
        <v>0.24772893700397808</v>
      </c>
      <c r="AG25" s="185" t="str">
        <f t="shared" si="2"/>
        <v/>
      </c>
      <c r="AH25" s="185" t="str">
        <f t="shared" si="2"/>
        <v/>
      </c>
      <c r="AI25" s="186" t="str">
        <f t="shared" si="2"/>
        <v/>
      </c>
      <c r="AJ25" s="185" t="str">
        <f t="shared" si="2"/>
        <v/>
      </c>
      <c r="AK25" s="185" t="str">
        <f t="shared" si="2"/>
        <v/>
      </c>
      <c r="AL25" s="70">
        <f t="shared" si="2"/>
        <v>0.23152864497754408</v>
      </c>
      <c r="AM25" s="185" t="str">
        <f t="shared" si="2"/>
        <v/>
      </c>
      <c r="AN25" s="185" t="str">
        <f t="shared" si="2"/>
        <v/>
      </c>
      <c r="AO25" s="186" t="str">
        <f t="shared" si="2"/>
        <v/>
      </c>
      <c r="AP25" s="185" t="str">
        <f t="shared" si="2"/>
        <v/>
      </c>
      <c r="AQ25" s="185" t="str">
        <f t="shared" si="2"/>
        <v/>
      </c>
      <c r="AR25" s="70">
        <f t="shared" si="2"/>
        <v>0.18158274700341484</v>
      </c>
      <c r="AS25" s="185" t="str">
        <f t="shared" si="2"/>
        <v/>
      </c>
      <c r="AT25" s="185" t="str">
        <f t="shared" si="2"/>
        <v/>
      </c>
      <c r="AU25" s="186" t="str">
        <f t="shared" si="2"/>
        <v/>
      </c>
      <c r="AV25" s="185" t="str">
        <f t="shared" si="2"/>
        <v/>
      </c>
      <c r="AW25" s="185" t="str">
        <f t="shared" si="2"/>
        <v/>
      </c>
      <c r="AX25" s="70">
        <f t="shared" si="2"/>
        <v>0.2002915519355809</v>
      </c>
      <c r="AY25" s="185" t="str">
        <f t="shared" si="2"/>
        <v/>
      </c>
      <c r="AZ25" s="185" t="str">
        <f t="shared" si="2"/>
        <v/>
      </c>
      <c r="BA25" s="186" t="str">
        <f t="shared" si="2"/>
        <v/>
      </c>
      <c r="BB25" s="185" t="str">
        <f t="shared" si="2"/>
        <v/>
      </c>
      <c r="BC25" s="185" t="str">
        <f t="shared" si="2"/>
        <v/>
      </c>
      <c r="BD25" s="70">
        <f t="shared" si="2"/>
        <v>0.28094506588199658</v>
      </c>
      <c r="BE25" s="185" t="str">
        <f t="shared" si="2"/>
        <v/>
      </c>
      <c r="BF25" s="185" t="str">
        <f t="shared" si="2"/>
        <v/>
      </c>
      <c r="BG25" s="186" t="str">
        <f t="shared" si="2"/>
        <v/>
      </c>
      <c r="BH25" s="185" t="str">
        <f t="shared" si="2"/>
        <v/>
      </c>
      <c r="BI25" s="185" t="str">
        <f t="shared" si="2"/>
        <v/>
      </c>
      <c r="BJ25" s="70">
        <f t="shared" si="2"/>
        <v>0.23787117756865461</v>
      </c>
      <c r="BK25" s="185" t="str">
        <f t="shared" si="2"/>
        <v/>
      </c>
      <c r="BL25" s="185" t="str">
        <f t="shared" si="2"/>
        <v/>
      </c>
      <c r="BM25" s="186" t="str">
        <f t="shared" si="2"/>
        <v/>
      </c>
      <c r="BN25" s="185" t="str">
        <f t="shared" si="2"/>
        <v/>
      </c>
      <c r="BO25" s="185" t="str">
        <f t="shared" si="2"/>
        <v/>
      </c>
      <c r="BP25" s="70">
        <f t="shared" si="2"/>
        <v>0.24080827524669335</v>
      </c>
      <c r="BQ25" s="691">
        <v>0.245</v>
      </c>
      <c r="BR25" s="691">
        <v>0.25</v>
      </c>
      <c r="BS25" s="691">
        <v>0.255</v>
      </c>
      <c r="BT25" s="691">
        <v>0.255</v>
      </c>
      <c r="BU25" s="691">
        <v>0.255</v>
      </c>
      <c r="BV25" s="400" t="s">
        <v>285</v>
      </c>
      <c r="BW25" s="289"/>
      <c r="BX25" s="450">
        <f>IFERROR(AVERAGE(BQ25,BR25,BS25,BT25,BU25),"n/m")</f>
        <v>0.25199999999999995</v>
      </c>
      <c r="BY25" s="459">
        <f>IFERROR(AVERAGE(AR25,AX25,BD25,BJ25,BP25),"n/m")</f>
        <v>0.22829976352726805</v>
      </c>
      <c r="BZ25" s="459">
        <f>IFERROR(AVERAGE(N25,T25,Z25,AF25,AL25,AR25,AX25,BD25,BJ25,BP25),"n/m")</f>
        <v>0.23588899737867003</v>
      </c>
      <c r="CC25" s="148" t="s">
        <v>423</v>
      </c>
      <c r="CD25" s="13"/>
      <c r="CE25" s="13"/>
      <c r="CF25" s="13"/>
    </row>
    <row r="26" spans="2:84" x14ac:dyDescent="0.25">
      <c r="B26" s="12" t="s">
        <v>180</v>
      </c>
      <c r="C26" s="16"/>
      <c r="D26" s="16"/>
      <c r="E26" s="16"/>
      <c r="F26" s="16"/>
      <c r="G26" s="16"/>
      <c r="H26" s="70" t="str">
        <f>IFERROR(H18/H11,"")</f>
        <v/>
      </c>
      <c r="I26" s="185" t="str">
        <f t="shared" ref="I26:BP26" si="3">IFERROR(I18/I11,"")</f>
        <v/>
      </c>
      <c r="J26" s="185" t="str">
        <f t="shared" si="3"/>
        <v/>
      </c>
      <c r="K26" s="186" t="str">
        <f t="shared" si="3"/>
        <v/>
      </c>
      <c r="L26" s="185" t="str">
        <f t="shared" si="3"/>
        <v/>
      </c>
      <c r="M26" s="185" t="str">
        <f t="shared" si="3"/>
        <v/>
      </c>
      <c r="N26" s="70" t="str">
        <f t="shared" si="3"/>
        <v/>
      </c>
      <c r="O26" s="185" t="str">
        <f t="shared" si="3"/>
        <v/>
      </c>
      <c r="P26" s="185" t="str">
        <f t="shared" si="3"/>
        <v/>
      </c>
      <c r="Q26" s="186" t="str">
        <f t="shared" si="3"/>
        <v/>
      </c>
      <c r="R26" s="185" t="str">
        <f t="shared" si="3"/>
        <v/>
      </c>
      <c r="S26" s="185" t="str">
        <f t="shared" si="3"/>
        <v/>
      </c>
      <c r="T26" s="70">
        <f t="shared" si="3"/>
        <v>9.6452424321276778E-2</v>
      </c>
      <c r="U26" s="185" t="str">
        <f t="shared" si="3"/>
        <v/>
      </c>
      <c r="V26" s="185" t="str">
        <f t="shared" si="3"/>
        <v/>
      </c>
      <c r="W26" s="186" t="str">
        <f t="shared" si="3"/>
        <v/>
      </c>
      <c r="X26" s="185" t="str">
        <f t="shared" si="3"/>
        <v/>
      </c>
      <c r="Y26" s="185" t="str">
        <f t="shared" si="3"/>
        <v/>
      </c>
      <c r="Z26" s="70">
        <f t="shared" si="3"/>
        <v>0.10396148555708391</v>
      </c>
      <c r="AA26" s="185" t="str">
        <f t="shared" si="3"/>
        <v/>
      </c>
      <c r="AB26" s="185" t="str">
        <f t="shared" si="3"/>
        <v/>
      </c>
      <c r="AC26" s="186" t="str">
        <f t="shared" si="3"/>
        <v/>
      </c>
      <c r="AD26" s="185" t="str">
        <f t="shared" si="3"/>
        <v/>
      </c>
      <c r="AE26" s="185" t="str">
        <f t="shared" si="3"/>
        <v/>
      </c>
      <c r="AF26" s="70">
        <f t="shared" si="3"/>
        <v>0.10206424288004433</v>
      </c>
      <c r="AG26" s="185" t="str">
        <f t="shared" si="3"/>
        <v/>
      </c>
      <c r="AH26" s="185" t="str">
        <f t="shared" si="3"/>
        <v/>
      </c>
      <c r="AI26" s="186" t="str">
        <f t="shared" si="3"/>
        <v/>
      </c>
      <c r="AJ26" s="185" t="str">
        <f t="shared" si="3"/>
        <v/>
      </c>
      <c r="AK26" s="185" t="str">
        <f t="shared" si="3"/>
        <v/>
      </c>
      <c r="AL26" s="70">
        <f t="shared" si="3"/>
        <v>0.10941778946215358</v>
      </c>
      <c r="AM26" s="185" t="str">
        <f t="shared" si="3"/>
        <v/>
      </c>
      <c r="AN26" s="185" t="str">
        <f t="shared" si="3"/>
        <v/>
      </c>
      <c r="AO26" s="186" t="str">
        <f t="shared" si="3"/>
        <v/>
      </c>
      <c r="AP26" s="185" t="str">
        <f t="shared" si="3"/>
        <v/>
      </c>
      <c r="AQ26" s="185" t="str">
        <f t="shared" si="3"/>
        <v/>
      </c>
      <c r="AR26" s="70">
        <f t="shared" si="3"/>
        <v>0.10546299054996601</v>
      </c>
      <c r="AS26" s="185" t="str">
        <f t="shared" si="3"/>
        <v/>
      </c>
      <c r="AT26" s="185" t="str">
        <f t="shared" si="3"/>
        <v/>
      </c>
      <c r="AU26" s="186" t="str">
        <f t="shared" si="3"/>
        <v/>
      </c>
      <c r="AV26" s="185" t="str">
        <f t="shared" si="3"/>
        <v/>
      </c>
      <c r="AW26" s="185" t="str">
        <f t="shared" si="3"/>
        <v/>
      </c>
      <c r="AX26" s="70">
        <f t="shared" si="3"/>
        <v>0.12673832056829487</v>
      </c>
      <c r="AY26" s="185" t="str">
        <f t="shared" si="3"/>
        <v/>
      </c>
      <c r="AZ26" s="185" t="str">
        <f t="shared" si="3"/>
        <v/>
      </c>
      <c r="BA26" s="186" t="str">
        <f t="shared" si="3"/>
        <v/>
      </c>
      <c r="BB26" s="185" t="str">
        <f t="shared" si="3"/>
        <v/>
      </c>
      <c r="BC26" s="185" t="str">
        <f t="shared" si="3"/>
        <v/>
      </c>
      <c r="BD26" s="70">
        <f t="shared" si="3"/>
        <v>0.15706743979748589</v>
      </c>
      <c r="BE26" s="185" t="str">
        <f t="shared" si="3"/>
        <v/>
      </c>
      <c r="BF26" s="185" t="str">
        <f t="shared" si="3"/>
        <v/>
      </c>
      <c r="BG26" s="186" t="str">
        <f t="shared" si="3"/>
        <v/>
      </c>
      <c r="BH26" s="185" t="str">
        <f t="shared" si="3"/>
        <v/>
      </c>
      <c r="BI26" s="185" t="str">
        <f t="shared" si="3"/>
        <v/>
      </c>
      <c r="BJ26" s="70">
        <f t="shared" si="3"/>
        <v>0.12551238381155821</v>
      </c>
      <c r="BK26" s="185" t="str">
        <f t="shared" si="3"/>
        <v/>
      </c>
      <c r="BL26" s="185" t="str">
        <f t="shared" si="3"/>
        <v/>
      </c>
      <c r="BM26" s="186" t="str">
        <f t="shared" si="3"/>
        <v/>
      </c>
      <c r="BN26" s="185" t="str">
        <f t="shared" si="3"/>
        <v/>
      </c>
      <c r="BO26" s="185" t="str">
        <f t="shared" si="3"/>
        <v/>
      </c>
      <c r="BP26" s="70">
        <f t="shared" si="3"/>
        <v>0.11099497961014672</v>
      </c>
      <c r="BQ26" s="369">
        <f>IFERROR(BQ18/BQ11,"n/a")</f>
        <v>0.11855670103092784</v>
      </c>
      <c r="BR26" s="369">
        <f>IFERROR(BR18/BR11,"n/a")</f>
        <v>0.12886597938144331</v>
      </c>
      <c r="BS26" s="369">
        <f>IFERROR(BS18/BS11,"n/a")</f>
        <v>0.13917525773195877</v>
      </c>
      <c r="BT26" s="369">
        <f>IFERROR(BT18/BT11,"n/a")</f>
        <v>0.14329896907216491</v>
      </c>
      <c r="BU26" s="369">
        <f>IFERROR(BU18/BU11,"n/a")</f>
        <v>0.14639175257731959</v>
      </c>
      <c r="BV26" s="365"/>
      <c r="BW26" s="305"/>
      <c r="BX26" s="451"/>
      <c r="BY26" s="459"/>
      <c r="BZ26" s="459"/>
      <c r="CC26" t="s">
        <v>417</v>
      </c>
      <c r="CD26" s="13">
        <v>0.2</v>
      </c>
      <c r="CE26" s="13">
        <v>0.18</v>
      </c>
      <c r="CF26" s="13">
        <v>0.05</v>
      </c>
    </row>
    <row r="27" spans="2:84" x14ac:dyDescent="0.25">
      <c r="B27" s="12" t="s">
        <v>181</v>
      </c>
      <c r="C27" s="16"/>
      <c r="D27" s="16"/>
      <c r="E27" s="16"/>
      <c r="F27" s="16"/>
      <c r="G27" s="16"/>
      <c r="H27" s="70">
        <f>IFERROR(H20/H11,"")</f>
        <v>8.8678810237491357E-2</v>
      </c>
      <c r="I27" s="185" t="str">
        <f t="shared" ref="I27:BP27" si="4">IFERROR(I20/I11,"")</f>
        <v/>
      </c>
      <c r="J27" s="185" t="str">
        <f t="shared" si="4"/>
        <v/>
      </c>
      <c r="K27" s="186" t="str">
        <f t="shared" si="4"/>
        <v/>
      </c>
      <c r="L27" s="185" t="str">
        <f t="shared" si="4"/>
        <v/>
      </c>
      <c r="M27" s="185" t="str">
        <f t="shared" si="4"/>
        <v/>
      </c>
      <c r="N27" s="70">
        <f t="shared" si="4"/>
        <v>6.6760124610591901E-2</v>
      </c>
      <c r="O27" s="185" t="str">
        <f t="shared" si="4"/>
        <v/>
      </c>
      <c r="P27" s="185" t="str">
        <f t="shared" si="4"/>
        <v/>
      </c>
      <c r="Q27" s="186" t="str">
        <f t="shared" si="4"/>
        <v/>
      </c>
      <c r="R27" s="185" t="str">
        <f t="shared" si="4"/>
        <v/>
      </c>
      <c r="S27" s="185" t="str">
        <f t="shared" si="4"/>
        <v/>
      </c>
      <c r="T27" s="70">
        <f t="shared" si="4"/>
        <v>9.3243126030011281E-2</v>
      </c>
      <c r="U27" s="185" t="str">
        <f t="shared" si="4"/>
        <v/>
      </c>
      <c r="V27" s="185" t="str">
        <f t="shared" si="4"/>
        <v/>
      </c>
      <c r="W27" s="186" t="str">
        <f t="shared" si="4"/>
        <v/>
      </c>
      <c r="X27" s="185" t="str">
        <f t="shared" si="4"/>
        <v/>
      </c>
      <c r="Y27" s="185" t="str">
        <f t="shared" si="4"/>
        <v/>
      </c>
      <c r="Z27" s="70">
        <f t="shared" si="4"/>
        <v>0.10159559834938102</v>
      </c>
      <c r="AA27" s="185" t="str">
        <f t="shared" si="4"/>
        <v/>
      </c>
      <c r="AB27" s="185" t="str">
        <f t="shared" si="4"/>
        <v/>
      </c>
      <c r="AC27" s="186" t="str">
        <f t="shared" si="4"/>
        <v/>
      </c>
      <c r="AD27" s="185" t="str">
        <f t="shared" si="4"/>
        <v/>
      </c>
      <c r="AE27" s="185" t="str">
        <f t="shared" si="4"/>
        <v/>
      </c>
      <c r="AF27" s="70">
        <f t="shared" si="4"/>
        <v>8.9180042353593128E-2</v>
      </c>
      <c r="AG27" s="185" t="str">
        <f t="shared" si="4"/>
        <v/>
      </c>
      <c r="AH27" s="185" t="str">
        <f t="shared" si="4"/>
        <v/>
      </c>
      <c r="AI27" s="186" t="str">
        <f t="shared" si="4"/>
        <v/>
      </c>
      <c r="AJ27" s="185" t="str">
        <f t="shared" si="4"/>
        <v/>
      </c>
      <c r="AK27" s="185" t="str">
        <f t="shared" si="4"/>
        <v/>
      </c>
      <c r="AL27" s="70">
        <f t="shared" si="4"/>
        <v>9.6204403549129153E-2</v>
      </c>
      <c r="AM27" s="185" t="str">
        <f t="shared" si="4"/>
        <v/>
      </c>
      <c r="AN27" s="185" t="str">
        <f t="shared" si="4"/>
        <v/>
      </c>
      <c r="AO27" s="186" t="str">
        <f t="shared" si="4"/>
        <v/>
      </c>
      <c r="AP27" s="185" t="str">
        <f t="shared" si="4"/>
        <v/>
      </c>
      <c r="AQ27" s="185" t="str">
        <f t="shared" si="4"/>
        <v/>
      </c>
      <c r="AR27" s="70">
        <f t="shared" si="4"/>
        <v>9.7540852107349946E-2</v>
      </c>
      <c r="AS27" s="185" t="str">
        <f t="shared" si="4"/>
        <v/>
      </c>
      <c r="AT27" s="185" t="str">
        <f t="shared" si="4"/>
        <v/>
      </c>
      <c r="AU27" s="186" t="str">
        <f t="shared" si="4"/>
        <v/>
      </c>
      <c r="AV27" s="185" t="str">
        <f t="shared" si="4"/>
        <v/>
      </c>
      <c r="AW27" s="185" t="str">
        <f t="shared" si="4"/>
        <v/>
      </c>
      <c r="AX27" s="70">
        <f t="shared" si="4"/>
        <v>0.11950158502441169</v>
      </c>
      <c r="AY27" s="185" t="str">
        <f t="shared" si="4"/>
        <v/>
      </c>
      <c r="AZ27" s="185" t="str">
        <f t="shared" si="4"/>
        <v/>
      </c>
      <c r="BA27" s="186" t="str">
        <f t="shared" si="4"/>
        <v/>
      </c>
      <c r="BB27" s="185" t="str">
        <f t="shared" si="4"/>
        <v/>
      </c>
      <c r="BC27" s="185" t="str">
        <f t="shared" si="4"/>
        <v/>
      </c>
      <c r="BD27" s="70">
        <f t="shared" si="4"/>
        <v>0.14456176031502196</v>
      </c>
      <c r="BE27" s="185" t="str">
        <f t="shared" si="4"/>
        <v/>
      </c>
      <c r="BF27" s="185" t="str">
        <f t="shared" si="4"/>
        <v/>
      </c>
      <c r="BG27" s="186" t="str">
        <f t="shared" si="4"/>
        <v/>
      </c>
      <c r="BH27" s="185" t="str">
        <f t="shared" si="4"/>
        <v/>
      </c>
      <c r="BI27" s="185" t="str">
        <f t="shared" si="4"/>
        <v/>
      </c>
      <c r="BJ27" s="70">
        <f t="shared" si="4"/>
        <v>0.11438908454092335</v>
      </c>
      <c r="BK27" s="185" t="str">
        <f t="shared" si="4"/>
        <v/>
      </c>
      <c r="BL27" s="185" t="str">
        <f t="shared" si="4"/>
        <v/>
      </c>
      <c r="BM27" s="186" t="str">
        <f t="shared" si="4"/>
        <v/>
      </c>
      <c r="BN27" s="185" t="str">
        <f t="shared" si="4"/>
        <v/>
      </c>
      <c r="BO27" s="185" t="str">
        <f t="shared" si="4"/>
        <v/>
      </c>
      <c r="BP27" s="70">
        <f t="shared" si="4"/>
        <v>9.9675917919255383E-2</v>
      </c>
      <c r="BQ27" s="369">
        <f>IFERROR(BQ20/BQ11,"n/a")</f>
        <v>0.10515463917525775</v>
      </c>
      <c r="BR27" s="369">
        <f>IFERROR(BR20/BR11,"n/a")</f>
        <v>0.11546391752577323</v>
      </c>
      <c r="BS27" s="369">
        <f>IFERROR(BS20/BS11,"n/a")</f>
        <v>0.12628865979381446</v>
      </c>
      <c r="BT27" s="369">
        <f>IFERROR(BT20/BT11,"n/a")</f>
        <v>0.13041237113402057</v>
      </c>
      <c r="BU27" s="369">
        <f>IFERROR(BU20/BU11,"n/a")</f>
        <v>0.13402061855670103</v>
      </c>
      <c r="BV27" s="365"/>
      <c r="BW27" s="305"/>
      <c r="BX27" s="450">
        <f>IFERROR(AVERAGE(BQ27,BR27,BS27,BT27,BU27),"n/m")</f>
        <v>0.12226804123711341</v>
      </c>
      <c r="BY27" s="459">
        <f>IFERROR(AVERAGE(AR27,AX27,BD27,BJ27,BP27),"n/m")</f>
        <v>0.11513383998139246</v>
      </c>
      <c r="BZ27" s="459">
        <f>IFERROR(AVERAGE(N27,T27,Z27,AF27,AL27,AR27,AX27,BD27,BJ27,BP27),"n/m")</f>
        <v>0.10226524947996689</v>
      </c>
      <c r="CC27" t="s">
        <v>418</v>
      </c>
      <c r="CD27" s="13">
        <v>0.09</v>
      </c>
      <c r="CE27" s="13">
        <v>7.0000000000000007E-2</v>
      </c>
      <c r="CF27" s="13">
        <v>0.02</v>
      </c>
    </row>
    <row r="28" spans="2:84" x14ac:dyDescent="0.25">
      <c r="B28" s="12" t="s">
        <v>182</v>
      </c>
      <c r="C28" s="16"/>
      <c r="D28" s="16"/>
      <c r="E28" s="16"/>
      <c r="F28" s="16"/>
      <c r="G28" s="16"/>
      <c r="H28" s="71"/>
      <c r="I28" s="187"/>
      <c r="J28" s="187"/>
      <c r="K28" s="188"/>
      <c r="L28" s="187"/>
      <c r="M28" s="187"/>
      <c r="N28" s="71">
        <f>IFERROR((N20-H20)/(N11-H11),"")</f>
        <v>2.1123379740758522E-2</v>
      </c>
      <c r="O28" s="187"/>
      <c r="P28" s="187"/>
      <c r="Q28" s="188"/>
      <c r="R28" s="187"/>
      <c r="S28" s="187"/>
      <c r="T28" s="71">
        <f>IFERROR((T20-N20)/(T11-N11),"")</f>
        <v>0.43506232408524326</v>
      </c>
      <c r="U28" s="187"/>
      <c r="V28" s="187"/>
      <c r="W28" s="188"/>
      <c r="X28" s="187"/>
      <c r="Y28" s="187"/>
      <c r="Z28" s="71">
        <f>IFERROR((Z20-T20)/(Z11-T11),"")</f>
        <v>0.26545660805445265</v>
      </c>
      <c r="AA28" s="187"/>
      <c r="AB28" s="187"/>
      <c r="AC28" s="188"/>
      <c r="AD28" s="187"/>
      <c r="AE28" s="187"/>
      <c r="AF28" s="71">
        <f>IFERROR((AF20-Z20)/(AF11-Z11),"")</f>
        <v>5.7346406150807647E-2</v>
      </c>
      <c r="AG28" s="187"/>
      <c r="AH28" s="187"/>
      <c r="AI28" s="188"/>
      <c r="AJ28" s="187"/>
      <c r="AK28" s="187"/>
      <c r="AL28" s="71">
        <f>IFERROR((AL20-AF20)/(AL11-AF11),"")</f>
        <v>0.1119751166407465</v>
      </c>
      <c r="AM28" s="187"/>
      <c r="AN28" s="187"/>
      <c r="AO28" s="188"/>
      <c r="AP28" s="187"/>
      <c r="AQ28" s="187"/>
      <c r="AR28" s="71">
        <f>IFERROR((AR20-AL20)/(AR11-AL11),"")</f>
        <v>9.9227539011872049E-2</v>
      </c>
      <c r="AS28" s="187"/>
      <c r="AT28" s="187"/>
      <c r="AU28" s="188"/>
      <c r="AV28" s="187"/>
      <c r="AW28" s="187"/>
      <c r="AX28" s="71">
        <f>IFERROR((AX20-AR20)/(AX11-AR11),"")</f>
        <v>0.18799590173699635</v>
      </c>
      <c r="AY28" s="187"/>
      <c r="AZ28" s="187"/>
      <c r="BA28" s="188"/>
      <c r="BB28" s="187"/>
      <c r="BC28" s="187"/>
      <c r="BD28" s="71">
        <f>IFERROR((BD20-AX20)/(BD11-AX11),"")</f>
        <v>9.0699987566828302E-2</v>
      </c>
      <c r="BE28" s="187"/>
      <c r="BF28" s="187"/>
      <c r="BG28" s="188"/>
      <c r="BH28" s="187"/>
      <c r="BI28" s="187"/>
      <c r="BJ28" s="71">
        <f>IFERROR((BJ20-BD20)/(BJ11-BD11),"")</f>
        <v>-0.12839484679665739</v>
      </c>
      <c r="BK28" s="187"/>
      <c r="BL28" s="187"/>
      <c r="BM28" s="188"/>
      <c r="BN28" s="187"/>
      <c r="BO28" s="187"/>
      <c r="BP28" s="71">
        <f>IFERROR((BP20-BJ20)/(BP11-BJ11),"")</f>
        <v>4.7066918974701277E-2</v>
      </c>
      <c r="BQ28" s="369">
        <f>IFERROR((BQ20-BP20)/(BQ11-BP11),"n/a")</f>
        <v>0.14451872316654849</v>
      </c>
      <c r="BR28" s="369">
        <f>IFERROR((BR20-BQ20)/(BR11-BQ11),"n/a")</f>
        <v>0.28728522336769757</v>
      </c>
      <c r="BS28" s="369">
        <f>IFERROR((BS20-BR20)/(BS11-BR11),"n/a")</f>
        <v>0.3427835051546384</v>
      </c>
      <c r="BT28" s="369">
        <f>IFERROR((BT20-BS20)/(BT11-BS11),"n/a")</f>
        <v>0.2335051546391739</v>
      </c>
      <c r="BU28" s="369">
        <f>IFERROR((BU20-BT20)/(BU11-BT11),"n/a")</f>
        <v>0.22422680412371218</v>
      </c>
      <c r="BV28" s="365"/>
      <c r="BW28" s="305"/>
      <c r="BX28" s="451"/>
      <c r="BY28" s="459"/>
      <c r="BZ28" s="459"/>
      <c r="CC28" t="s">
        <v>419</v>
      </c>
      <c r="CD28" s="13">
        <v>7.0000000000000007E-2</v>
      </c>
      <c r="CE28" s="13">
        <v>0.06</v>
      </c>
      <c r="CF28" s="13">
        <v>0.02</v>
      </c>
    </row>
    <row r="29" spans="2:84" x14ac:dyDescent="0.25">
      <c r="B29" s="262" t="s">
        <v>183</v>
      </c>
      <c r="C29" s="16"/>
      <c r="D29" s="16"/>
      <c r="E29" s="16"/>
      <c r="F29" s="16"/>
      <c r="G29" s="16"/>
      <c r="H29" s="267" t="str">
        <f>IFERROR(H20/H15,"")</f>
        <v/>
      </c>
      <c r="I29" s="268">
        <f t="shared" ref="I29:BO29" si="5">IFERROR(I20/I15,"")</f>
        <v>0.22056473095364945</v>
      </c>
      <c r="J29" s="268">
        <f t="shared" si="5"/>
        <v>0.231369150779896</v>
      </c>
      <c r="K29" s="268">
        <f t="shared" si="5"/>
        <v>0.22652329749103942</v>
      </c>
      <c r="L29" s="268">
        <f t="shared" si="5"/>
        <v>0.2948657560056524</v>
      </c>
      <c r="M29" s="268">
        <f t="shared" si="5"/>
        <v>0.28029556650246307</v>
      </c>
      <c r="N29" s="267" t="str">
        <f t="shared" si="5"/>
        <v/>
      </c>
      <c r="O29" s="268" t="str">
        <f t="shared" si="5"/>
        <v/>
      </c>
      <c r="P29" s="268" t="str">
        <f t="shared" si="5"/>
        <v/>
      </c>
      <c r="Q29" s="268" t="str">
        <f t="shared" si="5"/>
        <v/>
      </c>
      <c r="R29" s="268" t="str">
        <f t="shared" si="5"/>
        <v/>
      </c>
      <c r="S29" s="268" t="str">
        <f t="shared" si="5"/>
        <v/>
      </c>
      <c r="T29" s="269">
        <f t="shared" si="5"/>
        <v>0.373956400742115</v>
      </c>
      <c r="U29" s="270" t="str">
        <f t="shared" si="5"/>
        <v/>
      </c>
      <c r="V29" s="270" t="str">
        <f t="shared" si="5"/>
        <v/>
      </c>
      <c r="W29" s="270" t="str">
        <f t="shared" si="5"/>
        <v/>
      </c>
      <c r="X29" s="270" t="str">
        <f t="shared" si="5"/>
        <v/>
      </c>
      <c r="Y29" s="270" t="str">
        <f t="shared" si="5"/>
        <v/>
      </c>
      <c r="Z29" s="269">
        <f t="shared" si="5"/>
        <v>0.40171869901011642</v>
      </c>
      <c r="AA29" s="270" t="str">
        <f t="shared" si="5"/>
        <v/>
      </c>
      <c r="AB29" s="270" t="str">
        <f t="shared" si="5"/>
        <v/>
      </c>
      <c r="AC29" s="270" t="str">
        <f t="shared" si="5"/>
        <v/>
      </c>
      <c r="AD29" s="270" t="str">
        <f t="shared" si="5"/>
        <v/>
      </c>
      <c r="AE29" s="270" t="str">
        <f t="shared" si="5"/>
        <v/>
      </c>
      <c r="AF29" s="269">
        <f t="shared" si="5"/>
        <v>0.35999041303826795</v>
      </c>
      <c r="AG29" s="270">
        <f t="shared" si="5"/>
        <v>0.29161290322580646</v>
      </c>
      <c r="AH29" s="270">
        <f t="shared" si="5"/>
        <v>0.45292730002144543</v>
      </c>
      <c r="AI29" s="270">
        <f t="shared" si="5"/>
        <v>0.37971421878660105</v>
      </c>
      <c r="AJ29" s="270">
        <f t="shared" si="5"/>
        <v>0.46339762956077157</v>
      </c>
      <c r="AK29" s="270">
        <f t="shared" si="5"/>
        <v>0.44001966568338252</v>
      </c>
      <c r="AL29" s="269">
        <f t="shared" si="5"/>
        <v>0.41551836300195161</v>
      </c>
      <c r="AM29" s="270">
        <f t="shared" si="5"/>
        <v>0.49979114452798662</v>
      </c>
      <c r="AN29" s="270">
        <f t="shared" si="5"/>
        <v>0.55289770517308445</v>
      </c>
      <c r="AO29" s="270">
        <f t="shared" si="5"/>
        <v>0.52729103726082582</v>
      </c>
      <c r="AP29" s="270">
        <f t="shared" si="5"/>
        <v>0.55764966740576494</v>
      </c>
      <c r="AQ29" s="270">
        <f t="shared" si="5"/>
        <v>0.53302325581395349</v>
      </c>
      <c r="AR29" s="269">
        <f t="shared" si="5"/>
        <v>0.53717026378896882</v>
      </c>
      <c r="AS29" s="270">
        <f t="shared" si="5"/>
        <v>0.6048396433946972</v>
      </c>
      <c r="AT29" s="270">
        <f t="shared" si="5"/>
        <v>0.64365535248041772</v>
      </c>
      <c r="AU29" s="270">
        <f t="shared" si="5"/>
        <v>0.62524708983088073</v>
      </c>
      <c r="AV29" s="270">
        <f t="shared" si="5"/>
        <v>0.59715380405035579</v>
      </c>
      <c r="AW29" s="270">
        <f t="shared" si="5"/>
        <v>0.5243919197471486</v>
      </c>
      <c r="AX29" s="269">
        <f t="shared" si="5"/>
        <v>0.59663817005545283</v>
      </c>
      <c r="AY29" s="270">
        <f t="shared" si="5"/>
        <v>0.51600967696029598</v>
      </c>
      <c r="AZ29" s="270">
        <f t="shared" si="5"/>
        <v>0.52916790050340534</v>
      </c>
      <c r="BA29" s="270">
        <f t="shared" si="5"/>
        <v>0.52245845729627749</v>
      </c>
      <c r="BB29" s="270">
        <f t="shared" si="5"/>
        <v>0.52839311481469409</v>
      </c>
      <c r="BC29" s="270">
        <f t="shared" si="5"/>
        <v>0.48202040474995816</v>
      </c>
      <c r="BD29" s="269">
        <f t="shared" si="5"/>
        <v>0.51455525606468999</v>
      </c>
      <c r="BE29" s="270">
        <f t="shared" si="5"/>
        <v>0.4558389727572445</v>
      </c>
      <c r="BF29" s="270">
        <f t="shared" si="5"/>
        <v>0.47727272727272729</v>
      </c>
      <c r="BG29" s="270">
        <f t="shared" si="5"/>
        <v>0.4668356569497254</v>
      </c>
      <c r="BH29" s="270">
        <f t="shared" si="5"/>
        <v>0.50480024775472288</v>
      </c>
      <c r="BI29" s="270">
        <f t="shared" si="5"/>
        <v>0.48273179838207841</v>
      </c>
      <c r="BJ29" s="269">
        <f t="shared" si="5"/>
        <v>0.48088669552202579</v>
      </c>
      <c r="BK29" s="270">
        <f t="shared" si="5"/>
        <v>0.46273340655892042</v>
      </c>
      <c r="BL29" s="270">
        <f t="shared" si="5"/>
        <v>0.40784822059863302</v>
      </c>
      <c r="BM29" s="270">
        <f t="shared" si="5"/>
        <v>0.43138838414428965</v>
      </c>
      <c r="BN29" s="270">
        <f t="shared" si="5"/>
        <v>0.38558951965065502</v>
      </c>
      <c r="BO29" s="270" t="str">
        <f t="shared" si="5"/>
        <v/>
      </c>
      <c r="BP29" s="269">
        <f t="shared" ref="BP29:BU29" si="6">IFERROR(BP20/BP15,"")</f>
        <v>0.41392231150338793</v>
      </c>
      <c r="BQ29" s="270">
        <f t="shared" si="6"/>
        <v>0.41632653061224495</v>
      </c>
      <c r="BR29" s="270">
        <f t="shared" si="6"/>
        <v>0.44800000000000012</v>
      </c>
      <c r="BS29" s="270">
        <f t="shared" si="6"/>
        <v>0.48039215686274517</v>
      </c>
      <c r="BT29" s="270">
        <f t="shared" si="6"/>
        <v>0.49607843137254892</v>
      </c>
      <c r="BU29" s="270">
        <f t="shared" si="6"/>
        <v>0.50980392156862753</v>
      </c>
      <c r="BV29" s="400" t="s">
        <v>286</v>
      </c>
      <c r="BW29" s="289"/>
      <c r="BX29" s="450">
        <f>IFERROR(AVERAGE(BQ29,BR29,BS29,BT29,BU29),"n/m")</f>
        <v>0.47012020808323329</v>
      </c>
      <c r="BY29" s="265">
        <f>IFERROR(AVERAGE(AR29,AX29,BD29,BJ29,BP29),"n/m")</f>
        <v>0.50863453938690506</v>
      </c>
      <c r="BZ29" s="265">
        <f>IFERROR(AVERAGE(N29,T29,Z29,AF29,AL29,AR29,AX29,BD29,BJ29,BP29),"n/m")</f>
        <v>0.45492850808077517</v>
      </c>
      <c r="CC29" t="s">
        <v>420</v>
      </c>
      <c r="CD29" s="13">
        <v>0.06</v>
      </c>
      <c r="CE29" s="13">
        <v>0.05</v>
      </c>
      <c r="CF29" s="13">
        <v>0.02</v>
      </c>
    </row>
    <row r="30" spans="2:84" x14ac:dyDescent="0.25">
      <c r="B30" s="223" t="s">
        <v>253</v>
      </c>
      <c r="C30" s="224"/>
      <c r="D30" s="224"/>
      <c r="E30" s="224"/>
      <c r="F30" s="224"/>
      <c r="G30" s="224"/>
      <c r="H30" s="334"/>
      <c r="I30" s="335"/>
      <c r="J30" s="335"/>
      <c r="K30" s="335"/>
      <c r="L30" s="335"/>
      <c r="M30" s="335"/>
      <c r="N30" s="334"/>
      <c r="O30" s="335"/>
      <c r="P30" s="335"/>
      <c r="Q30" s="335"/>
      <c r="R30" s="335"/>
      <c r="S30" s="335"/>
      <c r="T30" s="336"/>
      <c r="U30" s="337"/>
      <c r="V30" s="337"/>
      <c r="W30" s="337"/>
      <c r="X30" s="337"/>
      <c r="Y30" s="337"/>
      <c r="Z30" s="336"/>
      <c r="AA30" s="337"/>
      <c r="AB30" s="337"/>
      <c r="AC30" s="337"/>
      <c r="AD30" s="337"/>
      <c r="AE30" s="337"/>
      <c r="AF30" s="336"/>
      <c r="AG30" s="337"/>
      <c r="AH30" s="337"/>
      <c r="AI30" s="337"/>
      <c r="AJ30" s="337"/>
      <c r="AK30" s="337"/>
      <c r="AL30" s="336"/>
      <c r="AM30" s="337"/>
      <c r="AN30" s="337"/>
      <c r="AO30" s="337"/>
      <c r="AP30" s="337"/>
      <c r="AQ30" s="337"/>
      <c r="AR30" s="336"/>
      <c r="AS30" s="337"/>
      <c r="AT30" s="337"/>
      <c r="AU30" s="337"/>
      <c r="AV30" s="337"/>
      <c r="AW30" s="337"/>
      <c r="AX30" s="336"/>
      <c r="AY30" s="337"/>
      <c r="AZ30" s="337"/>
      <c r="BA30" s="337"/>
      <c r="BB30" s="337"/>
      <c r="BC30" s="337"/>
      <c r="BD30" s="336"/>
      <c r="BE30" s="337"/>
      <c r="BF30" s="337"/>
      <c r="BG30" s="337"/>
      <c r="BH30" s="337"/>
      <c r="BI30" s="337"/>
      <c r="BJ30" s="336"/>
      <c r="BK30" s="337"/>
      <c r="BL30" s="337"/>
      <c r="BM30" s="337"/>
      <c r="BN30" s="337"/>
      <c r="BO30" s="337"/>
      <c r="BP30" s="336"/>
      <c r="BQ30" s="337"/>
      <c r="BR30" s="337"/>
      <c r="BS30" s="337"/>
      <c r="BT30" s="337"/>
      <c r="BU30" s="337"/>
      <c r="BV30" s="365"/>
      <c r="BW30" s="305"/>
      <c r="BX30" s="451"/>
      <c r="BY30" s="60"/>
      <c r="BZ30" s="60"/>
      <c r="CC30" t="s">
        <v>421</v>
      </c>
      <c r="CD30" s="13">
        <v>0.06</v>
      </c>
      <c r="CE30" s="13">
        <v>0.05</v>
      </c>
      <c r="CF30" s="13">
        <v>0.02</v>
      </c>
    </row>
    <row r="31" spans="2:84" x14ac:dyDescent="0.25">
      <c r="B31" s="305" t="s">
        <v>254</v>
      </c>
      <c r="C31" s="16"/>
      <c r="D31" s="16"/>
      <c r="E31" s="16"/>
      <c r="F31" s="16"/>
      <c r="G31" s="16"/>
      <c r="H31" s="339"/>
      <c r="I31" s="340"/>
      <c r="J31" s="340"/>
      <c r="K31" s="340"/>
      <c r="L31" s="340"/>
      <c r="M31" s="340"/>
      <c r="N31" s="339"/>
      <c r="O31" s="340"/>
      <c r="P31" s="340"/>
      <c r="Q31" s="340"/>
      <c r="R31" s="340"/>
      <c r="S31" s="340"/>
      <c r="T31" s="339"/>
      <c r="U31" s="340"/>
      <c r="V31" s="340"/>
      <c r="W31" s="340"/>
      <c r="X31" s="340"/>
      <c r="Y31" s="340"/>
      <c r="Z31" s="339">
        <v>1442</v>
      </c>
      <c r="AA31" s="340"/>
      <c r="AB31" s="340"/>
      <c r="AC31" s="340"/>
      <c r="AD31" s="340"/>
      <c r="AE31" s="340"/>
      <c r="AF31" s="339">
        <v>1907</v>
      </c>
      <c r="AG31" s="340"/>
      <c r="AH31" s="340"/>
      <c r="AI31" s="340"/>
      <c r="AJ31" s="340"/>
      <c r="AK31" s="340"/>
      <c r="AL31" s="339">
        <v>2205</v>
      </c>
      <c r="AM31" s="340"/>
      <c r="AN31" s="340"/>
      <c r="AO31" s="340"/>
      <c r="AP31" s="340"/>
      <c r="AQ31" s="340"/>
      <c r="AR31" s="339">
        <v>2494</v>
      </c>
      <c r="AS31" s="340"/>
      <c r="AT31" s="340"/>
      <c r="AU31" s="340"/>
      <c r="AV31" s="340"/>
      <c r="AW31" s="340"/>
      <c r="AX31" s="339">
        <v>2665</v>
      </c>
      <c r="AY31" s="340"/>
      <c r="AZ31" s="340"/>
      <c r="BA31" s="340"/>
      <c r="BB31" s="340"/>
      <c r="BC31" s="340"/>
      <c r="BD31" s="339">
        <v>2519</v>
      </c>
      <c r="BE31" s="340"/>
      <c r="BF31" s="340"/>
      <c r="BG31" s="340"/>
      <c r="BH31" s="340"/>
      <c r="BI31" s="340"/>
      <c r="BJ31" s="339">
        <v>2686</v>
      </c>
      <c r="BK31" s="340"/>
      <c r="BL31" s="340"/>
      <c r="BM31" s="340"/>
      <c r="BN31" s="340"/>
      <c r="BO31" s="340"/>
      <c r="BP31" s="339">
        <v>3695</v>
      </c>
      <c r="BQ31" s="500">
        <f>BP31*(1+CHOOSE(MATCH($BV$2,{"Bull","Base","Bear"},0),CD68,CE68,CF68))</f>
        <v>4249.25</v>
      </c>
      <c r="BR31" s="500">
        <f>BQ31*(1+CHOOSE(MATCH($BV$2,{"Bull","Base","Bear"},0),CD69,CE69,CF69))</f>
        <v>4355.4812499999998</v>
      </c>
      <c r="BS31" s="500">
        <f>BR31*(1+CHOOSE(MATCH($BV$2,{"Bull","Base","Bear"},0),CD70,CE70,CF70))</f>
        <v>4464.3682812499992</v>
      </c>
      <c r="BT31" s="500">
        <f>BS31*(1+CHOOSE(MATCH($BV$2,{"Bull","Base","Bear"},0),CD71,CE71,CF71))</f>
        <v>4575.977488281249</v>
      </c>
      <c r="BU31" s="500">
        <f>BT31*(1+CHOOSE(MATCH($BV$2,{"Bull","Base","Bear"},0),CD72,CE72,CF72))</f>
        <v>4690.37692548828</v>
      </c>
      <c r="BV31" s="365"/>
      <c r="BW31" s="305"/>
      <c r="BX31" s="451"/>
      <c r="BY31" s="60"/>
      <c r="BZ31" s="60"/>
      <c r="CD31" s="13"/>
      <c r="CE31" s="13"/>
      <c r="CF31" s="13"/>
    </row>
    <row r="32" spans="2:84" x14ac:dyDescent="0.25">
      <c r="B32" s="305" t="s">
        <v>255</v>
      </c>
      <c r="C32" s="16"/>
      <c r="D32" s="16"/>
      <c r="E32" s="16"/>
      <c r="F32" s="16"/>
      <c r="G32" s="16"/>
      <c r="H32" s="339"/>
      <c r="I32" s="340"/>
      <c r="J32" s="340"/>
      <c r="K32" s="340"/>
      <c r="L32" s="340"/>
      <c r="M32" s="340"/>
      <c r="N32" s="339"/>
      <c r="O32" s="340"/>
      <c r="P32" s="340"/>
      <c r="Q32" s="340"/>
      <c r="R32" s="340"/>
      <c r="S32" s="340"/>
      <c r="T32" s="339"/>
      <c r="U32" s="340"/>
      <c r="V32" s="340"/>
      <c r="W32" s="340"/>
      <c r="X32" s="340"/>
      <c r="Y32" s="340"/>
      <c r="Z32" s="339">
        <v>689</v>
      </c>
      <c r="AA32" s="340"/>
      <c r="AB32" s="340"/>
      <c r="AC32" s="340"/>
      <c r="AD32" s="340"/>
      <c r="AE32" s="340"/>
      <c r="AF32" s="339">
        <v>1071</v>
      </c>
      <c r="AG32" s="340"/>
      <c r="AH32" s="340"/>
      <c r="AI32" s="340"/>
      <c r="AJ32" s="340"/>
      <c r="AK32" s="340"/>
      <c r="AL32" s="339">
        <v>1272</v>
      </c>
      <c r="AM32" s="340"/>
      <c r="AN32" s="340"/>
      <c r="AO32" s="340"/>
      <c r="AP32" s="340"/>
      <c r="AQ32" s="340"/>
      <c r="AR32" s="339">
        <v>1511</v>
      </c>
      <c r="AS32" s="340"/>
      <c r="AT32" s="340"/>
      <c r="AU32" s="340"/>
      <c r="AV32" s="340"/>
      <c r="AW32" s="340"/>
      <c r="AX32" s="339">
        <v>1558</v>
      </c>
      <c r="AY32" s="340"/>
      <c r="AZ32" s="340"/>
      <c r="BA32" s="340"/>
      <c r="BB32" s="340"/>
      <c r="BC32" s="340"/>
      <c r="BD32" s="339">
        <v>1306</v>
      </c>
      <c r="BE32" s="340"/>
      <c r="BF32" s="340"/>
      <c r="BG32" s="340"/>
      <c r="BH32" s="340"/>
      <c r="BI32" s="340"/>
      <c r="BJ32" s="339">
        <v>1398</v>
      </c>
      <c r="BK32" s="340"/>
      <c r="BL32" s="340"/>
      <c r="BM32" s="340"/>
      <c r="BN32" s="340"/>
      <c r="BO32" s="340"/>
      <c r="BP32" s="339">
        <v>2013</v>
      </c>
      <c r="BQ32" s="500">
        <f>BP32*(1+CHOOSE(MATCH($BV$2,{"Bull","Base","Bear"},0),CD82,CE82,CF82))</f>
        <v>2314.9499999999998</v>
      </c>
      <c r="BR32" s="500">
        <f>BQ32*(1+CHOOSE(MATCH($BV$2,{"Bull","Base","Bear"},0),CD83,CE83,CF83))</f>
        <v>2384.3984999999998</v>
      </c>
      <c r="BS32" s="500">
        <f>BR32*(1+CHOOSE(MATCH($BV$2,{"Bull","Base","Bear"},0),CD84,CE84,CF84))</f>
        <v>2455.9304549999997</v>
      </c>
      <c r="BT32" s="500">
        <f>BS32*(1+CHOOSE(MATCH($BV$2,{"Bull","Base","Bear"},0),CD85,CE85,CF85))</f>
        <v>2529.6083686499996</v>
      </c>
      <c r="BU32" s="500">
        <f>BT32*(1+CHOOSE(MATCH($BV$2,{"Bull","Base","Bear"},0),CD86,CE86,CF86))</f>
        <v>2605.4966197094996</v>
      </c>
      <c r="BV32" s="365"/>
      <c r="BW32" s="305"/>
      <c r="BX32" s="451"/>
      <c r="BY32" s="60"/>
      <c r="BZ32" s="60"/>
      <c r="CC32" s="148" t="s">
        <v>424</v>
      </c>
      <c r="CD32" s="13"/>
      <c r="CE32" s="13"/>
      <c r="CF32" s="13"/>
    </row>
    <row r="33" spans="2:84" x14ac:dyDescent="0.25">
      <c r="B33" s="305" t="s">
        <v>433</v>
      </c>
      <c r="C33" s="16"/>
      <c r="D33" s="16"/>
      <c r="E33" s="16"/>
      <c r="F33" s="16"/>
      <c r="G33" s="16"/>
      <c r="H33" s="314" t="str">
        <f>IFERROR(H13*1000/(H31+H32),"n/a")</f>
        <v>n/a</v>
      </c>
      <c r="I33" s="291"/>
      <c r="J33" s="291"/>
      <c r="K33" s="291"/>
      <c r="L33" s="291"/>
      <c r="M33" s="291"/>
      <c r="N33" s="314" t="str">
        <f>IFERROR(N13*1000/(N31+N32),"n/a")</f>
        <v>n/a</v>
      </c>
      <c r="O33" s="291"/>
      <c r="P33" s="291"/>
      <c r="Q33" s="291"/>
      <c r="R33" s="291"/>
      <c r="S33" s="291"/>
      <c r="T33" s="314" t="str">
        <f>IFERROR(T13*1000/(T31+T32),"n/a")</f>
        <v>n/a</v>
      </c>
      <c r="U33" s="291"/>
      <c r="V33" s="291"/>
      <c r="W33" s="291"/>
      <c r="X33" s="291"/>
      <c r="Y33" s="291"/>
      <c r="Z33" s="314">
        <f>IFERROR(Z13*1000/(Z31+Z32),"n/a")</f>
        <v>17349.601126231817</v>
      </c>
      <c r="AA33" s="291"/>
      <c r="AB33" s="291"/>
      <c r="AC33" s="291"/>
      <c r="AD33" s="291"/>
      <c r="AE33" s="291"/>
      <c r="AF33" s="314">
        <f>IFERROR(AF13*1000/(AF31+AF32),"n/a")</f>
        <v>17176.292813969107</v>
      </c>
      <c r="AG33" s="291"/>
      <c r="AH33" s="291"/>
      <c r="AI33" s="291"/>
      <c r="AJ33" s="291"/>
      <c r="AK33" s="291"/>
      <c r="AL33" s="314">
        <f>IFERROR(AL13*1000/(AL31+AL32),"n/a")</f>
        <v>21193.270060396895</v>
      </c>
      <c r="AM33" s="291"/>
      <c r="AN33" s="291"/>
      <c r="AO33" s="291"/>
      <c r="AP33" s="291"/>
      <c r="AQ33" s="291"/>
      <c r="AR33" s="314">
        <f>IFERROR(AR13*1000/(AR31+AR32),"n/a")</f>
        <v>32934.082397003745</v>
      </c>
      <c r="AS33" s="291"/>
      <c r="AT33" s="291"/>
      <c r="AU33" s="291"/>
      <c r="AV33" s="291"/>
      <c r="AW33" s="291"/>
      <c r="AX33" s="314">
        <f>IFERROR(AX13*1000/(AX31+AX32),"n/a")</f>
        <v>41304.996448022735</v>
      </c>
      <c r="AY33" s="291"/>
      <c r="AZ33" s="291"/>
      <c r="BA33" s="291"/>
      <c r="BB33" s="291"/>
      <c r="BC33" s="291"/>
      <c r="BD33" s="314">
        <f>IFERROR(BD13*1000/(BD31+BD32),"n/a")</f>
        <v>24306.405228758169</v>
      </c>
      <c r="BE33" s="291"/>
      <c r="BF33" s="291"/>
      <c r="BG33" s="291"/>
      <c r="BH33" s="291"/>
      <c r="BI33" s="291"/>
      <c r="BJ33" s="314">
        <f>IFERROR(BJ13*1000/(BJ31+BJ32),"n/a")</f>
        <v>25586.679725759059</v>
      </c>
      <c r="BK33" s="291"/>
      <c r="BL33" s="291"/>
      <c r="BM33" s="291"/>
      <c r="BN33" s="291"/>
      <c r="BO33" s="291"/>
      <c r="BP33" s="480">
        <v>16738</v>
      </c>
      <c r="BQ33" s="479">
        <f>BP33*(1+CHOOSE(MATCH($BV$2,{"Bull","Base","Bear"},0),CD75,CE75,CF75))</f>
        <v>16235.859999999999</v>
      </c>
      <c r="BR33" s="479">
        <f>BQ33*(1+CHOOSE(MATCH($BV$2,{"Bull","Base","Bear"},0),CD76,CE76,CF76))</f>
        <v>16073.501399999999</v>
      </c>
      <c r="BS33" s="479">
        <f>BR33*(1+CHOOSE(MATCH($BV$2,{"Bull","Base","Bear"},0),CD77,CE77,CF77))</f>
        <v>16073.501399999999</v>
      </c>
      <c r="BT33" s="479">
        <f>BS33*(1+CHOOSE(MATCH($BV$2,{"Bull","Base","Bear"},0),CD78,CE78,CF78))</f>
        <v>16073.501399999999</v>
      </c>
      <c r="BU33" s="479">
        <f>BT33*(1+CHOOSE(MATCH($BV$2,{"Bull","Base","Bear"},0),CD79,CE79,CF79))</f>
        <v>16073.501399999999</v>
      </c>
      <c r="BV33" s="365"/>
      <c r="BW33" s="305"/>
      <c r="BX33" s="451"/>
      <c r="BY33" s="60"/>
      <c r="BZ33" s="60"/>
      <c r="CC33" t="s">
        <v>417</v>
      </c>
      <c r="CD33" s="13">
        <v>0.48</v>
      </c>
      <c r="CE33" s="13">
        <v>0.45</v>
      </c>
      <c r="CF33" s="13">
        <v>0.42</v>
      </c>
    </row>
    <row r="34" spans="2:84" x14ac:dyDescent="0.25">
      <c r="B34" s="305" t="s">
        <v>434</v>
      </c>
      <c r="C34" s="16"/>
      <c r="D34" s="16"/>
      <c r="E34" s="16"/>
      <c r="F34" s="16"/>
      <c r="G34" s="16"/>
      <c r="H34" s="314" t="str">
        <f>IFERROR(H15*1000/(H31+H32),"n/a")</f>
        <v>n/a</v>
      </c>
      <c r="I34" s="291"/>
      <c r="J34" s="291"/>
      <c r="K34" s="291"/>
      <c r="L34" s="291"/>
      <c r="M34" s="291"/>
      <c r="N34" s="314" t="str">
        <f>IFERROR(N15*1000/(N31+N32),"n/a")</f>
        <v>n/a</v>
      </c>
      <c r="O34" s="291"/>
      <c r="P34" s="291"/>
      <c r="Q34" s="291"/>
      <c r="R34" s="291"/>
      <c r="S34" s="291"/>
      <c r="T34" s="314" t="str">
        <f>IFERROR(T15*1000/(T31+T32),"n/a")</f>
        <v>n/a</v>
      </c>
      <c r="U34" s="291"/>
      <c r="V34" s="291"/>
      <c r="W34" s="291"/>
      <c r="X34" s="291"/>
      <c r="Y34" s="291"/>
      <c r="Z34" s="314">
        <f>IFERROR(Z15*1000/(Z31+Z32),"n/a")</f>
        <v>4313.9371187236038</v>
      </c>
      <c r="AA34" s="291"/>
      <c r="AB34" s="291"/>
      <c r="AC34" s="291"/>
      <c r="AD34" s="291"/>
      <c r="AE34" s="291"/>
      <c r="AF34" s="314">
        <f>IFERROR(AF15*1000/(AF31+AF32),"n/a")</f>
        <v>4203.1564808596377</v>
      </c>
      <c r="AG34" s="291"/>
      <c r="AH34" s="291"/>
      <c r="AI34" s="291"/>
      <c r="AJ34" s="291"/>
      <c r="AK34" s="291"/>
      <c r="AL34" s="314">
        <f>IFERROR(AL15*1000/(AL31+AL32),"n/a")</f>
        <v>4863.1003738855334</v>
      </c>
      <c r="AM34" s="291"/>
      <c r="AN34" s="291"/>
      <c r="AO34" s="291"/>
      <c r="AP34" s="291"/>
      <c r="AQ34" s="291"/>
      <c r="AR34" s="314">
        <f>IFERROR(AR15*1000/(AR31+AR32),"n/a")</f>
        <v>5934.8314606741569</v>
      </c>
      <c r="AS34" s="291"/>
      <c r="AT34" s="291"/>
      <c r="AU34" s="291"/>
      <c r="AV34" s="291"/>
      <c r="AW34" s="291"/>
      <c r="AX34" s="314">
        <f>IFERROR(AX15*1000/(AX31+AX32),"n/a")</f>
        <v>8198.9107269713477</v>
      </c>
      <c r="AY34" s="291"/>
      <c r="AZ34" s="291"/>
      <c r="BA34" s="291"/>
      <c r="BB34" s="291"/>
      <c r="BC34" s="291"/>
      <c r="BD34" s="314">
        <f>IFERROR(BD15*1000/(BD31+BD32),"n/a")</f>
        <v>6789.5424836601305</v>
      </c>
      <c r="BE34" s="291"/>
      <c r="BF34" s="291"/>
      <c r="BG34" s="291"/>
      <c r="BH34" s="291"/>
      <c r="BI34" s="291"/>
      <c r="BJ34" s="314">
        <f>IFERROR(BJ15*1000/(BJ31+BJ32),"n/a")</f>
        <v>6053.134182174339</v>
      </c>
      <c r="BK34" s="291"/>
      <c r="BL34" s="291"/>
      <c r="BM34" s="291"/>
      <c r="BN34" s="291"/>
      <c r="BO34" s="291"/>
      <c r="BP34" s="480">
        <v>38620</v>
      </c>
      <c r="BQ34" s="479">
        <f>BP34*(1+CHOOSE(MATCH($BV$2,{"Bull","Base","Bear"},0),CD89,CE89,CF89))</f>
        <v>37847.599999999999</v>
      </c>
      <c r="BR34" s="479">
        <f>BQ34*(1+CHOOSE(MATCH($BV$2,{"Bull","Base","Bear"},0),CD90,CE90,CF90))</f>
        <v>37847.599999999999</v>
      </c>
      <c r="BS34" s="479">
        <f>BR34*(1+CHOOSE(MATCH($BV$2,{"Bull","Base","Bear"},0),CD91,CE91,CF91))</f>
        <v>38226.076000000001</v>
      </c>
      <c r="BT34" s="479">
        <f>BS34*(1+CHOOSE(MATCH($BV$2,{"Bull","Base","Bear"},0),CD92,CE92,CF92))</f>
        <v>38608.336759999998</v>
      </c>
      <c r="BU34" s="479">
        <f>BT34*(1+CHOOSE(MATCH($BV$2,{"Bull","Base","Bear"},0),CD93,CE93,CF93))</f>
        <v>38994.420127600002</v>
      </c>
      <c r="BV34" s="365"/>
      <c r="BW34" s="305"/>
      <c r="BX34" s="451"/>
      <c r="BY34" s="60"/>
      <c r="BZ34" s="60"/>
      <c r="CC34" t="s">
        <v>418</v>
      </c>
      <c r="CD34" s="13">
        <v>0.53</v>
      </c>
      <c r="CE34" s="13">
        <v>0.5</v>
      </c>
      <c r="CF34" s="13">
        <v>0.45</v>
      </c>
    </row>
    <row r="35" spans="2:84" x14ac:dyDescent="0.25">
      <c r="B35" s="305" t="s">
        <v>435</v>
      </c>
      <c r="C35" s="16"/>
      <c r="D35" s="16"/>
      <c r="E35" s="16"/>
      <c r="F35" s="16"/>
      <c r="G35" s="16"/>
      <c r="H35" s="314" t="str">
        <f>IFERROR(H20*1000/(H31+H32),"n/a")</f>
        <v>n/a</v>
      </c>
      <c r="I35" s="291"/>
      <c r="J35" s="291"/>
      <c r="K35" s="291"/>
      <c r="L35" s="291"/>
      <c r="M35" s="291"/>
      <c r="N35" s="314" t="str">
        <f>IFERROR(N20*1000/(N31+N32),"n/a")</f>
        <v>n/a</v>
      </c>
      <c r="O35" s="291"/>
      <c r="P35" s="291"/>
      <c r="Q35" s="291"/>
      <c r="R35" s="291"/>
      <c r="S35" s="291"/>
      <c r="T35" s="314" t="str">
        <f>IFERROR(T20*1000/(T31+T32),"n/a")</f>
        <v>n/a</v>
      </c>
      <c r="U35" s="291"/>
      <c r="V35" s="291"/>
      <c r="W35" s="291"/>
      <c r="X35" s="291"/>
      <c r="Y35" s="291"/>
      <c r="Z35" s="314">
        <f>IFERROR(Z20*1000/(Z31+Z32),"n/a")</f>
        <v>1732.9892069450962</v>
      </c>
      <c r="AA35" s="291"/>
      <c r="AB35" s="291"/>
      <c r="AC35" s="291"/>
      <c r="AD35" s="291"/>
      <c r="AE35" s="291"/>
      <c r="AF35" s="314">
        <f>IFERROR(AF20*1000/(AF31+AF32),"n/a")</f>
        <v>1513.0960376091336</v>
      </c>
      <c r="AG35" s="291"/>
      <c r="AH35" s="291"/>
      <c r="AI35" s="291"/>
      <c r="AJ35" s="291"/>
      <c r="AK35" s="291"/>
      <c r="AL35" s="314">
        <f>IFERROR(AL20*1000/(AL31+AL32),"n/a")</f>
        <v>2020.7075064710957</v>
      </c>
      <c r="AM35" s="291"/>
      <c r="AN35" s="291"/>
      <c r="AO35" s="291"/>
      <c r="AP35" s="291"/>
      <c r="AQ35" s="291"/>
      <c r="AR35" s="314">
        <f>IFERROR(AR20*1000/(AR31+AR32),"n/a")</f>
        <v>3188.0149812734085</v>
      </c>
      <c r="AS35" s="291"/>
      <c r="AT35" s="291"/>
      <c r="AU35" s="291"/>
      <c r="AV35" s="291"/>
      <c r="AW35" s="291"/>
      <c r="AX35" s="314">
        <f>IFERROR(AX20*1000/(AX31+AX32),"n/a")</f>
        <v>4891.7830925882072</v>
      </c>
      <c r="AY35" s="291"/>
      <c r="AZ35" s="291"/>
      <c r="BA35" s="291"/>
      <c r="BB35" s="291"/>
      <c r="BC35" s="291"/>
      <c r="BD35" s="314">
        <f>IFERROR(BD20*1000/(BD31+BD32),"n/a")</f>
        <v>3493.5947712418301</v>
      </c>
      <c r="BE35" s="291"/>
      <c r="BF35" s="291"/>
      <c r="BG35" s="291"/>
      <c r="BH35" s="291"/>
      <c r="BI35" s="291"/>
      <c r="BJ35" s="314">
        <f>IFERROR(BJ20*1000/(BJ31+BJ32),"n/a")</f>
        <v>2910.8716944172379</v>
      </c>
      <c r="BK35" s="291"/>
      <c r="BL35" s="291"/>
      <c r="BM35" s="291"/>
      <c r="BN35" s="291"/>
      <c r="BO35" s="291"/>
      <c r="BP35" s="314">
        <f t="shared" ref="BP35:BU35" si="7">BP31*BP33/1000+BP32*BP34/1000</f>
        <v>139588.97</v>
      </c>
      <c r="BQ35" s="371">
        <f t="shared" si="7"/>
        <v>156605.52972499997</v>
      </c>
      <c r="BR35" s="371">
        <f t="shared" si="7"/>
        <v>160251.59463814873</v>
      </c>
      <c r="BS35" s="371">
        <f t="shared" si="7"/>
        <v>165638.61404233205</v>
      </c>
      <c r="BT35" s="371">
        <f t="shared" si="7"/>
        <v>171215.95233201055</v>
      </c>
      <c r="BU35" s="371">
        <f t="shared" si="7"/>
        <v>176990.60990835744</v>
      </c>
      <c r="BV35" s="365"/>
      <c r="BW35" s="305"/>
      <c r="BX35" s="451"/>
      <c r="BY35" s="60"/>
      <c r="BZ35" s="60"/>
      <c r="CC35" t="s">
        <v>419</v>
      </c>
      <c r="CD35" s="13">
        <v>0.56000000000000005</v>
      </c>
      <c r="CE35" s="13">
        <v>0.53</v>
      </c>
      <c r="CF35" s="13">
        <v>0.48</v>
      </c>
    </row>
    <row r="36" spans="2:84" x14ac:dyDescent="0.25">
      <c r="B36" s="149" t="s">
        <v>274</v>
      </c>
      <c r="C36" s="261"/>
      <c r="D36" s="261"/>
      <c r="E36" s="261"/>
      <c r="F36" s="261"/>
      <c r="G36" s="261"/>
      <c r="H36" s="386"/>
      <c r="I36" s="338"/>
      <c r="J36" s="338"/>
      <c r="K36" s="338"/>
      <c r="L36" s="338"/>
      <c r="M36" s="338"/>
      <c r="N36" s="386"/>
      <c r="O36" s="338"/>
      <c r="P36" s="338"/>
      <c r="Q36" s="338"/>
      <c r="R36" s="338"/>
      <c r="S36" s="338"/>
      <c r="T36" s="386"/>
      <c r="U36" s="338"/>
      <c r="V36" s="338"/>
      <c r="W36" s="338"/>
      <c r="X36" s="338"/>
      <c r="Y36" s="338"/>
      <c r="Z36" s="386"/>
      <c r="AA36" s="338"/>
      <c r="AB36" s="338"/>
      <c r="AC36" s="338"/>
      <c r="AD36" s="338"/>
      <c r="AE36" s="338"/>
      <c r="AF36" s="386"/>
      <c r="AG36" s="338"/>
      <c r="AH36" s="338"/>
      <c r="AI36" s="338"/>
      <c r="AJ36" s="338"/>
      <c r="AK36" s="338"/>
      <c r="AL36" s="386"/>
      <c r="AM36" s="338"/>
      <c r="AN36" s="338"/>
      <c r="AO36" s="338"/>
      <c r="AP36" s="338"/>
      <c r="AQ36" s="338"/>
      <c r="AR36" s="386"/>
      <c r="AS36" s="338"/>
      <c r="AT36" s="338"/>
      <c r="AU36" s="338"/>
      <c r="AV36" s="338"/>
      <c r="AW36" s="338"/>
      <c r="AX36" s="386"/>
      <c r="AY36" s="338"/>
      <c r="AZ36" s="338"/>
      <c r="BA36" s="338"/>
      <c r="BB36" s="338"/>
      <c r="BC36" s="338"/>
      <c r="BD36" s="386"/>
      <c r="BE36" s="338"/>
      <c r="BF36" s="338"/>
      <c r="BG36" s="338"/>
      <c r="BH36" s="338"/>
      <c r="BI36" s="338"/>
      <c r="BJ36" s="386"/>
      <c r="BK36" s="338"/>
      <c r="BL36" s="338"/>
      <c r="BM36" s="338"/>
      <c r="BN36" s="338"/>
      <c r="BO36" s="338"/>
      <c r="BP36" s="386"/>
      <c r="BQ36" s="338"/>
      <c r="BR36" s="338"/>
      <c r="BS36" s="338"/>
      <c r="BT36" s="338"/>
      <c r="BU36" s="338"/>
      <c r="BV36" s="401" t="s">
        <v>287</v>
      </c>
      <c r="BW36" s="289"/>
      <c r="BX36" s="452"/>
      <c r="BY36" s="60"/>
      <c r="BZ36" s="60"/>
      <c r="CC36" t="s">
        <v>420</v>
      </c>
      <c r="CD36" s="13">
        <v>0.57999999999999996</v>
      </c>
      <c r="CE36" s="13">
        <v>0.54</v>
      </c>
      <c r="CF36" s="13">
        <v>0.5</v>
      </c>
    </row>
    <row r="37" spans="2:84" x14ac:dyDescent="0.25">
      <c r="B37" s="305" t="s">
        <v>275</v>
      </c>
      <c r="C37" s="16"/>
      <c r="D37" s="16"/>
      <c r="E37" s="16"/>
      <c r="F37" s="16"/>
      <c r="G37" s="16"/>
      <c r="H37" s="387">
        <f>IFERROR(H12/H11,"n/a")</f>
        <v>-1.8814848973945125E-2</v>
      </c>
      <c r="I37" s="388"/>
      <c r="J37" s="388"/>
      <c r="K37" s="388"/>
      <c r="L37" s="388"/>
      <c r="M37" s="388"/>
      <c r="N37" s="387">
        <f>IFERROR(N12/N11,"n/a")</f>
        <v>-2.2305295950155762E-2</v>
      </c>
      <c r="O37" s="388"/>
      <c r="P37" s="388"/>
      <c r="Q37" s="388"/>
      <c r="R37" s="388"/>
      <c r="S37" s="388"/>
      <c r="T37" s="387">
        <f>IFERROR(T12/T11,"n/a")</f>
        <v>1.7839072483881228E-2</v>
      </c>
      <c r="U37" s="388"/>
      <c r="V37" s="388"/>
      <c r="W37" s="388"/>
      <c r="X37" s="388"/>
      <c r="Y37" s="388"/>
      <c r="Z37" s="387">
        <f>IFERROR(Z12/Z11,"n/a")</f>
        <v>1.7111416781292986E-2</v>
      </c>
      <c r="AA37" s="388"/>
      <c r="AB37" s="388"/>
      <c r="AC37" s="388"/>
      <c r="AD37" s="388"/>
      <c r="AE37" s="388"/>
      <c r="AF37" s="387">
        <f>IFERROR(AF12/AF11,"n/a")</f>
        <v>1.2349832762681338E-2</v>
      </c>
      <c r="AG37" s="388"/>
      <c r="AH37" s="388"/>
      <c r="AI37" s="388"/>
      <c r="AJ37" s="388"/>
      <c r="AK37" s="388"/>
      <c r="AL37" s="387">
        <f>IFERROR(AL12/AL11,"n/a")</f>
        <v>8.9960565231679262E-3</v>
      </c>
      <c r="AM37" s="388"/>
      <c r="AN37" s="388"/>
      <c r="AO37" s="388"/>
      <c r="AP37" s="388"/>
      <c r="AQ37" s="388"/>
      <c r="AR37" s="387">
        <f>IFERROR(AR12/AR11,"n/a")</f>
        <v>7.654756720830564E-3</v>
      </c>
      <c r="AS37" s="388"/>
      <c r="AT37" s="388"/>
      <c r="AU37" s="388"/>
      <c r="AV37" s="388"/>
      <c r="AW37" s="388"/>
      <c r="AX37" s="387">
        <f>IFERROR(AX12/AX11,"n/a")</f>
        <v>9.0415808593840383E-3</v>
      </c>
      <c r="AY37" s="388"/>
      <c r="AZ37" s="388"/>
      <c r="BA37" s="388"/>
      <c r="BB37" s="388"/>
      <c r="BC37" s="388"/>
      <c r="BD37" s="387">
        <f>IFERROR(BD12/BD11,"n/a")</f>
        <v>5.776845020446137E-3</v>
      </c>
      <c r="BE37" s="388"/>
      <c r="BF37" s="388"/>
      <c r="BG37" s="388"/>
      <c r="BH37" s="388"/>
      <c r="BI37" s="388"/>
      <c r="BJ37" s="387">
        <f>IFERROR(BJ12/BJ11,"n/a")</f>
        <v>5.4846717856936664E-3</v>
      </c>
      <c r="BK37" s="388"/>
      <c r="BL37" s="388"/>
      <c r="BM37" s="388"/>
      <c r="BN37" s="388"/>
      <c r="BO37" s="388"/>
      <c r="BP37" s="387">
        <f>IFERROR(BP12/BP11,"n/a")</f>
        <v>3.2551074884766641E-2</v>
      </c>
      <c r="BQ37" s="691">
        <v>0.03</v>
      </c>
      <c r="BR37" s="691">
        <v>0.03</v>
      </c>
      <c r="BS37" s="691">
        <v>0.03</v>
      </c>
      <c r="BT37" s="691">
        <v>0.03</v>
      </c>
      <c r="BU37" s="691">
        <v>0.03</v>
      </c>
      <c r="BV37" s="400" t="s">
        <v>288</v>
      </c>
      <c r="BW37" s="289"/>
      <c r="BX37" s="451"/>
      <c r="BY37" s="60"/>
      <c r="BZ37" s="60"/>
      <c r="CC37" t="s">
        <v>421</v>
      </c>
      <c r="CD37" s="13">
        <v>0.6</v>
      </c>
      <c r="CE37" s="13">
        <v>0.55000000000000004</v>
      </c>
      <c r="CF37" s="13">
        <v>0.51</v>
      </c>
    </row>
    <row r="38" spans="2:84" x14ac:dyDescent="0.25">
      <c r="B38" s="305" t="s">
        <v>276</v>
      </c>
      <c r="C38" s="16"/>
      <c r="D38" s="16"/>
      <c r="E38" s="16"/>
      <c r="F38" s="16"/>
      <c r="G38" s="16"/>
      <c r="H38" s="387" t="str">
        <f>IFERROR(H14/H11,"n/a")</f>
        <v>n/a</v>
      </c>
      <c r="I38" s="388"/>
      <c r="J38" s="388"/>
      <c r="K38" s="388"/>
      <c r="L38" s="388"/>
      <c r="M38" s="388"/>
      <c r="N38" s="387" t="str">
        <f>IFERROR(N14/N11,"n/a")</f>
        <v>n/a</v>
      </c>
      <c r="O38" s="388"/>
      <c r="P38" s="388"/>
      <c r="Q38" s="388"/>
      <c r="R38" s="388"/>
      <c r="S38" s="388"/>
      <c r="T38" s="387">
        <f>IFERROR(T14/T11,"n/a")</f>
        <v>0.76849683407060454</v>
      </c>
      <c r="U38" s="388"/>
      <c r="V38" s="388"/>
      <c r="W38" s="388"/>
      <c r="X38" s="388"/>
      <c r="Y38" s="388"/>
      <c r="Z38" s="387">
        <f>IFERROR(Z14/Z11,"n/a")</f>
        <v>0.76420907840440166</v>
      </c>
      <c r="AA38" s="388"/>
      <c r="AB38" s="388"/>
      <c r="AC38" s="388"/>
      <c r="AD38" s="388"/>
      <c r="AE38" s="388"/>
      <c r="AF38" s="387">
        <f>IFERROR(AF14/AF11,"n/a")</f>
        <v>0.76462089575870329</v>
      </c>
      <c r="AG38" s="388"/>
      <c r="AH38" s="388"/>
      <c r="AI38" s="388"/>
      <c r="AJ38" s="388"/>
      <c r="AK38" s="388"/>
      <c r="AL38" s="387">
        <f>IFERROR(AL14/AL11,"n/a")</f>
        <v>0.77746741154562382</v>
      </c>
      <c r="AM38" s="388"/>
      <c r="AN38" s="388"/>
      <c r="AO38" s="388"/>
      <c r="AP38" s="388"/>
      <c r="AQ38" s="388"/>
      <c r="AR38" s="387">
        <f>IFERROR(AR14/AR11,"n/a")</f>
        <v>0.82607200971741568</v>
      </c>
      <c r="AS38" s="388"/>
      <c r="AT38" s="388"/>
      <c r="AU38" s="388"/>
      <c r="AV38" s="388"/>
      <c r="AW38" s="388"/>
      <c r="AX38" s="387">
        <f>IFERROR(AX14/AX11,"n/a")</f>
        <v>0.8087500289238031</v>
      </c>
      <c r="AY38" s="388"/>
      <c r="AZ38" s="388"/>
      <c r="BA38" s="388"/>
      <c r="BB38" s="388"/>
      <c r="BC38" s="388"/>
      <c r="BD38" s="387">
        <f>IFERROR(BD14/BD11,"n/a")</f>
        <v>0.72483177913844954</v>
      </c>
      <c r="BE38" s="388"/>
      <c r="BF38" s="388"/>
      <c r="BG38" s="388"/>
      <c r="BH38" s="388"/>
      <c r="BI38" s="388"/>
      <c r="BJ38" s="387">
        <f>IFERROR(BJ14/BJ11,"n/a")</f>
        <v>0.76761349421703906</v>
      </c>
      <c r="BK38" s="388"/>
      <c r="BL38" s="388"/>
      <c r="BM38" s="388"/>
      <c r="BN38" s="388"/>
      <c r="BO38" s="388"/>
      <c r="BP38" s="387">
        <f>IFERROR(BP14/BP11,"n/a")</f>
        <v>0.75445706852343397</v>
      </c>
      <c r="BQ38" s="691">
        <v>0.755</v>
      </c>
      <c r="BR38" s="691">
        <v>0.75</v>
      </c>
      <c r="BS38" s="691">
        <v>0.745</v>
      </c>
      <c r="BT38" s="691">
        <v>0.745</v>
      </c>
      <c r="BU38" s="691">
        <v>0.745</v>
      </c>
      <c r="BV38" s="400" t="s">
        <v>289</v>
      </c>
      <c r="BW38" s="289"/>
      <c r="BX38" s="451"/>
      <c r="BY38" s="60"/>
      <c r="BZ38" s="60"/>
      <c r="CD38" s="13"/>
      <c r="CE38" s="13"/>
      <c r="CF38" s="13"/>
    </row>
    <row r="39" spans="2:84" x14ac:dyDescent="0.25">
      <c r="B39" s="305" t="s">
        <v>277</v>
      </c>
      <c r="C39" s="16"/>
      <c r="D39" s="16"/>
      <c r="E39" s="16"/>
      <c r="F39" s="16"/>
      <c r="G39" s="16"/>
      <c r="H39" s="387" t="str">
        <f>IFERROR(H16/H11,"n/a")</f>
        <v>n/a</v>
      </c>
      <c r="I39" s="388"/>
      <c r="J39" s="388"/>
      <c r="K39" s="388"/>
      <c r="L39" s="388"/>
      <c r="M39" s="388"/>
      <c r="N39" s="387" t="str">
        <f>IFERROR(N16/N11,"n/a")</f>
        <v>n/a</v>
      </c>
      <c r="O39" s="388"/>
      <c r="P39" s="388"/>
      <c r="Q39" s="388"/>
      <c r="R39" s="388"/>
      <c r="S39" s="388"/>
      <c r="T39" s="387">
        <f>IFERROR(T16/T11,"n/a")</f>
        <v>5.1984849799057452E-2</v>
      </c>
      <c r="U39" s="388"/>
      <c r="V39" s="388"/>
      <c r="W39" s="388"/>
      <c r="X39" s="388"/>
      <c r="Y39" s="388"/>
      <c r="Z39" s="387">
        <f>IFERROR(Z16/Z11,"n/a")</f>
        <v>5.1004126547455293E-2</v>
      </c>
      <c r="AA39" s="388"/>
      <c r="AB39" s="388"/>
      <c r="AC39" s="388"/>
      <c r="AD39" s="388"/>
      <c r="AE39" s="388"/>
      <c r="AF39" s="387">
        <f>IFERROR(AF16/AF11,"n/a")</f>
        <v>4.4867100758010571E-2</v>
      </c>
      <c r="AG39" s="388"/>
      <c r="AH39" s="388"/>
      <c r="AI39" s="388"/>
      <c r="AJ39" s="388"/>
      <c r="AK39" s="388"/>
      <c r="AL39" s="387">
        <f>IFERROR(AL16/AL11,"n/a")</f>
        <v>3.9297842041844673E-2</v>
      </c>
      <c r="AM39" s="388"/>
      <c r="AN39" s="388"/>
      <c r="AO39" s="388"/>
      <c r="AP39" s="388"/>
      <c r="AQ39" s="388"/>
      <c r="AR39" s="387">
        <f>IFERROR(AR16/AR11,"n/a")</f>
        <v>2.571448215799968E-2</v>
      </c>
      <c r="AS39" s="388"/>
      <c r="AT39" s="388"/>
      <c r="AU39" s="388"/>
      <c r="AV39" s="388"/>
      <c r="AW39" s="388"/>
      <c r="AX39" s="387">
        <f>IFERROR(AX16/AX11,"n/a")</f>
        <v>2.455052409931277E-2</v>
      </c>
      <c r="AY39" s="388"/>
      <c r="AZ39" s="388"/>
      <c r="BA39" s="388"/>
      <c r="BB39" s="388"/>
      <c r="BC39" s="388"/>
      <c r="BD39" s="387">
        <f>IFERROR(BD16/BD11,"n/a")</f>
        <v>3.8663753002012156E-2</v>
      </c>
      <c r="BE39" s="388"/>
      <c r="BF39" s="388"/>
      <c r="BG39" s="388"/>
      <c r="BH39" s="388"/>
      <c r="BI39" s="388"/>
      <c r="BJ39" s="387">
        <f>IFERROR(BJ16/BJ11,"n/a")</f>
        <v>3.5910166849489063E-2</v>
      </c>
      <c r="BK39" s="388"/>
      <c r="BL39" s="388"/>
      <c r="BM39" s="388"/>
      <c r="BN39" s="388"/>
      <c r="BO39" s="388"/>
      <c r="BP39" s="387">
        <f>IFERROR(BP16/BP11,"n/a")</f>
        <v>3.9902449539191899E-2</v>
      </c>
      <c r="BQ39" s="691">
        <v>0.04</v>
      </c>
      <c r="BR39" s="691">
        <v>3.7999999999999999E-2</v>
      </c>
      <c r="BS39" s="691">
        <v>3.5999999999999997E-2</v>
      </c>
      <c r="BT39" s="691">
        <v>3.4000000000000002E-2</v>
      </c>
      <c r="BU39" s="691">
        <v>3.3000000000000002E-2</v>
      </c>
      <c r="BV39" s="400" t="s">
        <v>290</v>
      </c>
      <c r="BW39" s="289"/>
      <c r="BX39" s="451"/>
      <c r="BY39" s="60"/>
      <c r="BZ39" s="60"/>
      <c r="CC39" s="148" t="s">
        <v>425</v>
      </c>
      <c r="CD39" s="13"/>
      <c r="CE39" s="13"/>
      <c r="CF39" s="13"/>
    </row>
    <row r="40" spans="2:84" x14ac:dyDescent="0.25">
      <c r="B40" s="305" t="s">
        <v>278</v>
      </c>
      <c r="C40" s="16"/>
      <c r="D40" s="16"/>
      <c r="E40" s="16"/>
      <c r="F40" s="16"/>
      <c r="G40" s="16"/>
      <c r="H40" s="387" t="str">
        <f>IFERROR(H17/H11,"n/a")</f>
        <v>n/a</v>
      </c>
      <c r="I40" s="388"/>
      <c r="J40" s="388"/>
      <c r="K40" s="388"/>
      <c r="L40" s="388"/>
      <c r="M40" s="388"/>
      <c r="N40" s="387" t="str">
        <f>IFERROR(N17/N11,"n/a")</f>
        <v>n/a</v>
      </c>
      <c r="O40" s="388"/>
      <c r="P40" s="388"/>
      <c r="Q40" s="388"/>
      <c r="R40" s="388"/>
      <c r="S40" s="388"/>
      <c r="T40" s="387">
        <f>IFERROR(T17/T11,"n/a")</f>
        <v>0.10090496429294243</v>
      </c>
      <c r="U40" s="388"/>
      <c r="V40" s="388"/>
      <c r="W40" s="388"/>
      <c r="X40" s="388"/>
      <c r="Y40" s="388"/>
      <c r="Z40" s="387">
        <f>IFERROR(Z17/Z11,"n/a")</f>
        <v>9.7936726272352129E-2</v>
      </c>
      <c r="AA40" s="388"/>
      <c r="AB40" s="388"/>
      <c r="AC40" s="388"/>
      <c r="AD40" s="388"/>
      <c r="AE40" s="388"/>
      <c r="AF40" s="387">
        <f>IFERROR(AF17/AF11,"n/a")</f>
        <v>0.10079759336592317</v>
      </c>
      <c r="AG40" s="388"/>
      <c r="AH40" s="388"/>
      <c r="AI40" s="388"/>
      <c r="AJ40" s="388"/>
      <c r="AK40" s="388"/>
      <c r="AL40" s="387">
        <f>IFERROR(AL17/AL11,"n/a")</f>
        <v>8.2813013473545846E-2</v>
      </c>
      <c r="AM40" s="388"/>
      <c r="AN40" s="388"/>
      <c r="AO40" s="388"/>
      <c r="AP40" s="388"/>
      <c r="AQ40" s="388"/>
      <c r="AR40" s="387">
        <f>IFERROR(AR17/AR11,"n/a")</f>
        <v>5.0405274295449165E-2</v>
      </c>
      <c r="AS40" s="388"/>
      <c r="AT40" s="388"/>
      <c r="AU40" s="388"/>
      <c r="AV40" s="388"/>
      <c r="AW40" s="388"/>
      <c r="AX40" s="387">
        <f>IFERROR(AX17/AX11,"n/a")</f>
        <v>4.9002707267973254E-2</v>
      </c>
      <c r="AY40" s="388"/>
      <c r="AZ40" s="388"/>
      <c r="BA40" s="388"/>
      <c r="BB40" s="388"/>
      <c r="BC40" s="388"/>
      <c r="BD40" s="387">
        <f>IFERROR(BD17/BD11,"n/a")</f>
        <v>8.5213873082498545E-2</v>
      </c>
      <c r="BE40" s="388"/>
      <c r="BF40" s="388"/>
      <c r="BG40" s="388"/>
      <c r="BH40" s="388"/>
      <c r="BI40" s="388"/>
      <c r="BJ40" s="387">
        <f>IFERROR(BJ17/BJ11,"n/a")</f>
        <v>7.6448626907607342E-2</v>
      </c>
      <c r="BK40" s="388"/>
      <c r="BL40" s="388"/>
      <c r="BM40" s="388"/>
      <c r="BN40" s="388"/>
      <c r="BO40" s="388"/>
      <c r="BP40" s="387">
        <f>IFERROR(BP17/BP11,"n/a")</f>
        <v>8.991084609735471E-2</v>
      </c>
      <c r="BQ40" s="691">
        <v>0.09</v>
      </c>
      <c r="BR40" s="691">
        <v>8.6999999999999994E-2</v>
      </c>
      <c r="BS40" s="691">
        <v>8.4000000000000005E-2</v>
      </c>
      <c r="BT40" s="691">
        <v>8.2000000000000003E-2</v>
      </c>
      <c r="BU40" s="691">
        <v>0.08</v>
      </c>
      <c r="BV40" s="400" t="s">
        <v>291</v>
      </c>
      <c r="BW40" s="289"/>
      <c r="BX40" s="451"/>
      <c r="BY40" s="60"/>
      <c r="BZ40" s="60"/>
      <c r="CC40" t="s">
        <v>417</v>
      </c>
      <c r="CD40" s="13">
        <v>0.25</v>
      </c>
      <c r="CE40" s="13">
        <v>0.22</v>
      </c>
      <c r="CF40" s="13">
        <v>0.18</v>
      </c>
    </row>
    <row r="41" spans="2:84" x14ac:dyDescent="0.25">
      <c r="B41" s="305" t="s">
        <v>279</v>
      </c>
      <c r="C41" s="16"/>
      <c r="D41" s="16"/>
      <c r="E41" s="16"/>
      <c r="F41" s="16"/>
      <c r="G41" s="16"/>
      <c r="H41" s="387">
        <f>IFERROR(H19/H11,"n/a")</f>
        <v>4.9804011989854737E-3</v>
      </c>
      <c r="I41" s="388"/>
      <c r="J41" s="388"/>
      <c r="K41" s="388"/>
      <c r="L41" s="388"/>
      <c r="M41" s="388"/>
      <c r="N41" s="387">
        <f>IFERROR(N19/N11,"n/a")</f>
        <v>6.0436137071651092E-3</v>
      </c>
      <c r="O41" s="388"/>
      <c r="P41" s="388"/>
      <c r="Q41" s="388"/>
      <c r="R41" s="388"/>
      <c r="S41" s="388"/>
      <c r="T41" s="387">
        <f>IFERROR(T19/T11,"n/a")</f>
        <v>3.2092982912655045E-3</v>
      </c>
      <c r="U41" s="388"/>
      <c r="V41" s="388"/>
      <c r="W41" s="388"/>
      <c r="X41" s="388"/>
      <c r="Y41" s="388"/>
      <c r="Z41" s="387">
        <f>IFERROR(Z19/Z11,"n/a")</f>
        <v>2.3658872077028884E-3</v>
      </c>
      <c r="AA41" s="388"/>
      <c r="AB41" s="388"/>
      <c r="AC41" s="388"/>
      <c r="AD41" s="388"/>
      <c r="AE41" s="388"/>
      <c r="AF41" s="387">
        <f>IFERROR(AF19/AF11,"n/a")</f>
        <v>1.2884200526451204E-2</v>
      </c>
      <c r="AG41" s="388"/>
      <c r="AH41" s="388"/>
      <c r="AI41" s="388"/>
      <c r="AJ41" s="388"/>
      <c r="AK41" s="388"/>
      <c r="AL41" s="387">
        <f>IFERROR(AL19/AL11,"n/a")</f>
        <v>1.3213385913024428E-2</v>
      </c>
      <c r="AM41" s="388"/>
      <c r="AN41" s="388"/>
      <c r="AO41" s="388"/>
      <c r="AP41" s="388"/>
      <c r="AQ41" s="388"/>
      <c r="AR41" s="387">
        <f>IFERROR(AR19/AR11,"n/a")</f>
        <v>7.9221384426160623E-3</v>
      </c>
      <c r="AS41" s="388"/>
      <c r="AT41" s="388"/>
      <c r="AU41" s="388"/>
      <c r="AV41" s="388"/>
      <c r="AW41" s="388"/>
      <c r="AX41" s="387">
        <f>IFERROR(AX19/AX11,"n/a")</f>
        <v>7.2367355438831939E-3</v>
      </c>
      <c r="AY41" s="388"/>
      <c r="AZ41" s="388"/>
      <c r="BA41" s="388"/>
      <c r="BB41" s="388"/>
      <c r="BC41" s="388"/>
      <c r="BD41" s="387">
        <f>IFERROR(BD19/BD11,"n/a")</f>
        <v>1.2505679482463922E-2</v>
      </c>
      <c r="BE41" s="388"/>
      <c r="BF41" s="388"/>
      <c r="BG41" s="388"/>
      <c r="BH41" s="388"/>
      <c r="BI41" s="388"/>
      <c r="BJ41" s="387">
        <f>IFERROR(BJ19/BJ11,"n/a")</f>
        <v>1.1123299270634875E-2</v>
      </c>
      <c r="BK41" s="388"/>
      <c r="BL41" s="388"/>
      <c r="BM41" s="388"/>
      <c r="BN41" s="388"/>
      <c r="BO41" s="388"/>
      <c r="BP41" s="387">
        <f>IFERROR(BP19/BP11,"n/a")</f>
        <v>1.1319061690891339E-2</v>
      </c>
      <c r="BQ41" s="691">
        <v>1.2999999999999999E-2</v>
      </c>
      <c r="BR41" s="691">
        <v>1.2999999999999999E-2</v>
      </c>
      <c r="BS41" s="691">
        <v>1.2500000000000001E-2</v>
      </c>
      <c r="BT41" s="691">
        <v>1.2500000000000001E-2</v>
      </c>
      <c r="BU41" s="691">
        <v>1.2E-2</v>
      </c>
      <c r="BV41" s="400" t="s">
        <v>292</v>
      </c>
      <c r="BW41" s="289"/>
      <c r="BX41" s="451"/>
      <c r="BY41" s="60"/>
      <c r="BZ41" s="60"/>
      <c r="CC41" t="s">
        <v>418</v>
      </c>
      <c r="CD41" s="13">
        <v>0.3</v>
      </c>
      <c r="CE41" s="13">
        <v>0.28000000000000003</v>
      </c>
      <c r="CF41" s="13">
        <v>0.22</v>
      </c>
    </row>
    <row r="42" spans="2:84" x14ac:dyDescent="0.25">
      <c r="B42" s="305"/>
      <c r="C42" s="16"/>
      <c r="D42" s="16"/>
      <c r="E42" s="16"/>
      <c r="F42" s="16"/>
      <c r="G42" s="16"/>
      <c r="H42" s="314"/>
      <c r="I42" s="291"/>
      <c r="J42" s="291"/>
      <c r="K42" s="291"/>
      <c r="L42" s="291"/>
      <c r="M42" s="291"/>
      <c r="N42" s="314"/>
      <c r="O42" s="291"/>
      <c r="P42" s="291"/>
      <c r="Q42" s="291"/>
      <c r="R42" s="291"/>
      <c r="S42" s="291"/>
      <c r="T42" s="314"/>
      <c r="U42" s="291"/>
      <c r="V42" s="291"/>
      <c r="W42" s="291"/>
      <c r="X42" s="291"/>
      <c r="Y42" s="291"/>
      <c r="Z42" s="314"/>
      <c r="AA42" s="291"/>
      <c r="AB42" s="291"/>
      <c r="AC42" s="291"/>
      <c r="AD42" s="291"/>
      <c r="AE42" s="291"/>
      <c r="AF42" s="314"/>
      <c r="AG42" s="291"/>
      <c r="AH42" s="291"/>
      <c r="AI42" s="291"/>
      <c r="AJ42" s="291"/>
      <c r="AK42" s="291"/>
      <c r="AL42" s="314"/>
      <c r="AM42" s="291"/>
      <c r="AN42" s="291"/>
      <c r="AO42" s="291"/>
      <c r="AP42" s="291"/>
      <c r="AQ42" s="291"/>
      <c r="AR42" s="314"/>
      <c r="AS42" s="291"/>
      <c r="AT42" s="291"/>
      <c r="AU42" s="291"/>
      <c r="AV42" s="291"/>
      <c r="AW42" s="291"/>
      <c r="AX42" s="314"/>
      <c r="AY42" s="291"/>
      <c r="AZ42" s="291"/>
      <c r="BA42" s="291"/>
      <c r="BB42" s="291"/>
      <c r="BC42" s="291"/>
      <c r="BD42" s="314"/>
      <c r="BE42" s="291"/>
      <c r="BF42" s="291"/>
      <c r="BG42" s="291"/>
      <c r="BH42" s="291"/>
      <c r="BI42" s="291"/>
      <c r="BJ42" s="314"/>
      <c r="BK42" s="291"/>
      <c r="BL42" s="291"/>
      <c r="BM42" s="291"/>
      <c r="BN42" s="291"/>
      <c r="BO42" s="291"/>
      <c r="BP42" s="314"/>
      <c r="BQ42" s="371"/>
      <c r="BR42" s="371"/>
      <c r="BS42" s="371"/>
      <c r="BT42" s="371"/>
      <c r="BU42" s="371"/>
      <c r="BV42" s="365"/>
      <c r="BW42" s="305"/>
      <c r="BX42" s="451"/>
      <c r="BY42" s="60"/>
      <c r="BZ42" s="60"/>
      <c r="CC42" t="s">
        <v>419</v>
      </c>
      <c r="CD42" s="13">
        <v>0.33</v>
      </c>
      <c r="CE42" s="13">
        <v>0.31</v>
      </c>
      <c r="CF42" s="13">
        <v>0.24</v>
      </c>
    </row>
    <row r="43" spans="2:84" x14ac:dyDescent="0.25">
      <c r="C43" s="1"/>
      <c r="D43" s="1"/>
      <c r="E43" s="1"/>
      <c r="F43" s="1"/>
      <c r="G43" s="1"/>
      <c r="H43" s="64"/>
      <c r="I43" s="171"/>
      <c r="J43" s="171"/>
      <c r="K43" s="172"/>
      <c r="L43" s="171"/>
      <c r="M43" s="171"/>
      <c r="N43" s="64"/>
      <c r="O43" s="171"/>
      <c r="P43" s="171"/>
      <c r="Q43" s="172"/>
      <c r="R43" s="171"/>
      <c r="S43" s="171"/>
      <c r="T43" s="64"/>
      <c r="U43" s="171"/>
      <c r="V43" s="171"/>
      <c r="W43" s="172"/>
      <c r="X43" s="171"/>
      <c r="Y43" s="171"/>
      <c r="Z43" s="64"/>
      <c r="AA43" s="171"/>
      <c r="AB43" s="171"/>
      <c r="AC43" s="172"/>
      <c r="AD43" s="171"/>
      <c r="AE43" s="171"/>
      <c r="AF43" s="64"/>
      <c r="AG43" s="171"/>
      <c r="AH43" s="171"/>
      <c r="AI43" s="172"/>
      <c r="AJ43" s="171"/>
      <c r="AK43" s="171"/>
      <c r="AL43" s="64"/>
      <c r="AM43" s="171"/>
      <c r="AN43" s="171"/>
      <c r="AO43" s="172"/>
      <c r="AP43" s="171"/>
      <c r="AQ43" s="171"/>
      <c r="AR43" s="64"/>
      <c r="AS43" s="171"/>
      <c r="AT43" s="171"/>
      <c r="AU43" s="172"/>
      <c r="AV43" s="171"/>
      <c r="AW43" s="171"/>
      <c r="AX43" s="64"/>
      <c r="AY43" s="171"/>
      <c r="AZ43" s="171"/>
      <c r="BA43" s="172"/>
      <c r="BB43" s="171"/>
      <c r="BC43" s="171"/>
      <c r="BD43" s="64"/>
      <c r="BE43" s="171"/>
      <c r="BF43" s="171"/>
      <c r="BG43" s="172"/>
      <c r="BH43" s="171"/>
      <c r="BI43" s="171"/>
      <c r="BJ43" s="64"/>
      <c r="BK43" s="171"/>
      <c r="BL43" s="171"/>
      <c r="BM43" s="172"/>
      <c r="BN43" s="171"/>
      <c r="BO43" s="171"/>
      <c r="BP43" s="64"/>
      <c r="BQ43" s="365"/>
      <c r="BR43" s="365"/>
      <c r="BS43" s="365"/>
      <c r="BT43" s="365"/>
      <c r="BU43" s="365"/>
      <c r="BV43" s="365"/>
      <c r="BW43" s="305"/>
      <c r="BX43" s="451"/>
      <c r="BY43" s="459"/>
      <c r="BZ43" s="459"/>
      <c r="CC43" t="s">
        <v>420</v>
      </c>
      <c r="CD43" s="13">
        <v>0.35</v>
      </c>
      <c r="CE43" s="13">
        <v>0.33</v>
      </c>
      <c r="CF43" s="13">
        <v>0.25</v>
      </c>
    </row>
    <row r="44" spans="2:84" x14ac:dyDescent="0.25">
      <c r="B44" s="223" t="s">
        <v>22</v>
      </c>
      <c r="C44" s="224"/>
      <c r="D44" s="224"/>
      <c r="E44" s="224"/>
      <c r="F44" s="224"/>
      <c r="G44" s="224"/>
      <c r="H44" s="152"/>
      <c r="I44" s="223"/>
      <c r="J44" s="223"/>
      <c r="K44" s="223"/>
      <c r="L44" s="223"/>
      <c r="M44" s="223"/>
      <c r="N44" s="152"/>
      <c r="O44" s="223"/>
      <c r="P44" s="223"/>
      <c r="Q44" s="223"/>
      <c r="R44" s="223"/>
      <c r="S44" s="223"/>
      <c r="T44" s="152"/>
      <c r="U44" s="223"/>
      <c r="V44" s="223"/>
      <c r="W44" s="223"/>
      <c r="X44" s="223"/>
      <c r="Y44" s="223"/>
      <c r="Z44" s="152"/>
      <c r="AA44" s="223"/>
      <c r="AB44" s="223"/>
      <c r="AC44" s="223"/>
      <c r="AD44" s="223"/>
      <c r="AE44" s="223"/>
      <c r="AF44" s="152"/>
      <c r="AG44" s="223"/>
      <c r="AH44" s="223"/>
      <c r="AI44" s="223"/>
      <c r="AJ44" s="223"/>
      <c r="AK44" s="223"/>
      <c r="AL44" s="152"/>
      <c r="AM44" s="223"/>
      <c r="AN44" s="223"/>
      <c r="AO44" s="223"/>
      <c r="AP44" s="223"/>
      <c r="AQ44" s="223"/>
      <c r="AR44" s="152"/>
      <c r="AS44" s="223"/>
      <c r="AT44" s="223"/>
      <c r="AU44" s="223"/>
      <c r="AV44" s="223"/>
      <c r="AW44" s="223"/>
      <c r="AX44" s="152"/>
      <c r="AY44" s="223"/>
      <c r="AZ44" s="223"/>
      <c r="BA44" s="223"/>
      <c r="BB44" s="223"/>
      <c r="BC44" s="223"/>
      <c r="BD44" s="152"/>
      <c r="BE44" s="223"/>
      <c r="BF44" s="223"/>
      <c r="BG44" s="223"/>
      <c r="BH44" s="223"/>
      <c r="BI44" s="223"/>
      <c r="BJ44" s="152"/>
      <c r="BK44" s="223"/>
      <c r="BL44" s="223"/>
      <c r="BM44" s="223"/>
      <c r="BN44" s="223"/>
      <c r="BO44" s="223"/>
      <c r="BP44" s="152"/>
      <c r="BQ44" s="223"/>
      <c r="BR44" s="223"/>
      <c r="BS44" s="223"/>
      <c r="BT44" s="223"/>
      <c r="BU44" s="223"/>
      <c r="BV44" s="148" t="s">
        <v>293</v>
      </c>
      <c r="BW44" s="305"/>
      <c r="BX44" s="453"/>
      <c r="BY44" s="459"/>
      <c r="BZ44" s="459"/>
      <c r="CC44" t="s">
        <v>421</v>
      </c>
      <c r="CD44" s="13">
        <v>0.38</v>
      </c>
      <c r="CE44" s="13">
        <v>0.35</v>
      </c>
      <c r="CF44" s="13">
        <v>0.25</v>
      </c>
    </row>
    <row r="45" spans="2:84" x14ac:dyDescent="0.25">
      <c r="B45" t="s">
        <v>11</v>
      </c>
      <c r="C45" s="10"/>
      <c r="D45" s="10"/>
      <c r="E45" s="10"/>
      <c r="F45" s="10"/>
      <c r="G45" s="10"/>
      <c r="H45" s="67">
        <v>24718</v>
      </c>
      <c r="I45" s="179"/>
      <c r="J45" s="179"/>
      <c r="K45" s="180"/>
      <c r="L45" s="179"/>
      <c r="M45" s="179"/>
      <c r="N45" s="67">
        <v>28323</v>
      </c>
      <c r="O45" s="179"/>
      <c r="P45" s="179"/>
      <c r="Q45" s="180"/>
      <c r="R45" s="179"/>
      <c r="S45" s="179"/>
      <c r="T45" s="67">
        <v>29232</v>
      </c>
      <c r="U45" s="179"/>
      <c r="V45" s="179"/>
      <c r="W45" s="180"/>
      <c r="X45" s="179"/>
      <c r="Y45" s="179"/>
      <c r="Z45" s="67">
        <v>29688</v>
      </c>
      <c r="AA45" s="179"/>
      <c r="AB45" s="179"/>
      <c r="AC45" s="180"/>
      <c r="AD45" s="179"/>
      <c r="AE45" s="179"/>
      <c r="AF45" s="67">
        <v>30042</v>
      </c>
      <c r="AG45" s="179"/>
      <c r="AH45" s="179"/>
      <c r="AI45" s="180"/>
      <c r="AJ45" s="179"/>
      <c r="AK45" s="179"/>
      <c r="AL45" s="67">
        <v>28410</v>
      </c>
      <c r="AM45" s="179"/>
      <c r="AN45" s="179"/>
      <c r="AO45" s="180"/>
      <c r="AP45" s="179"/>
      <c r="AQ45" s="179"/>
      <c r="AR45" s="67">
        <v>33077</v>
      </c>
      <c r="AS45" s="179"/>
      <c r="AT45" s="179"/>
      <c r="AU45" s="180"/>
      <c r="AV45" s="179"/>
      <c r="AW45" s="179"/>
      <c r="AX45" s="67">
        <v>38746</v>
      </c>
      <c r="AY45" s="179"/>
      <c r="AZ45" s="179"/>
      <c r="BA45" s="180"/>
      <c r="BB45" s="179"/>
      <c r="BC45" s="179"/>
      <c r="BD45" s="67">
        <v>35509</v>
      </c>
      <c r="BE45" s="179"/>
      <c r="BF45" s="179"/>
      <c r="BG45" s="180"/>
      <c r="BH45" s="179"/>
      <c r="BI45" s="179"/>
      <c r="BJ45" s="67">
        <v>37740</v>
      </c>
      <c r="BK45" s="179"/>
      <c r="BL45" s="179"/>
      <c r="BM45" s="180"/>
      <c r="BN45" s="179"/>
      <c r="BO45" s="179"/>
      <c r="BP45" s="67">
        <v>72017</v>
      </c>
      <c r="BQ45" s="371">
        <f>BQ47-BQ46</f>
        <v>77188.202666666635</v>
      </c>
      <c r="BR45" s="371">
        <f>BR47-BR46</f>
        <v>80275.7307733333</v>
      </c>
      <c r="BS45" s="371">
        <f>BS47-BS46</f>
        <v>83486.760004266631</v>
      </c>
      <c r="BT45" s="371">
        <f>BT47-BT46</f>
        <v>85991.362804394637</v>
      </c>
      <c r="BU45" s="371">
        <f>BU47-BU46</f>
        <v>88571.103688526491</v>
      </c>
      <c r="BV45" s="365"/>
      <c r="BW45" s="305"/>
      <c r="BX45" s="451"/>
      <c r="BY45" s="459"/>
      <c r="BZ45" s="459"/>
      <c r="CD45" s="13"/>
      <c r="CE45" s="13"/>
      <c r="CF45" s="13"/>
    </row>
    <row r="46" spans="2:84" x14ac:dyDescent="0.25">
      <c r="B46" t="s">
        <v>13</v>
      </c>
      <c r="C46" s="16"/>
      <c r="D46" s="16"/>
      <c r="E46" s="16"/>
      <c r="F46" s="16"/>
      <c r="G46" s="16"/>
      <c r="H46" s="67">
        <v>-1018</v>
      </c>
      <c r="I46" s="179"/>
      <c r="J46" s="179"/>
      <c r="K46" s="180"/>
      <c r="L46" s="179"/>
      <c r="M46" s="179"/>
      <c r="N46" s="67">
        <v>-1189</v>
      </c>
      <c r="O46" s="179"/>
      <c r="P46" s="179"/>
      <c r="Q46" s="180"/>
      <c r="R46" s="179"/>
      <c r="S46" s="179"/>
      <c r="T46" s="67">
        <v>1395</v>
      </c>
      <c r="U46" s="179"/>
      <c r="V46" s="179"/>
      <c r="W46" s="180"/>
      <c r="X46" s="179"/>
      <c r="Y46" s="179"/>
      <c r="Z46" s="67">
        <v>1555</v>
      </c>
      <c r="AA46" s="179"/>
      <c r="AB46" s="179"/>
      <c r="AC46" s="180"/>
      <c r="AD46" s="179"/>
      <c r="AE46" s="179"/>
      <c r="AF46" s="67">
        <v>1579</v>
      </c>
      <c r="AG46" s="179"/>
      <c r="AH46" s="179"/>
      <c r="AI46" s="180"/>
      <c r="AJ46" s="179"/>
      <c r="AK46" s="179"/>
      <c r="AL46" s="67">
        <v>1985</v>
      </c>
      <c r="AM46" s="179"/>
      <c r="AN46" s="179"/>
      <c r="AO46" s="180"/>
      <c r="AP46" s="179"/>
      <c r="AQ46" s="179"/>
      <c r="AR46" s="67">
        <v>2339</v>
      </c>
      <c r="AS46" s="179"/>
      <c r="AT46" s="179"/>
      <c r="AU46" s="180"/>
      <c r="AV46" s="179"/>
      <c r="AW46" s="179"/>
      <c r="AX46" s="67">
        <v>2761</v>
      </c>
      <c r="AY46" s="179"/>
      <c r="AZ46" s="179"/>
      <c r="BA46" s="180"/>
      <c r="BB46" s="179"/>
      <c r="BC46" s="179"/>
      <c r="BD46" s="67">
        <v>2646</v>
      </c>
      <c r="BE46" s="179"/>
      <c r="BF46" s="179"/>
      <c r="BG46" s="180"/>
      <c r="BH46" s="179"/>
      <c r="BI46" s="179"/>
      <c r="BJ46" s="67">
        <v>2767</v>
      </c>
      <c r="BK46" s="179"/>
      <c r="BL46" s="179"/>
      <c r="BM46" s="180"/>
      <c r="BN46" s="179"/>
      <c r="BO46" s="179"/>
      <c r="BP46" s="67">
        <v>5960</v>
      </c>
      <c r="BQ46" s="371">
        <f>BQ47*BQ71</f>
        <v>2387.2639999999988</v>
      </c>
      <c r="BR46" s="371">
        <f>BR47*BR71</f>
        <v>2482.7545599999989</v>
      </c>
      <c r="BS46" s="371">
        <f>BS47*BS71</f>
        <v>2582.064742399999</v>
      </c>
      <c r="BT46" s="371">
        <f>BT47*BT71</f>
        <v>2659.5266846719992</v>
      </c>
      <c r="BU46" s="371">
        <f>BU47*BU71</f>
        <v>2739.3124852121591</v>
      </c>
      <c r="BV46" s="365"/>
      <c r="BW46" s="305"/>
      <c r="BX46" s="451"/>
      <c r="BY46" s="459"/>
      <c r="BZ46" s="459"/>
      <c r="CC46" s="148" t="s">
        <v>426</v>
      </c>
      <c r="CD46" s="13"/>
      <c r="CE46" s="13"/>
      <c r="CF46" s="13"/>
    </row>
    <row r="47" spans="2:84" x14ac:dyDescent="0.25">
      <c r="B47" t="s">
        <v>14</v>
      </c>
      <c r="C47" s="10">
        <v>6122</v>
      </c>
      <c r="D47" s="10">
        <v>6298</v>
      </c>
      <c r="E47" s="10">
        <v>12420</v>
      </c>
      <c r="F47" s="10">
        <v>6044</v>
      </c>
      <c r="G47" s="10">
        <v>6254</v>
      </c>
      <c r="H47" s="67">
        <v>23700</v>
      </c>
      <c r="I47" s="179">
        <v>6688</v>
      </c>
      <c r="J47" s="179">
        <v>7368</v>
      </c>
      <c r="K47" s="180">
        <v>14056</v>
      </c>
      <c r="L47" s="179">
        <v>7111</v>
      </c>
      <c r="M47" s="179">
        <v>7156</v>
      </c>
      <c r="N47" s="67">
        <v>27134</v>
      </c>
      <c r="O47" s="179"/>
      <c r="P47" s="179"/>
      <c r="Q47" s="180"/>
      <c r="R47" s="179"/>
      <c r="S47" s="179"/>
      <c r="T47" s="67">
        <v>30627</v>
      </c>
      <c r="U47" s="179"/>
      <c r="V47" s="179"/>
      <c r="W47" s="180"/>
      <c r="X47" s="179"/>
      <c r="Y47" s="179"/>
      <c r="Z47" s="67">
        <v>31243</v>
      </c>
      <c r="AA47" s="179"/>
      <c r="AB47" s="179"/>
      <c r="AC47" s="180"/>
      <c r="AD47" s="179"/>
      <c r="AE47" s="179"/>
      <c r="AF47" s="67">
        <v>31621</v>
      </c>
      <c r="AG47" s="179">
        <v>7921</v>
      </c>
      <c r="AH47" s="179">
        <v>6987</v>
      </c>
      <c r="AI47" s="180">
        <v>14908</v>
      </c>
      <c r="AJ47" s="179">
        <v>7521</v>
      </c>
      <c r="AK47" s="179">
        <v>7966</v>
      </c>
      <c r="AL47" s="67">
        <v>30395</v>
      </c>
      <c r="AM47" s="179">
        <v>8056</v>
      </c>
      <c r="AN47" s="179">
        <v>8663</v>
      </c>
      <c r="AO47" s="180">
        <v>16719</v>
      </c>
      <c r="AP47" s="179">
        <v>8783</v>
      </c>
      <c r="AQ47" s="179">
        <v>9914</v>
      </c>
      <c r="AR47" s="67">
        <v>35416</v>
      </c>
      <c r="AS47" s="179">
        <v>10188</v>
      </c>
      <c r="AT47" s="179">
        <v>10835</v>
      </c>
      <c r="AU47" s="180">
        <v>21023</v>
      </c>
      <c r="AV47" s="179">
        <v>10406</v>
      </c>
      <c r="AW47" s="179">
        <v>10078</v>
      </c>
      <c r="AX47" s="67">
        <v>41507</v>
      </c>
      <c r="AY47" s="179">
        <v>10094</v>
      </c>
      <c r="AZ47" s="179">
        <v>9650</v>
      </c>
      <c r="BA47" s="180">
        <v>19744</v>
      </c>
      <c r="BB47" s="179">
        <v>9036</v>
      </c>
      <c r="BC47" s="179">
        <v>9375</v>
      </c>
      <c r="BD47" s="67">
        <v>38155</v>
      </c>
      <c r="BE47" s="179">
        <v>10425</v>
      </c>
      <c r="BF47" s="179">
        <v>10561</v>
      </c>
      <c r="BG47" s="180">
        <v>20986</v>
      </c>
      <c r="BH47" s="179">
        <v>9967</v>
      </c>
      <c r="BI47" s="179">
        <v>9554</v>
      </c>
      <c r="BJ47" s="67">
        <v>40507</v>
      </c>
      <c r="BK47" s="179">
        <v>10164</v>
      </c>
      <c r="BL47" s="179">
        <v>20674</v>
      </c>
      <c r="BM47" s="180">
        <v>30838</v>
      </c>
      <c r="BN47" s="179">
        <v>23418</v>
      </c>
      <c r="BO47" s="179"/>
      <c r="BP47" s="67">
        <v>72341.333333333299</v>
      </c>
      <c r="BQ47" s="371">
        <f>BP47*(1+BQ55)</f>
        <v>79575.466666666631</v>
      </c>
      <c r="BR47" s="371">
        <f>BQ47*(1+BR55)</f>
        <v>82758.485333333301</v>
      </c>
      <c r="BS47" s="371">
        <f>BR47*(1+BS55)</f>
        <v>86068.824746666636</v>
      </c>
      <c r="BT47" s="371">
        <f>BS47*(1+BT55)</f>
        <v>88650.889489066642</v>
      </c>
      <c r="BU47" s="371">
        <f>BT47*(1+BU55)</f>
        <v>91310.416173738646</v>
      </c>
      <c r="BV47" s="365"/>
      <c r="BW47" s="305"/>
      <c r="BX47" s="450">
        <f>IFERROR((BU47/BP47)^(1/5)-1,"n/m")</f>
        <v>4.7675438786505708E-2</v>
      </c>
      <c r="BY47" s="290">
        <f>IFERROR((BP47/AL47)^(1/5)-1,"n/m")</f>
        <v>0.18936970522185614</v>
      </c>
      <c r="BZ47" s="290">
        <f>IFERROR((BP47/H47)^(1/10)-1,"n/m")</f>
        <v>0.11805666864854425</v>
      </c>
      <c r="CC47" t="s">
        <v>417</v>
      </c>
      <c r="CD47" s="13">
        <v>0.26</v>
      </c>
      <c r="CE47" s="13">
        <v>0.23</v>
      </c>
      <c r="CF47" s="13">
        <v>0.2</v>
      </c>
    </row>
    <row r="48" spans="2:84" x14ac:dyDescent="0.25">
      <c r="B48" t="s">
        <v>15</v>
      </c>
      <c r="C48" s="10">
        <v>4990</v>
      </c>
      <c r="D48" s="10">
        <v>5115</v>
      </c>
      <c r="E48" s="10">
        <v>10105</v>
      </c>
      <c r="F48" s="10">
        <v>4966</v>
      </c>
      <c r="G48" s="10">
        <v>5150</v>
      </c>
      <c r="H48" s="67" t="s">
        <v>12</v>
      </c>
      <c r="I48" s="179">
        <v>5431</v>
      </c>
      <c r="J48" s="179">
        <v>6009</v>
      </c>
      <c r="K48" s="180">
        <v>11440</v>
      </c>
      <c r="L48" s="179">
        <v>5864</v>
      </c>
      <c r="M48" s="179">
        <v>5925</v>
      </c>
      <c r="N48" s="67" t="s">
        <v>12</v>
      </c>
      <c r="O48" s="179"/>
      <c r="P48" s="179"/>
      <c r="Q48" s="180"/>
      <c r="R48" s="179"/>
      <c r="S48" s="179"/>
      <c r="T48" s="67">
        <v>25340</v>
      </c>
      <c r="U48" s="179"/>
      <c r="V48" s="179"/>
      <c r="W48" s="180"/>
      <c r="X48" s="179"/>
      <c r="Y48" s="179"/>
      <c r="Z48" s="67">
        <v>25935</v>
      </c>
      <c r="AA48" s="179"/>
      <c r="AB48" s="179"/>
      <c r="AC48" s="180"/>
      <c r="AD48" s="179"/>
      <c r="AE48" s="179"/>
      <c r="AF48" s="67">
        <v>25465</v>
      </c>
      <c r="AG48" s="179">
        <v>6386</v>
      </c>
      <c r="AH48" s="179">
        <v>5556</v>
      </c>
      <c r="AI48" s="180">
        <v>11942</v>
      </c>
      <c r="AJ48" s="179">
        <v>5936</v>
      </c>
      <c r="AK48" s="179">
        <v>6379</v>
      </c>
      <c r="AL48" s="67">
        <v>24257</v>
      </c>
      <c r="AM48" s="179">
        <v>6399</v>
      </c>
      <c r="AN48" s="179">
        <v>6895</v>
      </c>
      <c r="AO48" s="180">
        <v>13294</v>
      </c>
      <c r="AP48" s="179">
        <v>7038</v>
      </c>
      <c r="AQ48" s="179">
        <v>7989</v>
      </c>
      <c r="AR48" s="67">
        <v>28321</v>
      </c>
      <c r="AS48" s="179">
        <v>8250</v>
      </c>
      <c r="AT48" s="179">
        <v>8761</v>
      </c>
      <c r="AU48" s="180">
        <v>17011</v>
      </c>
      <c r="AV48" s="179">
        <v>8417</v>
      </c>
      <c r="AW48" s="179">
        <v>8168</v>
      </c>
      <c r="AX48" s="67">
        <v>33596</v>
      </c>
      <c r="AY48" s="179">
        <v>8118</v>
      </c>
      <c r="AZ48" s="179">
        <v>7627</v>
      </c>
      <c r="BA48" s="180">
        <v>15745</v>
      </c>
      <c r="BB48" s="179">
        <v>7112</v>
      </c>
      <c r="BC48" s="179">
        <v>7438</v>
      </c>
      <c r="BD48" s="67">
        <v>30295</v>
      </c>
      <c r="BE48" s="179">
        <v>8461</v>
      </c>
      <c r="BF48" s="179">
        <v>8500</v>
      </c>
      <c r="BG48" s="180">
        <v>16961</v>
      </c>
      <c r="BH48" s="179">
        <v>8033</v>
      </c>
      <c r="BI48" s="179">
        <v>7803</v>
      </c>
      <c r="BJ48" s="67">
        <v>32797</v>
      </c>
      <c r="BK48" s="179">
        <v>8208</v>
      </c>
      <c r="BL48" s="179">
        <v>16418</v>
      </c>
      <c r="BM48" s="180">
        <v>24626</v>
      </c>
      <c r="BN48" s="179">
        <v>18397</v>
      </c>
      <c r="BO48" s="179"/>
      <c r="BP48" s="67">
        <v>57364</v>
      </c>
      <c r="BQ48" s="412">
        <f>BQ47*BQ72</f>
        <v>62466.74133333331</v>
      </c>
      <c r="BR48" s="413">
        <f>BR47*BR72</f>
        <v>64717.135530666645</v>
      </c>
      <c r="BS48" s="413">
        <f>BS47*BS72</f>
        <v>67133.683302399979</v>
      </c>
      <c r="BT48" s="413">
        <f>BT47*BT72</f>
        <v>69147.693801471978</v>
      </c>
      <c r="BU48" s="413">
        <f>BU47*BU72</f>
        <v>71222.12461551615</v>
      </c>
      <c r="BV48" s="365"/>
      <c r="BW48" s="305"/>
      <c r="BX48" s="451"/>
      <c r="BY48" s="459"/>
      <c r="BZ48" s="459"/>
      <c r="CC48" t="s">
        <v>418</v>
      </c>
      <c r="CD48" s="13">
        <v>0.3</v>
      </c>
      <c r="CE48" s="13">
        <v>0.27</v>
      </c>
      <c r="CF48" s="13">
        <v>0.22</v>
      </c>
    </row>
    <row r="49" spans="2:84" x14ac:dyDescent="0.25">
      <c r="B49" s="8" t="s">
        <v>16</v>
      </c>
      <c r="C49" s="5">
        <v>1132</v>
      </c>
      <c r="D49" s="5">
        <v>1183</v>
      </c>
      <c r="E49" s="5">
        <v>2315</v>
      </c>
      <c r="F49" s="5">
        <v>1078</v>
      </c>
      <c r="G49" s="5">
        <v>1104</v>
      </c>
      <c r="H49" s="302" t="s">
        <v>12</v>
      </c>
      <c r="I49" s="303">
        <v>1257</v>
      </c>
      <c r="J49" s="303">
        <v>1359</v>
      </c>
      <c r="K49" s="304">
        <v>2616</v>
      </c>
      <c r="L49" s="303">
        <v>1247</v>
      </c>
      <c r="M49" s="303">
        <v>1231</v>
      </c>
      <c r="N49" s="302" t="s">
        <v>12</v>
      </c>
      <c r="O49" s="303"/>
      <c r="P49" s="303"/>
      <c r="Q49" s="304"/>
      <c r="R49" s="303"/>
      <c r="S49" s="303"/>
      <c r="T49" s="77">
        <f>T47-T48</f>
        <v>5287</v>
      </c>
      <c r="U49" s="77">
        <f t="shared" ref="U49:BP49" si="8">U47-U48</f>
        <v>0</v>
      </c>
      <c r="V49" s="77">
        <f t="shared" si="8"/>
        <v>0</v>
      </c>
      <c r="W49" s="77">
        <f t="shared" si="8"/>
        <v>0</v>
      </c>
      <c r="X49" s="77">
        <f t="shared" si="8"/>
        <v>0</v>
      </c>
      <c r="Y49" s="77">
        <f t="shared" si="8"/>
        <v>0</v>
      </c>
      <c r="Z49" s="77">
        <f t="shared" si="8"/>
        <v>5308</v>
      </c>
      <c r="AA49" s="77">
        <f t="shared" si="8"/>
        <v>0</v>
      </c>
      <c r="AB49" s="77">
        <f t="shared" si="8"/>
        <v>0</v>
      </c>
      <c r="AC49" s="77">
        <f t="shared" si="8"/>
        <v>0</v>
      </c>
      <c r="AD49" s="77">
        <f t="shared" si="8"/>
        <v>0</v>
      </c>
      <c r="AE49" s="77">
        <f t="shared" si="8"/>
        <v>0</v>
      </c>
      <c r="AF49" s="77">
        <f t="shared" si="8"/>
        <v>6156</v>
      </c>
      <c r="AG49" s="77">
        <f t="shared" si="8"/>
        <v>1535</v>
      </c>
      <c r="AH49" s="77">
        <f t="shared" si="8"/>
        <v>1431</v>
      </c>
      <c r="AI49" s="77">
        <f t="shared" si="8"/>
        <v>2966</v>
      </c>
      <c r="AJ49" s="77">
        <f t="shared" si="8"/>
        <v>1585</v>
      </c>
      <c r="AK49" s="77">
        <f t="shared" si="8"/>
        <v>1587</v>
      </c>
      <c r="AL49" s="77">
        <f t="shared" si="8"/>
        <v>6138</v>
      </c>
      <c r="AM49" s="77">
        <f t="shared" si="8"/>
        <v>1657</v>
      </c>
      <c r="AN49" s="77">
        <f t="shared" si="8"/>
        <v>1768</v>
      </c>
      <c r="AO49" s="77">
        <f t="shared" si="8"/>
        <v>3425</v>
      </c>
      <c r="AP49" s="77">
        <f t="shared" si="8"/>
        <v>1745</v>
      </c>
      <c r="AQ49" s="77">
        <f t="shared" si="8"/>
        <v>1925</v>
      </c>
      <c r="AR49" s="77">
        <f t="shared" si="8"/>
        <v>7095</v>
      </c>
      <c r="AS49" s="77">
        <f t="shared" si="8"/>
        <v>1938</v>
      </c>
      <c r="AT49" s="77">
        <f t="shared" si="8"/>
        <v>2074</v>
      </c>
      <c r="AU49" s="77">
        <f t="shared" si="8"/>
        <v>4012</v>
      </c>
      <c r="AV49" s="77">
        <f t="shared" si="8"/>
        <v>1989</v>
      </c>
      <c r="AW49" s="77">
        <f t="shared" si="8"/>
        <v>1910</v>
      </c>
      <c r="AX49" s="77">
        <f t="shared" si="8"/>
        <v>7911</v>
      </c>
      <c r="AY49" s="77">
        <f t="shared" si="8"/>
        <v>1976</v>
      </c>
      <c r="AZ49" s="77">
        <f t="shared" si="8"/>
        <v>2023</v>
      </c>
      <c r="BA49" s="77">
        <f t="shared" si="8"/>
        <v>3999</v>
      </c>
      <c r="BB49" s="77">
        <f t="shared" si="8"/>
        <v>1924</v>
      </c>
      <c r="BC49" s="77">
        <f t="shared" si="8"/>
        <v>1937</v>
      </c>
      <c r="BD49" s="77">
        <f t="shared" si="8"/>
        <v>7860</v>
      </c>
      <c r="BE49" s="77">
        <f t="shared" si="8"/>
        <v>1964</v>
      </c>
      <c r="BF49" s="77">
        <f t="shared" si="8"/>
        <v>2061</v>
      </c>
      <c r="BG49" s="77">
        <f t="shared" si="8"/>
        <v>4025</v>
      </c>
      <c r="BH49" s="77">
        <f t="shared" si="8"/>
        <v>1934</v>
      </c>
      <c r="BI49" s="77">
        <f t="shared" si="8"/>
        <v>1751</v>
      </c>
      <c r="BJ49" s="77">
        <f t="shared" si="8"/>
        <v>7710</v>
      </c>
      <c r="BK49" s="77">
        <f t="shared" si="8"/>
        <v>1956</v>
      </c>
      <c r="BL49" s="77">
        <f t="shared" si="8"/>
        <v>4256</v>
      </c>
      <c r="BM49" s="77">
        <f t="shared" si="8"/>
        <v>6212</v>
      </c>
      <c r="BN49" s="77">
        <f t="shared" si="8"/>
        <v>5021</v>
      </c>
      <c r="BO49" s="77">
        <f t="shared" si="8"/>
        <v>0</v>
      </c>
      <c r="BP49" s="77">
        <f t="shared" si="8"/>
        <v>14977.333333333299</v>
      </c>
      <c r="BQ49" s="414">
        <f>BQ47*BQ59</f>
        <v>17108.725333333325</v>
      </c>
      <c r="BR49" s="414">
        <f>BR47*BR59</f>
        <v>18041.34980266666</v>
      </c>
      <c r="BS49" s="414">
        <f>BS47*BS59</f>
        <v>18935.141444266661</v>
      </c>
      <c r="BT49" s="414">
        <f>BT47*BT59</f>
        <v>19503.19568759466</v>
      </c>
      <c r="BU49" s="414">
        <f>BU47*BU59</f>
        <v>20088.291558222503</v>
      </c>
      <c r="BV49" s="365"/>
      <c r="BW49" s="305"/>
      <c r="BX49" s="450">
        <f>IFERROR((BU49/BP49)^(1/5)-1,"n/m")</f>
        <v>6.0478093175537317E-2</v>
      </c>
      <c r="BY49" s="290">
        <f>IFERROR((BP49/AL49)^(1/5)-1,"n/m")</f>
        <v>0.19531266819233206</v>
      </c>
      <c r="BZ49" s="290" t="str">
        <f>IFERROR((BP49/H49)^(1/10)-1,"n/m")</f>
        <v>n/m</v>
      </c>
      <c r="CC49" t="s">
        <v>419</v>
      </c>
      <c r="CD49" s="13">
        <v>0.32</v>
      </c>
      <c r="CE49" s="13">
        <v>0.3</v>
      </c>
      <c r="CF49" s="13">
        <v>0.24</v>
      </c>
    </row>
    <row r="50" spans="2:84" x14ac:dyDescent="0.25">
      <c r="B50" t="s">
        <v>17</v>
      </c>
      <c r="C50" s="10">
        <v>274</v>
      </c>
      <c r="D50" s="10">
        <v>273</v>
      </c>
      <c r="E50" s="10">
        <v>547</v>
      </c>
      <c r="F50" s="10">
        <v>238</v>
      </c>
      <c r="G50" s="10">
        <v>264</v>
      </c>
      <c r="H50" s="67" t="s">
        <v>12</v>
      </c>
      <c r="I50" s="179">
        <v>332</v>
      </c>
      <c r="J50" s="179">
        <v>314</v>
      </c>
      <c r="K50" s="180">
        <v>646</v>
      </c>
      <c r="L50" s="179">
        <v>304</v>
      </c>
      <c r="M50" s="179">
        <v>274</v>
      </c>
      <c r="N50" s="67" t="s">
        <v>12</v>
      </c>
      <c r="O50" s="179"/>
      <c r="P50" s="179"/>
      <c r="Q50" s="180"/>
      <c r="R50" s="179"/>
      <c r="S50" s="179"/>
      <c r="T50" s="67">
        <v>1269</v>
      </c>
      <c r="U50" s="179"/>
      <c r="V50" s="179"/>
      <c r="W50" s="180"/>
      <c r="X50" s="179"/>
      <c r="Y50" s="179"/>
      <c r="Z50" s="67">
        <v>1326</v>
      </c>
      <c r="AA50" s="179"/>
      <c r="AB50" s="179"/>
      <c r="AC50" s="180"/>
      <c r="AD50" s="179"/>
      <c r="AE50" s="179"/>
      <c r="AF50" s="67">
        <v>1060</v>
      </c>
      <c r="AG50" s="179">
        <v>287</v>
      </c>
      <c r="AH50" s="179">
        <v>242</v>
      </c>
      <c r="AI50" s="180">
        <v>529</v>
      </c>
      <c r="AJ50" s="179">
        <v>251</v>
      </c>
      <c r="AK50" s="179">
        <v>241</v>
      </c>
      <c r="AL50" s="67">
        <v>1021</v>
      </c>
      <c r="AM50" s="179">
        <v>258</v>
      </c>
      <c r="AN50" s="179">
        <v>272</v>
      </c>
      <c r="AO50" s="180">
        <v>530</v>
      </c>
      <c r="AP50" s="179">
        <v>282</v>
      </c>
      <c r="AQ50" s="179">
        <v>310</v>
      </c>
      <c r="AR50" s="67">
        <v>1122</v>
      </c>
      <c r="AS50" s="179">
        <v>341</v>
      </c>
      <c r="AT50" s="179">
        <v>373</v>
      </c>
      <c r="AU50" s="180">
        <v>714</v>
      </c>
      <c r="AV50" s="179">
        <v>342</v>
      </c>
      <c r="AW50" s="179">
        <v>369</v>
      </c>
      <c r="AX50" s="67">
        <v>1425</v>
      </c>
      <c r="AY50" s="179">
        <v>363</v>
      </c>
      <c r="AZ50" s="179">
        <v>367</v>
      </c>
      <c r="BA50" s="180">
        <v>730</v>
      </c>
      <c r="BB50" s="179">
        <v>354</v>
      </c>
      <c r="BC50" s="179">
        <v>344</v>
      </c>
      <c r="BD50" s="67">
        <v>1428</v>
      </c>
      <c r="BE50" s="179">
        <v>324</v>
      </c>
      <c r="BF50" s="179">
        <v>319</v>
      </c>
      <c r="BG50" s="180">
        <v>643</v>
      </c>
      <c r="BH50" s="179">
        <v>307</v>
      </c>
      <c r="BI50" s="179">
        <v>257</v>
      </c>
      <c r="BJ50" s="67">
        <v>1207</v>
      </c>
      <c r="BK50" s="179">
        <v>312</v>
      </c>
      <c r="BL50" s="179">
        <v>974</v>
      </c>
      <c r="BM50" s="180">
        <v>1286</v>
      </c>
      <c r="BN50" s="179">
        <v>1281</v>
      </c>
      <c r="BO50" s="179"/>
      <c r="BP50" s="67">
        <v>3422.6666666666702</v>
      </c>
      <c r="BQ50" s="371">
        <f>BQ47*BQ73</f>
        <v>1591.5093333333327</v>
      </c>
      <c r="BR50" s="371">
        <f>BR47*BR73</f>
        <v>1655.1697066666661</v>
      </c>
      <c r="BS50" s="371">
        <f>BS47*BS73</f>
        <v>1721.3764949333327</v>
      </c>
      <c r="BT50" s="371">
        <f>BT47*BT73</f>
        <v>1773.0177897813328</v>
      </c>
      <c r="BU50" s="371">
        <f>BU47*BU73</f>
        <v>1826.2083234747729</v>
      </c>
      <c r="BV50" s="365"/>
      <c r="BW50" s="305"/>
      <c r="BX50" s="451"/>
      <c r="BY50" s="459"/>
      <c r="BZ50" s="459"/>
      <c r="CC50" t="s">
        <v>420</v>
      </c>
      <c r="CD50" s="13">
        <v>0.35</v>
      </c>
      <c r="CE50" s="13">
        <v>0.33</v>
      </c>
      <c r="CF50" s="13">
        <v>0.25</v>
      </c>
    </row>
    <row r="51" spans="2:84" x14ac:dyDescent="0.25">
      <c r="B51" t="s">
        <v>18</v>
      </c>
      <c r="C51" s="10">
        <v>606</v>
      </c>
      <c r="D51" s="10">
        <v>619</v>
      </c>
      <c r="E51" s="10">
        <v>1225</v>
      </c>
      <c r="F51" s="10">
        <v>568</v>
      </c>
      <c r="G51" s="10">
        <v>611</v>
      </c>
      <c r="H51" s="67" t="s">
        <v>12</v>
      </c>
      <c r="I51" s="179">
        <v>670</v>
      </c>
      <c r="J51" s="179">
        <v>691</v>
      </c>
      <c r="K51" s="180">
        <v>1361</v>
      </c>
      <c r="L51" s="179">
        <v>612</v>
      </c>
      <c r="M51" s="179">
        <v>689</v>
      </c>
      <c r="N51" s="67" t="s">
        <v>12</v>
      </c>
      <c r="O51" s="179"/>
      <c r="P51" s="179"/>
      <c r="Q51" s="180"/>
      <c r="R51" s="179"/>
      <c r="S51" s="179"/>
      <c r="T51" s="67">
        <v>2672</v>
      </c>
      <c r="U51" s="179"/>
      <c r="V51" s="179"/>
      <c r="W51" s="180"/>
      <c r="X51" s="179"/>
      <c r="Y51" s="179"/>
      <c r="Z51" s="67">
        <v>2706</v>
      </c>
      <c r="AA51" s="179"/>
      <c r="AB51" s="179"/>
      <c r="AC51" s="180"/>
      <c r="AD51" s="179"/>
      <c r="AE51" s="179"/>
      <c r="AF51" s="67">
        <v>2864</v>
      </c>
      <c r="AG51" s="179">
        <v>757</v>
      </c>
      <c r="AH51" s="179">
        <v>686</v>
      </c>
      <c r="AI51" s="180">
        <v>1443</v>
      </c>
      <c r="AJ51" s="179">
        <v>650</v>
      </c>
      <c r="AK51" s="179">
        <v>705.7</v>
      </c>
      <c r="AL51" s="67">
        <v>2799</v>
      </c>
      <c r="AM51" s="179">
        <v>742</v>
      </c>
      <c r="AN51" s="179">
        <v>779</v>
      </c>
      <c r="AO51" s="180">
        <v>1521</v>
      </c>
      <c r="AP51" s="179">
        <v>761</v>
      </c>
      <c r="AQ51" s="179">
        <v>867</v>
      </c>
      <c r="AR51" s="67">
        <v>3149</v>
      </c>
      <c r="AS51" s="179">
        <v>871</v>
      </c>
      <c r="AT51" s="179">
        <v>904</v>
      </c>
      <c r="AU51" s="180">
        <v>1775</v>
      </c>
      <c r="AV51" s="179">
        <v>895</v>
      </c>
      <c r="AW51" s="179">
        <v>873</v>
      </c>
      <c r="AX51" s="67">
        <v>3543</v>
      </c>
      <c r="AY51" s="179">
        <v>902</v>
      </c>
      <c r="AZ51" s="179">
        <v>918</v>
      </c>
      <c r="BA51" s="180">
        <v>1820</v>
      </c>
      <c r="BB51" s="179">
        <v>838</v>
      </c>
      <c r="BC51" s="179">
        <v>916</v>
      </c>
      <c r="BD51" s="67">
        <v>3574</v>
      </c>
      <c r="BE51" s="179">
        <v>937</v>
      </c>
      <c r="BF51" s="179">
        <v>963</v>
      </c>
      <c r="BG51" s="180">
        <v>1900</v>
      </c>
      <c r="BH51" s="179">
        <v>881</v>
      </c>
      <c r="BI51" s="179">
        <v>919</v>
      </c>
      <c r="BJ51" s="67">
        <v>3700</v>
      </c>
      <c r="BK51" s="179">
        <v>975</v>
      </c>
      <c r="BL51" s="179">
        <v>2267</v>
      </c>
      <c r="BM51" s="180">
        <v>3242</v>
      </c>
      <c r="BN51" s="179">
        <v>2416</v>
      </c>
      <c r="BO51" s="179"/>
      <c r="BP51" s="67">
        <v>7544</v>
      </c>
      <c r="BQ51" s="371">
        <f>BQ47*BQ74</f>
        <v>11140.56533333333</v>
      </c>
      <c r="BR51" s="371">
        <f>BR47*BR74</f>
        <v>11172.395519999996</v>
      </c>
      <c r="BS51" s="371">
        <f>BS47*BS74</f>
        <v>11188.947217066663</v>
      </c>
      <c r="BT51" s="371">
        <f>BT47*BT74</f>
        <v>11347.31385460053</v>
      </c>
      <c r="BU51" s="371">
        <f>BU47*BU74</f>
        <v>11413.802021717331</v>
      </c>
      <c r="BV51" s="365"/>
      <c r="BW51" s="305"/>
      <c r="BX51" s="451"/>
      <c r="BY51" s="459"/>
      <c r="BZ51" s="459"/>
      <c r="CC51" t="s">
        <v>421</v>
      </c>
      <c r="CD51" s="13">
        <v>0.37</v>
      </c>
      <c r="CE51" s="13">
        <v>0.35</v>
      </c>
      <c r="CF51" s="13">
        <v>0.25</v>
      </c>
    </row>
    <row r="52" spans="2:84" x14ac:dyDescent="0.25">
      <c r="B52" s="3" t="s">
        <v>19</v>
      </c>
      <c r="C52" s="10">
        <v>252</v>
      </c>
      <c r="D52" s="10">
        <v>291</v>
      </c>
      <c r="E52" s="10">
        <v>543</v>
      </c>
      <c r="F52" s="10">
        <v>272</v>
      </c>
      <c r="G52" s="10">
        <v>229</v>
      </c>
      <c r="H52" s="68" t="s">
        <v>12</v>
      </c>
      <c r="I52" s="181">
        <v>255</v>
      </c>
      <c r="J52" s="181">
        <v>354</v>
      </c>
      <c r="K52" s="182">
        <v>609</v>
      </c>
      <c r="L52" s="181">
        <v>331</v>
      </c>
      <c r="M52" s="181">
        <v>268</v>
      </c>
      <c r="N52" s="68" t="s">
        <v>12</v>
      </c>
      <c r="O52" s="181"/>
      <c r="P52" s="181"/>
      <c r="Q52" s="182"/>
      <c r="R52" s="181"/>
      <c r="S52" s="181"/>
      <c r="T52" s="75">
        <f>T49-T50-T51</f>
        <v>1346</v>
      </c>
      <c r="U52" s="75">
        <f t="shared" ref="U52:BP52" si="9">U49-U50-U51</f>
        <v>0</v>
      </c>
      <c r="V52" s="75">
        <f t="shared" si="9"/>
        <v>0</v>
      </c>
      <c r="W52" s="75">
        <f t="shared" si="9"/>
        <v>0</v>
      </c>
      <c r="X52" s="75">
        <f t="shared" si="9"/>
        <v>0</v>
      </c>
      <c r="Y52" s="75">
        <f t="shared" si="9"/>
        <v>0</v>
      </c>
      <c r="Z52" s="75">
        <f t="shared" si="9"/>
        <v>1276</v>
      </c>
      <c r="AA52" s="75">
        <f t="shared" si="9"/>
        <v>0</v>
      </c>
      <c r="AB52" s="75">
        <f t="shared" si="9"/>
        <v>0</v>
      </c>
      <c r="AC52" s="75">
        <f t="shared" si="9"/>
        <v>0</v>
      </c>
      <c r="AD52" s="75">
        <f t="shared" si="9"/>
        <v>0</v>
      </c>
      <c r="AE52" s="75">
        <f t="shared" si="9"/>
        <v>0</v>
      </c>
      <c r="AF52" s="75">
        <f t="shared" si="9"/>
        <v>2232</v>
      </c>
      <c r="AG52" s="75">
        <f t="shared" si="9"/>
        <v>491</v>
      </c>
      <c r="AH52" s="75">
        <f t="shared" si="9"/>
        <v>503</v>
      </c>
      <c r="AI52" s="75">
        <f t="shared" si="9"/>
        <v>994</v>
      </c>
      <c r="AJ52" s="75">
        <f t="shared" si="9"/>
        <v>684</v>
      </c>
      <c r="AK52" s="75">
        <f t="shared" si="9"/>
        <v>640.29999999999995</v>
      </c>
      <c r="AL52" s="75">
        <f t="shared" si="9"/>
        <v>2318</v>
      </c>
      <c r="AM52" s="75">
        <f t="shared" si="9"/>
        <v>657</v>
      </c>
      <c r="AN52" s="75">
        <f t="shared" si="9"/>
        <v>717</v>
      </c>
      <c r="AO52" s="75">
        <f t="shared" si="9"/>
        <v>1374</v>
      </c>
      <c r="AP52" s="75">
        <f t="shared" si="9"/>
        <v>702</v>
      </c>
      <c r="AQ52" s="75">
        <f t="shared" si="9"/>
        <v>748</v>
      </c>
      <c r="AR52" s="75">
        <f t="shared" si="9"/>
        <v>2824</v>
      </c>
      <c r="AS52" s="75">
        <f t="shared" si="9"/>
        <v>726</v>
      </c>
      <c r="AT52" s="75">
        <f t="shared" si="9"/>
        <v>797</v>
      </c>
      <c r="AU52" s="75">
        <f t="shared" si="9"/>
        <v>1523</v>
      </c>
      <c r="AV52" s="75">
        <f t="shared" si="9"/>
        <v>752</v>
      </c>
      <c r="AW52" s="75">
        <f t="shared" si="9"/>
        <v>668</v>
      </c>
      <c r="AX52" s="75">
        <f t="shared" si="9"/>
        <v>2943</v>
      </c>
      <c r="AY52" s="75">
        <f t="shared" si="9"/>
        <v>711</v>
      </c>
      <c r="AZ52" s="75">
        <f t="shared" si="9"/>
        <v>738</v>
      </c>
      <c r="BA52" s="75">
        <f t="shared" si="9"/>
        <v>1449</v>
      </c>
      <c r="BB52" s="75">
        <f t="shared" si="9"/>
        <v>732</v>
      </c>
      <c r="BC52" s="75">
        <f t="shared" si="9"/>
        <v>677</v>
      </c>
      <c r="BD52" s="75">
        <f t="shared" si="9"/>
        <v>2858</v>
      </c>
      <c r="BE52" s="75">
        <f t="shared" si="9"/>
        <v>703</v>
      </c>
      <c r="BF52" s="75">
        <f t="shared" si="9"/>
        <v>779</v>
      </c>
      <c r="BG52" s="75">
        <f t="shared" si="9"/>
        <v>1482</v>
      </c>
      <c r="BH52" s="75">
        <f t="shared" si="9"/>
        <v>746</v>
      </c>
      <c r="BI52" s="75">
        <f t="shared" si="9"/>
        <v>575</v>
      </c>
      <c r="BJ52" s="75">
        <f t="shared" si="9"/>
        <v>2803</v>
      </c>
      <c r="BK52" s="75">
        <f t="shared" si="9"/>
        <v>669</v>
      </c>
      <c r="BL52" s="75">
        <f t="shared" si="9"/>
        <v>1015</v>
      </c>
      <c r="BM52" s="75">
        <f t="shared" si="9"/>
        <v>1684</v>
      </c>
      <c r="BN52" s="75">
        <f t="shared" si="9"/>
        <v>1324</v>
      </c>
      <c r="BO52" s="75">
        <f t="shared" si="9"/>
        <v>0</v>
      </c>
      <c r="BP52" s="75">
        <f t="shared" si="9"/>
        <v>4010.6666666666297</v>
      </c>
      <c r="BQ52" s="414">
        <f>BQ49-BQ50-BQ51</f>
        <v>4376.650666666661</v>
      </c>
      <c r="BR52" s="414">
        <f>BR49-BR50-BR51</f>
        <v>5213.7845759999964</v>
      </c>
      <c r="BS52" s="414">
        <f>BS49-BS50-BS51</f>
        <v>6024.817732266667</v>
      </c>
      <c r="BT52" s="414">
        <f>BT49-BT50-BT51</f>
        <v>6382.8640432127959</v>
      </c>
      <c r="BU52" s="414">
        <f>BU49-BU50-BU51</f>
        <v>6848.2812130303992</v>
      </c>
      <c r="BV52" s="365"/>
      <c r="BW52" s="305"/>
      <c r="BX52" s="450">
        <f>IFERROR((BU52/BP52)^(1/5)-1,"n/m")</f>
        <v>0.11294320794762558</v>
      </c>
      <c r="BY52" s="459">
        <f>IFERROR((BP52/AL52)^(1/5)-1,"n/m")</f>
        <v>0.11588805158128168</v>
      </c>
      <c r="BZ52" s="459" t="str">
        <f>IFERROR((BP52/H52)^(1/10)-1,"n/m")</f>
        <v>n/m</v>
      </c>
      <c r="CD52" s="13"/>
      <c r="CE52" s="13"/>
      <c r="CF52" s="13"/>
    </row>
    <row r="53" spans="2:84" x14ac:dyDescent="0.25">
      <c r="B53" t="s">
        <v>20</v>
      </c>
      <c r="C53" s="10">
        <v>32</v>
      </c>
      <c r="D53" s="10">
        <v>32</v>
      </c>
      <c r="E53" s="10">
        <v>64</v>
      </c>
      <c r="F53" s="10">
        <v>30</v>
      </c>
      <c r="G53" s="10">
        <v>32</v>
      </c>
      <c r="H53" s="67">
        <v>126</v>
      </c>
      <c r="I53" s="179">
        <v>36</v>
      </c>
      <c r="J53" s="179">
        <v>44</v>
      </c>
      <c r="K53" s="180">
        <v>80</v>
      </c>
      <c r="L53" s="179">
        <v>41</v>
      </c>
      <c r="M53" s="179">
        <v>38</v>
      </c>
      <c r="N53" s="67">
        <v>159</v>
      </c>
      <c r="O53" s="179"/>
      <c r="P53" s="179"/>
      <c r="Q53" s="180"/>
      <c r="R53" s="179"/>
      <c r="S53" s="179"/>
      <c r="T53" s="67">
        <v>145</v>
      </c>
      <c r="U53" s="179"/>
      <c r="V53" s="179"/>
      <c r="W53" s="180"/>
      <c r="X53" s="179"/>
      <c r="Y53" s="179"/>
      <c r="Z53" s="67">
        <v>129</v>
      </c>
      <c r="AA53" s="179"/>
      <c r="AB53" s="179"/>
      <c r="AC53" s="180"/>
      <c r="AD53" s="179"/>
      <c r="AE53" s="179"/>
      <c r="AF53" s="67">
        <v>981</v>
      </c>
      <c r="AG53" s="179">
        <v>232</v>
      </c>
      <c r="AH53" s="179">
        <v>240</v>
      </c>
      <c r="AI53" s="180">
        <v>472</v>
      </c>
      <c r="AJ53" s="179">
        <v>236</v>
      </c>
      <c r="AK53" s="179">
        <v>220</v>
      </c>
      <c r="AL53" s="67">
        <v>928</v>
      </c>
      <c r="AM53" s="179">
        <v>254</v>
      </c>
      <c r="AN53" s="179">
        <v>241</v>
      </c>
      <c r="AO53" s="180">
        <v>495</v>
      </c>
      <c r="AP53" s="179">
        <v>237</v>
      </c>
      <c r="AQ53" s="179">
        <v>235</v>
      </c>
      <c r="AR53" s="67">
        <v>967</v>
      </c>
      <c r="AS53" s="179">
        <v>228</v>
      </c>
      <c r="AT53" s="179">
        <v>231</v>
      </c>
      <c r="AU53" s="180">
        <v>459</v>
      </c>
      <c r="AV53" s="179">
        <v>227</v>
      </c>
      <c r="AW53" s="179">
        <v>217</v>
      </c>
      <c r="AX53" s="67">
        <v>903</v>
      </c>
      <c r="AY53" s="179">
        <v>216</v>
      </c>
      <c r="AZ53" s="179">
        <v>213</v>
      </c>
      <c r="BA53" s="180">
        <v>429</v>
      </c>
      <c r="BB53" s="179">
        <v>210</v>
      </c>
      <c r="BC53" s="179">
        <v>210</v>
      </c>
      <c r="BD53" s="67">
        <v>849</v>
      </c>
      <c r="BE53" s="179">
        <v>213</v>
      </c>
      <c r="BF53" s="179">
        <v>230</v>
      </c>
      <c r="BG53" s="180">
        <v>443</v>
      </c>
      <c r="BH53" s="179">
        <v>232</v>
      </c>
      <c r="BI53" s="179">
        <v>264</v>
      </c>
      <c r="BJ53" s="67">
        <v>939</v>
      </c>
      <c r="BK53" s="179">
        <v>261</v>
      </c>
      <c r="BL53" s="179">
        <v>495</v>
      </c>
      <c r="BM53" s="180">
        <v>756</v>
      </c>
      <c r="BN53" s="179">
        <v>526</v>
      </c>
      <c r="BO53" s="179"/>
      <c r="BP53" s="67">
        <v>1709.3333333333301</v>
      </c>
      <c r="BQ53" s="371">
        <f>BQ47*BQ75</f>
        <v>1989.3866666666659</v>
      </c>
      <c r="BR53" s="371">
        <f>BR47*BR75</f>
        <v>2068.9621333333325</v>
      </c>
      <c r="BS53" s="371">
        <f>BS47*BS75</f>
        <v>2151.7206186666658</v>
      </c>
      <c r="BT53" s="371">
        <f>BT47*BT75</f>
        <v>2216.2722372266662</v>
      </c>
      <c r="BU53" s="371">
        <f>BU47*BU75</f>
        <v>2282.7604043434662</v>
      </c>
      <c r="BV53" s="365"/>
      <c r="BW53" s="305"/>
      <c r="BX53" s="451"/>
      <c r="BY53" s="459"/>
      <c r="BZ53" s="459"/>
      <c r="CC53" s="148" t="s">
        <v>427</v>
      </c>
      <c r="CD53" s="13"/>
      <c r="CE53" s="13"/>
      <c r="CF53" s="13"/>
    </row>
    <row r="54" spans="2:84" x14ac:dyDescent="0.25">
      <c r="B54" s="262" t="s">
        <v>21</v>
      </c>
      <c r="C54" s="10">
        <v>220</v>
      </c>
      <c r="D54" s="10">
        <v>259</v>
      </c>
      <c r="E54" s="10">
        <v>479</v>
      </c>
      <c r="F54" s="10">
        <v>242</v>
      </c>
      <c r="G54" s="10">
        <v>197</v>
      </c>
      <c r="H54" s="263">
        <v>918</v>
      </c>
      <c r="I54" s="264">
        <v>219</v>
      </c>
      <c r="J54" s="264">
        <v>310</v>
      </c>
      <c r="K54" s="264">
        <v>529</v>
      </c>
      <c r="L54" s="264">
        <v>290</v>
      </c>
      <c r="M54" s="264">
        <v>230</v>
      </c>
      <c r="N54" s="263">
        <v>1049</v>
      </c>
      <c r="O54" s="264"/>
      <c r="P54" s="264"/>
      <c r="Q54" s="264"/>
      <c r="R54" s="264"/>
      <c r="S54" s="264"/>
      <c r="T54" s="281">
        <f>T52-T53</f>
        <v>1201</v>
      </c>
      <c r="U54" s="281">
        <f t="shared" ref="U54:BP54" si="10">U52-U53</f>
        <v>0</v>
      </c>
      <c r="V54" s="281">
        <f t="shared" si="10"/>
        <v>0</v>
      </c>
      <c r="W54" s="281">
        <f t="shared" si="10"/>
        <v>0</v>
      </c>
      <c r="X54" s="281">
        <f t="shared" si="10"/>
        <v>0</v>
      </c>
      <c r="Y54" s="281">
        <f t="shared" si="10"/>
        <v>0</v>
      </c>
      <c r="Z54" s="281">
        <f>Z52-Z53</f>
        <v>1147</v>
      </c>
      <c r="AA54" s="281">
        <f t="shared" si="10"/>
        <v>0</v>
      </c>
      <c r="AB54" s="281">
        <f t="shared" si="10"/>
        <v>0</v>
      </c>
      <c r="AC54" s="281">
        <f t="shared" si="10"/>
        <v>0</v>
      </c>
      <c r="AD54" s="281">
        <f t="shared" si="10"/>
        <v>0</v>
      </c>
      <c r="AE54" s="281">
        <f t="shared" si="10"/>
        <v>0</v>
      </c>
      <c r="AF54" s="281">
        <f t="shared" si="10"/>
        <v>1251</v>
      </c>
      <c r="AG54" s="281">
        <f t="shared" si="10"/>
        <v>259</v>
      </c>
      <c r="AH54" s="281">
        <f t="shared" si="10"/>
        <v>263</v>
      </c>
      <c r="AI54" s="281">
        <f t="shared" si="10"/>
        <v>522</v>
      </c>
      <c r="AJ54" s="281">
        <f t="shared" si="10"/>
        <v>448</v>
      </c>
      <c r="AK54" s="281">
        <f t="shared" si="10"/>
        <v>420.29999999999995</v>
      </c>
      <c r="AL54" s="281">
        <f t="shared" si="10"/>
        <v>1390</v>
      </c>
      <c r="AM54" s="281">
        <f t="shared" si="10"/>
        <v>403</v>
      </c>
      <c r="AN54" s="281">
        <f t="shared" si="10"/>
        <v>476</v>
      </c>
      <c r="AO54" s="281">
        <f t="shared" si="10"/>
        <v>879</v>
      </c>
      <c r="AP54" s="281">
        <f t="shared" si="10"/>
        <v>465</v>
      </c>
      <c r="AQ54" s="281">
        <f t="shared" si="10"/>
        <v>513</v>
      </c>
      <c r="AR54" s="281">
        <f t="shared" si="10"/>
        <v>1857</v>
      </c>
      <c r="AS54" s="281">
        <f t="shared" si="10"/>
        <v>498</v>
      </c>
      <c r="AT54" s="281">
        <f t="shared" si="10"/>
        <v>566</v>
      </c>
      <c r="AU54" s="281">
        <f t="shared" si="10"/>
        <v>1064</v>
      </c>
      <c r="AV54" s="281">
        <f t="shared" si="10"/>
        <v>525</v>
      </c>
      <c r="AW54" s="281">
        <f t="shared" si="10"/>
        <v>451</v>
      </c>
      <c r="AX54" s="281">
        <f t="shared" si="10"/>
        <v>2040</v>
      </c>
      <c r="AY54" s="281">
        <f t="shared" si="10"/>
        <v>495</v>
      </c>
      <c r="AZ54" s="281">
        <f t="shared" si="10"/>
        <v>525</v>
      </c>
      <c r="BA54" s="281">
        <f t="shared" si="10"/>
        <v>1020</v>
      </c>
      <c r="BB54" s="281">
        <f t="shared" si="10"/>
        <v>522</v>
      </c>
      <c r="BC54" s="281">
        <f t="shared" si="10"/>
        <v>467</v>
      </c>
      <c r="BD54" s="281">
        <f t="shared" si="10"/>
        <v>2009</v>
      </c>
      <c r="BE54" s="281">
        <f t="shared" si="10"/>
        <v>490</v>
      </c>
      <c r="BF54" s="281">
        <f t="shared" si="10"/>
        <v>549</v>
      </c>
      <c r="BG54" s="281">
        <f t="shared" si="10"/>
        <v>1039</v>
      </c>
      <c r="BH54" s="281">
        <f t="shared" si="10"/>
        <v>514</v>
      </c>
      <c r="BI54" s="281">
        <f t="shared" si="10"/>
        <v>311</v>
      </c>
      <c r="BJ54" s="281">
        <f t="shared" si="10"/>
        <v>1864</v>
      </c>
      <c r="BK54" s="281">
        <f t="shared" si="10"/>
        <v>408</v>
      </c>
      <c r="BL54" s="281">
        <f t="shared" si="10"/>
        <v>520</v>
      </c>
      <c r="BM54" s="281">
        <f t="shared" si="10"/>
        <v>928</v>
      </c>
      <c r="BN54" s="281">
        <f t="shared" si="10"/>
        <v>798</v>
      </c>
      <c r="BO54" s="281">
        <f t="shared" si="10"/>
        <v>0</v>
      </c>
      <c r="BP54" s="281">
        <f t="shared" si="10"/>
        <v>2301.3333333332994</v>
      </c>
      <c r="BQ54" s="274">
        <f>BQ52-BQ53</f>
        <v>2387.2639999999951</v>
      </c>
      <c r="BR54" s="274">
        <f>BR52-BR53</f>
        <v>3144.8224426666638</v>
      </c>
      <c r="BS54" s="274">
        <f>BS52-BS53</f>
        <v>3873.0971136000012</v>
      </c>
      <c r="BT54" s="274">
        <f>BT52-BT53</f>
        <v>4166.5918059861297</v>
      </c>
      <c r="BU54" s="274">
        <f>BU52-BU53</f>
        <v>4565.5208086869334</v>
      </c>
      <c r="BV54" s="365"/>
      <c r="BW54" s="305"/>
      <c r="BX54" s="450">
        <f>IFERROR((BU54/BP54)^(1/5)-1,"n/m")</f>
        <v>0.14683822454219642</v>
      </c>
      <c r="BY54" s="265">
        <f>IFERROR((BP54/AL54)^(1/5)-1,"n/m")</f>
        <v>0.10609631521982221</v>
      </c>
      <c r="BZ54" s="265">
        <f>IFERROR((BP54/H54)^(1/10)-1,"n/m")</f>
        <v>9.6260294540954083E-2</v>
      </c>
      <c r="CC54" t="s">
        <v>417</v>
      </c>
      <c r="CD54" s="7">
        <v>2500</v>
      </c>
      <c r="CE54" s="7">
        <v>3000</v>
      </c>
      <c r="CF54" s="7">
        <v>4000</v>
      </c>
    </row>
    <row r="55" spans="2:84" x14ac:dyDescent="0.25">
      <c r="B55" s="305" t="s">
        <v>175</v>
      </c>
      <c r="C55" s="16"/>
      <c r="D55" s="16"/>
      <c r="E55" s="16"/>
      <c r="F55" s="16"/>
      <c r="G55" s="16"/>
      <c r="H55" s="71"/>
      <c r="I55" s="187"/>
      <c r="J55" s="187"/>
      <c r="K55" s="188"/>
      <c r="L55" s="187"/>
      <c r="M55" s="187"/>
      <c r="N55" s="69">
        <f>IFERROR(N45/H45-1,"")</f>
        <v>0.14584513310138369</v>
      </c>
      <c r="O55" s="183"/>
      <c r="P55" s="183"/>
      <c r="Q55" s="184"/>
      <c r="R55" s="183"/>
      <c r="S55" s="183"/>
      <c r="T55" s="69">
        <f>IFERROR(T45/N45-1,"")</f>
        <v>3.2094057832856793E-2</v>
      </c>
      <c r="U55" s="183"/>
      <c r="V55" s="183"/>
      <c r="W55" s="184"/>
      <c r="X55" s="183"/>
      <c r="Y55" s="183"/>
      <c r="Z55" s="69">
        <f>IFERROR(Z45/T45-1,"")</f>
        <v>1.5599343185550119E-2</v>
      </c>
      <c r="AA55" s="183"/>
      <c r="AB55" s="183"/>
      <c r="AC55" s="184"/>
      <c r="AD55" s="183"/>
      <c r="AE55" s="183"/>
      <c r="AF55" s="69">
        <f>IFERROR(AF45/Z45-1,"")</f>
        <v>1.1924009700889249E-2</v>
      </c>
      <c r="AG55" s="183"/>
      <c r="AH55" s="183"/>
      <c r="AI55" s="184"/>
      <c r="AJ55" s="183"/>
      <c r="AK55" s="183"/>
      <c r="AL55" s="69">
        <f>IFERROR(AL45/AF45-1,"")</f>
        <v>-5.4323946474935103E-2</v>
      </c>
      <c r="AM55" s="183"/>
      <c r="AN55" s="183"/>
      <c r="AO55" s="184"/>
      <c r="AP55" s="183"/>
      <c r="AQ55" s="183"/>
      <c r="AR55" s="69">
        <f>IFERROR(AR45/AL45-1,"")</f>
        <v>0.16427314325941578</v>
      </c>
      <c r="AS55" s="183"/>
      <c r="AT55" s="183"/>
      <c r="AU55" s="184"/>
      <c r="AV55" s="183"/>
      <c r="AW55" s="183"/>
      <c r="AX55" s="69">
        <f>IFERROR(AX45/AR45-1,"")</f>
        <v>0.17138797351634061</v>
      </c>
      <c r="AY55" s="183"/>
      <c r="AZ55" s="183"/>
      <c r="BA55" s="184"/>
      <c r="BB55" s="183"/>
      <c r="BC55" s="183"/>
      <c r="BD55" s="69">
        <f>IFERROR(BD45/AX45-1,"")</f>
        <v>-8.3544107778867449E-2</v>
      </c>
      <c r="BE55" s="183"/>
      <c r="BF55" s="183"/>
      <c r="BG55" s="184"/>
      <c r="BH55" s="183"/>
      <c r="BI55" s="183"/>
      <c r="BJ55" s="69">
        <f>IFERROR(BJ45/BD45-1,"")</f>
        <v>6.2829141907685404E-2</v>
      </c>
      <c r="BK55" s="183"/>
      <c r="BL55" s="183"/>
      <c r="BM55" s="184"/>
      <c r="BN55" s="183"/>
      <c r="BO55" s="183"/>
      <c r="BP55" s="69">
        <f>IFERROR(BP45/BJ45-1,"")</f>
        <v>0.90824059353471109</v>
      </c>
      <c r="BQ55" s="499">
        <f>CHOOSE(MATCH($BV$2,{"Bull","Base","Bear"},0),CD19,CE19,CF19)</f>
        <v>0.1</v>
      </c>
      <c r="BR55" s="499">
        <f>CHOOSE(MATCH($BV$2,{"Bull","Base","Bear"},0),CD20,CE20,CF20)</f>
        <v>0.04</v>
      </c>
      <c r="BS55" s="499">
        <f>CHOOSE(MATCH($BV$2,{"Bull","Base","Bear"},0),CD21,CE21,CF21)</f>
        <v>0.04</v>
      </c>
      <c r="BT55" s="499">
        <f>CHOOSE(MATCH($BV$2,{"Bull","Base","Bear"},0),CD22,CE22,CF22)</f>
        <v>0.03</v>
      </c>
      <c r="BU55" s="499">
        <f>CHOOSE(MATCH($BV$2,{"Bull","Base","Bear"},0),CD23,CE23,CF23)</f>
        <v>0.03</v>
      </c>
      <c r="BV55" s="400" t="s">
        <v>294</v>
      </c>
      <c r="BW55" s="289"/>
      <c r="BX55" s="451"/>
      <c r="BY55" s="290"/>
      <c r="BZ55" s="290"/>
      <c r="CC55" t="s">
        <v>418</v>
      </c>
      <c r="CD55" s="7">
        <v>1500</v>
      </c>
      <c r="CE55" s="7">
        <v>2000</v>
      </c>
      <c r="CF55" s="7">
        <v>3500</v>
      </c>
    </row>
    <row r="56" spans="2:84" x14ac:dyDescent="0.25">
      <c r="B56" s="12" t="s">
        <v>176</v>
      </c>
      <c r="C56" s="16"/>
      <c r="D56" s="16"/>
      <c r="E56" s="16"/>
      <c r="F56" s="16"/>
      <c r="G56" s="16"/>
      <c r="H56" s="71"/>
      <c r="I56" s="187"/>
      <c r="J56" s="187"/>
      <c r="K56" s="188"/>
      <c r="L56" s="187"/>
      <c r="M56" s="187"/>
      <c r="N56" s="69" t="str">
        <f>IFERROR(N49/H49-1,"")</f>
        <v/>
      </c>
      <c r="O56" s="183"/>
      <c r="P56" s="183"/>
      <c r="Q56" s="184"/>
      <c r="R56" s="183"/>
      <c r="S56" s="183"/>
      <c r="T56" s="69" t="str">
        <f>IFERROR(T49/N49-1,"")</f>
        <v/>
      </c>
      <c r="U56" s="183"/>
      <c r="V56" s="183"/>
      <c r="W56" s="184"/>
      <c r="X56" s="183"/>
      <c r="Y56" s="183"/>
      <c r="Z56" s="69">
        <f>IFERROR(Z49/T49-1,"")</f>
        <v>3.972006809154438E-3</v>
      </c>
      <c r="AA56" s="183"/>
      <c r="AB56" s="183"/>
      <c r="AC56" s="184"/>
      <c r="AD56" s="183"/>
      <c r="AE56" s="183"/>
      <c r="AF56" s="69">
        <f>IFERROR(AF49/Z49-1,"")</f>
        <v>0.15975885455915595</v>
      </c>
      <c r="AG56" s="183"/>
      <c r="AH56" s="183"/>
      <c r="AI56" s="184"/>
      <c r="AJ56" s="183"/>
      <c r="AK56" s="183"/>
      <c r="AL56" s="69">
        <f>IFERROR(AL49/AF49-1,"")</f>
        <v>-2.9239766081871066E-3</v>
      </c>
      <c r="AM56" s="183"/>
      <c r="AN56" s="183"/>
      <c r="AO56" s="184"/>
      <c r="AP56" s="183"/>
      <c r="AQ56" s="183"/>
      <c r="AR56" s="69">
        <f>IFERROR(AR49/AL49-1,"")</f>
        <v>0.15591397849462374</v>
      </c>
      <c r="AS56" s="183"/>
      <c r="AT56" s="183"/>
      <c r="AU56" s="184"/>
      <c r="AV56" s="183"/>
      <c r="AW56" s="183"/>
      <c r="AX56" s="69">
        <f>IFERROR(AX49/AR49-1,"")</f>
        <v>0.11501057082452437</v>
      </c>
      <c r="AY56" s="183"/>
      <c r="AZ56" s="183"/>
      <c r="BA56" s="184"/>
      <c r="BB56" s="183"/>
      <c r="BC56" s="183"/>
      <c r="BD56" s="69">
        <f>IFERROR(BD49/AX49-1,"")</f>
        <v>-6.4467197572999346E-3</v>
      </c>
      <c r="BE56" s="183"/>
      <c r="BF56" s="183"/>
      <c r="BG56" s="184"/>
      <c r="BH56" s="183"/>
      <c r="BI56" s="183"/>
      <c r="BJ56" s="69">
        <f>IFERROR(BJ49/BD49-1,"")</f>
        <v>-1.9083969465648831E-2</v>
      </c>
      <c r="BK56" s="183"/>
      <c r="BL56" s="183"/>
      <c r="BM56" s="184"/>
      <c r="BN56" s="183"/>
      <c r="BO56" s="183"/>
      <c r="BP56" s="69">
        <f>IFERROR(BP49/BJ49-1,"")</f>
        <v>0.94258538694335914</v>
      </c>
      <c r="BQ56" s="415">
        <f>IFERROR(BQ49/BP49-1,"n/a")</f>
        <v>0.14230784296270116</v>
      </c>
      <c r="BR56" s="415">
        <f>IFERROR(BR49/BQ49-1,"n/a")</f>
        <v>5.4511627906976834E-2</v>
      </c>
      <c r="BS56" s="415">
        <f>IFERROR(BS49/BR49-1,"n/a")</f>
        <v>4.9541284403669783E-2</v>
      </c>
      <c r="BT56" s="415">
        <f>IFERROR(BT49/BS49-1,"n/a")</f>
        <v>3.0000000000000027E-2</v>
      </c>
      <c r="BU56" s="415">
        <f>IFERROR(BU49/BT49-1,"n/a")</f>
        <v>3.0000000000000249E-2</v>
      </c>
      <c r="BV56" s="365"/>
      <c r="BW56" s="305"/>
      <c r="BX56" s="451"/>
      <c r="BY56" s="459"/>
      <c r="BZ56" s="459"/>
      <c r="CC56" t="s">
        <v>419</v>
      </c>
      <c r="CD56" s="7">
        <v>300</v>
      </c>
      <c r="CE56" s="7">
        <v>500</v>
      </c>
      <c r="CF56" s="7">
        <v>2000</v>
      </c>
    </row>
    <row r="57" spans="2:84" x14ac:dyDescent="0.25">
      <c r="B57" s="12" t="s">
        <v>177</v>
      </c>
      <c r="C57" s="16"/>
      <c r="D57" s="16"/>
      <c r="E57" s="16"/>
      <c r="F57" s="16"/>
      <c r="G57" s="16"/>
      <c r="H57" s="71"/>
      <c r="I57" s="187"/>
      <c r="J57" s="187"/>
      <c r="K57" s="188"/>
      <c r="L57" s="187"/>
      <c r="M57" s="187"/>
      <c r="N57" s="69" t="str">
        <f>IFERROR(N52/H52-1,"")</f>
        <v/>
      </c>
      <c r="O57" s="183"/>
      <c r="P57" s="183"/>
      <c r="Q57" s="184"/>
      <c r="R57" s="183"/>
      <c r="S57" s="183"/>
      <c r="T57" s="69" t="str">
        <f>IFERROR(T52/N52-1,"")</f>
        <v/>
      </c>
      <c r="U57" s="183"/>
      <c r="V57" s="183"/>
      <c r="W57" s="184"/>
      <c r="X57" s="183"/>
      <c r="Y57" s="183"/>
      <c r="Z57" s="69">
        <f>IFERROR(Z52/T52-1,"")</f>
        <v>-5.2005943536404198E-2</v>
      </c>
      <c r="AA57" s="183"/>
      <c r="AB57" s="183"/>
      <c r="AC57" s="184"/>
      <c r="AD57" s="183"/>
      <c r="AE57" s="183"/>
      <c r="AF57" s="69">
        <f>IFERROR(AF52/Z52-1,"")</f>
        <v>0.7492163009404389</v>
      </c>
      <c r="AG57" s="183"/>
      <c r="AH57" s="183"/>
      <c r="AI57" s="184"/>
      <c r="AJ57" s="183"/>
      <c r="AK57" s="183"/>
      <c r="AL57" s="69">
        <f>IFERROR(AL52/AF52-1,"")</f>
        <v>3.853046594982068E-2</v>
      </c>
      <c r="AM57" s="183"/>
      <c r="AN57" s="183"/>
      <c r="AO57" s="184"/>
      <c r="AP57" s="183"/>
      <c r="AQ57" s="183"/>
      <c r="AR57" s="69">
        <f>IFERROR(AR52/AL52-1,"")</f>
        <v>0.21829163071613467</v>
      </c>
      <c r="AS57" s="183"/>
      <c r="AT57" s="183"/>
      <c r="AU57" s="184"/>
      <c r="AV57" s="183"/>
      <c r="AW57" s="183"/>
      <c r="AX57" s="69">
        <f>IFERROR(AX52/AR52-1,"")</f>
        <v>4.2138810198300236E-2</v>
      </c>
      <c r="AY57" s="183"/>
      <c r="AZ57" s="183"/>
      <c r="BA57" s="184"/>
      <c r="BB57" s="183"/>
      <c r="BC57" s="183"/>
      <c r="BD57" s="69">
        <f>IFERROR(BD52/AX52-1,"")</f>
        <v>-2.8882093102276629E-2</v>
      </c>
      <c r="BE57" s="183"/>
      <c r="BF57" s="183"/>
      <c r="BG57" s="184"/>
      <c r="BH57" s="183"/>
      <c r="BI57" s="183"/>
      <c r="BJ57" s="69">
        <f>IFERROR(BJ52/BD52-1,"")</f>
        <v>-1.9244226731980452E-2</v>
      </c>
      <c r="BK57" s="183"/>
      <c r="BL57" s="183"/>
      <c r="BM57" s="184"/>
      <c r="BN57" s="183"/>
      <c r="BO57" s="183"/>
      <c r="BP57" s="69">
        <f>IFERROR(BP52/BJ52-1,"")</f>
        <v>0.43084790105837656</v>
      </c>
      <c r="BQ57" s="415">
        <f>IFERROR(BQ52/BP52-1,"n/a")</f>
        <v>9.1252659574476702E-2</v>
      </c>
      <c r="BR57" s="415">
        <f>IFERROR(BR52/BQ52-1,"n/a")</f>
        <v>0.19127272727272793</v>
      </c>
      <c r="BS57" s="415">
        <f>IFERROR(BS52/BR52-1,"n/a")</f>
        <v>0.15555555555555634</v>
      </c>
      <c r="BT57" s="415">
        <f>IFERROR(BT52/BS52-1,"n/a")</f>
        <v>5.942857142857072E-2</v>
      </c>
      <c r="BU57" s="415">
        <f>IFERROR(BU52/BT52-1,"n/a")</f>
        <v>7.2916666666667185E-2</v>
      </c>
      <c r="BV57" s="365"/>
      <c r="BW57" s="305"/>
      <c r="BX57" s="451"/>
      <c r="BY57" s="459"/>
      <c r="BZ57" s="459"/>
      <c r="CC57" t="s">
        <v>420</v>
      </c>
      <c r="CD57" s="7">
        <v>200</v>
      </c>
      <c r="CE57" s="7">
        <v>300</v>
      </c>
      <c r="CF57" s="7">
        <v>1000</v>
      </c>
    </row>
    <row r="58" spans="2:84" x14ac:dyDescent="0.25">
      <c r="B58" s="289" t="s">
        <v>178</v>
      </c>
      <c r="C58" s="16"/>
      <c r="D58" s="16"/>
      <c r="E58" s="16"/>
      <c r="F58" s="16"/>
      <c r="G58" s="16"/>
      <c r="H58" s="71"/>
      <c r="I58" s="187"/>
      <c r="J58" s="187"/>
      <c r="K58" s="188"/>
      <c r="L58" s="187"/>
      <c r="M58" s="187"/>
      <c r="N58" s="69">
        <f>IFERROR(N54/H54-1,"")</f>
        <v>0.14270152505446632</v>
      </c>
      <c r="O58" s="183"/>
      <c r="P58" s="183"/>
      <c r="Q58" s="184"/>
      <c r="R58" s="183"/>
      <c r="S58" s="183"/>
      <c r="T58" s="69">
        <f>IFERROR(T54/N54-1,"")</f>
        <v>0.14489990467111524</v>
      </c>
      <c r="U58" s="183"/>
      <c r="V58" s="183"/>
      <c r="W58" s="184"/>
      <c r="X58" s="183"/>
      <c r="Y58" s="183"/>
      <c r="Z58" s="69">
        <f>IFERROR(Z54/T54-1,"")</f>
        <v>-4.4962531223979973E-2</v>
      </c>
      <c r="AA58" s="183"/>
      <c r="AB58" s="183"/>
      <c r="AC58" s="184"/>
      <c r="AD58" s="183"/>
      <c r="AE58" s="183"/>
      <c r="AF58" s="69">
        <f>IFERROR(AF54/Z54-1,"")</f>
        <v>9.067131647776816E-2</v>
      </c>
      <c r="AG58" s="183"/>
      <c r="AH58" s="183"/>
      <c r="AI58" s="184"/>
      <c r="AJ58" s="183"/>
      <c r="AK58" s="183"/>
      <c r="AL58" s="69">
        <f>IFERROR(AL54/AF54-1,"")</f>
        <v>0.11111111111111116</v>
      </c>
      <c r="AM58" s="183"/>
      <c r="AN58" s="183"/>
      <c r="AO58" s="184"/>
      <c r="AP58" s="183"/>
      <c r="AQ58" s="183"/>
      <c r="AR58" s="69">
        <f>IFERROR(AR54/AL54-1,"")</f>
        <v>0.33597122302158278</v>
      </c>
      <c r="AS58" s="183"/>
      <c r="AT58" s="183"/>
      <c r="AU58" s="184"/>
      <c r="AV58" s="183"/>
      <c r="AW58" s="183"/>
      <c r="AX58" s="69">
        <f>IFERROR(AX54/AR54-1,"")</f>
        <v>9.8546042003230916E-2</v>
      </c>
      <c r="AY58" s="183"/>
      <c r="AZ58" s="183"/>
      <c r="BA58" s="184"/>
      <c r="BB58" s="183"/>
      <c r="BC58" s="183"/>
      <c r="BD58" s="69">
        <f>IFERROR(BD54/AX54-1,"")</f>
        <v>-1.5196078431372495E-2</v>
      </c>
      <c r="BE58" s="183"/>
      <c r="BF58" s="183"/>
      <c r="BG58" s="184"/>
      <c r="BH58" s="183"/>
      <c r="BI58" s="183"/>
      <c r="BJ58" s="69">
        <f>IFERROR(BJ54/BD54-1,"")</f>
        <v>-7.2175211548033857E-2</v>
      </c>
      <c r="BK58" s="183"/>
      <c r="BL58" s="183"/>
      <c r="BM58" s="184"/>
      <c r="BN58" s="183"/>
      <c r="BO58" s="183"/>
      <c r="BP58" s="69">
        <f>IFERROR(BP54/BJ54-1,"")</f>
        <v>0.23462088698138373</v>
      </c>
      <c r="BQ58" s="415">
        <f>IFERROR(BQ54/BP54-1,"n/a")</f>
        <v>3.7339513325621576E-2</v>
      </c>
      <c r="BR58" s="415">
        <f>IFERROR(BR54/BQ54-1,"n/a")</f>
        <v>0.3173333333333348</v>
      </c>
      <c r="BS58" s="415">
        <f>IFERROR(BS54/BR54-1,"n/a")</f>
        <v>0.23157894736842244</v>
      </c>
      <c r="BT58" s="415">
        <f>IFERROR(BT54/BS54-1,"n/a")</f>
        <v>7.5777777777776389E-2</v>
      </c>
      <c r="BU58" s="415">
        <f>IFERROR(BU54/BT54-1,"n/a")</f>
        <v>9.5744680851064912E-2</v>
      </c>
      <c r="BV58" s="365"/>
      <c r="BW58" s="305"/>
      <c r="BX58" s="451"/>
      <c r="BY58" s="290"/>
      <c r="BZ58" s="290"/>
      <c r="CC58" t="s">
        <v>421</v>
      </c>
      <c r="CD58" s="7">
        <v>200</v>
      </c>
      <c r="CE58" s="7">
        <v>300</v>
      </c>
      <c r="CF58" s="7">
        <v>500</v>
      </c>
    </row>
    <row r="59" spans="2:84" x14ac:dyDescent="0.25">
      <c r="B59" s="12" t="s">
        <v>179</v>
      </c>
      <c r="C59" s="16"/>
      <c r="D59" s="16"/>
      <c r="E59" s="16"/>
      <c r="F59" s="16"/>
      <c r="G59" s="16"/>
      <c r="H59" s="70" t="str">
        <f>IFERROR(H49/H45,"")</f>
        <v/>
      </c>
      <c r="I59" s="185" t="str">
        <f t="shared" ref="I59:BP59" si="11">IFERROR(I49/I45,"")</f>
        <v/>
      </c>
      <c r="J59" s="185" t="str">
        <f t="shared" si="11"/>
        <v/>
      </c>
      <c r="K59" s="186" t="str">
        <f t="shared" si="11"/>
        <v/>
      </c>
      <c r="L59" s="185" t="str">
        <f t="shared" si="11"/>
        <v/>
      </c>
      <c r="M59" s="185" t="str">
        <f t="shared" si="11"/>
        <v/>
      </c>
      <c r="N59" s="70" t="str">
        <f t="shared" si="11"/>
        <v/>
      </c>
      <c r="O59" s="185" t="str">
        <f t="shared" si="11"/>
        <v/>
      </c>
      <c r="P59" s="185" t="str">
        <f t="shared" si="11"/>
        <v/>
      </c>
      <c r="Q59" s="186" t="str">
        <f t="shared" si="11"/>
        <v/>
      </c>
      <c r="R59" s="185" t="str">
        <f t="shared" si="11"/>
        <v/>
      </c>
      <c r="S59" s="185" t="str">
        <f t="shared" si="11"/>
        <v/>
      </c>
      <c r="T59" s="70">
        <f t="shared" si="11"/>
        <v>0.18086343732895457</v>
      </c>
      <c r="U59" s="185" t="str">
        <f t="shared" si="11"/>
        <v/>
      </c>
      <c r="V59" s="185" t="str">
        <f t="shared" si="11"/>
        <v/>
      </c>
      <c r="W59" s="186" t="str">
        <f t="shared" si="11"/>
        <v/>
      </c>
      <c r="X59" s="185" t="str">
        <f t="shared" si="11"/>
        <v/>
      </c>
      <c r="Y59" s="185" t="str">
        <f t="shared" si="11"/>
        <v/>
      </c>
      <c r="Z59" s="70">
        <f t="shared" si="11"/>
        <v>0.17879277822689302</v>
      </c>
      <c r="AA59" s="185" t="str">
        <f t="shared" si="11"/>
        <v/>
      </c>
      <c r="AB59" s="185" t="str">
        <f t="shared" si="11"/>
        <v/>
      </c>
      <c r="AC59" s="186" t="str">
        <f t="shared" si="11"/>
        <v/>
      </c>
      <c r="AD59" s="185" t="str">
        <f t="shared" si="11"/>
        <v/>
      </c>
      <c r="AE59" s="185" t="str">
        <f t="shared" si="11"/>
        <v/>
      </c>
      <c r="AF59" s="70">
        <f t="shared" si="11"/>
        <v>0.20491312162971839</v>
      </c>
      <c r="AG59" s="185" t="str">
        <f t="shared" si="11"/>
        <v/>
      </c>
      <c r="AH59" s="185" t="str">
        <f t="shared" si="11"/>
        <v/>
      </c>
      <c r="AI59" s="186" t="str">
        <f t="shared" si="11"/>
        <v/>
      </c>
      <c r="AJ59" s="185" t="str">
        <f t="shared" si="11"/>
        <v/>
      </c>
      <c r="AK59" s="185" t="str">
        <f t="shared" si="11"/>
        <v/>
      </c>
      <c r="AL59" s="70">
        <f t="shared" si="11"/>
        <v>0.2160506863780359</v>
      </c>
      <c r="AM59" s="185" t="str">
        <f t="shared" si="11"/>
        <v/>
      </c>
      <c r="AN59" s="185" t="str">
        <f t="shared" si="11"/>
        <v/>
      </c>
      <c r="AO59" s="186" t="str">
        <f t="shared" si="11"/>
        <v/>
      </c>
      <c r="AP59" s="185" t="str">
        <f t="shared" si="11"/>
        <v/>
      </c>
      <c r="AQ59" s="185" t="str">
        <f t="shared" si="11"/>
        <v/>
      </c>
      <c r="AR59" s="70">
        <f t="shared" si="11"/>
        <v>0.21449950116395078</v>
      </c>
      <c r="AS59" s="185" t="str">
        <f t="shared" si="11"/>
        <v/>
      </c>
      <c r="AT59" s="185" t="str">
        <f t="shared" si="11"/>
        <v/>
      </c>
      <c r="AU59" s="186" t="str">
        <f t="shared" si="11"/>
        <v/>
      </c>
      <c r="AV59" s="185" t="str">
        <f t="shared" si="11"/>
        <v/>
      </c>
      <c r="AW59" s="185" t="str">
        <f t="shared" si="11"/>
        <v/>
      </c>
      <c r="AX59" s="70">
        <f t="shared" si="11"/>
        <v>0.2041759149331544</v>
      </c>
      <c r="AY59" s="185" t="str">
        <f t="shared" si="11"/>
        <v/>
      </c>
      <c r="AZ59" s="185" t="str">
        <f t="shared" si="11"/>
        <v/>
      </c>
      <c r="BA59" s="186" t="str">
        <f t="shared" si="11"/>
        <v/>
      </c>
      <c r="BB59" s="185" t="str">
        <f t="shared" si="11"/>
        <v/>
      </c>
      <c r="BC59" s="185" t="str">
        <f t="shared" si="11"/>
        <v/>
      </c>
      <c r="BD59" s="70">
        <f t="shared" si="11"/>
        <v>0.22135233321129855</v>
      </c>
      <c r="BE59" s="185" t="str">
        <f t="shared" si="11"/>
        <v/>
      </c>
      <c r="BF59" s="185" t="str">
        <f t="shared" si="11"/>
        <v/>
      </c>
      <c r="BG59" s="186" t="str">
        <f t="shared" si="11"/>
        <v/>
      </c>
      <c r="BH59" s="185" t="str">
        <f t="shared" si="11"/>
        <v/>
      </c>
      <c r="BI59" s="185" t="str">
        <f t="shared" si="11"/>
        <v/>
      </c>
      <c r="BJ59" s="70">
        <f t="shared" si="11"/>
        <v>0.20429252782193957</v>
      </c>
      <c r="BK59" s="185" t="str">
        <f t="shared" si="11"/>
        <v/>
      </c>
      <c r="BL59" s="185" t="str">
        <f t="shared" si="11"/>
        <v/>
      </c>
      <c r="BM59" s="186" t="str">
        <f t="shared" si="11"/>
        <v/>
      </c>
      <c r="BN59" s="185" t="str">
        <f t="shared" si="11"/>
        <v/>
      </c>
      <c r="BO59" s="185" t="str">
        <f t="shared" si="11"/>
        <v/>
      </c>
      <c r="BP59" s="70">
        <f t="shared" si="11"/>
        <v>0.20796941462895288</v>
      </c>
      <c r="BQ59" s="691">
        <v>0.215</v>
      </c>
      <c r="BR59" s="691">
        <v>0.218</v>
      </c>
      <c r="BS59" s="691">
        <v>0.22</v>
      </c>
      <c r="BT59" s="691">
        <v>0.22</v>
      </c>
      <c r="BU59" s="691">
        <v>0.22</v>
      </c>
      <c r="BV59" s="400" t="s">
        <v>295</v>
      </c>
      <c r="BW59" s="289"/>
      <c r="BX59" s="450">
        <f>IFERROR(AVERAGE(BQ59,BR59,BS59,BT59,BU59),"n/m")</f>
        <v>0.21859999999999999</v>
      </c>
      <c r="BY59" s="459">
        <f>IFERROR(AVERAGE(AR59,AX59,BD59,BJ59,BP59),"n/m")</f>
        <v>0.21045793835185922</v>
      </c>
      <c r="BZ59" s="459">
        <f>IFERROR(AVERAGE(N59,T59,Z59,AF59,AL59,AR59,AX59,BD59,BJ59,BP59),"n/m")</f>
        <v>0.20365663503587758</v>
      </c>
      <c r="CD59" s="13"/>
      <c r="CE59" s="13"/>
      <c r="CF59" s="13"/>
    </row>
    <row r="60" spans="2:84" x14ac:dyDescent="0.25">
      <c r="B60" s="12" t="s">
        <v>180</v>
      </c>
      <c r="C60" s="16"/>
      <c r="D60" s="16"/>
      <c r="E60" s="16"/>
      <c r="F60" s="16"/>
      <c r="G60" s="16"/>
      <c r="H60" s="70" t="str">
        <f>IFERROR(H52/H45,"")</f>
        <v/>
      </c>
      <c r="I60" s="185" t="str">
        <f t="shared" ref="I60:BP60" si="12">IFERROR(I52/I45,"")</f>
        <v/>
      </c>
      <c r="J60" s="185" t="str">
        <f t="shared" si="12"/>
        <v/>
      </c>
      <c r="K60" s="186" t="str">
        <f t="shared" si="12"/>
        <v/>
      </c>
      <c r="L60" s="185" t="str">
        <f t="shared" si="12"/>
        <v/>
      </c>
      <c r="M60" s="185" t="str">
        <f t="shared" si="12"/>
        <v/>
      </c>
      <c r="N60" s="70" t="str">
        <f t="shared" si="12"/>
        <v/>
      </c>
      <c r="O60" s="185" t="str">
        <f t="shared" si="12"/>
        <v/>
      </c>
      <c r="P60" s="185" t="str">
        <f t="shared" si="12"/>
        <v/>
      </c>
      <c r="Q60" s="186" t="str">
        <f t="shared" si="12"/>
        <v/>
      </c>
      <c r="R60" s="185" t="str">
        <f t="shared" si="12"/>
        <v/>
      </c>
      <c r="S60" s="185" t="str">
        <f t="shared" si="12"/>
        <v/>
      </c>
      <c r="T60" s="70">
        <f t="shared" si="12"/>
        <v>4.6045429666119318E-2</v>
      </c>
      <c r="U60" s="185" t="str">
        <f t="shared" si="12"/>
        <v/>
      </c>
      <c r="V60" s="185" t="str">
        <f t="shared" si="12"/>
        <v/>
      </c>
      <c r="W60" s="186" t="str">
        <f t="shared" si="12"/>
        <v/>
      </c>
      <c r="X60" s="185" t="str">
        <f t="shared" si="12"/>
        <v/>
      </c>
      <c r="Y60" s="185" t="str">
        <f t="shared" si="12"/>
        <v/>
      </c>
      <c r="Z60" s="70">
        <f t="shared" si="12"/>
        <v>4.2980328752357855E-2</v>
      </c>
      <c r="AA60" s="185" t="str">
        <f t="shared" si="12"/>
        <v/>
      </c>
      <c r="AB60" s="185" t="str">
        <f t="shared" si="12"/>
        <v/>
      </c>
      <c r="AC60" s="186" t="str">
        <f t="shared" si="12"/>
        <v/>
      </c>
      <c r="AD60" s="185" t="str">
        <f t="shared" si="12"/>
        <v/>
      </c>
      <c r="AE60" s="185" t="str">
        <f t="shared" si="12"/>
        <v/>
      </c>
      <c r="AF60" s="70">
        <f t="shared" si="12"/>
        <v>7.4295985620131816E-2</v>
      </c>
      <c r="AG60" s="185" t="str">
        <f t="shared" si="12"/>
        <v/>
      </c>
      <c r="AH60" s="185" t="str">
        <f t="shared" si="12"/>
        <v/>
      </c>
      <c r="AI60" s="186" t="str">
        <f t="shared" si="12"/>
        <v/>
      </c>
      <c r="AJ60" s="185" t="str">
        <f t="shared" si="12"/>
        <v/>
      </c>
      <c r="AK60" s="185" t="str">
        <f t="shared" si="12"/>
        <v/>
      </c>
      <c r="AL60" s="70">
        <f t="shared" si="12"/>
        <v>8.1590989088349178E-2</v>
      </c>
      <c r="AM60" s="185" t="str">
        <f t="shared" si="12"/>
        <v/>
      </c>
      <c r="AN60" s="185" t="str">
        <f t="shared" si="12"/>
        <v/>
      </c>
      <c r="AO60" s="186" t="str">
        <f t="shared" si="12"/>
        <v/>
      </c>
      <c r="AP60" s="185" t="str">
        <f t="shared" si="12"/>
        <v/>
      </c>
      <c r="AQ60" s="185" t="str">
        <f t="shared" si="12"/>
        <v/>
      </c>
      <c r="AR60" s="70">
        <f t="shared" si="12"/>
        <v>8.5376545635940382E-2</v>
      </c>
      <c r="AS60" s="185" t="str">
        <f t="shared" si="12"/>
        <v/>
      </c>
      <c r="AT60" s="185" t="str">
        <f t="shared" si="12"/>
        <v/>
      </c>
      <c r="AU60" s="186" t="str">
        <f t="shared" si="12"/>
        <v/>
      </c>
      <c r="AV60" s="185" t="str">
        <f t="shared" si="12"/>
        <v/>
      </c>
      <c r="AW60" s="185" t="str">
        <f t="shared" si="12"/>
        <v/>
      </c>
      <c r="AX60" s="70">
        <f t="shared" si="12"/>
        <v>7.5956227739637644E-2</v>
      </c>
      <c r="AY60" s="185" t="str">
        <f t="shared" si="12"/>
        <v/>
      </c>
      <c r="AZ60" s="185" t="str">
        <f t="shared" si="12"/>
        <v/>
      </c>
      <c r="BA60" s="186" t="str">
        <f t="shared" si="12"/>
        <v/>
      </c>
      <c r="BB60" s="185" t="str">
        <f t="shared" si="12"/>
        <v/>
      </c>
      <c r="BC60" s="185" t="str">
        <f t="shared" si="12"/>
        <v/>
      </c>
      <c r="BD60" s="70">
        <f t="shared" si="12"/>
        <v>8.0486637190571406E-2</v>
      </c>
      <c r="BE60" s="185" t="str">
        <f t="shared" si="12"/>
        <v/>
      </c>
      <c r="BF60" s="185" t="str">
        <f t="shared" si="12"/>
        <v/>
      </c>
      <c r="BG60" s="186" t="str">
        <f t="shared" si="12"/>
        <v/>
      </c>
      <c r="BH60" s="185" t="str">
        <f t="shared" si="12"/>
        <v/>
      </c>
      <c r="BI60" s="185" t="str">
        <f t="shared" si="12"/>
        <v/>
      </c>
      <c r="BJ60" s="70">
        <f t="shared" si="12"/>
        <v>7.4271330153683091E-2</v>
      </c>
      <c r="BK60" s="185" t="str">
        <f t="shared" si="12"/>
        <v/>
      </c>
      <c r="BL60" s="185" t="str">
        <f t="shared" si="12"/>
        <v/>
      </c>
      <c r="BM60" s="186" t="str">
        <f t="shared" si="12"/>
        <v/>
      </c>
      <c r="BN60" s="185" t="str">
        <f t="shared" si="12"/>
        <v/>
      </c>
      <c r="BO60" s="185" t="str">
        <f t="shared" si="12"/>
        <v/>
      </c>
      <c r="BP60" s="70">
        <f t="shared" si="12"/>
        <v>5.569055454499118E-2</v>
      </c>
      <c r="BQ60" s="369">
        <f>IFERROR(BQ52/BQ45,"n/a")</f>
        <v>5.6701030927835003E-2</v>
      </c>
      <c r="BR60" s="369">
        <f>IFERROR(BR52/BR45,"n/a")</f>
        <v>6.49484536082474E-2</v>
      </c>
      <c r="BS60" s="369">
        <f>IFERROR(BS52/BS45,"n/a")</f>
        <v>7.2164948453608282E-2</v>
      </c>
      <c r="BT60" s="369">
        <f>IFERROR(BT52/BT45,"n/a")</f>
        <v>7.4226804123711312E-2</v>
      </c>
      <c r="BU60" s="369">
        <f>IFERROR(BU52/BU45,"n/a")</f>
        <v>7.7319587628865982E-2</v>
      </c>
      <c r="BV60" s="365"/>
      <c r="BW60" s="305"/>
      <c r="BX60" s="451"/>
      <c r="BY60" s="459"/>
      <c r="BZ60" s="459"/>
      <c r="CC60" s="148" t="s">
        <v>428</v>
      </c>
      <c r="CD60" s="13"/>
      <c r="CE60" s="13"/>
      <c r="CF60" s="13"/>
    </row>
    <row r="61" spans="2:84" x14ac:dyDescent="0.25">
      <c r="B61" s="12" t="s">
        <v>181</v>
      </c>
      <c r="C61" s="16"/>
      <c r="D61" s="16"/>
      <c r="E61" s="16"/>
      <c r="F61" s="16"/>
      <c r="G61" s="16"/>
      <c r="H61" s="70">
        <f>IFERROR(H54/H45,"")</f>
        <v>3.7138927097661624E-2</v>
      </c>
      <c r="I61" s="185" t="str">
        <f t="shared" ref="I61:BP61" si="13">IFERROR(I54/I45,"")</f>
        <v/>
      </c>
      <c r="J61" s="185" t="str">
        <f t="shared" si="13"/>
        <v/>
      </c>
      <c r="K61" s="186" t="str">
        <f t="shared" si="13"/>
        <v/>
      </c>
      <c r="L61" s="185" t="str">
        <f t="shared" si="13"/>
        <v/>
      </c>
      <c r="M61" s="185" t="str">
        <f t="shared" si="13"/>
        <v/>
      </c>
      <c r="N61" s="70">
        <f t="shared" si="13"/>
        <v>3.7037037037037035E-2</v>
      </c>
      <c r="O61" s="185" t="str">
        <f t="shared" si="13"/>
        <v/>
      </c>
      <c r="P61" s="185" t="str">
        <f t="shared" si="13"/>
        <v/>
      </c>
      <c r="Q61" s="186" t="str">
        <f t="shared" si="13"/>
        <v/>
      </c>
      <c r="R61" s="185" t="str">
        <f t="shared" si="13"/>
        <v/>
      </c>
      <c r="S61" s="185" t="str">
        <f t="shared" si="13"/>
        <v/>
      </c>
      <c r="T61" s="70">
        <f t="shared" si="13"/>
        <v>4.1085112205801862E-2</v>
      </c>
      <c r="U61" s="185" t="str">
        <f t="shared" si="13"/>
        <v/>
      </c>
      <c r="V61" s="185" t="str">
        <f t="shared" si="13"/>
        <v/>
      </c>
      <c r="W61" s="186" t="str">
        <f t="shared" si="13"/>
        <v/>
      </c>
      <c r="X61" s="185" t="str">
        <f t="shared" si="13"/>
        <v/>
      </c>
      <c r="Y61" s="185" t="str">
        <f t="shared" si="13"/>
        <v/>
      </c>
      <c r="Z61" s="70">
        <f t="shared" si="13"/>
        <v>3.8635138776610081E-2</v>
      </c>
      <c r="AA61" s="185" t="str">
        <f t="shared" si="13"/>
        <v/>
      </c>
      <c r="AB61" s="185" t="str">
        <f t="shared" si="13"/>
        <v/>
      </c>
      <c r="AC61" s="186" t="str">
        <f t="shared" si="13"/>
        <v/>
      </c>
      <c r="AD61" s="185" t="str">
        <f t="shared" si="13"/>
        <v/>
      </c>
      <c r="AE61" s="185" t="str">
        <f t="shared" si="13"/>
        <v/>
      </c>
      <c r="AF61" s="70">
        <f t="shared" si="13"/>
        <v>4.1641701617735172E-2</v>
      </c>
      <c r="AG61" s="185" t="str">
        <f t="shared" si="13"/>
        <v/>
      </c>
      <c r="AH61" s="185" t="str">
        <f t="shared" si="13"/>
        <v/>
      </c>
      <c r="AI61" s="186" t="str">
        <f t="shared" si="13"/>
        <v/>
      </c>
      <c r="AJ61" s="185" t="str">
        <f t="shared" si="13"/>
        <v/>
      </c>
      <c r="AK61" s="185" t="str">
        <f t="shared" si="13"/>
        <v/>
      </c>
      <c r="AL61" s="70">
        <f t="shared" si="13"/>
        <v>4.892643435410067E-2</v>
      </c>
      <c r="AM61" s="185" t="str">
        <f t="shared" si="13"/>
        <v/>
      </c>
      <c r="AN61" s="185" t="str">
        <f t="shared" si="13"/>
        <v/>
      </c>
      <c r="AO61" s="186" t="str">
        <f t="shared" si="13"/>
        <v/>
      </c>
      <c r="AP61" s="185" t="str">
        <f t="shared" si="13"/>
        <v/>
      </c>
      <c r="AQ61" s="185" t="str">
        <f t="shared" si="13"/>
        <v/>
      </c>
      <c r="AR61" s="70">
        <f t="shared" si="13"/>
        <v>5.6141729902953713E-2</v>
      </c>
      <c r="AS61" s="185" t="str">
        <f t="shared" si="13"/>
        <v/>
      </c>
      <c r="AT61" s="185" t="str">
        <f t="shared" si="13"/>
        <v/>
      </c>
      <c r="AU61" s="186" t="str">
        <f t="shared" si="13"/>
        <v/>
      </c>
      <c r="AV61" s="185" t="str">
        <f t="shared" si="13"/>
        <v/>
      </c>
      <c r="AW61" s="185" t="str">
        <f t="shared" si="13"/>
        <v/>
      </c>
      <c r="AX61" s="70">
        <f t="shared" si="13"/>
        <v>5.2650596190574508E-2</v>
      </c>
      <c r="AY61" s="185" t="str">
        <f t="shared" si="13"/>
        <v/>
      </c>
      <c r="AZ61" s="185" t="str">
        <f t="shared" si="13"/>
        <v/>
      </c>
      <c r="BA61" s="186" t="str">
        <f t="shared" si="13"/>
        <v/>
      </c>
      <c r="BB61" s="185" t="str">
        <f t="shared" si="13"/>
        <v/>
      </c>
      <c r="BC61" s="185" t="str">
        <f t="shared" si="13"/>
        <v/>
      </c>
      <c r="BD61" s="70">
        <f t="shared" si="13"/>
        <v>5.6577205778816635E-2</v>
      </c>
      <c r="BE61" s="185" t="str">
        <f t="shared" si="13"/>
        <v/>
      </c>
      <c r="BF61" s="185" t="str">
        <f t="shared" si="13"/>
        <v/>
      </c>
      <c r="BG61" s="186" t="str">
        <f t="shared" si="13"/>
        <v/>
      </c>
      <c r="BH61" s="185" t="str">
        <f t="shared" si="13"/>
        <v/>
      </c>
      <c r="BI61" s="185" t="str">
        <f t="shared" si="13"/>
        <v/>
      </c>
      <c r="BJ61" s="70">
        <f t="shared" si="13"/>
        <v>4.9390567037625864E-2</v>
      </c>
      <c r="BK61" s="185" t="str">
        <f t="shared" si="13"/>
        <v/>
      </c>
      <c r="BL61" s="185" t="str">
        <f t="shared" si="13"/>
        <v/>
      </c>
      <c r="BM61" s="186" t="str">
        <f t="shared" si="13"/>
        <v/>
      </c>
      <c r="BN61" s="185" t="str">
        <f t="shared" si="13"/>
        <v/>
      </c>
      <c r="BO61" s="185" t="str">
        <f t="shared" si="13"/>
        <v/>
      </c>
      <c r="BP61" s="70">
        <f t="shared" si="13"/>
        <v>3.1955417933728136E-2</v>
      </c>
      <c r="BQ61" s="369">
        <f>IFERROR(BQ54/BQ45,"n/a")</f>
        <v>3.0927835051546341E-2</v>
      </c>
      <c r="BR61" s="369">
        <f>IFERROR(BR54/BR45,"n/a")</f>
        <v>3.9175257731958742E-2</v>
      </c>
      <c r="BS61" s="369">
        <f>IFERROR(BS54/BS45,"n/a")</f>
        <v>4.6391752577319624E-2</v>
      </c>
      <c r="BT61" s="369">
        <f>IFERROR(BT54/BT45,"n/a")</f>
        <v>4.8453608247422654E-2</v>
      </c>
      <c r="BU61" s="369">
        <f>IFERROR(BU54/BU45,"n/a")</f>
        <v>5.1546391752577331E-2</v>
      </c>
      <c r="BV61" s="365"/>
      <c r="BW61" s="305"/>
      <c r="BX61" s="450">
        <f>IFERROR(AVERAGE(BQ61,BR61,BS61,BT61,BU61),"n/m")</f>
        <v>4.329896907216494E-2</v>
      </c>
      <c r="BY61" s="459">
        <f>IFERROR(AVERAGE(AR61,AX61,BD61,BJ61,BP61),"n/m")</f>
        <v>4.9343103368739774E-2</v>
      </c>
      <c r="BZ61" s="459">
        <f>IFERROR(AVERAGE(N61,T61,Z61,AF61,AL61,AR61,AX61,BD61,BJ61,BP61),"n/m")</f>
        <v>4.540409408349836E-2</v>
      </c>
      <c r="CC61" t="s">
        <v>417</v>
      </c>
      <c r="CD61" s="7">
        <v>-3000</v>
      </c>
      <c r="CE61" s="7">
        <v>-2000</v>
      </c>
      <c r="CF61" s="7">
        <v>-1000</v>
      </c>
    </row>
    <row r="62" spans="2:84" x14ac:dyDescent="0.25">
      <c r="B62" s="12" t="s">
        <v>182</v>
      </c>
      <c r="C62" s="16"/>
      <c r="D62" s="16"/>
      <c r="E62" s="16"/>
      <c r="F62" s="16"/>
      <c r="G62" s="16"/>
      <c r="H62" s="71"/>
      <c r="I62" s="187"/>
      <c r="J62" s="187"/>
      <c r="K62" s="188"/>
      <c r="L62" s="187"/>
      <c r="M62" s="187"/>
      <c r="N62" s="71">
        <f>IFERROR((N54-H54)/(N45-H45),"")</f>
        <v>3.6338418862690708E-2</v>
      </c>
      <c r="O62" s="187"/>
      <c r="P62" s="187"/>
      <c r="Q62" s="188"/>
      <c r="R62" s="187"/>
      <c r="S62" s="187"/>
      <c r="T62" s="71">
        <f>IFERROR((T54-N54)/(T45-N45),"")</f>
        <v>0.16721672167216722</v>
      </c>
      <c r="U62" s="187"/>
      <c r="V62" s="187"/>
      <c r="W62" s="188"/>
      <c r="X62" s="187"/>
      <c r="Y62" s="187"/>
      <c r="Z62" s="71">
        <f>IFERROR((Z54-T54)/(Z45-T45),"")</f>
        <v>-0.11842105263157894</v>
      </c>
      <c r="AA62" s="187"/>
      <c r="AB62" s="187"/>
      <c r="AC62" s="188"/>
      <c r="AD62" s="187"/>
      <c r="AE62" s="187"/>
      <c r="AF62" s="71">
        <f>IFERROR((AF54-Z54)/(AF45-Z45),"")</f>
        <v>0.29378531073446329</v>
      </c>
      <c r="AG62" s="187"/>
      <c r="AH62" s="187"/>
      <c r="AI62" s="188"/>
      <c r="AJ62" s="187"/>
      <c r="AK62" s="187"/>
      <c r="AL62" s="71">
        <f>IFERROR((AL54-AF54)/(AL45-AF45),"")</f>
        <v>-8.5171568627450983E-2</v>
      </c>
      <c r="AM62" s="187"/>
      <c r="AN62" s="187"/>
      <c r="AO62" s="188"/>
      <c r="AP62" s="187"/>
      <c r="AQ62" s="187"/>
      <c r="AR62" s="71">
        <f>IFERROR((AR54-AL54)/(AR45-AL45),"")</f>
        <v>0.10006428112277695</v>
      </c>
      <c r="AS62" s="187"/>
      <c r="AT62" s="187"/>
      <c r="AU62" s="188"/>
      <c r="AV62" s="187"/>
      <c r="AW62" s="187"/>
      <c r="AX62" s="71">
        <f>IFERROR((AX54-AR54)/(AX45-AR45),"")</f>
        <v>3.2280825542423709E-2</v>
      </c>
      <c r="AY62" s="187"/>
      <c r="AZ62" s="187"/>
      <c r="BA62" s="188"/>
      <c r="BB62" s="187"/>
      <c r="BC62" s="187"/>
      <c r="BD62" s="71">
        <f>IFERROR((BD54-AX54)/(BD45-AX45),"")</f>
        <v>9.5767686129131918E-3</v>
      </c>
      <c r="BE62" s="187"/>
      <c r="BF62" s="187"/>
      <c r="BG62" s="188"/>
      <c r="BH62" s="187"/>
      <c r="BI62" s="187"/>
      <c r="BJ62" s="71">
        <f>IFERROR((BJ54-BD54)/(BJ45-BD45),"")</f>
        <v>-6.4993276557597485E-2</v>
      </c>
      <c r="BK62" s="187"/>
      <c r="BL62" s="187"/>
      <c r="BM62" s="188"/>
      <c r="BN62" s="187"/>
      <c r="BO62" s="187"/>
      <c r="BP62" s="71">
        <f>IFERROR((BP54-BJ54)/(BP45-BJ45),"")</f>
        <v>1.275879841681884E-2</v>
      </c>
      <c r="BQ62" s="369">
        <f>IFERROR((BQ54-BP54)/(BQ45-BP45),"n/a")</f>
        <v>1.6617153147100841E-2</v>
      </c>
      <c r="BR62" s="369">
        <f>IFERROR((BR54-BQ54)/(BR45-BQ45),"n/a")</f>
        <v>0.24536082474226886</v>
      </c>
      <c r="BS62" s="369">
        <f>IFERROR((BS54-BR54)/(BS45-BR45),"n/a")</f>
        <v>0.22680412371134162</v>
      </c>
      <c r="BT62" s="369">
        <f>IFERROR((BT54-BS54)/(BT45-BS45),"n/a")</f>
        <v>0.11718213058419019</v>
      </c>
      <c r="BU62" s="369">
        <f>IFERROR((BU54-BT54)/(BU45-BT45),"n/a")</f>
        <v>0.15463917525773258</v>
      </c>
      <c r="BV62" s="365"/>
      <c r="BW62" s="305"/>
      <c r="BX62" s="451"/>
      <c r="BY62" s="459"/>
      <c r="BZ62" s="459"/>
      <c r="CC62" t="s">
        <v>418</v>
      </c>
      <c r="CD62" s="7">
        <v>-7000</v>
      </c>
      <c r="CE62" s="7">
        <v>-5000</v>
      </c>
      <c r="CF62" s="7">
        <v>-2000</v>
      </c>
    </row>
    <row r="63" spans="2:84" x14ac:dyDescent="0.25">
      <c r="B63" s="262" t="s">
        <v>183</v>
      </c>
      <c r="C63" s="16"/>
      <c r="D63" s="16"/>
      <c r="E63" s="16"/>
      <c r="F63" s="16"/>
      <c r="G63" s="16"/>
      <c r="H63" s="267" t="str">
        <f>IFERROR(H54/H49,"")</f>
        <v/>
      </c>
      <c r="I63" s="268">
        <f t="shared" ref="I63:BP63" si="14">IFERROR(I54/I49,"")</f>
        <v>0.17422434367541767</v>
      </c>
      <c r="J63" s="268">
        <f t="shared" si="14"/>
        <v>0.22810890360559236</v>
      </c>
      <c r="K63" s="268">
        <f t="shared" si="14"/>
        <v>0.202217125382263</v>
      </c>
      <c r="L63" s="268">
        <f t="shared" si="14"/>
        <v>0.23255813953488372</v>
      </c>
      <c r="M63" s="268">
        <f t="shared" si="14"/>
        <v>0.18683996750609261</v>
      </c>
      <c r="N63" s="267" t="str">
        <f t="shared" si="14"/>
        <v/>
      </c>
      <c r="O63" s="268" t="str">
        <f t="shared" si="14"/>
        <v/>
      </c>
      <c r="P63" s="268" t="str">
        <f t="shared" si="14"/>
        <v/>
      </c>
      <c r="Q63" s="268" t="str">
        <f t="shared" si="14"/>
        <v/>
      </c>
      <c r="R63" s="268" t="str">
        <f t="shared" si="14"/>
        <v/>
      </c>
      <c r="S63" s="268" t="str">
        <f t="shared" si="14"/>
        <v/>
      </c>
      <c r="T63" s="269">
        <f t="shared" si="14"/>
        <v>0.22716096084736145</v>
      </c>
      <c r="U63" s="270" t="str">
        <f t="shared" si="14"/>
        <v/>
      </c>
      <c r="V63" s="270" t="str">
        <f t="shared" si="14"/>
        <v/>
      </c>
      <c r="W63" s="270" t="str">
        <f t="shared" si="14"/>
        <v/>
      </c>
      <c r="X63" s="270" t="str">
        <f t="shared" si="14"/>
        <v/>
      </c>
      <c r="Y63" s="270" t="str">
        <f t="shared" si="14"/>
        <v/>
      </c>
      <c r="Z63" s="269">
        <f t="shared" si="14"/>
        <v>0.21608892238131122</v>
      </c>
      <c r="AA63" s="270" t="str">
        <f t="shared" si="14"/>
        <v/>
      </c>
      <c r="AB63" s="270" t="str">
        <f t="shared" si="14"/>
        <v/>
      </c>
      <c r="AC63" s="270" t="str">
        <f t="shared" si="14"/>
        <v/>
      </c>
      <c r="AD63" s="270" t="str">
        <f t="shared" si="14"/>
        <v/>
      </c>
      <c r="AE63" s="270" t="str">
        <f t="shared" si="14"/>
        <v/>
      </c>
      <c r="AF63" s="269">
        <f t="shared" si="14"/>
        <v>0.20321637426900585</v>
      </c>
      <c r="AG63" s="270">
        <f t="shared" si="14"/>
        <v>0.16872964169381108</v>
      </c>
      <c r="AH63" s="270">
        <f t="shared" si="14"/>
        <v>0.18378756114605171</v>
      </c>
      <c r="AI63" s="270">
        <f t="shared" si="14"/>
        <v>0.17599460552933244</v>
      </c>
      <c r="AJ63" s="270">
        <f t="shared" si="14"/>
        <v>0.28264984227129336</v>
      </c>
      <c r="AK63" s="270">
        <f t="shared" si="14"/>
        <v>0.26483931947069939</v>
      </c>
      <c r="AL63" s="269">
        <f t="shared" si="14"/>
        <v>0.22645812968393614</v>
      </c>
      <c r="AM63" s="270">
        <f t="shared" si="14"/>
        <v>0.24321062160531079</v>
      </c>
      <c r="AN63" s="270">
        <f t="shared" si="14"/>
        <v>0.26923076923076922</v>
      </c>
      <c r="AO63" s="270">
        <f t="shared" si="14"/>
        <v>0.25664233576642337</v>
      </c>
      <c r="AP63" s="270">
        <f t="shared" si="14"/>
        <v>0.26647564469914042</v>
      </c>
      <c r="AQ63" s="270">
        <f t="shared" si="14"/>
        <v>0.2664935064935065</v>
      </c>
      <c r="AR63" s="269">
        <f t="shared" si="14"/>
        <v>0.26173361522198729</v>
      </c>
      <c r="AS63" s="270">
        <f t="shared" si="14"/>
        <v>0.25696594427244585</v>
      </c>
      <c r="AT63" s="270">
        <f t="shared" si="14"/>
        <v>0.2729026036644166</v>
      </c>
      <c r="AU63" s="270">
        <f t="shared" si="14"/>
        <v>0.26520438683948155</v>
      </c>
      <c r="AV63" s="270">
        <f t="shared" si="14"/>
        <v>0.26395173453996984</v>
      </c>
      <c r="AW63" s="270">
        <f t="shared" si="14"/>
        <v>0.23612565445026179</v>
      </c>
      <c r="AX63" s="269">
        <f t="shared" si="14"/>
        <v>0.2578687902919985</v>
      </c>
      <c r="AY63" s="270">
        <f t="shared" si="14"/>
        <v>0.25050607287449395</v>
      </c>
      <c r="AZ63" s="270">
        <f t="shared" si="14"/>
        <v>0.25951557093425603</v>
      </c>
      <c r="BA63" s="270">
        <f t="shared" si="14"/>
        <v>0.25506376594148539</v>
      </c>
      <c r="BB63" s="270">
        <f t="shared" si="14"/>
        <v>0.2713097713097713</v>
      </c>
      <c r="BC63" s="270">
        <f t="shared" si="14"/>
        <v>0.24109447599380485</v>
      </c>
      <c r="BD63" s="269">
        <f t="shared" si="14"/>
        <v>0.25559796437659033</v>
      </c>
      <c r="BE63" s="270">
        <f t="shared" si="14"/>
        <v>0.24949083503054989</v>
      </c>
      <c r="BF63" s="270">
        <f t="shared" si="14"/>
        <v>0.26637554585152839</v>
      </c>
      <c r="BG63" s="270">
        <f t="shared" si="14"/>
        <v>0.25813664596273295</v>
      </c>
      <c r="BH63" s="270">
        <f t="shared" si="14"/>
        <v>0.26577042399172701</v>
      </c>
      <c r="BI63" s="270">
        <f t="shared" si="14"/>
        <v>0.1776127926898915</v>
      </c>
      <c r="BJ63" s="269">
        <f t="shared" si="14"/>
        <v>0.24176394293125811</v>
      </c>
      <c r="BK63" s="270">
        <f t="shared" si="14"/>
        <v>0.20858895705521471</v>
      </c>
      <c r="BL63" s="270">
        <f t="shared" si="14"/>
        <v>0.12218045112781954</v>
      </c>
      <c r="BM63" s="270">
        <f t="shared" si="14"/>
        <v>0.14938828074694141</v>
      </c>
      <c r="BN63" s="270">
        <f t="shared" si="14"/>
        <v>0.15893248356901016</v>
      </c>
      <c r="BO63" s="270" t="str">
        <f t="shared" si="14"/>
        <v/>
      </c>
      <c r="BP63" s="269">
        <f t="shared" si="14"/>
        <v>0.15365441111012004</v>
      </c>
      <c r="BQ63" s="270">
        <f>IFERROR(BQ54/BQ49,"")</f>
        <v>0.13953488372093001</v>
      </c>
      <c r="BR63" s="270">
        <f>IFERROR(BR54/BR49,"")</f>
        <v>0.17431192660550449</v>
      </c>
      <c r="BS63" s="270">
        <f>IFERROR(BS54/BS49,"")</f>
        <v>0.20454545454545467</v>
      </c>
      <c r="BT63" s="270">
        <f>IFERROR(BT54/BT49,"")</f>
        <v>0.21363636363636351</v>
      </c>
      <c r="BU63" s="270">
        <f>IFERROR(BU54/BU49,"")</f>
        <v>0.22727272727272732</v>
      </c>
      <c r="BV63" s="400" t="s">
        <v>296</v>
      </c>
      <c r="BW63" s="289"/>
      <c r="BX63" s="450">
        <f>IFERROR(AVERAGE(BQ63,BR63,BS63,BT63,BU63),"n/m")</f>
        <v>0.191860271156196</v>
      </c>
      <c r="BY63" s="265">
        <f>IFERROR(AVERAGE(AR63,AX63,BD63,BJ63,BP63),"n/m")</f>
        <v>0.23412374478639086</v>
      </c>
      <c r="BZ63" s="265">
        <f>IFERROR(AVERAGE(N63,T63,Z63,AF63,AL63,AR63,AX63,BD63,BJ63,BP63),"n/m")</f>
        <v>0.22706034567928546</v>
      </c>
      <c r="CC63" t="s">
        <v>419</v>
      </c>
      <c r="CD63" s="7">
        <v>-15000</v>
      </c>
      <c r="CE63" s="7">
        <v>-10000</v>
      </c>
      <c r="CF63" s="7">
        <v>-3000</v>
      </c>
    </row>
    <row r="64" spans="2:84" x14ac:dyDescent="0.25">
      <c r="B64" s="223" t="s">
        <v>256</v>
      </c>
      <c r="C64" s="224"/>
      <c r="D64" s="224"/>
      <c r="E64" s="224"/>
      <c r="F64" s="224"/>
      <c r="G64" s="224"/>
      <c r="H64" s="334"/>
      <c r="I64" s="335"/>
      <c r="J64" s="335"/>
      <c r="K64" s="335"/>
      <c r="L64" s="335"/>
      <c r="M64" s="335"/>
      <c r="N64" s="334"/>
      <c r="O64" s="335"/>
      <c r="P64" s="335"/>
      <c r="Q64" s="335"/>
      <c r="R64" s="335"/>
      <c r="S64" s="335"/>
      <c r="T64" s="336"/>
      <c r="U64" s="337"/>
      <c r="V64" s="337"/>
      <c r="W64" s="337"/>
      <c r="X64" s="337"/>
      <c r="Y64" s="337"/>
      <c r="Z64" s="336"/>
      <c r="AA64" s="337"/>
      <c r="AB64" s="337"/>
      <c r="AC64" s="337"/>
      <c r="AD64" s="337"/>
      <c r="AE64" s="337"/>
      <c r="AF64" s="336"/>
      <c r="AG64" s="337"/>
      <c r="AH64" s="337"/>
      <c r="AI64" s="337"/>
      <c r="AJ64" s="337"/>
      <c r="AK64" s="337"/>
      <c r="AL64" s="336"/>
      <c r="AM64" s="337"/>
      <c r="AN64" s="337"/>
      <c r="AO64" s="337"/>
      <c r="AP64" s="337"/>
      <c r="AQ64" s="337"/>
      <c r="AR64" s="336"/>
      <c r="AS64" s="337"/>
      <c r="AT64" s="337"/>
      <c r="AU64" s="337"/>
      <c r="AV64" s="337"/>
      <c r="AW64" s="337"/>
      <c r="AX64" s="336"/>
      <c r="AY64" s="337"/>
      <c r="AZ64" s="337"/>
      <c r="BA64" s="337"/>
      <c r="BB64" s="337"/>
      <c r="BC64" s="337"/>
      <c r="BD64" s="336"/>
      <c r="BE64" s="337"/>
      <c r="BF64" s="337"/>
      <c r="BG64" s="337"/>
      <c r="BH64" s="337"/>
      <c r="BI64" s="337"/>
      <c r="BJ64" s="336"/>
      <c r="BK64" s="337"/>
      <c r="BL64" s="337"/>
      <c r="BM64" s="337"/>
      <c r="BN64" s="337"/>
      <c r="BO64" s="337"/>
      <c r="BP64" s="336"/>
      <c r="BQ64" s="337"/>
      <c r="BR64" s="337"/>
      <c r="BS64" s="337"/>
      <c r="BT64" s="337"/>
      <c r="BU64" s="337"/>
      <c r="BV64" s="365"/>
      <c r="BW64" s="305"/>
      <c r="BX64" s="451"/>
      <c r="BY64" s="60"/>
      <c r="BZ64" s="60"/>
      <c r="CC64" t="s">
        <v>420</v>
      </c>
      <c r="CD64" s="7">
        <v>-20000</v>
      </c>
      <c r="CE64" s="7">
        <v>-15000</v>
      </c>
      <c r="CF64" s="7">
        <v>-5000</v>
      </c>
    </row>
    <row r="65" spans="2:84" x14ac:dyDescent="0.25">
      <c r="B65" s="305" t="s">
        <v>257</v>
      </c>
      <c r="C65" s="16"/>
      <c r="D65" s="16"/>
      <c r="E65" s="16"/>
      <c r="F65" s="16"/>
      <c r="G65" s="16"/>
      <c r="H65" s="339"/>
      <c r="I65" s="340"/>
      <c r="J65" s="340"/>
      <c r="K65" s="340"/>
      <c r="L65" s="340"/>
      <c r="M65" s="340"/>
      <c r="N65" s="339"/>
      <c r="O65" s="340"/>
      <c r="P65" s="340"/>
      <c r="Q65" s="340"/>
      <c r="R65" s="340"/>
      <c r="S65" s="340"/>
      <c r="T65" s="339"/>
      <c r="U65" s="340"/>
      <c r="V65" s="340"/>
      <c r="W65" s="340"/>
      <c r="X65" s="340"/>
      <c r="Y65" s="340"/>
      <c r="Z65" s="339"/>
      <c r="AA65" s="340"/>
      <c r="AB65" s="340"/>
      <c r="AC65" s="340"/>
      <c r="AD65" s="340"/>
      <c r="AE65" s="340"/>
      <c r="AF65" s="339">
        <v>25</v>
      </c>
      <c r="AG65" s="340"/>
      <c r="AH65" s="340"/>
      <c r="AI65" s="340"/>
      <c r="AJ65" s="340"/>
      <c r="AK65" s="340"/>
      <c r="AL65" s="339">
        <v>22</v>
      </c>
      <c r="AM65" s="340"/>
      <c r="AN65" s="340"/>
      <c r="AO65" s="340"/>
      <c r="AP65" s="340"/>
      <c r="AQ65" s="340"/>
      <c r="AR65" s="339">
        <v>23</v>
      </c>
      <c r="AS65" s="340"/>
      <c r="AT65" s="340"/>
      <c r="AU65" s="340"/>
      <c r="AV65" s="340"/>
      <c r="AW65" s="340"/>
      <c r="AX65" s="339">
        <v>26</v>
      </c>
      <c r="AY65" s="340"/>
      <c r="AZ65" s="340"/>
      <c r="BA65" s="340"/>
      <c r="BB65" s="340"/>
      <c r="BC65" s="340"/>
      <c r="BD65" s="339">
        <v>26</v>
      </c>
      <c r="BE65" s="340"/>
      <c r="BF65" s="340"/>
      <c r="BG65" s="340"/>
      <c r="BH65" s="340"/>
      <c r="BI65" s="340"/>
      <c r="BJ65" s="339">
        <v>25</v>
      </c>
      <c r="BK65" s="340"/>
      <c r="BL65" s="340"/>
      <c r="BM65" s="340"/>
      <c r="BN65" s="340"/>
      <c r="BO65" s="340"/>
      <c r="BP65" s="339">
        <v>36</v>
      </c>
      <c r="BQ65" s="370"/>
      <c r="BR65" s="370"/>
      <c r="BS65" s="370"/>
      <c r="BT65" s="370"/>
      <c r="BU65" s="370"/>
      <c r="BV65" s="365"/>
      <c r="BW65" s="305"/>
      <c r="BX65" s="451"/>
      <c r="BY65" s="60"/>
      <c r="BZ65" s="60"/>
      <c r="CC65" t="s">
        <v>421</v>
      </c>
      <c r="CD65" s="7">
        <v>-25000</v>
      </c>
      <c r="CE65" s="7">
        <v>-18000</v>
      </c>
      <c r="CF65" s="7">
        <v>-8000</v>
      </c>
    </row>
    <row r="66" spans="2:84" x14ac:dyDescent="0.25">
      <c r="B66" s="305" t="s">
        <v>258</v>
      </c>
      <c r="C66" s="16"/>
      <c r="D66" s="16"/>
      <c r="E66" s="16"/>
      <c r="F66" s="16"/>
      <c r="G66" s="16"/>
      <c r="H66" s="314" t="str">
        <f>IFERROR(H47/H65,"n/a")</f>
        <v>n/a</v>
      </c>
      <c r="I66" s="291"/>
      <c r="J66" s="291"/>
      <c r="K66" s="291"/>
      <c r="L66" s="291"/>
      <c r="M66" s="291"/>
      <c r="N66" s="314" t="str">
        <f>IFERROR(N47/N65,"n/a")</f>
        <v>n/a</v>
      </c>
      <c r="O66" s="291"/>
      <c r="P66" s="291"/>
      <c r="Q66" s="291"/>
      <c r="R66" s="291"/>
      <c r="S66" s="291"/>
      <c r="T66" s="314" t="str">
        <f>IFERROR(T47/T65,"n/a")</f>
        <v>n/a</v>
      </c>
      <c r="U66" s="291"/>
      <c r="V66" s="291"/>
      <c r="W66" s="291"/>
      <c r="X66" s="291"/>
      <c r="Y66" s="291"/>
      <c r="Z66" s="314" t="str">
        <f>IFERROR(Z47/Z65,"n/a")</f>
        <v>n/a</v>
      </c>
      <c r="AA66" s="291"/>
      <c r="AB66" s="291"/>
      <c r="AC66" s="291"/>
      <c r="AD66" s="291"/>
      <c r="AE66" s="291"/>
      <c r="AF66" s="314">
        <f>IFERROR(AF47/AF65,"n/a")</f>
        <v>1264.8399999999999</v>
      </c>
      <c r="AG66" s="291"/>
      <c r="AH66" s="291"/>
      <c r="AI66" s="291"/>
      <c r="AJ66" s="291"/>
      <c r="AK66" s="291"/>
      <c r="AL66" s="314">
        <f>IFERROR(AL47/AL65,"n/a")</f>
        <v>1381.590909090909</v>
      </c>
      <c r="AM66" s="291"/>
      <c r="AN66" s="291"/>
      <c r="AO66" s="291"/>
      <c r="AP66" s="291"/>
      <c r="AQ66" s="291"/>
      <c r="AR66" s="314">
        <f>IFERROR(AR47/AR65,"n/a")</f>
        <v>1539.8260869565217</v>
      </c>
      <c r="AS66" s="291"/>
      <c r="AT66" s="291"/>
      <c r="AU66" s="291"/>
      <c r="AV66" s="291"/>
      <c r="AW66" s="291"/>
      <c r="AX66" s="314">
        <f>IFERROR(AX47/AX65,"n/a")</f>
        <v>1596.4230769230769</v>
      </c>
      <c r="AY66" s="291"/>
      <c r="AZ66" s="291"/>
      <c r="BA66" s="291"/>
      <c r="BB66" s="291"/>
      <c r="BC66" s="291"/>
      <c r="BD66" s="314">
        <f>IFERROR(BD47/BD65,"n/a")</f>
        <v>1467.5</v>
      </c>
      <c r="BE66" s="291"/>
      <c r="BF66" s="291"/>
      <c r="BG66" s="291"/>
      <c r="BH66" s="291"/>
      <c r="BI66" s="291"/>
      <c r="BJ66" s="314">
        <f>IFERROR(BJ47/BJ65,"n/a")</f>
        <v>1620.28</v>
      </c>
      <c r="BK66" s="291"/>
      <c r="BL66" s="291"/>
      <c r="BM66" s="291"/>
      <c r="BN66" s="291"/>
      <c r="BO66" s="291"/>
      <c r="BP66" s="314">
        <f>IFERROR(BP47/BP65,"n/a")</f>
        <v>2009.4814814814806</v>
      </c>
      <c r="BQ66" s="371"/>
      <c r="BR66" s="371"/>
      <c r="BS66" s="371"/>
      <c r="BT66" s="371"/>
      <c r="BU66" s="371"/>
      <c r="BV66" s="365"/>
      <c r="BW66" s="305"/>
      <c r="BX66" s="451"/>
      <c r="BY66" s="60"/>
      <c r="BZ66" s="60"/>
      <c r="CD66" s="13"/>
      <c r="CE66" s="13"/>
      <c r="CF66" s="13"/>
    </row>
    <row r="67" spans="2:84" x14ac:dyDescent="0.25">
      <c r="B67" s="305" t="s">
        <v>259</v>
      </c>
      <c r="C67" s="16"/>
      <c r="D67" s="16"/>
      <c r="E67" s="16"/>
      <c r="F67" s="16"/>
      <c r="G67" s="16"/>
      <c r="H67" s="314" t="str">
        <f>IFERROR(H49/H65,"n/a")</f>
        <v>n/a</v>
      </c>
      <c r="I67" s="291"/>
      <c r="J67" s="291"/>
      <c r="K67" s="291"/>
      <c r="L67" s="291"/>
      <c r="M67" s="291"/>
      <c r="N67" s="314" t="str">
        <f>IFERROR(N49/N65,"n/a")</f>
        <v>n/a</v>
      </c>
      <c r="O67" s="291"/>
      <c r="P67" s="291"/>
      <c r="Q67" s="291"/>
      <c r="R67" s="291"/>
      <c r="S67" s="291"/>
      <c r="T67" s="314" t="str">
        <f>IFERROR(T49/T65,"n/a")</f>
        <v>n/a</v>
      </c>
      <c r="U67" s="291"/>
      <c r="V67" s="291"/>
      <c r="W67" s="291"/>
      <c r="X67" s="291"/>
      <c r="Y67" s="291"/>
      <c r="Z67" s="314" t="str">
        <f>IFERROR(Z49/Z65,"n/a")</f>
        <v>n/a</v>
      </c>
      <c r="AA67" s="291"/>
      <c r="AB67" s="291"/>
      <c r="AC67" s="291"/>
      <c r="AD67" s="291"/>
      <c r="AE67" s="291"/>
      <c r="AF67" s="314">
        <f>IFERROR(AF49/AF65,"n/a")</f>
        <v>246.24</v>
      </c>
      <c r="AG67" s="291"/>
      <c r="AH67" s="291"/>
      <c r="AI67" s="291"/>
      <c r="AJ67" s="291"/>
      <c r="AK67" s="291"/>
      <c r="AL67" s="314">
        <f>IFERROR(AL49/AL65,"n/a")</f>
        <v>279</v>
      </c>
      <c r="AM67" s="291"/>
      <c r="AN67" s="291"/>
      <c r="AO67" s="291"/>
      <c r="AP67" s="291"/>
      <c r="AQ67" s="291"/>
      <c r="AR67" s="314">
        <f>IFERROR(AR49/AR65,"n/a")</f>
        <v>308.47826086956519</v>
      </c>
      <c r="AS67" s="291"/>
      <c r="AT67" s="291"/>
      <c r="AU67" s="291"/>
      <c r="AV67" s="291"/>
      <c r="AW67" s="291"/>
      <c r="AX67" s="314">
        <f>IFERROR(AX49/AX65,"n/a")</f>
        <v>304.26923076923077</v>
      </c>
      <c r="AY67" s="291"/>
      <c r="AZ67" s="291"/>
      <c r="BA67" s="291"/>
      <c r="BB67" s="291"/>
      <c r="BC67" s="291"/>
      <c r="BD67" s="314">
        <f>IFERROR(BD49/BD65,"n/a")</f>
        <v>302.30769230769232</v>
      </c>
      <c r="BE67" s="291"/>
      <c r="BF67" s="291"/>
      <c r="BG67" s="291"/>
      <c r="BH67" s="291"/>
      <c r="BI67" s="291"/>
      <c r="BJ67" s="314">
        <f>IFERROR(BJ49/BJ65,"n/a")</f>
        <v>308.39999999999998</v>
      </c>
      <c r="BK67" s="291"/>
      <c r="BL67" s="291"/>
      <c r="BM67" s="291"/>
      <c r="BN67" s="291"/>
      <c r="BO67" s="291"/>
      <c r="BP67" s="314">
        <f>IFERROR(BP49/BP65,"n/a")</f>
        <v>416.0370370370361</v>
      </c>
      <c r="BQ67" s="371"/>
      <c r="BR67" s="371"/>
      <c r="BS67" s="371"/>
      <c r="BT67" s="371"/>
      <c r="BU67" s="371"/>
      <c r="BV67" s="365"/>
      <c r="BW67" s="305"/>
      <c r="BX67" s="451"/>
      <c r="BY67" s="60"/>
      <c r="BZ67" s="60"/>
      <c r="CC67" s="148" t="s">
        <v>429</v>
      </c>
      <c r="CD67" s="13"/>
      <c r="CE67" s="13"/>
      <c r="CF67" s="13"/>
    </row>
    <row r="68" spans="2:84" x14ac:dyDescent="0.25">
      <c r="B68" s="305" t="s">
        <v>260</v>
      </c>
      <c r="C68" s="16"/>
      <c r="D68" s="16"/>
      <c r="E68" s="16"/>
      <c r="F68" s="16"/>
      <c r="G68" s="16"/>
      <c r="H68" s="314" t="str">
        <f>IFERROR(H54/H65,"n/a")</f>
        <v>n/a</v>
      </c>
      <c r="I68" s="291"/>
      <c r="J68" s="291"/>
      <c r="K68" s="291"/>
      <c r="L68" s="291"/>
      <c r="M68" s="291"/>
      <c r="N68" s="314" t="str">
        <f>IFERROR(N54/N65,"n/a")</f>
        <v>n/a</v>
      </c>
      <c r="O68" s="291"/>
      <c r="P68" s="291"/>
      <c r="Q68" s="291"/>
      <c r="R68" s="291"/>
      <c r="S68" s="291"/>
      <c r="T68" s="314" t="str">
        <f>IFERROR(T54/T65,"n/a")</f>
        <v>n/a</v>
      </c>
      <c r="U68" s="291"/>
      <c r="V68" s="291"/>
      <c r="W68" s="291"/>
      <c r="X68" s="291"/>
      <c r="Y68" s="291"/>
      <c r="Z68" s="314" t="str">
        <f>IFERROR(Z54/Z65,"n/a")</f>
        <v>n/a</v>
      </c>
      <c r="AA68" s="291"/>
      <c r="AB68" s="291"/>
      <c r="AC68" s="291"/>
      <c r="AD68" s="291"/>
      <c r="AE68" s="291"/>
      <c r="AF68" s="314">
        <f>IFERROR(AF54/AF65,"n/a")</f>
        <v>50.04</v>
      </c>
      <c r="AG68" s="291"/>
      <c r="AH68" s="291"/>
      <c r="AI68" s="291"/>
      <c r="AJ68" s="291"/>
      <c r="AK68" s="291"/>
      <c r="AL68" s="314">
        <f>IFERROR(AL54/AL65,"n/a")</f>
        <v>63.18181818181818</v>
      </c>
      <c r="AM68" s="291"/>
      <c r="AN68" s="291"/>
      <c r="AO68" s="291"/>
      <c r="AP68" s="291"/>
      <c r="AQ68" s="291"/>
      <c r="AR68" s="314">
        <f>IFERROR(AR54/AR65,"n/a")</f>
        <v>80.739130434782609</v>
      </c>
      <c r="AS68" s="291"/>
      <c r="AT68" s="291"/>
      <c r="AU68" s="291"/>
      <c r="AV68" s="291"/>
      <c r="AW68" s="291"/>
      <c r="AX68" s="314">
        <f>IFERROR(AX54/AX65,"n/a")</f>
        <v>78.461538461538467</v>
      </c>
      <c r="AY68" s="291"/>
      <c r="AZ68" s="291"/>
      <c r="BA68" s="291"/>
      <c r="BB68" s="291"/>
      <c r="BC68" s="291"/>
      <c r="BD68" s="314">
        <f>IFERROR(BD54/BD65,"n/a")</f>
        <v>77.269230769230774</v>
      </c>
      <c r="BE68" s="291"/>
      <c r="BF68" s="291"/>
      <c r="BG68" s="291"/>
      <c r="BH68" s="291"/>
      <c r="BI68" s="291"/>
      <c r="BJ68" s="314">
        <f>IFERROR(BJ54/BJ65,"n/a")</f>
        <v>74.56</v>
      </c>
      <c r="BK68" s="291"/>
      <c r="BL68" s="291"/>
      <c r="BM68" s="291"/>
      <c r="BN68" s="291"/>
      <c r="BO68" s="291"/>
      <c r="BP68" s="314">
        <f>IFERROR(BP54/BP65,"n/a")</f>
        <v>63.925925925924986</v>
      </c>
      <c r="BQ68" s="371"/>
      <c r="BR68" s="371"/>
      <c r="BS68" s="371"/>
      <c r="BT68" s="371"/>
      <c r="BU68" s="371"/>
      <c r="BV68" s="365"/>
      <c r="BW68" s="305"/>
      <c r="BX68" s="451"/>
      <c r="BY68" s="60"/>
      <c r="BZ68" s="60"/>
      <c r="CC68" t="s">
        <v>417</v>
      </c>
      <c r="CD68" s="13">
        <v>0.2</v>
      </c>
      <c r="CE68" s="13">
        <v>0.15</v>
      </c>
      <c r="CF68" s="13">
        <v>0.05</v>
      </c>
    </row>
    <row r="69" spans="2:84" x14ac:dyDescent="0.25">
      <c r="B69" s="305" t="s">
        <v>261</v>
      </c>
      <c r="C69" s="16"/>
      <c r="D69" s="16"/>
      <c r="E69" s="16"/>
      <c r="F69" s="16"/>
      <c r="G69" s="16"/>
      <c r="H69" s="339"/>
      <c r="I69" s="340"/>
      <c r="J69" s="340"/>
      <c r="K69" s="340"/>
      <c r="L69" s="340"/>
      <c r="M69" s="340"/>
      <c r="N69" s="339"/>
      <c r="O69" s="340"/>
      <c r="P69" s="340"/>
      <c r="Q69" s="340"/>
      <c r="R69" s="340"/>
      <c r="S69" s="340"/>
      <c r="T69" s="339"/>
      <c r="U69" s="340"/>
      <c r="V69" s="340"/>
      <c r="W69" s="340"/>
      <c r="X69" s="340"/>
      <c r="Y69" s="340"/>
      <c r="Z69" s="339"/>
      <c r="AA69" s="340"/>
      <c r="AB69" s="340"/>
      <c r="AC69" s="340"/>
      <c r="AD69" s="340"/>
      <c r="AE69" s="340"/>
      <c r="AF69" s="345">
        <v>22</v>
      </c>
      <c r="AG69" s="346"/>
      <c r="AH69" s="346"/>
      <c r="AI69" s="346"/>
      <c r="AJ69" s="346"/>
      <c r="AK69" s="346"/>
      <c r="AL69" s="345">
        <v>21</v>
      </c>
      <c r="AM69" s="346"/>
      <c r="AN69" s="346"/>
      <c r="AO69" s="346"/>
      <c r="AP69" s="346"/>
      <c r="AQ69" s="346"/>
      <c r="AR69" s="345">
        <v>22</v>
      </c>
      <c r="AS69" s="346"/>
      <c r="AT69" s="346"/>
      <c r="AU69" s="346"/>
      <c r="AV69" s="346"/>
      <c r="AW69" s="346"/>
      <c r="AX69" s="345">
        <v>23</v>
      </c>
      <c r="AY69" s="346"/>
      <c r="AZ69" s="346"/>
      <c r="BA69" s="346"/>
      <c r="BB69" s="346"/>
      <c r="BC69" s="346"/>
      <c r="BD69" s="345">
        <v>22</v>
      </c>
      <c r="BE69" s="346"/>
      <c r="BF69" s="346"/>
      <c r="BG69" s="346"/>
      <c r="BH69" s="346"/>
      <c r="BI69" s="346"/>
      <c r="BJ69" s="345">
        <v>21</v>
      </c>
      <c r="BK69" s="346"/>
      <c r="BL69" s="346"/>
      <c r="BM69" s="346"/>
      <c r="BN69" s="346"/>
      <c r="BO69" s="346"/>
      <c r="BP69" s="345">
        <v>30</v>
      </c>
      <c r="BQ69" s="372"/>
      <c r="BR69" s="372"/>
      <c r="BS69" s="372"/>
      <c r="BT69" s="372"/>
      <c r="BU69" s="372"/>
      <c r="BV69" s="365"/>
      <c r="BW69" s="305"/>
      <c r="BX69" s="451"/>
      <c r="BY69" s="60"/>
      <c r="BZ69" s="60"/>
      <c r="CC69" t="s">
        <v>418</v>
      </c>
      <c r="CD69" s="13">
        <v>0.04</v>
      </c>
      <c r="CE69" s="13">
        <v>2.5000000000000001E-2</v>
      </c>
      <c r="CF69" s="13">
        <v>0.01</v>
      </c>
    </row>
    <row r="70" spans="2:84" x14ac:dyDescent="0.25">
      <c r="B70" s="149" t="s">
        <v>280</v>
      </c>
      <c r="C70" s="261"/>
      <c r="D70" s="261"/>
      <c r="E70" s="261"/>
      <c r="F70" s="261"/>
      <c r="G70" s="261"/>
      <c r="H70" s="389"/>
      <c r="I70" s="390"/>
      <c r="J70" s="390"/>
      <c r="K70" s="390"/>
      <c r="L70" s="390"/>
      <c r="M70" s="390"/>
      <c r="N70" s="389"/>
      <c r="O70" s="390"/>
      <c r="P70" s="390"/>
      <c r="Q70" s="390"/>
      <c r="R70" s="390"/>
      <c r="S70" s="390"/>
      <c r="T70" s="389"/>
      <c r="U70" s="390"/>
      <c r="V70" s="390"/>
      <c r="W70" s="390"/>
      <c r="X70" s="390"/>
      <c r="Y70" s="390"/>
      <c r="Z70" s="389"/>
      <c r="AA70" s="390"/>
      <c r="AB70" s="390"/>
      <c r="AC70" s="390"/>
      <c r="AD70" s="390"/>
      <c r="AE70" s="390"/>
      <c r="AF70" s="391"/>
      <c r="AG70" s="392"/>
      <c r="AH70" s="392"/>
      <c r="AI70" s="392"/>
      <c r="AJ70" s="392"/>
      <c r="AK70" s="392"/>
      <c r="AL70" s="391"/>
      <c r="AM70" s="392"/>
      <c r="AN70" s="392"/>
      <c r="AO70" s="392"/>
      <c r="AP70" s="392"/>
      <c r="AQ70" s="392"/>
      <c r="AR70" s="391"/>
      <c r="AS70" s="392"/>
      <c r="AT70" s="392"/>
      <c r="AU70" s="392"/>
      <c r="AV70" s="392"/>
      <c r="AW70" s="392"/>
      <c r="AX70" s="391"/>
      <c r="AY70" s="392"/>
      <c r="AZ70" s="392"/>
      <c r="BA70" s="392"/>
      <c r="BB70" s="392"/>
      <c r="BC70" s="392"/>
      <c r="BD70" s="391"/>
      <c r="BE70" s="392"/>
      <c r="BF70" s="392"/>
      <c r="BG70" s="392"/>
      <c r="BH70" s="392"/>
      <c r="BI70" s="392"/>
      <c r="BJ70" s="391"/>
      <c r="BK70" s="392"/>
      <c r="BL70" s="392"/>
      <c r="BM70" s="392"/>
      <c r="BN70" s="392"/>
      <c r="BO70" s="392"/>
      <c r="BP70" s="391"/>
      <c r="BQ70" s="392"/>
      <c r="BR70" s="392"/>
      <c r="BS70" s="392"/>
      <c r="BT70" s="392"/>
      <c r="BU70" s="392"/>
      <c r="BV70" s="402" t="s">
        <v>297</v>
      </c>
      <c r="BW70" s="445"/>
      <c r="BX70" s="454"/>
      <c r="BY70" s="60"/>
      <c r="BZ70" s="60"/>
      <c r="CC70" t="s">
        <v>419</v>
      </c>
      <c r="CD70" s="13">
        <v>0.03</v>
      </c>
      <c r="CE70" s="13">
        <v>2.5000000000000001E-2</v>
      </c>
      <c r="CF70" s="13">
        <v>0.01</v>
      </c>
    </row>
    <row r="71" spans="2:84" x14ac:dyDescent="0.25">
      <c r="B71" s="305" t="s">
        <v>275</v>
      </c>
      <c r="C71" s="16"/>
      <c r="D71" s="16"/>
      <c r="E71" s="16"/>
      <c r="F71" s="16"/>
      <c r="G71" s="16"/>
      <c r="H71" s="421">
        <f>IFERROR(H46/H45,"n/a")</f>
        <v>-4.1184561857755479E-2</v>
      </c>
      <c r="I71" s="422"/>
      <c r="J71" s="422"/>
      <c r="K71" s="422"/>
      <c r="L71" s="422"/>
      <c r="M71" s="422"/>
      <c r="N71" s="421">
        <f>IFERROR(N46/N45,"n/a")</f>
        <v>-4.1980016241217388E-2</v>
      </c>
      <c r="O71" s="422"/>
      <c r="P71" s="422"/>
      <c r="Q71" s="422"/>
      <c r="R71" s="422"/>
      <c r="S71" s="422"/>
      <c r="T71" s="421">
        <f>IFERROR(T46/T45,"n/a")</f>
        <v>4.7721674876847288E-2</v>
      </c>
      <c r="U71" s="422"/>
      <c r="V71" s="422"/>
      <c r="W71" s="422"/>
      <c r="X71" s="422"/>
      <c r="Y71" s="422"/>
      <c r="Z71" s="421">
        <f>IFERROR(Z46/Z45,"n/a")</f>
        <v>5.2378065211533278E-2</v>
      </c>
      <c r="AA71" s="422"/>
      <c r="AB71" s="422"/>
      <c r="AC71" s="422"/>
      <c r="AD71" s="422"/>
      <c r="AE71" s="422"/>
      <c r="AF71" s="421">
        <f>IFERROR(AF46/AF45,"n/a")</f>
        <v>5.2559749683776046E-2</v>
      </c>
      <c r="AG71" s="422"/>
      <c r="AH71" s="422"/>
      <c r="AI71" s="422"/>
      <c r="AJ71" s="422"/>
      <c r="AK71" s="422"/>
      <c r="AL71" s="421">
        <f>IFERROR(AL46/AL45,"n/a")</f>
        <v>6.9869764167546644E-2</v>
      </c>
      <c r="AM71" s="422"/>
      <c r="AN71" s="422"/>
      <c r="AO71" s="422"/>
      <c r="AP71" s="422"/>
      <c r="AQ71" s="422"/>
      <c r="AR71" s="421">
        <f>IFERROR(AR46/AR45,"n/a")</f>
        <v>7.0713789037699912E-2</v>
      </c>
      <c r="AS71" s="422"/>
      <c r="AT71" s="422"/>
      <c r="AU71" s="422"/>
      <c r="AV71" s="422"/>
      <c r="AW71" s="422"/>
      <c r="AX71" s="421">
        <f>IFERROR(AX46/AX45,"n/a")</f>
        <v>7.1258968667733444E-2</v>
      </c>
      <c r="AY71" s="422"/>
      <c r="AZ71" s="422"/>
      <c r="BA71" s="422"/>
      <c r="BB71" s="422"/>
      <c r="BC71" s="422"/>
      <c r="BD71" s="421">
        <f>IFERROR(BD46/BD45,"n/a")</f>
        <v>7.4516319806246303E-2</v>
      </c>
      <c r="BE71" s="422"/>
      <c r="BF71" s="422"/>
      <c r="BG71" s="422"/>
      <c r="BH71" s="422"/>
      <c r="BI71" s="422"/>
      <c r="BJ71" s="421">
        <f>IFERROR(BJ46/BJ45,"n/a")</f>
        <v>7.3317435082140961E-2</v>
      </c>
      <c r="BK71" s="422"/>
      <c r="BL71" s="422"/>
      <c r="BM71" s="422"/>
      <c r="BN71" s="422"/>
      <c r="BO71" s="422"/>
      <c r="BP71" s="421">
        <f>IFERROR(BP46/BP45,"n/a")</f>
        <v>8.2758237638335397E-2</v>
      </c>
      <c r="BQ71" s="713">
        <v>0.03</v>
      </c>
      <c r="BR71" s="713">
        <v>0.03</v>
      </c>
      <c r="BS71" s="713">
        <v>0.03</v>
      </c>
      <c r="BT71" s="713">
        <v>0.03</v>
      </c>
      <c r="BU71" s="713">
        <v>0.03</v>
      </c>
      <c r="BV71" s="400" t="s">
        <v>298</v>
      </c>
      <c r="BW71" s="289"/>
      <c r="BX71" s="451"/>
      <c r="BY71" s="60"/>
      <c r="BZ71" s="60"/>
      <c r="CC71" t="s">
        <v>420</v>
      </c>
      <c r="CD71" s="13">
        <v>0.03</v>
      </c>
      <c r="CE71" s="13">
        <v>2.5000000000000001E-2</v>
      </c>
      <c r="CF71" s="13">
        <v>0.01</v>
      </c>
    </row>
    <row r="72" spans="2:84" x14ac:dyDescent="0.25">
      <c r="B72" s="305" t="s">
        <v>276</v>
      </c>
      <c r="C72" s="16"/>
      <c r="D72" s="16"/>
      <c r="E72" s="16"/>
      <c r="F72" s="16"/>
      <c r="G72" s="16"/>
      <c r="H72" s="421" t="str">
        <f>IFERROR(H48/H45,"n/a")</f>
        <v>n/a</v>
      </c>
      <c r="I72" s="422"/>
      <c r="J72" s="422"/>
      <c r="K72" s="422"/>
      <c r="L72" s="422"/>
      <c r="M72" s="422"/>
      <c r="N72" s="421" t="str">
        <f>IFERROR(N48/N45,"n/a")</f>
        <v>n/a</v>
      </c>
      <c r="O72" s="422"/>
      <c r="P72" s="422"/>
      <c r="Q72" s="422"/>
      <c r="R72" s="422"/>
      <c r="S72" s="422"/>
      <c r="T72" s="421">
        <f>IFERROR(T48/T45,"n/a")</f>
        <v>0.86685823754789271</v>
      </c>
      <c r="U72" s="422"/>
      <c r="V72" s="422"/>
      <c r="W72" s="422"/>
      <c r="X72" s="422"/>
      <c r="Y72" s="422"/>
      <c r="Z72" s="421">
        <f>IFERROR(Z48/Z45,"n/a")</f>
        <v>0.87358528698464022</v>
      </c>
      <c r="AA72" s="422"/>
      <c r="AB72" s="422"/>
      <c r="AC72" s="422"/>
      <c r="AD72" s="422"/>
      <c r="AE72" s="422"/>
      <c r="AF72" s="421">
        <f>IFERROR(AF48/AF45,"n/a")</f>
        <v>0.84764662805405766</v>
      </c>
      <c r="AG72" s="422"/>
      <c r="AH72" s="422"/>
      <c r="AI72" s="422"/>
      <c r="AJ72" s="422"/>
      <c r="AK72" s="422"/>
      <c r="AL72" s="421">
        <f>IFERROR(AL48/AL45,"n/a")</f>
        <v>0.85381907778951072</v>
      </c>
      <c r="AM72" s="422"/>
      <c r="AN72" s="422"/>
      <c r="AO72" s="422"/>
      <c r="AP72" s="422"/>
      <c r="AQ72" s="422"/>
      <c r="AR72" s="421">
        <f>IFERROR(AR48/AR45,"n/a")</f>
        <v>0.85621428787374909</v>
      </c>
      <c r="AS72" s="422"/>
      <c r="AT72" s="422"/>
      <c r="AU72" s="422"/>
      <c r="AV72" s="422"/>
      <c r="AW72" s="422"/>
      <c r="AX72" s="421">
        <f>IFERROR(AX48/AX45,"n/a")</f>
        <v>0.86708305373457906</v>
      </c>
      <c r="AY72" s="422"/>
      <c r="AZ72" s="422"/>
      <c r="BA72" s="422"/>
      <c r="BB72" s="422"/>
      <c r="BC72" s="422"/>
      <c r="BD72" s="421">
        <f>IFERROR(BD48/BD45,"n/a")</f>
        <v>0.85316398659494774</v>
      </c>
      <c r="BE72" s="422"/>
      <c r="BF72" s="422"/>
      <c r="BG72" s="422"/>
      <c r="BH72" s="422"/>
      <c r="BI72" s="422"/>
      <c r="BJ72" s="421">
        <f>IFERROR(BJ48/BJ45,"n/a")</f>
        <v>0.86902490726020143</v>
      </c>
      <c r="BK72" s="422"/>
      <c r="BL72" s="422"/>
      <c r="BM72" s="422"/>
      <c r="BN72" s="422"/>
      <c r="BO72" s="422"/>
      <c r="BP72" s="421">
        <f>IFERROR(BP48/BP45,"n/a")</f>
        <v>0.79653415165863617</v>
      </c>
      <c r="BQ72" s="713">
        <v>0.78500000000000003</v>
      </c>
      <c r="BR72" s="713">
        <v>0.78200000000000003</v>
      </c>
      <c r="BS72" s="713">
        <v>0.78</v>
      </c>
      <c r="BT72" s="713">
        <v>0.78</v>
      </c>
      <c r="BU72" s="713">
        <v>0.78</v>
      </c>
      <c r="BV72" s="400" t="s">
        <v>299</v>
      </c>
      <c r="BW72" s="289"/>
      <c r="BX72" s="451"/>
      <c r="BY72" s="60"/>
      <c r="BZ72" s="60"/>
      <c r="CC72" t="s">
        <v>421</v>
      </c>
      <c r="CD72" s="13">
        <v>0.03</v>
      </c>
      <c r="CE72" s="13">
        <v>2.5000000000000001E-2</v>
      </c>
      <c r="CF72" s="13">
        <v>0.01</v>
      </c>
    </row>
    <row r="73" spans="2:84" x14ac:dyDescent="0.25">
      <c r="B73" s="305" t="s">
        <v>277</v>
      </c>
      <c r="C73" s="16"/>
      <c r="D73" s="16"/>
      <c r="E73" s="16"/>
      <c r="F73" s="16"/>
      <c r="G73" s="16"/>
      <c r="H73" s="421" t="str">
        <f>IFERROR(H50/H45,"n/a")</f>
        <v>n/a</v>
      </c>
      <c r="I73" s="422"/>
      <c r="J73" s="422"/>
      <c r="K73" s="422"/>
      <c r="L73" s="422"/>
      <c r="M73" s="422"/>
      <c r="N73" s="421" t="str">
        <f>IFERROR(N50/N45,"n/a")</f>
        <v>n/a</v>
      </c>
      <c r="O73" s="422"/>
      <c r="P73" s="422"/>
      <c r="Q73" s="422"/>
      <c r="R73" s="422"/>
      <c r="S73" s="422"/>
      <c r="T73" s="421">
        <f>IFERROR(T50/T45,"n/a")</f>
        <v>4.3411330049261086E-2</v>
      </c>
      <c r="U73" s="422"/>
      <c r="V73" s="422"/>
      <c r="W73" s="422"/>
      <c r="X73" s="422"/>
      <c r="Y73" s="422"/>
      <c r="Z73" s="421">
        <f>IFERROR(Z50/Z45,"n/a")</f>
        <v>4.4664510913500405E-2</v>
      </c>
      <c r="AA73" s="422"/>
      <c r="AB73" s="422"/>
      <c r="AC73" s="422"/>
      <c r="AD73" s="422"/>
      <c r="AE73" s="422"/>
      <c r="AF73" s="421">
        <f>IFERROR(AF50/AF45,"n/a")</f>
        <v>3.528393582318088E-2</v>
      </c>
      <c r="AG73" s="422"/>
      <c r="AH73" s="422"/>
      <c r="AI73" s="422"/>
      <c r="AJ73" s="422"/>
      <c r="AK73" s="422"/>
      <c r="AL73" s="421">
        <f>IFERROR(AL50/AL45,"n/a")</f>
        <v>3.5938049982400563E-2</v>
      </c>
      <c r="AM73" s="422"/>
      <c r="AN73" s="422"/>
      <c r="AO73" s="422"/>
      <c r="AP73" s="422"/>
      <c r="AQ73" s="422"/>
      <c r="AR73" s="421">
        <f>IFERROR(AR50/AR45,"n/a")</f>
        <v>3.3920851346857329E-2</v>
      </c>
      <c r="AS73" s="422"/>
      <c r="AT73" s="422"/>
      <c r="AU73" s="422"/>
      <c r="AV73" s="422"/>
      <c r="AW73" s="422"/>
      <c r="AX73" s="421">
        <f>IFERROR(AX50/AX45,"n/a")</f>
        <v>3.6777989986063075E-2</v>
      </c>
      <c r="AY73" s="422"/>
      <c r="AZ73" s="422"/>
      <c r="BA73" s="422"/>
      <c r="BB73" s="422"/>
      <c r="BC73" s="422"/>
      <c r="BD73" s="421">
        <f>IFERROR(BD50/BD45,"n/a")</f>
        <v>4.0215156720831341E-2</v>
      </c>
      <c r="BE73" s="422"/>
      <c r="BF73" s="422"/>
      <c r="BG73" s="422"/>
      <c r="BH73" s="422"/>
      <c r="BI73" s="422"/>
      <c r="BJ73" s="421">
        <f>IFERROR(BJ50/BJ45,"n/a")</f>
        <v>3.1981981981981981E-2</v>
      </c>
      <c r="BK73" s="422"/>
      <c r="BL73" s="422"/>
      <c r="BM73" s="422"/>
      <c r="BN73" s="422"/>
      <c r="BO73" s="422"/>
      <c r="BP73" s="421">
        <f>IFERROR(BP50/BP45,"n/a")</f>
        <v>4.7525815663894223E-2</v>
      </c>
      <c r="BQ73" s="713">
        <v>0.02</v>
      </c>
      <c r="BR73" s="713">
        <v>0.02</v>
      </c>
      <c r="BS73" s="713">
        <v>0.02</v>
      </c>
      <c r="BT73" s="713">
        <v>0.02</v>
      </c>
      <c r="BU73" s="713">
        <v>0.02</v>
      </c>
      <c r="BV73" s="400" t="s">
        <v>300</v>
      </c>
      <c r="BW73" s="289"/>
      <c r="BX73" s="451"/>
      <c r="BY73" s="60"/>
      <c r="BZ73" s="60"/>
      <c r="CD73" s="13"/>
      <c r="CE73" s="13"/>
      <c r="CF73" s="13"/>
    </row>
    <row r="74" spans="2:84" x14ac:dyDescent="0.25">
      <c r="B74" s="305" t="s">
        <v>278</v>
      </c>
      <c r="C74" s="16"/>
      <c r="D74" s="16"/>
      <c r="E74" s="16"/>
      <c r="F74" s="16"/>
      <c r="G74" s="16"/>
      <c r="H74" s="421" t="str">
        <f>IFERROR(H51/H45,"n/a")</f>
        <v>n/a</v>
      </c>
      <c r="I74" s="422"/>
      <c r="J74" s="422"/>
      <c r="K74" s="422"/>
      <c r="L74" s="422"/>
      <c r="M74" s="422"/>
      <c r="N74" s="421" t="str">
        <f>IFERROR(N51/N45,"n/a")</f>
        <v>n/a</v>
      </c>
      <c r="O74" s="422"/>
      <c r="P74" s="422"/>
      <c r="Q74" s="422"/>
      <c r="R74" s="422"/>
      <c r="S74" s="422"/>
      <c r="T74" s="421">
        <f>IFERROR(T51/T45,"n/a")</f>
        <v>9.1406677613574169E-2</v>
      </c>
      <c r="U74" s="422"/>
      <c r="V74" s="422"/>
      <c r="W74" s="422"/>
      <c r="X74" s="422"/>
      <c r="Y74" s="422"/>
      <c r="Z74" s="421">
        <f>IFERROR(Z51/Z45,"n/a")</f>
        <v>9.1147938561034758E-2</v>
      </c>
      <c r="AA74" s="422"/>
      <c r="AB74" s="422"/>
      <c r="AC74" s="422"/>
      <c r="AD74" s="422"/>
      <c r="AE74" s="422"/>
      <c r="AF74" s="421">
        <f>IFERROR(AF51/AF45,"n/a")</f>
        <v>9.5333200186405703E-2</v>
      </c>
      <c r="AG74" s="422"/>
      <c r="AH74" s="422"/>
      <c r="AI74" s="422"/>
      <c r="AJ74" s="422"/>
      <c r="AK74" s="422"/>
      <c r="AL74" s="421">
        <f>IFERROR(AL51/AL45,"n/a")</f>
        <v>9.8521647307286173E-2</v>
      </c>
      <c r="AM74" s="422"/>
      <c r="AN74" s="422"/>
      <c r="AO74" s="422"/>
      <c r="AP74" s="422"/>
      <c r="AQ74" s="422"/>
      <c r="AR74" s="421">
        <f>IFERROR(AR51/AR45,"n/a")</f>
        <v>9.5202104181153061E-2</v>
      </c>
      <c r="AS74" s="422"/>
      <c r="AT74" s="422"/>
      <c r="AU74" s="422"/>
      <c r="AV74" s="422"/>
      <c r="AW74" s="422"/>
      <c r="AX74" s="421">
        <f>IFERROR(AX51/AX45,"n/a")</f>
        <v>9.1441697207453668E-2</v>
      </c>
      <c r="AY74" s="422"/>
      <c r="AZ74" s="422"/>
      <c r="BA74" s="422"/>
      <c r="BB74" s="422"/>
      <c r="BC74" s="422"/>
      <c r="BD74" s="421">
        <f>IFERROR(BD51/BD45,"n/a")</f>
        <v>0.1006505392998958</v>
      </c>
      <c r="BE74" s="422"/>
      <c r="BF74" s="422"/>
      <c r="BG74" s="422"/>
      <c r="BH74" s="422"/>
      <c r="BI74" s="422"/>
      <c r="BJ74" s="421">
        <f>IFERROR(BJ51/BJ45,"n/a")</f>
        <v>9.8039215686274508E-2</v>
      </c>
      <c r="BK74" s="422"/>
      <c r="BL74" s="422"/>
      <c r="BM74" s="422"/>
      <c r="BN74" s="422"/>
      <c r="BO74" s="422"/>
      <c r="BP74" s="421">
        <f>IFERROR(BP51/BP45,"n/a")</f>
        <v>0.10475304442006748</v>
      </c>
      <c r="BQ74" s="713">
        <v>0.14000000000000001</v>
      </c>
      <c r="BR74" s="713">
        <v>0.13500000000000001</v>
      </c>
      <c r="BS74" s="713">
        <v>0.13</v>
      </c>
      <c r="BT74" s="713">
        <v>0.128</v>
      </c>
      <c r="BU74" s="713">
        <v>0.125</v>
      </c>
      <c r="BV74" s="400" t="s">
        <v>301</v>
      </c>
      <c r="BW74" s="289"/>
      <c r="BX74" s="451"/>
      <c r="BY74" s="60"/>
      <c r="BZ74" s="60"/>
      <c r="CC74" s="148" t="s">
        <v>430</v>
      </c>
      <c r="CD74" s="13"/>
      <c r="CE74" s="13"/>
      <c r="CF74" s="13"/>
    </row>
    <row r="75" spans="2:84" x14ac:dyDescent="0.25">
      <c r="B75" s="305" t="s">
        <v>279</v>
      </c>
      <c r="C75" s="16"/>
      <c r="D75" s="16"/>
      <c r="E75" s="16"/>
      <c r="F75" s="16"/>
      <c r="G75" s="16"/>
      <c r="H75" s="421">
        <f>IFERROR(H53/H45,"n/a")</f>
        <v>5.0974997977182622E-3</v>
      </c>
      <c r="I75" s="422"/>
      <c r="J75" s="422"/>
      <c r="K75" s="422"/>
      <c r="L75" s="422"/>
      <c r="M75" s="422"/>
      <c r="N75" s="421">
        <f>IFERROR(N53/N45,"n/a")</f>
        <v>5.6138120961762529E-3</v>
      </c>
      <c r="O75" s="422"/>
      <c r="P75" s="422"/>
      <c r="Q75" s="422"/>
      <c r="R75" s="422"/>
      <c r="S75" s="422"/>
      <c r="T75" s="421">
        <f>IFERROR(T53/T45,"n/a")</f>
        <v>4.96031746031746E-3</v>
      </c>
      <c r="U75" s="422"/>
      <c r="V75" s="422"/>
      <c r="W75" s="422"/>
      <c r="X75" s="422"/>
      <c r="Y75" s="422"/>
      <c r="Z75" s="421">
        <f>IFERROR(Z53/Z45,"n/a")</f>
        <v>4.345189975747777E-3</v>
      </c>
      <c r="AA75" s="422"/>
      <c r="AB75" s="422"/>
      <c r="AC75" s="422"/>
      <c r="AD75" s="422"/>
      <c r="AE75" s="422"/>
      <c r="AF75" s="421">
        <f>IFERROR(AF53/AF45,"n/a")</f>
        <v>3.2654284002396644E-2</v>
      </c>
      <c r="AG75" s="422"/>
      <c r="AH75" s="422"/>
      <c r="AI75" s="422"/>
      <c r="AJ75" s="422"/>
      <c r="AK75" s="422"/>
      <c r="AL75" s="421">
        <f>IFERROR(AL53/AL45,"n/a")</f>
        <v>3.2664554734248501E-2</v>
      </c>
      <c r="AM75" s="422"/>
      <c r="AN75" s="422"/>
      <c r="AO75" s="422"/>
      <c r="AP75" s="422"/>
      <c r="AQ75" s="422"/>
      <c r="AR75" s="421">
        <f>IFERROR(AR53/AR45,"n/a")</f>
        <v>2.9234815732986669E-2</v>
      </c>
      <c r="AS75" s="422"/>
      <c r="AT75" s="422"/>
      <c r="AU75" s="422"/>
      <c r="AV75" s="422"/>
      <c r="AW75" s="422"/>
      <c r="AX75" s="421">
        <f>IFERROR(AX53/AX45,"n/a")</f>
        <v>2.3305631549063129E-2</v>
      </c>
      <c r="AY75" s="422"/>
      <c r="AZ75" s="422"/>
      <c r="BA75" s="422"/>
      <c r="BB75" s="422"/>
      <c r="BC75" s="422"/>
      <c r="BD75" s="421">
        <f>IFERROR(BD53/BD45,"n/a")</f>
        <v>2.3909431411754768E-2</v>
      </c>
      <c r="BE75" s="422"/>
      <c r="BF75" s="422"/>
      <c r="BG75" s="422"/>
      <c r="BH75" s="422"/>
      <c r="BI75" s="422"/>
      <c r="BJ75" s="421">
        <f>IFERROR(BJ53/BJ45,"n/a")</f>
        <v>2.4880763116057233E-2</v>
      </c>
      <c r="BK75" s="422"/>
      <c r="BL75" s="422"/>
      <c r="BM75" s="422"/>
      <c r="BN75" s="422"/>
      <c r="BO75" s="422"/>
      <c r="BP75" s="421">
        <f>IFERROR(BP53/BP45,"n/a")</f>
        <v>2.3735136611263037E-2</v>
      </c>
      <c r="BQ75" s="713">
        <v>2.5000000000000001E-2</v>
      </c>
      <c r="BR75" s="713">
        <v>2.5000000000000001E-2</v>
      </c>
      <c r="BS75" s="713">
        <v>2.5000000000000001E-2</v>
      </c>
      <c r="BT75" s="713">
        <v>2.5000000000000001E-2</v>
      </c>
      <c r="BU75" s="713">
        <v>2.5000000000000001E-2</v>
      </c>
      <c r="BV75" s="400" t="s">
        <v>302</v>
      </c>
      <c r="BW75" s="289"/>
      <c r="BX75" s="451"/>
      <c r="BY75" s="60"/>
      <c r="BZ75" s="60"/>
      <c r="CC75" t="s">
        <v>417</v>
      </c>
      <c r="CD75" s="13">
        <v>0.1</v>
      </c>
      <c r="CE75" s="13">
        <v>-0.03</v>
      </c>
      <c r="CF75" s="13">
        <v>-0.2</v>
      </c>
    </row>
    <row r="76" spans="2:84" x14ac:dyDescent="0.25">
      <c r="B76" s="305"/>
      <c r="C76" s="16"/>
      <c r="D76" s="16"/>
      <c r="E76" s="16"/>
      <c r="F76" s="16"/>
      <c r="G76" s="16"/>
      <c r="H76" s="339"/>
      <c r="I76" s="340"/>
      <c r="J76" s="340"/>
      <c r="K76" s="340"/>
      <c r="L76" s="340"/>
      <c r="M76" s="340"/>
      <c r="N76" s="339"/>
      <c r="O76" s="340"/>
      <c r="P76" s="340"/>
      <c r="Q76" s="340"/>
      <c r="R76" s="340"/>
      <c r="S76" s="340"/>
      <c r="T76" s="339"/>
      <c r="U76" s="340"/>
      <c r="V76" s="340"/>
      <c r="W76" s="340"/>
      <c r="X76" s="340"/>
      <c r="Y76" s="340"/>
      <c r="Z76" s="339"/>
      <c r="AA76" s="340"/>
      <c r="AB76" s="340"/>
      <c r="AC76" s="340"/>
      <c r="AD76" s="340"/>
      <c r="AE76" s="340"/>
      <c r="AF76" s="345"/>
      <c r="AG76" s="346"/>
      <c r="AH76" s="346"/>
      <c r="AI76" s="346"/>
      <c r="AJ76" s="346"/>
      <c r="AK76" s="346"/>
      <c r="AL76" s="345"/>
      <c r="AM76" s="346"/>
      <c r="AN76" s="346"/>
      <c r="AO76" s="346"/>
      <c r="AP76" s="346"/>
      <c r="AQ76" s="346"/>
      <c r="AR76" s="345"/>
      <c r="AS76" s="346"/>
      <c r="AT76" s="346"/>
      <c r="AU76" s="346"/>
      <c r="AV76" s="346"/>
      <c r="AW76" s="346"/>
      <c r="AX76" s="345"/>
      <c r="AY76" s="346"/>
      <c r="AZ76" s="346"/>
      <c r="BA76" s="346"/>
      <c r="BB76" s="346"/>
      <c r="BC76" s="346"/>
      <c r="BD76" s="345"/>
      <c r="BE76" s="346"/>
      <c r="BF76" s="346"/>
      <c r="BG76" s="346"/>
      <c r="BH76" s="346"/>
      <c r="BI76" s="346"/>
      <c r="BJ76" s="345"/>
      <c r="BK76" s="346"/>
      <c r="BL76" s="346"/>
      <c r="BM76" s="346"/>
      <c r="BN76" s="346"/>
      <c r="BO76" s="346"/>
      <c r="BP76" s="345"/>
      <c r="BQ76" s="372"/>
      <c r="BR76" s="372"/>
      <c r="BS76" s="372"/>
      <c r="BT76" s="372"/>
      <c r="BU76" s="372"/>
      <c r="BV76" s="365"/>
      <c r="BW76" s="305"/>
      <c r="BX76" s="451"/>
      <c r="BY76" s="60"/>
      <c r="BZ76" s="60"/>
      <c r="CC76" t="s">
        <v>418</v>
      </c>
      <c r="CD76" s="13">
        <v>0.05</v>
      </c>
      <c r="CE76" s="13">
        <v>-0.01</v>
      </c>
      <c r="CF76" s="13">
        <v>-0.08</v>
      </c>
    </row>
    <row r="77" spans="2:84" x14ac:dyDescent="0.25">
      <c r="C77" s="1"/>
      <c r="D77" s="1"/>
      <c r="E77" s="1"/>
      <c r="F77" s="1"/>
      <c r="G77" s="1"/>
      <c r="H77" s="64"/>
      <c r="I77" s="171"/>
      <c r="J77" s="171"/>
      <c r="K77" s="172"/>
      <c r="L77" s="171"/>
      <c r="M77" s="171"/>
      <c r="N77" s="64"/>
      <c r="O77" s="171"/>
      <c r="P77" s="171"/>
      <c r="Q77" s="172"/>
      <c r="R77" s="171"/>
      <c r="S77" s="171"/>
      <c r="T77" s="64"/>
      <c r="U77" s="171"/>
      <c r="V77" s="171"/>
      <c r="W77" s="172"/>
      <c r="X77" s="171"/>
      <c r="Y77" s="171"/>
      <c r="Z77" s="64"/>
      <c r="AA77" s="171"/>
      <c r="AB77" s="171"/>
      <c r="AC77" s="172"/>
      <c r="AD77" s="171"/>
      <c r="AE77" s="171"/>
      <c r="AF77" s="64"/>
      <c r="AG77" s="171"/>
      <c r="AH77" s="171"/>
      <c r="AI77" s="172"/>
      <c r="AJ77" s="171"/>
      <c r="AK77" s="171"/>
      <c r="AL77" s="64"/>
      <c r="AM77" s="171"/>
      <c r="AN77" s="171"/>
      <c r="AO77" s="172"/>
      <c r="AP77" s="171"/>
      <c r="AQ77" s="171"/>
      <c r="AR77" s="64"/>
      <c r="AS77" s="171"/>
      <c r="AT77" s="171"/>
      <c r="AU77" s="172"/>
      <c r="AV77" s="171"/>
      <c r="AW77" s="171"/>
      <c r="AX77" s="64"/>
      <c r="AY77" s="171"/>
      <c r="AZ77" s="171"/>
      <c r="BA77" s="172"/>
      <c r="BB77" s="171"/>
      <c r="BC77" s="171"/>
      <c r="BD77" s="64"/>
      <c r="BE77" s="171"/>
      <c r="BF77" s="171"/>
      <c r="BG77" s="172"/>
      <c r="BH77" s="171"/>
      <c r="BI77" s="171"/>
      <c r="BJ77" s="64"/>
      <c r="BK77" s="171"/>
      <c r="BL77" s="171"/>
      <c r="BM77" s="172"/>
      <c r="BN77" s="171"/>
      <c r="BO77" s="171"/>
      <c r="BP77" s="64"/>
      <c r="BQ77" s="365"/>
      <c r="BR77" s="365"/>
      <c r="BS77" s="365"/>
      <c r="BT77" s="365"/>
      <c r="BU77" s="365"/>
      <c r="BV77" s="365"/>
      <c r="BW77" s="305"/>
      <c r="BX77" s="451"/>
      <c r="BY77" s="459"/>
      <c r="BZ77" s="459"/>
      <c r="CC77" t="s">
        <v>419</v>
      </c>
      <c r="CD77" s="13">
        <v>0.02</v>
      </c>
      <c r="CE77" s="13">
        <v>0</v>
      </c>
      <c r="CF77" s="13">
        <v>-0.03</v>
      </c>
    </row>
    <row r="78" spans="2:84" x14ac:dyDescent="0.25">
      <c r="B78" s="223" t="s">
        <v>23</v>
      </c>
      <c r="C78" s="224"/>
      <c r="D78" s="224"/>
      <c r="E78" s="224"/>
      <c r="F78" s="224"/>
      <c r="G78" s="224"/>
      <c r="H78" s="152"/>
      <c r="I78" s="223"/>
      <c r="J78" s="223"/>
      <c r="K78" s="223"/>
      <c r="L78" s="223"/>
      <c r="M78" s="223"/>
      <c r="N78" s="152"/>
      <c r="O78" s="223"/>
      <c r="P78" s="223"/>
      <c r="Q78" s="223"/>
      <c r="R78" s="223"/>
      <c r="S78" s="223"/>
      <c r="T78" s="152"/>
      <c r="U78" s="223"/>
      <c r="V78" s="223"/>
      <c r="W78" s="223"/>
      <c r="X78" s="223"/>
      <c r="Y78" s="223"/>
      <c r="Z78" s="152"/>
      <c r="AA78" s="223"/>
      <c r="AB78" s="223"/>
      <c r="AC78" s="223"/>
      <c r="AD78" s="223"/>
      <c r="AE78" s="223"/>
      <c r="AF78" s="152"/>
      <c r="AG78" s="223"/>
      <c r="AH78" s="223"/>
      <c r="AI78" s="223"/>
      <c r="AJ78" s="223"/>
      <c r="AK78" s="223"/>
      <c r="AL78" s="152"/>
      <c r="AM78" s="223"/>
      <c r="AN78" s="223"/>
      <c r="AO78" s="223"/>
      <c r="AP78" s="223"/>
      <c r="AQ78" s="223"/>
      <c r="AR78" s="152"/>
      <c r="AS78" s="223"/>
      <c r="AT78" s="223"/>
      <c r="AU78" s="223"/>
      <c r="AV78" s="223"/>
      <c r="AW78" s="223"/>
      <c r="AX78" s="152"/>
      <c r="AY78" s="223"/>
      <c r="AZ78" s="223"/>
      <c r="BA78" s="223"/>
      <c r="BB78" s="223"/>
      <c r="BC78" s="223"/>
      <c r="BD78" s="152"/>
      <c r="BE78" s="223"/>
      <c r="BF78" s="223"/>
      <c r="BG78" s="223"/>
      <c r="BH78" s="223"/>
      <c r="BI78" s="223"/>
      <c r="BJ78" s="152"/>
      <c r="BK78" s="223"/>
      <c r="BL78" s="223"/>
      <c r="BM78" s="223"/>
      <c r="BN78" s="223"/>
      <c r="BO78" s="223"/>
      <c r="BP78" s="152"/>
      <c r="BQ78" s="223"/>
      <c r="BR78" s="223"/>
      <c r="BS78" s="223"/>
      <c r="BT78" s="223"/>
      <c r="BU78" s="223"/>
      <c r="BV78" s="148" t="s">
        <v>303</v>
      </c>
      <c r="BW78" s="305"/>
      <c r="BX78" s="453"/>
      <c r="BY78" s="459"/>
      <c r="BZ78" s="459"/>
      <c r="CC78" t="s">
        <v>420</v>
      </c>
      <c r="CD78" s="13">
        <v>0.02</v>
      </c>
      <c r="CE78" s="13">
        <v>0</v>
      </c>
      <c r="CF78" s="13">
        <v>-0.02</v>
      </c>
    </row>
    <row r="79" spans="2:84" x14ac:dyDescent="0.25">
      <c r="B79" t="s">
        <v>11</v>
      </c>
      <c r="C79" s="2"/>
      <c r="D79" s="2"/>
      <c r="E79" s="2"/>
      <c r="F79" s="2"/>
      <c r="G79" s="2"/>
      <c r="H79" s="67">
        <v>5960</v>
      </c>
      <c r="I79" s="179"/>
      <c r="J79" s="179"/>
      <c r="K79" s="180"/>
      <c r="L79" s="179"/>
      <c r="M79" s="179"/>
      <c r="N79" s="67">
        <v>9683</v>
      </c>
      <c r="O79" s="179"/>
      <c r="P79" s="179"/>
      <c r="Q79" s="180"/>
      <c r="R79" s="179"/>
      <c r="S79" s="179"/>
      <c r="T79" s="67">
        <v>10968</v>
      </c>
      <c r="U79" s="179"/>
      <c r="V79" s="179"/>
      <c r="W79" s="180"/>
      <c r="X79" s="179"/>
      <c r="Y79" s="179"/>
      <c r="Z79" s="67">
        <v>12879</v>
      </c>
      <c r="AA79" s="179"/>
      <c r="AB79" s="179"/>
      <c r="AC79" s="180"/>
      <c r="AD79" s="179"/>
      <c r="AE79" s="179"/>
      <c r="AF79" s="67">
        <v>14046</v>
      </c>
      <c r="AG79" s="179"/>
      <c r="AH79" s="179"/>
      <c r="AI79" s="180"/>
      <c r="AJ79" s="179"/>
      <c r="AK79" s="179"/>
      <c r="AL79" s="67">
        <v>13747</v>
      </c>
      <c r="AM79" s="179"/>
      <c r="AN79" s="179"/>
      <c r="AO79" s="180"/>
      <c r="AP79" s="179"/>
      <c r="AQ79" s="179"/>
      <c r="AR79" s="67">
        <v>17989</v>
      </c>
      <c r="AS79" s="179"/>
      <c r="AT79" s="179"/>
      <c r="AU79" s="180"/>
      <c r="AV79" s="179"/>
      <c r="AW79" s="179"/>
      <c r="AX79" s="67">
        <v>23826</v>
      </c>
      <c r="AY79" s="179"/>
      <c r="AZ79" s="179"/>
      <c r="BA79" s="180"/>
      <c r="BB79" s="179"/>
      <c r="BC79" s="179"/>
      <c r="BD79" s="67">
        <v>22482</v>
      </c>
      <c r="BE79" s="179"/>
      <c r="BF79" s="179"/>
      <c r="BG79" s="180"/>
      <c r="BH79" s="179"/>
      <c r="BI79" s="179"/>
      <c r="BJ79" s="67">
        <v>25009</v>
      </c>
      <c r="BK79" s="179"/>
      <c r="BL79" s="179"/>
      <c r="BM79" s="180"/>
      <c r="BN79" s="179"/>
      <c r="BO79" s="179"/>
      <c r="BP79" s="67">
        <v>42106</v>
      </c>
      <c r="BQ79" s="371">
        <f>BQ81-BQ80</f>
        <v>45008.724266666701</v>
      </c>
      <c r="BR79" s="371">
        <f>BR81-BR80</f>
        <v>48159.334965333372</v>
      </c>
      <c r="BS79" s="371">
        <f>BS81-BS80</f>
        <v>51048.895063253382</v>
      </c>
      <c r="BT79" s="371">
        <f>BT81-BT80</f>
        <v>53601.339816416054</v>
      </c>
      <c r="BU79" s="371">
        <f>BU81-BU80</f>
        <v>56281.406807236861</v>
      </c>
      <c r="BV79" s="365"/>
      <c r="BW79" s="305"/>
      <c r="BX79" s="451"/>
      <c r="BY79" s="459"/>
      <c r="BZ79" s="459"/>
      <c r="CC79" t="s">
        <v>421</v>
      </c>
      <c r="CD79" s="13">
        <v>0.02</v>
      </c>
      <c r="CE79" s="13">
        <v>0</v>
      </c>
      <c r="CF79" s="13">
        <v>-0.02</v>
      </c>
    </row>
    <row r="80" spans="2:84" x14ac:dyDescent="0.25">
      <c r="B80" t="s">
        <v>13</v>
      </c>
      <c r="C80" s="1"/>
      <c r="D80" s="1"/>
      <c r="E80" s="1"/>
      <c r="F80" s="1"/>
      <c r="G80" s="1"/>
      <c r="H80" s="67">
        <v>-156</v>
      </c>
      <c r="I80" s="179"/>
      <c r="J80" s="179"/>
      <c r="K80" s="180"/>
      <c r="L80" s="179"/>
      <c r="M80" s="179"/>
      <c r="N80" s="67">
        <v>-375</v>
      </c>
      <c r="O80" s="179"/>
      <c r="P80" s="179"/>
      <c r="Q80" s="180"/>
      <c r="R80" s="179"/>
      <c r="S80" s="179"/>
      <c r="T80" s="67">
        <v>394</v>
      </c>
      <c r="U80" s="179"/>
      <c r="V80" s="179"/>
      <c r="W80" s="180"/>
      <c r="X80" s="179"/>
      <c r="Y80" s="179"/>
      <c r="Z80" s="67">
        <v>350</v>
      </c>
      <c r="AA80" s="179"/>
      <c r="AB80" s="179"/>
      <c r="AC80" s="180"/>
      <c r="AD80" s="179"/>
      <c r="AE80" s="179"/>
      <c r="AF80" s="67">
        <v>344</v>
      </c>
      <c r="AG80" s="179"/>
      <c r="AH80" s="179"/>
      <c r="AI80" s="180"/>
      <c r="AJ80" s="179"/>
      <c r="AK80" s="179"/>
      <c r="AL80" s="67">
        <v>861</v>
      </c>
      <c r="AM80" s="179"/>
      <c r="AN80" s="179"/>
      <c r="AO80" s="180"/>
      <c r="AP80" s="179"/>
      <c r="AQ80" s="179"/>
      <c r="AR80" s="67">
        <v>745</v>
      </c>
      <c r="AS80" s="179"/>
      <c r="AT80" s="179"/>
      <c r="AU80" s="180"/>
      <c r="AV80" s="179"/>
      <c r="AW80" s="179"/>
      <c r="AX80" s="67">
        <v>583</v>
      </c>
      <c r="AY80" s="179"/>
      <c r="AZ80" s="179"/>
      <c r="BA80" s="180"/>
      <c r="BB80" s="179"/>
      <c r="BC80" s="179"/>
      <c r="BD80" s="67">
        <v>658</v>
      </c>
      <c r="BE80" s="179"/>
      <c r="BF80" s="179"/>
      <c r="BG80" s="180"/>
      <c r="BH80" s="179"/>
      <c r="BI80" s="179"/>
      <c r="BJ80" s="67">
        <v>615</v>
      </c>
      <c r="BK80" s="179"/>
      <c r="BL80" s="179"/>
      <c r="BM80" s="180"/>
      <c r="BN80" s="179"/>
      <c r="BO80" s="179"/>
      <c r="BP80" s="67">
        <v>1357</v>
      </c>
      <c r="BQ80" s="371">
        <f>BQ81*BQ105</f>
        <v>1392.022400000001</v>
      </c>
      <c r="BR80" s="371">
        <f>BR81*BR105</f>
        <v>1489.4639680000012</v>
      </c>
      <c r="BS80" s="371">
        <f>BS81*BS105</f>
        <v>1578.8318060800013</v>
      </c>
      <c r="BT80" s="371">
        <f>BT81*BT105</f>
        <v>1657.7733963840014</v>
      </c>
      <c r="BU80" s="371">
        <f>BU81*BU105</f>
        <v>1740.6620662032017</v>
      </c>
      <c r="BV80" s="365"/>
      <c r="BW80" s="305"/>
      <c r="BX80" s="451"/>
      <c r="BY80" s="459"/>
      <c r="BZ80" s="459"/>
      <c r="CD80" s="13"/>
      <c r="CE80" s="13"/>
      <c r="CF80" s="13"/>
    </row>
    <row r="81" spans="2:84" x14ac:dyDescent="0.25">
      <c r="B81" t="s">
        <v>14</v>
      </c>
      <c r="C81" s="10">
        <v>1440</v>
      </c>
      <c r="D81" s="10">
        <v>1500</v>
      </c>
      <c r="E81" s="10">
        <v>2940</v>
      </c>
      <c r="F81" s="10">
        <v>1476</v>
      </c>
      <c r="G81" s="10">
        <v>1544</v>
      </c>
      <c r="H81" s="67">
        <v>5804</v>
      </c>
      <c r="I81" s="179">
        <v>2043</v>
      </c>
      <c r="J81" s="179">
        <v>2406</v>
      </c>
      <c r="K81" s="180">
        <v>4449</v>
      </c>
      <c r="L81" s="179">
        <v>2492</v>
      </c>
      <c r="M81" s="179">
        <v>2742</v>
      </c>
      <c r="N81" s="67">
        <v>9308</v>
      </c>
      <c r="O81" s="179"/>
      <c r="P81" s="179"/>
      <c r="Q81" s="180"/>
      <c r="R81" s="179"/>
      <c r="S81" s="179"/>
      <c r="T81" s="87">
        <v>11362</v>
      </c>
      <c r="U81" s="36"/>
      <c r="V81" s="36"/>
      <c r="W81" s="53"/>
      <c r="X81" s="36"/>
      <c r="Y81" s="36"/>
      <c r="Z81" s="87">
        <v>13229</v>
      </c>
      <c r="AA81" s="36"/>
      <c r="AB81" s="36"/>
      <c r="AC81" s="53"/>
      <c r="AD81" s="36"/>
      <c r="AE81" s="36"/>
      <c r="AF81" s="87">
        <v>14390</v>
      </c>
      <c r="AG81" s="36">
        <v>3441</v>
      </c>
      <c r="AH81" s="36">
        <v>3256</v>
      </c>
      <c r="AI81" s="53">
        <v>6697</v>
      </c>
      <c r="AJ81" s="36">
        <v>3388</v>
      </c>
      <c r="AK81" s="36">
        <v>4523</v>
      </c>
      <c r="AL81" s="87">
        <v>14608</v>
      </c>
      <c r="AM81" s="36">
        <v>3609</v>
      </c>
      <c r="AN81" s="36">
        <v>3997</v>
      </c>
      <c r="AO81" s="53">
        <v>7606</v>
      </c>
      <c r="AP81" s="36">
        <v>4739</v>
      </c>
      <c r="AQ81" s="36">
        <v>6389</v>
      </c>
      <c r="AR81" s="87">
        <v>18734</v>
      </c>
      <c r="AS81" s="36">
        <v>6162</v>
      </c>
      <c r="AT81" s="36">
        <v>6182</v>
      </c>
      <c r="AU81" s="53">
        <v>12344</v>
      </c>
      <c r="AV81" s="36">
        <v>5841</v>
      </c>
      <c r="AW81" s="36">
        <v>6224</v>
      </c>
      <c r="AX81" s="87">
        <v>24409</v>
      </c>
      <c r="AY81" s="36">
        <v>5625</v>
      </c>
      <c r="AZ81" s="36">
        <v>5898</v>
      </c>
      <c r="BA81" s="53">
        <v>11523</v>
      </c>
      <c r="BB81" s="36">
        <v>5538</v>
      </c>
      <c r="BC81" s="36">
        <v>6079</v>
      </c>
      <c r="BD81" s="87">
        <v>23140</v>
      </c>
      <c r="BE81" s="36">
        <v>5989</v>
      </c>
      <c r="BF81" s="36">
        <v>6916</v>
      </c>
      <c r="BG81" s="53">
        <v>12905</v>
      </c>
      <c r="BH81" s="36">
        <v>6619</v>
      </c>
      <c r="BI81" s="36">
        <v>6100</v>
      </c>
      <c r="BJ81" s="87">
        <v>25624</v>
      </c>
      <c r="BK81" s="36">
        <v>6325</v>
      </c>
      <c r="BL81" s="36">
        <v>10054</v>
      </c>
      <c r="BM81" s="53">
        <v>16379</v>
      </c>
      <c r="BN81" s="36">
        <v>13113</v>
      </c>
      <c r="BO81" s="36"/>
      <c r="BP81" s="87">
        <v>39322.666666666701</v>
      </c>
      <c r="BQ81" s="373">
        <f>BP81*(1+BQ89)</f>
        <v>46400.746666666702</v>
      </c>
      <c r="BR81" s="373">
        <f>BQ81*(1+BR89)</f>
        <v>49648.798933333375</v>
      </c>
      <c r="BS81" s="373">
        <f>BR81*(1+BS89)</f>
        <v>52627.726869333383</v>
      </c>
      <c r="BT81" s="373">
        <f>BS81*(1+BT89)</f>
        <v>55259.113212800054</v>
      </c>
      <c r="BU81" s="373">
        <f>BT81*(1+BU89)</f>
        <v>58022.068873440061</v>
      </c>
      <c r="BV81" s="365"/>
      <c r="BW81" s="305"/>
      <c r="BX81" s="450">
        <f>IFERROR((BU81/BP81)^(1/5)-1,"n/m")</f>
        <v>8.0911281674644675E-2</v>
      </c>
      <c r="BY81" s="290">
        <f>IFERROR((BP81/AL81)^(1/5)-1,"n/m")</f>
        <v>0.21901890347966368</v>
      </c>
      <c r="BZ81" s="290">
        <f>IFERROR((BP81/H81)^(1/10)-1,"n/m")</f>
        <v>0.21085337274424831</v>
      </c>
      <c r="CC81" s="148" t="s">
        <v>431</v>
      </c>
      <c r="CD81" s="13"/>
      <c r="CE81" s="13"/>
      <c r="CF81" s="13"/>
    </row>
    <row r="82" spans="2:84" x14ac:dyDescent="0.25">
      <c r="B82" t="s">
        <v>15</v>
      </c>
      <c r="C82" s="2">
        <v>1110</v>
      </c>
      <c r="D82" s="2">
        <v>1142</v>
      </c>
      <c r="E82" s="6">
        <f t="shared" ref="E82:E86" si="15">C82+D82</f>
        <v>2252</v>
      </c>
      <c r="F82" s="2">
        <v>1117</v>
      </c>
      <c r="G82" s="2">
        <v>1171</v>
      </c>
      <c r="H82" s="72" t="s">
        <v>12</v>
      </c>
      <c r="I82" s="179">
        <v>1507</v>
      </c>
      <c r="J82" s="179">
        <v>1737</v>
      </c>
      <c r="K82" s="191">
        <f t="shared" ref="K82:K86" si="16">I82+J82</f>
        <v>3244</v>
      </c>
      <c r="L82" s="179">
        <v>1808</v>
      </c>
      <c r="M82" s="179">
        <v>2015</v>
      </c>
      <c r="N82" s="72" t="s">
        <v>12</v>
      </c>
      <c r="O82" s="28"/>
      <c r="P82" s="28"/>
      <c r="Q82" s="45"/>
      <c r="R82" s="28"/>
      <c r="S82" s="28"/>
      <c r="T82" s="87">
        <v>8632</v>
      </c>
      <c r="U82" s="36"/>
      <c r="V82" s="36"/>
      <c r="W82" s="53"/>
      <c r="X82" s="36"/>
      <c r="Y82" s="36"/>
      <c r="Z82" s="87">
        <v>10194</v>
      </c>
      <c r="AA82" s="36"/>
      <c r="AB82" s="36"/>
      <c r="AC82" s="53"/>
      <c r="AD82" s="36"/>
      <c r="AE82" s="36"/>
      <c r="AF82" s="87">
        <v>9421</v>
      </c>
      <c r="AG82" s="36">
        <v>2185</v>
      </c>
      <c r="AH82" s="36">
        <v>1985</v>
      </c>
      <c r="AI82" s="192">
        <f t="shared" ref="AI82:AI85" si="17">AG82+AH82</f>
        <v>4170</v>
      </c>
      <c r="AJ82" s="36">
        <v>2075</v>
      </c>
      <c r="AK82" s="36">
        <v>2994</v>
      </c>
      <c r="AL82" s="87">
        <v>9239</v>
      </c>
      <c r="AM82" s="36">
        <v>2261</v>
      </c>
      <c r="AN82" s="36">
        <v>2620</v>
      </c>
      <c r="AO82" s="192">
        <f t="shared" ref="AO82:AO85" si="18">AM82+AN82</f>
        <v>4881</v>
      </c>
      <c r="AP82" s="36">
        <v>3022</v>
      </c>
      <c r="AQ82" s="36">
        <v>4178</v>
      </c>
      <c r="AR82" s="87">
        <v>12081</v>
      </c>
      <c r="AS82" s="36">
        <v>3840</v>
      </c>
      <c r="AT82" s="36">
        <v>3858</v>
      </c>
      <c r="AU82" s="192">
        <f t="shared" ref="AU82:AU85" si="19">AS82+AT82</f>
        <v>7698</v>
      </c>
      <c r="AV82" s="36">
        <v>3516</v>
      </c>
      <c r="AW82" s="36">
        <v>3877</v>
      </c>
      <c r="AX82" s="87">
        <v>15091</v>
      </c>
      <c r="AY82" s="36">
        <v>3340</v>
      </c>
      <c r="AZ82" s="36">
        <v>3525</v>
      </c>
      <c r="BA82" s="192">
        <f t="shared" ref="BA82:BA85" si="20">AY82+AZ82</f>
        <v>6865</v>
      </c>
      <c r="BB82" s="36">
        <v>3157</v>
      </c>
      <c r="BC82" s="36">
        <v>3608</v>
      </c>
      <c r="BD82" s="87">
        <v>13630</v>
      </c>
      <c r="BE82" s="36">
        <v>3588</v>
      </c>
      <c r="BF82" s="36">
        <v>4340</v>
      </c>
      <c r="BG82" s="192">
        <f t="shared" ref="BG82:BG85" si="21">BE82+BF82</f>
        <v>7928</v>
      </c>
      <c r="BH82" s="36">
        <v>4032</v>
      </c>
      <c r="BI82" s="36">
        <v>3608</v>
      </c>
      <c r="BJ82" s="87">
        <v>15568</v>
      </c>
      <c r="BK82" s="36">
        <v>3747</v>
      </c>
      <c r="BL82" s="36">
        <v>5423</v>
      </c>
      <c r="BM82" s="192">
        <f t="shared" ref="BM82:BM85" si="22">BK82+BL82</f>
        <v>9170</v>
      </c>
      <c r="BN82" s="36">
        <v>7303</v>
      </c>
      <c r="BO82" s="36"/>
      <c r="BP82" s="90">
        <f t="shared" ref="BP82:BP85" si="23">(BK82+BL82+BN82)*4/3</f>
        <v>21964</v>
      </c>
      <c r="BQ82" s="384">
        <f>BQ81*BQ106</f>
        <v>26494.826346666683</v>
      </c>
      <c r="BR82" s="385">
        <f>BR81*BR106</f>
        <v>28299.815392000026</v>
      </c>
      <c r="BS82" s="385">
        <f>BS81*BS106</f>
        <v>29892.548861781364</v>
      </c>
      <c r="BT82" s="385">
        <f>BT81*BT106</f>
        <v>31276.658078444834</v>
      </c>
      <c r="BU82" s="385">
        <f>BU81*BU106</f>
        <v>32782.468913493634</v>
      </c>
      <c r="BV82" s="365"/>
      <c r="BW82" s="305"/>
      <c r="BX82" s="451"/>
      <c r="BY82" s="459"/>
      <c r="BZ82" s="459"/>
      <c r="CC82" t="s">
        <v>417</v>
      </c>
      <c r="CD82" s="13">
        <v>0.2</v>
      </c>
      <c r="CE82" s="13">
        <v>0.15</v>
      </c>
      <c r="CF82" s="13">
        <v>0.05</v>
      </c>
    </row>
    <row r="83" spans="2:84" x14ac:dyDescent="0.25">
      <c r="B83" s="8" t="s">
        <v>16</v>
      </c>
      <c r="C83" s="5">
        <v>330</v>
      </c>
      <c r="D83" s="5">
        <v>358</v>
      </c>
      <c r="E83" s="5">
        <f t="shared" si="15"/>
        <v>688</v>
      </c>
      <c r="F83" s="5">
        <v>359</v>
      </c>
      <c r="G83" s="5">
        <v>373</v>
      </c>
      <c r="H83" s="302" t="s">
        <v>12</v>
      </c>
      <c r="I83" s="303">
        <v>536</v>
      </c>
      <c r="J83" s="303">
        <v>669</v>
      </c>
      <c r="K83" s="304">
        <f t="shared" si="16"/>
        <v>1205</v>
      </c>
      <c r="L83" s="303">
        <v>684</v>
      </c>
      <c r="M83" s="303">
        <v>727</v>
      </c>
      <c r="N83" s="302" t="s">
        <v>12</v>
      </c>
      <c r="O83" s="303"/>
      <c r="P83" s="303"/>
      <c r="Q83" s="304"/>
      <c r="R83" s="303"/>
      <c r="S83" s="303"/>
      <c r="T83" s="77">
        <f>T81-T82</f>
        <v>2730</v>
      </c>
      <c r="U83" s="77">
        <f t="shared" ref="U83:BP83" si="24">U81-U82</f>
        <v>0</v>
      </c>
      <c r="V83" s="77">
        <f t="shared" si="24"/>
        <v>0</v>
      </c>
      <c r="W83" s="77">
        <f t="shared" si="24"/>
        <v>0</v>
      </c>
      <c r="X83" s="77">
        <f t="shared" si="24"/>
        <v>0</v>
      </c>
      <c r="Y83" s="77">
        <f t="shared" si="24"/>
        <v>0</v>
      </c>
      <c r="Z83" s="77">
        <f t="shared" si="24"/>
        <v>3035</v>
      </c>
      <c r="AA83" s="77">
        <f t="shared" si="24"/>
        <v>0</v>
      </c>
      <c r="AB83" s="77">
        <f t="shared" si="24"/>
        <v>0</v>
      </c>
      <c r="AC83" s="77">
        <f t="shared" si="24"/>
        <v>0</v>
      </c>
      <c r="AD83" s="77">
        <f t="shared" si="24"/>
        <v>0</v>
      </c>
      <c r="AE83" s="77">
        <f t="shared" si="24"/>
        <v>0</v>
      </c>
      <c r="AF83" s="77">
        <f t="shared" si="24"/>
        <v>4969</v>
      </c>
      <c r="AG83" s="77">
        <f t="shared" si="24"/>
        <v>1256</v>
      </c>
      <c r="AH83" s="77">
        <f t="shared" si="24"/>
        <v>1271</v>
      </c>
      <c r="AI83" s="77">
        <f t="shared" si="24"/>
        <v>2527</v>
      </c>
      <c r="AJ83" s="77">
        <f t="shared" si="24"/>
        <v>1313</v>
      </c>
      <c r="AK83" s="77">
        <f t="shared" si="24"/>
        <v>1529</v>
      </c>
      <c r="AL83" s="77">
        <f t="shared" si="24"/>
        <v>5369</v>
      </c>
      <c r="AM83" s="77">
        <f t="shared" si="24"/>
        <v>1348</v>
      </c>
      <c r="AN83" s="77">
        <f t="shared" si="24"/>
        <v>1377</v>
      </c>
      <c r="AO83" s="77">
        <f t="shared" si="24"/>
        <v>2725</v>
      </c>
      <c r="AP83" s="77">
        <f t="shared" si="24"/>
        <v>1717</v>
      </c>
      <c r="AQ83" s="77">
        <f t="shared" si="24"/>
        <v>2211</v>
      </c>
      <c r="AR83" s="77">
        <f t="shared" si="24"/>
        <v>6653</v>
      </c>
      <c r="AS83" s="77">
        <f t="shared" si="24"/>
        <v>2322</v>
      </c>
      <c r="AT83" s="77">
        <f t="shared" si="24"/>
        <v>2324</v>
      </c>
      <c r="AU83" s="77">
        <f t="shared" si="24"/>
        <v>4646</v>
      </c>
      <c r="AV83" s="77">
        <f t="shared" si="24"/>
        <v>2325</v>
      </c>
      <c r="AW83" s="77">
        <f t="shared" si="24"/>
        <v>2347</v>
      </c>
      <c r="AX83" s="77">
        <f t="shared" si="24"/>
        <v>9318</v>
      </c>
      <c r="AY83" s="77">
        <f t="shared" si="24"/>
        <v>2285</v>
      </c>
      <c r="AZ83" s="77">
        <f t="shared" si="24"/>
        <v>2373</v>
      </c>
      <c r="BA83" s="77">
        <f t="shared" si="24"/>
        <v>4658</v>
      </c>
      <c r="BB83" s="77">
        <f t="shared" si="24"/>
        <v>2381</v>
      </c>
      <c r="BC83" s="77">
        <f t="shared" si="24"/>
        <v>2471</v>
      </c>
      <c r="BD83" s="77">
        <f t="shared" si="24"/>
        <v>9510</v>
      </c>
      <c r="BE83" s="77">
        <f t="shared" si="24"/>
        <v>2401</v>
      </c>
      <c r="BF83" s="77">
        <f t="shared" si="24"/>
        <v>2576</v>
      </c>
      <c r="BG83" s="77">
        <f t="shared" si="24"/>
        <v>4977</v>
      </c>
      <c r="BH83" s="77">
        <f t="shared" si="24"/>
        <v>2587</v>
      </c>
      <c r="BI83" s="77">
        <f t="shared" si="24"/>
        <v>2492</v>
      </c>
      <c r="BJ83" s="77">
        <f t="shared" si="24"/>
        <v>10056</v>
      </c>
      <c r="BK83" s="77">
        <f t="shared" si="24"/>
        <v>2578</v>
      </c>
      <c r="BL83" s="77">
        <f t="shared" si="24"/>
        <v>4631</v>
      </c>
      <c r="BM83" s="77">
        <f t="shared" si="24"/>
        <v>7209</v>
      </c>
      <c r="BN83" s="77">
        <f t="shared" si="24"/>
        <v>5810</v>
      </c>
      <c r="BO83" s="77">
        <f t="shared" si="24"/>
        <v>0</v>
      </c>
      <c r="BP83" s="77">
        <f t="shared" si="24"/>
        <v>17358.666666666701</v>
      </c>
      <c r="BQ83" s="414">
        <f>BQ81*BQ93</f>
        <v>19905.920320000016</v>
      </c>
      <c r="BR83" s="414">
        <f>BR81*BR93</f>
        <v>21348.983541333349</v>
      </c>
      <c r="BS83" s="414">
        <f>BS81*BS93</f>
        <v>22735.178007552022</v>
      </c>
      <c r="BT83" s="414">
        <f>BT81*BT93</f>
        <v>23982.455134355223</v>
      </c>
      <c r="BU83" s="414">
        <f>BU81*BU93</f>
        <v>25239.599959946427</v>
      </c>
      <c r="BV83" s="365"/>
      <c r="BW83" s="305"/>
      <c r="BX83" s="450">
        <f>IFERROR((BU83/BP83)^(1/5)-1,"n/m")</f>
        <v>7.7738061507639733E-2</v>
      </c>
      <c r="BY83" s="290">
        <f>IFERROR((BP83/AL83)^(1/5)-1,"n/m")</f>
        <v>0.26451676593638029</v>
      </c>
      <c r="BZ83" s="290" t="str">
        <f>IFERROR((BP83/H83)^(1/10)-1,"n/m")</f>
        <v>n/m</v>
      </c>
      <c r="CC83" t="s">
        <v>418</v>
      </c>
      <c r="CD83" s="13">
        <v>0.04</v>
      </c>
      <c r="CE83" s="13">
        <v>0.03</v>
      </c>
      <c r="CF83" s="13">
        <v>0.01</v>
      </c>
    </row>
    <row r="84" spans="2:84" x14ac:dyDescent="0.25">
      <c r="B84" t="s">
        <v>17</v>
      </c>
      <c r="C84" s="10">
        <v>125</v>
      </c>
      <c r="D84" s="10">
        <v>117</v>
      </c>
      <c r="E84" s="10">
        <f t="shared" si="15"/>
        <v>242</v>
      </c>
      <c r="F84" s="10">
        <v>113</v>
      </c>
      <c r="G84" s="10">
        <v>131</v>
      </c>
      <c r="H84" s="67" t="s">
        <v>12</v>
      </c>
      <c r="I84" s="179">
        <v>165</v>
      </c>
      <c r="J84" s="179">
        <v>192</v>
      </c>
      <c r="K84" s="180">
        <f t="shared" si="16"/>
        <v>357</v>
      </c>
      <c r="L84" s="179">
        <v>202</v>
      </c>
      <c r="M84" s="179">
        <v>242</v>
      </c>
      <c r="N84" s="67" t="s">
        <v>12</v>
      </c>
      <c r="O84" s="179"/>
      <c r="P84" s="179"/>
      <c r="Q84" s="180"/>
      <c r="R84" s="179"/>
      <c r="S84" s="179"/>
      <c r="T84" s="67">
        <v>884</v>
      </c>
      <c r="U84" s="179"/>
      <c r="V84" s="179"/>
      <c r="W84" s="180"/>
      <c r="X84" s="179"/>
      <c r="Y84" s="179"/>
      <c r="Z84" s="67">
        <v>955</v>
      </c>
      <c r="AA84" s="179"/>
      <c r="AB84" s="179"/>
      <c r="AC84" s="180"/>
      <c r="AD84" s="179"/>
      <c r="AE84" s="179"/>
      <c r="AF84" s="67">
        <v>1088</v>
      </c>
      <c r="AG84" s="179">
        <v>289</v>
      </c>
      <c r="AH84" s="179">
        <v>244</v>
      </c>
      <c r="AI84" s="180">
        <f t="shared" si="17"/>
        <v>533</v>
      </c>
      <c r="AJ84" s="179">
        <v>255</v>
      </c>
      <c r="AK84" s="179">
        <v>301</v>
      </c>
      <c r="AL84" s="67">
        <v>1089</v>
      </c>
      <c r="AM84" s="179">
        <v>281</v>
      </c>
      <c r="AN84" s="179">
        <v>297</v>
      </c>
      <c r="AO84" s="180">
        <f t="shared" si="18"/>
        <v>578</v>
      </c>
      <c r="AP84" s="179">
        <v>348</v>
      </c>
      <c r="AQ84" s="179">
        <v>412</v>
      </c>
      <c r="AR84" s="67">
        <v>1338</v>
      </c>
      <c r="AS84" s="179">
        <v>423</v>
      </c>
      <c r="AT84" s="179">
        <v>405</v>
      </c>
      <c r="AU84" s="180">
        <f t="shared" si="19"/>
        <v>828</v>
      </c>
      <c r="AV84" s="179">
        <v>448</v>
      </c>
      <c r="AW84" s="179">
        <v>483</v>
      </c>
      <c r="AX84" s="67">
        <v>1759</v>
      </c>
      <c r="AY84" s="179">
        <v>453</v>
      </c>
      <c r="AZ84" s="179">
        <v>420</v>
      </c>
      <c r="BA84" s="180">
        <f t="shared" si="20"/>
        <v>873</v>
      </c>
      <c r="BB84" s="179">
        <v>453</v>
      </c>
      <c r="BC84" s="179">
        <v>456</v>
      </c>
      <c r="BD84" s="67">
        <v>1782</v>
      </c>
      <c r="BE84" s="179">
        <v>437</v>
      </c>
      <c r="BF84" s="179">
        <v>448</v>
      </c>
      <c r="BG84" s="180">
        <f t="shared" si="21"/>
        <v>885</v>
      </c>
      <c r="BH84" s="179">
        <v>467</v>
      </c>
      <c r="BI84" s="179">
        <v>442</v>
      </c>
      <c r="BJ84" s="67">
        <v>1794</v>
      </c>
      <c r="BK84" s="179">
        <v>514</v>
      </c>
      <c r="BL84" s="179">
        <v>1246</v>
      </c>
      <c r="BM84" s="180">
        <f t="shared" si="22"/>
        <v>1760</v>
      </c>
      <c r="BN84" s="179">
        <v>1662</v>
      </c>
      <c r="BO84" s="179"/>
      <c r="BP84" s="67">
        <f t="shared" si="23"/>
        <v>4562.666666666667</v>
      </c>
      <c r="BQ84" s="371">
        <f>BQ81*BQ107</f>
        <v>1160.0186666666675</v>
      </c>
      <c r="BR84" s="371">
        <f>BR81*BR107</f>
        <v>1241.2199733333346</v>
      </c>
      <c r="BS84" s="371">
        <f>BS81*BS107</f>
        <v>1315.6931717333346</v>
      </c>
      <c r="BT84" s="371">
        <f>BT81*BT107</f>
        <v>1381.4778303200014</v>
      </c>
      <c r="BU84" s="371">
        <f>BU81*BU107</f>
        <v>1450.5517218360017</v>
      </c>
      <c r="BV84" s="365"/>
      <c r="BW84" s="305"/>
      <c r="BX84" s="451"/>
      <c r="BY84" s="459"/>
      <c r="BZ84" s="459"/>
      <c r="CC84" t="s">
        <v>419</v>
      </c>
      <c r="CD84" s="13">
        <v>0.04</v>
      </c>
      <c r="CE84" s="13">
        <v>0.03</v>
      </c>
      <c r="CF84" s="13">
        <v>0.01</v>
      </c>
    </row>
    <row r="85" spans="2:84" x14ac:dyDescent="0.25">
      <c r="B85" t="s">
        <v>18</v>
      </c>
      <c r="C85" s="10">
        <v>133</v>
      </c>
      <c r="D85" s="10">
        <v>136</v>
      </c>
      <c r="E85" s="10">
        <f t="shared" si="15"/>
        <v>269</v>
      </c>
      <c r="F85" s="10">
        <v>132</v>
      </c>
      <c r="G85" s="10">
        <v>139</v>
      </c>
      <c r="H85" s="67" t="s">
        <v>12</v>
      </c>
      <c r="I85" s="179">
        <v>273</v>
      </c>
      <c r="J85" s="179">
        <v>322</v>
      </c>
      <c r="K85" s="180">
        <f t="shared" si="16"/>
        <v>595</v>
      </c>
      <c r="L85" s="179">
        <v>311</v>
      </c>
      <c r="M85" s="179">
        <v>282</v>
      </c>
      <c r="N85" s="67" t="s">
        <v>12</v>
      </c>
      <c r="O85" s="179"/>
      <c r="P85" s="179"/>
      <c r="Q85" s="180"/>
      <c r="R85" s="179"/>
      <c r="S85" s="179"/>
      <c r="T85" s="67">
        <v>1087</v>
      </c>
      <c r="U85" s="179"/>
      <c r="V85" s="179"/>
      <c r="W85" s="180"/>
      <c r="X85" s="179"/>
      <c r="Y85" s="179"/>
      <c r="Z85" s="67">
        <v>1141</v>
      </c>
      <c r="AA85" s="179"/>
      <c r="AB85" s="179"/>
      <c r="AC85" s="180"/>
      <c r="AD85" s="179"/>
      <c r="AE85" s="179"/>
      <c r="AF85" s="67">
        <v>1306</v>
      </c>
      <c r="AG85" s="179">
        <v>385</v>
      </c>
      <c r="AH85" s="179">
        <v>365</v>
      </c>
      <c r="AI85" s="180">
        <f t="shared" si="17"/>
        <v>750</v>
      </c>
      <c r="AJ85" s="179">
        <v>344</v>
      </c>
      <c r="AK85" s="179">
        <v>355</v>
      </c>
      <c r="AL85" s="67">
        <v>1449</v>
      </c>
      <c r="AM85" s="179">
        <v>377</v>
      </c>
      <c r="AN85" s="179">
        <v>377</v>
      </c>
      <c r="AO85" s="180">
        <f t="shared" si="18"/>
        <v>754</v>
      </c>
      <c r="AP85" s="179">
        <v>418</v>
      </c>
      <c r="AQ85" s="179">
        <v>492</v>
      </c>
      <c r="AR85" s="67">
        <v>1664</v>
      </c>
      <c r="AS85" s="179">
        <v>525</v>
      </c>
      <c r="AT85" s="179">
        <v>552</v>
      </c>
      <c r="AU85" s="180">
        <f t="shared" si="19"/>
        <v>1077</v>
      </c>
      <c r="AV85" s="179">
        <v>600</v>
      </c>
      <c r="AW85" s="179">
        <v>577</v>
      </c>
      <c r="AX85" s="67">
        <v>2254</v>
      </c>
      <c r="AY85" s="179">
        <v>588</v>
      </c>
      <c r="AZ85" s="179">
        <v>613</v>
      </c>
      <c r="BA85" s="180">
        <f t="shared" si="20"/>
        <v>1201</v>
      </c>
      <c r="BB85" s="179">
        <v>599</v>
      </c>
      <c r="BC85" s="179">
        <v>618</v>
      </c>
      <c r="BD85" s="67">
        <v>2418</v>
      </c>
      <c r="BE85" s="179">
        <v>650</v>
      </c>
      <c r="BF85" s="179">
        <v>658</v>
      </c>
      <c r="BG85" s="180">
        <f t="shared" si="21"/>
        <v>1308</v>
      </c>
      <c r="BH85" s="179">
        <v>654</v>
      </c>
      <c r="BI85" s="179">
        <v>669</v>
      </c>
      <c r="BJ85" s="67">
        <v>2631</v>
      </c>
      <c r="BK85" s="179">
        <v>726</v>
      </c>
      <c r="BL85" s="179">
        <v>1445</v>
      </c>
      <c r="BM85" s="180">
        <f t="shared" si="22"/>
        <v>2171</v>
      </c>
      <c r="BN85" s="179">
        <v>1673</v>
      </c>
      <c r="BO85" s="179"/>
      <c r="BP85" s="67">
        <f t="shared" si="23"/>
        <v>5125.333333333333</v>
      </c>
      <c r="BQ85" s="371">
        <f>BQ81*BQ108</f>
        <v>8120.1306666666724</v>
      </c>
      <c r="BR85" s="371">
        <f>BR81*BR108</f>
        <v>8440.2958186666747</v>
      </c>
      <c r="BS85" s="371">
        <f>BS81*BS108</f>
        <v>8683.574933440008</v>
      </c>
      <c r="BT85" s="371">
        <f>BT81*BT108</f>
        <v>8841.4581140480095</v>
      </c>
      <c r="BU85" s="371">
        <f>BU81*BU108</f>
        <v>9167.4868820035299</v>
      </c>
      <c r="BV85" s="365"/>
      <c r="BW85" s="305"/>
      <c r="BX85" s="451"/>
      <c r="BY85" s="459"/>
      <c r="BZ85" s="459"/>
      <c r="CC85" t="s">
        <v>420</v>
      </c>
      <c r="CD85" s="13">
        <v>0.04</v>
      </c>
      <c r="CE85" s="13">
        <v>0.03</v>
      </c>
      <c r="CF85" s="13">
        <v>0.01</v>
      </c>
    </row>
    <row r="86" spans="2:84" x14ac:dyDescent="0.25">
      <c r="B86" s="3" t="s">
        <v>19</v>
      </c>
      <c r="C86" s="10">
        <v>72</v>
      </c>
      <c r="D86" s="10">
        <v>105</v>
      </c>
      <c r="E86" s="10">
        <f t="shared" si="15"/>
        <v>177</v>
      </c>
      <c r="F86" s="10">
        <v>114</v>
      </c>
      <c r="G86" s="10">
        <v>103</v>
      </c>
      <c r="H86" s="68" t="s">
        <v>12</v>
      </c>
      <c r="I86" s="181">
        <v>98</v>
      </c>
      <c r="J86" s="181">
        <v>155</v>
      </c>
      <c r="K86" s="182">
        <f t="shared" si="16"/>
        <v>253</v>
      </c>
      <c r="L86" s="181">
        <v>171</v>
      </c>
      <c r="M86" s="181">
        <v>203</v>
      </c>
      <c r="N86" s="68" t="s">
        <v>12</v>
      </c>
      <c r="O86" s="181"/>
      <c r="P86" s="181"/>
      <c r="Q86" s="182"/>
      <c r="R86" s="181"/>
      <c r="S86" s="181"/>
      <c r="T86" s="75">
        <f>T83-T84-T85</f>
        <v>759</v>
      </c>
      <c r="U86" s="75">
        <f t="shared" ref="U86" si="25">U83-U84-U85</f>
        <v>0</v>
      </c>
      <c r="V86" s="75">
        <f t="shared" ref="V86" si="26">V83-V84-V85</f>
        <v>0</v>
      </c>
      <c r="W86" s="75">
        <f t="shared" ref="W86" si="27">W83-W84-W85</f>
        <v>0</v>
      </c>
      <c r="X86" s="75">
        <f t="shared" ref="X86" si="28">X83-X84-X85</f>
        <v>0</v>
      </c>
      <c r="Y86" s="75">
        <f t="shared" ref="Y86" si="29">Y83-Y84-Y85</f>
        <v>0</v>
      </c>
      <c r="Z86" s="75">
        <f t="shared" ref="Z86" si="30">Z83-Z84-Z85</f>
        <v>939</v>
      </c>
      <c r="AA86" s="75">
        <f t="shared" ref="AA86" si="31">AA83-AA84-AA85</f>
        <v>0</v>
      </c>
      <c r="AB86" s="75">
        <f t="shared" ref="AB86" si="32">AB83-AB84-AB85</f>
        <v>0</v>
      </c>
      <c r="AC86" s="75">
        <f t="shared" ref="AC86" si="33">AC83-AC84-AC85</f>
        <v>0</v>
      </c>
      <c r="AD86" s="75">
        <f t="shared" ref="AD86" si="34">AD83-AD84-AD85</f>
        <v>0</v>
      </c>
      <c r="AE86" s="75">
        <f t="shared" ref="AE86" si="35">AE83-AE84-AE85</f>
        <v>0</v>
      </c>
      <c r="AF86" s="75">
        <f t="shared" ref="AF86" si="36">AF83-AF84-AF85</f>
        <v>2575</v>
      </c>
      <c r="AG86" s="75">
        <f t="shared" ref="AG86" si="37">AG83-AG84-AG85</f>
        <v>582</v>
      </c>
      <c r="AH86" s="75">
        <f t="shared" ref="AH86" si="38">AH83-AH84-AH85</f>
        <v>662</v>
      </c>
      <c r="AI86" s="75">
        <f t="shared" ref="AI86" si="39">AI83-AI84-AI85</f>
        <v>1244</v>
      </c>
      <c r="AJ86" s="75">
        <f t="shared" ref="AJ86" si="40">AJ83-AJ84-AJ85</f>
        <v>714</v>
      </c>
      <c r="AK86" s="75">
        <f t="shared" ref="AK86" si="41">AK83-AK84-AK85</f>
        <v>873</v>
      </c>
      <c r="AL86" s="75">
        <f t="shared" ref="AL86" si="42">AL83-AL84-AL85</f>
        <v>2831</v>
      </c>
      <c r="AM86" s="75">
        <f t="shared" ref="AM86" si="43">AM83-AM84-AM85</f>
        <v>690</v>
      </c>
      <c r="AN86" s="75">
        <f t="shared" ref="AN86" si="44">AN83-AN84-AN85</f>
        <v>703</v>
      </c>
      <c r="AO86" s="75">
        <f t="shared" ref="AO86" si="45">AO83-AO84-AO85</f>
        <v>1393</v>
      </c>
      <c r="AP86" s="75">
        <f t="shared" ref="AP86" si="46">AP83-AP84-AP85</f>
        <v>951</v>
      </c>
      <c r="AQ86" s="75">
        <f t="shared" ref="AQ86" si="47">AQ83-AQ84-AQ85</f>
        <v>1307</v>
      </c>
      <c r="AR86" s="75">
        <f t="shared" ref="AR86" si="48">AR83-AR84-AR85</f>
        <v>3651</v>
      </c>
      <c r="AS86" s="75">
        <f t="shared" ref="AS86" si="49">AS83-AS84-AS85</f>
        <v>1374</v>
      </c>
      <c r="AT86" s="75">
        <f t="shared" ref="AT86" si="50">AT83-AT84-AT85</f>
        <v>1367</v>
      </c>
      <c r="AU86" s="75">
        <f t="shared" ref="AU86" si="51">AU83-AU84-AU85</f>
        <v>2741</v>
      </c>
      <c r="AV86" s="75">
        <f t="shared" ref="AV86" si="52">AV83-AV84-AV85</f>
        <v>1277</v>
      </c>
      <c r="AW86" s="75">
        <f t="shared" ref="AW86" si="53">AW83-AW84-AW85</f>
        <v>1287</v>
      </c>
      <c r="AX86" s="75">
        <f t="shared" ref="AX86" si="54">AX83-AX84-AX85</f>
        <v>5305</v>
      </c>
      <c r="AY86" s="75">
        <f t="shared" ref="AY86" si="55">AY83-AY84-AY85</f>
        <v>1244</v>
      </c>
      <c r="AZ86" s="75">
        <f t="shared" ref="AZ86" si="56">AZ83-AZ84-AZ85</f>
        <v>1340</v>
      </c>
      <c r="BA86" s="75">
        <f t="shared" ref="BA86" si="57">BA83-BA84-BA85</f>
        <v>2584</v>
      </c>
      <c r="BB86" s="75">
        <f t="shared" ref="BB86" si="58">BB83-BB84-BB85</f>
        <v>1329</v>
      </c>
      <c r="BC86" s="75">
        <f t="shared" ref="BC86" si="59">BC83-BC84-BC85</f>
        <v>1397</v>
      </c>
      <c r="BD86" s="75">
        <f t="shared" ref="BD86" si="60">BD83-BD84-BD85</f>
        <v>5310</v>
      </c>
      <c r="BE86" s="75">
        <f t="shared" ref="BE86" si="61">BE83-BE84-BE85</f>
        <v>1314</v>
      </c>
      <c r="BF86" s="75">
        <f t="shared" ref="BF86" si="62">BF83-BF84-BF85</f>
        <v>1470</v>
      </c>
      <c r="BG86" s="75">
        <f t="shared" ref="BG86" si="63">BG83-BG84-BG85</f>
        <v>2784</v>
      </c>
      <c r="BH86" s="75">
        <f t="shared" ref="BH86" si="64">BH83-BH84-BH85</f>
        <v>1466</v>
      </c>
      <c r="BI86" s="75">
        <f t="shared" ref="BI86" si="65">BI83-BI84-BI85</f>
        <v>1381</v>
      </c>
      <c r="BJ86" s="75">
        <f t="shared" ref="BJ86" si="66">BJ83-BJ84-BJ85</f>
        <v>5631</v>
      </c>
      <c r="BK86" s="75">
        <f t="shared" ref="BK86" si="67">BK83-BK84-BK85</f>
        <v>1338</v>
      </c>
      <c r="BL86" s="75">
        <f t="shared" ref="BL86" si="68">BL83-BL84-BL85</f>
        <v>1940</v>
      </c>
      <c r="BM86" s="75">
        <f t="shared" ref="BM86" si="69">BM83-BM84-BM85</f>
        <v>3278</v>
      </c>
      <c r="BN86" s="75">
        <f t="shared" ref="BN86" si="70">BN83-BN84-BN85</f>
        <v>2475</v>
      </c>
      <c r="BO86" s="75">
        <f t="shared" ref="BO86" si="71">BO83-BO84-BO85</f>
        <v>0</v>
      </c>
      <c r="BP86" s="75">
        <f t="shared" ref="BP86" si="72">BP83-BP84-BP85</f>
        <v>7670.6666666666997</v>
      </c>
      <c r="BQ86" s="414">
        <f>BQ83-BQ84-BQ85</f>
        <v>10625.770986666677</v>
      </c>
      <c r="BR86" s="414">
        <f>BR83-BR84-BR85</f>
        <v>11667.467749333342</v>
      </c>
      <c r="BS86" s="414">
        <f>BS83-BS84-BS85</f>
        <v>12735.909902378678</v>
      </c>
      <c r="BT86" s="414">
        <f>BT83-BT84-BT85</f>
        <v>13759.519189987213</v>
      </c>
      <c r="BU86" s="414">
        <f>BU83-BU84-BU85</f>
        <v>14621.561356106897</v>
      </c>
      <c r="BV86" s="365"/>
      <c r="BW86" s="305"/>
      <c r="BX86" s="450">
        <f>IFERROR((BU86/BP86)^(1/5)-1,"n/m")</f>
        <v>0.13771144790720125</v>
      </c>
      <c r="BY86" s="459">
        <f>IFERROR((BP86/AL86)^(1/5)-1,"n/m")</f>
        <v>0.2206148471176268</v>
      </c>
      <c r="BZ86" s="459" t="str">
        <f>IFERROR((BP86/H86)^(1/10)-1,"n/m")</f>
        <v>n/m</v>
      </c>
      <c r="CC86" t="s">
        <v>421</v>
      </c>
      <c r="CD86" s="13">
        <v>0.04</v>
      </c>
      <c r="CE86" s="13">
        <v>0.03</v>
      </c>
      <c r="CF86" s="13">
        <v>0.01</v>
      </c>
    </row>
    <row r="87" spans="2:84" x14ac:dyDescent="0.25">
      <c r="B87" t="s">
        <v>20</v>
      </c>
      <c r="C87" s="10">
        <v>36</v>
      </c>
      <c r="D87" s="10">
        <v>37</v>
      </c>
      <c r="E87" s="10">
        <v>73</v>
      </c>
      <c r="F87" s="10">
        <v>39</v>
      </c>
      <c r="G87" s="10">
        <v>40</v>
      </c>
      <c r="H87" s="67">
        <v>152</v>
      </c>
      <c r="I87" s="179">
        <v>51</v>
      </c>
      <c r="J87" s="179">
        <v>65</v>
      </c>
      <c r="K87" s="180">
        <v>116</v>
      </c>
      <c r="L87" s="179">
        <v>66</v>
      </c>
      <c r="M87" s="179">
        <v>61</v>
      </c>
      <c r="N87" s="67">
        <v>243</v>
      </c>
      <c r="O87" s="179"/>
      <c r="P87" s="179"/>
      <c r="Q87" s="180"/>
      <c r="R87" s="179"/>
      <c r="S87" s="179"/>
      <c r="T87" s="67">
        <v>265</v>
      </c>
      <c r="U87" s="179"/>
      <c r="V87" s="179"/>
      <c r="W87" s="180"/>
      <c r="X87" s="179"/>
      <c r="Y87" s="179"/>
      <c r="Z87" s="67">
        <v>230</v>
      </c>
      <c r="AA87" s="179"/>
      <c r="AB87" s="179"/>
      <c r="AC87" s="180"/>
      <c r="AD87" s="179"/>
      <c r="AE87" s="179"/>
      <c r="AF87" s="67">
        <v>1562</v>
      </c>
      <c r="AG87" s="179">
        <v>423</v>
      </c>
      <c r="AH87" s="179">
        <v>428</v>
      </c>
      <c r="AI87" s="180">
        <v>851</v>
      </c>
      <c r="AJ87" s="179">
        <v>402</v>
      </c>
      <c r="AK87" s="179">
        <v>417</v>
      </c>
      <c r="AL87" s="67">
        <v>1670</v>
      </c>
      <c r="AM87" s="179">
        <v>427</v>
      </c>
      <c r="AN87" s="179">
        <v>425</v>
      </c>
      <c r="AO87" s="180">
        <v>852</v>
      </c>
      <c r="AP87" s="179">
        <v>465</v>
      </c>
      <c r="AQ87" s="179">
        <v>559</v>
      </c>
      <c r="AR87" s="67">
        <v>1876</v>
      </c>
      <c r="AS87" s="179">
        <v>585</v>
      </c>
      <c r="AT87" s="179">
        <v>614</v>
      </c>
      <c r="AU87" s="180">
        <v>1199</v>
      </c>
      <c r="AV87" s="179">
        <v>664</v>
      </c>
      <c r="AW87" s="179">
        <v>741</v>
      </c>
      <c r="AX87" s="67">
        <v>2604</v>
      </c>
      <c r="AY87" s="179">
        <v>696</v>
      </c>
      <c r="AZ87" s="179">
        <v>727</v>
      </c>
      <c r="BA87" s="180">
        <v>1423</v>
      </c>
      <c r="BB87" s="179">
        <v>745</v>
      </c>
      <c r="BC87" s="179">
        <v>787</v>
      </c>
      <c r="BD87" s="67">
        <v>2955</v>
      </c>
      <c r="BE87" s="179">
        <v>814</v>
      </c>
      <c r="BF87" s="179">
        <v>809</v>
      </c>
      <c r="BG87" s="180">
        <v>1623</v>
      </c>
      <c r="BH87" s="179">
        <v>830</v>
      </c>
      <c r="BI87" s="179">
        <v>850</v>
      </c>
      <c r="BJ87" s="67">
        <v>3303</v>
      </c>
      <c r="BK87" s="179">
        <v>868</v>
      </c>
      <c r="BL87" s="179">
        <v>1216</v>
      </c>
      <c r="BM87" s="180">
        <v>2084</v>
      </c>
      <c r="BN87" s="179">
        <v>1377</v>
      </c>
      <c r="BO87" s="179"/>
      <c r="BP87" s="67">
        <v>4614.6666666666697</v>
      </c>
      <c r="BQ87" s="371">
        <f>BQ81*BQ109</f>
        <v>4872.078400000004</v>
      </c>
      <c r="BR87" s="371">
        <f>BR81*BR109</f>
        <v>4964.8798933333383</v>
      </c>
      <c r="BS87" s="371">
        <f>BS81*BS109</f>
        <v>5104.8895063253385</v>
      </c>
      <c r="BT87" s="371">
        <f>BT81*BT109</f>
        <v>5304.8748684288048</v>
      </c>
      <c r="BU87" s="371">
        <f>BU81*BU109</f>
        <v>5512.0965429768057</v>
      </c>
      <c r="BV87" s="365"/>
      <c r="BW87" s="305"/>
      <c r="BX87" s="451"/>
      <c r="BY87" s="459"/>
      <c r="BZ87" s="459"/>
      <c r="CD87" s="13"/>
      <c r="CE87" s="13"/>
      <c r="CF87" s="13"/>
    </row>
    <row r="88" spans="2:84" x14ac:dyDescent="0.25">
      <c r="B88" s="262" t="s">
        <v>21</v>
      </c>
      <c r="C88" s="10">
        <v>36</v>
      </c>
      <c r="D88" s="10">
        <v>68</v>
      </c>
      <c r="E88" s="10">
        <v>104</v>
      </c>
      <c r="F88" s="10">
        <v>75</v>
      </c>
      <c r="G88" s="10">
        <v>63</v>
      </c>
      <c r="H88" s="263">
        <v>242</v>
      </c>
      <c r="I88" s="264">
        <v>47</v>
      </c>
      <c r="J88" s="264">
        <v>90</v>
      </c>
      <c r="K88" s="264">
        <v>137</v>
      </c>
      <c r="L88" s="264">
        <v>105</v>
      </c>
      <c r="M88" s="264">
        <v>142</v>
      </c>
      <c r="N88" s="263">
        <v>384</v>
      </c>
      <c r="O88" s="264"/>
      <c r="P88" s="264"/>
      <c r="Q88" s="264"/>
      <c r="R88" s="264"/>
      <c r="S88" s="264"/>
      <c r="T88" s="281">
        <f>T86-T87</f>
        <v>494</v>
      </c>
      <c r="U88" s="281">
        <f t="shared" ref="U88" si="73">U86-U87</f>
        <v>0</v>
      </c>
      <c r="V88" s="281">
        <f t="shared" ref="V88" si="74">V86-V87</f>
        <v>0</v>
      </c>
      <c r="W88" s="281">
        <f t="shared" ref="W88" si="75">W86-W87</f>
        <v>0</v>
      </c>
      <c r="X88" s="281">
        <f t="shared" ref="X88" si="76">X86-X87</f>
        <v>0</v>
      </c>
      <c r="Y88" s="281">
        <f t="shared" ref="Y88" si="77">Y86-Y87</f>
        <v>0</v>
      </c>
      <c r="Z88" s="281">
        <f t="shared" ref="Z88" si="78">Z86-Z87</f>
        <v>709</v>
      </c>
      <c r="AA88" s="281">
        <f t="shared" ref="AA88" si="79">AA86-AA87</f>
        <v>0</v>
      </c>
      <c r="AB88" s="281">
        <f t="shared" ref="AB88" si="80">AB86-AB87</f>
        <v>0</v>
      </c>
      <c r="AC88" s="281">
        <f t="shared" ref="AC88" si="81">AC86-AC87</f>
        <v>0</v>
      </c>
      <c r="AD88" s="281">
        <f t="shared" ref="AD88" si="82">AD86-AD87</f>
        <v>0</v>
      </c>
      <c r="AE88" s="281">
        <f t="shared" ref="AE88" si="83">AE86-AE87</f>
        <v>0</v>
      </c>
      <c r="AF88" s="281">
        <f t="shared" ref="AF88" si="84">AF86-AF87</f>
        <v>1013</v>
      </c>
      <c r="AG88" s="281">
        <f t="shared" ref="AG88" si="85">AG86-AG87</f>
        <v>159</v>
      </c>
      <c r="AH88" s="281">
        <f t="shared" ref="AH88" si="86">AH86-AH87</f>
        <v>234</v>
      </c>
      <c r="AI88" s="281">
        <f t="shared" ref="AI88" si="87">AI86-AI87</f>
        <v>393</v>
      </c>
      <c r="AJ88" s="281">
        <f t="shared" ref="AJ88" si="88">AJ86-AJ87</f>
        <v>312</v>
      </c>
      <c r="AK88" s="281">
        <f t="shared" ref="AK88" si="89">AK86-AK87</f>
        <v>456</v>
      </c>
      <c r="AL88" s="281">
        <f t="shared" ref="AL88" si="90">AL86-AL87</f>
        <v>1161</v>
      </c>
      <c r="AM88" s="281">
        <f t="shared" ref="AM88" si="91">AM86-AM87</f>
        <v>263</v>
      </c>
      <c r="AN88" s="281">
        <f t="shared" ref="AN88" si="92">AN86-AN87</f>
        <v>278</v>
      </c>
      <c r="AO88" s="281">
        <f t="shared" ref="AO88" si="93">AO86-AO87</f>
        <v>541</v>
      </c>
      <c r="AP88" s="281">
        <f t="shared" ref="AP88" si="94">AP86-AP87</f>
        <v>486</v>
      </c>
      <c r="AQ88" s="281">
        <f t="shared" ref="AQ88" si="95">AQ86-AQ87</f>
        <v>748</v>
      </c>
      <c r="AR88" s="281">
        <f t="shared" ref="AR88" si="96">AR86-AR87</f>
        <v>1775</v>
      </c>
      <c r="AS88" s="281">
        <f t="shared" ref="AS88" si="97">AS86-AS87</f>
        <v>789</v>
      </c>
      <c r="AT88" s="281">
        <f t="shared" ref="AT88" si="98">AT86-AT87</f>
        <v>753</v>
      </c>
      <c r="AU88" s="281">
        <f t="shared" ref="AU88" si="99">AU86-AU87</f>
        <v>1542</v>
      </c>
      <c r="AV88" s="281">
        <f t="shared" ref="AV88" si="100">AV86-AV87</f>
        <v>613</v>
      </c>
      <c r="AW88" s="281">
        <f t="shared" ref="AW88" si="101">AW86-AW87</f>
        <v>546</v>
      </c>
      <c r="AX88" s="281">
        <f t="shared" ref="AX88" si="102">AX86-AX87</f>
        <v>2701</v>
      </c>
      <c r="AY88" s="281">
        <f t="shared" ref="AY88" si="103">AY86-AY87</f>
        <v>548</v>
      </c>
      <c r="AZ88" s="281">
        <f t="shared" ref="AZ88" si="104">AZ86-AZ87</f>
        <v>613</v>
      </c>
      <c r="BA88" s="281">
        <f t="shared" ref="BA88" si="105">BA86-BA87</f>
        <v>1161</v>
      </c>
      <c r="BB88" s="281">
        <f t="shared" ref="BB88" si="106">BB86-BB87</f>
        <v>584</v>
      </c>
      <c r="BC88" s="281">
        <f t="shared" ref="BC88" si="107">BC86-BC87</f>
        <v>610</v>
      </c>
      <c r="BD88" s="281">
        <f t="shared" ref="BD88" si="108">BD86-BD87</f>
        <v>2355</v>
      </c>
      <c r="BE88" s="281">
        <f t="shared" ref="BE88" si="109">BE86-BE87</f>
        <v>500</v>
      </c>
      <c r="BF88" s="281">
        <f t="shared" ref="BF88" si="110">BF86-BF87</f>
        <v>661</v>
      </c>
      <c r="BG88" s="281">
        <f t="shared" ref="BG88" si="111">BG86-BG87</f>
        <v>1161</v>
      </c>
      <c r="BH88" s="281">
        <f t="shared" ref="BH88" si="112">BH86-BH87</f>
        <v>636</v>
      </c>
      <c r="BI88" s="281">
        <f t="shared" ref="BI88" si="113">BI86-BI87</f>
        <v>531</v>
      </c>
      <c r="BJ88" s="281">
        <f t="shared" ref="BJ88" si="114">BJ86-BJ87</f>
        <v>2328</v>
      </c>
      <c r="BK88" s="281">
        <f t="shared" ref="BK88" si="115">BK86-BK87</f>
        <v>470</v>
      </c>
      <c r="BL88" s="281">
        <f t="shared" ref="BL88" si="116">BL86-BL87</f>
        <v>724</v>
      </c>
      <c r="BM88" s="281">
        <f t="shared" ref="BM88" si="117">BM86-BM87</f>
        <v>1194</v>
      </c>
      <c r="BN88" s="281">
        <f t="shared" ref="BN88" si="118">BN86-BN87</f>
        <v>1098</v>
      </c>
      <c r="BO88" s="281">
        <f t="shared" ref="BO88" si="119">BO86-BO87</f>
        <v>0</v>
      </c>
      <c r="BP88" s="281">
        <f t="shared" ref="BP88" si="120">BP86-BP87</f>
        <v>3056.00000000003</v>
      </c>
      <c r="BQ88" s="274">
        <f>BQ86-BQ87</f>
        <v>5753.6925866666734</v>
      </c>
      <c r="BR88" s="274">
        <f>BR86-BR87</f>
        <v>6702.5878560000037</v>
      </c>
      <c r="BS88" s="274">
        <f>BS86-BS87</f>
        <v>7631.0203960533399</v>
      </c>
      <c r="BT88" s="274">
        <f>BT86-BT87</f>
        <v>8454.6443215584077</v>
      </c>
      <c r="BU88" s="274">
        <f>BU86-BU87</f>
        <v>9109.464813130091</v>
      </c>
      <c r="BV88" s="365"/>
      <c r="BW88" s="305"/>
      <c r="BX88" s="450">
        <f>IFERROR((BU88/BP88)^(1/5)-1,"n/m")</f>
        <v>0.24413613077207019</v>
      </c>
      <c r="BY88" s="265">
        <f>IFERROR((BP88/AL88)^(1/5)-1,"n/m")</f>
        <v>0.21356830684391603</v>
      </c>
      <c r="BZ88" s="265">
        <f>IFERROR((BP88/H88)^(1/10)-1,"n/m")</f>
        <v>0.28864649957122279</v>
      </c>
      <c r="CC88" s="148" t="s">
        <v>432</v>
      </c>
      <c r="CD88" s="13"/>
      <c r="CE88" s="13"/>
      <c r="CF88" s="13"/>
    </row>
    <row r="89" spans="2:84" x14ac:dyDescent="0.25">
      <c r="B89" s="305" t="s">
        <v>175</v>
      </c>
      <c r="C89" s="1"/>
      <c r="D89" s="1"/>
      <c r="E89" s="1"/>
      <c r="F89" s="1"/>
      <c r="G89" s="1"/>
      <c r="H89" s="71"/>
      <c r="I89" s="187"/>
      <c r="J89" s="187"/>
      <c r="K89" s="188"/>
      <c r="L89" s="187"/>
      <c r="M89" s="187"/>
      <c r="N89" s="93">
        <f>IFERROR(N79/H79-1,"")</f>
        <v>0.62466442953020129</v>
      </c>
      <c r="O89" s="183"/>
      <c r="P89" s="183"/>
      <c r="Q89" s="184"/>
      <c r="R89" s="183"/>
      <c r="S89" s="183"/>
      <c r="T89" s="96">
        <f>IFERROR(T79/N79-1,"")</f>
        <v>0.1327068057420222</v>
      </c>
      <c r="U89" s="197"/>
      <c r="V89" s="197"/>
      <c r="W89" s="198"/>
      <c r="X89" s="197"/>
      <c r="Y89" s="197"/>
      <c r="Z89" s="96">
        <f>IFERROR(Z79/T79-1,"")</f>
        <v>0.17423413566739598</v>
      </c>
      <c r="AA89" s="197"/>
      <c r="AB89" s="197"/>
      <c r="AC89" s="198"/>
      <c r="AD89" s="197"/>
      <c r="AE89" s="197"/>
      <c r="AF89" s="96">
        <f>IFERROR(AF79/Z79-1,"")</f>
        <v>9.0612625203820185E-2</v>
      </c>
      <c r="AG89" s="197"/>
      <c r="AH89" s="197"/>
      <c r="AI89" s="198"/>
      <c r="AJ89" s="197"/>
      <c r="AK89" s="197"/>
      <c r="AL89" s="96">
        <f>IFERROR(AL79/AF79-1,"")</f>
        <v>-2.1287199202620011E-2</v>
      </c>
      <c r="AM89" s="197"/>
      <c r="AN89" s="197"/>
      <c r="AO89" s="198"/>
      <c r="AP89" s="197"/>
      <c r="AQ89" s="197"/>
      <c r="AR89" s="96">
        <f>IFERROR(AR79/AL79-1,"")</f>
        <v>0.3085764166727285</v>
      </c>
      <c r="AS89" s="197"/>
      <c r="AT89" s="197"/>
      <c r="AU89" s="198"/>
      <c r="AV89" s="197"/>
      <c r="AW89" s="197"/>
      <c r="AX89" s="96">
        <f>IFERROR(AX79/AR79-1,"")</f>
        <v>0.3244760687086552</v>
      </c>
      <c r="AY89" s="197"/>
      <c r="AZ89" s="197"/>
      <c r="BA89" s="198"/>
      <c r="BB89" s="197"/>
      <c r="BC89" s="197"/>
      <c r="BD89" s="96">
        <f>IFERROR(BD79/AX79-1,"")</f>
        <v>-5.640896499622261E-2</v>
      </c>
      <c r="BE89" s="197"/>
      <c r="BF89" s="197"/>
      <c r="BG89" s="198"/>
      <c r="BH89" s="197"/>
      <c r="BI89" s="197"/>
      <c r="BJ89" s="96">
        <f>IFERROR(BJ79/BD79-1,"")</f>
        <v>0.1124010319366604</v>
      </c>
      <c r="BK89" s="197"/>
      <c r="BL89" s="197"/>
      <c r="BM89" s="198"/>
      <c r="BN89" s="197"/>
      <c r="BO89" s="197"/>
      <c r="BP89" s="96">
        <f>IFERROR(BP79/BJ79-1,"")</f>
        <v>0.6836338917989524</v>
      </c>
      <c r="BQ89" s="375">
        <f>CHOOSE(MATCH($BV$2,{"Bull","Base","Bear"},0),CD26,CE26,CF26)</f>
        <v>0.18</v>
      </c>
      <c r="BR89" s="375">
        <f>CHOOSE(MATCH($BV$2,{"Bull","Base","Bear"},0),CD27,CE27,CF27)</f>
        <v>7.0000000000000007E-2</v>
      </c>
      <c r="BS89" s="375">
        <f>CHOOSE(MATCH($BV$2,{"Bull","Base","Bear"},0),CD28,CE28,CF28)</f>
        <v>0.06</v>
      </c>
      <c r="BT89" s="375">
        <f>CHOOSE(MATCH($BV$2,{"Bull","Base","Bear"},0),CD29,CE29,CF29)</f>
        <v>0.05</v>
      </c>
      <c r="BU89" s="375">
        <f>CHOOSE(MATCH($BV$2,{"Bull","Base","Bear"},0),CD30,CE30,CF30)</f>
        <v>0.05</v>
      </c>
      <c r="BV89" s="400" t="s">
        <v>304</v>
      </c>
      <c r="BW89" s="289"/>
      <c r="BX89" s="451"/>
      <c r="BY89" s="290"/>
      <c r="BZ89" s="290"/>
      <c r="CC89" t="s">
        <v>417</v>
      </c>
      <c r="CD89" s="13">
        <v>0.08</v>
      </c>
      <c r="CE89" s="13">
        <v>-0.02</v>
      </c>
      <c r="CF89" s="13">
        <v>-0.15</v>
      </c>
    </row>
    <row r="90" spans="2:84" x14ac:dyDescent="0.25">
      <c r="B90" s="12" t="s">
        <v>176</v>
      </c>
      <c r="C90" s="1"/>
      <c r="D90" s="1"/>
      <c r="E90" s="1"/>
      <c r="F90" s="1"/>
      <c r="G90" s="1"/>
      <c r="H90" s="71"/>
      <c r="I90" s="187"/>
      <c r="J90" s="187"/>
      <c r="K90" s="188"/>
      <c r="L90" s="187"/>
      <c r="M90" s="187"/>
      <c r="N90" s="93" t="str">
        <f>IFERROR(N83/H83-1,"")</f>
        <v/>
      </c>
      <c r="O90" s="183"/>
      <c r="P90" s="183"/>
      <c r="Q90" s="184"/>
      <c r="R90" s="183"/>
      <c r="S90" s="183"/>
      <c r="T90" s="96" t="str">
        <f>IFERROR(T83/N83-1,"")</f>
        <v/>
      </c>
      <c r="U90" s="197"/>
      <c r="V90" s="197"/>
      <c r="W90" s="198"/>
      <c r="X90" s="197"/>
      <c r="Y90" s="197"/>
      <c r="Z90" s="96">
        <f>IFERROR(Z83/T83-1,"")</f>
        <v>0.11172161172161177</v>
      </c>
      <c r="AA90" s="197"/>
      <c r="AB90" s="197"/>
      <c r="AC90" s="198"/>
      <c r="AD90" s="197"/>
      <c r="AE90" s="197"/>
      <c r="AF90" s="96">
        <f>IFERROR(AF83/Z83-1,"")</f>
        <v>0.63723228995057668</v>
      </c>
      <c r="AG90" s="197"/>
      <c r="AH90" s="197"/>
      <c r="AI90" s="198"/>
      <c r="AJ90" s="197"/>
      <c r="AK90" s="197"/>
      <c r="AL90" s="96">
        <f>IFERROR(AL83/AF83-1,"")</f>
        <v>8.0499094385188208E-2</v>
      </c>
      <c r="AM90" s="197"/>
      <c r="AN90" s="197"/>
      <c r="AO90" s="198"/>
      <c r="AP90" s="197"/>
      <c r="AQ90" s="197"/>
      <c r="AR90" s="96">
        <f>IFERROR(AR83/AL83-1,"")</f>
        <v>0.23915067982864602</v>
      </c>
      <c r="AS90" s="197"/>
      <c r="AT90" s="197"/>
      <c r="AU90" s="198"/>
      <c r="AV90" s="197"/>
      <c r="AW90" s="197"/>
      <c r="AX90" s="96">
        <f>IFERROR(AX83/AR83-1,"")</f>
        <v>0.40057117090034566</v>
      </c>
      <c r="AY90" s="197"/>
      <c r="AZ90" s="197"/>
      <c r="BA90" s="198"/>
      <c r="BB90" s="197"/>
      <c r="BC90" s="197"/>
      <c r="BD90" s="96">
        <f>IFERROR(BD83/AX83-1,"")</f>
        <v>2.0605280103026313E-2</v>
      </c>
      <c r="BE90" s="197"/>
      <c r="BF90" s="197"/>
      <c r="BG90" s="198"/>
      <c r="BH90" s="197"/>
      <c r="BI90" s="197"/>
      <c r="BJ90" s="96">
        <f>IFERROR(BJ83/BD83-1,"")</f>
        <v>5.7413249211356376E-2</v>
      </c>
      <c r="BK90" s="197"/>
      <c r="BL90" s="197"/>
      <c r="BM90" s="198"/>
      <c r="BN90" s="197"/>
      <c r="BO90" s="197"/>
      <c r="BP90" s="96">
        <f>IFERROR(BP83/BJ83-1,"")</f>
        <v>0.72619994696367351</v>
      </c>
      <c r="BQ90" s="374">
        <f>IFERROR(BQ83/BP83-1,"n/a")</f>
        <v>0.14674247177202426</v>
      </c>
      <c r="BR90" s="374">
        <f>IFERROR(BR83/BQ83-1,"n/a")</f>
        <v>7.249417249417256E-2</v>
      </c>
      <c r="BS90" s="374">
        <f>IFERROR(BS83/BR83-1,"n/a")</f>
        <v>6.4930232558139789E-2</v>
      </c>
      <c r="BT90" s="374">
        <f>IFERROR(BT83/BS83-1,"n/a")</f>
        <v>5.4861111111111027E-2</v>
      </c>
      <c r="BU90" s="374">
        <f>IFERROR(BU83/BT83-1,"n/a")</f>
        <v>5.2419354838709742E-2</v>
      </c>
      <c r="BV90" s="365"/>
      <c r="BW90" s="305"/>
      <c r="BX90" s="451"/>
      <c r="BY90" s="459"/>
      <c r="BZ90" s="459"/>
      <c r="CC90" t="s">
        <v>418</v>
      </c>
      <c r="CD90" s="13">
        <v>0.03</v>
      </c>
      <c r="CE90" s="13">
        <v>0</v>
      </c>
      <c r="CF90" s="13">
        <v>-0.05</v>
      </c>
    </row>
    <row r="91" spans="2:84" x14ac:dyDescent="0.25">
      <c r="B91" s="12" t="s">
        <v>177</v>
      </c>
      <c r="C91" s="1"/>
      <c r="D91" s="1"/>
      <c r="E91" s="1"/>
      <c r="F91" s="1"/>
      <c r="G91" s="1"/>
      <c r="H91" s="71"/>
      <c r="I91" s="187"/>
      <c r="J91" s="187"/>
      <c r="K91" s="188"/>
      <c r="L91" s="187"/>
      <c r="M91" s="187"/>
      <c r="N91" s="93" t="str">
        <f>IFERROR(N86/H86-1,"")</f>
        <v/>
      </c>
      <c r="O91" s="183"/>
      <c r="P91" s="183"/>
      <c r="Q91" s="184"/>
      <c r="R91" s="183"/>
      <c r="S91" s="183"/>
      <c r="T91" s="96" t="str">
        <f>IFERROR(T86/N86-1,"")</f>
        <v/>
      </c>
      <c r="U91" s="197"/>
      <c r="V91" s="197"/>
      <c r="W91" s="198"/>
      <c r="X91" s="197"/>
      <c r="Y91" s="197"/>
      <c r="Z91" s="96">
        <f>IFERROR(Z86/T86-1,"")</f>
        <v>0.23715415019762842</v>
      </c>
      <c r="AA91" s="197"/>
      <c r="AB91" s="197"/>
      <c r="AC91" s="198"/>
      <c r="AD91" s="197"/>
      <c r="AE91" s="197"/>
      <c r="AF91" s="96">
        <f>IFERROR(AF86/Z86-1,"")</f>
        <v>1.7422790202342919</v>
      </c>
      <c r="AG91" s="197"/>
      <c r="AH91" s="197"/>
      <c r="AI91" s="198"/>
      <c r="AJ91" s="197"/>
      <c r="AK91" s="197"/>
      <c r="AL91" s="96">
        <f>IFERROR(AL86/AF86-1,"")</f>
        <v>9.9417475728155402E-2</v>
      </c>
      <c r="AM91" s="197"/>
      <c r="AN91" s="197"/>
      <c r="AO91" s="198"/>
      <c r="AP91" s="197"/>
      <c r="AQ91" s="197"/>
      <c r="AR91" s="96">
        <f>IFERROR(AR86/AL86-1,"")</f>
        <v>0.28965030024726235</v>
      </c>
      <c r="AS91" s="197"/>
      <c r="AT91" s="197"/>
      <c r="AU91" s="198"/>
      <c r="AV91" s="197"/>
      <c r="AW91" s="197"/>
      <c r="AX91" s="96">
        <f>IFERROR(AX86/AR86-1,"")</f>
        <v>0.45302656806354413</v>
      </c>
      <c r="AY91" s="197"/>
      <c r="AZ91" s="197"/>
      <c r="BA91" s="198"/>
      <c r="BB91" s="197"/>
      <c r="BC91" s="197"/>
      <c r="BD91" s="96">
        <f>IFERROR(BD86/AX86-1,"")</f>
        <v>9.4250706880294466E-4</v>
      </c>
      <c r="BE91" s="197"/>
      <c r="BF91" s="197"/>
      <c r="BG91" s="198"/>
      <c r="BH91" s="197"/>
      <c r="BI91" s="197"/>
      <c r="BJ91" s="96">
        <f>IFERROR(BJ86/BD86-1,"")</f>
        <v>6.0451977401129842E-2</v>
      </c>
      <c r="BK91" s="197"/>
      <c r="BL91" s="197"/>
      <c r="BM91" s="198"/>
      <c r="BN91" s="197"/>
      <c r="BO91" s="197"/>
      <c r="BP91" s="96">
        <f>IFERROR(BP86/BJ86-1,"")</f>
        <v>0.36222103829989338</v>
      </c>
      <c r="BQ91" s="374">
        <f>IFERROR(BQ86/BP86-1,"n/a")</f>
        <v>0.38524739092646865</v>
      </c>
      <c r="BR91" s="374">
        <f>IFERROR(BR86/BQ86-1,"n/a")</f>
        <v>9.8034934497816195E-2</v>
      </c>
      <c r="BS91" s="374">
        <f>IFERROR(BS86/BR86-1,"n/a")</f>
        <v>9.1574468085106497E-2</v>
      </c>
      <c r="BT91" s="374">
        <f>IFERROR(BT86/BS86-1,"n/a")</f>
        <v>8.0371900826446296E-2</v>
      </c>
      <c r="BU91" s="374">
        <f>IFERROR(BU86/BT86-1,"n/a")</f>
        <v>6.2650602409638712E-2</v>
      </c>
      <c r="BV91" s="365"/>
      <c r="BW91" s="305"/>
      <c r="BX91" s="451"/>
      <c r="BY91" s="459"/>
      <c r="BZ91" s="459"/>
      <c r="CC91" t="s">
        <v>419</v>
      </c>
      <c r="CD91" s="13">
        <v>0.02</v>
      </c>
      <c r="CE91" s="13">
        <v>0.01</v>
      </c>
      <c r="CF91" s="13">
        <v>-0.02</v>
      </c>
    </row>
    <row r="92" spans="2:84" x14ac:dyDescent="0.25">
      <c r="B92" s="289" t="s">
        <v>178</v>
      </c>
      <c r="C92" s="1"/>
      <c r="D92" s="1"/>
      <c r="E92" s="1"/>
      <c r="F92" s="1"/>
      <c r="G92" s="1"/>
      <c r="H92" s="71"/>
      <c r="I92" s="187"/>
      <c r="J92" s="187"/>
      <c r="K92" s="188"/>
      <c r="L92" s="187"/>
      <c r="M92" s="187"/>
      <c r="N92" s="93">
        <f>IFERROR(N88/H88-1,"")</f>
        <v>0.58677685950413228</v>
      </c>
      <c r="O92" s="183"/>
      <c r="P92" s="183"/>
      <c r="Q92" s="184"/>
      <c r="R92" s="183"/>
      <c r="S92" s="183"/>
      <c r="T92" s="96">
        <f>IFERROR(T88/N88-1,"")</f>
        <v>0.28645833333333326</v>
      </c>
      <c r="U92" s="197"/>
      <c r="V92" s="197"/>
      <c r="W92" s="198"/>
      <c r="X92" s="197"/>
      <c r="Y92" s="197"/>
      <c r="Z92" s="96">
        <f>IFERROR(Z88/T88-1,"")</f>
        <v>0.43522267206477738</v>
      </c>
      <c r="AA92" s="197"/>
      <c r="AB92" s="197"/>
      <c r="AC92" s="198"/>
      <c r="AD92" s="197"/>
      <c r="AE92" s="197"/>
      <c r="AF92" s="96">
        <f>IFERROR(AF88/Z88-1,"")</f>
        <v>0.42877291960507757</v>
      </c>
      <c r="AG92" s="197"/>
      <c r="AH92" s="197"/>
      <c r="AI92" s="198"/>
      <c r="AJ92" s="197"/>
      <c r="AK92" s="197"/>
      <c r="AL92" s="96">
        <f>IFERROR(AL88/AF88-1,"")</f>
        <v>0.14610069101678191</v>
      </c>
      <c r="AM92" s="197"/>
      <c r="AN92" s="197"/>
      <c r="AO92" s="198"/>
      <c r="AP92" s="197"/>
      <c r="AQ92" s="197"/>
      <c r="AR92" s="96">
        <f>IFERROR(AR88/AL88-1,"")</f>
        <v>0.52885443583117997</v>
      </c>
      <c r="AS92" s="197"/>
      <c r="AT92" s="197"/>
      <c r="AU92" s="198"/>
      <c r="AV92" s="197"/>
      <c r="AW92" s="197"/>
      <c r="AX92" s="96">
        <f>IFERROR(AX88/AR88-1,"")</f>
        <v>0.52169014084507048</v>
      </c>
      <c r="AY92" s="197"/>
      <c r="AZ92" s="197"/>
      <c r="BA92" s="198"/>
      <c r="BB92" s="197"/>
      <c r="BC92" s="197"/>
      <c r="BD92" s="96">
        <f>IFERROR(BD88/AX88-1,"")</f>
        <v>-0.12810070344316915</v>
      </c>
      <c r="BE92" s="197"/>
      <c r="BF92" s="197"/>
      <c r="BG92" s="198"/>
      <c r="BH92" s="197"/>
      <c r="BI92" s="197"/>
      <c r="BJ92" s="96">
        <f>IFERROR(BJ88/BD88-1,"")</f>
        <v>-1.1464968152866239E-2</v>
      </c>
      <c r="BK92" s="197"/>
      <c r="BL92" s="197"/>
      <c r="BM92" s="198"/>
      <c r="BN92" s="197"/>
      <c r="BO92" s="197"/>
      <c r="BP92" s="96">
        <f>IFERROR(BP88/BJ88-1,"")</f>
        <v>0.31271477663231528</v>
      </c>
      <c r="BQ92" s="374">
        <f>IFERROR(BQ88/BP88-1,"n/a")</f>
        <v>0.88275280977310766</v>
      </c>
      <c r="BR92" s="374">
        <f>IFERROR(BR88/BQ88-1,"n/a")</f>
        <v>0.1649193548387089</v>
      </c>
      <c r="BS92" s="374">
        <f>IFERROR(BS88/BR88-1,"n/a")</f>
        <v>0.13851851851851893</v>
      </c>
      <c r="BT92" s="374">
        <f>IFERROR(BT88/BS88-1,"n/a")</f>
        <v>0.10793103448275865</v>
      </c>
      <c r="BU92" s="374">
        <f>IFERROR(BU88/BT88-1,"n/a")</f>
        <v>7.7450980392157254E-2</v>
      </c>
      <c r="BV92" s="365"/>
      <c r="BW92" s="305"/>
      <c r="BX92" s="451"/>
      <c r="BY92" s="290"/>
      <c r="BZ92" s="290"/>
      <c r="CC92" t="s">
        <v>420</v>
      </c>
      <c r="CD92" s="13">
        <v>0.02</v>
      </c>
      <c r="CE92" s="13">
        <v>0.01</v>
      </c>
      <c r="CF92" s="13">
        <v>-0.01</v>
      </c>
    </row>
    <row r="93" spans="2:84" x14ac:dyDescent="0.25">
      <c r="B93" s="12" t="s">
        <v>179</v>
      </c>
      <c r="C93" s="1"/>
      <c r="D93" s="1"/>
      <c r="E93" s="1"/>
      <c r="F93" s="1"/>
      <c r="G93" s="1"/>
      <c r="H93" s="70" t="str">
        <f>IFERROR(H83/H79,"")</f>
        <v/>
      </c>
      <c r="I93" s="187"/>
      <c r="J93" s="187"/>
      <c r="K93" s="188"/>
      <c r="L93" s="187"/>
      <c r="M93" s="187"/>
      <c r="N93" s="70" t="str">
        <f>IFERROR(N83/N79,"")</f>
        <v/>
      </c>
      <c r="O93" s="28"/>
      <c r="P93" s="28"/>
      <c r="Q93" s="45"/>
      <c r="R93" s="28"/>
      <c r="S93" s="28"/>
      <c r="T93" s="78">
        <f>IFERROR(T83/T79,"")</f>
        <v>0.24890590809628008</v>
      </c>
      <c r="U93" s="36"/>
      <c r="V93" s="36"/>
      <c r="W93" s="53"/>
      <c r="X93" s="36"/>
      <c r="Y93" s="36"/>
      <c r="Z93" s="78">
        <f>IFERROR(Z83/Z79,"")</f>
        <v>0.23565494215389393</v>
      </c>
      <c r="AA93" s="36"/>
      <c r="AB93" s="36"/>
      <c r="AC93" s="53"/>
      <c r="AD93" s="36"/>
      <c r="AE93" s="36"/>
      <c r="AF93" s="78">
        <f>IFERROR(AF83/AF79,"")</f>
        <v>0.353766196782002</v>
      </c>
      <c r="AG93" s="36"/>
      <c r="AH93" s="36"/>
      <c r="AI93" s="53"/>
      <c r="AJ93" s="36"/>
      <c r="AK93" s="36"/>
      <c r="AL93" s="78">
        <f>IFERROR(AL83/AL79,"")</f>
        <v>0.3905579399141631</v>
      </c>
      <c r="AM93" s="36"/>
      <c r="AN93" s="36"/>
      <c r="AO93" s="53"/>
      <c r="AP93" s="36"/>
      <c r="AQ93" s="36"/>
      <c r="AR93" s="78">
        <f>IFERROR(AR83/AR79,"")</f>
        <v>0.36983712268608593</v>
      </c>
      <c r="AS93" s="36"/>
      <c r="AT93" s="36"/>
      <c r="AU93" s="53"/>
      <c r="AV93" s="36"/>
      <c r="AW93" s="36"/>
      <c r="AX93" s="78">
        <f>IFERROR(AX83/AX79,"")</f>
        <v>0.39108536892470408</v>
      </c>
      <c r="AY93" s="36"/>
      <c r="AZ93" s="36"/>
      <c r="BA93" s="53"/>
      <c r="BB93" s="36"/>
      <c r="BC93" s="36"/>
      <c r="BD93" s="78">
        <f>IFERROR(BD83/BD79,"")</f>
        <v>0.42300507072324528</v>
      </c>
      <c r="BE93" s="36"/>
      <c r="BF93" s="36"/>
      <c r="BG93" s="53"/>
      <c r="BH93" s="36"/>
      <c r="BI93" s="36"/>
      <c r="BJ93" s="78">
        <f>IFERROR(BJ83/BJ79,"")</f>
        <v>0.40209524571154387</v>
      </c>
      <c r="BK93" s="36"/>
      <c r="BL93" s="36"/>
      <c r="BM93" s="53"/>
      <c r="BN93" s="36"/>
      <c r="BO93" s="36"/>
      <c r="BP93" s="78">
        <f>IFERROR(BP83/BP79,"")</f>
        <v>0.41226111876375576</v>
      </c>
      <c r="BQ93" s="398">
        <v>0.42899999999999999</v>
      </c>
      <c r="BR93" s="398">
        <v>0.43</v>
      </c>
      <c r="BS93" s="398">
        <v>0.432</v>
      </c>
      <c r="BT93" s="398">
        <v>0.434</v>
      </c>
      <c r="BU93" s="398">
        <v>0.435</v>
      </c>
      <c r="BV93" s="400" t="s">
        <v>305</v>
      </c>
      <c r="BW93" s="289"/>
      <c r="BX93" s="450">
        <f>IFERROR(AVERAGE(BQ93,BR93,BS93,BT93,BU93),"n/m")</f>
        <v>0.43199999999999994</v>
      </c>
      <c r="BY93" s="459">
        <f>IFERROR(AVERAGE(AR93,AX93,BD93,BJ93,BP93),"n/m")</f>
        <v>0.399656785361867</v>
      </c>
      <c r="BZ93" s="459">
        <f>IFERROR(AVERAGE(N93,T93,Z93,AF93,AL93,AR93,AX93,BD93,BJ93,BP93),"n/m")</f>
        <v>0.35857432375063047</v>
      </c>
      <c r="CC93" t="s">
        <v>421</v>
      </c>
      <c r="CD93" s="13">
        <v>0.02</v>
      </c>
      <c r="CE93" s="13">
        <v>0.01</v>
      </c>
      <c r="CF93" s="13">
        <v>-0.01</v>
      </c>
    </row>
    <row r="94" spans="2:84" x14ac:dyDescent="0.25">
      <c r="B94" s="12" t="s">
        <v>180</v>
      </c>
      <c r="C94" s="1"/>
      <c r="D94" s="1"/>
      <c r="E94" s="1"/>
      <c r="F94" s="1"/>
      <c r="G94" s="1"/>
      <c r="H94" s="70" t="str">
        <f>IFERROR(H86/H79,"")</f>
        <v/>
      </c>
      <c r="I94" s="187"/>
      <c r="J94" s="187"/>
      <c r="K94" s="188"/>
      <c r="L94" s="187"/>
      <c r="M94" s="187"/>
      <c r="N94" s="70" t="str">
        <f>IFERROR(N86/N79,"")</f>
        <v/>
      </c>
      <c r="O94" s="28"/>
      <c r="P94" s="28"/>
      <c r="Q94" s="45"/>
      <c r="R94" s="28"/>
      <c r="S94" s="28"/>
      <c r="T94" s="78">
        <f>IFERROR(T86/T79,"")</f>
        <v>6.920131291028446E-2</v>
      </c>
      <c r="U94" s="36"/>
      <c r="V94" s="36"/>
      <c r="W94" s="53"/>
      <c r="X94" s="36"/>
      <c r="Y94" s="36"/>
      <c r="Z94" s="78">
        <f>IFERROR(Z86/Z79,"")</f>
        <v>7.2909387374796186E-2</v>
      </c>
      <c r="AA94" s="36"/>
      <c r="AB94" s="36"/>
      <c r="AC94" s="53"/>
      <c r="AD94" s="36"/>
      <c r="AE94" s="36"/>
      <c r="AF94" s="78">
        <f>IFERROR(AF86/AF79,"")</f>
        <v>0.18332621386871709</v>
      </c>
      <c r="AG94" s="36"/>
      <c r="AH94" s="36"/>
      <c r="AI94" s="53"/>
      <c r="AJ94" s="36"/>
      <c r="AK94" s="36"/>
      <c r="AL94" s="78">
        <f>IFERROR(AL86/AL79,"")</f>
        <v>0.20593584054702843</v>
      </c>
      <c r="AM94" s="36"/>
      <c r="AN94" s="36"/>
      <c r="AO94" s="53"/>
      <c r="AP94" s="36"/>
      <c r="AQ94" s="36"/>
      <c r="AR94" s="78">
        <f>IFERROR(AR86/AR79,"")</f>
        <v>0.2029573628328423</v>
      </c>
      <c r="AS94" s="36"/>
      <c r="AT94" s="36"/>
      <c r="AU94" s="53"/>
      <c r="AV94" s="36"/>
      <c r="AW94" s="36"/>
      <c r="AX94" s="78">
        <f>IFERROR(AX86/AX79,"")</f>
        <v>0.22265592210190549</v>
      </c>
      <c r="AY94" s="36"/>
      <c r="AZ94" s="36"/>
      <c r="BA94" s="53"/>
      <c r="BB94" s="36"/>
      <c r="BC94" s="36"/>
      <c r="BD94" s="78">
        <f>IFERROR(BD86/BD79,"")</f>
        <v>0.23618895116092875</v>
      </c>
      <c r="BE94" s="36"/>
      <c r="BF94" s="36"/>
      <c r="BG94" s="53"/>
      <c r="BH94" s="36"/>
      <c r="BI94" s="36"/>
      <c r="BJ94" s="78">
        <f>IFERROR(BJ86/BJ79,"")</f>
        <v>0.22515894278059898</v>
      </c>
      <c r="BK94" s="36"/>
      <c r="BL94" s="36"/>
      <c r="BM94" s="53"/>
      <c r="BN94" s="36"/>
      <c r="BO94" s="36"/>
      <c r="BP94" s="78">
        <f>IFERROR(BP86/BP79,"")</f>
        <v>0.18217514526829193</v>
      </c>
      <c r="BQ94" s="375">
        <f>IFERROR(BQ86/BQ79,"n/a")</f>
        <v>0.23608247422680417</v>
      </c>
      <c r="BR94" s="375">
        <f>IFERROR(BR86/BR79,"n/a")</f>
        <v>0.2422680412371134</v>
      </c>
      <c r="BS94" s="375">
        <f>IFERROR(BS86/BS79,"n/a")</f>
        <v>0.24948453608247423</v>
      </c>
      <c r="BT94" s="375">
        <f>IFERROR(BT86/BT79,"n/a")</f>
        <v>0.25670103092783503</v>
      </c>
      <c r="BU94" s="375">
        <f>IFERROR(BU86/BU79,"n/a")</f>
        <v>0.25979381443298971</v>
      </c>
      <c r="BV94" s="365"/>
      <c r="BW94" s="305"/>
      <c r="BX94" s="451"/>
      <c r="BY94" s="459"/>
      <c r="BZ94" s="459"/>
      <c r="CD94" s="13"/>
      <c r="CE94" s="13"/>
      <c r="CF94" s="13"/>
    </row>
    <row r="95" spans="2:84" x14ac:dyDescent="0.25">
      <c r="B95" s="12" t="s">
        <v>181</v>
      </c>
      <c r="C95" s="1"/>
      <c r="D95" s="1"/>
      <c r="E95" s="1"/>
      <c r="F95" s="1"/>
      <c r="G95" s="1"/>
      <c r="H95" s="70">
        <f>IFERROR(H88/H79,"")</f>
        <v>4.0604026845637582E-2</v>
      </c>
      <c r="I95" s="187"/>
      <c r="J95" s="187"/>
      <c r="K95" s="188"/>
      <c r="L95" s="187"/>
      <c r="M95" s="187"/>
      <c r="N95" s="70">
        <f>IFERROR(N88/N79,"")</f>
        <v>3.9657131054425282E-2</v>
      </c>
      <c r="O95" s="28"/>
      <c r="P95" s="28"/>
      <c r="Q95" s="45"/>
      <c r="R95" s="28"/>
      <c r="S95" s="28"/>
      <c r="T95" s="78">
        <f>IFERROR(T88/T79,"")</f>
        <v>4.5040116703136394E-2</v>
      </c>
      <c r="U95" s="36"/>
      <c r="V95" s="36"/>
      <c r="W95" s="53"/>
      <c r="X95" s="36"/>
      <c r="Y95" s="36"/>
      <c r="Z95" s="78">
        <f>IFERROR(Z88/Z79,"")</f>
        <v>5.5050857985868465E-2</v>
      </c>
      <c r="AA95" s="36"/>
      <c r="AB95" s="36"/>
      <c r="AC95" s="53"/>
      <c r="AD95" s="36"/>
      <c r="AE95" s="36"/>
      <c r="AF95" s="78">
        <f>IFERROR(AF88/AF79,"")</f>
        <v>7.2120176562722488E-2</v>
      </c>
      <c r="AG95" s="36"/>
      <c r="AH95" s="36"/>
      <c r="AI95" s="53"/>
      <c r="AJ95" s="36"/>
      <c r="AK95" s="36"/>
      <c r="AL95" s="78">
        <f>IFERROR(AL88/AL79,"")</f>
        <v>8.4454790136029675E-2</v>
      </c>
      <c r="AM95" s="36"/>
      <c r="AN95" s="36"/>
      <c r="AO95" s="53"/>
      <c r="AP95" s="36"/>
      <c r="AQ95" s="36"/>
      <c r="AR95" s="78">
        <f>IFERROR(AR88/AR79,"")</f>
        <v>9.8671410306298293E-2</v>
      </c>
      <c r="AS95" s="36"/>
      <c r="AT95" s="36"/>
      <c r="AU95" s="53"/>
      <c r="AV95" s="36"/>
      <c r="AW95" s="36"/>
      <c r="AX95" s="78">
        <f>IFERROR(AX88/AX79,"")</f>
        <v>0.11336355242172416</v>
      </c>
      <c r="AY95" s="36"/>
      <c r="AZ95" s="36"/>
      <c r="BA95" s="53"/>
      <c r="BB95" s="36"/>
      <c r="BC95" s="36"/>
      <c r="BD95" s="78">
        <f>IFERROR(BD88/BD79,"")</f>
        <v>0.1047504670402989</v>
      </c>
      <c r="BE95" s="36"/>
      <c r="BF95" s="36"/>
      <c r="BG95" s="53"/>
      <c r="BH95" s="36"/>
      <c r="BI95" s="36"/>
      <c r="BJ95" s="78">
        <f>IFERROR(BJ88/BJ79,"")</f>
        <v>9.3086488864008957E-2</v>
      </c>
      <c r="BK95" s="36"/>
      <c r="BL95" s="36"/>
      <c r="BM95" s="53"/>
      <c r="BN95" s="36"/>
      <c r="BO95" s="36"/>
      <c r="BP95" s="78">
        <f>IFERROR(BP88/BP79,"")</f>
        <v>7.2578729872227951E-2</v>
      </c>
      <c r="BQ95" s="375">
        <f>IFERROR(BQ88/BQ79,"n/a")</f>
        <v>0.1278350515463918</v>
      </c>
      <c r="BR95" s="375">
        <f>IFERROR(BR88/BR79,"n/a")</f>
        <v>0.13917525773195874</v>
      </c>
      <c r="BS95" s="375">
        <f>IFERROR(BS88/BS79,"n/a")</f>
        <v>0.14948453608247422</v>
      </c>
      <c r="BT95" s="375">
        <f>IFERROR(BT88/BT79,"n/a")</f>
        <v>0.15773195876288659</v>
      </c>
      <c r="BU95" s="375">
        <f>IFERROR(BU88/BU79,"n/a")</f>
        <v>0.16185567010309279</v>
      </c>
      <c r="BV95" s="365"/>
      <c r="BW95" s="305"/>
      <c r="BX95" s="450">
        <f>IFERROR(AVERAGE(BQ95,BR95,BS95,BT95,BU95),"n/m")</f>
        <v>0.14721649484536084</v>
      </c>
      <c r="BY95" s="459">
        <f>IFERROR(AVERAGE(AR95,AX95,BD95,BJ95,BP95),"n/m")</f>
        <v>9.6490129700911656E-2</v>
      </c>
      <c r="BZ95" s="459">
        <f>IFERROR(AVERAGE(N95,T95,Z95,AF95,AL95,AR95,AX95,BD95,BJ95,BP95),"n/m")</f>
        <v>7.7877372094674047E-2</v>
      </c>
      <c r="CD95" s="13"/>
      <c r="CE95" s="13"/>
      <c r="CF95" s="13"/>
    </row>
    <row r="96" spans="2:84" x14ac:dyDescent="0.25">
      <c r="B96" s="12" t="s">
        <v>182</v>
      </c>
      <c r="C96" s="1"/>
      <c r="D96" s="1"/>
      <c r="E96" s="1"/>
      <c r="F96" s="1"/>
      <c r="G96" s="1"/>
      <c r="H96" s="71"/>
      <c r="I96" s="187"/>
      <c r="J96" s="187"/>
      <c r="K96" s="188"/>
      <c r="L96" s="187"/>
      <c r="M96" s="187"/>
      <c r="N96" s="70">
        <f>IFERROR((N88-H88)/(N79-H79),"")</f>
        <v>3.8141283910824601E-2</v>
      </c>
      <c r="O96" s="28"/>
      <c r="P96" s="28"/>
      <c r="Q96" s="45"/>
      <c r="R96" s="28"/>
      <c r="S96" s="28"/>
      <c r="T96" s="78">
        <f>IFERROR((T88-N88)/(T79-N79),"")</f>
        <v>8.5603112840466927E-2</v>
      </c>
      <c r="U96" s="36"/>
      <c r="V96" s="36"/>
      <c r="W96" s="53"/>
      <c r="X96" s="36"/>
      <c r="Y96" s="36"/>
      <c r="Z96" s="78">
        <f>IFERROR((Z88-T88)/(Z79-T79),"")</f>
        <v>0.11250654107796965</v>
      </c>
      <c r="AA96" s="36"/>
      <c r="AB96" s="36"/>
      <c r="AC96" s="53"/>
      <c r="AD96" s="36"/>
      <c r="AE96" s="36"/>
      <c r="AF96" s="78">
        <f>IFERROR((AF88-Z88)/(AF79-Z79),"")</f>
        <v>0.26049700085689803</v>
      </c>
      <c r="AG96" s="36"/>
      <c r="AH96" s="36"/>
      <c r="AI96" s="53"/>
      <c r="AJ96" s="36"/>
      <c r="AK96" s="36"/>
      <c r="AL96" s="78">
        <f>IFERROR((AL88-AF88)/(AL79-AF79),"")</f>
        <v>-0.49498327759197325</v>
      </c>
      <c r="AM96" s="36"/>
      <c r="AN96" s="36"/>
      <c r="AO96" s="53"/>
      <c r="AP96" s="36"/>
      <c r="AQ96" s="36"/>
      <c r="AR96" s="78">
        <f>IFERROR((AR88-AL88)/(AR79-AL79),"")</f>
        <v>0.14474304573314475</v>
      </c>
      <c r="AS96" s="36"/>
      <c r="AT96" s="36"/>
      <c r="AU96" s="53"/>
      <c r="AV96" s="36"/>
      <c r="AW96" s="36"/>
      <c r="AX96" s="78">
        <f>IFERROR((AX88-AR88)/(AX79-AR79),"")</f>
        <v>0.15864313859859516</v>
      </c>
      <c r="AY96" s="36"/>
      <c r="AZ96" s="36"/>
      <c r="BA96" s="53"/>
      <c r="BB96" s="36"/>
      <c r="BC96" s="36"/>
      <c r="BD96" s="78">
        <f>IFERROR((BD88-AX88)/(BD79-AX79),"")</f>
        <v>0.25744047619047616</v>
      </c>
      <c r="BE96" s="36"/>
      <c r="BF96" s="36"/>
      <c r="BG96" s="53"/>
      <c r="BH96" s="36"/>
      <c r="BI96" s="36"/>
      <c r="BJ96" s="78">
        <f>IFERROR((BJ88-BD88)/(BJ79-BD79),"")</f>
        <v>-1.0684606252473288E-2</v>
      </c>
      <c r="BK96" s="36"/>
      <c r="BL96" s="36"/>
      <c r="BM96" s="53"/>
      <c r="BN96" s="36"/>
      <c r="BO96" s="36"/>
      <c r="BP96" s="78">
        <f>IFERROR((BP88-BJ88)/(BP79-BJ79),"")</f>
        <v>4.258056969059075E-2</v>
      </c>
      <c r="BQ96" s="375">
        <f>IFERROR((BQ88-BP88)/(BQ79-BP79),"n/a")</f>
        <v>0.92936577464331382</v>
      </c>
      <c r="BR96" s="375">
        <f>IFERROR((BR88-BQ88)/(BR79-BQ79),"n/a")</f>
        <v>0.30117820324005756</v>
      </c>
      <c r="BS96" s="375">
        <f>IFERROR((BS88-BR88)/(BS79-BR79),"n/a")</f>
        <v>0.32130584192439854</v>
      </c>
      <c r="BT96" s="375">
        <f>IFERROR((BT88-BS88)/(BT79-BS79),"n/a")</f>
        <v>0.32268041237113376</v>
      </c>
      <c r="BU96" s="375">
        <f>IFERROR((BU88-BT88)/(BU79-BT79),"n/a")</f>
        <v>0.24432989690721704</v>
      </c>
      <c r="BV96" s="365"/>
      <c r="BW96" s="305"/>
      <c r="BX96" s="451"/>
      <c r="BY96" s="459"/>
      <c r="BZ96" s="459"/>
      <c r="CD96" s="13"/>
      <c r="CE96" s="13"/>
      <c r="CF96" s="13"/>
    </row>
    <row r="97" spans="2:84" x14ac:dyDescent="0.25">
      <c r="B97" s="262" t="s">
        <v>183</v>
      </c>
      <c r="C97" s="16"/>
      <c r="D97" s="16"/>
      <c r="E97" s="16"/>
      <c r="F97" s="16"/>
      <c r="G97" s="16"/>
      <c r="H97" s="267" t="str">
        <f>IFERROR(H88/H83,"")</f>
        <v/>
      </c>
      <c r="I97" s="271"/>
      <c r="J97" s="271"/>
      <c r="K97" s="271"/>
      <c r="L97" s="271"/>
      <c r="M97" s="271"/>
      <c r="N97" s="267" t="str">
        <f>IFERROR(N88/N83,"")</f>
        <v/>
      </c>
      <c r="O97" s="275"/>
      <c r="P97" s="275"/>
      <c r="Q97" s="275"/>
      <c r="R97" s="275"/>
      <c r="S97" s="275"/>
      <c r="T97" s="278">
        <f>IFERROR(T88/T83,"")</f>
        <v>0.18095238095238095</v>
      </c>
      <c r="U97" s="279"/>
      <c r="V97" s="279"/>
      <c r="W97" s="279"/>
      <c r="X97" s="279"/>
      <c r="Y97" s="279"/>
      <c r="Z97" s="278">
        <f>IFERROR(Z88/Z83,"")</f>
        <v>0.23360790774299836</v>
      </c>
      <c r="AA97" s="279"/>
      <c r="AB97" s="279"/>
      <c r="AC97" s="279"/>
      <c r="AD97" s="279"/>
      <c r="AE97" s="279"/>
      <c r="AF97" s="278">
        <f>IFERROR(AF88/AF83,"")</f>
        <v>0.20386395653048903</v>
      </c>
      <c r="AG97" s="279"/>
      <c r="AH97" s="279"/>
      <c r="AI97" s="279"/>
      <c r="AJ97" s="279"/>
      <c r="AK97" s="279"/>
      <c r="AL97" s="278">
        <f>IFERROR(AL88/AL83,"")</f>
        <v>0.21624138573291116</v>
      </c>
      <c r="AM97" s="279"/>
      <c r="AN97" s="279"/>
      <c r="AO97" s="279"/>
      <c r="AP97" s="279"/>
      <c r="AQ97" s="279"/>
      <c r="AR97" s="278">
        <f>IFERROR(AR88/AR83,"")</f>
        <v>0.26679693371411395</v>
      </c>
      <c r="AS97" s="279"/>
      <c r="AT97" s="279"/>
      <c r="AU97" s="279"/>
      <c r="AV97" s="279"/>
      <c r="AW97" s="279"/>
      <c r="AX97" s="278">
        <f>IFERROR(AX88/AX83,"")</f>
        <v>0.28986907061601203</v>
      </c>
      <c r="AY97" s="279"/>
      <c r="AZ97" s="279"/>
      <c r="BA97" s="279"/>
      <c r="BB97" s="279"/>
      <c r="BC97" s="279"/>
      <c r="BD97" s="278">
        <f>IFERROR(BD88/BD83,"")</f>
        <v>0.2476340694006309</v>
      </c>
      <c r="BE97" s="279"/>
      <c r="BF97" s="279"/>
      <c r="BG97" s="279"/>
      <c r="BH97" s="279"/>
      <c r="BI97" s="279"/>
      <c r="BJ97" s="278">
        <f>IFERROR(BJ88/BJ83,"")</f>
        <v>0.23150357995226731</v>
      </c>
      <c r="BK97" s="279"/>
      <c r="BL97" s="279"/>
      <c r="BM97" s="279"/>
      <c r="BN97" s="279"/>
      <c r="BO97" s="279"/>
      <c r="BP97" s="278">
        <f t="shared" ref="BP97:BU97" si="121">IFERROR(BP88/BP83,"")</f>
        <v>0.17605038789461694</v>
      </c>
      <c r="BQ97" s="364">
        <f t="shared" si="121"/>
        <v>0.28904428904428914</v>
      </c>
      <c r="BR97" s="364">
        <f t="shared" si="121"/>
        <v>0.31395348837209297</v>
      </c>
      <c r="BS97" s="364">
        <f t="shared" si="121"/>
        <v>0.33564814814814814</v>
      </c>
      <c r="BT97" s="364">
        <f t="shared" si="121"/>
        <v>0.35253456221198154</v>
      </c>
      <c r="BU97" s="364">
        <f t="shared" si="121"/>
        <v>0.36091954022988509</v>
      </c>
      <c r="BV97" s="400" t="s">
        <v>306</v>
      </c>
      <c r="BW97" s="289"/>
      <c r="BX97" s="450">
        <f>IFERROR(AVERAGE(BQ97,BR97,BS97,BT97,BU97),"n/m")</f>
        <v>0.33042000560127938</v>
      </c>
      <c r="BY97" s="265">
        <f>IFERROR(AVERAGE(AR97,AX97,BD97,BJ97,BP97),"n/m")</f>
        <v>0.24237080831552821</v>
      </c>
      <c r="BZ97" s="265">
        <f>IFERROR(AVERAGE(N97,T97,Z97,AF97,AL97,AR97,AX97,BD97,BJ97,BP97),"n/m")</f>
        <v>0.22739107472626896</v>
      </c>
      <c r="CD97" s="13"/>
      <c r="CE97" s="13"/>
      <c r="CF97" s="13"/>
    </row>
    <row r="98" spans="2:84" x14ac:dyDescent="0.25">
      <c r="B98" s="223" t="s">
        <v>262</v>
      </c>
      <c r="C98" s="224"/>
      <c r="D98" s="224"/>
      <c r="E98" s="224"/>
      <c r="F98" s="224"/>
      <c r="G98" s="224"/>
      <c r="H98" s="334"/>
      <c r="I98" s="335"/>
      <c r="J98" s="335"/>
      <c r="K98" s="335"/>
      <c r="L98" s="335"/>
      <c r="M98" s="335"/>
      <c r="N98" s="334"/>
      <c r="O98" s="224"/>
      <c r="P98" s="224"/>
      <c r="Q98" s="224"/>
      <c r="R98" s="224"/>
      <c r="S98" s="224"/>
      <c r="T98" s="336"/>
      <c r="U98" s="337"/>
      <c r="V98" s="337"/>
      <c r="W98" s="337"/>
      <c r="X98" s="337"/>
      <c r="Y98" s="337"/>
      <c r="Z98" s="336"/>
      <c r="AA98" s="337"/>
      <c r="AB98" s="337"/>
      <c r="AC98" s="337"/>
      <c r="AD98" s="337"/>
      <c r="AE98" s="337"/>
      <c r="AF98" s="336"/>
      <c r="AG98" s="337"/>
      <c r="AH98" s="337"/>
      <c r="AI98" s="337"/>
      <c r="AJ98" s="337"/>
      <c r="AK98" s="337"/>
      <c r="AL98" s="336"/>
      <c r="AM98" s="337"/>
      <c r="AN98" s="337"/>
      <c r="AO98" s="337"/>
      <c r="AP98" s="337"/>
      <c r="AQ98" s="337"/>
      <c r="AR98" s="336"/>
      <c r="AS98" s="337"/>
      <c r="AT98" s="337"/>
      <c r="AU98" s="337"/>
      <c r="AV98" s="337"/>
      <c r="AW98" s="337"/>
      <c r="AX98" s="336"/>
      <c r="AY98" s="337"/>
      <c r="AZ98" s="337"/>
      <c r="BA98" s="337"/>
      <c r="BB98" s="337"/>
      <c r="BC98" s="337"/>
      <c r="BD98" s="336"/>
      <c r="BE98" s="337"/>
      <c r="BF98" s="337"/>
      <c r="BG98" s="337"/>
      <c r="BH98" s="337"/>
      <c r="BI98" s="337"/>
      <c r="BJ98" s="336"/>
      <c r="BK98" s="337"/>
      <c r="BL98" s="337"/>
      <c r="BM98" s="337"/>
      <c r="BN98" s="337"/>
      <c r="BO98" s="337"/>
      <c r="BP98" s="336"/>
      <c r="BQ98" s="337"/>
      <c r="BR98" s="337"/>
      <c r="BS98" s="337"/>
      <c r="BT98" s="337"/>
      <c r="BU98" s="337"/>
      <c r="BV98" s="365"/>
      <c r="BW98" s="305"/>
      <c r="BX98" s="451"/>
      <c r="BY98" s="60"/>
      <c r="BZ98" s="60"/>
      <c r="CD98" s="13"/>
      <c r="CE98" s="13"/>
      <c r="CF98" s="13"/>
    </row>
    <row r="99" spans="2:84" x14ac:dyDescent="0.25">
      <c r="B99" s="305" t="s">
        <v>263</v>
      </c>
      <c r="C99" s="16"/>
      <c r="D99" s="16"/>
      <c r="E99" s="16"/>
      <c r="F99" s="16"/>
      <c r="G99" s="16"/>
      <c r="H99" s="341"/>
      <c r="I99" s="342"/>
      <c r="J99" s="342"/>
      <c r="K99" s="342"/>
      <c r="L99" s="342"/>
      <c r="M99" s="342"/>
      <c r="N99" s="341"/>
      <c r="O99" s="342"/>
      <c r="P99" s="342"/>
      <c r="Q99" s="342"/>
      <c r="R99" s="342"/>
      <c r="S99" s="342"/>
      <c r="T99" s="343"/>
      <c r="U99" s="344"/>
      <c r="V99" s="344"/>
      <c r="W99" s="344"/>
      <c r="X99" s="344"/>
      <c r="Y99" s="344"/>
      <c r="Z99" s="343"/>
      <c r="AA99" s="344"/>
      <c r="AB99" s="344"/>
      <c r="AC99" s="344"/>
      <c r="AD99" s="344"/>
      <c r="AE99" s="344"/>
      <c r="AF99" s="343">
        <v>5</v>
      </c>
      <c r="AG99" s="344"/>
      <c r="AH99" s="344"/>
      <c r="AI99" s="344"/>
      <c r="AJ99" s="344"/>
      <c r="AK99" s="344"/>
      <c r="AL99" s="343">
        <v>6</v>
      </c>
      <c r="AM99" s="344"/>
      <c r="AN99" s="344"/>
      <c r="AO99" s="344"/>
      <c r="AP99" s="344"/>
      <c r="AQ99" s="344"/>
      <c r="AR99" s="343">
        <v>7.4</v>
      </c>
      <c r="AS99" s="344"/>
      <c r="AT99" s="344"/>
      <c r="AU99" s="344"/>
      <c r="AV99" s="344"/>
      <c r="AW99" s="344"/>
      <c r="AX99" s="343">
        <v>8</v>
      </c>
      <c r="AY99" s="344"/>
      <c r="AZ99" s="344"/>
      <c r="BA99" s="344"/>
      <c r="BB99" s="344"/>
      <c r="BC99" s="344"/>
      <c r="BD99" s="343">
        <v>8</v>
      </c>
      <c r="BE99" s="344"/>
      <c r="BF99" s="344"/>
      <c r="BG99" s="344"/>
      <c r="BH99" s="344"/>
      <c r="BI99" s="344"/>
      <c r="BJ99" s="343">
        <v>9</v>
      </c>
      <c r="BK99" s="344"/>
      <c r="BL99" s="344"/>
      <c r="BM99" s="344"/>
      <c r="BN99" s="344"/>
      <c r="BO99" s="344"/>
      <c r="BP99" s="343">
        <v>17.5</v>
      </c>
      <c r="BQ99" s="376"/>
      <c r="BR99" s="376"/>
      <c r="BS99" s="376"/>
      <c r="BT99" s="376"/>
      <c r="BU99" s="376"/>
      <c r="BV99" s="365"/>
      <c r="BW99" s="305"/>
      <c r="BX99" s="451"/>
      <c r="BY99" s="60"/>
      <c r="BZ99" s="60"/>
      <c r="CD99" s="13"/>
      <c r="CE99" s="13"/>
      <c r="CF99" s="13"/>
    </row>
    <row r="100" spans="2:84" x14ac:dyDescent="0.25">
      <c r="B100" s="305" t="s">
        <v>264</v>
      </c>
      <c r="C100" s="16"/>
      <c r="D100" s="16"/>
      <c r="E100" s="16"/>
      <c r="F100" s="16"/>
      <c r="G100" s="16"/>
      <c r="H100" s="314" t="str">
        <f>IFERROR(H81/H99,"n/a")</f>
        <v>n/a</v>
      </c>
      <c r="I100" s="291"/>
      <c r="J100" s="291"/>
      <c r="K100" s="291"/>
      <c r="L100" s="291"/>
      <c r="M100" s="291"/>
      <c r="N100" s="314" t="str">
        <f>IFERROR(N81/N99,"n/a")</f>
        <v>n/a</v>
      </c>
      <c r="O100" s="291"/>
      <c r="P100" s="291"/>
      <c r="Q100" s="291"/>
      <c r="R100" s="291"/>
      <c r="S100" s="291"/>
      <c r="T100" s="90" t="str">
        <f>IFERROR(T81/T99,"n/a")</f>
        <v>n/a</v>
      </c>
      <c r="U100" s="6"/>
      <c r="V100" s="6"/>
      <c r="W100" s="6"/>
      <c r="X100" s="6"/>
      <c r="Y100" s="6"/>
      <c r="Z100" s="90" t="str">
        <f>IFERROR(Z81/Z99,"n/a")</f>
        <v>n/a</v>
      </c>
      <c r="AA100" s="6"/>
      <c r="AB100" s="6"/>
      <c r="AC100" s="6"/>
      <c r="AD100" s="6"/>
      <c r="AE100" s="6"/>
      <c r="AF100" s="90">
        <f>IFERROR(AF81/AF99,"n/a")</f>
        <v>2878</v>
      </c>
      <c r="AG100" s="6"/>
      <c r="AH100" s="6"/>
      <c r="AI100" s="6"/>
      <c r="AJ100" s="6"/>
      <c r="AK100" s="6"/>
      <c r="AL100" s="90">
        <f>IFERROR(AL81/AL99,"n/a")</f>
        <v>2434.6666666666665</v>
      </c>
      <c r="AM100" s="6"/>
      <c r="AN100" s="6"/>
      <c r="AO100" s="6"/>
      <c r="AP100" s="6"/>
      <c r="AQ100" s="6"/>
      <c r="AR100" s="90">
        <f>IFERROR(AR81/AR99,"n/a")</f>
        <v>2531.6216216216217</v>
      </c>
      <c r="AS100" s="6"/>
      <c r="AT100" s="6"/>
      <c r="AU100" s="6"/>
      <c r="AV100" s="6"/>
      <c r="AW100" s="6"/>
      <c r="AX100" s="90">
        <f>IFERROR(AX81/AX99,"n/a")</f>
        <v>3051.125</v>
      </c>
      <c r="AY100" s="6"/>
      <c r="AZ100" s="6"/>
      <c r="BA100" s="6"/>
      <c r="BB100" s="6"/>
      <c r="BC100" s="6"/>
      <c r="BD100" s="90">
        <f>IFERROR(BD81/BD99,"n/a")</f>
        <v>2892.5</v>
      </c>
      <c r="BE100" s="6"/>
      <c r="BF100" s="6"/>
      <c r="BG100" s="6"/>
      <c r="BH100" s="6"/>
      <c r="BI100" s="6"/>
      <c r="BJ100" s="90">
        <f>IFERROR(BJ81/BJ99,"n/a")</f>
        <v>2847.1111111111113</v>
      </c>
      <c r="BK100" s="6"/>
      <c r="BL100" s="6"/>
      <c r="BM100" s="6"/>
      <c r="BN100" s="6"/>
      <c r="BO100" s="6"/>
      <c r="BP100" s="90">
        <f>IFERROR(BP81/BP99,"n/a")</f>
        <v>2247.0095238095259</v>
      </c>
      <c r="BQ100" s="373"/>
      <c r="BR100" s="373"/>
      <c r="BS100" s="373"/>
      <c r="BT100" s="373"/>
      <c r="BU100" s="373"/>
      <c r="BV100" s="365"/>
      <c r="BW100" s="305"/>
      <c r="BX100" s="451"/>
      <c r="BY100" s="60"/>
      <c r="BZ100" s="60"/>
      <c r="CD100" s="13"/>
      <c r="CE100" s="13"/>
      <c r="CF100" s="13"/>
    </row>
    <row r="101" spans="2:84" x14ac:dyDescent="0.25">
      <c r="B101" s="305" t="s">
        <v>265</v>
      </c>
      <c r="C101" s="16"/>
      <c r="D101" s="16"/>
      <c r="E101" s="16"/>
      <c r="F101" s="16"/>
      <c r="G101" s="16"/>
      <c r="H101" s="314" t="str">
        <f>IFERROR(H83/H99,"n/a")</f>
        <v>n/a</v>
      </c>
      <c r="I101" s="291"/>
      <c r="J101" s="291"/>
      <c r="K101" s="291"/>
      <c r="L101" s="291"/>
      <c r="M101" s="291"/>
      <c r="N101" s="314" t="str">
        <f>IFERROR(N83/N99,"n/a")</f>
        <v>n/a</v>
      </c>
      <c r="O101" s="291"/>
      <c r="P101" s="291"/>
      <c r="Q101" s="291"/>
      <c r="R101" s="291"/>
      <c r="S101" s="291"/>
      <c r="T101" s="90" t="str">
        <f>IFERROR(T83/T99,"n/a")</f>
        <v>n/a</v>
      </c>
      <c r="U101" s="6"/>
      <c r="V101" s="6"/>
      <c r="W101" s="6"/>
      <c r="X101" s="6"/>
      <c r="Y101" s="6"/>
      <c r="Z101" s="90" t="str">
        <f>IFERROR(Z83/Z99,"n/a")</f>
        <v>n/a</v>
      </c>
      <c r="AA101" s="6"/>
      <c r="AB101" s="6"/>
      <c r="AC101" s="6"/>
      <c r="AD101" s="6"/>
      <c r="AE101" s="6"/>
      <c r="AF101" s="90">
        <f>IFERROR(AF83/AF99,"n/a")</f>
        <v>993.8</v>
      </c>
      <c r="AG101" s="6"/>
      <c r="AH101" s="6"/>
      <c r="AI101" s="6"/>
      <c r="AJ101" s="6"/>
      <c r="AK101" s="6"/>
      <c r="AL101" s="90">
        <f>IFERROR(AL83/AL99,"n/a")</f>
        <v>894.83333333333337</v>
      </c>
      <c r="AM101" s="6"/>
      <c r="AN101" s="6"/>
      <c r="AO101" s="6"/>
      <c r="AP101" s="6"/>
      <c r="AQ101" s="6"/>
      <c r="AR101" s="90">
        <f>IFERROR(AR83/AR99,"n/a")</f>
        <v>899.05405405405406</v>
      </c>
      <c r="AS101" s="6"/>
      <c r="AT101" s="6"/>
      <c r="AU101" s="6"/>
      <c r="AV101" s="6"/>
      <c r="AW101" s="6"/>
      <c r="AX101" s="90">
        <f>IFERROR(AX83/AX99,"n/a")</f>
        <v>1164.75</v>
      </c>
      <c r="AY101" s="6"/>
      <c r="AZ101" s="6"/>
      <c r="BA101" s="6"/>
      <c r="BB101" s="6"/>
      <c r="BC101" s="6"/>
      <c r="BD101" s="90">
        <f>IFERROR(BD83/BD99,"n/a")</f>
        <v>1188.75</v>
      </c>
      <c r="BE101" s="6"/>
      <c r="BF101" s="6"/>
      <c r="BG101" s="6"/>
      <c r="BH101" s="6"/>
      <c r="BI101" s="6"/>
      <c r="BJ101" s="90">
        <f>IFERROR(BJ83/BJ99,"n/a")</f>
        <v>1117.3333333333333</v>
      </c>
      <c r="BK101" s="6"/>
      <c r="BL101" s="6"/>
      <c r="BM101" s="6"/>
      <c r="BN101" s="6"/>
      <c r="BO101" s="6"/>
      <c r="BP101" s="90">
        <f>IFERROR(BP83/BP99,"n/a")</f>
        <v>991.92380952381143</v>
      </c>
      <c r="BQ101" s="373"/>
      <c r="BR101" s="373"/>
      <c r="BS101" s="373"/>
      <c r="BT101" s="373"/>
      <c r="BU101" s="373"/>
      <c r="BV101" s="365"/>
      <c r="BW101" s="305"/>
      <c r="BX101" s="451"/>
      <c r="BY101" s="60"/>
      <c r="BZ101" s="60"/>
    </row>
    <row r="102" spans="2:84" x14ac:dyDescent="0.25">
      <c r="B102" s="305" t="s">
        <v>266</v>
      </c>
      <c r="C102" s="16"/>
      <c r="D102" s="16"/>
      <c r="E102" s="16"/>
      <c r="F102" s="16"/>
      <c r="G102" s="16"/>
      <c r="H102" s="314" t="str">
        <f>IFERROR(H88/H99,"n/a")</f>
        <v>n/a</v>
      </c>
      <c r="I102" s="291"/>
      <c r="J102" s="291"/>
      <c r="K102" s="291"/>
      <c r="L102" s="291"/>
      <c r="M102" s="291"/>
      <c r="N102" s="314" t="str">
        <f>IFERROR(N88/N99,"n/a")</f>
        <v>n/a</v>
      </c>
      <c r="O102" s="291"/>
      <c r="P102" s="291"/>
      <c r="Q102" s="291"/>
      <c r="R102" s="291"/>
      <c r="S102" s="291"/>
      <c r="T102" s="90" t="str">
        <f>IFERROR(T88/T99,"n/a")</f>
        <v>n/a</v>
      </c>
      <c r="U102" s="6"/>
      <c r="V102" s="6"/>
      <c r="W102" s="6"/>
      <c r="X102" s="6"/>
      <c r="Y102" s="6"/>
      <c r="Z102" s="90" t="str">
        <f>IFERROR(Z88/Z99,"n/a")</f>
        <v>n/a</v>
      </c>
      <c r="AA102" s="6"/>
      <c r="AB102" s="6"/>
      <c r="AC102" s="6"/>
      <c r="AD102" s="6"/>
      <c r="AE102" s="6"/>
      <c r="AF102" s="90">
        <f>IFERROR(AF88/AF99,"n/a")</f>
        <v>202.6</v>
      </c>
      <c r="AG102" s="6"/>
      <c r="AH102" s="6"/>
      <c r="AI102" s="6"/>
      <c r="AJ102" s="6"/>
      <c r="AK102" s="6"/>
      <c r="AL102" s="90">
        <f>IFERROR(AL88/AL99,"n/a")</f>
        <v>193.5</v>
      </c>
      <c r="AM102" s="6"/>
      <c r="AN102" s="6"/>
      <c r="AO102" s="6"/>
      <c r="AP102" s="6"/>
      <c r="AQ102" s="6"/>
      <c r="AR102" s="90">
        <f>IFERROR(AR88/AR99,"n/a")</f>
        <v>239.86486486486484</v>
      </c>
      <c r="AS102" s="6"/>
      <c r="AT102" s="6"/>
      <c r="AU102" s="6"/>
      <c r="AV102" s="6"/>
      <c r="AW102" s="6"/>
      <c r="AX102" s="90">
        <f>IFERROR(AX88/AX99,"n/a")</f>
        <v>337.625</v>
      </c>
      <c r="AY102" s="6"/>
      <c r="AZ102" s="6"/>
      <c r="BA102" s="6"/>
      <c r="BB102" s="6"/>
      <c r="BC102" s="6"/>
      <c r="BD102" s="90">
        <f>IFERROR(BD88/BD99,"n/a")</f>
        <v>294.375</v>
      </c>
      <c r="BE102" s="6"/>
      <c r="BF102" s="6"/>
      <c r="BG102" s="6"/>
      <c r="BH102" s="6"/>
      <c r="BI102" s="6"/>
      <c r="BJ102" s="90">
        <f>IFERROR(BJ88/BJ99,"n/a")</f>
        <v>258.66666666666669</v>
      </c>
      <c r="BK102" s="6"/>
      <c r="BL102" s="6"/>
      <c r="BM102" s="6"/>
      <c r="BN102" s="6"/>
      <c r="BO102" s="6"/>
      <c r="BP102" s="90">
        <f>IFERROR(BP88/BP99,"n/a")</f>
        <v>174.62857142857314</v>
      </c>
      <c r="BQ102" s="373"/>
      <c r="BR102" s="373"/>
      <c r="BS102" s="373"/>
      <c r="BT102" s="373"/>
      <c r="BU102" s="373"/>
      <c r="BV102" s="365"/>
      <c r="BW102" s="305"/>
      <c r="BX102" s="451"/>
      <c r="BY102" s="60"/>
      <c r="BZ102" s="60"/>
    </row>
    <row r="103" spans="2:84" x14ac:dyDescent="0.25">
      <c r="B103" s="305" t="s">
        <v>267</v>
      </c>
      <c r="C103" s="16"/>
      <c r="D103" s="16"/>
      <c r="E103" s="16"/>
      <c r="F103" s="16"/>
      <c r="G103" s="16"/>
      <c r="H103" s="70" t="str">
        <f>IFERROR(H99/H99-1,"n/a")</f>
        <v>n/a</v>
      </c>
      <c r="I103" s="241"/>
      <c r="J103" s="241"/>
      <c r="K103" s="241"/>
      <c r="L103" s="241"/>
      <c r="M103" s="241"/>
      <c r="N103" s="70" t="str">
        <f>IFERROR(N99/H99-1,"n/a")</f>
        <v>n/a</v>
      </c>
      <c r="O103" s="241"/>
      <c r="P103" s="241"/>
      <c r="Q103" s="241"/>
      <c r="R103" s="241"/>
      <c r="S103" s="241"/>
      <c r="T103" s="78" t="str">
        <f>IFERROR(T99/N99-1,"n/a")</f>
        <v>n/a</v>
      </c>
      <c r="U103" s="242"/>
      <c r="V103" s="242"/>
      <c r="W103" s="242"/>
      <c r="X103" s="242"/>
      <c r="Y103" s="242"/>
      <c r="Z103" s="78" t="str">
        <f>IFERROR(Z99/T99-1,"n/a")</f>
        <v>n/a</v>
      </c>
      <c r="AA103" s="242"/>
      <c r="AB103" s="242"/>
      <c r="AC103" s="242"/>
      <c r="AD103" s="242"/>
      <c r="AE103" s="242"/>
      <c r="AF103" s="78" t="str">
        <f>IFERROR(AF99/Z99-1,"n/a")</f>
        <v>n/a</v>
      </c>
      <c r="AG103" s="242"/>
      <c r="AH103" s="242"/>
      <c r="AI103" s="242"/>
      <c r="AJ103" s="242"/>
      <c r="AK103" s="242"/>
      <c r="AL103" s="78">
        <f>IFERROR(AL99/AF99-1,"n/a")</f>
        <v>0.19999999999999996</v>
      </c>
      <c r="AM103" s="242"/>
      <c r="AN103" s="242"/>
      <c r="AO103" s="242"/>
      <c r="AP103" s="242"/>
      <c r="AQ103" s="242"/>
      <c r="AR103" s="78">
        <f>IFERROR(AR99/AL99-1,"n/a")</f>
        <v>0.23333333333333339</v>
      </c>
      <c r="AS103" s="242"/>
      <c r="AT103" s="242"/>
      <c r="AU103" s="242"/>
      <c r="AV103" s="242"/>
      <c r="AW103" s="242"/>
      <c r="AX103" s="78">
        <f>IFERROR(AX99/AR99-1,"n/a")</f>
        <v>8.1081081081080919E-2</v>
      </c>
      <c r="AY103" s="242"/>
      <c r="AZ103" s="242"/>
      <c r="BA103" s="242"/>
      <c r="BB103" s="242"/>
      <c r="BC103" s="242"/>
      <c r="BD103" s="78">
        <f>IFERROR(BD99/AX99-1,"n/a")</f>
        <v>0</v>
      </c>
      <c r="BE103" s="242"/>
      <c r="BF103" s="242"/>
      <c r="BG103" s="242"/>
      <c r="BH103" s="242"/>
      <c r="BI103" s="242"/>
      <c r="BJ103" s="78">
        <f>IFERROR(BJ99/BD99-1,"n/a")</f>
        <v>0.125</v>
      </c>
      <c r="BK103" s="242"/>
      <c r="BL103" s="242"/>
      <c r="BM103" s="242"/>
      <c r="BN103" s="242"/>
      <c r="BO103" s="242"/>
      <c r="BP103" s="78">
        <f>IFERROR(BP99/BJ99-1,"n/a")</f>
        <v>0.94444444444444442</v>
      </c>
      <c r="BQ103" s="375"/>
      <c r="BR103" s="375"/>
      <c r="BS103" s="375"/>
      <c r="BT103" s="375"/>
      <c r="BU103" s="375"/>
      <c r="BV103" s="365"/>
      <c r="BW103" s="305"/>
      <c r="BX103" s="451"/>
      <c r="BY103" s="60"/>
      <c r="BZ103" s="60"/>
    </row>
    <row r="104" spans="2:84" x14ac:dyDescent="0.25">
      <c r="B104" s="149" t="s">
        <v>281</v>
      </c>
      <c r="C104" s="261"/>
      <c r="D104" s="261"/>
      <c r="E104" s="261"/>
      <c r="F104" s="261"/>
      <c r="G104" s="261"/>
      <c r="H104" s="332"/>
      <c r="I104" s="333"/>
      <c r="J104" s="333"/>
      <c r="K104" s="333"/>
      <c r="L104" s="333"/>
      <c r="M104" s="333"/>
      <c r="N104" s="332"/>
      <c r="O104" s="333"/>
      <c r="P104" s="333"/>
      <c r="Q104" s="333"/>
      <c r="R104" s="333"/>
      <c r="S104" s="333"/>
      <c r="T104" s="393"/>
      <c r="U104" s="394"/>
      <c r="V104" s="394"/>
      <c r="W104" s="394"/>
      <c r="X104" s="394"/>
      <c r="Y104" s="394"/>
      <c r="Z104" s="393"/>
      <c r="AA104" s="394"/>
      <c r="AB104" s="394"/>
      <c r="AC104" s="394"/>
      <c r="AD104" s="394"/>
      <c r="AE104" s="394"/>
      <c r="AF104" s="393"/>
      <c r="AG104" s="394"/>
      <c r="AH104" s="394"/>
      <c r="AI104" s="394"/>
      <c r="AJ104" s="394"/>
      <c r="AK104" s="394"/>
      <c r="AL104" s="393"/>
      <c r="AM104" s="394"/>
      <c r="AN104" s="394"/>
      <c r="AO104" s="394"/>
      <c r="AP104" s="394"/>
      <c r="AQ104" s="394"/>
      <c r="AR104" s="393"/>
      <c r="AS104" s="394"/>
      <c r="AT104" s="394"/>
      <c r="AU104" s="394"/>
      <c r="AV104" s="394"/>
      <c r="AW104" s="394"/>
      <c r="AX104" s="393"/>
      <c r="AY104" s="394"/>
      <c r="AZ104" s="394"/>
      <c r="BA104" s="394"/>
      <c r="BB104" s="394"/>
      <c r="BC104" s="394"/>
      <c r="BD104" s="393"/>
      <c r="BE104" s="394"/>
      <c r="BF104" s="394"/>
      <c r="BG104" s="394"/>
      <c r="BH104" s="394"/>
      <c r="BI104" s="394"/>
      <c r="BJ104" s="393"/>
      <c r="BK104" s="394"/>
      <c r="BL104" s="394"/>
      <c r="BM104" s="394"/>
      <c r="BN104" s="394"/>
      <c r="BO104" s="394"/>
      <c r="BP104" s="393"/>
      <c r="BQ104" s="394"/>
      <c r="BR104" s="394"/>
      <c r="BS104" s="394"/>
      <c r="BT104" s="394"/>
      <c r="BU104" s="394"/>
      <c r="BV104" s="402" t="s">
        <v>307</v>
      </c>
      <c r="BW104" s="445"/>
      <c r="BX104" s="454"/>
      <c r="BY104" s="60"/>
      <c r="BZ104" s="60"/>
    </row>
    <row r="105" spans="2:84" x14ac:dyDescent="0.25">
      <c r="B105" s="305" t="s">
        <v>275</v>
      </c>
      <c r="C105" s="16"/>
      <c r="D105" s="16"/>
      <c r="E105" s="16"/>
      <c r="F105" s="16"/>
      <c r="G105" s="16"/>
      <c r="H105" s="387">
        <f>IFERROR(H80/H79,"n/a")</f>
        <v>-2.6174496644295303E-2</v>
      </c>
      <c r="I105" s="388"/>
      <c r="J105" s="388"/>
      <c r="K105" s="388"/>
      <c r="L105" s="388"/>
      <c r="M105" s="388"/>
      <c r="N105" s="387">
        <f>IFERROR(N80/N79,"n/a")</f>
        <v>-3.8727667045337186E-2</v>
      </c>
      <c r="O105" s="388"/>
      <c r="P105" s="388"/>
      <c r="Q105" s="388"/>
      <c r="R105" s="388"/>
      <c r="S105" s="388"/>
      <c r="T105" s="395">
        <f>IFERROR(T80/T79,"n/a")</f>
        <v>3.5922684172137127E-2</v>
      </c>
      <c r="U105" s="396"/>
      <c r="V105" s="396"/>
      <c r="W105" s="396"/>
      <c r="X105" s="396"/>
      <c r="Y105" s="396"/>
      <c r="Z105" s="395">
        <f>IFERROR(Z80/Z79,"n/a")</f>
        <v>2.7176022983150867E-2</v>
      </c>
      <c r="AA105" s="396"/>
      <c r="AB105" s="396"/>
      <c r="AC105" s="396"/>
      <c r="AD105" s="396"/>
      <c r="AE105" s="396"/>
      <c r="AF105" s="395">
        <f>IFERROR(AF80/AF79,"n/a")</f>
        <v>2.4490958279937348E-2</v>
      </c>
      <c r="AG105" s="396"/>
      <c r="AH105" s="396"/>
      <c r="AI105" s="396"/>
      <c r="AJ105" s="396"/>
      <c r="AK105" s="396"/>
      <c r="AL105" s="395">
        <f>IFERROR(AL80/AL79,"n/a")</f>
        <v>6.2631846948425107E-2</v>
      </c>
      <c r="AM105" s="396"/>
      <c r="AN105" s="396"/>
      <c r="AO105" s="396"/>
      <c r="AP105" s="396"/>
      <c r="AQ105" s="396"/>
      <c r="AR105" s="395">
        <f>IFERROR(AR80/AR79,"n/a")</f>
        <v>4.1414197565178723E-2</v>
      </c>
      <c r="AS105" s="396"/>
      <c r="AT105" s="396"/>
      <c r="AU105" s="396"/>
      <c r="AV105" s="396"/>
      <c r="AW105" s="396"/>
      <c r="AX105" s="395">
        <f>IFERROR(AX80/AX79,"n/a")</f>
        <v>2.4469067405355493E-2</v>
      </c>
      <c r="AY105" s="396"/>
      <c r="AZ105" s="396"/>
      <c r="BA105" s="396"/>
      <c r="BB105" s="396"/>
      <c r="BC105" s="396"/>
      <c r="BD105" s="395">
        <f>IFERROR(BD80/BD79,"n/a")</f>
        <v>2.9267858731429588E-2</v>
      </c>
      <c r="BE105" s="396"/>
      <c r="BF105" s="396"/>
      <c r="BG105" s="396"/>
      <c r="BH105" s="396"/>
      <c r="BI105" s="396"/>
      <c r="BJ105" s="395">
        <f>IFERROR(BJ80/BJ79,"n/a")</f>
        <v>2.4591147187012677E-2</v>
      </c>
      <c r="BK105" s="396"/>
      <c r="BL105" s="396"/>
      <c r="BM105" s="396"/>
      <c r="BN105" s="396"/>
      <c r="BO105" s="396"/>
      <c r="BP105" s="395">
        <f>IFERROR(BP80/BP79,"n/a")</f>
        <v>3.2228186006744881E-2</v>
      </c>
      <c r="BQ105" s="398">
        <v>0.03</v>
      </c>
      <c r="BR105" s="398">
        <v>0.03</v>
      </c>
      <c r="BS105" s="398">
        <v>0.03</v>
      </c>
      <c r="BT105" s="398">
        <v>0.03</v>
      </c>
      <c r="BU105" s="398">
        <v>0.03</v>
      </c>
      <c r="BV105" s="400" t="s">
        <v>308</v>
      </c>
      <c r="BW105" s="289"/>
      <c r="BX105" s="451"/>
      <c r="BY105" s="60"/>
      <c r="BZ105" s="60"/>
    </row>
    <row r="106" spans="2:84" x14ac:dyDescent="0.25">
      <c r="B106" s="305" t="s">
        <v>276</v>
      </c>
      <c r="C106" s="16"/>
      <c r="D106" s="16"/>
      <c r="E106" s="16"/>
      <c r="F106" s="16"/>
      <c r="G106" s="16"/>
      <c r="H106" s="387" t="str">
        <f>IFERROR(H82/H79,"n/a")</f>
        <v>n/a</v>
      </c>
      <c r="I106" s="388"/>
      <c r="J106" s="388"/>
      <c r="K106" s="388"/>
      <c r="L106" s="388"/>
      <c r="M106" s="388"/>
      <c r="N106" s="387" t="str">
        <f>IFERROR(N82/N79,"n/a")</f>
        <v>n/a</v>
      </c>
      <c r="O106" s="388"/>
      <c r="P106" s="388"/>
      <c r="Q106" s="388"/>
      <c r="R106" s="388"/>
      <c r="S106" s="388"/>
      <c r="T106" s="395">
        <f>IFERROR(T82/T79,"n/a")</f>
        <v>0.78701677607585707</v>
      </c>
      <c r="U106" s="396"/>
      <c r="V106" s="396"/>
      <c r="W106" s="396"/>
      <c r="X106" s="396"/>
      <c r="Y106" s="396"/>
      <c r="Z106" s="395">
        <f>IFERROR(Z82/Z79,"n/a")</f>
        <v>0.79152108082925698</v>
      </c>
      <c r="AA106" s="396"/>
      <c r="AB106" s="396"/>
      <c r="AC106" s="396"/>
      <c r="AD106" s="396"/>
      <c r="AE106" s="396"/>
      <c r="AF106" s="395">
        <f>IFERROR(AF82/AF79,"n/a")</f>
        <v>0.67072476149793536</v>
      </c>
      <c r="AG106" s="396"/>
      <c r="AH106" s="396"/>
      <c r="AI106" s="396"/>
      <c r="AJ106" s="396"/>
      <c r="AK106" s="396"/>
      <c r="AL106" s="395">
        <f>IFERROR(AL82/AL79,"n/a")</f>
        <v>0.67207390703426206</v>
      </c>
      <c r="AM106" s="396"/>
      <c r="AN106" s="396"/>
      <c r="AO106" s="396"/>
      <c r="AP106" s="396"/>
      <c r="AQ106" s="396"/>
      <c r="AR106" s="395">
        <f>IFERROR(AR82/AR79,"n/a")</f>
        <v>0.67157707487909279</v>
      </c>
      <c r="AS106" s="396"/>
      <c r="AT106" s="396"/>
      <c r="AU106" s="396"/>
      <c r="AV106" s="396"/>
      <c r="AW106" s="396"/>
      <c r="AX106" s="395">
        <f>IFERROR(AX82/AX79,"n/a")</f>
        <v>0.63338369848065135</v>
      </c>
      <c r="AY106" s="396"/>
      <c r="AZ106" s="396"/>
      <c r="BA106" s="396"/>
      <c r="BB106" s="396"/>
      <c r="BC106" s="396"/>
      <c r="BD106" s="395">
        <f>IFERROR(BD82/BD79,"n/a")</f>
        <v>0.60626278800818434</v>
      </c>
      <c r="BE106" s="396"/>
      <c r="BF106" s="396"/>
      <c r="BG106" s="396"/>
      <c r="BH106" s="396"/>
      <c r="BI106" s="396"/>
      <c r="BJ106" s="395">
        <f>IFERROR(BJ82/BJ79,"n/a")</f>
        <v>0.62249590147546885</v>
      </c>
      <c r="BK106" s="396"/>
      <c r="BL106" s="396"/>
      <c r="BM106" s="396"/>
      <c r="BN106" s="396"/>
      <c r="BO106" s="396"/>
      <c r="BP106" s="395">
        <f>IFERROR(BP82/BP79,"n/a")</f>
        <v>0.52163587137225098</v>
      </c>
      <c r="BQ106" s="398">
        <v>0.57099999999999995</v>
      </c>
      <c r="BR106" s="398">
        <v>0.57000000000000006</v>
      </c>
      <c r="BS106" s="398">
        <v>0.56800000000000006</v>
      </c>
      <c r="BT106" s="398">
        <v>0.56600000000000006</v>
      </c>
      <c r="BU106" s="398">
        <v>0.56499999999999995</v>
      </c>
      <c r="BV106" s="400" t="s">
        <v>309</v>
      </c>
      <c r="BW106" s="289"/>
      <c r="BX106" s="451"/>
      <c r="BY106" s="60"/>
      <c r="BZ106" s="60"/>
    </row>
    <row r="107" spans="2:84" x14ac:dyDescent="0.25">
      <c r="B107" s="305" t="s">
        <v>277</v>
      </c>
      <c r="C107" s="16"/>
      <c r="D107" s="16"/>
      <c r="E107" s="16"/>
      <c r="F107" s="16"/>
      <c r="G107" s="16"/>
      <c r="H107" s="387" t="str">
        <f>IFERROR(H84/H79,"n/a")</f>
        <v>n/a</v>
      </c>
      <c r="I107" s="388"/>
      <c r="J107" s="388"/>
      <c r="K107" s="388"/>
      <c r="L107" s="388"/>
      <c r="M107" s="388"/>
      <c r="N107" s="387" t="str">
        <f>IFERROR(N84/N79,"n/a")</f>
        <v>n/a</v>
      </c>
      <c r="O107" s="388"/>
      <c r="P107" s="388"/>
      <c r="Q107" s="388"/>
      <c r="R107" s="388"/>
      <c r="S107" s="388"/>
      <c r="T107" s="395">
        <f>IFERROR(T84/T79,"n/a")</f>
        <v>8.0598103574033547E-2</v>
      </c>
      <c r="U107" s="396"/>
      <c r="V107" s="396"/>
      <c r="W107" s="396"/>
      <c r="X107" s="396"/>
      <c r="Y107" s="396"/>
      <c r="Z107" s="395">
        <f>IFERROR(Z84/Z79,"n/a")</f>
        <v>7.4151719854025938E-2</v>
      </c>
      <c r="AA107" s="396"/>
      <c r="AB107" s="396"/>
      <c r="AC107" s="396"/>
      <c r="AD107" s="396"/>
      <c r="AE107" s="396"/>
      <c r="AF107" s="395">
        <f>IFERROR(AF84/AF79,"n/a")</f>
        <v>7.7459775024918132E-2</v>
      </c>
      <c r="AG107" s="396"/>
      <c r="AH107" s="396"/>
      <c r="AI107" s="396"/>
      <c r="AJ107" s="396"/>
      <c r="AK107" s="396"/>
      <c r="AL107" s="395">
        <f>IFERROR(AL84/AL79,"n/a")</f>
        <v>7.9217283771004579E-2</v>
      </c>
      <c r="AM107" s="396"/>
      <c r="AN107" s="396"/>
      <c r="AO107" s="396"/>
      <c r="AP107" s="396"/>
      <c r="AQ107" s="396"/>
      <c r="AR107" s="395">
        <f>IFERROR(AR84/AR79,"n/a")</f>
        <v>7.4378787036522315E-2</v>
      </c>
      <c r="AS107" s="396"/>
      <c r="AT107" s="396"/>
      <c r="AU107" s="396"/>
      <c r="AV107" s="396"/>
      <c r="AW107" s="396"/>
      <c r="AX107" s="395">
        <f>IFERROR(AX84/AX79,"n/a")</f>
        <v>7.382691177705028E-2</v>
      </c>
      <c r="AY107" s="396"/>
      <c r="AZ107" s="396"/>
      <c r="BA107" s="396"/>
      <c r="BB107" s="396"/>
      <c r="BC107" s="396"/>
      <c r="BD107" s="395">
        <f>IFERROR(BD84/BD79,"n/a")</f>
        <v>7.9263410728582867E-2</v>
      </c>
      <c r="BE107" s="396"/>
      <c r="BF107" s="396"/>
      <c r="BG107" s="396"/>
      <c r="BH107" s="396"/>
      <c r="BI107" s="396"/>
      <c r="BJ107" s="395">
        <f>IFERROR(BJ84/BJ79,"n/a")</f>
        <v>7.1734175696749169E-2</v>
      </c>
      <c r="BK107" s="396"/>
      <c r="BL107" s="396"/>
      <c r="BM107" s="396"/>
      <c r="BN107" s="396"/>
      <c r="BO107" s="396"/>
      <c r="BP107" s="395">
        <f>IFERROR(BP84/BP79,"n/a")</f>
        <v>0.10836143700818569</v>
      </c>
      <c r="BQ107" s="398">
        <v>2.5000000000000001E-2</v>
      </c>
      <c r="BR107" s="398">
        <v>2.5000000000000001E-2</v>
      </c>
      <c r="BS107" s="398">
        <v>2.5000000000000001E-2</v>
      </c>
      <c r="BT107" s="398">
        <v>2.5000000000000001E-2</v>
      </c>
      <c r="BU107" s="398">
        <v>2.5000000000000001E-2</v>
      </c>
      <c r="BV107" s="400" t="s">
        <v>310</v>
      </c>
      <c r="BW107" s="289"/>
      <c r="BX107" s="451"/>
      <c r="BY107" s="60"/>
      <c r="BZ107" s="60"/>
    </row>
    <row r="108" spans="2:84" x14ac:dyDescent="0.25">
      <c r="B108" s="305" t="s">
        <v>278</v>
      </c>
      <c r="C108" s="16"/>
      <c r="D108" s="16"/>
      <c r="E108" s="16"/>
      <c r="F108" s="16"/>
      <c r="G108" s="16"/>
      <c r="H108" s="387" t="str">
        <f>IFERROR(H85/H79,"n/a")</f>
        <v>n/a</v>
      </c>
      <c r="I108" s="388"/>
      <c r="J108" s="388"/>
      <c r="K108" s="388"/>
      <c r="L108" s="388"/>
      <c r="M108" s="388"/>
      <c r="N108" s="387" t="str">
        <f>IFERROR(N85/N79,"n/a")</f>
        <v>n/a</v>
      </c>
      <c r="O108" s="388"/>
      <c r="P108" s="388"/>
      <c r="Q108" s="388"/>
      <c r="R108" s="388"/>
      <c r="S108" s="388"/>
      <c r="T108" s="395">
        <f>IFERROR(T85/T79,"n/a")</f>
        <v>9.9106491611962069E-2</v>
      </c>
      <c r="U108" s="396"/>
      <c r="V108" s="396"/>
      <c r="W108" s="396"/>
      <c r="X108" s="396"/>
      <c r="Y108" s="396"/>
      <c r="Z108" s="395">
        <f>IFERROR(Z85/Z79,"n/a")</f>
        <v>8.8593834925071821E-2</v>
      </c>
      <c r="AA108" s="396"/>
      <c r="AB108" s="396"/>
      <c r="AC108" s="396"/>
      <c r="AD108" s="396"/>
      <c r="AE108" s="396"/>
      <c r="AF108" s="395">
        <f>IFERROR(AF85/AF79,"n/a")</f>
        <v>9.2980207888366792E-2</v>
      </c>
      <c r="AG108" s="396"/>
      <c r="AH108" s="396"/>
      <c r="AI108" s="396"/>
      <c r="AJ108" s="396"/>
      <c r="AK108" s="396"/>
      <c r="AL108" s="395">
        <f>IFERROR(AL85/AL79,"n/a")</f>
        <v>0.10540481559613006</v>
      </c>
      <c r="AM108" s="396"/>
      <c r="AN108" s="396"/>
      <c r="AO108" s="396"/>
      <c r="AP108" s="396"/>
      <c r="AQ108" s="396"/>
      <c r="AR108" s="395">
        <f>IFERROR(AR85/AR79,"n/a")</f>
        <v>9.250097281672133E-2</v>
      </c>
      <c r="AS108" s="396"/>
      <c r="AT108" s="396"/>
      <c r="AU108" s="396"/>
      <c r="AV108" s="396"/>
      <c r="AW108" s="396"/>
      <c r="AX108" s="395">
        <f>IFERROR(AX85/AX79,"n/a")</f>
        <v>9.4602535045748337E-2</v>
      </c>
      <c r="AY108" s="396"/>
      <c r="AZ108" s="396"/>
      <c r="BA108" s="396"/>
      <c r="BB108" s="396"/>
      <c r="BC108" s="396"/>
      <c r="BD108" s="395">
        <f>IFERROR(BD85/BD79,"n/a")</f>
        <v>0.10755270883373365</v>
      </c>
      <c r="BE108" s="396"/>
      <c r="BF108" s="396"/>
      <c r="BG108" s="396"/>
      <c r="BH108" s="396"/>
      <c r="BI108" s="396"/>
      <c r="BJ108" s="395">
        <f>IFERROR(BJ85/BJ79,"n/a")</f>
        <v>0.10520212723419568</v>
      </c>
      <c r="BK108" s="396"/>
      <c r="BL108" s="396"/>
      <c r="BM108" s="396"/>
      <c r="BN108" s="396"/>
      <c r="BO108" s="396"/>
      <c r="BP108" s="395">
        <f>IFERROR(BP85/BP79,"n/a")</f>
        <v>0.12172453648727813</v>
      </c>
      <c r="BQ108" s="398">
        <v>0.17499999999999999</v>
      </c>
      <c r="BR108" s="398">
        <v>0.17</v>
      </c>
      <c r="BS108" s="398">
        <v>0.16500000000000001</v>
      </c>
      <c r="BT108" s="398">
        <v>0.16</v>
      </c>
      <c r="BU108" s="398">
        <v>0.158</v>
      </c>
      <c r="BV108" s="400" t="s">
        <v>311</v>
      </c>
      <c r="BW108" s="289"/>
      <c r="BX108" s="451"/>
      <c r="BY108" s="60"/>
      <c r="BZ108" s="60"/>
    </row>
    <row r="109" spans="2:84" x14ac:dyDescent="0.25">
      <c r="B109" s="305" t="s">
        <v>279</v>
      </c>
      <c r="C109" s="16"/>
      <c r="D109" s="16"/>
      <c r="E109" s="16"/>
      <c r="F109" s="16"/>
      <c r="G109" s="16"/>
      <c r="H109" s="387">
        <f>IFERROR(H87/H79,"n/a")</f>
        <v>2.5503355704697986E-2</v>
      </c>
      <c r="I109" s="388"/>
      <c r="J109" s="388"/>
      <c r="K109" s="388"/>
      <c r="L109" s="388"/>
      <c r="M109" s="388"/>
      <c r="N109" s="387">
        <f>IFERROR(N87/N79,"n/a")</f>
        <v>2.5095528245378498E-2</v>
      </c>
      <c r="O109" s="388"/>
      <c r="P109" s="388"/>
      <c r="Q109" s="388"/>
      <c r="R109" s="388"/>
      <c r="S109" s="388"/>
      <c r="T109" s="395">
        <f>IFERROR(T87/T79,"n/a")</f>
        <v>2.4161196207148065E-2</v>
      </c>
      <c r="U109" s="396"/>
      <c r="V109" s="396"/>
      <c r="W109" s="396"/>
      <c r="X109" s="396"/>
      <c r="Y109" s="396"/>
      <c r="Z109" s="395">
        <f>IFERROR(Z87/Z79,"n/a")</f>
        <v>1.7858529388927711E-2</v>
      </c>
      <c r="AA109" s="396"/>
      <c r="AB109" s="396"/>
      <c r="AC109" s="396"/>
      <c r="AD109" s="396"/>
      <c r="AE109" s="396"/>
      <c r="AF109" s="395">
        <f>IFERROR(AF87/AF79,"n/a")</f>
        <v>0.11120603730599458</v>
      </c>
      <c r="AG109" s="396"/>
      <c r="AH109" s="396"/>
      <c r="AI109" s="396"/>
      <c r="AJ109" s="396"/>
      <c r="AK109" s="396"/>
      <c r="AL109" s="395">
        <f>IFERROR(AL87/AL79,"n/a")</f>
        <v>0.12148105041099877</v>
      </c>
      <c r="AM109" s="396"/>
      <c r="AN109" s="396"/>
      <c r="AO109" s="396"/>
      <c r="AP109" s="396"/>
      <c r="AQ109" s="396"/>
      <c r="AR109" s="395">
        <f>IFERROR(AR87/AR79,"n/a")</f>
        <v>0.104285952526544</v>
      </c>
      <c r="AS109" s="396"/>
      <c r="AT109" s="396"/>
      <c r="AU109" s="396"/>
      <c r="AV109" s="396"/>
      <c r="AW109" s="396"/>
      <c r="AX109" s="395">
        <f>IFERROR(AX87/AX79,"n/a")</f>
        <v>0.10929236968018131</v>
      </c>
      <c r="AY109" s="396"/>
      <c r="AZ109" s="396"/>
      <c r="BA109" s="396"/>
      <c r="BB109" s="396"/>
      <c r="BC109" s="396"/>
      <c r="BD109" s="395">
        <f>IFERROR(BD87/BD79,"n/a")</f>
        <v>0.13143848412062983</v>
      </c>
      <c r="BE109" s="396"/>
      <c r="BF109" s="396"/>
      <c r="BG109" s="396"/>
      <c r="BH109" s="396"/>
      <c r="BI109" s="396"/>
      <c r="BJ109" s="395">
        <f>IFERROR(BJ87/BJ79,"n/a")</f>
        <v>0.13207245391659003</v>
      </c>
      <c r="BK109" s="396"/>
      <c r="BL109" s="396"/>
      <c r="BM109" s="396"/>
      <c r="BN109" s="396"/>
      <c r="BO109" s="396"/>
      <c r="BP109" s="395">
        <f>IFERROR(BP87/BP79,"n/a")</f>
        <v>0.10959641539606398</v>
      </c>
      <c r="BQ109" s="712">
        <v>0.105</v>
      </c>
      <c r="BR109" s="712">
        <v>0.1</v>
      </c>
      <c r="BS109" s="712">
        <v>9.7000000000000003E-2</v>
      </c>
      <c r="BT109" s="712">
        <v>9.6000000000000002E-2</v>
      </c>
      <c r="BU109" s="712">
        <v>9.5000000000000001E-2</v>
      </c>
      <c r="BV109" s="400" t="s">
        <v>312</v>
      </c>
      <c r="BW109" s="289"/>
      <c r="BX109" s="451"/>
      <c r="BY109" s="60"/>
      <c r="BZ109" s="60"/>
    </row>
    <row r="110" spans="2:84" x14ac:dyDescent="0.25">
      <c r="B110" s="305"/>
      <c r="C110" s="16"/>
      <c r="D110" s="16"/>
      <c r="E110" s="16"/>
      <c r="F110" s="16"/>
      <c r="G110" s="16"/>
      <c r="H110" s="70"/>
      <c r="I110" s="241"/>
      <c r="J110" s="241"/>
      <c r="K110" s="241"/>
      <c r="L110" s="241"/>
      <c r="M110" s="241"/>
      <c r="N110" s="70"/>
      <c r="O110" s="241"/>
      <c r="P110" s="241"/>
      <c r="Q110" s="241"/>
      <c r="R110" s="241"/>
      <c r="S110" s="241"/>
      <c r="T110" s="78"/>
      <c r="U110" s="242"/>
      <c r="V110" s="242"/>
      <c r="W110" s="242"/>
      <c r="X110" s="242"/>
      <c r="Y110" s="242"/>
      <c r="Z110" s="78"/>
      <c r="AA110" s="242"/>
      <c r="AB110" s="242"/>
      <c r="AC110" s="242"/>
      <c r="AD110" s="242"/>
      <c r="AE110" s="242"/>
      <c r="AF110" s="78"/>
      <c r="AG110" s="242"/>
      <c r="AH110" s="242"/>
      <c r="AI110" s="242"/>
      <c r="AJ110" s="242"/>
      <c r="AK110" s="242"/>
      <c r="AL110" s="78"/>
      <c r="AM110" s="242"/>
      <c r="AN110" s="242"/>
      <c r="AO110" s="242"/>
      <c r="AP110" s="242"/>
      <c r="AQ110" s="242"/>
      <c r="AR110" s="78"/>
      <c r="AS110" s="242"/>
      <c r="AT110" s="242"/>
      <c r="AU110" s="242"/>
      <c r="AV110" s="242"/>
      <c r="AW110" s="242"/>
      <c r="AX110" s="78"/>
      <c r="AY110" s="242"/>
      <c r="AZ110" s="242"/>
      <c r="BA110" s="242"/>
      <c r="BB110" s="242"/>
      <c r="BC110" s="242"/>
      <c r="BD110" s="78"/>
      <c r="BE110" s="242"/>
      <c r="BF110" s="242"/>
      <c r="BG110" s="242"/>
      <c r="BH110" s="242"/>
      <c r="BI110" s="242"/>
      <c r="BJ110" s="78"/>
      <c r="BK110" s="242"/>
      <c r="BL110" s="242"/>
      <c r="BM110" s="242"/>
      <c r="BN110" s="242"/>
      <c r="BO110" s="242"/>
      <c r="BP110" s="78"/>
      <c r="BQ110" s="375"/>
      <c r="BR110" s="375"/>
      <c r="BS110" s="375"/>
      <c r="BT110" s="375"/>
      <c r="BU110" s="375"/>
      <c r="BV110" s="365"/>
      <c r="BW110" s="305"/>
      <c r="BX110" s="451"/>
      <c r="BY110" s="60"/>
      <c r="BZ110" s="60"/>
    </row>
    <row r="111" spans="2:84" x14ac:dyDescent="0.25">
      <c r="C111" s="1"/>
      <c r="D111" s="1"/>
      <c r="E111" s="1"/>
      <c r="F111" s="1"/>
      <c r="G111" s="1"/>
      <c r="H111" s="64"/>
      <c r="I111" s="176"/>
      <c r="J111" s="176"/>
      <c r="K111" s="177"/>
      <c r="L111" s="176"/>
      <c r="M111" s="176"/>
      <c r="N111" s="64"/>
      <c r="O111" s="176"/>
      <c r="P111" s="176"/>
      <c r="Q111" s="177"/>
      <c r="R111" s="176"/>
      <c r="S111" s="176"/>
      <c r="T111" s="64"/>
      <c r="U111" s="176"/>
      <c r="V111" s="176"/>
      <c r="W111" s="177"/>
      <c r="X111" s="176"/>
      <c r="Y111" s="176"/>
      <c r="Z111" s="64"/>
      <c r="AA111" s="176"/>
      <c r="AB111" s="176"/>
      <c r="AC111" s="177"/>
      <c r="AD111" s="176"/>
      <c r="AE111" s="176"/>
      <c r="AF111" s="64"/>
      <c r="AG111" s="176"/>
      <c r="AH111" s="176"/>
      <c r="AI111" s="177"/>
      <c r="AJ111" s="176"/>
      <c r="AK111" s="176"/>
      <c r="AL111" s="64"/>
      <c r="AM111" s="176"/>
      <c r="AN111" s="176"/>
      <c r="AO111" s="177"/>
      <c r="AP111" s="176"/>
      <c r="AQ111" s="176"/>
      <c r="AR111" s="64"/>
      <c r="AS111" s="176"/>
      <c r="AT111" s="176"/>
      <c r="AU111" s="177"/>
      <c r="AV111" s="176"/>
      <c r="AW111" s="176"/>
      <c r="AX111" s="64"/>
      <c r="AY111" s="176"/>
      <c r="AZ111" s="176"/>
      <c r="BA111" s="177"/>
      <c r="BB111" s="176"/>
      <c r="BC111" s="176"/>
      <c r="BD111" s="64"/>
      <c r="BE111" s="176"/>
      <c r="BF111" s="176"/>
      <c r="BG111" s="177"/>
      <c r="BH111" s="176"/>
      <c r="BI111" s="176"/>
      <c r="BJ111" s="64"/>
      <c r="BK111" s="176"/>
      <c r="BL111" s="176"/>
      <c r="BM111" s="177"/>
      <c r="BN111" s="176"/>
      <c r="BO111" s="176"/>
      <c r="BP111" s="91"/>
      <c r="BQ111" s="366"/>
      <c r="BR111" s="366"/>
      <c r="BS111" s="366"/>
      <c r="BT111" s="366"/>
      <c r="BU111" s="366"/>
      <c r="BV111" s="365"/>
      <c r="BW111" s="305"/>
      <c r="BX111" s="451"/>
      <c r="BY111" s="459"/>
      <c r="BZ111" s="459"/>
    </row>
    <row r="112" spans="2:84" x14ac:dyDescent="0.25">
      <c r="B112" s="223" t="s">
        <v>24</v>
      </c>
      <c r="C112" s="224"/>
      <c r="D112" s="224"/>
      <c r="E112" s="224"/>
      <c r="F112" s="224"/>
      <c r="G112" s="224"/>
      <c r="H112" s="152"/>
      <c r="I112" s="224"/>
      <c r="J112" s="224"/>
      <c r="K112" s="224"/>
      <c r="L112" s="224"/>
      <c r="M112" s="224"/>
      <c r="N112" s="152"/>
      <c r="O112" s="224"/>
      <c r="P112" s="224"/>
      <c r="Q112" s="224"/>
      <c r="R112" s="224"/>
      <c r="S112" s="224"/>
      <c r="T112" s="152"/>
      <c r="U112" s="224"/>
      <c r="V112" s="224"/>
      <c r="W112" s="224"/>
      <c r="X112" s="224"/>
      <c r="Y112" s="224"/>
      <c r="Z112" s="152"/>
      <c r="AA112" s="224"/>
      <c r="AB112" s="224"/>
      <c r="AC112" s="224"/>
      <c r="AD112" s="224"/>
      <c r="AE112" s="224"/>
      <c r="AF112" s="152"/>
      <c r="AG112" s="224"/>
      <c r="AH112" s="224"/>
      <c r="AI112" s="224"/>
      <c r="AJ112" s="224"/>
      <c r="AK112" s="224"/>
      <c r="AL112" s="152"/>
      <c r="AM112" s="224"/>
      <c r="AN112" s="224"/>
      <c r="AO112" s="224"/>
      <c r="AP112" s="224"/>
      <c r="AQ112" s="224"/>
      <c r="AR112" s="152"/>
      <c r="AS112" s="224"/>
      <c r="AT112" s="224"/>
      <c r="AU112" s="224"/>
      <c r="AV112" s="224"/>
      <c r="AW112" s="224"/>
      <c r="AX112" s="152"/>
      <c r="AY112" s="224"/>
      <c r="AZ112" s="224"/>
      <c r="BA112" s="224"/>
      <c r="BB112" s="224"/>
      <c r="BC112" s="224"/>
      <c r="BD112" s="152"/>
      <c r="BE112" s="224"/>
      <c r="BF112" s="224"/>
      <c r="BG112" s="224"/>
      <c r="BH112" s="224"/>
      <c r="BI112" s="224"/>
      <c r="BJ112" s="152"/>
      <c r="BK112" s="224"/>
      <c r="BL112" s="224"/>
      <c r="BM112" s="224"/>
      <c r="BN112" s="224"/>
      <c r="BO112" s="224"/>
      <c r="BP112" s="153"/>
      <c r="BQ112" s="224"/>
      <c r="BR112" s="224"/>
      <c r="BS112" s="224"/>
      <c r="BT112" s="224"/>
      <c r="BU112" s="224"/>
      <c r="BV112" s="365"/>
      <c r="BW112" s="305"/>
      <c r="BX112" s="451"/>
      <c r="BY112" s="459"/>
      <c r="BZ112" s="459"/>
    </row>
    <row r="113" spans="2:78" x14ac:dyDescent="0.25">
      <c r="B113" t="s">
        <v>11</v>
      </c>
      <c r="C113" s="1"/>
      <c r="D113" s="1"/>
      <c r="E113" s="1"/>
      <c r="F113" s="1"/>
      <c r="G113" s="1"/>
      <c r="H113" s="74">
        <v>941</v>
      </c>
      <c r="I113" s="28"/>
      <c r="J113" s="28"/>
      <c r="K113" s="45"/>
      <c r="L113" s="28"/>
      <c r="M113" s="28"/>
      <c r="N113" s="74">
        <v>1724</v>
      </c>
      <c r="O113" s="28"/>
      <c r="P113" s="28"/>
      <c r="Q113" s="45"/>
      <c r="R113" s="28"/>
      <c r="S113" s="28"/>
      <c r="T113" s="87">
        <v>114</v>
      </c>
      <c r="U113" s="36"/>
      <c r="V113" s="36"/>
      <c r="W113" s="53"/>
      <c r="X113" s="36"/>
      <c r="Y113" s="36"/>
      <c r="Z113" s="87">
        <v>136</v>
      </c>
      <c r="AA113" s="36"/>
      <c r="AB113" s="36"/>
      <c r="AC113" s="53"/>
      <c r="AD113" s="36"/>
      <c r="AE113" s="36"/>
      <c r="AF113" s="87">
        <v>86</v>
      </c>
      <c r="AG113" s="36"/>
      <c r="AH113" s="36"/>
      <c r="AI113" s="53"/>
      <c r="AJ113" s="36"/>
      <c r="AK113" s="36"/>
      <c r="AL113" s="87">
        <v>743</v>
      </c>
      <c r="AM113" s="36"/>
      <c r="AN113" s="36"/>
      <c r="AO113" s="53"/>
      <c r="AP113" s="36"/>
      <c r="AQ113" s="36"/>
      <c r="AR113" s="87">
        <v>341</v>
      </c>
      <c r="AS113" s="36"/>
      <c r="AT113" s="36"/>
      <c r="AU113" s="53"/>
      <c r="AV113" s="36"/>
      <c r="AW113" s="36"/>
      <c r="AX113" s="87">
        <v>225</v>
      </c>
      <c r="AY113" s="36"/>
      <c r="AZ113" s="36"/>
      <c r="BA113" s="53"/>
      <c r="BB113" s="36"/>
      <c r="BC113" s="36"/>
      <c r="BD113" s="87">
        <v>356</v>
      </c>
      <c r="BE113" s="36"/>
      <c r="BF113" s="36"/>
      <c r="BG113" s="53"/>
      <c r="BH113" s="36"/>
      <c r="BI113" s="36"/>
      <c r="BJ113" s="87">
        <v>431</v>
      </c>
      <c r="BK113" s="36"/>
      <c r="BL113" s="36"/>
      <c r="BM113" s="53"/>
      <c r="BN113" s="36"/>
      <c r="BO113" s="36"/>
      <c r="BP113" s="87">
        <v>217</v>
      </c>
      <c r="BQ113" s="373">
        <f t="shared" ref="BQ113:BQ122" si="122">BP113</f>
        <v>217</v>
      </c>
      <c r="BR113" s="373">
        <f t="shared" ref="BR113:BR122" si="123">BP113</f>
        <v>217</v>
      </c>
      <c r="BS113" s="373">
        <f t="shared" ref="BS113:BS122" si="124">BP113</f>
        <v>217</v>
      </c>
      <c r="BT113" s="373">
        <f t="shared" ref="BT113:BT122" si="125">BP113</f>
        <v>217</v>
      </c>
      <c r="BU113" s="373">
        <f t="shared" ref="BU113:BU122" si="126">BP113</f>
        <v>217</v>
      </c>
      <c r="BV113" s="365"/>
      <c r="BW113" s="305"/>
      <c r="BX113" s="451"/>
      <c r="BY113" s="459"/>
      <c r="BZ113" s="459"/>
    </row>
    <row r="114" spans="2:78" x14ac:dyDescent="0.25">
      <c r="B114" t="s">
        <v>13</v>
      </c>
      <c r="C114" s="1"/>
      <c r="D114" s="1"/>
      <c r="E114" s="1"/>
      <c r="F114" s="1"/>
      <c r="G114" s="1"/>
      <c r="H114" s="74">
        <v>-853</v>
      </c>
      <c r="I114" s="28"/>
      <c r="J114" s="28"/>
      <c r="K114" s="45"/>
      <c r="L114" s="28"/>
      <c r="M114" s="28"/>
      <c r="N114" s="74">
        <v>-1803</v>
      </c>
      <c r="O114" s="28"/>
      <c r="P114" s="28"/>
      <c r="Q114" s="45"/>
      <c r="R114" s="28"/>
      <c r="S114" s="28"/>
      <c r="T114" s="87">
        <v>-2406</v>
      </c>
      <c r="U114" s="36"/>
      <c r="V114" s="36"/>
      <c r="W114" s="53"/>
      <c r="X114" s="36"/>
      <c r="Y114" s="36"/>
      <c r="Z114" s="87">
        <v>-2527</v>
      </c>
      <c r="AA114" s="36"/>
      <c r="AB114" s="36"/>
      <c r="AC114" s="53"/>
      <c r="AD114" s="36"/>
      <c r="AE114" s="36"/>
      <c r="AF114" s="87">
        <v>-2547</v>
      </c>
      <c r="AG114" s="36"/>
      <c r="AH114" s="36"/>
      <c r="AI114" s="53"/>
      <c r="AJ114" s="36"/>
      <c r="AK114" s="36"/>
      <c r="AL114" s="87">
        <v>-3503</v>
      </c>
      <c r="AM114" s="36"/>
      <c r="AN114" s="36"/>
      <c r="AO114" s="53"/>
      <c r="AP114" s="36"/>
      <c r="AQ114" s="36"/>
      <c r="AR114" s="87">
        <v>-4086</v>
      </c>
      <c r="AS114" s="36"/>
      <c r="AT114" s="36"/>
      <c r="AU114" s="53"/>
      <c r="AV114" s="36"/>
      <c r="AW114" s="36"/>
      <c r="AX114" s="87">
        <v>-4907</v>
      </c>
      <c r="AY114" s="36"/>
      <c r="AZ114" s="36"/>
      <c r="BA114" s="53"/>
      <c r="BB114" s="36"/>
      <c r="BC114" s="36"/>
      <c r="BD114" s="87">
        <v>-3838</v>
      </c>
      <c r="BE114" s="36"/>
      <c r="BF114" s="36"/>
      <c r="BG114" s="53"/>
      <c r="BH114" s="36"/>
      <c r="BI114" s="36"/>
      <c r="BJ114" s="87">
        <v>-3952</v>
      </c>
      <c r="BK114" s="36"/>
      <c r="BL114" s="36"/>
      <c r="BM114" s="53"/>
      <c r="BN114" s="36"/>
      <c r="BO114" s="36"/>
      <c r="BP114" s="87">
        <v>-11646</v>
      </c>
      <c r="BQ114" s="373">
        <f t="shared" si="122"/>
        <v>-11646</v>
      </c>
      <c r="BR114" s="373">
        <f t="shared" si="123"/>
        <v>-11646</v>
      </c>
      <c r="BS114" s="373">
        <f t="shared" si="124"/>
        <v>-11646</v>
      </c>
      <c r="BT114" s="373">
        <f t="shared" si="125"/>
        <v>-11646</v>
      </c>
      <c r="BU114" s="373">
        <f t="shared" si="126"/>
        <v>-11646</v>
      </c>
      <c r="BV114" s="365"/>
      <c r="BW114" s="305"/>
      <c r="BX114" s="451"/>
      <c r="BY114" s="459"/>
      <c r="BZ114" s="459"/>
    </row>
    <row r="115" spans="2:78" x14ac:dyDescent="0.25">
      <c r="B115" s="289" t="s">
        <v>14</v>
      </c>
      <c r="C115" s="10">
        <v>-382</v>
      </c>
      <c r="D115" s="10">
        <v>-374</v>
      </c>
      <c r="E115" s="11">
        <f t="shared" ref="E115:E122" si="127">C115+D115</f>
        <v>-756</v>
      </c>
      <c r="F115" s="10">
        <v>-364</v>
      </c>
      <c r="G115" s="10">
        <v>-374</v>
      </c>
      <c r="H115" s="74">
        <v>88</v>
      </c>
      <c r="I115" s="179">
        <v>-467</v>
      </c>
      <c r="J115" s="179">
        <v>-584</v>
      </c>
      <c r="K115" s="191">
        <f t="shared" ref="K115:K122" si="128">I115+J115</f>
        <v>-1051</v>
      </c>
      <c r="L115" s="179">
        <v>-680</v>
      </c>
      <c r="M115" s="179">
        <v>-628</v>
      </c>
      <c r="N115" s="74">
        <v>-79</v>
      </c>
      <c r="O115" s="28"/>
      <c r="P115" s="28"/>
      <c r="Q115" s="45"/>
      <c r="R115" s="28"/>
      <c r="S115" s="28"/>
      <c r="T115" s="87">
        <v>-2292</v>
      </c>
      <c r="U115" s="36"/>
      <c r="V115" s="36"/>
      <c r="W115" s="53"/>
      <c r="X115" s="36"/>
      <c r="Y115" s="36"/>
      <c r="Z115" s="87">
        <v>-2391</v>
      </c>
      <c r="AA115" s="36"/>
      <c r="AB115" s="36"/>
      <c r="AC115" s="53"/>
      <c r="AD115" s="36"/>
      <c r="AE115" s="36"/>
      <c r="AF115" s="87">
        <v>-2461</v>
      </c>
      <c r="AG115" s="36">
        <v>-727</v>
      </c>
      <c r="AH115" s="36">
        <v>-605</v>
      </c>
      <c r="AI115" s="192">
        <f t="shared" ref="AI115:AI122" si="129">AG115+AH115</f>
        <v>-1332</v>
      </c>
      <c r="AJ115" s="36">
        <v>-694</v>
      </c>
      <c r="AK115" s="36">
        <v>-734</v>
      </c>
      <c r="AL115" s="87">
        <v>-2760</v>
      </c>
      <c r="AM115" s="36">
        <v>-973</v>
      </c>
      <c r="AN115" s="36">
        <v>-777</v>
      </c>
      <c r="AO115" s="192">
        <f t="shared" ref="AO115:AO122" si="130">AM115+AN115</f>
        <v>-1750</v>
      </c>
      <c r="AP115" s="36">
        <v>-826</v>
      </c>
      <c r="AQ115" s="36">
        <v>-1169</v>
      </c>
      <c r="AR115" s="87">
        <v>-3745</v>
      </c>
      <c r="AS115" s="36">
        <v>-1112</v>
      </c>
      <c r="AT115" s="36">
        <v>-1550</v>
      </c>
      <c r="AU115" s="192">
        <f t="shared" ref="AU115:AU122" si="131">AS115+AT115</f>
        <v>-2662</v>
      </c>
      <c r="AV115" s="36">
        <v>-1026</v>
      </c>
      <c r="AW115" s="36">
        <v>-994</v>
      </c>
      <c r="AX115" s="87">
        <v>-4682</v>
      </c>
      <c r="AY115" s="36">
        <v>-978</v>
      </c>
      <c r="AZ115" s="36">
        <v>-814</v>
      </c>
      <c r="BA115" s="192">
        <f t="shared" ref="BA115:BA122" si="132">AY115+AZ115</f>
        <v>-1792</v>
      </c>
      <c r="BB115" s="36">
        <v>-910</v>
      </c>
      <c r="BC115" s="36">
        <v>-780</v>
      </c>
      <c r="BD115" s="87">
        <v>-3482</v>
      </c>
      <c r="BE115" s="36">
        <v>-790</v>
      </c>
      <c r="BF115" s="36">
        <v>-936</v>
      </c>
      <c r="BG115" s="192">
        <f t="shared" ref="BG115:BG122" si="133">BE115+BF115</f>
        <v>-1726</v>
      </c>
      <c r="BH115" s="36">
        <v>-907</v>
      </c>
      <c r="BI115" s="36">
        <v>-888</v>
      </c>
      <c r="BJ115" s="87">
        <v>-3521</v>
      </c>
      <c r="BK115" s="36">
        <v>-917</v>
      </c>
      <c r="BL115" s="36">
        <v>-3220</v>
      </c>
      <c r="BM115" s="192">
        <f t="shared" ref="BM115:BM122" si="134">BK115+BL115</f>
        <v>-4137</v>
      </c>
      <c r="BN115" s="36">
        <v>-3236</v>
      </c>
      <c r="BO115" s="36"/>
      <c r="BP115" s="90">
        <f t="shared" ref="BP115:BP122" si="135">(BK115+BL115+BN115)*4/3</f>
        <v>-9830.6666666666661</v>
      </c>
      <c r="BQ115" s="373">
        <f t="shared" si="122"/>
        <v>-9830.6666666666661</v>
      </c>
      <c r="BR115" s="373">
        <f t="shared" si="123"/>
        <v>-9830.6666666666661</v>
      </c>
      <c r="BS115" s="373">
        <f t="shared" si="124"/>
        <v>-9830.6666666666661</v>
      </c>
      <c r="BT115" s="373">
        <f t="shared" si="125"/>
        <v>-9830.6666666666661</v>
      </c>
      <c r="BU115" s="373">
        <f t="shared" si="126"/>
        <v>-9830.6666666666661</v>
      </c>
      <c r="BV115" s="365"/>
      <c r="BW115" s="305"/>
      <c r="BX115" s="451"/>
      <c r="BY115" s="290"/>
      <c r="BZ115" s="290"/>
    </row>
    <row r="116" spans="2:78" x14ac:dyDescent="0.25">
      <c r="B116" t="s">
        <v>15</v>
      </c>
      <c r="C116" s="2">
        <v>-376</v>
      </c>
      <c r="D116" s="2">
        <v>-368</v>
      </c>
      <c r="E116" s="6">
        <f t="shared" si="127"/>
        <v>-744</v>
      </c>
      <c r="F116" s="2">
        <v>-362</v>
      </c>
      <c r="G116" s="2">
        <v>-381</v>
      </c>
      <c r="H116" s="72" t="s">
        <v>12</v>
      </c>
      <c r="I116" s="179">
        <v>-404</v>
      </c>
      <c r="J116" s="179">
        <v>-462</v>
      </c>
      <c r="K116" s="191">
        <f t="shared" si="128"/>
        <v>-866</v>
      </c>
      <c r="L116" s="179">
        <v>-645</v>
      </c>
      <c r="M116" s="179">
        <v>-638</v>
      </c>
      <c r="N116" s="72" t="s">
        <v>12</v>
      </c>
      <c r="O116" s="28"/>
      <c r="P116" s="28"/>
      <c r="Q116" s="45"/>
      <c r="R116" s="28"/>
      <c r="S116" s="28"/>
      <c r="T116" s="87">
        <v>-2256</v>
      </c>
      <c r="U116" s="36"/>
      <c r="V116" s="36"/>
      <c r="W116" s="53"/>
      <c r="X116" s="36"/>
      <c r="Y116" s="36"/>
      <c r="Z116" s="87">
        <v>-2344</v>
      </c>
      <c r="AA116" s="36"/>
      <c r="AB116" s="36"/>
      <c r="AC116" s="53"/>
      <c r="AD116" s="36"/>
      <c r="AE116" s="36"/>
      <c r="AF116" s="87">
        <v>-2573</v>
      </c>
      <c r="AG116" s="36">
        <v>-745</v>
      </c>
      <c r="AH116" s="36">
        <v>-626</v>
      </c>
      <c r="AI116" s="192">
        <f t="shared" si="129"/>
        <v>-1371</v>
      </c>
      <c r="AJ116" s="36">
        <v>-745</v>
      </c>
      <c r="AK116" s="36">
        <v>-762</v>
      </c>
      <c r="AL116" s="87">
        <v>-2878</v>
      </c>
      <c r="AM116" s="36">
        <v>-965</v>
      </c>
      <c r="AN116" s="36">
        <v>-823</v>
      </c>
      <c r="AO116" s="192">
        <f t="shared" si="130"/>
        <v>-1788</v>
      </c>
      <c r="AP116" s="36">
        <v>-873</v>
      </c>
      <c r="AQ116" s="36">
        <v>-1182</v>
      </c>
      <c r="AR116" s="87">
        <v>-3843</v>
      </c>
      <c r="AS116" s="36">
        <v>-1092</v>
      </c>
      <c r="AT116" s="36">
        <v>-1655</v>
      </c>
      <c r="AU116" s="192">
        <f t="shared" si="131"/>
        <v>-2747</v>
      </c>
      <c r="AV116" s="36">
        <v>-1115</v>
      </c>
      <c r="AW116" s="36">
        <v>-1116</v>
      </c>
      <c r="AX116" s="87">
        <v>-4978</v>
      </c>
      <c r="AY116" s="36">
        <v>-1081</v>
      </c>
      <c r="AZ116" s="36">
        <v>-995</v>
      </c>
      <c r="BA116" s="192">
        <f t="shared" si="132"/>
        <v>-2076</v>
      </c>
      <c r="BB116" s="36">
        <v>-1044</v>
      </c>
      <c r="BC116" s="36">
        <v>-840</v>
      </c>
      <c r="BD116" s="87">
        <v>-3960</v>
      </c>
      <c r="BE116" s="36">
        <v>-927</v>
      </c>
      <c r="BF116" s="36">
        <v>-1068</v>
      </c>
      <c r="BG116" s="192">
        <f t="shared" si="133"/>
        <v>-1995</v>
      </c>
      <c r="BH116" s="36">
        <v>-1008</v>
      </c>
      <c r="BI116" s="36">
        <v>-1005</v>
      </c>
      <c r="BJ116" s="87">
        <v>-4008</v>
      </c>
      <c r="BK116" s="36">
        <v>-1001</v>
      </c>
      <c r="BL116" s="36">
        <v>-3088</v>
      </c>
      <c r="BM116" s="192">
        <f t="shared" si="134"/>
        <v>-4089</v>
      </c>
      <c r="BN116" s="36">
        <v>-2753</v>
      </c>
      <c r="BO116" s="36"/>
      <c r="BP116" s="90">
        <f t="shared" si="135"/>
        <v>-9122.6666666666661</v>
      </c>
      <c r="BQ116" s="373">
        <f t="shared" si="122"/>
        <v>-9122.6666666666661</v>
      </c>
      <c r="BR116" s="373">
        <f t="shared" si="123"/>
        <v>-9122.6666666666661</v>
      </c>
      <c r="BS116" s="373">
        <f t="shared" si="124"/>
        <v>-9122.6666666666661</v>
      </c>
      <c r="BT116" s="373">
        <f t="shared" si="125"/>
        <v>-9122.6666666666661</v>
      </c>
      <c r="BU116" s="373">
        <f t="shared" si="126"/>
        <v>-9122.6666666666661</v>
      </c>
      <c r="BV116" s="365"/>
      <c r="BW116" s="305"/>
      <c r="BX116" s="451"/>
      <c r="BY116" s="459"/>
      <c r="BZ116" s="459"/>
    </row>
    <row r="117" spans="2:78" x14ac:dyDescent="0.25">
      <c r="B117" s="289" t="s">
        <v>16</v>
      </c>
      <c r="C117" s="10">
        <v>-6</v>
      </c>
      <c r="D117" s="10">
        <v>-6</v>
      </c>
      <c r="E117" s="11">
        <f t="shared" si="127"/>
        <v>-12</v>
      </c>
      <c r="F117" s="10">
        <v>-2</v>
      </c>
      <c r="G117" s="10">
        <v>7</v>
      </c>
      <c r="H117" s="72" t="s">
        <v>12</v>
      </c>
      <c r="I117" s="179">
        <v>-63</v>
      </c>
      <c r="J117" s="179">
        <v>-122</v>
      </c>
      <c r="K117" s="191">
        <f t="shared" si="128"/>
        <v>-185</v>
      </c>
      <c r="L117" s="179">
        <v>-35</v>
      </c>
      <c r="M117" s="179">
        <v>10</v>
      </c>
      <c r="N117" s="72" t="s">
        <v>12</v>
      </c>
      <c r="O117" s="28"/>
      <c r="P117" s="28"/>
      <c r="Q117" s="45"/>
      <c r="R117" s="28"/>
      <c r="S117" s="28"/>
      <c r="T117" s="87">
        <v>-36</v>
      </c>
      <c r="U117" s="36"/>
      <c r="V117" s="36"/>
      <c r="W117" s="53"/>
      <c r="X117" s="36"/>
      <c r="Y117" s="36"/>
      <c r="Z117" s="87">
        <v>-47</v>
      </c>
      <c r="AA117" s="36"/>
      <c r="AB117" s="36"/>
      <c r="AC117" s="53"/>
      <c r="AD117" s="36"/>
      <c r="AE117" s="36"/>
      <c r="AF117" s="87">
        <v>112</v>
      </c>
      <c r="AG117" s="36">
        <v>18</v>
      </c>
      <c r="AH117" s="36">
        <v>21</v>
      </c>
      <c r="AI117" s="192">
        <f t="shared" si="129"/>
        <v>39</v>
      </c>
      <c r="AJ117" s="36">
        <v>51</v>
      </c>
      <c r="AK117" s="36">
        <v>28</v>
      </c>
      <c r="AL117" s="87">
        <v>118</v>
      </c>
      <c r="AM117" s="36">
        <v>-8</v>
      </c>
      <c r="AN117" s="36">
        <v>46</v>
      </c>
      <c r="AO117" s="192">
        <f t="shared" si="130"/>
        <v>38</v>
      </c>
      <c r="AP117" s="36">
        <v>47</v>
      </c>
      <c r="AQ117" s="36">
        <v>13</v>
      </c>
      <c r="AR117" s="87">
        <v>98</v>
      </c>
      <c r="AS117" s="36">
        <v>-20</v>
      </c>
      <c r="AT117" s="36">
        <v>105</v>
      </c>
      <c r="AU117" s="192">
        <f t="shared" si="131"/>
        <v>85</v>
      </c>
      <c r="AV117" s="36">
        <v>89</v>
      </c>
      <c r="AW117" s="36">
        <v>122</v>
      </c>
      <c r="AX117" s="87">
        <v>296</v>
      </c>
      <c r="AY117" s="36">
        <v>103</v>
      </c>
      <c r="AZ117" s="36">
        <v>181</v>
      </c>
      <c r="BA117" s="192">
        <f t="shared" si="132"/>
        <v>284</v>
      </c>
      <c r="BB117" s="36">
        <v>134</v>
      </c>
      <c r="BC117" s="36">
        <v>60</v>
      </c>
      <c r="BD117" s="87">
        <v>478</v>
      </c>
      <c r="BE117" s="36">
        <v>137</v>
      </c>
      <c r="BF117" s="36">
        <v>132</v>
      </c>
      <c r="BG117" s="192">
        <f t="shared" si="133"/>
        <v>269</v>
      </c>
      <c r="BH117" s="36">
        <v>101</v>
      </c>
      <c r="BI117" s="36">
        <v>117</v>
      </c>
      <c r="BJ117" s="87">
        <v>487</v>
      </c>
      <c r="BK117" s="36">
        <v>84</v>
      </c>
      <c r="BL117" s="36">
        <v>-132</v>
      </c>
      <c r="BM117" s="192">
        <f t="shared" si="134"/>
        <v>-48</v>
      </c>
      <c r="BN117" s="36">
        <v>-483</v>
      </c>
      <c r="BO117" s="36"/>
      <c r="BP117" s="90">
        <f t="shared" si="135"/>
        <v>-708</v>
      </c>
      <c r="BQ117" s="373">
        <f t="shared" si="122"/>
        <v>-708</v>
      </c>
      <c r="BR117" s="373">
        <f t="shared" si="123"/>
        <v>-708</v>
      </c>
      <c r="BS117" s="373">
        <f t="shared" si="124"/>
        <v>-708</v>
      </c>
      <c r="BT117" s="373">
        <f t="shared" si="125"/>
        <v>-708</v>
      </c>
      <c r="BU117" s="373">
        <f t="shared" si="126"/>
        <v>-708</v>
      </c>
      <c r="BV117" s="365"/>
      <c r="BW117" s="305"/>
      <c r="BX117" s="451"/>
      <c r="BY117" s="290"/>
      <c r="BZ117" s="290"/>
    </row>
    <row r="118" spans="2:78" x14ac:dyDescent="0.25">
      <c r="B118" t="s">
        <v>17</v>
      </c>
      <c r="C118" s="2">
        <v>-120</v>
      </c>
      <c r="D118" s="2">
        <v>-97</v>
      </c>
      <c r="E118" s="6">
        <f t="shared" si="127"/>
        <v>-217</v>
      </c>
      <c r="F118" s="2">
        <v>-104</v>
      </c>
      <c r="G118" s="2">
        <v>-110</v>
      </c>
      <c r="H118" s="72" t="s">
        <v>12</v>
      </c>
      <c r="I118" s="179">
        <v>-186</v>
      </c>
      <c r="J118" s="179">
        <v>-269</v>
      </c>
      <c r="K118" s="191">
        <f t="shared" si="128"/>
        <v>-455</v>
      </c>
      <c r="L118" s="179">
        <v>-270</v>
      </c>
      <c r="M118" s="179">
        <v>-170</v>
      </c>
      <c r="N118" s="72" t="s">
        <v>12</v>
      </c>
      <c r="O118" s="28"/>
      <c r="P118" s="28"/>
      <c r="Q118" s="45"/>
      <c r="R118" s="28"/>
      <c r="S118" s="28"/>
      <c r="T118" s="87">
        <v>-841</v>
      </c>
      <c r="U118" s="36"/>
      <c r="V118" s="36"/>
      <c r="W118" s="53"/>
      <c r="X118" s="36"/>
      <c r="Y118" s="36"/>
      <c r="Z118" s="87">
        <v>-1099</v>
      </c>
      <c r="AA118" s="36"/>
      <c r="AB118" s="36"/>
      <c r="AC118" s="53"/>
      <c r="AD118" s="36"/>
      <c r="AE118" s="36"/>
      <c r="AF118" s="87">
        <v>-1282</v>
      </c>
      <c r="AG118" s="36">
        <v>-506</v>
      </c>
      <c r="AH118" s="36">
        <v>-427</v>
      </c>
      <c r="AI118" s="192">
        <f t="shared" si="129"/>
        <v>-933</v>
      </c>
      <c r="AJ118" s="36">
        <v>-367</v>
      </c>
      <c r="AK118" s="36">
        <v>-389</v>
      </c>
      <c r="AL118" s="87">
        <v>-1689</v>
      </c>
      <c r="AM118" s="36">
        <v>-443</v>
      </c>
      <c r="AN118" s="36">
        <v>-414</v>
      </c>
      <c r="AO118" s="192">
        <f t="shared" si="130"/>
        <v>-857</v>
      </c>
      <c r="AP118" s="36">
        <v>-414</v>
      </c>
      <c r="AQ118" s="36">
        <v>-382</v>
      </c>
      <c r="AR118" s="87">
        <v>-1653</v>
      </c>
      <c r="AS118" s="36">
        <v>-551</v>
      </c>
      <c r="AT118" s="36">
        <v>-468</v>
      </c>
      <c r="AU118" s="192">
        <f t="shared" si="131"/>
        <v>-1019</v>
      </c>
      <c r="AV118" s="36">
        <v>-456</v>
      </c>
      <c r="AW118" s="36">
        <v>-394</v>
      </c>
      <c r="AX118" s="87">
        <v>-1869</v>
      </c>
      <c r="AY118" s="36">
        <v>-499</v>
      </c>
      <c r="AZ118" s="36">
        <v>-435</v>
      </c>
      <c r="BA118" s="192">
        <f t="shared" si="132"/>
        <v>-934</v>
      </c>
      <c r="BB118" s="36">
        <v>-456</v>
      </c>
      <c r="BC118" s="36">
        <v>-556</v>
      </c>
      <c r="BD118" s="87">
        <v>-1946</v>
      </c>
      <c r="BE118" s="36">
        <v>-526</v>
      </c>
      <c r="BF118" s="36">
        <v>-514</v>
      </c>
      <c r="BG118" s="192">
        <f t="shared" si="133"/>
        <v>-1040</v>
      </c>
      <c r="BH118" s="36">
        <v>-534</v>
      </c>
      <c r="BI118" s="36">
        <v>-507</v>
      </c>
      <c r="BJ118" s="87">
        <v>-2081</v>
      </c>
      <c r="BK118" s="36">
        <v>-619</v>
      </c>
      <c r="BL118" s="36">
        <v>-1215</v>
      </c>
      <c r="BM118" s="192">
        <f t="shared" si="134"/>
        <v>-1834</v>
      </c>
      <c r="BN118" s="36">
        <v>-1664</v>
      </c>
      <c r="BO118" s="36"/>
      <c r="BP118" s="90">
        <f t="shared" si="135"/>
        <v>-4664</v>
      </c>
      <c r="BQ118" s="373">
        <f t="shared" si="122"/>
        <v>-4664</v>
      </c>
      <c r="BR118" s="373">
        <f t="shared" si="123"/>
        <v>-4664</v>
      </c>
      <c r="BS118" s="373">
        <f t="shared" si="124"/>
        <v>-4664</v>
      </c>
      <c r="BT118" s="373">
        <f t="shared" si="125"/>
        <v>-4664</v>
      </c>
      <c r="BU118" s="373">
        <f t="shared" si="126"/>
        <v>-4664</v>
      </c>
      <c r="BV118" s="365"/>
      <c r="BW118" s="305"/>
      <c r="BX118" s="451"/>
      <c r="BY118" s="459"/>
      <c r="BZ118" s="459"/>
    </row>
    <row r="119" spans="2:78" x14ac:dyDescent="0.25">
      <c r="B119" t="s">
        <v>18</v>
      </c>
      <c r="C119" s="2">
        <v>86</v>
      </c>
      <c r="D119" s="2">
        <v>78</v>
      </c>
      <c r="E119" s="6">
        <f t="shared" si="127"/>
        <v>164</v>
      </c>
      <c r="F119" s="2">
        <v>75</v>
      </c>
      <c r="G119" s="2">
        <v>79</v>
      </c>
      <c r="H119" s="72" t="s">
        <v>12</v>
      </c>
      <c r="I119" s="179">
        <v>117</v>
      </c>
      <c r="J119" s="179">
        <v>137</v>
      </c>
      <c r="K119" s="191">
        <f t="shared" si="128"/>
        <v>254</v>
      </c>
      <c r="L119" s="179">
        <v>206</v>
      </c>
      <c r="M119" s="179">
        <v>147</v>
      </c>
      <c r="N119" s="72" t="s">
        <v>12</v>
      </c>
      <c r="O119" s="28"/>
      <c r="P119" s="28"/>
      <c r="Q119" s="45"/>
      <c r="R119" s="28"/>
      <c r="S119" s="28"/>
      <c r="T119" s="87">
        <v>582</v>
      </c>
      <c r="U119" s="36"/>
      <c r="V119" s="36"/>
      <c r="W119" s="53"/>
      <c r="X119" s="36"/>
      <c r="Y119" s="36"/>
      <c r="Z119" s="87">
        <v>834</v>
      </c>
      <c r="AA119" s="36"/>
      <c r="AB119" s="36"/>
      <c r="AC119" s="53"/>
      <c r="AD119" s="36"/>
      <c r="AE119" s="36"/>
      <c r="AF119" s="87">
        <v>1066</v>
      </c>
      <c r="AG119" s="36">
        <v>392</v>
      </c>
      <c r="AH119" s="36">
        <v>344</v>
      </c>
      <c r="AI119" s="192">
        <f t="shared" si="129"/>
        <v>736</v>
      </c>
      <c r="AJ119" s="36">
        <v>320</v>
      </c>
      <c r="AK119" s="36">
        <v>332.30000000000018</v>
      </c>
      <c r="AL119" s="87">
        <v>1388</v>
      </c>
      <c r="AM119" s="36">
        <v>356</v>
      </c>
      <c r="AN119" s="36">
        <v>379</v>
      </c>
      <c r="AO119" s="192">
        <f t="shared" si="130"/>
        <v>735</v>
      </c>
      <c r="AP119" s="36">
        <v>400</v>
      </c>
      <c r="AQ119" s="36">
        <v>479</v>
      </c>
      <c r="AR119" s="87">
        <v>1614</v>
      </c>
      <c r="AS119" s="36">
        <v>483</v>
      </c>
      <c r="AT119" s="36">
        <v>501</v>
      </c>
      <c r="AU119" s="192">
        <f t="shared" si="131"/>
        <v>984</v>
      </c>
      <c r="AV119" s="36">
        <v>562</v>
      </c>
      <c r="AW119" s="36">
        <v>501</v>
      </c>
      <c r="AX119" s="87">
        <v>2047</v>
      </c>
      <c r="AY119" s="36">
        <v>527</v>
      </c>
      <c r="AZ119" s="36">
        <v>538</v>
      </c>
      <c r="BA119" s="192">
        <f t="shared" si="132"/>
        <v>1065</v>
      </c>
      <c r="BB119" s="36">
        <v>502</v>
      </c>
      <c r="BC119" s="36">
        <v>547</v>
      </c>
      <c r="BD119" s="87">
        <v>2114</v>
      </c>
      <c r="BE119" s="36">
        <v>560</v>
      </c>
      <c r="BF119" s="36">
        <v>574</v>
      </c>
      <c r="BG119" s="192">
        <f t="shared" si="133"/>
        <v>1134</v>
      </c>
      <c r="BH119" s="36">
        <v>542</v>
      </c>
      <c r="BI119" s="36">
        <v>539</v>
      </c>
      <c r="BJ119" s="87">
        <v>2215</v>
      </c>
      <c r="BK119" s="36">
        <v>584</v>
      </c>
      <c r="BL119" s="36">
        <v>962</v>
      </c>
      <c r="BM119" s="192">
        <f t="shared" si="134"/>
        <v>1546</v>
      </c>
      <c r="BN119" s="36">
        <v>1069</v>
      </c>
      <c r="BO119" s="36"/>
      <c r="BP119" s="90">
        <f t="shared" si="135"/>
        <v>3486.6666666666665</v>
      </c>
      <c r="BQ119" s="373">
        <f t="shared" si="122"/>
        <v>3486.6666666666665</v>
      </c>
      <c r="BR119" s="373">
        <f t="shared" si="123"/>
        <v>3486.6666666666665</v>
      </c>
      <c r="BS119" s="373">
        <f t="shared" si="124"/>
        <v>3486.6666666666665</v>
      </c>
      <c r="BT119" s="373">
        <f t="shared" si="125"/>
        <v>3486.6666666666665</v>
      </c>
      <c r="BU119" s="373">
        <f t="shared" si="126"/>
        <v>3486.6666666666665</v>
      </c>
      <c r="BV119" s="365"/>
      <c r="BW119" s="305"/>
      <c r="BX119" s="451"/>
      <c r="BY119" s="459"/>
      <c r="BZ119" s="459"/>
    </row>
    <row r="120" spans="2:78" x14ac:dyDescent="0.25">
      <c r="B120" s="3" t="s">
        <v>19</v>
      </c>
      <c r="C120" s="10">
        <v>28</v>
      </c>
      <c r="D120" s="10">
        <v>13</v>
      </c>
      <c r="E120" s="11">
        <f t="shared" si="127"/>
        <v>41</v>
      </c>
      <c r="F120" s="10">
        <v>27</v>
      </c>
      <c r="G120" s="10">
        <v>38</v>
      </c>
      <c r="H120" s="73" t="s">
        <v>12</v>
      </c>
      <c r="I120" s="181">
        <v>6</v>
      </c>
      <c r="J120" s="181">
        <v>10</v>
      </c>
      <c r="K120" s="193">
        <f t="shared" si="128"/>
        <v>16</v>
      </c>
      <c r="L120" s="181">
        <v>29</v>
      </c>
      <c r="M120" s="181">
        <v>33</v>
      </c>
      <c r="N120" s="73" t="s">
        <v>12</v>
      </c>
      <c r="O120" s="194"/>
      <c r="P120" s="194"/>
      <c r="Q120" s="195"/>
      <c r="R120" s="194"/>
      <c r="S120" s="194"/>
      <c r="T120" s="95">
        <v>223</v>
      </c>
      <c r="U120" s="189"/>
      <c r="V120" s="189"/>
      <c r="W120" s="190"/>
      <c r="X120" s="189"/>
      <c r="Y120" s="189"/>
      <c r="Z120" s="95">
        <v>218</v>
      </c>
      <c r="AA120" s="189"/>
      <c r="AB120" s="189"/>
      <c r="AC120" s="190"/>
      <c r="AD120" s="189"/>
      <c r="AE120" s="189"/>
      <c r="AF120" s="95">
        <v>328</v>
      </c>
      <c r="AG120" s="189">
        <v>132</v>
      </c>
      <c r="AH120" s="189">
        <v>104</v>
      </c>
      <c r="AI120" s="196">
        <f t="shared" si="129"/>
        <v>236</v>
      </c>
      <c r="AJ120" s="189">
        <v>98</v>
      </c>
      <c r="AK120" s="189">
        <v>85</v>
      </c>
      <c r="AL120" s="95">
        <v>419</v>
      </c>
      <c r="AM120" s="189">
        <v>79</v>
      </c>
      <c r="AN120" s="189">
        <v>81</v>
      </c>
      <c r="AO120" s="196">
        <f t="shared" si="130"/>
        <v>160</v>
      </c>
      <c r="AP120" s="189">
        <v>61</v>
      </c>
      <c r="AQ120" s="189">
        <v>-84</v>
      </c>
      <c r="AR120" s="95">
        <v>137</v>
      </c>
      <c r="AS120" s="189">
        <v>48</v>
      </c>
      <c r="AT120" s="189">
        <v>72</v>
      </c>
      <c r="AU120" s="196">
        <f t="shared" si="131"/>
        <v>120</v>
      </c>
      <c r="AV120" s="189">
        <v>-17</v>
      </c>
      <c r="AW120" s="189">
        <v>15</v>
      </c>
      <c r="AX120" s="95">
        <v>118</v>
      </c>
      <c r="AY120" s="189">
        <v>75</v>
      </c>
      <c r="AZ120" s="189">
        <v>78</v>
      </c>
      <c r="BA120" s="196">
        <f t="shared" si="132"/>
        <v>153</v>
      </c>
      <c r="BB120" s="189">
        <v>88</v>
      </c>
      <c r="BC120" s="189">
        <v>69</v>
      </c>
      <c r="BD120" s="95">
        <v>310</v>
      </c>
      <c r="BE120" s="189">
        <v>103</v>
      </c>
      <c r="BF120" s="189">
        <v>72</v>
      </c>
      <c r="BG120" s="196">
        <f t="shared" si="133"/>
        <v>175</v>
      </c>
      <c r="BH120" s="189">
        <v>93</v>
      </c>
      <c r="BI120" s="189">
        <v>85</v>
      </c>
      <c r="BJ120" s="95">
        <v>353</v>
      </c>
      <c r="BK120" s="189">
        <v>119</v>
      </c>
      <c r="BL120" s="189">
        <v>121</v>
      </c>
      <c r="BM120" s="196">
        <f t="shared" si="134"/>
        <v>240</v>
      </c>
      <c r="BN120" s="189">
        <v>112</v>
      </c>
      <c r="BO120" s="189"/>
      <c r="BP120" s="107">
        <f t="shared" si="135"/>
        <v>469.33333333333331</v>
      </c>
      <c r="BQ120" s="377">
        <f t="shared" si="122"/>
        <v>469.33333333333331</v>
      </c>
      <c r="BR120" s="377">
        <f t="shared" si="123"/>
        <v>469.33333333333331</v>
      </c>
      <c r="BS120" s="377">
        <f t="shared" si="124"/>
        <v>469.33333333333331</v>
      </c>
      <c r="BT120" s="377">
        <f t="shared" si="125"/>
        <v>469.33333333333331</v>
      </c>
      <c r="BU120" s="377">
        <f t="shared" si="126"/>
        <v>469.33333333333331</v>
      </c>
      <c r="BV120" s="365"/>
      <c r="BW120" s="305"/>
      <c r="BX120" s="451"/>
      <c r="BY120" s="459"/>
      <c r="BZ120" s="459"/>
    </row>
    <row r="121" spans="2:78" x14ac:dyDescent="0.25">
      <c r="B121" t="s">
        <v>20</v>
      </c>
      <c r="C121" s="2">
        <v>31</v>
      </c>
      <c r="D121" s="2">
        <v>33</v>
      </c>
      <c r="E121" s="6">
        <f t="shared" si="127"/>
        <v>64</v>
      </c>
      <c r="F121" s="2">
        <v>34</v>
      </c>
      <c r="G121" s="2">
        <v>41</v>
      </c>
      <c r="H121" s="74">
        <v>139</v>
      </c>
      <c r="I121" s="179">
        <v>43</v>
      </c>
      <c r="J121" s="179">
        <v>44</v>
      </c>
      <c r="K121" s="191">
        <f t="shared" si="128"/>
        <v>87</v>
      </c>
      <c r="L121" s="179">
        <v>47</v>
      </c>
      <c r="M121" s="179">
        <v>45</v>
      </c>
      <c r="N121" s="74">
        <v>179</v>
      </c>
      <c r="O121" s="28"/>
      <c r="P121" s="28"/>
      <c r="Q121" s="45"/>
      <c r="R121" s="28"/>
      <c r="S121" s="28"/>
      <c r="T121" s="87">
        <v>265</v>
      </c>
      <c r="U121" s="36"/>
      <c r="V121" s="36"/>
      <c r="W121" s="53"/>
      <c r="X121" s="36"/>
      <c r="Y121" s="36"/>
      <c r="Z121" s="87">
        <v>317</v>
      </c>
      <c r="AA121" s="36"/>
      <c r="AB121" s="36"/>
      <c r="AC121" s="53"/>
      <c r="AD121" s="36"/>
      <c r="AE121" s="36"/>
      <c r="AF121" s="87">
        <v>444</v>
      </c>
      <c r="AG121" s="36">
        <v>114</v>
      </c>
      <c r="AH121" s="36">
        <v>100</v>
      </c>
      <c r="AI121" s="192">
        <f t="shared" si="129"/>
        <v>214</v>
      </c>
      <c r="AJ121" s="36">
        <v>127</v>
      </c>
      <c r="AK121" s="36">
        <v>135</v>
      </c>
      <c r="AL121" s="87">
        <v>476</v>
      </c>
      <c r="AM121" s="36">
        <v>71</v>
      </c>
      <c r="AN121" s="36">
        <v>107</v>
      </c>
      <c r="AO121" s="192">
        <f t="shared" si="130"/>
        <v>178</v>
      </c>
      <c r="AP121" s="36">
        <v>61</v>
      </c>
      <c r="AQ121" s="36">
        <v>75</v>
      </c>
      <c r="AR121" s="87">
        <v>314</v>
      </c>
      <c r="AS121" s="36">
        <v>63</v>
      </c>
      <c r="AT121" s="36">
        <v>101</v>
      </c>
      <c r="AU121" s="192">
        <f t="shared" si="131"/>
        <v>164</v>
      </c>
      <c r="AV121" s="36">
        <v>70</v>
      </c>
      <c r="AW121" s="36">
        <v>79</v>
      </c>
      <c r="AX121" s="87">
        <v>313</v>
      </c>
      <c r="AY121" s="36">
        <v>72</v>
      </c>
      <c r="AZ121" s="36">
        <v>85</v>
      </c>
      <c r="BA121" s="192">
        <f t="shared" si="132"/>
        <v>157</v>
      </c>
      <c r="BB121" s="36">
        <v>79</v>
      </c>
      <c r="BC121" s="36">
        <v>78</v>
      </c>
      <c r="BD121" s="87">
        <v>314</v>
      </c>
      <c r="BE121" s="36">
        <v>79</v>
      </c>
      <c r="BF121" s="36">
        <v>81</v>
      </c>
      <c r="BG121" s="192">
        <f t="shared" si="133"/>
        <v>160</v>
      </c>
      <c r="BH121" s="36">
        <v>83</v>
      </c>
      <c r="BI121" s="36">
        <v>94</v>
      </c>
      <c r="BJ121" s="87">
        <v>337</v>
      </c>
      <c r="BK121" s="36">
        <v>86</v>
      </c>
      <c r="BL121" s="36">
        <v>101</v>
      </c>
      <c r="BM121" s="192">
        <f t="shared" si="134"/>
        <v>187</v>
      </c>
      <c r="BN121" s="36">
        <v>106</v>
      </c>
      <c r="BO121" s="36"/>
      <c r="BP121" s="90">
        <f t="shared" si="135"/>
        <v>390.66666666666669</v>
      </c>
      <c r="BQ121" s="373">
        <f t="shared" si="122"/>
        <v>390.66666666666669</v>
      </c>
      <c r="BR121" s="373">
        <f t="shared" si="123"/>
        <v>390.66666666666669</v>
      </c>
      <c r="BS121" s="373">
        <f t="shared" si="124"/>
        <v>390.66666666666669</v>
      </c>
      <c r="BT121" s="373">
        <f t="shared" si="125"/>
        <v>390.66666666666669</v>
      </c>
      <c r="BU121" s="373">
        <f t="shared" si="126"/>
        <v>390.66666666666669</v>
      </c>
      <c r="BV121" s="365"/>
      <c r="BW121" s="305"/>
      <c r="BX121" s="451"/>
      <c r="BY121" s="459"/>
      <c r="BZ121" s="459"/>
    </row>
    <row r="122" spans="2:78" x14ac:dyDescent="0.25">
      <c r="B122" s="262" t="s">
        <v>21</v>
      </c>
      <c r="C122" s="10">
        <v>-3</v>
      </c>
      <c r="D122" s="10">
        <v>-20</v>
      </c>
      <c r="E122" s="11">
        <f t="shared" si="127"/>
        <v>-23</v>
      </c>
      <c r="F122" s="10">
        <v>-7</v>
      </c>
      <c r="G122" s="10">
        <v>-3</v>
      </c>
      <c r="H122" s="280">
        <v>-33</v>
      </c>
      <c r="I122" s="264">
        <v>-37</v>
      </c>
      <c r="J122" s="264">
        <v>-34</v>
      </c>
      <c r="K122" s="274">
        <f t="shared" si="128"/>
        <v>-71</v>
      </c>
      <c r="L122" s="264">
        <v>-18</v>
      </c>
      <c r="M122" s="264">
        <v>-12</v>
      </c>
      <c r="N122" s="280">
        <v>-101</v>
      </c>
      <c r="O122" s="275"/>
      <c r="P122" s="275"/>
      <c r="Q122" s="275"/>
      <c r="R122" s="275"/>
      <c r="S122" s="275"/>
      <c r="T122" s="272">
        <v>-42</v>
      </c>
      <c r="U122" s="273"/>
      <c r="V122" s="273"/>
      <c r="W122" s="273"/>
      <c r="X122" s="273"/>
      <c r="Y122" s="273"/>
      <c r="Z122" s="272">
        <v>-99</v>
      </c>
      <c r="AA122" s="273"/>
      <c r="AB122" s="273"/>
      <c r="AC122" s="273"/>
      <c r="AD122" s="273"/>
      <c r="AE122" s="273"/>
      <c r="AF122" s="272">
        <v>-116</v>
      </c>
      <c r="AG122" s="273">
        <v>18</v>
      </c>
      <c r="AH122" s="273">
        <v>4</v>
      </c>
      <c r="AI122" s="276">
        <f t="shared" si="129"/>
        <v>22</v>
      </c>
      <c r="AJ122" s="273">
        <v>-29</v>
      </c>
      <c r="AK122" s="273">
        <v>-50</v>
      </c>
      <c r="AL122" s="272">
        <v>-57</v>
      </c>
      <c r="AM122" s="273">
        <v>8</v>
      </c>
      <c r="AN122" s="273">
        <v>-26</v>
      </c>
      <c r="AO122" s="276">
        <f t="shared" si="130"/>
        <v>-18</v>
      </c>
      <c r="AP122" s="273">
        <v>0</v>
      </c>
      <c r="AQ122" s="273">
        <v>-159</v>
      </c>
      <c r="AR122" s="272">
        <v>-177</v>
      </c>
      <c r="AS122" s="273">
        <v>-15</v>
      </c>
      <c r="AT122" s="273">
        <v>-29</v>
      </c>
      <c r="AU122" s="276">
        <f t="shared" si="131"/>
        <v>-44</v>
      </c>
      <c r="AV122" s="273">
        <v>-87</v>
      </c>
      <c r="AW122" s="273">
        <v>-64</v>
      </c>
      <c r="AX122" s="272">
        <v>-195</v>
      </c>
      <c r="AY122" s="273">
        <v>3</v>
      </c>
      <c r="AZ122" s="273">
        <v>-7</v>
      </c>
      <c r="BA122" s="276">
        <f t="shared" si="132"/>
        <v>-4</v>
      </c>
      <c r="BB122" s="273">
        <v>9.0001907235009639</v>
      </c>
      <c r="BC122" s="273">
        <v>-9</v>
      </c>
      <c r="BD122" s="272">
        <v>-4</v>
      </c>
      <c r="BE122" s="273">
        <v>24</v>
      </c>
      <c r="BF122" s="273">
        <v>-9</v>
      </c>
      <c r="BG122" s="276">
        <f t="shared" si="133"/>
        <v>15</v>
      </c>
      <c r="BH122" s="273">
        <v>10</v>
      </c>
      <c r="BI122" s="273">
        <v>-9</v>
      </c>
      <c r="BJ122" s="272">
        <v>16</v>
      </c>
      <c r="BK122" s="273">
        <v>33</v>
      </c>
      <c r="BL122" s="273">
        <v>20</v>
      </c>
      <c r="BM122" s="276">
        <f t="shared" si="134"/>
        <v>53</v>
      </c>
      <c r="BN122" s="273">
        <v>6</v>
      </c>
      <c r="BO122" s="273"/>
      <c r="BP122" s="277">
        <f t="shared" si="135"/>
        <v>78.666666666666671</v>
      </c>
      <c r="BQ122" s="416">
        <f t="shared" si="122"/>
        <v>78.666666666666671</v>
      </c>
      <c r="BR122" s="416">
        <f t="shared" si="123"/>
        <v>78.666666666666671</v>
      </c>
      <c r="BS122" s="416">
        <f t="shared" si="124"/>
        <v>78.666666666666671</v>
      </c>
      <c r="BT122" s="416">
        <f t="shared" si="125"/>
        <v>78.666666666666671</v>
      </c>
      <c r="BU122" s="416">
        <f t="shared" si="126"/>
        <v>78.666666666666671</v>
      </c>
      <c r="BV122" s="365"/>
      <c r="BW122" s="305"/>
      <c r="BX122" s="451"/>
      <c r="BY122" s="265"/>
      <c r="BZ122" s="265"/>
    </row>
    <row r="123" spans="2:78" x14ac:dyDescent="0.25">
      <c r="C123" s="1"/>
      <c r="D123" s="1"/>
      <c r="E123" s="1"/>
      <c r="F123" s="1"/>
      <c r="G123" s="1"/>
      <c r="H123" s="64"/>
      <c r="I123" s="176"/>
      <c r="J123" s="176"/>
      <c r="K123" s="177"/>
      <c r="L123" s="176"/>
      <c r="M123" s="176"/>
      <c r="N123" s="64"/>
      <c r="O123" s="176"/>
      <c r="P123" s="176"/>
      <c r="Q123" s="177"/>
      <c r="R123" s="176"/>
      <c r="S123" s="176"/>
      <c r="T123" s="64"/>
      <c r="U123" s="176"/>
      <c r="V123" s="176"/>
      <c r="W123" s="177"/>
      <c r="X123" s="176"/>
      <c r="Y123" s="176"/>
      <c r="Z123" s="64"/>
      <c r="AA123" s="176"/>
      <c r="AB123" s="176"/>
      <c r="AC123" s="177"/>
      <c r="AD123" s="176"/>
      <c r="AE123" s="176"/>
      <c r="AF123" s="64"/>
      <c r="AG123" s="176"/>
      <c r="AH123" s="176"/>
      <c r="AI123" s="177"/>
      <c r="AJ123" s="176"/>
      <c r="AK123" s="176"/>
      <c r="AL123" s="64"/>
      <c r="AM123" s="176"/>
      <c r="AN123" s="176"/>
      <c r="AO123" s="177"/>
      <c r="AP123" s="176"/>
      <c r="AQ123" s="176"/>
      <c r="AR123" s="64"/>
      <c r="AS123" s="176"/>
      <c r="AT123" s="176"/>
      <c r="AU123" s="177"/>
      <c r="AV123" s="176"/>
      <c r="AW123" s="176"/>
      <c r="AX123" s="64"/>
      <c r="AY123" s="176"/>
      <c r="AZ123" s="176"/>
      <c r="BA123" s="177"/>
      <c r="BB123" s="176"/>
      <c r="BC123" s="176"/>
      <c r="BD123" s="64"/>
      <c r="BE123" s="176"/>
      <c r="BF123" s="176"/>
      <c r="BG123" s="177"/>
      <c r="BH123" s="176"/>
      <c r="BI123" s="176"/>
      <c r="BJ123" s="64"/>
      <c r="BK123" s="176"/>
      <c r="BL123" s="176"/>
      <c r="BM123" s="177"/>
      <c r="BN123" s="176"/>
      <c r="BO123" s="176"/>
      <c r="BP123" s="91"/>
      <c r="BQ123" s="366"/>
      <c r="BR123" s="366"/>
      <c r="BS123" s="366"/>
      <c r="BT123" s="366"/>
      <c r="BU123" s="366"/>
      <c r="BV123" s="365"/>
      <c r="BW123" s="305"/>
      <c r="BX123" s="451"/>
      <c r="BY123" s="459"/>
      <c r="BZ123" s="459"/>
    </row>
    <row r="124" spans="2:78" x14ac:dyDescent="0.25">
      <c r="B124" s="57" t="s">
        <v>25</v>
      </c>
      <c r="C124" s="58"/>
      <c r="D124" s="58"/>
      <c r="E124" s="58"/>
      <c r="F124" s="58"/>
      <c r="G124" s="58"/>
      <c r="H124" s="66"/>
      <c r="I124" s="58"/>
      <c r="J124" s="58"/>
      <c r="K124" s="58"/>
      <c r="L124" s="58"/>
      <c r="M124" s="58"/>
      <c r="N124" s="66"/>
      <c r="O124" s="58"/>
      <c r="P124" s="58"/>
      <c r="Q124" s="58"/>
      <c r="R124" s="58"/>
      <c r="S124" s="58"/>
      <c r="T124" s="66"/>
      <c r="U124" s="58"/>
      <c r="V124" s="58"/>
      <c r="W124" s="58"/>
      <c r="X124" s="58"/>
      <c r="Y124" s="58"/>
      <c r="Z124" s="66"/>
      <c r="AA124" s="58"/>
      <c r="AB124" s="58"/>
      <c r="AC124" s="58"/>
      <c r="AD124" s="58"/>
      <c r="AE124" s="58"/>
      <c r="AF124" s="66"/>
      <c r="AG124" s="58"/>
      <c r="AH124" s="58"/>
      <c r="AI124" s="58"/>
      <c r="AJ124" s="58"/>
      <c r="AK124" s="58"/>
      <c r="AL124" s="66"/>
      <c r="AM124" s="58"/>
      <c r="AN124" s="58"/>
      <c r="AO124" s="58"/>
      <c r="AP124" s="58"/>
      <c r="AQ124" s="58"/>
      <c r="AR124" s="66"/>
      <c r="AS124" s="58"/>
      <c r="AT124" s="58"/>
      <c r="AU124" s="58"/>
      <c r="AV124" s="58"/>
      <c r="AW124" s="58"/>
      <c r="AX124" s="66"/>
      <c r="AY124" s="58"/>
      <c r="AZ124" s="58"/>
      <c r="BA124" s="58"/>
      <c r="BB124" s="58"/>
      <c r="BC124" s="58"/>
      <c r="BD124" s="66"/>
      <c r="BE124" s="58"/>
      <c r="BF124" s="58"/>
      <c r="BG124" s="58"/>
      <c r="BH124" s="58"/>
      <c r="BI124" s="58"/>
      <c r="BJ124" s="66"/>
      <c r="BK124" s="58"/>
      <c r="BL124" s="58"/>
      <c r="BM124" s="58"/>
      <c r="BN124" s="58"/>
      <c r="BO124" s="58"/>
      <c r="BP124" s="106"/>
      <c r="BQ124" s="58"/>
      <c r="BR124" s="58"/>
      <c r="BS124" s="58"/>
      <c r="BT124" s="58"/>
      <c r="BU124" s="58"/>
      <c r="BV124" s="57" t="s">
        <v>323</v>
      </c>
      <c r="BW124" s="305"/>
      <c r="BX124" s="455"/>
      <c r="BY124" s="60"/>
      <c r="BZ124" s="60"/>
    </row>
    <row r="125" spans="2:78" x14ac:dyDescent="0.25">
      <c r="B125" t="s">
        <v>11</v>
      </c>
      <c r="C125" s="1"/>
      <c r="D125" s="1"/>
      <c r="E125" s="1"/>
      <c r="F125" s="1"/>
      <c r="G125" s="1"/>
      <c r="H125" s="74">
        <v>53304</v>
      </c>
      <c r="I125" s="28"/>
      <c r="J125" s="28"/>
      <c r="K125" s="45"/>
      <c r="L125" s="28"/>
      <c r="M125" s="28"/>
      <c r="N125" s="74">
        <v>71830</v>
      </c>
      <c r="O125" s="28"/>
      <c r="P125" s="28"/>
      <c r="Q125" s="45"/>
      <c r="R125" s="28"/>
      <c r="S125" s="28"/>
      <c r="T125" s="87">
        <v>74901</v>
      </c>
      <c r="U125" s="36"/>
      <c r="V125" s="36"/>
      <c r="W125" s="53"/>
      <c r="X125" s="36"/>
      <c r="Y125" s="36"/>
      <c r="Z125" s="87">
        <v>79053</v>
      </c>
      <c r="AA125" s="36"/>
      <c r="AB125" s="36"/>
      <c r="AC125" s="53"/>
      <c r="AD125" s="36"/>
      <c r="AE125" s="36"/>
      <c r="AF125" s="87">
        <v>94701</v>
      </c>
      <c r="AG125" s="36"/>
      <c r="AH125" s="36"/>
      <c r="AI125" s="53"/>
      <c r="AJ125" s="36"/>
      <c r="AK125" s="36"/>
      <c r="AL125" s="87">
        <v>115932</v>
      </c>
      <c r="AM125" s="36"/>
      <c r="AN125" s="36"/>
      <c r="AO125" s="53"/>
      <c r="AP125" s="36"/>
      <c r="AQ125" s="36"/>
      <c r="AR125" s="87">
        <v>182306</v>
      </c>
      <c r="AS125" s="36"/>
      <c r="AT125" s="36"/>
      <c r="AU125" s="53"/>
      <c r="AV125" s="36"/>
      <c r="AW125" s="36"/>
      <c r="AX125" s="87">
        <v>235665</v>
      </c>
      <c r="AY125" s="36"/>
      <c r="AZ125" s="36"/>
      <c r="BA125" s="53"/>
      <c r="BB125" s="36"/>
      <c r="BC125" s="36"/>
      <c r="BD125" s="87">
        <v>150785</v>
      </c>
      <c r="BE125" s="36"/>
      <c r="BF125" s="36"/>
      <c r="BG125" s="53"/>
      <c r="BH125" s="36"/>
      <c r="BI125" s="36"/>
      <c r="BJ125" s="87">
        <v>167106</v>
      </c>
      <c r="BK125" s="36"/>
      <c r="BL125" s="36"/>
      <c r="BM125" s="53"/>
      <c r="BN125" s="36"/>
      <c r="BO125" s="36"/>
      <c r="BP125" s="87">
        <v>247331</v>
      </c>
      <c r="BQ125" s="373">
        <f t="shared" ref="BQ125:BU134" si="136">IFERROR(BQ11+BQ45+BQ79+BQ113,"n/a")</f>
        <v>273914.70906666626</v>
      </c>
      <c r="BR125" s="373">
        <f t="shared" si="136"/>
        <v>289242.89479999954</v>
      </c>
      <c r="BS125" s="373">
        <f t="shared" si="136"/>
        <v>303373.02558191959</v>
      </c>
      <c r="BT125" s="373">
        <f t="shared" si="136"/>
        <v>315174.88795578625</v>
      </c>
      <c r="BU125" s="373">
        <f t="shared" si="136"/>
        <v>327449.3032441379</v>
      </c>
      <c r="BV125" s="365"/>
      <c r="BW125" s="305"/>
      <c r="BX125" s="451"/>
      <c r="BY125" s="459"/>
      <c r="BZ125" s="459"/>
    </row>
    <row r="126" spans="2:78" x14ac:dyDescent="0.25">
      <c r="B126" t="s">
        <v>13</v>
      </c>
      <c r="C126" s="1"/>
      <c r="D126" s="1"/>
      <c r="E126" s="1"/>
      <c r="F126" s="1"/>
      <c r="G126" s="1"/>
      <c r="H126" s="74">
        <v>-2435</v>
      </c>
      <c r="I126" s="28"/>
      <c r="J126" s="28"/>
      <c r="K126" s="45"/>
      <c r="L126" s="28"/>
      <c r="M126" s="28"/>
      <c r="N126" s="74">
        <v>-4083</v>
      </c>
      <c r="O126" s="28"/>
      <c r="P126" s="28"/>
      <c r="Q126" s="45"/>
      <c r="R126" s="28"/>
      <c r="S126" s="28"/>
      <c r="T126" s="87">
        <v>0</v>
      </c>
      <c r="U126" s="36"/>
      <c r="V126" s="36"/>
      <c r="W126" s="53"/>
      <c r="X126" s="36"/>
      <c r="Y126" s="36"/>
      <c r="Z126" s="87">
        <v>0</v>
      </c>
      <c r="AA126" s="36"/>
      <c r="AB126" s="36"/>
      <c r="AC126" s="53"/>
      <c r="AD126" s="36"/>
      <c r="AE126" s="36"/>
      <c r="AF126" s="87">
        <v>0</v>
      </c>
      <c r="AG126" s="36"/>
      <c r="AH126" s="36"/>
      <c r="AI126" s="53"/>
      <c r="AJ126" s="36"/>
      <c r="AK126" s="36"/>
      <c r="AL126" s="87">
        <v>0</v>
      </c>
      <c r="AM126" s="36"/>
      <c r="AN126" s="36"/>
      <c r="AO126" s="53"/>
      <c r="AP126" s="36"/>
      <c r="AQ126" s="36"/>
      <c r="AR126" s="87">
        <v>0</v>
      </c>
      <c r="AS126" s="36"/>
      <c r="AT126" s="36"/>
      <c r="AU126" s="53"/>
      <c r="AV126" s="36"/>
      <c r="AW126" s="36"/>
      <c r="AX126" s="87">
        <v>0</v>
      </c>
      <c r="AY126" s="36"/>
      <c r="AZ126" s="36"/>
      <c r="BA126" s="53"/>
      <c r="BB126" s="36"/>
      <c r="BC126" s="36"/>
      <c r="BD126" s="87">
        <v>0</v>
      </c>
      <c r="BE126" s="36"/>
      <c r="BF126" s="36"/>
      <c r="BG126" s="53"/>
      <c r="BH126" s="36"/>
      <c r="BI126" s="36"/>
      <c r="BJ126" s="87">
        <v>0</v>
      </c>
      <c r="BK126" s="36"/>
      <c r="BL126" s="36"/>
      <c r="BM126" s="53"/>
      <c r="BN126" s="36"/>
      <c r="BO126" s="36"/>
      <c r="BP126" s="87">
        <v>0</v>
      </c>
      <c r="BQ126" s="373">
        <f t="shared" si="136"/>
        <v>-3181.1224000000129</v>
      </c>
      <c r="BR126" s="373">
        <f t="shared" si="136"/>
        <v>-2707.0548000000126</v>
      </c>
      <c r="BS126" s="373">
        <f t="shared" si="136"/>
        <v>-2270.0404459200126</v>
      </c>
      <c r="BT126" s="373">
        <f t="shared" si="136"/>
        <v>-1905.0343931200132</v>
      </c>
      <c r="BU126" s="373">
        <f t="shared" si="136"/>
        <v>-1525.4133017276927</v>
      </c>
      <c r="BV126" s="365"/>
      <c r="BW126" s="305"/>
      <c r="BX126" s="451"/>
      <c r="BY126" s="459"/>
      <c r="BZ126" s="459"/>
    </row>
    <row r="127" spans="2:78" x14ac:dyDescent="0.25">
      <c r="B127" s="305" t="s">
        <v>14</v>
      </c>
      <c r="C127" s="10">
        <v>12601</v>
      </c>
      <c r="D127" s="10">
        <v>13127</v>
      </c>
      <c r="E127" s="11">
        <f t="shared" ref="E127:E134" si="137">C127+D127</f>
        <v>25728</v>
      </c>
      <c r="F127" s="10">
        <v>12535</v>
      </c>
      <c r="G127" s="10">
        <v>12606</v>
      </c>
      <c r="H127" s="292">
        <v>50869</v>
      </c>
      <c r="I127" s="199">
        <f t="shared" ref="I127:M134" si="138">IFERROR(I13+I47+I81+I115,"n/a")</f>
        <v>15319</v>
      </c>
      <c r="J127" s="199">
        <f t="shared" si="138"/>
        <v>17606</v>
      </c>
      <c r="K127" s="200">
        <f t="shared" si="138"/>
        <v>32925</v>
      </c>
      <c r="L127" s="199">
        <f t="shared" si="138"/>
        <v>17205</v>
      </c>
      <c r="M127" s="199">
        <f t="shared" si="138"/>
        <v>17617</v>
      </c>
      <c r="N127" s="292">
        <v>67747</v>
      </c>
      <c r="O127" s="199"/>
      <c r="P127" s="199"/>
      <c r="Q127" s="200"/>
      <c r="R127" s="199"/>
      <c r="S127" s="199"/>
      <c r="T127" s="98">
        <f t="shared" ref="T127:T134" si="139">IFERROR(T13+T47+T81+T115,"n/a")</f>
        <v>74901</v>
      </c>
      <c r="U127" s="201"/>
      <c r="V127" s="201"/>
      <c r="W127" s="202"/>
      <c r="X127" s="201"/>
      <c r="Y127" s="201"/>
      <c r="Z127" s="98">
        <f t="shared" ref="Z127:Z134" si="140">IFERROR(Z13+Z47+Z81+Z115,"n/a")</f>
        <v>79053</v>
      </c>
      <c r="AA127" s="201"/>
      <c r="AB127" s="201"/>
      <c r="AC127" s="202"/>
      <c r="AD127" s="201"/>
      <c r="AE127" s="201"/>
      <c r="AF127" s="98">
        <f t="shared" ref="AF127:BN127" si="141">IFERROR(AF13+AF47+AF81+AF115,"n/a")</f>
        <v>94701</v>
      </c>
      <c r="AG127" s="201">
        <f t="shared" si="141"/>
        <v>27309</v>
      </c>
      <c r="AH127" s="201">
        <f t="shared" si="141"/>
        <v>28782</v>
      </c>
      <c r="AI127" s="202">
        <f t="shared" si="141"/>
        <v>56091</v>
      </c>
      <c r="AJ127" s="201">
        <f t="shared" si="141"/>
        <v>28125</v>
      </c>
      <c r="AK127" s="201">
        <f t="shared" si="141"/>
        <v>31716</v>
      </c>
      <c r="AL127" s="98">
        <f t="shared" si="141"/>
        <v>115932</v>
      </c>
      <c r="AM127" s="201">
        <f t="shared" si="141"/>
        <v>33616</v>
      </c>
      <c r="AN127" s="201">
        <f t="shared" si="141"/>
        <v>37831</v>
      </c>
      <c r="AO127" s="202">
        <f t="shared" si="141"/>
        <v>71447</v>
      </c>
      <c r="AP127" s="201">
        <f t="shared" si="141"/>
        <v>49557</v>
      </c>
      <c r="AQ127" s="201">
        <f t="shared" si="141"/>
        <v>61302</v>
      </c>
      <c r="AR127" s="98">
        <f t="shared" si="141"/>
        <v>182306</v>
      </c>
      <c r="AS127" s="201">
        <f t="shared" si="141"/>
        <v>61125</v>
      </c>
      <c r="AT127" s="201">
        <f t="shared" si="141"/>
        <v>62749</v>
      </c>
      <c r="AU127" s="202">
        <f t="shared" si="141"/>
        <v>123874</v>
      </c>
      <c r="AV127" s="201">
        <f t="shared" si="141"/>
        <v>60560</v>
      </c>
      <c r="AW127" s="201">
        <f t="shared" si="141"/>
        <v>51231</v>
      </c>
      <c r="AX127" s="98">
        <f t="shared" si="141"/>
        <v>235665</v>
      </c>
      <c r="AY127" s="201">
        <f t="shared" si="141"/>
        <v>40954</v>
      </c>
      <c r="AZ127" s="201">
        <f t="shared" si="141"/>
        <v>37727</v>
      </c>
      <c r="BA127" s="202">
        <f t="shared" si="141"/>
        <v>78681</v>
      </c>
      <c r="BB127" s="201">
        <f t="shared" si="141"/>
        <v>35576</v>
      </c>
      <c r="BC127" s="201">
        <f t="shared" si="141"/>
        <v>36528</v>
      </c>
      <c r="BD127" s="98">
        <f t="shared" si="141"/>
        <v>150785</v>
      </c>
      <c r="BE127" s="201">
        <f t="shared" si="141"/>
        <v>38340</v>
      </c>
      <c r="BF127" s="201">
        <f t="shared" si="141"/>
        <v>41157</v>
      </c>
      <c r="BG127" s="202">
        <f t="shared" si="141"/>
        <v>79497</v>
      </c>
      <c r="BH127" s="201">
        <f t="shared" si="141"/>
        <v>44095</v>
      </c>
      <c r="BI127" s="201">
        <f t="shared" si="141"/>
        <v>43514</v>
      </c>
      <c r="BJ127" s="98">
        <f t="shared" si="141"/>
        <v>167106</v>
      </c>
      <c r="BK127" s="36">
        <f t="shared" si="141"/>
        <v>41680</v>
      </c>
      <c r="BL127" s="36">
        <f t="shared" si="141"/>
        <v>61983</v>
      </c>
      <c r="BM127" s="192">
        <f t="shared" si="141"/>
        <v>103663</v>
      </c>
      <c r="BN127" s="36">
        <f t="shared" si="141"/>
        <v>71983</v>
      </c>
      <c r="BO127" s="36"/>
      <c r="BP127" s="90">
        <v>247331</v>
      </c>
      <c r="BQ127" s="373">
        <f t="shared" si="136"/>
        <v>272331.91999999958</v>
      </c>
      <c r="BR127" s="373">
        <f t="shared" si="136"/>
        <v>288134.17333333287</v>
      </c>
      <c r="BS127" s="373">
        <f t="shared" si="136"/>
        <v>302701.31846933288</v>
      </c>
      <c r="BT127" s="373">
        <f t="shared" si="136"/>
        <v>314868.18689599959</v>
      </c>
      <c r="BU127" s="373">
        <f t="shared" si="136"/>
        <v>327522.2232757436</v>
      </c>
      <c r="BV127" s="365"/>
      <c r="BW127" s="305"/>
      <c r="BX127" s="450">
        <f>IFERROR((BU127/BP127)^(1/5)-1,"n/m")</f>
        <v>5.7772918839292586E-2</v>
      </c>
      <c r="BY127" s="290">
        <f>IFERROR((BP127/AL127)^(1/5)-1,"n/m")</f>
        <v>0.16363036336863468</v>
      </c>
      <c r="BZ127" s="290">
        <f>IFERROR((BP127/H127)^(1/10)-1,"n/m")</f>
        <v>0.17133881622100788</v>
      </c>
    </row>
    <row r="128" spans="2:78" x14ac:dyDescent="0.25">
      <c r="B128" t="s">
        <v>15</v>
      </c>
      <c r="C128" s="2">
        <v>9919</v>
      </c>
      <c r="D128" s="2">
        <v>10240</v>
      </c>
      <c r="E128" s="6">
        <f t="shared" si="137"/>
        <v>20159</v>
      </c>
      <c r="F128" s="2">
        <v>9733</v>
      </c>
      <c r="G128" s="2">
        <v>9776</v>
      </c>
      <c r="H128" s="76">
        <v>39668</v>
      </c>
      <c r="I128" s="199">
        <f t="shared" si="138"/>
        <v>11712</v>
      </c>
      <c r="J128" s="199">
        <f t="shared" si="138"/>
        <v>13392</v>
      </c>
      <c r="K128" s="200">
        <f t="shared" si="138"/>
        <v>25104</v>
      </c>
      <c r="L128" s="199">
        <f t="shared" si="138"/>
        <v>13186</v>
      </c>
      <c r="M128" s="199">
        <f t="shared" si="138"/>
        <v>13619</v>
      </c>
      <c r="N128" s="76">
        <v>51909</v>
      </c>
      <c r="O128" s="199">
        <f>IFERROR(O14+O48+O82+O116,"n/a")</f>
        <v>0</v>
      </c>
      <c r="P128" s="199">
        <f>IFERROR(P14+P48+P82+P116,"n/a")</f>
        <v>0</v>
      </c>
      <c r="Q128" s="200">
        <f>IFERROR(Q14+Q48+Q82+Q116,"n/a")</f>
        <v>0</v>
      </c>
      <c r="R128" s="199">
        <f>IFERROR(R14+R48+R82+R116,"n/a")</f>
        <v>0</v>
      </c>
      <c r="S128" s="199">
        <f>IFERROR(S14+S48+S82+S116,"n/a")</f>
        <v>0</v>
      </c>
      <c r="T128" s="98">
        <f t="shared" si="139"/>
        <v>58296</v>
      </c>
      <c r="U128" s="201">
        <f>IFERROR(U14+U48+U82+U116,"n/a")</f>
        <v>0</v>
      </c>
      <c r="V128" s="201">
        <f>IFERROR(V14+V48+V82+V116,"n/a")</f>
        <v>0</v>
      </c>
      <c r="W128" s="202">
        <f>IFERROR(W14+W48+W82+W116,"n/a")</f>
        <v>0</v>
      </c>
      <c r="X128" s="201">
        <f>IFERROR(X14+X48+X82+X116,"n/a")</f>
        <v>0</v>
      </c>
      <c r="Y128" s="201">
        <f>IFERROR(Y14+Y48+Y82+Y116,"n/a")</f>
        <v>0</v>
      </c>
      <c r="Z128" s="98">
        <f t="shared" si="140"/>
        <v>61564</v>
      </c>
      <c r="AA128" s="201">
        <f>IFERROR(AA14+AA48+AA82+AA116,"n/a")</f>
        <v>0</v>
      </c>
      <c r="AB128" s="201">
        <f>IFERROR(AB14+AB48+AB82+AB116,"n/a")</f>
        <v>0</v>
      </c>
      <c r="AC128" s="202">
        <f>IFERROR(AC14+AC48+AC82+AC116,"n/a")</f>
        <v>0</v>
      </c>
      <c r="AD128" s="201">
        <f>IFERROR(AD14+AD48+AD82+AD116,"n/a")</f>
        <v>0</v>
      </c>
      <c r="AE128" s="201">
        <f>IFERROR(AE14+AE48+AE82+AE116,"n/a")</f>
        <v>0</v>
      </c>
      <c r="AF128" s="98">
        <f t="shared" ref="AF128:BN128" si="142">IFERROR(AF14+AF48+AF82+AF116,"n/a")</f>
        <v>70947</v>
      </c>
      <c r="AG128" s="201">
        <f t="shared" si="142"/>
        <v>20625</v>
      </c>
      <c r="AH128" s="201">
        <f t="shared" si="142"/>
        <v>21396</v>
      </c>
      <c r="AI128" s="202">
        <f t="shared" si="142"/>
        <v>42021</v>
      </c>
      <c r="AJ128" s="201">
        <f t="shared" si="142"/>
        <v>20873</v>
      </c>
      <c r="AK128" s="201">
        <f t="shared" si="142"/>
        <v>24504</v>
      </c>
      <c r="AL128" s="98">
        <f t="shared" si="142"/>
        <v>87398</v>
      </c>
      <c r="AM128" s="201">
        <f t="shared" si="142"/>
        <v>25831</v>
      </c>
      <c r="AN128" s="201">
        <f t="shared" si="142"/>
        <v>29498</v>
      </c>
      <c r="AO128" s="202">
        <f t="shared" si="142"/>
        <v>55329</v>
      </c>
      <c r="AP128" s="201">
        <f t="shared" si="142"/>
        <v>39734</v>
      </c>
      <c r="AQ128" s="201">
        <f t="shared" si="142"/>
        <v>49628</v>
      </c>
      <c r="AR128" s="98">
        <f t="shared" si="142"/>
        <v>144691</v>
      </c>
      <c r="AS128" s="201">
        <f t="shared" si="142"/>
        <v>48248</v>
      </c>
      <c r="AT128" s="201">
        <f t="shared" si="142"/>
        <v>48671</v>
      </c>
      <c r="AU128" s="202">
        <f t="shared" si="142"/>
        <v>96919</v>
      </c>
      <c r="AV128" s="201">
        <f t="shared" si="142"/>
        <v>47022</v>
      </c>
      <c r="AW128" s="201">
        <f t="shared" si="142"/>
        <v>39575</v>
      </c>
      <c r="AX128" s="98">
        <f t="shared" si="142"/>
        <v>183516</v>
      </c>
      <c r="AY128" s="201">
        <f t="shared" si="142"/>
        <v>29563</v>
      </c>
      <c r="AZ128" s="201">
        <f t="shared" si="142"/>
        <v>26396</v>
      </c>
      <c r="BA128" s="202">
        <f t="shared" si="142"/>
        <v>55959</v>
      </c>
      <c r="BB128" s="201">
        <f t="shared" si="142"/>
        <v>24927</v>
      </c>
      <c r="BC128" s="201">
        <f t="shared" si="142"/>
        <v>26081</v>
      </c>
      <c r="BD128" s="98">
        <f t="shared" si="142"/>
        <v>106967</v>
      </c>
      <c r="BE128" s="201">
        <f t="shared" si="142"/>
        <v>28075</v>
      </c>
      <c r="BF128" s="201">
        <f t="shared" si="142"/>
        <v>30316</v>
      </c>
      <c r="BG128" s="202">
        <f t="shared" si="142"/>
        <v>58391</v>
      </c>
      <c r="BH128" s="201">
        <f t="shared" si="142"/>
        <v>33015</v>
      </c>
      <c r="BI128" s="201">
        <f t="shared" si="142"/>
        <v>32726</v>
      </c>
      <c r="BJ128" s="98">
        <f t="shared" si="142"/>
        <v>124132</v>
      </c>
      <c r="BK128" s="36">
        <f t="shared" si="142"/>
        <v>30689</v>
      </c>
      <c r="BL128" s="36">
        <f t="shared" si="142"/>
        <v>44742</v>
      </c>
      <c r="BM128" s="192">
        <f t="shared" si="142"/>
        <v>75431</v>
      </c>
      <c r="BN128" s="36">
        <f t="shared" si="142"/>
        <v>52475</v>
      </c>
      <c r="BO128" s="36">
        <f>IFERROR(BO14+BO48+BO82+BO116,"n/a")</f>
        <v>0</v>
      </c>
      <c r="BP128" s="90">
        <v>180472</v>
      </c>
      <c r="BQ128" s="373">
        <f t="shared" si="136"/>
        <v>197759.61287999965</v>
      </c>
      <c r="BR128" s="373">
        <f t="shared" si="136"/>
        <v>208062.4510559997</v>
      </c>
      <c r="BS128" s="373">
        <f t="shared" si="136"/>
        <v>217410.96346991436</v>
      </c>
      <c r="BT128" s="373">
        <f t="shared" si="136"/>
        <v>225989.37910454583</v>
      </c>
      <c r="BU128" s="373">
        <f t="shared" si="136"/>
        <v>234957.1285092906</v>
      </c>
      <c r="BV128" s="365"/>
      <c r="BW128" s="305"/>
      <c r="BX128" s="451"/>
      <c r="BY128" s="459"/>
      <c r="BZ128" s="459"/>
    </row>
    <row r="129" spans="2:78" x14ac:dyDescent="0.25">
      <c r="B129" s="306" t="s">
        <v>16</v>
      </c>
      <c r="C129" s="5">
        <v>2682</v>
      </c>
      <c r="D129" s="5">
        <v>2887</v>
      </c>
      <c r="E129" s="9">
        <f t="shared" si="137"/>
        <v>5569</v>
      </c>
      <c r="F129" s="5">
        <v>2802</v>
      </c>
      <c r="G129" s="5">
        <v>2830</v>
      </c>
      <c r="H129" s="77">
        <v>11201</v>
      </c>
      <c r="I129" s="21">
        <f t="shared" si="138"/>
        <v>3607</v>
      </c>
      <c r="J129" s="21">
        <f t="shared" si="138"/>
        <v>4214</v>
      </c>
      <c r="K129" s="38">
        <f t="shared" si="138"/>
        <v>7821</v>
      </c>
      <c r="L129" s="21">
        <f t="shared" si="138"/>
        <v>4019</v>
      </c>
      <c r="M129" s="21">
        <f t="shared" si="138"/>
        <v>3998</v>
      </c>
      <c r="N129" s="77">
        <v>15838</v>
      </c>
      <c r="O129" s="21"/>
      <c r="P129" s="21"/>
      <c r="Q129" s="38"/>
      <c r="R129" s="21"/>
      <c r="S129" s="21"/>
      <c r="T129" s="88">
        <f t="shared" si="139"/>
        <v>16605</v>
      </c>
      <c r="U129" s="29"/>
      <c r="V129" s="29"/>
      <c r="W129" s="46"/>
      <c r="X129" s="29"/>
      <c r="Y129" s="29"/>
      <c r="Z129" s="88">
        <f t="shared" si="140"/>
        <v>17489</v>
      </c>
      <c r="AA129" s="29"/>
      <c r="AB129" s="29"/>
      <c r="AC129" s="46"/>
      <c r="AD129" s="29"/>
      <c r="AE129" s="29"/>
      <c r="AF129" s="88">
        <f t="shared" ref="AF129:BN129" si="143">IFERROR(AF15+AF49+AF83+AF117,"n/a")</f>
        <v>23754</v>
      </c>
      <c r="AG129" s="29">
        <f t="shared" si="143"/>
        <v>6684</v>
      </c>
      <c r="AH129" s="29">
        <f t="shared" si="143"/>
        <v>7386</v>
      </c>
      <c r="AI129" s="46">
        <f t="shared" si="143"/>
        <v>14070</v>
      </c>
      <c r="AJ129" s="29">
        <f t="shared" si="143"/>
        <v>7252</v>
      </c>
      <c r="AK129" s="29">
        <f t="shared" si="143"/>
        <v>7212</v>
      </c>
      <c r="AL129" s="88">
        <f t="shared" si="143"/>
        <v>28534</v>
      </c>
      <c r="AM129" s="29">
        <f t="shared" si="143"/>
        <v>7785</v>
      </c>
      <c r="AN129" s="29">
        <f t="shared" si="143"/>
        <v>8333</v>
      </c>
      <c r="AO129" s="46">
        <f t="shared" si="143"/>
        <v>16118</v>
      </c>
      <c r="AP129" s="29">
        <f t="shared" si="143"/>
        <v>9823</v>
      </c>
      <c r="AQ129" s="29">
        <f t="shared" si="143"/>
        <v>11674</v>
      </c>
      <c r="AR129" s="88">
        <f t="shared" si="143"/>
        <v>37615</v>
      </c>
      <c r="AS129" s="29">
        <f t="shared" si="143"/>
        <v>12877</v>
      </c>
      <c r="AT129" s="29">
        <f t="shared" si="143"/>
        <v>14078</v>
      </c>
      <c r="AU129" s="46">
        <f t="shared" si="143"/>
        <v>26955</v>
      </c>
      <c r="AV129" s="29">
        <f t="shared" si="143"/>
        <v>13538</v>
      </c>
      <c r="AW129" s="29">
        <f t="shared" si="143"/>
        <v>11656</v>
      </c>
      <c r="AX129" s="88">
        <f t="shared" si="143"/>
        <v>52149</v>
      </c>
      <c r="AY129" s="29">
        <f t="shared" si="143"/>
        <v>11391</v>
      </c>
      <c r="AZ129" s="29">
        <f t="shared" si="143"/>
        <v>11331</v>
      </c>
      <c r="BA129" s="46">
        <f t="shared" si="143"/>
        <v>22722</v>
      </c>
      <c r="BB129" s="29">
        <f t="shared" si="143"/>
        <v>10649</v>
      </c>
      <c r="BC129" s="29">
        <f t="shared" si="143"/>
        <v>10447</v>
      </c>
      <c r="BD129" s="88">
        <f t="shared" si="143"/>
        <v>43818</v>
      </c>
      <c r="BE129" s="29">
        <f t="shared" si="143"/>
        <v>10265</v>
      </c>
      <c r="BF129" s="29">
        <f t="shared" si="143"/>
        <v>10841</v>
      </c>
      <c r="BG129" s="46">
        <f t="shared" si="143"/>
        <v>21106</v>
      </c>
      <c r="BH129" s="29">
        <f t="shared" si="143"/>
        <v>11080</v>
      </c>
      <c r="BI129" s="29">
        <f t="shared" si="143"/>
        <v>10788</v>
      </c>
      <c r="BJ129" s="88">
        <f t="shared" si="143"/>
        <v>42974</v>
      </c>
      <c r="BK129" s="37">
        <f t="shared" si="143"/>
        <v>10991</v>
      </c>
      <c r="BL129" s="37">
        <f t="shared" si="143"/>
        <v>17241</v>
      </c>
      <c r="BM129" s="54">
        <f t="shared" si="143"/>
        <v>28232</v>
      </c>
      <c r="BN129" s="37">
        <f t="shared" si="143"/>
        <v>19508</v>
      </c>
      <c r="BO129" s="37"/>
      <c r="BP129" s="105">
        <v>66859</v>
      </c>
      <c r="BQ129" s="403">
        <f t="shared" si="136"/>
        <v>74572.30711999991</v>
      </c>
      <c r="BR129" s="404">
        <f t="shared" si="136"/>
        <v>80071.722277333232</v>
      </c>
      <c r="BS129" s="404">
        <f t="shared" si="136"/>
        <v>85290.354999418574</v>
      </c>
      <c r="BT129" s="404">
        <f t="shared" si="136"/>
        <v>88878.807791453757</v>
      </c>
      <c r="BU129" s="404">
        <f t="shared" si="136"/>
        <v>92565.094766452981</v>
      </c>
      <c r="BV129" s="365"/>
      <c r="BW129" s="305"/>
      <c r="BX129" s="450">
        <f>IFERROR((BU129/BP129)^(1/5)-1,"n/m")</f>
        <v>6.7228648103444755E-2</v>
      </c>
      <c r="BY129" s="290">
        <f>IFERROR((BP129/AL129)^(1/5)-1,"n/m")</f>
        <v>0.1856580217821362</v>
      </c>
      <c r="BZ129" s="290">
        <f>IFERROR((BP129/H129)^(1/10)-1,"n/m")</f>
        <v>0.19561211746121865</v>
      </c>
    </row>
    <row r="130" spans="2:78" x14ac:dyDescent="0.25">
      <c r="B130" t="s">
        <v>17</v>
      </c>
      <c r="C130" s="2">
        <v>543</v>
      </c>
      <c r="D130" s="2">
        <v>550</v>
      </c>
      <c r="E130" s="6">
        <f t="shared" si="137"/>
        <v>1093</v>
      </c>
      <c r="F130" s="2">
        <v>505</v>
      </c>
      <c r="G130" s="2">
        <v>551</v>
      </c>
      <c r="H130" s="76">
        <v>2149</v>
      </c>
      <c r="I130" s="199">
        <f t="shared" si="138"/>
        <v>790</v>
      </c>
      <c r="J130" s="199">
        <f t="shared" si="138"/>
        <v>877</v>
      </c>
      <c r="K130" s="200">
        <f t="shared" si="138"/>
        <v>1667</v>
      </c>
      <c r="L130" s="199">
        <f t="shared" si="138"/>
        <v>786</v>
      </c>
      <c r="M130" s="199">
        <f t="shared" si="138"/>
        <v>854</v>
      </c>
      <c r="N130" s="76">
        <v>3307</v>
      </c>
      <c r="O130" s="199">
        <f t="shared" ref="O130:S131" si="144">IFERROR(O16+O50+O84+O118,"n/a")</f>
        <v>0</v>
      </c>
      <c r="P130" s="199">
        <f t="shared" si="144"/>
        <v>0</v>
      </c>
      <c r="Q130" s="200">
        <f t="shared" si="144"/>
        <v>0</v>
      </c>
      <c r="R130" s="199">
        <f t="shared" si="144"/>
        <v>0</v>
      </c>
      <c r="S130" s="199">
        <f t="shared" si="144"/>
        <v>0</v>
      </c>
      <c r="T130" s="98">
        <f t="shared" si="139"/>
        <v>3110</v>
      </c>
      <c r="U130" s="201">
        <f t="shared" ref="U130:Y131" si="145">IFERROR(U16+U50+U84+U118,"n/a")</f>
        <v>0</v>
      </c>
      <c r="V130" s="201">
        <f t="shared" si="145"/>
        <v>0</v>
      </c>
      <c r="W130" s="202">
        <f t="shared" si="145"/>
        <v>0</v>
      </c>
      <c r="X130" s="201">
        <f t="shared" si="145"/>
        <v>0</v>
      </c>
      <c r="Y130" s="201">
        <f t="shared" si="145"/>
        <v>0</v>
      </c>
      <c r="Z130" s="98">
        <f t="shared" si="140"/>
        <v>3036</v>
      </c>
      <c r="AA130" s="201">
        <f t="shared" ref="AA130:AE131" si="146">IFERROR(AA16+AA50+AA84+AA118,"n/a")</f>
        <v>0</v>
      </c>
      <c r="AB130" s="201">
        <f t="shared" si="146"/>
        <v>0</v>
      </c>
      <c r="AC130" s="202">
        <f t="shared" si="146"/>
        <v>0</v>
      </c>
      <c r="AD130" s="201">
        <f t="shared" si="146"/>
        <v>0</v>
      </c>
      <c r="AE130" s="201">
        <f t="shared" si="146"/>
        <v>0</v>
      </c>
      <c r="AF130" s="98">
        <f t="shared" ref="AF130:BN130" si="147">IFERROR(AF16+AF50+AF84+AF118,"n/a")</f>
        <v>3133</v>
      </c>
      <c r="AG130" s="201">
        <f t="shared" si="147"/>
        <v>867</v>
      </c>
      <c r="AH130" s="201">
        <f t="shared" si="147"/>
        <v>795</v>
      </c>
      <c r="AI130" s="202">
        <f t="shared" si="147"/>
        <v>1662</v>
      </c>
      <c r="AJ130" s="201">
        <f t="shared" si="147"/>
        <v>831</v>
      </c>
      <c r="AK130" s="201">
        <f t="shared" si="147"/>
        <v>798</v>
      </c>
      <c r="AL130" s="98">
        <f t="shared" si="147"/>
        <v>3291</v>
      </c>
      <c r="AM130" s="201">
        <f t="shared" si="147"/>
        <v>849</v>
      </c>
      <c r="AN130" s="201">
        <f t="shared" si="147"/>
        <v>818</v>
      </c>
      <c r="AO130" s="202">
        <f t="shared" si="147"/>
        <v>1667</v>
      </c>
      <c r="AP130" s="201">
        <f t="shared" si="147"/>
        <v>1030</v>
      </c>
      <c r="AQ130" s="201">
        <f t="shared" si="147"/>
        <v>1476</v>
      </c>
      <c r="AR130" s="98">
        <f t="shared" si="147"/>
        <v>4173</v>
      </c>
      <c r="AS130" s="201">
        <f t="shared" si="147"/>
        <v>1289</v>
      </c>
      <c r="AT130" s="201">
        <f t="shared" si="147"/>
        <v>1338</v>
      </c>
      <c r="AU130" s="202">
        <f t="shared" si="147"/>
        <v>2627</v>
      </c>
      <c r="AV130" s="201">
        <f t="shared" si="147"/>
        <v>1431</v>
      </c>
      <c r="AW130" s="201">
        <f t="shared" si="147"/>
        <v>1501</v>
      </c>
      <c r="AX130" s="98">
        <f t="shared" si="147"/>
        <v>5559</v>
      </c>
      <c r="AY130" s="201">
        <f t="shared" si="147"/>
        <v>1340</v>
      </c>
      <c r="AZ130" s="201">
        <f t="shared" si="147"/>
        <v>1235</v>
      </c>
      <c r="BA130" s="202">
        <f t="shared" si="147"/>
        <v>2575</v>
      </c>
      <c r="BB130" s="201">
        <f t="shared" si="147"/>
        <v>1113</v>
      </c>
      <c r="BC130" s="201">
        <f t="shared" si="147"/>
        <v>1150</v>
      </c>
      <c r="BD130" s="98">
        <f t="shared" si="147"/>
        <v>4838</v>
      </c>
      <c r="BE130" s="201">
        <f t="shared" si="147"/>
        <v>1143</v>
      </c>
      <c r="BF130" s="201">
        <f t="shared" si="147"/>
        <v>1143</v>
      </c>
      <c r="BG130" s="202">
        <f t="shared" si="147"/>
        <v>2286</v>
      </c>
      <c r="BH130" s="201">
        <f t="shared" si="147"/>
        <v>1196</v>
      </c>
      <c r="BI130" s="201">
        <f t="shared" si="147"/>
        <v>1170</v>
      </c>
      <c r="BJ130" s="98">
        <f t="shared" si="147"/>
        <v>4652</v>
      </c>
      <c r="BK130" s="36">
        <f t="shared" si="147"/>
        <v>1216</v>
      </c>
      <c r="BL130" s="36">
        <f t="shared" si="147"/>
        <v>2380</v>
      </c>
      <c r="BM130" s="192">
        <f t="shared" si="147"/>
        <v>3596</v>
      </c>
      <c r="BN130" s="36">
        <f t="shared" si="147"/>
        <v>2875</v>
      </c>
      <c r="BO130" s="36">
        <f>IFERROR(BO16+BO50+BO84+BO118,"n/a")</f>
        <v>0</v>
      </c>
      <c r="BP130" s="90">
        <v>9445</v>
      </c>
      <c r="BQ130" s="373">
        <f t="shared" si="136"/>
        <v>4334.9829333333164</v>
      </c>
      <c r="BR130" s="373">
        <f t="shared" si="136"/>
        <v>4523.5767978666518</v>
      </c>
      <c r="BS130" s="373">
        <f t="shared" si="136"/>
        <v>4631.1452733866499</v>
      </c>
      <c r="BT130" s="373">
        <f t="shared" si="136"/>
        <v>4637.3165493685192</v>
      </c>
      <c r="BU130" s="373">
        <f t="shared" si="136"/>
        <v>4817.4334068534154</v>
      </c>
      <c r="BV130" s="365"/>
      <c r="BW130" s="305"/>
      <c r="BX130" s="451"/>
      <c r="BY130" s="459"/>
      <c r="BZ130" s="459"/>
    </row>
    <row r="131" spans="2:78" x14ac:dyDescent="0.25">
      <c r="B131" t="s">
        <v>18</v>
      </c>
      <c r="C131" s="2">
        <v>1370</v>
      </c>
      <c r="D131" s="2">
        <v>1398</v>
      </c>
      <c r="E131" s="6">
        <f t="shared" si="137"/>
        <v>2768</v>
      </c>
      <c r="F131" s="2">
        <v>1319</v>
      </c>
      <c r="G131" s="2">
        <v>1390</v>
      </c>
      <c r="H131" s="76">
        <v>5477</v>
      </c>
      <c r="I131" s="199">
        <f t="shared" si="138"/>
        <v>1997</v>
      </c>
      <c r="J131" s="199">
        <f t="shared" si="138"/>
        <v>2228</v>
      </c>
      <c r="K131" s="200">
        <f t="shared" si="138"/>
        <v>4225</v>
      </c>
      <c r="L131" s="199">
        <f t="shared" si="138"/>
        <v>2027</v>
      </c>
      <c r="M131" s="199">
        <f t="shared" si="138"/>
        <v>2029</v>
      </c>
      <c r="N131" s="76">
        <v>8281</v>
      </c>
      <c r="O131" s="199">
        <f t="shared" si="144"/>
        <v>0</v>
      </c>
      <c r="P131" s="199">
        <f t="shared" si="144"/>
        <v>0</v>
      </c>
      <c r="Q131" s="200">
        <f t="shared" si="144"/>
        <v>0</v>
      </c>
      <c r="R131" s="199">
        <f t="shared" si="144"/>
        <v>0</v>
      </c>
      <c r="S131" s="199">
        <f t="shared" si="144"/>
        <v>0</v>
      </c>
      <c r="T131" s="98">
        <f t="shared" si="139"/>
        <v>7831</v>
      </c>
      <c r="U131" s="201">
        <f t="shared" si="145"/>
        <v>0</v>
      </c>
      <c r="V131" s="201">
        <f t="shared" si="145"/>
        <v>0</v>
      </c>
      <c r="W131" s="202">
        <f t="shared" si="145"/>
        <v>0</v>
      </c>
      <c r="X131" s="201">
        <f t="shared" si="145"/>
        <v>0</v>
      </c>
      <c r="Y131" s="201">
        <f t="shared" si="145"/>
        <v>0</v>
      </c>
      <c r="Z131" s="98">
        <f t="shared" si="140"/>
        <v>8241</v>
      </c>
      <c r="AA131" s="201">
        <f t="shared" si="146"/>
        <v>0</v>
      </c>
      <c r="AB131" s="201">
        <f t="shared" si="146"/>
        <v>0</v>
      </c>
      <c r="AC131" s="202">
        <f t="shared" si="146"/>
        <v>0</v>
      </c>
      <c r="AD131" s="201">
        <f t="shared" si="146"/>
        <v>0</v>
      </c>
      <c r="AE131" s="201">
        <f t="shared" si="146"/>
        <v>0</v>
      </c>
      <c r="AF131" s="98">
        <f t="shared" ref="AF131:BN131" si="148">IFERROR(AF17+AF51+AF85+AF119,"n/a")</f>
        <v>10329</v>
      </c>
      <c r="AG131" s="201">
        <f t="shared" si="148"/>
        <v>3213</v>
      </c>
      <c r="AH131" s="201">
        <f t="shared" si="148"/>
        <v>2925</v>
      </c>
      <c r="AI131" s="202">
        <f t="shared" si="148"/>
        <v>6138</v>
      </c>
      <c r="AJ131" s="201">
        <f t="shared" si="148"/>
        <v>2708</v>
      </c>
      <c r="AK131" s="201">
        <f t="shared" si="148"/>
        <v>2838</v>
      </c>
      <c r="AL131" s="98">
        <f t="shared" si="148"/>
        <v>11684</v>
      </c>
      <c r="AM131" s="201">
        <f t="shared" si="148"/>
        <v>2920</v>
      </c>
      <c r="AN131" s="201">
        <f t="shared" si="148"/>
        <v>2970</v>
      </c>
      <c r="AO131" s="202">
        <f t="shared" si="148"/>
        <v>5890</v>
      </c>
      <c r="AP131" s="201">
        <f t="shared" si="148"/>
        <v>3277</v>
      </c>
      <c r="AQ131" s="201">
        <f t="shared" si="148"/>
        <v>3858</v>
      </c>
      <c r="AR131" s="98">
        <f t="shared" si="148"/>
        <v>13025</v>
      </c>
      <c r="AS131" s="201">
        <f t="shared" si="148"/>
        <v>3912</v>
      </c>
      <c r="AT131" s="201">
        <f t="shared" si="148"/>
        <v>4039</v>
      </c>
      <c r="AU131" s="202">
        <f t="shared" si="148"/>
        <v>7951</v>
      </c>
      <c r="AV131" s="201">
        <f t="shared" si="148"/>
        <v>4333</v>
      </c>
      <c r="AW131" s="201">
        <f t="shared" si="148"/>
        <v>4031</v>
      </c>
      <c r="AX131" s="98">
        <f t="shared" si="148"/>
        <v>16315</v>
      </c>
      <c r="AY131" s="201">
        <f t="shared" si="148"/>
        <v>4110</v>
      </c>
      <c r="AZ131" s="201">
        <f t="shared" si="148"/>
        <v>4074</v>
      </c>
      <c r="BA131" s="202">
        <f t="shared" si="148"/>
        <v>8184</v>
      </c>
      <c r="BB131" s="201">
        <f t="shared" si="148"/>
        <v>3812</v>
      </c>
      <c r="BC131" s="201">
        <f t="shared" si="148"/>
        <v>3987</v>
      </c>
      <c r="BD131" s="98">
        <f t="shared" si="148"/>
        <v>15983</v>
      </c>
      <c r="BE131" s="201">
        <f t="shared" si="148"/>
        <v>4090</v>
      </c>
      <c r="BF131" s="201">
        <f t="shared" si="148"/>
        <v>4189</v>
      </c>
      <c r="BG131" s="202">
        <f t="shared" si="148"/>
        <v>8279</v>
      </c>
      <c r="BH131" s="201">
        <f t="shared" si="148"/>
        <v>4034</v>
      </c>
      <c r="BI131" s="201">
        <f t="shared" si="148"/>
        <v>4178</v>
      </c>
      <c r="BJ131" s="98">
        <f t="shared" si="148"/>
        <v>16491</v>
      </c>
      <c r="BK131" s="36">
        <f t="shared" si="148"/>
        <v>4402</v>
      </c>
      <c r="BL131" s="36">
        <f t="shared" si="148"/>
        <v>7926</v>
      </c>
      <c r="BM131" s="192">
        <f t="shared" si="148"/>
        <v>12328</v>
      </c>
      <c r="BN131" s="36">
        <f t="shared" si="148"/>
        <v>8757</v>
      </c>
      <c r="BO131" s="36">
        <f>IFERROR(BO17+BO51+BO85+BO119,"n/a")</f>
        <v>0</v>
      </c>
      <c r="BP131" s="90">
        <v>29170</v>
      </c>
      <c r="BQ131" s="373">
        <f t="shared" si="136"/>
        <v>36804.136266666632</v>
      </c>
      <c r="BR131" s="373">
        <f t="shared" si="136"/>
        <v>37502.865354133297</v>
      </c>
      <c r="BS131" s="373">
        <f t="shared" si="136"/>
        <v>37961.365232853299</v>
      </c>
      <c r="BT131" s="373">
        <f t="shared" si="136"/>
        <v>38500.124405900766</v>
      </c>
      <c r="BU131" s="373">
        <f t="shared" si="136"/>
        <v>39109.587962006051</v>
      </c>
      <c r="BV131" s="365"/>
      <c r="BW131" s="305"/>
      <c r="BX131" s="451"/>
      <c r="BY131" s="459"/>
      <c r="BZ131" s="459"/>
    </row>
    <row r="132" spans="2:78" x14ac:dyDescent="0.25">
      <c r="B132" s="3" t="s">
        <v>19</v>
      </c>
      <c r="C132" s="10">
        <v>769</v>
      </c>
      <c r="D132" s="10">
        <v>939</v>
      </c>
      <c r="E132" s="11">
        <f t="shared" si="137"/>
        <v>1708</v>
      </c>
      <c r="F132" s="10">
        <v>978</v>
      </c>
      <c r="G132" s="10">
        <v>889</v>
      </c>
      <c r="H132" s="75">
        <v>3575</v>
      </c>
      <c r="I132" s="27">
        <f t="shared" si="138"/>
        <v>820</v>
      </c>
      <c r="J132" s="27">
        <f t="shared" si="138"/>
        <v>1109</v>
      </c>
      <c r="K132" s="44">
        <f t="shared" si="138"/>
        <v>1929</v>
      </c>
      <c r="L132" s="27">
        <f t="shared" si="138"/>
        <v>1206</v>
      </c>
      <c r="M132" s="27">
        <f t="shared" si="138"/>
        <v>1115</v>
      </c>
      <c r="N132" s="75">
        <v>4250</v>
      </c>
      <c r="O132" s="27"/>
      <c r="P132" s="27"/>
      <c r="Q132" s="44"/>
      <c r="R132" s="27"/>
      <c r="S132" s="27"/>
      <c r="T132" s="97">
        <f t="shared" si="139"/>
        <v>5664</v>
      </c>
      <c r="U132" s="35"/>
      <c r="V132" s="35"/>
      <c r="W132" s="52"/>
      <c r="X132" s="35"/>
      <c r="Y132" s="35"/>
      <c r="Z132" s="97">
        <f t="shared" si="140"/>
        <v>6212</v>
      </c>
      <c r="AA132" s="35"/>
      <c r="AB132" s="35"/>
      <c r="AC132" s="52"/>
      <c r="AD132" s="35"/>
      <c r="AE132" s="35"/>
      <c r="AF132" s="97">
        <f t="shared" ref="AF132:BN132" si="149">IFERROR(AF18+AF52+AF86+AF120,"n/a")</f>
        <v>10292</v>
      </c>
      <c r="AG132" s="35">
        <f t="shared" si="149"/>
        <v>2604</v>
      </c>
      <c r="AH132" s="35">
        <f t="shared" si="149"/>
        <v>3666</v>
      </c>
      <c r="AI132" s="52">
        <f t="shared" si="149"/>
        <v>6270</v>
      </c>
      <c r="AJ132" s="35">
        <f t="shared" si="149"/>
        <v>3713</v>
      </c>
      <c r="AK132" s="35">
        <f t="shared" si="149"/>
        <v>3576.3</v>
      </c>
      <c r="AL132" s="97">
        <f t="shared" si="149"/>
        <v>13559</v>
      </c>
      <c r="AM132" s="35">
        <f t="shared" si="149"/>
        <v>4016</v>
      </c>
      <c r="AN132" s="35">
        <f t="shared" si="149"/>
        <v>4545</v>
      </c>
      <c r="AO132" s="52">
        <f t="shared" si="149"/>
        <v>8561</v>
      </c>
      <c r="AP132" s="35">
        <f t="shared" si="149"/>
        <v>5516</v>
      </c>
      <c r="AQ132" s="35">
        <f t="shared" si="149"/>
        <v>6340</v>
      </c>
      <c r="AR132" s="97">
        <f t="shared" si="149"/>
        <v>20417</v>
      </c>
      <c r="AS132" s="35">
        <f t="shared" si="149"/>
        <v>7676</v>
      </c>
      <c r="AT132" s="35">
        <f t="shared" si="149"/>
        <v>8701</v>
      </c>
      <c r="AU132" s="52">
        <f t="shared" si="149"/>
        <v>16377</v>
      </c>
      <c r="AV132" s="35">
        <f t="shared" si="149"/>
        <v>7774</v>
      </c>
      <c r="AW132" s="35">
        <f t="shared" si="149"/>
        <v>6124</v>
      </c>
      <c r="AX132" s="97">
        <f t="shared" si="149"/>
        <v>30275</v>
      </c>
      <c r="AY132" s="35">
        <f t="shared" si="149"/>
        <v>5941</v>
      </c>
      <c r="AZ132" s="35">
        <f t="shared" si="149"/>
        <v>6022</v>
      </c>
      <c r="BA132" s="52">
        <f t="shared" si="149"/>
        <v>11963</v>
      </c>
      <c r="BB132" s="35">
        <f t="shared" si="149"/>
        <v>5724</v>
      </c>
      <c r="BC132" s="35">
        <f t="shared" si="149"/>
        <v>5310</v>
      </c>
      <c r="BD132" s="97">
        <f t="shared" si="149"/>
        <v>22997</v>
      </c>
      <c r="BE132" s="35">
        <f t="shared" si="149"/>
        <v>5032</v>
      </c>
      <c r="BF132" s="35">
        <f t="shared" si="149"/>
        <v>5509</v>
      </c>
      <c r="BG132" s="52">
        <f t="shared" si="149"/>
        <v>10541</v>
      </c>
      <c r="BH132" s="35">
        <f t="shared" si="149"/>
        <v>5850</v>
      </c>
      <c r="BI132" s="35">
        <f t="shared" si="149"/>
        <v>5440</v>
      </c>
      <c r="BJ132" s="97">
        <f t="shared" si="149"/>
        <v>21831</v>
      </c>
      <c r="BK132" s="189">
        <f t="shared" si="149"/>
        <v>5373</v>
      </c>
      <c r="BL132" s="189">
        <f t="shared" si="149"/>
        <v>6935</v>
      </c>
      <c r="BM132" s="196">
        <f t="shared" si="149"/>
        <v>12308</v>
      </c>
      <c r="BN132" s="189">
        <f t="shared" si="149"/>
        <v>7876</v>
      </c>
      <c r="BO132" s="189"/>
      <c r="BP132" s="107">
        <v>28244</v>
      </c>
      <c r="BQ132" s="377">
        <f t="shared" si="136"/>
        <v>33433.18791999996</v>
      </c>
      <c r="BR132" s="377">
        <f t="shared" si="136"/>
        <v>38045.280125333295</v>
      </c>
      <c r="BS132" s="377">
        <f t="shared" si="136"/>
        <v>42697.844493178622</v>
      </c>
      <c r="BT132" s="377">
        <f t="shared" si="136"/>
        <v>45741.366836184476</v>
      </c>
      <c r="BU132" s="377">
        <f t="shared" si="136"/>
        <v>48638.073397593515</v>
      </c>
      <c r="BV132" s="365"/>
      <c r="BW132" s="305"/>
      <c r="BX132" s="450">
        <f>IFERROR((BU132/BP132)^(1/5)-1,"n/m")</f>
        <v>0.11483355568770715</v>
      </c>
      <c r="BY132" s="459">
        <f>IFERROR((BP132/AL132)^(1/5)-1,"n/m")</f>
        <v>0.15808305854143145</v>
      </c>
      <c r="BZ132" s="459">
        <f>IFERROR((BP132/H132)^(1/10)-1,"n/m")</f>
        <v>0.2296032875964451</v>
      </c>
    </row>
    <row r="133" spans="2:78" x14ac:dyDescent="0.25">
      <c r="B133" t="s">
        <v>20</v>
      </c>
      <c r="C133" s="2">
        <v>128</v>
      </c>
      <c r="D133" s="2">
        <v>130</v>
      </c>
      <c r="E133" s="6">
        <f t="shared" si="137"/>
        <v>258</v>
      </c>
      <c r="F133" s="2">
        <v>127</v>
      </c>
      <c r="G133" s="2">
        <v>140</v>
      </c>
      <c r="H133" s="76">
        <v>525</v>
      </c>
      <c r="I133" s="199">
        <f t="shared" si="138"/>
        <v>177</v>
      </c>
      <c r="J133" s="199">
        <f t="shared" si="138"/>
        <v>209</v>
      </c>
      <c r="K133" s="200">
        <f t="shared" si="138"/>
        <v>386</v>
      </c>
      <c r="L133" s="199">
        <f t="shared" si="138"/>
        <v>203</v>
      </c>
      <c r="M133" s="199">
        <f t="shared" si="138"/>
        <v>186</v>
      </c>
      <c r="N133" s="76">
        <v>775</v>
      </c>
      <c r="O133" s="199">
        <f>IFERROR(O19+O53+O87+O121,"n/a")</f>
        <v>0</v>
      </c>
      <c r="P133" s="199">
        <f>IFERROR(P19+P53+P87+P121,"n/a")</f>
        <v>0</v>
      </c>
      <c r="Q133" s="200">
        <f>IFERROR(Q19+Q53+Q87+Q121,"n/a")</f>
        <v>0</v>
      </c>
      <c r="R133" s="199">
        <f>IFERROR(R19+R53+R87+R121,"n/a")</f>
        <v>0</v>
      </c>
      <c r="S133" s="199">
        <f>IFERROR(S19+S53+S87+S121,"n/a")</f>
        <v>0</v>
      </c>
      <c r="T133" s="98">
        <f t="shared" si="139"/>
        <v>786</v>
      </c>
      <c r="U133" s="201">
        <f>IFERROR(U19+U53+U87+U121,"n/a")</f>
        <v>0</v>
      </c>
      <c r="V133" s="201">
        <f>IFERROR(V19+V53+V87+V121,"n/a")</f>
        <v>0</v>
      </c>
      <c r="W133" s="202">
        <f>IFERROR(W19+W53+W87+W121,"n/a")</f>
        <v>0</v>
      </c>
      <c r="X133" s="201">
        <f>IFERROR(X19+X53+X87+X121,"n/a")</f>
        <v>0</v>
      </c>
      <c r="Y133" s="201">
        <f>IFERROR(Y19+Y53+Y87+Y121,"n/a")</f>
        <v>0</v>
      </c>
      <c r="Z133" s="98">
        <f t="shared" si="140"/>
        <v>762</v>
      </c>
      <c r="AA133" s="201">
        <f>IFERROR(AA19+AA53+AA87+AA121,"n/a")</f>
        <v>0</v>
      </c>
      <c r="AB133" s="201">
        <f>IFERROR(AB19+AB53+AB87+AB121,"n/a")</f>
        <v>0</v>
      </c>
      <c r="AC133" s="202">
        <f>IFERROR(AC19+AC53+AC87+AC121,"n/a")</f>
        <v>0</v>
      </c>
      <c r="AD133" s="201">
        <f>IFERROR(AD19+AD53+AD87+AD121,"n/a")</f>
        <v>0</v>
      </c>
      <c r="AE133" s="201">
        <f>IFERROR(AE19+AE53+AE87+AE121,"n/a")</f>
        <v>0</v>
      </c>
      <c r="AF133" s="98">
        <f t="shared" ref="AF133:BN133" si="150">IFERROR(AF19+AF53+AF87+AF121,"n/a")</f>
        <v>3638</v>
      </c>
      <c r="AG133" s="201">
        <f t="shared" si="150"/>
        <v>1038</v>
      </c>
      <c r="AH133" s="201">
        <f t="shared" si="150"/>
        <v>1053</v>
      </c>
      <c r="AI133" s="202">
        <f t="shared" si="150"/>
        <v>2091</v>
      </c>
      <c r="AJ133" s="201">
        <f t="shared" si="150"/>
        <v>988</v>
      </c>
      <c r="AK133" s="201">
        <f t="shared" si="150"/>
        <v>960</v>
      </c>
      <c r="AL133" s="98">
        <f t="shared" si="150"/>
        <v>4039</v>
      </c>
      <c r="AM133" s="201">
        <f t="shared" si="150"/>
        <v>949</v>
      </c>
      <c r="AN133" s="201">
        <f t="shared" si="150"/>
        <v>974</v>
      </c>
      <c r="AO133" s="202">
        <f t="shared" si="150"/>
        <v>1923</v>
      </c>
      <c r="AP133" s="201">
        <f t="shared" si="150"/>
        <v>1044</v>
      </c>
      <c r="AQ133" s="201">
        <f t="shared" si="150"/>
        <v>1227</v>
      </c>
      <c r="AR133" s="98">
        <f t="shared" si="150"/>
        <v>4194</v>
      </c>
      <c r="AS133" s="201">
        <f t="shared" si="150"/>
        <v>1180</v>
      </c>
      <c r="AT133" s="201">
        <f t="shared" si="150"/>
        <v>1248</v>
      </c>
      <c r="AU133" s="202">
        <f t="shared" si="150"/>
        <v>2428</v>
      </c>
      <c r="AV133" s="201">
        <f t="shared" si="150"/>
        <v>1268</v>
      </c>
      <c r="AW133" s="201">
        <f t="shared" si="150"/>
        <v>1375</v>
      </c>
      <c r="AX133" s="98">
        <f t="shared" si="150"/>
        <v>5071</v>
      </c>
      <c r="AY133" s="201">
        <f t="shared" si="150"/>
        <v>1269</v>
      </c>
      <c r="AZ133" s="201">
        <f t="shared" si="150"/>
        <v>1317</v>
      </c>
      <c r="BA133" s="202">
        <f t="shared" si="150"/>
        <v>2586</v>
      </c>
      <c r="BB133" s="201">
        <f t="shared" si="150"/>
        <v>1328</v>
      </c>
      <c r="BC133" s="201">
        <f t="shared" si="150"/>
        <v>1360</v>
      </c>
      <c r="BD133" s="98">
        <f t="shared" si="150"/>
        <v>5274</v>
      </c>
      <c r="BE133" s="201">
        <f t="shared" si="150"/>
        <v>1391</v>
      </c>
      <c r="BF133" s="201">
        <f t="shared" si="150"/>
        <v>1410</v>
      </c>
      <c r="BG133" s="202">
        <f t="shared" si="150"/>
        <v>2801</v>
      </c>
      <c r="BH133" s="201">
        <f t="shared" si="150"/>
        <v>1430</v>
      </c>
      <c r="BI133" s="201">
        <f t="shared" si="150"/>
        <v>1504</v>
      </c>
      <c r="BJ133" s="98">
        <f t="shared" si="150"/>
        <v>5735</v>
      </c>
      <c r="BK133" s="36">
        <f t="shared" si="150"/>
        <v>1513</v>
      </c>
      <c r="BL133" s="36">
        <f t="shared" si="150"/>
        <v>2210</v>
      </c>
      <c r="BM133" s="192">
        <f t="shared" si="150"/>
        <v>3723</v>
      </c>
      <c r="BN133" s="36">
        <f t="shared" si="150"/>
        <v>2442</v>
      </c>
      <c r="BO133" s="36">
        <f>IFERROR(BO19+BO53+BO87+BO121,"n/a")</f>
        <v>0</v>
      </c>
      <c r="BP133" s="90">
        <v>8633</v>
      </c>
      <c r="BQ133" s="373">
        <f t="shared" si="136"/>
        <v>9282.5545866666635</v>
      </c>
      <c r="BR133" s="373">
        <f t="shared" si="136"/>
        <v>9576.7569178666654</v>
      </c>
      <c r="BS133" s="373">
        <f t="shared" si="136"/>
        <v>9820.2197106586646</v>
      </c>
      <c r="BT133" s="373">
        <f t="shared" si="136"/>
        <v>10171.674408082132</v>
      </c>
      <c r="BU133" s="373">
        <f t="shared" si="136"/>
        <v>10441.768472729716</v>
      </c>
      <c r="BV133" s="365"/>
      <c r="BW133" s="305"/>
      <c r="BX133" s="451"/>
      <c r="BY133" s="459"/>
      <c r="BZ133" s="459"/>
    </row>
    <row r="134" spans="2:78" x14ac:dyDescent="0.25">
      <c r="B134" s="262" t="s">
        <v>21</v>
      </c>
      <c r="C134" s="10">
        <v>641</v>
      </c>
      <c r="D134" s="10">
        <v>809</v>
      </c>
      <c r="E134" s="11">
        <f t="shared" si="137"/>
        <v>1450</v>
      </c>
      <c r="F134" s="10">
        <v>851</v>
      </c>
      <c r="G134" s="10">
        <v>749</v>
      </c>
      <c r="H134" s="281">
        <v>3050</v>
      </c>
      <c r="I134" s="282">
        <f t="shared" si="138"/>
        <v>643</v>
      </c>
      <c r="J134" s="282">
        <f t="shared" si="138"/>
        <v>900</v>
      </c>
      <c r="K134" s="282">
        <f t="shared" si="138"/>
        <v>1543</v>
      </c>
      <c r="L134" s="282">
        <f t="shared" si="138"/>
        <v>1003</v>
      </c>
      <c r="M134" s="282">
        <f t="shared" si="138"/>
        <v>929</v>
      </c>
      <c r="N134" s="281">
        <v>3475</v>
      </c>
      <c r="O134" s="282"/>
      <c r="P134" s="282"/>
      <c r="Q134" s="282"/>
      <c r="R134" s="282"/>
      <c r="S134" s="282"/>
      <c r="T134" s="283">
        <f t="shared" si="139"/>
        <v>4878</v>
      </c>
      <c r="U134" s="284"/>
      <c r="V134" s="284"/>
      <c r="W134" s="284"/>
      <c r="X134" s="284"/>
      <c r="Y134" s="284"/>
      <c r="Z134" s="283">
        <f t="shared" si="140"/>
        <v>5450</v>
      </c>
      <c r="AA134" s="284"/>
      <c r="AB134" s="284"/>
      <c r="AC134" s="284"/>
      <c r="AD134" s="284"/>
      <c r="AE134" s="284"/>
      <c r="AF134" s="283">
        <f t="shared" ref="AF134:BN134" si="151">IFERROR(AF20+AF54+AF88+AF122,"n/a")</f>
        <v>6654</v>
      </c>
      <c r="AG134" s="284">
        <f t="shared" si="151"/>
        <v>1566</v>
      </c>
      <c r="AH134" s="284">
        <f t="shared" si="151"/>
        <v>2613</v>
      </c>
      <c r="AI134" s="284">
        <f t="shared" si="151"/>
        <v>4179</v>
      </c>
      <c r="AJ134" s="284">
        <f t="shared" si="151"/>
        <v>2725</v>
      </c>
      <c r="AK134" s="284">
        <f t="shared" si="151"/>
        <v>2616.3000000000002</v>
      </c>
      <c r="AL134" s="283">
        <f t="shared" si="151"/>
        <v>9520</v>
      </c>
      <c r="AM134" s="284">
        <f t="shared" si="151"/>
        <v>3067</v>
      </c>
      <c r="AN134" s="284">
        <f t="shared" si="151"/>
        <v>3571</v>
      </c>
      <c r="AO134" s="284">
        <f t="shared" si="151"/>
        <v>6638</v>
      </c>
      <c r="AP134" s="284">
        <f t="shared" si="151"/>
        <v>4472</v>
      </c>
      <c r="AQ134" s="284">
        <f t="shared" si="151"/>
        <v>5113</v>
      </c>
      <c r="AR134" s="283">
        <f t="shared" si="151"/>
        <v>16223</v>
      </c>
      <c r="AS134" s="284">
        <f t="shared" si="151"/>
        <v>6496</v>
      </c>
      <c r="AT134" s="284">
        <f t="shared" si="151"/>
        <v>7453</v>
      </c>
      <c r="AU134" s="284">
        <f t="shared" si="151"/>
        <v>13949</v>
      </c>
      <c r="AV134" s="284">
        <f t="shared" si="151"/>
        <v>6506</v>
      </c>
      <c r="AW134" s="284">
        <f t="shared" si="151"/>
        <v>4749</v>
      </c>
      <c r="AX134" s="283">
        <f t="shared" si="151"/>
        <v>25204</v>
      </c>
      <c r="AY134" s="284">
        <f t="shared" si="151"/>
        <v>4672</v>
      </c>
      <c r="AZ134" s="284">
        <f t="shared" si="151"/>
        <v>4705</v>
      </c>
      <c r="BA134" s="284">
        <f t="shared" si="151"/>
        <v>9377</v>
      </c>
      <c r="BB134" s="284">
        <f t="shared" si="151"/>
        <v>4396.321433722751</v>
      </c>
      <c r="BC134" s="284">
        <f t="shared" si="151"/>
        <v>3950</v>
      </c>
      <c r="BD134" s="283">
        <f t="shared" si="151"/>
        <v>17723</v>
      </c>
      <c r="BE134" s="284">
        <f t="shared" si="151"/>
        <v>3641</v>
      </c>
      <c r="BF134" s="284">
        <f t="shared" si="151"/>
        <v>4099</v>
      </c>
      <c r="BG134" s="284">
        <f t="shared" si="151"/>
        <v>7740</v>
      </c>
      <c r="BH134" s="284">
        <f t="shared" si="151"/>
        <v>4420</v>
      </c>
      <c r="BI134" s="284">
        <f t="shared" si="151"/>
        <v>3936</v>
      </c>
      <c r="BJ134" s="283">
        <f t="shared" si="151"/>
        <v>16096</v>
      </c>
      <c r="BK134" s="273">
        <f t="shared" si="151"/>
        <v>3860</v>
      </c>
      <c r="BL134" s="273">
        <f t="shared" si="151"/>
        <v>4725</v>
      </c>
      <c r="BM134" s="276">
        <f t="shared" si="151"/>
        <v>8585</v>
      </c>
      <c r="BN134" s="273">
        <f t="shared" si="151"/>
        <v>5434</v>
      </c>
      <c r="BO134" s="273"/>
      <c r="BP134" s="277">
        <v>19611</v>
      </c>
      <c r="BQ134" s="276">
        <f t="shared" si="136"/>
        <v>24150.633333333291</v>
      </c>
      <c r="BR134" s="276">
        <f t="shared" si="136"/>
        <v>28468.523207466624</v>
      </c>
      <c r="BS134" s="276">
        <f t="shared" si="136"/>
        <v>32877.624782519953</v>
      </c>
      <c r="BT134" s="276">
        <f t="shared" si="136"/>
        <v>35569.692428102338</v>
      </c>
      <c r="BU134" s="276">
        <f t="shared" si="136"/>
        <v>38196.304924863791</v>
      </c>
      <c r="BV134" s="365"/>
      <c r="BW134" s="305"/>
      <c r="BX134" s="450">
        <f>IFERROR((BU134/BP134)^(1/5)-1,"n/m")</f>
        <v>0.14262657978536075</v>
      </c>
      <c r="BY134" s="265">
        <f>IFERROR((BP134/AL134)^(1/5)-1,"n/m")</f>
        <v>0.15550694014656452</v>
      </c>
      <c r="BZ134" s="265">
        <f>IFERROR((BP134/H134)^(1/10)-1,"n/m")</f>
        <v>0.20453657061471819</v>
      </c>
    </row>
    <row r="135" spans="2:78" x14ac:dyDescent="0.25">
      <c r="B135" s="305" t="s">
        <v>175</v>
      </c>
      <c r="C135" s="2"/>
      <c r="D135" s="2"/>
      <c r="E135" s="6"/>
      <c r="F135" s="2"/>
      <c r="G135" s="2"/>
      <c r="H135" s="70" t="str">
        <f>""</f>
        <v/>
      </c>
      <c r="I135" s="179"/>
      <c r="J135" s="179"/>
      <c r="K135" s="191"/>
      <c r="L135" s="179"/>
      <c r="M135" s="179"/>
      <c r="N135" s="93">
        <f>IFERROR(N125/H125-1,"")</f>
        <v>0.34755365450998044</v>
      </c>
      <c r="O135" s="183"/>
      <c r="P135" s="183"/>
      <c r="Q135" s="184"/>
      <c r="R135" s="183"/>
      <c r="S135" s="183"/>
      <c r="T135" s="96">
        <f>IFERROR(T125/N125-1,"")</f>
        <v>4.2753724070722532E-2</v>
      </c>
      <c r="U135" s="197"/>
      <c r="V135" s="197"/>
      <c r="W135" s="198"/>
      <c r="X135" s="197"/>
      <c r="Y135" s="197"/>
      <c r="Z135" s="96">
        <f>IFERROR(Z125/T125-1,"")</f>
        <v>5.5433171786758439E-2</v>
      </c>
      <c r="AA135" s="197"/>
      <c r="AB135" s="197"/>
      <c r="AC135" s="198"/>
      <c r="AD135" s="197"/>
      <c r="AE135" s="197"/>
      <c r="AF135" s="96">
        <f>IFERROR(AF125/Z125-1,"")</f>
        <v>0.19794315206254032</v>
      </c>
      <c r="AG135" s="197"/>
      <c r="AH135" s="197"/>
      <c r="AI135" s="203"/>
      <c r="AJ135" s="197"/>
      <c r="AK135" s="197"/>
      <c r="AL135" s="96">
        <f>IFERROR(AL125/AF125-1,"")</f>
        <v>0.22418981848132535</v>
      </c>
      <c r="AM135" s="197"/>
      <c r="AN135" s="197"/>
      <c r="AO135" s="203"/>
      <c r="AP135" s="197"/>
      <c r="AQ135" s="197"/>
      <c r="AR135" s="96">
        <f>IFERROR(AR125/AL125-1,"")</f>
        <v>0.57252527343615234</v>
      </c>
      <c r="AS135" s="197"/>
      <c r="AT135" s="197"/>
      <c r="AU135" s="203"/>
      <c r="AV135" s="197"/>
      <c r="AW135" s="197"/>
      <c r="AX135" s="96">
        <f>IFERROR(AX125/AR125-1,"")</f>
        <v>0.29268921483659338</v>
      </c>
      <c r="AY135" s="197"/>
      <c r="AZ135" s="197"/>
      <c r="BA135" s="203"/>
      <c r="BB135" s="197"/>
      <c r="BC135" s="197"/>
      <c r="BD135" s="96">
        <f>IFERROR(BD125/AX125-1,"")</f>
        <v>-0.36017227844609934</v>
      </c>
      <c r="BE135" s="197"/>
      <c r="BF135" s="197"/>
      <c r="BG135" s="203"/>
      <c r="BH135" s="197"/>
      <c r="BI135" s="197"/>
      <c r="BJ135" s="96">
        <f>IFERROR(BJ125/BD125-1,"")</f>
        <v>0.10824020956991753</v>
      </c>
      <c r="BK135" s="197"/>
      <c r="BL135" s="197"/>
      <c r="BM135" s="203"/>
      <c r="BN135" s="197"/>
      <c r="BO135" s="197"/>
      <c r="BP135" s="96">
        <f>IFERROR(BP125/BJ125-1,"")</f>
        <v>0.48008449726520896</v>
      </c>
      <c r="BQ135" s="375">
        <f>IFERROR(BQ125/BP125-1,"")</f>
        <v>0.10748231748816872</v>
      </c>
      <c r="BR135" s="375">
        <f>IFERROR(BR125/BQ125-1,"")</f>
        <v>5.5959702878178197E-2</v>
      </c>
      <c r="BS135" s="375">
        <f>IFERROR(BS125/BR125-1,"")</f>
        <v>4.8852127523099531E-2</v>
      </c>
      <c r="BT135" s="375">
        <f>IFERROR(BT125/BS125-1,"")</f>
        <v>3.8902148110329771E-2</v>
      </c>
      <c r="BU135" s="375">
        <f>IFERROR(BU125/BT125-1,"")</f>
        <v>3.8944775606848392E-2</v>
      </c>
      <c r="BV135" s="400" t="s">
        <v>324</v>
      </c>
      <c r="BW135" s="289"/>
      <c r="BX135" s="451"/>
      <c r="BY135" s="290"/>
      <c r="BZ135" s="290"/>
    </row>
    <row r="136" spans="2:78" x14ac:dyDescent="0.25">
      <c r="B136" s="12" t="s">
        <v>176</v>
      </c>
      <c r="C136" s="2"/>
      <c r="D136" s="2"/>
      <c r="E136" s="6"/>
      <c r="F136" s="2"/>
      <c r="G136" s="2"/>
      <c r="H136" s="70" t="str">
        <f>""</f>
        <v/>
      </c>
      <c r="I136" s="179"/>
      <c r="J136" s="179"/>
      <c r="K136" s="191"/>
      <c r="L136" s="179"/>
      <c r="M136" s="179"/>
      <c r="N136" s="93">
        <f>IFERROR(N129/H129-1,"")</f>
        <v>0.41398089456298548</v>
      </c>
      <c r="O136" s="183"/>
      <c r="P136" s="183"/>
      <c r="Q136" s="184"/>
      <c r="R136" s="183"/>
      <c r="S136" s="183"/>
      <c r="T136" s="96">
        <f>IFERROR(T129/N129-1,"")</f>
        <v>4.8427831796943988E-2</v>
      </c>
      <c r="U136" s="197"/>
      <c r="V136" s="197"/>
      <c r="W136" s="198"/>
      <c r="X136" s="197"/>
      <c r="Y136" s="197"/>
      <c r="Z136" s="96">
        <f>IFERROR(Z129/T129-1,"")</f>
        <v>5.3236976814212689E-2</v>
      </c>
      <c r="AA136" s="197"/>
      <c r="AB136" s="197"/>
      <c r="AC136" s="198"/>
      <c r="AD136" s="197"/>
      <c r="AE136" s="197"/>
      <c r="AF136" s="96">
        <f>IFERROR(AF129/Z129-1,"")</f>
        <v>0.35822517010692434</v>
      </c>
      <c r="AG136" s="197"/>
      <c r="AH136" s="197"/>
      <c r="AI136" s="203"/>
      <c r="AJ136" s="197"/>
      <c r="AK136" s="197"/>
      <c r="AL136" s="96">
        <f>IFERROR(AL129/AF129-1,"")</f>
        <v>0.20122926664982743</v>
      </c>
      <c r="AM136" s="197"/>
      <c r="AN136" s="197"/>
      <c r="AO136" s="203"/>
      <c r="AP136" s="197"/>
      <c r="AQ136" s="197"/>
      <c r="AR136" s="96">
        <f>IFERROR(AR129/AL129-1,"")</f>
        <v>0.31825191000210284</v>
      </c>
      <c r="AS136" s="197"/>
      <c r="AT136" s="197"/>
      <c r="AU136" s="203"/>
      <c r="AV136" s="197"/>
      <c r="AW136" s="197"/>
      <c r="AX136" s="96">
        <f>IFERROR(AX129/AR129-1,"")</f>
        <v>0.38638840887943648</v>
      </c>
      <c r="AY136" s="197"/>
      <c r="AZ136" s="197"/>
      <c r="BA136" s="203"/>
      <c r="BB136" s="197"/>
      <c r="BC136" s="197"/>
      <c r="BD136" s="96">
        <f>IFERROR(BD129/AX129-1,"")</f>
        <v>-0.15975378243111082</v>
      </c>
      <c r="BE136" s="197"/>
      <c r="BF136" s="197"/>
      <c r="BG136" s="203"/>
      <c r="BH136" s="197"/>
      <c r="BI136" s="197"/>
      <c r="BJ136" s="96">
        <f>IFERROR(BJ129/BD129-1,"")</f>
        <v>-1.9261490711579676E-2</v>
      </c>
      <c r="BK136" s="197"/>
      <c r="BL136" s="197"/>
      <c r="BM136" s="203"/>
      <c r="BN136" s="197"/>
      <c r="BO136" s="197"/>
      <c r="BP136" s="96">
        <f>IFERROR(BP129/BJ129-1,"")</f>
        <v>0.5558011821101132</v>
      </c>
      <c r="BQ136" s="375">
        <f>IFERROR(BQ129/BP129-1,"")</f>
        <v>0.1153667736579953</v>
      </c>
      <c r="BR136" s="375">
        <f>IFERROR(BR129/BQ129-1,"")</f>
        <v>7.3746077729414994E-2</v>
      </c>
      <c r="BS136" s="375">
        <f>IFERROR(BS129/BR129-1,"")</f>
        <v>6.5174478251014634E-2</v>
      </c>
      <c r="BT136" s="375">
        <f>IFERROR(BT129/BS129-1,"")</f>
        <v>4.2073371509119051E-2</v>
      </c>
      <c r="BU136" s="375">
        <f>IFERROR(BU129/BT129-1,"")</f>
        <v>4.1475432294825199E-2</v>
      </c>
      <c r="BV136" s="365"/>
      <c r="BW136" s="305"/>
      <c r="BX136" s="451"/>
      <c r="BY136" s="459"/>
      <c r="BZ136" s="459"/>
    </row>
    <row r="137" spans="2:78" x14ac:dyDescent="0.25">
      <c r="B137" s="12" t="s">
        <v>177</v>
      </c>
      <c r="C137" s="2"/>
      <c r="D137" s="2"/>
      <c r="E137" s="6"/>
      <c r="F137" s="2"/>
      <c r="G137" s="2"/>
      <c r="H137" s="70" t="str">
        <f>""</f>
        <v/>
      </c>
      <c r="I137" s="179"/>
      <c r="J137" s="179"/>
      <c r="K137" s="191"/>
      <c r="L137" s="179"/>
      <c r="M137" s="179"/>
      <c r="N137" s="93">
        <f>IFERROR(N132/H132-1,"")</f>
        <v>0.18881118881118875</v>
      </c>
      <c r="O137" s="183"/>
      <c r="P137" s="183"/>
      <c r="Q137" s="184"/>
      <c r="R137" s="183"/>
      <c r="S137" s="183"/>
      <c r="T137" s="96">
        <f>IFERROR(T132/N132-1,"")</f>
        <v>0.33270588235294118</v>
      </c>
      <c r="U137" s="197"/>
      <c r="V137" s="197"/>
      <c r="W137" s="198"/>
      <c r="X137" s="197"/>
      <c r="Y137" s="197"/>
      <c r="Z137" s="96">
        <f>IFERROR(Z132/T132-1,"")</f>
        <v>9.6751412429378458E-2</v>
      </c>
      <c r="AA137" s="197"/>
      <c r="AB137" s="197"/>
      <c r="AC137" s="198"/>
      <c r="AD137" s="197"/>
      <c r="AE137" s="197"/>
      <c r="AF137" s="96">
        <f>IFERROR(AF132/Z132-1,"")</f>
        <v>0.65679330328396657</v>
      </c>
      <c r="AG137" s="197"/>
      <c r="AH137" s="197"/>
      <c r="AI137" s="203"/>
      <c r="AJ137" s="197"/>
      <c r="AK137" s="197"/>
      <c r="AL137" s="96">
        <f>IFERROR(AL132/AF132-1,"")</f>
        <v>0.31743101438010113</v>
      </c>
      <c r="AM137" s="197"/>
      <c r="AN137" s="197"/>
      <c r="AO137" s="203"/>
      <c r="AP137" s="197"/>
      <c r="AQ137" s="197"/>
      <c r="AR137" s="96">
        <f>IFERROR(AR132/AL132-1,"")</f>
        <v>0.50578951250092197</v>
      </c>
      <c r="AS137" s="197"/>
      <c r="AT137" s="197"/>
      <c r="AU137" s="203"/>
      <c r="AV137" s="197"/>
      <c r="AW137" s="197"/>
      <c r="AX137" s="96">
        <f>IFERROR(AX132/AR132-1,"")</f>
        <v>0.48283293333986377</v>
      </c>
      <c r="AY137" s="197"/>
      <c r="AZ137" s="197"/>
      <c r="BA137" s="203"/>
      <c r="BB137" s="197"/>
      <c r="BC137" s="197"/>
      <c r="BD137" s="96">
        <f>IFERROR(BD132/AX132-1,"")</f>
        <v>-0.24039636663914121</v>
      </c>
      <c r="BE137" s="197"/>
      <c r="BF137" s="197"/>
      <c r="BG137" s="203"/>
      <c r="BH137" s="197"/>
      <c r="BI137" s="197"/>
      <c r="BJ137" s="96">
        <f>IFERROR(BJ132/BD132-1,"")</f>
        <v>-5.070226551289303E-2</v>
      </c>
      <c r="BK137" s="197"/>
      <c r="BL137" s="197"/>
      <c r="BM137" s="203"/>
      <c r="BN137" s="197"/>
      <c r="BO137" s="197"/>
      <c r="BP137" s="96">
        <f>IFERROR(BP132/BJ132-1,"")</f>
        <v>0.29375658467317112</v>
      </c>
      <c r="BQ137" s="375">
        <f>IFERROR(BQ132/BP132-1,"")</f>
        <v>0.18372708964735729</v>
      </c>
      <c r="BR137" s="375">
        <f>IFERROR(BR132/BQ132-1,"")</f>
        <v>0.13794951939280509</v>
      </c>
      <c r="BS137" s="375">
        <f>IFERROR(BS132/BR132-1,"")</f>
        <v>0.12229018560300497</v>
      </c>
      <c r="BT137" s="375">
        <f>IFERROR(BT132/BS132-1,"")</f>
        <v>7.1280468115716866E-2</v>
      </c>
      <c r="BU137" s="375">
        <f>IFERROR(BU132/BT132-1,"")</f>
        <v>6.3327940587852183E-2</v>
      </c>
      <c r="BV137" s="365"/>
      <c r="BW137" s="305"/>
      <c r="BX137" s="451"/>
      <c r="BY137" s="459"/>
      <c r="BZ137" s="459"/>
    </row>
    <row r="138" spans="2:78" x14ac:dyDescent="0.25">
      <c r="B138" s="289" t="s">
        <v>178</v>
      </c>
      <c r="C138" s="2"/>
      <c r="D138" s="2"/>
      <c r="E138" s="6"/>
      <c r="F138" s="2"/>
      <c r="G138" s="2"/>
      <c r="H138" s="70" t="str">
        <f>""</f>
        <v/>
      </c>
      <c r="I138" s="179"/>
      <c r="J138" s="179"/>
      <c r="K138" s="191"/>
      <c r="L138" s="179"/>
      <c r="M138" s="179"/>
      <c r="N138" s="93">
        <f>IFERROR(N134/H134-1,"")</f>
        <v>0.13934426229508201</v>
      </c>
      <c r="O138" s="183"/>
      <c r="P138" s="183"/>
      <c r="Q138" s="184"/>
      <c r="R138" s="183"/>
      <c r="S138" s="183"/>
      <c r="T138" s="96">
        <f>IFERROR(T134/N134-1,"")</f>
        <v>0.40374100719424466</v>
      </c>
      <c r="U138" s="197"/>
      <c r="V138" s="197"/>
      <c r="W138" s="198"/>
      <c r="X138" s="197"/>
      <c r="Y138" s="197"/>
      <c r="Z138" s="96">
        <f>IFERROR(Z134/T134-1,"")</f>
        <v>0.11726117261172608</v>
      </c>
      <c r="AA138" s="197"/>
      <c r="AB138" s="197"/>
      <c r="AC138" s="198"/>
      <c r="AD138" s="197"/>
      <c r="AE138" s="197"/>
      <c r="AF138" s="96">
        <f>IFERROR(AF134/Z134-1,"")</f>
        <v>0.2209174311926605</v>
      </c>
      <c r="AG138" s="197"/>
      <c r="AH138" s="197"/>
      <c r="AI138" s="203"/>
      <c r="AJ138" s="197"/>
      <c r="AK138" s="197"/>
      <c r="AL138" s="96">
        <f>IFERROR(AL134/AF134-1,"")</f>
        <v>0.43071836489329729</v>
      </c>
      <c r="AM138" s="197"/>
      <c r="AN138" s="197"/>
      <c r="AO138" s="203"/>
      <c r="AP138" s="197"/>
      <c r="AQ138" s="197"/>
      <c r="AR138" s="96">
        <f>IFERROR(AR134/AL134-1,"")</f>
        <v>0.70409663865546213</v>
      </c>
      <c r="AS138" s="197"/>
      <c r="AT138" s="197"/>
      <c r="AU138" s="203"/>
      <c r="AV138" s="197"/>
      <c r="AW138" s="197"/>
      <c r="AX138" s="96">
        <f>IFERROR(AX134/AR134-1,"")</f>
        <v>0.55359674536152381</v>
      </c>
      <c r="AY138" s="197"/>
      <c r="AZ138" s="197"/>
      <c r="BA138" s="203"/>
      <c r="BB138" s="197"/>
      <c r="BC138" s="197"/>
      <c r="BD138" s="96">
        <f>IFERROR(BD134/AX134-1,"")</f>
        <v>-0.29681796540231709</v>
      </c>
      <c r="BE138" s="197"/>
      <c r="BF138" s="197"/>
      <c r="BG138" s="203"/>
      <c r="BH138" s="197"/>
      <c r="BI138" s="197"/>
      <c r="BJ138" s="96">
        <f>IFERROR(BJ134/BD134-1,"")</f>
        <v>-9.1801613722281794E-2</v>
      </c>
      <c r="BK138" s="197"/>
      <c r="BL138" s="197"/>
      <c r="BM138" s="203"/>
      <c r="BN138" s="197"/>
      <c r="BO138" s="197"/>
      <c r="BP138" s="96">
        <f>IFERROR(BP134/BJ134-1,"")</f>
        <v>0.218377236580517</v>
      </c>
      <c r="BQ138" s="375">
        <f>IFERROR(BQ134/BP134-1,"")</f>
        <v>0.23148403107099536</v>
      </c>
      <c r="BR138" s="375">
        <f>IFERROR(BR134/BQ134-1,"")</f>
        <v>0.17878992300270968</v>
      </c>
      <c r="BS138" s="375">
        <f>IFERROR(BS134/BR134-1,"")</f>
        <v>0.15487637145494526</v>
      </c>
      <c r="BT138" s="375">
        <f>IFERROR(BT134/BS134-1,"")</f>
        <v>8.1881451698228469E-2</v>
      </c>
      <c r="BU138" s="375">
        <f>IFERROR(BU134/BT134-1,"")</f>
        <v>7.3844116084800904E-2</v>
      </c>
      <c r="BV138" s="365"/>
      <c r="BW138" s="305"/>
      <c r="BX138" s="451"/>
      <c r="BY138" s="290"/>
      <c r="BZ138" s="290"/>
    </row>
    <row r="139" spans="2:78" x14ac:dyDescent="0.25">
      <c r="B139" s="12" t="s">
        <v>179</v>
      </c>
      <c r="C139" s="2"/>
      <c r="D139" s="2"/>
      <c r="E139" s="6"/>
      <c r="F139" s="2"/>
      <c r="G139" s="2"/>
      <c r="H139" s="70">
        <f>IFERROR(H129/H127,"")</f>
        <v>0.22019304487998584</v>
      </c>
      <c r="I139" s="179"/>
      <c r="J139" s="179"/>
      <c r="K139" s="191"/>
      <c r="L139" s="179"/>
      <c r="M139" s="179"/>
      <c r="N139" s="70">
        <f>IFERROR(N129/N127,"")</f>
        <v>0.23378156966360134</v>
      </c>
      <c r="O139" s="28"/>
      <c r="P139" s="28"/>
      <c r="Q139" s="45"/>
      <c r="R139" s="28"/>
      <c r="S139" s="28"/>
      <c r="T139" s="78">
        <f>IFERROR(T129/T127,"")</f>
        <v>0.22169263427724598</v>
      </c>
      <c r="U139" s="36"/>
      <c r="V139" s="36"/>
      <c r="W139" s="53"/>
      <c r="X139" s="36"/>
      <c r="Y139" s="36"/>
      <c r="Z139" s="78">
        <f>IFERROR(Z129/Z127,"")</f>
        <v>0.22123132581938698</v>
      </c>
      <c r="AA139" s="36"/>
      <c r="AB139" s="36"/>
      <c r="AC139" s="53"/>
      <c r="AD139" s="36"/>
      <c r="AE139" s="36"/>
      <c r="AF139" s="78">
        <f>IFERROR(AF129/AF127,"")</f>
        <v>0.25083156460861028</v>
      </c>
      <c r="AG139" s="36"/>
      <c r="AH139" s="36"/>
      <c r="AI139" s="192"/>
      <c r="AJ139" s="36"/>
      <c r="AK139" s="36"/>
      <c r="AL139" s="78">
        <f>IFERROR(AL129/AL127,"")</f>
        <v>0.24612703998895905</v>
      </c>
      <c r="AM139" s="36"/>
      <c r="AN139" s="36"/>
      <c r="AO139" s="192"/>
      <c r="AP139" s="36"/>
      <c r="AQ139" s="36"/>
      <c r="AR139" s="78">
        <f>IFERROR(AR129/AR127,"")</f>
        <v>0.20632891950895746</v>
      </c>
      <c r="AS139" s="36"/>
      <c r="AT139" s="36"/>
      <c r="AU139" s="192"/>
      <c r="AV139" s="36"/>
      <c r="AW139" s="36"/>
      <c r="AX139" s="78">
        <f>IFERROR(AX129/AX127,"")</f>
        <v>0.22128445038508052</v>
      </c>
      <c r="AY139" s="36"/>
      <c r="AZ139" s="36"/>
      <c r="BA139" s="192"/>
      <c r="BB139" s="36"/>
      <c r="BC139" s="36"/>
      <c r="BD139" s="78">
        <f>IFERROR(BD129/BD127,"")</f>
        <v>0.29059919753291108</v>
      </c>
      <c r="BE139" s="36"/>
      <c r="BF139" s="36"/>
      <c r="BG139" s="192"/>
      <c r="BH139" s="36"/>
      <c r="BI139" s="36"/>
      <c r="BJ139" s="78">
        <f>IFERROR(BJ129/BJ127,"")</f>
        <v>0.25716611013368762</v>
      </c>
      <c r="BK139" s="36"/>
      <c r="BL139" s="36"/>
      <c r="BM139" s="192"/>
      <c r="BN139" s="36"/>
      <c r="BO139" s="36"/>
      <c r="BP139" s="78">
        <f t="shared" ref="BP139:BU139" si="152">IFERROR(BP129/BP127,"")</f>
        <v>0.27032195721522978</v>
      </c>
      <c r="BQ139" s="375">
        <f t="shared" si="152"/>
        <v>0.27382874222015557</v>
      </c>
      <c r="BR139" s="375">
        <f t="shared" si="152"/>
        <v>0.27789734674998412</v>
      </c>
      <c r="BS139" s="375">
        <f t="shared" si="152"/>
        <v>0.28176406839159329</v>
      </c>
      <c r="BT139" s="375">
        <f t="shared" si="152"/>
        <v>0.2822730637465457</v>
      </c>
      <c r="BU139" s="375">
        <f t="shared" si="152"/>
        <v>0.28262233274021742</v>
      </c>
      <c r="BV139" s="365"/>
      <c r="BW139" s="305"/>
      <c r="BX139" s="450">
        <f>IFERROR(AVERAGE(BQ139,BR139,BS139,BT139,BU139),"n/m")</f>
        <v>0.27967711076969926</v>
      </c>
      <c r="BY139" s="459">
        <f>IFERROR(AVERAGE(AR139,AX139,BD139,BJ139,BP139),"n/m")</f>
        <v>0.24914012695517326</v>
      </c>
      <c r="BZ139" s="459">
        <f>IFERROR(AVERAGE(N139,T139,Z139,AF139,AL139,AR139,AX139,BD139,BJ139,BP139),"n/m")</f>
        <v>0.24193647691336703</v>
      </c>
    </row>
    <row r="140" spans="2:78" x14ac:dyDescent="0.25">
      <c r="B140" s="12" t="s">
        <v>180</v>
      </c>
      <c r="C140" s="2"/>
      <c r="D140" s="2"/>
      <c r="E140" s="6"/>
      <c r="F140" s="2"/>
      <c r="G140" s="2"/>
      <c r="H140" s="70">
        <f>IFERROR(H132/H127,"")</f>
        <v>7.0278558650651676E-2</v>
      </c>
      <c r="I140" s="179"/>
      <c r="J140" s="179"/>
      <c r="K140" s="191"/>
      <c r="L140" s="179"/>
      <c r="M140" s="179"/>
      <c r="N140" s="70">
        <f>IFERROR(N132/N127,"")</f>
        <v>6.2733405169232592E-2</v>
      </c>
      <c r="O140" s="28"/>
      <c r="P140" s="28"/>
      <c r="Q140" s="45"/>
      <c r="R140" s="28"/>
      <c r="S140" s="28"/>
      <c r="T140" s="78">
        <f>IFERROR(T132/T127,"")</f>
        <v>7.5619818159971167E-2</v>
      </c>
      <c r="U140" s="36"/>
      <c r="V140" s="36"/>
      <c r="W140" s="53"/>
      <c r="X140" s="36"/>
      <c r="Y140" s="36"/>
      <c r="Z140" s="78">
        <f>IFERROR(Z132/Z127,"")</f>
        <v>7.858019303505244E-2</v>
      </c>
      <c r="AA140" s="36"/>
      <c r="AB140" s="36"/>
      <c r="AC140" s="53"/>
      <c r="AD140" s="36"/>
      <c r="AE140" s="36"/>
      <c r="AF140" s="78">
        <f>IFERROR(AF132/AF127,"")</f>
        <v>0.10867889462624471</v>
      </c>
      <c r="AG140" s="36"/>
      <c r="AH140" s="36"/>
      <c r="AI140" s="192"/>
      <c r="AJ140" s="36"/>
      <c r="AK140" s="36"/>
      <c r="AL140" s="78">
        <f>IFERROR(AL132/AL127,"")</f>
        <v>0.1169564917365352</v>
      </c>
      <c r="AM140" s="36"/>
      <c r="AN140" s="36"/>
      <c r="AO140" s="192"/>
      <c r="AP140" s="36"/>
      <c r="AQ140" s="36"/>
      <c r="AR140" s="78">
        <f>IFERROR(AR132/AR127,"")</f>
        <v>0.11199302272004212</v>
      </c>
      <c r="AS140" s="36"/>
      <c r="AT140" s="36"/>
      <c r="AU140" s="192"/>
      <c r="AV140" s="36"/>
      <c r="AW140" s="36"/>
      <c r="AX140" s="78">
        <f>IFERROR(AX132/AX127,"")</f>
        <v>0.12846625506545309</v>
      </c>
      <c r="AY140" s="36"/>
      <c r="AZ140" s="36"/>
      <c r="BA140" s="192"/>
      <c r="BB140" s="36"/>
      <c r="BC140" s="36"/>
      <c r="BD140" s="78">
        <f>IFERROR(BD132/BD127,"")</f>
        <v>0.15251517060715589</v>
      </c>
      <c r="BE140" s="36"/>
      <c r="BF140" s="36"/>
      <c r="BG140" s="192"/>
      <c r="BH140" s="36"/>
      <c r="BI140" s="36"/>
      <c r="BJ140" s="78">
        <f>IFERROR(BJ132/BJ127,"")</f>
        <v>0.13064162866683424</v>
      </c>
      <c r="BK140" s="36"/>
      <c r="BL140" s="36"/>
      <c r="BM140" s="192"/>
      <c r="BN140" s="36"/>
      <c r="BO140" s="36"/>
      <c r="BP140" s="78">
        <f t="shared" ref="BP140:BU140" si="153">IFERROR(BP132/BP127,"")</f>
        <v>0.1141951473935738</v>
      </c>
      <c r="BQ140" s="375">
        <f t="shared" si="153"/>
        <v>0.12276632103941401</v>
      </c>
      <c r="BR140" s="375">
        <f t="shared" si="153"/>
        <v>0.13204015228460933</v>
      </c>
      <c r="BS140" s="375">
        <f t="shared" si="153"/>
        <v>0.14105602416629184</v>
      </c>
      <c r="BT140" s="375">
        <f t="shared" si="153"/>
        <v>0.14527147784318004</v>
      </c>
      <c r="BU140" s="375">
        <f t="shared" si="153"/>
        <v>0.14850312418844547</v>
      </c>
      <c r="BV140" s="365"/>
      <c r="BW140" s="305"/>
      <c r="BX140" s="451"/>
      <c r="BY140" s="459"/>
      <c r="BZ140" s="459"/>
    </row>
    <row r="141" spans="2:78" x14ac:dyDescent="0.25">
      <c r="B141" s="12" t="s">
        <v>181</v>
      </c>
      <c r="C141" s="2"/>
      <c r="D141" s="2"/>
      <c r="E141" s="6"/>
      <c r="F141" s="2"/>
      <c r="G141" s="2"/>
      <c r="H141" s="70">
        <f>IFERROR(H134/H127,"")</f>
        <v>5.9957931156500027E-2</v>
      </c>
      <c r="I141" s="179"/>
      <c r="J141" s="179"/>
      <c r="K141" s="191"/>
      <c r="L141" s="179"/>
      <c r="M141" s="179"/>
      <c r="N141" s="70">
        <f>IFERROR(N134/N127,"")</f>
        <v>5.1293784226607818E-2</v>
      </c>
      <c r="O141" s="28"/>
      <c r="P141" s="28"/>
      <c r="Q141" s="45"/>
      <c r="R141" s="28"/>
      <c r="S141" s="28"/>
      <c r="T141" s="78">
        <f>IFERROR(T134/T127,"")</f>
        <v>6.5125966275483643E-2</v>
      </c>
      <c r="U141" s="36"/>
      <c r="V141" s="36"/>
      <c r="W141" s="53"/>
      <c r="X141" s="36"/>
      <c r="Y141" s="36"/>
      <c r="Z141" s="78">
        <f>IFERROR(Z134/Z127,"")</f>
        <v>6.8941090154706341E-2</v>
      </c>
      <c r="AA141" s="36"/>
      <c r="AB141" s="36"/>
      <c r="AC141" s="53"/>
      <c r="AD141" s="36"/>
      <c r="AE141" s="36"/>
      <c r="AF141" s="78">
        <f>IFERROR(AF134/AF127,"")</f>
        <v>7.0263249596097185E-2</v>
      </c>
      <c r="AG141" s="36"/>
      <c r="AH141" s="36"/>
      <c r="AI141" s="192"/>
      <c r="AJ141" s="36"/>
      <c r="AK141" s="36"/>
      <c r="AL141" s="78">
        <f>IFERROR(AL134/AL127,"")</f>
        <v>8.2117103129420693E-2</v>
      </c>
      <c r="AM141" s="36"/>
      <c r="AN141" s="36"/>
      <c r="AO141" s="192"/>
      <c r="AP141" s="36"/>
      <c r="AQ141" s="36"/>
      <c r="AR141" s="78">
        <f>IFERROR(AR134/AR127,"")</f>
        <v>8.8987745877809832E-2</v>
      </c>
      <c r="AS141" s="36"/>
      <c r="AT141" s="36"/>
      <c r="AU141" s="192"/>
      <c r="AV141" s="36"/>
      <c r="AW141" s="36"/>
      <c r="AX141" s="78">
        <f>IFERROR(AX134/AX127,"")</f>
        <v>0.1069484225489572</v>
      </c>
      <c r="AY141" s="36"/>
      <c r="AZ141" s="36"/>
      <c r="BA141" s="192"/>
      <c r="BB141" s="36"/>
      <c r="BC141" s="36"/>
      <c r="BD141" s="78">
        <f>IFERROR(BD134/BD127,"")</f>
        <v>0.117538216666114</v>
      </c>
      <c r="BE141" s="36"/>
      <c r="BF141" s="36"/>
      <c r="BG141" s="192"/>
      <c r="BH141" s="36"/>
      <c r="BI141" s="36"/>
      <c r="BJ141" s="78">
        <f>IFERROR(BJ134/BJ127,"")</f>
        <v>9.632209495769152E-2</v>
      </c>
      <c r="BK141" s="36"/>
      <c r="BL141" s="36"/>
      <c r="BM141" s="192"/>
      <c r="BN141" s="36"/>
      <c r="BO141" s="36"/>
      <c r="BP141" s="78">
        <f t="shared" ref="BP141:BU141" si="154">IFERROR(BP134/BP127,"")</f>
        <v>7.9290505436035108E-2</v>
      </c>
      <c r="BQ141" s="375">
        <f t="shared" si="154"/>
        <v>8.8680876385453924E-2</v>
      </c>
      <c r="BR141" s="375">
        <f t="shared" si="154"/>
        <v>9.8803008605759274E-2</v>
      </c>
      <c r="BS141" s="375">
        <f t="shared" si="154"/>
        <v>0.10861407855364473</v>
      </c>
      <c r="BT141" s="375">
        <f t="shared" si="154"/>
        <v>0.11296692999934904</v>
      </c>
      <c r="BU141" s="375">
        <f t="shared" si="154"/>
        <v>0.11662202504257554</v>
      </c>
      <c r="BV141" s="365"/>
      <c r="BW141" s="305"/>
      <c r="BX141" s="450">
        <f>IFERROR(AVERAGE(BQ141,BR141,BS141,BT141,BU141),"n/m")</f>
        <v>0.10513738371735651</v>
      </c>
      <c r="BY141" s="459">
        <f>IFERROR(AVERAGE(AR141,AX141,BD141,BJ141,BP141),"n/m")</f>
        <v>9.781739709732154E-2</v>
      </c>
      <c r="BZ141" s="459">
        <f>IFERROR(AVERAGE(N141,T141,Z141,AF141,AL141,AR141,AX141,BD141,BJ141,BP141),"n/m")</f>
        <v>8.2682817886892329E-2</v>
      </c>
    </row>
    <row r="142" spans="2:78" x14ac:dyDescent="0.25">
      <c r="B142" s="12" t="s">
        <v>182</v>
      </c>
      <c r="C142" s="1"/>
      <c r="D142" s="1"/>
      <c r="E142" s="1"/>
      <c r="F142" s="1"/>
      <c r="G142" s="1"/>
      <c r="H142" s="78" t="str">
        <f>""</f>
        <v/>
      </c>
      <c r="I142" s="176"/>
      <c r="J142" s="176"/>
      <c r="K142" s="177"/>
      <c r="L142" s="176"/>
      <c r="M142" s="176"/>
      <c r="N142" s="78">
        <f>IFERROR((N134-H134)/(N127-H127),"")</f>
        <v>2.5180708614764784E-2</v>
      </c>
      <c r="O142" s="176"/>
      <c r="P142" s="176"/>
      <c r="Q142" s="177"/>
      <c r="R142" s="176"/>
      <c r="S142" s="176"/>
      <c r="T142" s="78">
        <f>IFERROR((T134-N134)/(T127-N127),"")</f>
        <v>0.19611406206318144</v>
      </c>
      <c r="U142" s="176"/>
      <c r="V142" s="176"/>
      <c r="W142" s="177"/>
      <c r="X142" s="176"/>
      <c r="Y142" s="176"/>
      <c r="Z142" s="78">
        <f>IFERROR((Z134-T134)/(Z127-T127),"")</f>
        <v>0.13776493256262043</v>
      </c>
      <c r="AA142" s="176"/>
      <c r="AB142" s="176"/>
      <c r="AC142" s="177"/>
      <c r="AD142" s="176"/>
      <c r="AE142" s="176"/>
      <c r="AF142" s="78">
        <f>IFERROR((AF134-Z134)/(AF127-Z127),"")</f>
        <v>7.6942740286298564E-2</v>
      </c>
      <c r="AG142" s="176"/>
      <c r="AH142" s="176"/>
      <c r="AI142" s="177"/>
      <c r="AJ142" s="176"/>
      <c r="AK142" s="176"/>
      <c r="AL142" s="78">
        <f>IFERROR((AL134-AF134)/(AL127-AF127),"")</f>
        <v>0.1349912863265979</v>
      </c>
      <c r="AM142" s="176"/>
      <c r="AN142" s="176"/>
      <c r="AO142" s="177"/>
      <c r="AP142" s="176"/>
      <c r="AQ142" s="176"/>
      <c r="AR142" s="78">
        <f>IFERROR((AR134-AL134)/(AR127-AL127),"")</f>
        <v>0.10098833880736433</v>
      </c>
      <c r="AS142" s="176"/>
      <c r="AT142" s="176"/>
      <c r="AU142" s="177"/>
      <c r="AV142" s="176"/>
      <c r="AW142" s="176"/>
      <c r="AX142" s="78">
        <f>IFERROR((AX134-AR134)/(AX127-AR127),"")</f>
        <v>0.16831274948930827</v>
      </c>
      <c r="AY142" s="176"/>
      <c r="AZ142" s="176"/>
      <c r="BA142" s="177"/>
      <c r="BB142" s="176"/>
      <c r="BC142" s="176"/>
      <c r="BD142" s="78">
        <f>IFERROR((BD134-AX134)/(BD127-AX127),"")</f>
        <v>8.8136192271442038E-2</v>
      </c>
      <c r="BE142" s="176"/>
      <c r="BF142" s="176"/>
      <c r="BG142" s="177"/>
      <c r="BH142" s="176"/>
      <c r="BI142" s="176"/>
      <c r="BJ142" s="78">
        <f>IFERROR((BJ134-BD134)/(BJ127-BD127),"")</f>
        <v>-9.9687519147111089E-2</v>
      </c>
      <c r="BK142" s="176"/>
      <c r="BL142" s="176"/>
      <c r="BM142" s="177"/>
      <c r="BN142" s="176"/>
      <c r="BO142" s="176"/>
      <c r="BP142" s="78">
        <f>IFERROR((BP134-BJ134)/(BP127-BJ127),"")</f>
        <v>4.3814272358990339E-2</v>
      </c>
      <c r="BQ142" s="375">
        <f>IFERROR((BQ134-BP134)/(BQ127-BP127),"")</f>
        <v>0.18157865123896913</v>
      </c>
      <c r="BR142" s="375">
        <f>IFERROR((BR134-BQ134)/(BR127-BQ127),"")</f>
        <v>0.27324520010226444</v>
      </c>
      <c r="BS142" s="375">
        <f>IFERROR((BS134-BR134)/(BS127-BR127),"")</f>
        <v>0.30267437674915798</v>
      </c>
      <c r="BT142" s="375">
        <f>IFERROR((BT134-BS134)/(BT127-BS127),"")</f>
        <v>0.22126216468997484</v>
      </c>
      <c r="BU142" s="375">
        <f>IFERROR((BU134-BT134)/(BU127-BT127),"")</f>
        <v>0.20757111943869636</v>
      </c>
      <c r="BV142" s="365"/>
      <c r="BW142" s="305"/>
      <c r="BX142" s="451"/>
      <c r="BY142" s="459"/>
      <c r="BZ142" s="459"/>
    </row>
    <row r="143" spans="2:78" ht="18.75" customHeight="1" x14ac:dyDescent="0.25">
      <c r="B143" s="262" t="s">
        <v>183</v>
      </c>
      <c r="C143" s="16"/>
      <c r="D143" s="16"/>
      <c r="E143" s="16"/>
      <c r="F143" s="16"/>
      <c r="G143" s="16"/>
      <c r="H143" s="286">
        <f>IFERROR(H134/H129,"")</f>
        <v>0.27229711632889919</v>
      </c>
      <c r="I143" s="287"/>
      <c r="J143" s="287"/>
      <c r="K143" s="287"/>
      <c r="L143" s="287"/>
      <c r="M143" s="287"/>
      <c r="N143" s="286">
        <f>IFERROR(N134/N129,"")</f>
        <v>0.21940901628993559</v>
      </c>
      <c r="O143" s="287"/>
      <c r="P143" s="287"/>
      <c r="Q143" s="287"/>
      <c r="R143" s="287"/>
      <c r="S143" s="287"/>
      <c r="T143" s="278">
        <f>IFERROR(T134/T129,"")</f>
        <v>0.29376693766937667</v>
      </c>
      <c r="U143" s="288"/>
      <c r="V143" s="288"/>
      <c r="W143" s="288"/>
      <c r="X143" s="288"/>
      <c r="Y143" s="288"/>
      <c r="Z143" s="278">
        <f>IFERROR(Z134/Z129,"")</f>
        <v>0.31162444965406827</v>
      </c>
      <c r="AA143" s="288"/>
      <c r="AB143" s="288"/>
      <c r="AC143" s="288"/>
      <c r="AD143" s="288"/>
      <c r="AE143" s="288"/>
      <c r="AF143" s="278">
        <f>IFERROR(AF134/AF129,"")</f>
        <v>0.28012124273806516</v>
      </c>
      <c r="AG143" s="288"/>
      <c r="AH143" s="288"/>
      <c r="AI143" s="288"/>
      <c r="AJ143" s="288"/>
      <c r="AK143" s="288"/>
      <c r="AL143" s="278">
        <f>IFERROR(AL134/AL129,"")</f>
        <v>0.33363706455456649</v>
      </c>
      <c r="AM143" s="288"/>
      <c r="AN143" s="288"/>
      <c r="AO143" s="288"/>
      <c r="AP143" s="288"/>
      <c r="AQ143" s="288"/>
      <c r="AR143" s="278">
        <f>IFERROR(AR134/AR129,"")</f>
        <v>0.4312907084939519</v>
      </c>
      <c r="AS143" s="288"/>
      <c r="AT143" s="288"/>
      <c r="AU143" s="288"/>
      <c r="AV143" s="288"/>
      <c r="AW143" s="288"/>
      <c r="AX143" s="278">
        <f>IFERROR(AX134/AX129,"")</f>
        <v>0.48330744597211833</v>
      </c>
      <c r="AY143" s="288"/>
      <c r="AZ143" s="288"/>
      <c r="BA143" s="288"/>
      <c r="BB143" s="288"/>
      <c r="BC143" s="288"/>
      <c r="BD143" s="278">
        <f>IFERROR(BD134/BD129,"")</f>
        <v>0.40446848327171481</v>
      </c>
      <c r="BE143" s="288"/>
      <c r="BF143" s="288"/>
      <c r="BG143" s="288"/>
      <c r="BH143" s="288"/>
      <c r="BI143" s="288"/>
      <c r="BJ143" s="278">
        <f>IFERROR(BJ134/BJ129,"")</f>
        <v>0.37455205473076741</v>
      </c>
      <c r="BK143" s="288"/>
      <c r="BL143" s="288"/>
      <c r="BM143" s="288"/>
      <c r="BN143" s="288"/>
      <c r="BO143" s="288"/>
      <c r="BP143" s="278">
        <f t="shared" ref="BP143:BU143" si="155">IFERROR(BP134/BP129,"")</f>
        <v>0.29331877533316381</v>
      </c>
      <c r="BQ143" s="285">
        <f t="shared" si="155"/>
        <v>0.32385525225162592</v>
      </c>
      <c r="BR143" s="285">
        <f t="shared" si="155"/>
        <v>0.35553779034331467</v>
      </c>
      <c r="BS143" s="285">
        <f t="shared" si="155"/>
        <v>0.38547881273027979</v>
      </c>
      <c r="BT143" s="285">
        <f t="shared" si="155"/>
        <v>0.40020442793926159</v>
      </c>
      <c r="BU143" s="278">
        <f t="shared" si="155"/>
        <v>0.41264263836422627</v>
      </c>
      <c r="BV143" s="411" t="s">
        <v>325</v>
      </c>
      <c r="BW143" s="446"/>
      <c r="BX143" s="456">
        <f>IFERROR(AVERAGE(BQ143,BR143,BS143,BT143,BU143),"n/m")</f>
        <v>0.37554378432574165</v>
      </c>
      <c r="BY143" s="265">
        <f>IFERROR(AVERAGE(AR143,AX143,BD143,BJ143,BP143),"n/m")</f>
        <v>0.39738749356034331</v>
      </c>
      <c r="BZ143" s="265">
        <f>IFERROR(AVERAGE(N143,T143,Z143,AF143,AL143,AR143,AX143,BD143,BJ143,BP143),"n/m")</f>
        <v>0.34254961787077287</v>
      </c>
    </row>
    <row r="144" spans="2:78" x14ac:dyDescent="0.25">
      <c r="B144" s="204"/>
      <c r="C144" s="1"/>
      <c r="D144" s="1"/>
      <c r="E144" s="1"/>
      <c r="F144" s="1"/>
      <c r="G144" s="1"/>
      <c r="H144" s="78"/>
      <c r="I144" s="176"/>
      <c r="J144" s="176"/>
      <c r="K144" s="177"/>
      <c r="L144" s="176"/>
      <c r="M144" s="176"/>
      <c r="N144" s="78"/>
      <c r="O144" s="176"/>
      <c r="P144" s="176"/>
      <c r="Q144" s="177"/>
      <c r="R144" s="176"/>
      <c r="S144" s="176"/>
      <c r="T144" s="78"/>
      <c r="U144" s="176"/>
      <c r="V144" s="176"/>
      <c r="W144" s="177"/>
      <c r="X144" s="176"/>
      <c r="Y144" s="176"/>
      <c r="Z144" s="78"/>
      <c r="AA144" s="176"/>
      <c r="AB144" s="176"/>
      <c r="AC144" s="177"/>
      <c r="AD144" s="176"/>
      <c r="AE144" s="176"/>
      <c r="AF144" s="78"/>
      <c r="AG144" s="176"/>
      <c r="AH144" s="176"/>
      <c r="AI144" s="177"/>
      <c r="AJ144" s="176"/>
      <c r="AK144" s="176"/>
      <c r="AL144" s="78"/>
      <c r="AM144" s="176"/>
      <c r="AN144" s="176"/>
      <c r="AO144" s="177"/>
      <c r="AP144" s="176"/>
      <c r="AQ144" s="176"/>
      <c r="AR144" s="78"/>
      <c r="AS144" s="176"/>
      <c r="AT144" s="176"/>
      <c r="AU144" s="177"/>
      <c r="AV144" s="176"/>
      <c r="AW144" s="176"/>
      <c r="AX144" s="78"/>
      <c r="AY144" s="176"/>
      <c r="AZ144" s="176"/>
      <c r="BA144" s="177"/>
      <c r="BB144" s="176"/>
      <c r="BC144" s="176"/>
      <c r="BD144" s="78"/>
      <c r="BE144" s="176"/>
      <c r="BF144" s="176"/>
      <c r="BG144" s="177"/>
      <c r="BH144" s="176"/>
      <c r="BI144" s="176"/>
      <c r="BJ144" s="78"/>
      <c r="BK144" s="176"/>
      <c r="BL144" s="176"/>
      <c r="BM144" s="177"/>
      <c r="BN144" s="176"/>
      <c r="BO144" s="176"/>
      <c r="BP144" s="78"/>
      <c r="BQ144" s="375"/>
      <c r="BR144" s="375"/>
      <c r="BS144" s="375"/>
      <c r="BT144" s="375"/>
      <c r="BU144" s="375"/>
      <c r="BV144" s="365"/>
      <c r="BW144" s="305"/>
      <c r="BX144" s="451"/>
      <c r="BY144" s="459"/>
      <c r="BZ144" s="459"/>
    </row>
    <row r="145" spans="2:78" x14ac:dyDescent="0.25">
      <c r="B145" s="57" t="s">
        <v>221</v>
      </c>
      <c r="C145" s="58"/>
      <c r="D145" s="58"/>
      <c r="E145" s="58"/>
      <c r="F145" s="58"/>
      <c r="G145" s="58"/>
      <c r="H145" s="66"/>
      <c r="I145" s="58"/>
      <c r="J145" s="58"/>
      <c r="K145" s="58"/>
      <c r="L145" s="58"/>
      <c r="M145" s="58"/>
      <c r="N145" s="66"/>
      <c r="O145" s="58"/>
      <c r="P145" s="58"/>
      <c r="Q145" s="58"/>
      <c r="R145" s="58"/>
      <c r="S145" s="58"/>
      <c r="T145" s="66"/>
      <c r="U145" s="58"/>
      <c r="V145" s="58"/>
      <c r="W145" s="58"/>
      <c r="X145" s="58"/>
      <c r="Y145" s="58"/>
      <c r="Z145" s="66"/>
      <c r="AA145" s="58"/>
      <c r="AB145" s="58"/>
      <c r="AC145" s="58"/>
      <c r="AD145" s="58"/>
      <c r="AE145" s="58"/>
      <c r="AF145" s="66"/>
      <c r="AG145" s="58"/>
      <c r="AH145" s="58"/>
      <c r="AI145" s="58"/>
      <c r="AJ145" s="58"/>
      <c r="AK145" s="58"/>
      <c r="AL145" s="66"/>
      <c r="AM145" s="58"/>
      <c r="AN145" s="58"/>
      <c r="AO145" s="58"/>
      <c r="AP145" s="58"/>
      <c r="AQ145" s="58"/>
      <c r="AR145" s="66"/>
      <c r="AS145" s="58"/>
      <c r="AT145" s="58"/>
      <c r="AU145" s="58"/>
      <c r="AV145" s="58"/>
      <c r="AW145" s="58"/>
      <c r="AX145" s="66"/>
      <c r="AY145" s="58"/>
      <c r="AZ145" s="58"/>
      <c r="BA145" s="58"/>
      <c r="BB145" s="58"/>
      <c r="BC145" s="58"/>
      <c r="BD145" s="66"/>
      <c r="BE145" s="58"/>
      <c r="BF145" s="58"/>
      <c r="BG145" s="58"/>
      <c r="BH145" s="58"/>
      <c r="BI145" s="58"/>
      <c r="BJ145" s="66"/>
      <c r="BK145" s="58"/>
      <c r="BL145" s="58"/>
      <c r="BM145" s="58"/>
      <c r="BN145" s="58"/>
      <c r="BO145" s="58"/>
      <c r="BP145" s="106"/>
      <c r="BQ145" s="58"/>
      <c r="BR145" s="58"/>
      <c r="BS145" s="58"/>
      <c r="BT145" s="58"/>
      <c r="BU145" s="58"/>
      <c r="BV145" s="57" t="s">
        <v>313</v>
      </c>
      <c r="BW145" s="305"/>
      <c r="BX145" s="455"/>
      <c r="BY145" s="60"/>
      <c r="BZ145" s="60"/>
    </row>
    <row r="146" spans="2:78" x14ac:dyDescent="0.25">
      <c r="B146" t="s">
        <v>4</v>
      </c>
      <c r="C146" s="1"/>
      <c r="D146" s="1"/>
      <c r="E146" s="1"/>
      <c r="F146" s="1"/>
      <c r="G146" s="1"/>
      <c r="H146" s="79">
        <f>H127</f>
        <v>50869</v>
      </c>
      <c r="I146" s="22"/>
      <c r="J146" s="22"/>
      <c r="K146" s="39"/>
      <c r="L146" s="22"/>
      <c r="M146" s="22"/>
      <c r="N146" s="79">
        <f>N127</f>
        <v>67747</v>
      </c>
      <c r="O146" s="22"/>
      <c r="P146" s="22"/>
      <c r="Q146" s="39"/>
      <c r="R146" s="22"/>
      <c r="S146" s="22"/>
      <c r="T146" s="99">
        <f>T127</f>
        <v>74901</v>
      </c>
      <c r="U146" s="30"/>
      <c r="V146" s="30"/>
      <c r="W146" s="47"/>
      <c r="X146" s="30"/>
      <c r="Y146" s="30"/>
      <c r="Z146" s="99">
        <f>Z127</f>
        <v>79053</v>
      </c>
      <c r="AA146" s="30"/>
      <c r="AB146" s="30"/>
      <c r="AC146" s="47"/>
      <c r="AD146" s="30"/>
      <c r="AE146" s="30"/>
      <c r="AF146" s="99">
        <f>AF127</f>
        <v>94701</v>
      </c>
      <c r="AG146" s="30"/>
      <c r="AH146" s="30"/>
      <c r="AI146" s="47"/>
      <c r="AJ146" s="30"/>
      <c r="AK146" s="30"/>
      <c r="AL146" s="99">
        <f>AL127</f>
        <v>115932</v>
      </c>
      <c r="AM146" s="30"/>
      <c r="AN146" s="30"/>
      <c r="AO146" s="47"/>
      <c r="AP146" s="30"/>
      <c r="AQ146" s="30"/>
      <c r="AR146" s="99">
        <f>AR127</f>
        <v>182306</v>
      </c>
      <c r="AS146" s="30">
        <v>61125</v>
      </c>
      <c r="AT146" s="30">
        <v>62749</v>
      </c>
      <c r="AU146" s="47">
        <f>AS146+AT146</f>
        <v>123874</v>
      </c>
      <c r="AV146" s="30">
        <v>60560</v>
      </c>
      <c r="AW146" s="30">
        <v>51231</v>
      </c>
      <c r="AX146" s="99">
        <f>AX127</f>
        <v>235665</v>
      </c>
      <c r="AY146" s="30">
        <v>40954</v>
      </c>
      <c r="AZ146" s="30">
        <v>37727</v>
      </c>
      <c r="BA146" s="47">
        <f>AY146+AZ146</f>
        <v>78681</v>
      </c>
      <c r="BB146" s="30">
        <v>35576</v>
      </c>
      <c r="BC146" s="30">
        <v>36528</v>
      </c>
      <c r="BD146" s="99">
        <f>BD127</f>
        <v>150785</v>
      </c>
      <c r="BE146" s="30">
        <v>38340</v>
      </c>
      <c r="BF146" s="30">
        <v>41157</v>
      </c>
      <c r="BG146" s="47">
        <f>BE146+BF146</f>
        <v>79497</v>
      </c>
      <c r="BH146" s="30">
        <v>44095</v>
      </c>
      <c r="BI146" s="30">
        <v>43514</v>
      </c>
      <c r="BJ146" s="99">
        <f>BJ127</f>
        <v>167106</v>
      </c>
      <c r="BK146" s="30">
        <v>41680</v>
      </c>
      <c r="BL146" s="30">
        <v>61983</v>
      </c>
      <c r="BM146" s="47">
        <f>BK146+BL146</f>
        <v>103663</v>
      </c>
      <c r="BN146" s="30">
        <v>71983</v>
      </c>
      <c r="BO146" s="30"/>
      <c r="BP146" s="99">
        <f t="shared" ref="BP146:BU147" si="156">BP127</f>
        <v>247331</v>
      </c>
      <c r="BQ146" s="383">
        <f t="shared" si="156"/>
        <v>272331.91999999958</v>
      </c>
      <c r="BR146" s="383">
        <f t="shared" si="156"/>
        <v>288134.17333333287</v>
      </c>
      <c r="BS146" s="383">
        <f t="shared" si="156"/>
        <v>302701.31846933288</v>
      </c>
      <c r="BT146" s="383">
        <f t="shared" si="156"/>
        <v>314868.18689599959</v>
      </c>
      <c r="BU146" s="383">
        <f t="shared" si="156"/>
        <v>327522.2232757436</v>
      </c>
      <c r="BV146" s="365"/>
      <c r="BW146" s="305"/>
      <c r="BX146" s="450">
        <f>IFERROR((BU146/BP146)^(1/5)-1,"n/m")</f>
        <v>5.7772918839292586E-2</v>
      </c>
      <c r="BY146" s="459">
        <f>IFERROR((BP146/AL146)^(1/5)-1,"n/m")</f>
        <v>0.16363036336863468</v>
      </c>
      <c r="BZ146" s="459">
        <f>IFERROR((BP146/H146)^(1/10)-1,"n/m")</f>
        <v>0.17133881622100788</v>
      </c>
    </row>
    <row r="147" spans="2:78" x14ac:dyDescent="0.25">
      <c r="B147" t="s">
        <v>5</v>
      </c>
      <c r="C147" s="2">
        <v>12601</v>
      </c>
      <c r="D147" s="2">
        <v>13127</v>
      </c>
      <c r="E147" s="6">
        <f t="shared" ref="E147:E155" si="157">C147+D147</f>
        <v>25728</v>
      </c>
      <c r="F147" s="2">
        <v>12535</v>
      </c>
      <c r="G147" s="2">
        <v>12606</v>
      </c>
      <c r="H147" s="79">
        <f>H128</f>
        <v>39668</v>
      </c>
      <c r="I147" s="22">
        <v>15319</v>
      </c>
      <c r="J147" s="22">
        <v>17606</v>
      </c>
      <c r="K147" s="39">
        <f t="shared" ref="K147:K155" si="158">I147+J147</f>
        <v>32925</v>
      </c>
      <c r="L147" s="22">
        <v>17205</v>
      </c>
      <c r="M147" s="22">
        <v>17617</v>
      </c>
      <c r="N147" s="79">
        <f>N128</f>
        <v>51909</v>
      </c>
      <c r="O147" s="22"/>
      <c r="P147" s="22"/>
      <c r="Q147" s="39"/>
      <c r="R147" s="22"/>
      <c r="S147" s="22"/>
      <c r="T147" s="99">
        <f>T128</f>
        <v>58296</v>
      </c>
      <c r="U147" s="30"/>
      <c r="V147" s="30"/>
      <c r="W147" s="47"/>
      <c r="X147" s="30"/>
      <c r="Y147" s="30"/>
      <c r="Z147" s="99">
        <f>Z128</f>
        <v>61564</v>
      </c>
      <c r="AA147" s="30"/>
      <c r="AB147" s="30"/>
      <c r="AC147" s="47"/>
      <c r="AD147" s="30"/>
      <c r="AE147" s="30"/>
      <c r="AF147" s="99">
        <f>AF128</f>
        <v>70947</v>
      </c>
      <c r="AG147" s="30">
        <v>27309</v>
      </c>
      <c r="AH147" s="30">
        <v>28782</v>
      </c>
      <c r="AI147" s="47">
        <f t="shared" ref="AI147:AI161" si="159">AG147+AH147</f>
        <v>56091</v>
      </c>
      <c r="AJ147" s="30">
        <v>28125</v>
      </c>
      <c r="AK147" s="30">
        <v>31716</v>
      </c>
      <c r="AL147" s="99">
        <f>AL128</f>
        <v>87398</v>
      </c>
      <c r="AM147" s="30">
        <v>33616</v>
      </c>
      <c r="AN147" s="30">
        <v>37831</v>
      </c>
      <c r="AO147" s="47">
        <f t="shared" ref="AO147:AO161" si="160">AM147+AN147</f>
        <v>71447</v>
      </c>
      <c r="AP147" s="30">
        <v>49557</v>
      </c>
      <c r="AQ147" s="30">
        <v>61302</v>
      </c>
      <c r="AR147" s="99">
        <f>AR128</f>
        <v>144691</v>
      </c>
      <c r="AS147" s="30">
        <v>48248</v>
      </c>
      <c r="AT147" s="30">
        <v>48671</v>
      </c>
      <c r="AU147" s="47">
        <f>AS147+AT147</f>
        <v>96919</v>
      </c>
      <c r="AV147" s="30">
        <v>47022</v>
      </c>
      <c r="AW147" s="30">
        <v>39575</v>
      </c>
      <c r="AX147" s="99">
        <f>AX128</f>
        <v>183516</v>
      </c>
      <c r="AY147" s="30">
        <v>29563</v>
      </c>
      <c r="AZ147" s="30">
        <v>26396</v>
      </c>
      <c r="BA147" s="47">
        <f>AY147+AZ147</f>
        <v>55959</v>
      </c>
      <c r="BB147" s="30">
        <v>24927</v>
      </c>
      <c r="BC147" s="30">
        <v>26081</v>
      </c>
      <c r="BD147" s="99">
        <f>BD128</f>
        <v>106967</v>
      </c>
      <c r="BE147" s="30">
        <v>28075</v>
      </c>
      <c r="BF147" s="30">
        <v>30316</v>
      </c>
      <c r="BG147" s="47">
        <f>BE147+BF147</f>
        <v>58391</v>
      </c>
      <c r="BH147" s="30">
        <v>33015</v>
      </c>
      <c r="BI147" s="30">
        <v>32726</v>
      </c>
      <c r="BJ147" s="99">
        <f>BJ128</f>
        <v>124132</v>
      </c>
      <c r="BK147" s="30">
        <v>30689</v>
      </c>
      <c r="BL147" s="30">
        <v>44742</v>
      </c>
      <c r="BM147" s="47">
        <f>BK147+BL147</f>
        <v>75431</v>
      </c>
      <c r="BN147" s="30">
        <v>52475</v>
      </c>
      <c r="BO147" s="30"/>
      <c r="BP147" s="99">
        <f t="shared" si="156"/>
        <v>180472</v>
      </c>
      <c r="BQ147" s="383">
        <f t="shared" si="156"/>
        <v>197759.61287999965</v>
      </c>
      <c r="BR147" s="383">
        <f t="shared" si="156"/>
        <v>208062.4510559997</v>
      </c>
      <c r="BS147" s="383">
        <f t="shared" si="156"/>
        <v>217410.96346991436</v>
      </c>
      <c r="BT147" s="383">
        <f t="shared" si="156"/>
        <v>225989.37910454583</v>
      </c>
      <c r="BU147" s="383">
        <f t="shared" si="156"/>
        <v>234957.1285092906</v>
      </c>
      <c r="BV147" s="365"/>
      <c r="BW147" s="305"/>
      <c r="BX147" s="451"/>
      <c r="BY147" s="459"/>
      <c r="BZ147" s="459"/>
    </row>
    <row r="148" spans="2:78" x14ac:dyDescent="0.25">
      <c r="B148" s="110" t="s">
        <v>6</v>
      </c>
      <c r="C148" s="111">
        <v>9919</v>
      </c>
      <c r="D148" s="111">
        <v>10240</v>
      </c>
      <c r="E148" s="112">
        <f t="shared" si="157"/>
        <v>20159</v>
      </c>
      <c r="F148" s="111">
        <v>9733</v>
      </c>
      <c r="G148" s="111">
        <v>9776</v>
      </c>
      <c r="H148" s="113">
        <f>H146-H147</f>
        <v>11201</v>
      </c>
      <c r="I148" s="114">
        <f t="shared" ref="I148:BP148" si="161">I146-I147</f>
        <v>-15319</v>
      </c>
      <c r="J148" s="114">
        <f t="shared" si="161"/>
        <v>-17606</v>
      </c>
      <c r="K148" s="115">
        <f t="shared" si="161"/>
        <v>-32925</v>
      </c>
      <c r="L148" s="114">
        <f t="shared" si="161"/>
        <v>-17205</v>
      </c>
      <c r="M148" s="114">
        <f t="shared" si="161"/>
        <v>-17617</v>
      </c>
      <c r="N148" s="113">
        <f t="shared" si="161"/>
        <v>15838</v>
      </c>
      <c r="O148" s="121">
        <f t="shared" si="161"/>
        <v>0</v>
      </c>
      <c r="P148" s="121">
        <f t="shared" si="161"/>
        <v>0</v>
      </c>
      <c r="Q148" s="122">
        <f t="shared" si="161"/>
        <v>0</v>
      </c>
      <c r="R148" s="121">
        <f t="shared" si="161"/>
        <v>0</v>
      </c>
      <c r="S148" s="121">
        <f t="shared" si="161"/>
        <v>0</v>
      </c>
      <c r="T148" s="116">
        <f t="shared" si="161"/>
        <v>16605</v>
      </c>
      <c r="U148" s="117">
        <f t="shared" si="161"/>
        <v>0</v>
      </c>
      <c r="V148" s="117">
        <f t="shared" si="161"/>
        <v>0</v>
      </c>
      <c r="W148" s="118">
        <f t="shared" si="161"/>
        <v>0</v>
      </c>
      <c r="X148" s="117">
        <f t="shared" si="161"/>
        <v>0</v>
      </c>
      <c r="Y148" s="117">
        <f t="shared" si="161"/>
        <v>0</v>
      </c>
      <c r="Z148" s="116">
        <f t="shared" si="161"/>
        <v>17489</v>
      </c>
      <c r="AA148" s="117">
        <f t="shared" si="161"/>
        <v>0</v>
      </c>
      <c r="AB148" s="117">
        <f t="shared" si="161"/>
        <v>0</v>
      </c>
      <c r="AC148" s="118">
        <f t="shared" si="161"/>
        <v>0</v>
      </c>
      <c r="AD148" s="117">
        <f t="shared" si="161"/>
        <v>0</v>
      </c>
      <c r="AE148" s="117">
        <f t="shared" si="161"/>
        <v>0</v>
      </c>
      <c r="AF148" s="116">
        <f t="shared" si="161"/>
        <v>23754</v>
      </c>
      <c r="AG148" s="117">
        <f t="shared" si="161"/>
        <v>-27309</v>
      </c>
      <c r="AH148" s="117">
        <f t="shared" si="161"/>
        <v>-28782</v>
      </c>
      <c r="AI148" s="118">
        <f t="shared" si="161"/>
        <v>-56091</v>
      </c>
      <c r="AJ148" s="117">
        <f t="shared" si="161"/>
        <v>-28125</v>
      </c>
      <c r="AK148" s="117">
        <f t="shared" si="161"/>
        <v>-31716</v>
      </c>
      <c r="AL148" s="116">
        <f t="shared" si="161"/>
        <v>28534</v>
      </c>
      <c r="AM148" s="117">
        <f t="shared" si="161"/>
        <v>-33616</v>
      </c>
      <c r="AN148" s="117">
        <f t="shared" si="161"/>
        <v>-37831</v>
      </c>
      <c r="AO148" s="118">
        <f t="shared" si="161"/>
        <v>-71447</v>
      </c>
      <c r="AP148" s="117">
        <f t="shared" si="161"/>
        <v>-49557</v>
      </c>
      <c r="AQ148" s="117">
        <f t="shared" si="161"/>
        <v>-61302</v>
      </c>
      <c r="AR148" s="116">
        <f t="shared" si="161"/>
        <v>37615</v>
      </c>
      <c r="AS148" s="117">
        <f t="shared" si="161"/>
        <v>12877</v>
      </c>
      <c r="AT148" s="117">
        <f t="shared" si="161"/>
        <v>14078</v>
      </c>
      <c r="AU148" s="118">
        <f t="shared" si="161"/>
        <v>26955</v>
      </c>
      <c r="AV148" s="117">
        <f t="shared" si="161"/>
        <v>13538</v>
      </c>
      <c r="AW148" s="117">
        <f t="shared" si="161"/>
        <v>11656</v>
      </c>
      <c r="AX148" s="116">
        <f t="shared" si="161"/>
        <v>52149</v>
      </c>
      <c r="AY148" s="117">
        <f t="shared" si="161"/>
        <v>11391</v>
      </c>
      <c r="AZ148" s="117">
        <f t="shared" si="161"/>
        <v>11331</v>
      </c>
      <c r="BA148" s="118">
        <f t="shared" si="161"/>
        <v>22722</v>
      </c>
      <c r="BB148" s="117">
        <f t="shared" si="161"/>
        <v>10649</v>
      </c>
      <c r="BC148" s="117">
        <f t="shared" si="161"/>
        <v>10447</v>
      </c>
      <c r="BD148" s="116">
        <f t="shared" si="161"/>
        <v>43818</v>
      </c>
      <c r="BE148" s="117">
        <f t="shared" si="161"/>
        <v>10265</v>
      </c>
      <c r="BF148" s="117">
        <f t="shared" si="161"/>
        <v>10841</v>
      </c>
      <c r="BG148" s="118">
        <f t="shared" si="161"/>
        <v>21106</v>
      </c>
      <c r="BH148" s="117">
        <f t="shared" si="161"/>
        <v>11080</v>
      </c>
      <c r="BI148" s="117">
        <f t="shared" si="161"/>
        <v>10788</v>
      </c>
      <c r="BJ148" s="116">
        <f t="shared" si="161"/>
        <v>42974</v>
      </c>
      <c r="BK148" s="117">
        <f t="shared" si="161"/>
        <v>10991</v>
      </c>
      <c r="BL148" s="117">
        <f t="shared" si="161"/>
        <v>17241</v>
      </c>
      <c r="BM148" s="118">
        <f t="shared" si="161"/>
        <v>28232</v>
      </c>
      <c r="BN148" s="117">
        <f t="shared" si="161"/>
        <v>19508</v>
      </c>
      <c r="BO148" s="117">
        <f t="shared" si="161"/>
        <v>0</v>
      </c>
      <c r="BP148" s="116">
        <f t="shared" si="161"/>
        <v>66859</v>
      </c>
      <c r="BQ148" s="417">
        <f t="shared" ref="BQ148:BU153" si="162">BQ129</f>
        <v>74572.30711999991</v>
      </c>
      <c r="BR148" s="417">
        <f t="shared" si="162"/>
        <v>80071.722277333232</v>
      </c>
      <c r="BS148" s="417">
        <f t="shared" si="162"/>
        <v>85290.354999418574</v>
      </c>
      <c r="BT148" s="417">
        <f t="shared" si="162"/>
        <v>88878.807791453757</v>
      </c>
      <c r="BU148" s="417">
        <f t="shared" si="162"/>
        <v>92565.094766452981</v>
      </c>
      <c r="BV148" s="365"/>
      <c r="BW148" s="305"/>
      <c r="BX148" s="450">
        <f>IFERROR((BU148/BP148)^(1/5)-1,"n/m")</f>
        <v>6.7228648103444755E-2</v>
      </c>
      <c r="BY148" s="459">
        <f>IFERROR((BP148/AL148)^(1/5)-1,"n/m")</f>
        <v>0.1856580217821362</v>
      </c>
      <c r="BZ148" s="459">
        <f>IFERROR((BP148/H148)^(1/10)-1,"n/m")</f>
        <v>0.19561211746121865</v>
      </c>
    </row>
    <row r="149" spans="2:78" x14ac:dyDescent="0.25">
      <c r="B149" t="s">
        <v>26</v>
      </c>
      <c r="C149" s="2">
        <v>2682</v>
      </c>
      <c r="D149" s="2">
        <v>2887</v>
      </c>
      <c r="E149" s="6">
        <f t="shared" si="157"/>
        <v>5569</v>
      </c>
      <c r="F149" s="2">
        <v>2802</v>
      </c>
      <c r="G149" s="2">
        <v>2830</v>
      </c>
      <c r="H149" s="79">
        <f>H130</f>
        <v>2149</v>
      </c>
      <c r="I149" s="22">
        <v>3607</v>
      </c>
      <c r="J149" s="22">
        <v>4214</v>
      </c>
      <c r="K149" s="39">
        <f t="shared" si="158"/>
        <v>7821</v>
      </c>
      <c r="L149" s="22">
        <v>4019</v>
      </c>
      <c r="M149" s="22">
        <v>3998</v>
      </c>
      <c r="N149" s="79">
        <f>N130</f>
        <v>3307</v>
      </c>
      <c r="O149" s="22"/>
      <c r="P149" s="22"/>
      <c r="Q149" s="39"/>
      <c r="R149" s="22"/>
      <c r="S149" s="22"/>
      <c r="T149" s="99">
        <f>T130</f>
        <v>3110</v>
      </c>
      <c r="U149" s="30"/>
      <c r="V149" s="30"/>
      <c r="W149" s="47"/>
      <c r="X149" s="30"/>
      <c r="Y149" s="30"/>
      <c r="Z149" s="99">
        <f>Z130</f>
        <v>3036</v>
      </c>
      <c r="AA149" s="30"/>
      <c r="AB149" s="30"/>
      <c r="AC149" s="47"/>
      <c r="AD149" s="30"/>
      <c r="AE149" s="30"/>
      <c r="AF149" s="99">
        <f>AF130</f>
        <v>3133</v>
      </c>
      <c r="AG149" s="30">
        <v>6684</v>
      </c>
      <c r="AH149" s="30">
        <v>7386</v>
      </c>
      <c r="AI149" s="47">
        <f t="shared" si="159"/>
        <v>14070</v>
      </c>
      <c r="AJ149" s="30">
        <v>7252</v>
      </c>
      <c r="AK149" s="30">
        <v>7212</v>
      </c>
      <c r="AL149" s="99">
        <f>AL130</f>
        <v>3291</v>
      </c>
      <c r="AM149" s="30">
        <v>7785</v>
      </c>
      <c r="AN149" s="30">
        <v>8333</v>
      </c>
      <c r="AO149" s="47">
        <f t="shared" si="160"/>
        <v>16118</v>
      </c>
      <c r="AP149" s="30">
        <v>9823</v>
      </c>
      <c r="AQ149" s="30">
        <v>11674</v>
      </c>
      <c r="AR149" s="99">
        <f>AR130</f>
        <v>4173</v>
      </c>
      <c r="AS149" s="30">
        <v>1289</v>
      </c>
      <c r="AT149" s="30">
        <v>1338</v>
      </c>
      <c r="AU149" s="47">
        <f>AS149+AT149</f>
        <v>2627</v>
      </c>
      <c r="AV149" s="30">
        <v>1431</v>
      </c>
      <c r="AW149" s="30">
        <v>1501</v>
      </c>
      <c r="AX149" s="99">
        <f>AX130</f>
        <v>5559</v>
      </c>
      <c r="AY149" s="30">
        <v>1340</v>
      </c>
      <c r="AZ149" s="30">
        <v>1235</v>
      </c>
      <c r="BA149" s="47">
        <f>AY149+AZ149</f>
        <v>2575</v>
      </c>
      <c r="BB149" s="30">
        <v>1113</v>
      </c>
      <c r="BC149" s="30">
        <v>1150</v>
      </c>
      <c r="BD149" s="99">
        <f>BD130</f>
        <v>4838</v>
      </c>
      <c r="BE149" s="30">
        <v>1143</v>
      </c>
      <c r="BF149" s="30">
        <v>1143</v>
      </c>
      <c r="BG149" s="47">
        <f>BE149+BF149</f>
        <v>2286</v>
      </c>
      <c r="BH149" s="30">
        <v>1196</v>
      </c>
      <c r="BI149" s="30">
        <v>1170</v>
      </c>
      <c r="BJ149" s="99">
        <f>BJ130</f>
        <v>4652</v>
      </c>
      <c r="BK149" s="30">
        <v>1216</v>
      </c>
      <c r="BL149" s="30">
        <v>2380</v>
      </c>
      <c r="BM149" s="47">
        <f>BK149+BL149</f>
        <v>3596</v>
      </c>
      <c r="BN149" s="30">
        <v>2875</v>
      </c>
      <c r="BO149" s="30"/>
      <c r="BP149" s="99">
        <f>BP130</f>
        <v>9445</v>
      </c>
      <c r="BQ149" s="405">
        <f t="shared" si="162"/>
        <v>4334.9829333333164</v>
      </c>
      <c r="BR149" s="406">
        <f t="shared" si="162"/>
        <v>4523.5767978666518</v>
      </c>
      <c r="BS149" s="406">
        <f t="shared" si="162"/>
        <v>4631.1452733866499</v>
      </c>
      <c r="BT149" s="406">
        <f t="shared" si="162"/>
        <v>4637.3165493685192</v>
      </c>
      <c r="BU149" s="406">
        <f t="shared" si="162"/>
        <v>4817.4334068534154</v>
      </c>
      <c r="BV149" s="365"/>
      <c r="BW149" s="305"/>
      <c r="BX149" s="451"/>
      <c r="BY149" s="459"/>
      <c r="BZ149" s="459"/>
    </row>
    <row r="150" spans="2:78" x14ac:dyDescent="0.25">
      <c r="B150" t="s">
        <v>7</v>
      </c>
      <c r="C150" s="2">
        <v>543</v>
      </c>
      <c r="D150" s="2">
        <v>550</v>
      </c>
      <c r="E150" s="6">
        <f t="shared" si="157"/>
        <v>1093</v>
      </c>
      <c r="F150" s="2">
        <v>505</v>
      </c>
      <c r="G150" s="2">
        <v>551</v>
      </c>
      <c r="H150" s="79">
        <f>H131</f>
        <v>5477</v>
      </c>
      <c r="I150" s="22">
        <v>790</v>
      </c>
      <c r="J150" s="22">
        <v>877</v>
      </c>
      <c r="K150" s="39">
        <f t="shared" si="158"/>
        <v>1667</v>
      </c>
      <c r="L150" s="22">
        <v>786</v>
      </c>
      <c r="M150" s="22">
        <v>854</v>
      </c>
      <c r="N150" s="79">
        <f>N131</f>
        <v>8281</v>
      </c>
      <c r="O150" s="22"/>
      <c r="P150" s="22"/>
      <c r="Q150" s="39"/>
      <c r="R150" s="22"/>
      <c r="S150" s="22"/>
      <c r="T150" s="99">
        <f>T131</f>
        <v>7831</v>
      </c>
      <c r="U150" s="30"/>
      <c r="V150" s="30"/>
      <c r="W150" s="47"/>
      <c r="X150" s="30"/>
      <c r="Y150" s="30"/>
      <c r="Z150" s="99">
        <f>Z131</f>
        <v>8241</v>
      </c>
      <c r="AA150" s="30"/>
      <c r="AB150" s="30"/>
      <c r="AC150" s="47"/>
      <c r="AD150" s="30"/>
      <c r="AE150" s="30"/>
      <c r="AF150" s="99">
        <f>AF131</f>
        <v>10329</v>
      </c>
      <c r="AG150" s="30">
        <v>867</v>
      </c>
      <c r="AH150" s="30">
        <v>795</v>
      </c>
      <c r="AI150" s="47">
        <f t="shared" si="159"/>
        <v>1662</v>
      </c>
      <c r="AJ150" s="30">
        <v>831</v>
      </c>
      <c r="AK150" s="30">
        <v>798</v>
      </c>
      <c r="AL150" s="99">
        <f>AL131</f>
        <v>11684</v>
      </c>
      <c r="AM150" s="30">
        <v>849</v>
      </c>
      <c r="AN150" s="30">
        <v>818</v>
      </c>
      <c r="AO150" s="47">
        <f t="shared" si="160"/>
        <v>1667</v>
      </c>
      <c r="AP150" s="30">
        <v>1030</v>
      </c>
      <c r="AQ150" s="30">
        <v>1476</v>
      </c>
      <c r="AR150" s="99">
        <f>AR131</f>
        <v>13025</v>
      </c>
      <c r="AS150" s="30">
        <v>3912</v>
      </c>
      <c r="AT150" s="30">
        <v>4039</v>
      </c>
      <c r="AU150" s="47">
        <f>AS150+AT150</f>
        <v>7951</v>
      </c>
      <c r="AV150" s="30">
        <v>4333</v>
      </c>
      <c r="AW150" s="30">
        <v>4031</v>
      </c>
      <c r="AX150" s="99">
        <f>AX131</f>
        <v>16315</v>
      </c>
      <c r="AY150" s="30">
        <v>4110</v>
      </c>
      <c r="AZ150" s="30">
        <v>4074</v>
      </c>
      <c r="BA150" s="47">
        <f>AY150+AZ150</f>
        <v>8184</v>
      </c>
      <c r="BB150" s="30">
        <v>3812</v>
      </c>
      <c r="BC150" s="30">
        <v>3987</v>
      </c>
      <c r="BD150" s="99">
        <f>BD131</f>
        <v>15983</v>
      </c>
      <c r="BE150" s="30">
        <v>4090</v>
      </c>
      <c r="BF150" s="30">
        <v>4189</v>
      </c>
      <c r="BG150" s="47">
        <f>BE150+BF150</f>
        <v>8279</v>
      </c>
      <c r="BH150" s="30">
        <v>4034</v>
      </c>
      <c r="BI150" s="30">
        <v>4178</v>
      </c>
      <c r="BJ150" s="99">
        <f>BJ131</f>
        <v>16491</v>
      </c>
      <c r="BK150" s="30">
        <v>4402</v>
      </c>
      <c r="BL150" s="30">
        <v>7926</v>
      </c>
      <c r="BM150" s="47">
        <f>BK150+BL150</f>
        <v>12328</v>
      </c>
      <c r="BN150" s="30">
        <v>8757</v>
      </c>
      <c r="BO150" s="30"/>
      <c r="BP150" s="99">
        <f>BP131</f>
        <v>29170</v>
      </c>
      <c r="BQ150" s="383">
        <f t="shared" si="162"/>
        <v>36804.136266666632</v>
      </c>
      <c r="BR150" s="383">
        <f t="shared" si="162"/>
        <v>37502.865354133297</v>
      </c>
      <c r="BS150" s="383">
        <f t="shared" si="162"/>
        <v>37961.365232853299</v>
      </c>
      <c r="BT150" s="383">
        <f t="shared" si="162"/>
        <v>38500.124405900766</v>
      </c>
      <c r="BU150" s="383">
        <f t="shared" si="162"/>
        <v>39109.587962006051</v>
      </c>
      <c r="BV150" s="365"/>
      <c r="BW150" s="305"/>
      <c r="BX150" s="451"/>
      <c r="BY150" s="459"/>
      <c r="BZ150" s="459"/>
    </row>
    <row r="151" spans="2:78" x14ac:dyDescent="0.25">
      <c r="B151" s="110" t="s">
        <v>8</v>
      </c>
      <c r="C151" s="111">
        <v>1370</v>
      </c>
      <c r="D151" s="111">
        <v>1398</v>
      </c>
      <c r="E151" s="112">
        <f t="shared" si="157"/>
        <v>2768</v>
      </c>
      <c r="F151" s="111">
        <v>1319</v>
      </c>
      <c r="G151" s="111">
        <v>1390</v>
      </c>
      <c r="H151" s="113">
        <f>H148-H149-H150</f>
        <v>3575</v>
      </c>
      <c r="I151" s="114">
        <f t="shared" ref="I151:BP151" si="163">I148-I149-I150</f>
        <v>-19716</v>
      </c>
      <c r="J151" s="114">
        <f t="shared" si="163"/>
        <v>-22697</v>
      </c>
      <c r="K151" s="115">
        <f t="shared" si="163"/>
        <v>-42413</v>
      </c>
      <c r="L151" s="114">
        <f t="shared" si="163"/>
        <v>-22010</v>
      </c>
      <c r="M151" s="114">
        <f t="shared" si="163"/>
        <v>-22469</v>
      </c>
      <c r="N151" s="113">
        <f t="shared" si="163"/>
        <v>4250</v>
      </c>
      <c r="O151" s="114">
        <f t="shared" si="163"/>
        <v>0</v>
      </c>
      <c r="P151" s="114">
        <f t="shared" si="163"/>
        <v>0</v>
      </c>
      <c r="Q151" s="115">
        <f t="shared" si="163"/>
        <v>0</v>
      </c>
      <c r="R151" s="114">
        <f t="shared" si="163"/>
        <v>0</v>
      </c>
      <c r="S151" s="114">
        <f t="shared" si="163"/>
        <v>0</v>
      </c>
      <c r="T151" s="116">
        <f t="shared" si="163"/>
        <v>5664</v>
      </c>
      <c r="U151" s="117">
        <f t="shared" si="163"/>
        <v>0</v>
      </c>
      <c r="V151" s="117">
        <f t="shared" si="163"/>
        <v>0</v>
      </c>
      <c r="W151" s="118">
        <f t="shared" si="163"/>
        <v>0</v>
      </c>
      <c r="X151" s="117">
        <f t="shared" si="163"/>
        <v>0</v>
      </c>
      <c r="Y151" s="117">
        <f t="shared" si="163"/>
        <v>0</v>
      </c>
      <c r="Z151" s="116">
        <f t="shared" si="163"/>
        <v>6212</v>
      </c>
      <c r="AA151" s="117">
        <f t="shared" si="163"/>
        <v>0</v>
      </c>
      <c r="AB151" s="117">
        <f t="shared" si="163"/>
        <v>0</v>
      </c>
      <c r="AC151" s="118">
        <f t="shared" si="163"/>
        <v>0</v>
      </c>
      <c r="AD151" s="117">
        <f t="shared" si="163"/>
        <v>0</v>
      </c>
      <c r="AE151" s="117">
        <f t="shared" si="163"/>
        <v>0</v>
      </c>
      <c r="AF151" s="116">
        <f t="shared" si="163"/>
        <v>10292</v>
      </c>
      <c r="AG151" s="117">
        <f t="shared" si="163"/>
        <v>-34860</v>
      </c>
      <c r="AH151" s="117">
        <f t="shared" si="163"/>
        <v>-36963</v>
      </c>
      <c r="AI151" s="118">
        <f t="shared" si="163"/>
        <v>-71823</v>
      </c>
      <c r="AJ151" s="117">
        <f t="shared" si="163"/>
        <v>-36208</v>
      </c>
      <c r="AK151" s="117">
        <f t="shared" si="163"/>
        <v>-39726</v>
      </c>
      <c r="AL151" s="116">
        <f t="shared" si="163"/>
        <v>13559</v>
      </c>
      <c r="AM151" s="117">
        <f t="shared" si="163"/>
        <v>-42250</v>
      </c>
      <c r="AN151" s="117">
        <f t="shared" si="163"/>
        <v>-46982</v>
      </c>
      <c r="AO151" s="118">
        <f t="shared" si="163"/>
        <v>-89232</v>
      </c>
      <c r="AP151" s="117">
        <f t="shared" si="163"/>
        <v>-60410</v>
      </c>
      <c r="AQ151" s="117">
        <f t="shared" si="163"/>
        <v>-74452</v>
      </c>
      <c r="AR151" s="116">
        <f t="shared" si="163"/>
        <v>20417</v>
      </c>
      <c r="AS151" s="117">
        <f t="shared" si="163"/>
        <v>7676</v>
      </c>
      <c r="AT151" s="117">
        <f t="shared" si="163"/>
        <v>8701</v>
      </c>
      <c r="AU151" s="118">
        <f t="shared" si="163"/>
        <v>16377</v>
      </c>
      <c r="AV151" s="117">
        <f t="shared" si="163"/>
        <v>7774</v>
      </c>
      <c r="AW151" s="117">
        <f t="shared" si="163"/>
        <v>6124</v>
      </c>
      <c r="AX151" s="116">
        <f t="shared" si="163"/>
        <v>30275</v>
      </c>
      <c r="AY151" s="117">
        <f t="shared" si="163"/>
        <v>5941</v>
      </c>
      <c r="AZ151" s="117">
        <f t="shared" si="163"/>
        <v>6022</v>
      </c>
      <c r="BA151" s="118">
        <f t="shared" si="163"/>
        <v>11963</v>
      </c>
      <c r="BB151" s="117">
        <f t="shared" si="163"/>
        <v>5724</v>
      </c>
      <c r="BC151" s="117">
        <f t="shared" si="163"/>
        <v>5310</v>
      </c>
      <c r="BD151" s="116">
        <f t="shared" si="163"/>
        <v>22997</v>
      </c>
      <c r="BE151" s="117">
        <f t="shared" si="163"/>
        <v>5032</v>
      </c>
      <c r="BF151" s="117">
        <f t="shared" si="163"/>
        <v>5509</v>
      </c>
      <c r="BG151" s="118">
        <f t="shared" si="163"/>
        <v>10541</v>
      </c>
      <c r="BH151" s="117">
        <f t="shared" si="163"/>
        <v>5850</v>
      </c>
      <c r="BI151" s="117">
        <f t="shared" si="163"/>
        <v>5440</v>
      </c>
      <c r="BJ151" s="116">
        <f t="shared" si="163"/>
        <v>21831</v>
      </c>
      <c r="BK151" s="117">
        <f t="shared" si="163"/>
        <v>5373</v>
      </c>
      <c r="BL151" s="117">
        <f t="shared" si="163"/>
        <v>6935</v>
      </c>
      <c r="BM151" s="118">
        <f t="shared" si="163"/>
        <v>12308</v>
      </c>
      <c r="BN151" s="117">
        <f t="shared" si="163"/>
        <v>7876</v>
      </c>
      <c r="BO151" s="117">
        <f t="shared" si="163"/>
        <v>0</v>
      </c>
      <c r="BP151" s="116">
        <f t="shared" si="163"/>
        <v>28244</v>
      </c>
      <c r="BQ151" s="417">
        <f t="shared" si="162"/>
        <v>33433.18791999996</v>
      </c>
      <c r="BR151" s="417">
        <f t="shared" si="162"/>
        <v>38045.280125333295</v>
      </c>
      <c r="BS151" s="417">
        <f t="shared" si="162"/>
        <v>42697.844493178622</v>
      </c>
      <c r="BT151" s="417">
        <f t="shared" si="162"/>
        <v>45741.366836184476</v>
      </c>
      <c r="BU151" s="417">
        <f t="shared" si="162"/>
        <v>48638.073397593515</v>
      </c>
      <c r="BV151" s="365"/>
      <c r="BW151" s="305"/>
      <c r="BX151" s="450">
        <f>IFERROR((BU151/BP151)^(1/5)-1,"n/m")</f>
        <v>0.11483355568770715</v>
      </c>
      <c r="BY151" s="459">
        <f>IFERROR((BP151/AL151)^(1/5)-1,"n/m")</f>
        <v>0.15808305854143145</v>
      </c>
      <c r="BZ151" s="459">
        <f>IFERROR((BP151/H151)^(1/10)-1,"n/m")</f>
        <v>0.2296032875964451</v>
      </c>
    </row>
    <row r="152" spans="2:78" ht="16.5" customHeight="1" x14ac:dyDescent="0.25">
      <c r="B152" t="s">
        <v>9</v>
      </c>
      <c r="C152" s="2">
        <v>769</v>
      </c>
      <c r="D152" s="2">
        <v>939</v>
      </c>
      <c r="E152" s="6">
        <f t="shared" si="157"/>
        <v>1708</v>
      </c>
      <c r="F152" s="2">
        <v>978</v>
      </c>
      <c r="G152" s="2">
        <v>889</v>
      </c>
      <c r="H152" s="79">
        <f>H133</f>
        <v>525</v>
      </c>
      <c r="I152" s="22">
        <v>820</v>
      </c>
      <c r="J152" s="22">
        <v>1109</v>
      </c>
      <c r="K152" s="39">
        <f t="shared" si="158"/>
        <v>1929</v>
      </c>
      <c r="L152" s="22">
        <v>1206</v>
      </c>
      <c r="M152" s="22">
        <v>1115</v>
      </c>
      <c r="N152" s="79">
        <f>N133</f>
        <v>775</v>
      </c>
      <c r="O152" s="22"/>
      <c r="P152" s="22"/>
      <c r="Q152" s="39"/>
      <c r="R152" s="22"/>
      <c r="S152" s="22"/>
      <c r="T152" s="99">
        <f>T133</f>
        <v>786</v>
      </c>
      <c r="U152" s="30"/>
      <c r="V152" s="30"/>
      <c r="W152" s="47"/>
      <c r="X152" s="30"/>
      <c r="Y152" s="30"/>
      <c r="Z152" s="99">
        <f>Z133</f>
        <v>762</v>
      </c>
      <c r="AA152" s="30"/>
      <c r="AB152" s="30"/>
      <c r="AC152" s="47"/>
      <c r="AD152" s="30"/>
      <c r="AE152" s="30"/>
      <c r="AF152" s="99">
        <f>AF133</f>
        <v>3638</v>
      </c>
      <c r="AG152" s="30">
        <v>2604</v>
      </c>
      <c r="AH152" s="30">
        <v>3666</v>
      </c>
      <c r="AI152" s="47">
        <f t="shared" si="159"/>
        <v>6270</v>
      </c>
      <c r="AJ152" s="30">
        <v>3713</v>
      </c>
      <c r="AK152" s="30">
        <v>3576</v>
      </c>
      <c r="AL152" s="99">
        <f>AL133</f>
        <v>4039</v>
      </c>
      <c r="AM152" s="30">
        <v>4016</v>
      </c>
      <c r="AN152" s="30">
        <v>4545</v>
      </c>
      <c r="AO152" s="47">
        <f t="shared" si="160"/>
        <v>8561</v>
      </c>
      <c r="AP152" s="30">
        <v>5516</v>
      </c>
      <c r="AQ152" s="30">
        <v>6340</v>
      </c>
      <c r="AR152" s="99">
        <f>AR133</f>
        <v>4194</v>
      </c>
      <c r="AS152" s="30">
        <v>1180</v>
      </c>
      <c r="AT152" s="30">
        <v>1248</v>
      </c>
      <c r="AU152" s="47">
        <f>AS152+AT152</f>
        <v>2428</v>
      </c>
      <c r="AV152" s="30">
        <v>1268</v>
      </c>
      <c r="AW152" s="30">
        <v>1375</v>
      </c>
      <c r="AX152" s="99">
        <f>AX133</f>
        <v>5071</v>
      </c>
      <c r="AY152" s="30">
        <v>1269</v>
      </c>
      <c r="AZ152" s="30">
        <v>1317</v>
      </c>
      <c r="BA152" s="47">
        <f>AY152+AZ152</f>
        <v>2586</v>
      </c>
      <c r="BB152" s="30">
        <v>1328</v>
      </c>
      <c r="BC152" s="30">
        <v>1360</v>
      </c>
      <c r="BD152" s="99">
        <f>BD133</f>
        <v>5274</v>
      </c>
      <c r="BE152" s="30">
        <v>1391</v>
      </c>
      <c r="BF152" s="30">
        <v>1410</v>
      </c>
      <c r="BG152" s="47">
        <f>BE152+BF152</f>
        <v>2801</v>
      </c>
      <c r="BH152" s="30">
        <v>1430</v>
      </c>
      <c r="BI152" s="30">
        <v>1504</v>
      </c>
      <c r="BJ152" s="99">
        <f>BJ133</f>
        <v>5735</v>
      </c>
      <c r="BK152" s="30">
        <v>1513</v>
      </c>
      <c r="BL152" s="30">
        <v>2210</v>
      </c>
      <c r="BM152" s="47">
        <f>BK152+BL152</f>
        <v>3723</v>
      </c>
      <c r="BN152" s="30">
        <v>2442</v>
      </c>
      <c r="BO152" s="30"/>
      <c r="BP152" s="99">
        <f>BP133</f>
        <v>8633</v>
      </c>
      <c r="BQ152" s="405">
        <f t="shared" si="162"/>
        <v>9282.5545866666635</v>
      </c>
      <c r="BR152" s="406">
        <f t="shared" si="162"/>
        <v>9576.7569178666654</v>
      </c>
      <c r="BS152" s="406">
        <f t="shared" si="162"/>
        <v>9820.2197106586646</v>
      </c>
      <c r="BT152" s="406">
        <f t="shared" si="162"/>
        <v>10171.674408082132</v>
      </c>
      <c r="BU152" s="406">
        <f t="shared" si="162"/>
        <v>10441.768472729716</v>
      </c>
      <c r="BV152" s="411" t="s">
        <v>397</v>
      </c>
      <c r="BW152" s="305"/>
      <c r="BX152" s="451"/>
      <c r="BY152" s="459"/>
      <c r="BZ152" s="459"/>
    </row>
    <row r="153" spans="2:78" x14ac:dyDescent="0.25">
      <c r="B153" s="293" t="s">
        <v>196</v>
      </c>
      <c r="C153" s="111">
        <v>128</v>
      </c>
      <c r="D153" s="111">
        <v>130</v>
      </c>
      <c r="E153" s="112">
        <f t="shared" si="157"/>
        <v>258</v>
      </c>
      <c r="F153" s="111">
        <v>127</v>
      </c>
      <c r="G153" s="111">
        <v>140</v>
      </c>
      <c r="H153" s="294">
        <f>H151-H152</f>
        <v>3050</v>
      </c>
      <c r="I153" s="295">
        <f t="shared" ref="I153:BP153" si="164">I151-I152</f>
        <v>-20536</v>
      </c>
      <c r="J153" s="295">
        <f t="shared" si="164"/>
        <v>-23806</v>
      </c>
      <c r="K153" s="295">
        <f t="shared" si="164"/>
        <v>-44342</v>
      </c>
      <c r="L153" s="295">
        <f t="shared" si="164"/>
        <v>-23216</v>
      </c>
      <c r="M153" s="295">
        <f t="shared" si="164"/>
        <v>-23584</v>
      </c>
      <c r="N153" s="294">
        <f t="shared" si="164"/>
        <v>3475</v>
      </c>
      <c r="O153" s="295">
        <f t="shared" si="164"/>
        <v>0</v>
      </c>
      <c r="P153" s="295">
        <f t="shared" si="164"/>
        <v>0</v>
      </c>
      <c r="Q153" s="295">
        <f t="shared" si="164"/>
        <v>0</v>
      </c>
      <c r="R153" s="295">
        <f t="shared" si="164"/>
        <v>0</v>
      </c>
      <c r="S153" s="295">
        <f t="shared" si="164"/>
        <v>0</v>
      </c>
      <c r="T153" s="296">
        <f t="shared" si="164"/>
        <v>4878</v>
      </c>
      <c r="U153" s="297">
        <f t="shared" si="164"/>
        <v>0</v>
      </c>
      <c r="V153" s="297">
        <f t="shared" si="164"/>
        <v>0</v>
      </c>
      <c r="W153" s="297">
        <f t="shared" si="164"/>
        <v>0</v>
      </c>
      <c r="X153" s="297">
        <f t="shared" si="164"/>
        <v>0</v>
      </c>
      <c r="Y153" s="297">
        <f t="shared" si="164"/>
        <v>0</v>
      </c>
      <c r="Z153" s="296">
        <f t="shared" si="164"/>
        <v>5450</v>
      </c>
      <c r="AA153" s="297">
        <f t="shared" si="164"/>
        <v>0</v>
      </c>
      <c r="AB153" s="297">
        <f t="shared" si="164"/>
        <v>0</v>
      </c>
      <c r="AC153" s="297">
        <f t="shared" si="164"/>
        <v>0</v>
      </c>
      <c r="AD153" s="297">
        <f t="shared" si="164"/>
        <v>0</v>
      </c>
      <c r="AE153" s="297">
        <f t="shared" si="164"/>
        <v>0</v>
      </c>
      <c r="AF153" s="296">
        <f t="shared" si="164"/>
        <v>6654</v>
      </c>
      <c r="AG153" s="297">
        <f t="shared" si="164"/>
        <v>-37464</v>
      </c>
      <c r="AH153" s="297">
        <f t="shared" si="164"/>
        <v>-40629</v>
      </c>
      <c r="AI153" s="297">
        <f t="shared" si="164"/>
        <v>-78093</v>
      </c>
      <c r="AJ153" s="297">
        <f t="shared" si="164"/>
        <v>-39921</v>
      </c>
      <c r="AK153" s="297">
        <f t="shared" si="164"/>
        <v>-43302</v>
      </c>
      <c r="AL153" s="296">
        <f t="shared" si="164"/>
        <v>9520</v>
      </c>
      <c r="AM153" s="297">
        <f t="shared" si="164"/>
        <v>-46266</v>
      </c>
      <c r="AN153" s="297">
        <f t="shared" si="164"/>
        <v>-51527</v>
      </c>
      <c r="AO153" s="297">
        <f t="shared" si="164"/>
        <v>-97793</v>
      </c>
      <c r="AP153" s="297">
        <f t="shared" si="164"/>
        <v>-65926</v>
      </c>
      <c r="AQ153" s="297">
        <f t="shared" si="164"/>
        <v>-80792</v>
      </c>
      <c r="AR153" s="296">
        <f t="shared" si="164"/>
        <v>16223</v>
      </c>
      <c r="AS153" s="297">
        <f t="shared" si="164"/>
        <v>6496</v>
      </c>
      <c r="AT153" s="297">
        <f t="shared" si="164"/>
        <v>7453</v>
      </c>
      <c r="AU153" s="297">
        <f t="shared" si="164"/>
        <v>13949</v>
      </c>
      <c r="AV153" s="297">
        <f t="shared" si="164"/>
        <v>6506</v>
      </c>
      <c r="AW153" s="297">
        <f t="shared" si="164"/>
        <v>4749</v>
      </c>
      <c r="AX153" s="296">
        <f t="shared" si="164"/>
        <v>25204</v>
      </c>
      <c r="AY153" s="297">
        <f t="shared" si="164"/>
        <v>4672</v>
      </c>
      <c r="AZ153" s="297">
        <f t="shared" si="164"/>
        <v>4705</v>
      </c>
      <c r="BA153" s="297">
        <f t="shared" si="164"/>
        <v>9377</v>
      </c>
      <c r="BB153" s="297">
        <f t="shared" si="164"/>
        <v>4396</v>
      </c>
      <c r="BC153" s="297">
        <f t="shared" si="164"/>
        <v>3950</v>
      </c>
      <c r="BD153" s="296">
        <f t="shared" si="164"/>
        <v>17723</v>
      </c>
      <c r="BE153" s="297">
        <f t="shared" si="164"/>
        <v>3641</v>
      </c>
      <c r="BF153" s="297">
        <f t="shared" si="164"/>
        <v>4099</v>
      </c>
      <c r="BG153" s="297">
        <f t="shared" si="164"/>
        <v>7740</v>
      </c>
      <c r="BH153" s="297">
        <f t="shared" si="164"/>
        <v>4420</v>
      </c>
      <c r="BI153" s="297">
        <f t="shared" si="164"/>
        <v>3936</v>
      </c>
      <c r="BJ153" s="296">
        <f t="shared" si="164"/>
        <v>16096</v>
      </c>
      <c r="BK153" s="297">
        <f t="shared" si="164"/>
        <v>3860</v>
      </c>
      <c r="BL153" s="297">
        <f t="shared" si="164"/>
        <v>4725</v>
      </c>
      <c r="BM153" s="297">
        <f t="shared" si="164"/>
        <v>8585</v>
      </c>
      <c r="BN153" s="297">
        <f t="shared" si="164"/>
        <v>5434</v>
      </c>
      <c r="BO153" s="297">
        <f t="shared" si="164"/>
        <v>0</v>
      </c>
      <c r="BP153" s="296">
        <f t="shared" si="164"/>
        <v>19611</v>
      </c>
      <c r="BQ153" s="418">
        <f t="shared" si="162"/>
        <v>24150.633333333291</v>
      </c>
      <c r="BR153" s="418">
        <f t="shared" si="162"/>
        <v>28468.523207466624</v>
      </c>
      <c r="BS153" s="418">
        <f>BS134</f>
        <v>32877.624782519953</v>
      </c>
      <c r="BT153" s="418">
        <f t="shared" si="162"/>
        <v>35569.692428102338</v>
      </c>
      <c r="BU153" s="418">
        <f t="shared" si="162"/>
        <v>38196.304924863791</v>
      </c>
      <c r="BV153" s="400" t="s">
        <v>314</v>
      </c>
      <c r="BW153" s="289"/>
      <c r="BX153" s="450">
        <f>IFERROR((BU153/BP153)^(1/5)-1,"n/m")</f>
        <v>0.14262657978536075</v>
      </c>
      <c r="BY153" s="265">
        <f>IFERROR((BP153/AL153)^(1/5)-1,"n/m")</f>
        <v>0.15550694014656452</v>
      </c>
      <c r="BZ153" s="265">
        <f>IFERROR((BP153/H153)^(1/10)-1,"n/m")</f>
        <v>0.20453657061471819</v>
      </c>
    </row>
    <row r="154" spans="2:78" x14ac:dyDescent="0.25">
      <c r="B154" t="s">
        <v>27</v>
      </c>
      <c r="C154" s="2">
        <v>641</v>
      </c>
      <c r="D154" s="2">
        <v>809</v>
      </c>
      <c r="E154" s="6">
        <f t="shared" si="157"/>
        <v>1450</v>
      </c>
      <c r="F154" s="2">
        <v>851</v>
      </c>
      <c r="G154" s="2">
        <v>749</v>
      </c>
      <c r="H154" s="80">
        <v>58</v>
      </c>
      <c r="I154" s="205">
        <v>643</v>
      </c>
      <c r="J154" s="205">
        <v>900</v>
      </c>
      <c r="K154" s="206">
        <f t="shared" si="158"/>
        <v>1543</v>
      </c>
      <c r="L154" s="205">
        <v>1003</v>
      </c>
      <c r="M154" s="205">
        <v>929</v>
      </c>
      <c r="N154" s="80">
        <v>1002</v>
      </c>
      <c r="O154" s="55"/>
      <c r="P154" s="55"/>
      <c r="Q154" s="56"/>
      <c r="R154" s="55"/>
      <c r="S154" s="55"/>
      <c r="T154" s="100">
        <v>525</v>
      </c>
      <c r="U154" s="207"/>
      <c r="V154" s="207"/>
      <c r="W154" s="208"/>
      <c r="X154" s="207"/>
      <c r="Y154" s="207"/>
      <c r="Z154" s="100">
        <v>0</v>
      </c>
      <c r="AA154" s="207"/>
      <c r="AB154" s="207"/>
      <c r="AC154" s="208"/>
      <c r="AD154" s="207"/>
      <c r="AE154" s="207"/>
      <c r="AF154" s="100">
        <v>800</v>
      </c>
      <c r="AG154" s="207">
        <v>1566</v>
      </c>
      <c r="AH154" s="207">
        <v>2613</v>
      </c>
      <c r="AI154" s="209">
        <f t="shared" si="159"/>
        <v>4179</v>
      </c>
      <c r="AJ154" s="207">
        <v>2725</v>
      </c>
      <c r="AK154" s="207">
        <v>2616</v>
      </c>
      <c r="AL154" s="100">
        <v>2164</v>
      </c>
      <c r="AM154" s="207">
        <v>3067</v>
      </c>
      <c r="AN154" s="207">
        <v>3571</v>
      </c>
      <c r="AO154" s="209">
        <f t="shared" si="160"/>
        <v>6638</v>
      </c>
      <c r="AP154" s="207">
        <v>4472</v>
      </c>
      <c r="AQ154" s="207">
        <v>5113</v>
      </c>
      <c r="AR154" s="100">
        <v>478</v>
      </c>
      <c r="AS154" s="207">
        <v>404</v>
      </c>
      <c r="AT154" s="207">
        <v>257</v>
      </c>
      <c r="AU154" s="209">
        <f>AS154+AT154</f>
        <v>661</v>
      </c>
      <c r="AV154" s="207">
        <v>456</v>
      </c>
      <c r="AW154" s="207">
        <v>0</v>
      </c>
      <c r="AX154" s="100">
        <v>1117</v>
      </c>
      <c r="AY154" s="207">
        <v>0</v>
      </c>
      <c r="AZ154" s="207">
        <v>0</v>
      </c>
      <c r="BA154" s="209">
        <f>AY154+AZ154</f>
        <v>0</v>
      </c>
      <c r="BB154" s="207">
        <v>0</v>
      </c>
      <c r="BC154" s="207">
        <v>0</v>
      </c>
      <c r="BD154" s="100">
        <v>0</v>
      </c>
      <c r="BE154" s="207">
        <v>0</v>
      </c>
      <c r="BF154" s="207">
        <v>0</v>
      </c>
      <c r="BG154" s="209">
        <f>BE154+BF154</f>
        <v>0</v>
      </c>
      <c r="BH154" s="207">
        <v>124</v>
      </c>
      <c r="BI154" s="207">
        <v>729</v>
      </c>
      <c r="BJ154" s="100">
        <v>853</v>
      </c>
      <c r="BK154" s="207">
        <v>0</v>
      </c>
      <c r="BL154" s="207">
        <v>817</v>
      </c>
      <c r="BM154" s="209">
        <f>BK154+BL154</f>
        <v>817</v>
      </c>
      <c r="BN154" s="207">
        <v>1154</v>
      </c>
      <c r="BO154" s="207"/>
      <c r="BP154" s="108">
        <v>4527</v>
      </c>
      <c r="BQ154" s="501">
        <f>CHOOSE(MATCH($BV$2,{"Bull","Base","Bear"},0),CD54,CE54,CF54)</f>
        <v>3000</v>
      </c>
      <c r="BR154" s="502">
        <f>CHOOSE(MATCH($BV$2,{"Bull","Base","Bear"},0),CD55,CE55,CF55)</f>
        <v>2000</v>
      </c>
      <c r="BS154" s="502">
        <f>CHOOSE(MATCH($BV$2,{"Bull","Base","Bear"},0),CD56,CE56,CF56)</f>
        <v>500</v>
      </c>
      <c r="BT154" s="502">
        <f>CHOOSE(MATCH($BV$2,{"Bull","Base","Bear"},0),CD57,CE57,CF57)</f>
        <v>300</v>
      </c>
      <c r="BU154" s="502">
        <f>CHOOSE(MATCH($BV$2,{"Bull","Base","Bear"},0),CD58,CE58,CF58)</f>
        <v>300</v>
      </c>
      <c r="BV154" s="400" t="s">
        <v>315</v>
      </c>
      <c r="BW154" s="289"/>
      <c r="BX154" s="451"/>
      <c r="BY154" s="459"/>
      <c r="BZ154" s="459"/>
    </row>
    <row r="155" spans="2:78" x14ac:dyDescent="0.25">
      <c r="B155" t="s">
        <v>28</v>
      </c>
      <c r="C155" s="2">
        <v>0</v>
      </c>
      <c r="D155" s="2">
        <v>0</v>
      </c>
      <c r="E155" s="6">
        <f t="shared" si="157"/>
        <v>0</v>
      </c>
      <c r="F155" s="2">
        <v>0</v>
      </c>
      <c r="G155" s="2">
        <v>58</v>
      </c>
      <c r="H155" s="80">
        <v>47</v>
      </c>
      <c r="I155" s="205">
        <v>370</v>
      </c>
      <c r="J155" s="205">
        <v>341</v>
      </c>
      <c r="K155" s="206">
        <f t="shared" si="158"/>
        <v>711</v>
      </c>
      <c r="L155" s="205">
        <v>155</v>
      </c>
      <c r="M155" s="205">
        <v>136</v>
      </c>
      <c r="N155" s="80">
        <v>222</v>
      </c>
      <c r="O155" s="55"/>
      <c r="P155" s="55"/>
      <c r="Q155" s="56"/>
      <c r="R155" s="55"/>
      <c r="S155" s="55"/>
      <c r="T155" s="100">
        <v>94</v>
      </c>
      <c r="U155" s="207"/>
      <c r="V155" s="207"/>
      <c r="W155" s="208"/>
      <c r="X155" s="207"/>
      <c r="Y155" s="207"/>
      <c r="Z155" s="100">
        <v>130</v>
      </c>
      <c r="AA155" s="207"/>
      <c r="AB155" s="207"/>
      <c r="AC155" s="208"/>
      <c r="AD155" s="207"/>
      <c r="AE155" s="207"/>
      <c r="AF155" s="100">
        <v>131</v>
      </c>
      <c r="AG155" s="207">
        <v>511</v>
      </c>
      <c r="AH155" s="207">
        <v>515</v>
      </c>
      <c r="AI155" s="209">
        <f t="shared" si="159"/>
        <v>1026</v>
      </c>
      <c r="AJ155" s="207">
        <v>453</v>
      </c>
      <c r="AK155" s="207">
        <v>685</v>
      </c>
      <c r="AL155" s="100">
        <v>254</v>
      </c>
      <c r="AM155" s="207">
        <v>0</v>
      </c>
      <c r="AN155" s="207">
        <v>0</v>
      </c>
      <c r="AO155" s="209">
        <f t="shared" si="160"/>
        <v>0</v>
      </c>
      <c r="AP155" s="207">
        <v>154</v>
      </c>
      <c r="AQ155" s="207">
        <v>324</v>
      </c>
      <c r="AR155" s="100">
        <v>206</v>
      </c>
      <c r="AS155" s="207">
        <v>67</v>
      </c>
      <c r="AT155" s="207">
        <v>76</v>
      </c>
      <c r="AU155" s="209">
        <f>AS155+AT155</f>
        <v>143</v>
      </c>
      <c r="AV155" s="207">
        <v>83</v>
      </c>
      <c r="AW155" s="207">
        <v>380</v>
      </c>
      <c r="AX155" s="100">
        <v>606</v>
      </c>
      <c r="AY155" s="207">
        <v>90</v>
      </c>
      <c r="AZ155" s="207">
        <v>169</v>
      </c>
      <c r="BA155" s="209">
        <f>AY155+AZ155</f>
        <v>259</v>
      </c>
      <c r="BB155" s="207">
        <v>25</v>
      </c>
      <c r="BC155" s="207">
        <v>189</v>
      </c>
      <c r="BD155" s="100">
        <v>473</v>
      </c>
      <c r="BE155" s="207">
        <v>28</v>
      </c>
      <c r="BF155" s="207">
        <v>34</v>
      </c>
      <c r="BG155" s="209">
        <f>BE155+BF155</f>
        <v>62</v>
      </c>
      <c r="BH155" s="207">
        <v>67</v>
      </c>
      <c r="BI155" s="207">
        <v>521</v>
      </c>
      <c r="BJ155" s="100">
        <v>650</v>
      </c>
      <c r="BK155" s="207">
        <v>664</v>
      </c>
      <c r="BL155" s="207">
        <v>336</v>
      </c>
      <c r="BM155" s="209">
        <f>BK155+BL155</f>
        <v>1000</v>
      </c>
      <c r="BN155" s="207">
        <v>8</v>
      </c>
      <c r="BO155" s="207"/>
      <c r="BP155" s="108">
        <v>1089</v>
      </c>
      <c r="BQ155" s="383">
        <f>BQ215</f>
        <v>1000</v>
      </c>
      <c r="BR155" s="383">
        <f>BR215</f>
        <v>950</v>
      </c>
      <c r="BS155" s="383">
        <f>BS215</f>
        <v>900</v>
      </c>
      <c r="BT155" s="383">
        <f>BT215</f>
        <v>850</v>
      </c>
      <c r="BU155" s="383">
        <f>BU215</f>
        <v>800</v>
      </c>
      <c r="BV155" s="400" t="s">
        <v>316</v>
      </c>
      <c r="BW155" s="289"/>
      <c r="BX155" s="451"/>
      <c r="BY155" s="459"/>
      <c r="BZ155" s="459"/>
    </row>
    <row r="156" spans="2:78" x14ac:dyDescent="0.25">
      <c r="B156" t="s">
        <v>29</v>
      </c>
      <c r="C156" s="1"/>
      <c r="D156" s="1"/>
      <c r="E156" s="1"/>
      <c r="F156" s="1"/>
      <c r="G156" s="1"/>
      <c r="H156" s="80">
        <v>350</v>
      </c>
      <c r="I156" s="55"/>
      <c r="J156" s="55"/>
      <c r="K156" s="56"/>
      <c r="L156" s="55"/>
      <c r="M156" s="55"/>
      <c r="N156" s="80">
        <v>406</v>
      </c>
      <c r="O156" s="55"/>
      <c r="P156" s="55"/>
      <c r="Q156" s="56"/>
      <c r="R156" s="55"/>
      <c r="S156" s="55"/>
      <c r="T156" s="100">
        <v>650</v>
      </c>
      <c r="U156" s="207"/>
      <c r="V156" s="207"/>
      <c r="W156" s="208"/>
      <c r="X156" s="207"/>
      <c r="Y156" s="207"/>
      <c r="Z156" s="100">
        <v>379</v>
      </c>
      <c r="AA156" s="207"/>
      <c r="AB156" s="207"/>
      <c r="AC156" s="208"/>
      <c r="AD156" s="207"/>
      <c r="AE156" s="207"/>
      <c r="AF156" s="100">
        <v>989</v>
      </c>
      <c r="AG156" s="207">
        <v>65</v>
      </c>
      <c r="AH156" s="207">
        <v>91</v>
      </c>
      <c r="AI156" s="209">
        <f t="shared" si="159"/>
        <v>156</v>
      </c>
      <c r="AJ156" s="207">
        <v>58</v>
      </c>
      <c r="AK156" s="207">
        <v>40</v>
      </c>
      <c r="AL156" s="100">
        <v>1983</v>
      </c>
      <c r="AM156" s="207">
        <v>208</v>
      </c>
      <c r="AN156" s="207">
        <v>-16</v>
      </c>
      <c r="AO156" s="209">
        <f t="shared" si="160"/>
        <v>192</v>
      </c>
      <c r="AP156" s="207">
        <v>119</v>
      </c>
      <c r="AQ156" s="207">
        <v>-105</v>
      </c>
      <c r="AR156" s="100">
        <v>1047</v>
      </c>
      <c r="AS156" s="207">
        <v>396</v>
      </c>
      <c r="AT156" s="207">
        <v>592</v>
      </c>
      <c r="AU156" s="209">
        <f>AS156+AT156</f>
        <v>988</v>
      </c>
      <c r="AV156" s="207">
        <v>189</v>
      </c>
      <c r="AW156" s="207">
        <v>295</v>
      </c>
      <c r="AX156" s="100">
        <v>1472</v>
      </c>
      <c r="AY156" s="207">
        <v>436</v>
      </c>
      <c r="AZ156" s="207">
        <v>341</v>
      </c>
      <c r="BA156" s="209">
        <f>AY156+AZ156</f>
        <v>777</v>
      </c>
      <c r="BB156" s="207">
        <v>654</v>
      </c>
      <c r="BC156" s="207">
        <v>275</v>
      </c>
      <c r="BD156" s="100">
        <v>1706</v>
      </c>
      <c r="BE156" s="207">
        <v>512</v>
      </c>
      <c r="BF156" s="207">
        <v>555</v>
      </c>
      <c r="BG156" s="209">
        <f>BE156+BF156</f>
        <v>1067</v>
      </c>
      <c r="BH156" s="207">
        <v>582</v>
      </c>
      <c r="BI156" s="207">
        <v>821</v>
      </c>
      <c r="BJ156" s="100">
        <v>2470</v>
      </c>
      <c r="BK156" s="207">
        <v>800</v>
      </c>
      <c r="BL156" s="207">
        <v>957</v>
      </c>
      <c r="BM156" s="209">
        <f>BK156+BL156</f>
        <v>1757</v>
      </c>
      <c r="BN156" s="207">
        <v>1048</v>
      </c>
      <c r="BO156" s="207"/>
      <c r="BP156" s="108">
        <v>4026</v>
      </c>
      <c r="BQ156" s="383">
        <f>-(BQ216+BQ217)</f>
        <v>4701</v>
      </c>
      <c r="BR156" s="383">
        <f>-(BR216+BR217)</f>
        <v>4607</v>
      </c>
      <c r="BS156" s="383">
        <f>-(BS216+BS217)</f>
        <v>4518</v>
      </c>
      <c r="BT156" s="383">
        <f>-(BT216+BT217)</f>
        <v>4451</v>
      </c>
      <c r="BU156" s="383">
        <f>-(BU216+BU217)</f>
        <v>4361</v>
      </c>
      <c r="BV156" s="400" t="s">
        <v>317</v>
      </c>
      <c r="BW156" s="289"/>
      <c r="BX156" s="451"/>
      <c r="BY156" s="459"/>
      <c r="BZ156" s="459"/>
    </row>
    <row r="157" spans="2:78" x14ac:dyDescent="0.25">
      <c r="B157" s="119" t="s">
        <v>30</v>
      </c>
      <c r="C157" s="120">
        <v>72</v>
      </c>
      <c r="D157" s="120">
        <v>99</v>
      </c>
      <c r="E157" s="120">
        <f>C157+D157</f>
        <v>171</v>
      </c>
      <c r="F157" s="120">
        <v>78</v>
      </c>
      <c r="G157" s="120">
        <v>54</v>
      </c>
      <c r="H157" s="113">
        <f>H153-H154+H155-H156</f>
        <v>2689</v>
      </c>
      <c r="I157" s="114">
        <v>-46</v>
      </c>
      <c r="J157" s="114">
        <v>104</v>
      </c>
      <c r="K157" s="115">
        <f>I157+J157</f>
        <v>58</v>
      </c>
      <c r="L157" s="114">
        <v>85</v>
      </c>
      <c r="M157" s="114">
        <v>41</v>
      </c>
      <c r="N157" s="113">
        <f>N153-N154+N155-N156</f>
        <v>2289</v>
      </c>
      <c r="O157" s="121"/>
      <c r="P157" s="121"/>
      <c r="Q157" s="122"/>
      <c r="R157" s="121"/>
      <c r="S157" s="121"/>
      <c r="T157" s="113">
        <f>T153-T154+T155-T156</f>
        <v>3797</v>
      </c>
      <c r="U157" s="117"/>
      <c r="V157" s="117"/>
      <c r="W157" s="118"/>
      <c r="X157" s="117"/>
      <c r="Y157" s="117"/>
      <c r="Z157" s="113">
        <f>Z153-Z154+Z155-Z156</f>
        <v>5201</v>
      </c>
      <c r="AA157" s="117"/>
      <c r="AB157" s="117"/>
      <c r="AC157" s="118"/>
      <c r="AD157" s="117"/>
      <c r="AE157" s="117"/>
      <c r="AF157" s="113">
        <f>AF153-AF154+AF155-AF156</f>
        <v>4996</v>
      </c>
      <c r="AG157" s="117">
        <v>662</v>
      </c>
      <c r="AH157" s="117">
        <v>313</v>
      </c>
      <c r="AI157" s="118">
        <f t="shared" si="159"/>
        <v>975</v>
      </c>
      <c r="AJ157" s="117">
        <v>536</v>
      </c>
      <c r="AK157" s="117">
        <v>472</v>
      </c>
      <c r="AL157" s="113">
        <f>AL153-AL154+AL155-AL156</f>
        <v>5627</v>
      </c>
      <c r="AM157" s="117">
        <v>229</v>
      </c>
      <c r="AN157" s="117">
        <v>237</v>
      </c>
      <c r="AO157" s="118">
        <f t="shared" si="160"/>
        <v>466</v>
      </c>
      <c r="AP157" s="117">
        <v>284</v>
      </c>
      <c r="AQ157" s="117">
        <v>297</v>
      </c>
      <c r="AR157" s="113">
        <f>AR153-AR154+AR155-AR156</f>
        <v>14904</v>
      </c>
      <c r="AS157" s="117">
        <v>5763</v>
      </c>
      <c r="AT157" s="117">
        <v>6680</v>
      </c>
      <c r="AU157" s="118">
        <f>AS157+AT157</f>
        <v>12443</v>
      </c>
      <c r="AV157" s="117">
        <v>5944</v>
      </c>
      <c r="AW157" s="117">
        <v>4834</v>
      </c>
      <c r="AX157" s="113">
        <f>AX153-AX154+AX155-AX156</f>
        <v>23221</v>
      </c>
      <c r="AY157" s="117">
        <v>4326</v>
      </c>
      <c r="AZ157" s="117">
        <v>4533</v>
      </c>
      <c r="BA157" s="118">
        <f>AY157+AZ157</f>
        <v>8859</v>
      </c>
      <c r="BB157" s="117">
        <v>3767</v>
      </c>
      <c r="BC157" s="117">
        <v>3864</v>
      </c>
      <c r="BD157" s="113">
        <f>BD153-BD154+BD155-BD156</f>
        <v>16490</v>
      </c>
      <c r="BE157" s="117">
        <v>3157</v>
      </c>
      <c r="BF157" s="117">
        <v>3578</v>
      </c>
      <c r="BG157" s="118">
        <f>BE157+BF157</f>
        <v>6735</v>
      </c>
      <c r="BH157" s="117">
        <v>3781</v>
      </c>
      <c r="BI157" s="117">
        <v>2907</v>
      </c>
      <c r="BJ157" s="113">
        <f>BJ153-BJ154+BJ155-BJ156</f>
        <v>13423</v>
      </c>
      <c r="BK157" s="117">
        <v>3724</v>
      </c>
      <c r="BL157" s="117">
        <v>3287</v>
      </c>
      <c r="BM157" s="118">
        <f>BK157+BL157</f>
        <v>7011</v>
      </c>
      <c r="BN157" s="117">
        <v>3240</v>
      </c>
      <c r="BO157" s="117"/>
      <c r="BP157" s="113">
        <f t="shared" ref="BP157:BU157" si="165">BP153-BP154+BP155-BP156</f>
        <v>12147</v>
      </c>
      <c r="BQ157" s="419">
        <f t="shared" si="165"/>
        <v>17449.633333333291</v>
      </c>
      <c r="BR157" s="419">
        <f t="shared" si="165"/>
        <v>22811.523207466624</v>
      </c>
      <c r="BS157" s="419">
        <f t="shared" si="165"/>
        <v>28759.624782519953</v>
      </c>
      <c r="BT157" s="419">
        <f t="shared" si="165"/>
        <v>31668.692428102338</v>
      </c>
      <c r="BU157" s="419">
        <f t="shared" si="165"/>
        <v>34335.304924863791</v>
      </c>
      <c r="BV157" s="365"/>
      <c r="BW157" s="305"/>
      <c r="BX157" s="451"/>
      <c r="BY157" s="459"/>
      <c r="BZ157" s="459"/>
    </row>
    <row r="158" spans="2:78" x14ac:dyDescent="0.25">
      <c r="B158" t="s">
        <v>31</v>
      </c>
      <c r="C158" s="2">
        <v>569</v>
      </c>
      <c r="D158" s="2">
        <v>710</v>
      </c>
      <c r="E158" s="6">
        <f>C158+D158</f>
        <v>1279</v>
      </c>
      <c r="F158" s="2">
        <v>773</v>
      </c>
      <c r="G158" s="2">
        <v>637</v>
      </c>
      <c r="H158" s="80">
        <v>631</v>
      </c>
      <c r="I158" s="205">
        <v>319</v>
      </c>
      <c r="J158" s="205">
        <v>455</v>
      </c>
      <c r="K158" s="206">
        <f>I158+J158</f>
        <v>774</v>
      </c>
      <c r="L158" s="205">
        <v>763</v>
      </c>
      <c r="M158" s="205">
        <v>752</v>
      </c>
      <c r="N158" s="80">
        <v>611</v>
      </c>
      <c r="O158" s="55"/>
      <c r="P158" s="55"/>
      <c r="Q158" s="56"/>
      <c r="R158" s="55"/>
      <c r="S158" s="55"/>
      <c r="T158" s="100">
        <v>785</v>
      </c>
      <c r="U158" s="207"/>
      <c r="V158" s="207"/>
      <c r="W158" s="208"/>
      <c r="X158" s="207"/>
      <c r="Y158" s="207"/>
      <c r="Z158" s="100">
        <v>1213</v>
      </c>
      <c r="AA158" s="207"/>
      <c r="AB158" s="207"/>
      <c r="AC158" s="208"/>
      <c r="AD158" s="207"/>
      <c r="AE158" s="207"/>
      <c r="AF158" s="100">
        <v>1290</v>
      </c>
      <c r="AG158" s="207">
        <v>458</v>
      </c>
      <c r="AH158" s="207">
        <v>1876</v>
      </c>
      <c r="AI158" s="209">
        <f t="shared" si="159"/>
        <v>2334</v>
      </c>
      <c r="AJ158" s="207">
        <v>1794</v>
      </c>
      <c r="AK158" s="207">
        <v>1499</v>
      </c>
      <c r="AL158" s="100">
        <v>1369</v>
      </c>
      <c r="AM158" s="207">
        <v>3046</v>
      </c>
      <c r="AN158" s="207">
        <v>3318</v>
      </c>
      <c r="AO158" s="209">
        <f t="shared" si="160"/>
        <v>6364</v>
      </c>
      <c r="AP158" s="207">
        <v>4153</v>
      </c>
      <c r="AQ158" s="207">
        <v>4387</v>
      </c>
      <c r="AR158" s="100">
        <v>3650</v>
      </c>
      <c r="AS158" s="207">
        <v>1377</v>
      </c>
      <c r="AT158" s="207">
        <v>1610</v>
      </c>
      <c r="AU158" s="209">
        <f>AS158+AT158</f>
        <v>2987</v>
      </c>
      <c r="AV158" s="207">
        <v>1518</v>
      </c>
      <c r="AW158" s="207">
        <v>1045</v>
      </c>
      <c r="AX158" s="100">
        <v>5550</v>
      </c>
      <c r="AY158" s="207">
        <v>1039</v>
      </c>
      <c r="AZ158" s="207">
        <v>1158</v>
      </c>
      <c r="BA158" s="209">
        <f>AY158+AZ158</f>
        <v>2197</v>
      </c>
      <c r="BB158" s="207">
        <v>959</v>
      </c>
      <c r="BC158" s="207">
        <v>927</v>
      </c>
      <c r="BD158" s="100">
        <v>4083</v>
      </c>
      <c r="BE158" s="207">
        <v>764</v>
      </c>
      <c r="BF158" s="207">
        <v>866</v>
      </c>
      <c r="BG158" s="209">
        <f>BE158+BF158</f>
        <v>1630</v>
      </c>
      <c r="BH158" s="207">
        <v>936</v>
      </c>
      <c r="BI158" s="207">
        <v>682</v>
      </c>
      <c r="BJ158" s="100">
        <v>3248</v>
      </c>
      <c r="BK158" s="207">
        <v>912</v>
      </c>
      <c r="BL158" s="207">
        <v>931</v>
      </c>
      <c r="BM158" s="209">
        <f>BK158+BL158</f>
        <v>1843</v>
      </c>
      <c r="BN158" s="207">
        <v>1080</v>
      </c>
      <c r="BO158" s="207"/>
      <c r="BP158" s="108">
        <v>3684</v>
      </c>
      <c r="BQ158" s="405">
        <f>BQ157*BQ159</f>
        <v>4362.4083333333228</v>
      </c>
      <c r="BR158" s="406">
        <f>BR157*BR159</f>
        <v>5702.8808018666559</v>
      </c>
      <c r="BS158" s="406">
        <f>BS157*BS159</f>
        <v>7189.9061956299884</v>
      </c>
      <c r="BT158" s="406">
        <f>BT157*BT159</f>
        <v>7917.1731070255846</v>
      </c>
      <c r="BU158" s="406">
        <f>BU157*BU159</f>
        <v>8583.8262312159477</v>
      </c>
      <c r="BV158" s="400" t="s">
        <v>318</v>
      </c>
      <c r="BW158" s="289"/>
      <c r="BX158" s="451"/>
      <c r="BY158" s="459"/>
      <c r="BZ158" s="459"/>
    </row>
    <row r="159" spans="2:78" x14ac:dyDescent="0.25">
      <c r="B159" s="423" t="s">
        <v>341</v>
      </c>
      <c r="C159" s="424"/>
      <c r="D159" s="424"/>
      <c r="E159" s="424"/>
      <c r="F159" s="424"/>
      <c r="G159" s="424"/>
      <c r="H159" s="425">
        <f>IFERROR(H158/H157,"")</f>
        <v>0.23465972480476013</v>
      </c>
      <c r="I159" s="426"/>
      <c r="J159" s="426"/>
      <c r="K159" s="427"/>
      <c r="L159" s="426"/>
      <c r="M159" s="426"/>
      <c r="N159" s="425">
        <f>IFERROR(N158/N157,"")</f>
        <v>0.26692878986456969</v>
      </c>
      <c r="O159" s="426"/>
      <c r="P159" s="426"/>
      <c r="Q159" s="427"/>
      <c r="R159" s="426"/>
      <c r="S159" s="426"/>
      <c r="T159" s="428">
        <f>IFERROR(T158/T157,"")</f>
        <v>0.20674216486700026</v>
      </c>
      <c r="U159" s="429"/>
      <c r="V159" s="429"/>
      <c r="W159" s="430"/>
      <c r="X159" s="429"/>
      <c r="Y159" s="429"/>
      <c r="Z159" s="428">
        <f>IFERROR(Z158/Z157,"")</f>
        <v>0.23322437992693712</v>
      </c>
      <c r="AA159" s="429"/>
      <c r="AB159" s="429"/>
      <c r="AC159" s="430"/>
      <c r="AD159" s="429"/>
      <c r="AE159" s="429"/>
      <c r="AF159" s="428">
        <f>IFERROR(AF158/AF157,"")</f>
        <v>0.25820656525220176</v>
      </c>
      <c r="AG159" s="429"/>
      <c r="AH159" s="429"/>
      <c r="AI159" s="430"/>
      <c r="AJ159" s="429"/>
      <c r="AK159" s="429"/>
      <c r="AL159" s="428">
        <f>IFERROR(AL158/AL157,"")</f>
        <v>0.24329127421361293</v>
      </c>
      <c r="AM159" s="429"/>
      <c r="AN159" s="429"/>
      <c r="AO159" s="430"/>
      <c r="AP159" s="429"/>
      <c r="AQ159" s="429"/>
      <c r="AR159" s="428">
        <f>IFERROR(AR158/AR157,"")</f>
        <v>0.24490069779924853</v>
      </c>
      <c r="AS159" s="429"/>
      <c r="AT159" s="429"/>
      <c r="AU159" s="430"/>
      <c r="AV159" s="429"/>
      <c r="AW159" s="429"/>
      <c r="AX159" s="428">
        <f>IFERROR(AX158/AX157,"")</f>
        <v>0.23900779466861893</v>
      </c>
      <c r="AY159" s="429"/>
      <c r="AZ159" s="429"/>
      <c r="BA159" s="430"/>
      <c r="BB159" s="429"/>
      <c r="BC159" s="429"/>
      <c r="BD159" s="428">
        <f>IFERROR(BD158/BD157,"")</f>
        <v>0.24760460885385083</v>
      </c>
      <c r="BE159" s="429"/>
      <c r="BF159" s="429"/>
      <c r="BG159" s="430"/>
      <c r="BH159" s="429"/>
      <c r="BI159" s="429"/>
      <c r="BJ159" s="428">
        <f>IFERROR(BJ158/BJ157,"")</f>
        <v>0.24197273336809952</v>
      </c>
      <c r="BK159" s="429"/>
      <c r="BL159" s="429"/>
      <c r="BM159" s="430"/>
      <c r="BN159" s="429"/>
      <c r="BO159" s="429"/>
      <c r="BP159" s="428">
        <f>IFERROR(BP158/BP157,"")</f>
        <v>0.30328476166954804</v>
      </c>
      <c r="BQ159" s="714">
        <v>0.25</v>
      </c>
      <c r="BR159" s="714">
        <v>0.25</v>
      </c>
      <c r="BS159" s="714">
        <v>0.25</v>
      </c>
      <c r="BT159" s="714">
        <v>0.25</v>
      </c>
      <c r="BU159" s="714">
        <v>0.25</v>
      </c>
      <c r="BV159" s="400"/>
      <c r="BW159" s="289"/>
      <c r="BX159" s="451"/>
      <c r="BY159" s="459"/>
      <c r="BZ159" s="459"/>
    </row>
    <row r="160" spans="2:78" x14ac:dyDescent="0.25">
      <c r="B160" s="119" t="s">
        <v>32</v>
      </c>
      <c r="C160" s="120">
        <v>142</v>
      </c>
      <c r="D160" s="120">
        <v>177</v>
      </c>
      <c r="E160" s="120">
        <f>C160+D160</f>
        <v>319</v>
      </c>
      <c r="F160" s="120">
        <v>195</v>
      </c>
      <c r="G160" s="120">
        <v>117</v>
      </c>
      <c r="H160" s="113">
        <f>H157-H158</f>
        <v>2058</v>
      </c>
      <c r="I160" s="114">
        <v>86</v>
      </c>
      <c r="J160" s="114">
        <v>122</v>
      </c>
      <c r="K160" s="115">
        <f>I160+J160</f>
        <v>208</v>
      </c>
      <c r="L160" s="114">
        <v>211</v>
      </c>
      <c r="M160" s="114">
        <v>192</v>
      </c>
      <c r="N160" s="113">
        <f>N157-N158</f>
        <v>1678</v>
      </c>
      <c r="O160" s="121"/>
      <c r="P160" s="121"/>
      <c r="Q160" s="122"/>
      <c r="R160" s="121"/>
      <c r="S160" s="121"/>
      <c r="T160" s="116">
        <f>T157-T158</f>
        <v>3012</v>
      </c>
      <c r="U160" s="117"/>
      <c r="V160" s="117"/>
      <c r="W160" s="118"/>
      <c r="X160" s="117"/>
      <c r="Y160" s="117"/>
      <c r="Z160" s="116">
        <f>Z157-Z158</f>
        <v>3988</v>
      </c>
      <c r="AA160" s="117"/>
      <c r="AB160" s="117"/>
      <c r="AC160" s="118"/>
      <c r="AD160" s="117"/>
      <c r="AE160" s="117"/>
      <c r="AF160" s="116">
        <f>AF157-AF158</f>
        <v>3706</v>
      </c>
      <c r="AG160" s="117">
        <v>127</v>
      </c>
      <c r="AH160" s="117">
        <v>486</v>
      </c>
      <c r="AI160" s="118">
        <f t="shared" si="159"/>
        <v>613</v>
      </c>
      <c r="AJ160" s="117">
        <v>457</v>
      </c>
      <c r="AK160" s="117">
        <v>299</v>
      </c>
      <c r="AL160" s="116">
        <f>AL157-AL158</f>
        <v>4258</v>
      </c>
      <c r="AM160" s="117">
        <v>717</v>
      </c>
      <c r="AN160" s="117">
        <v>791</v>
      </c>
      <c r="AO160" s="118">
        <f t="shared" si="160"/>
        <v>1508</v>
      </c>
      <c r="AP160" s="117">
        <v>992</v>
      </c>
      <c r="AQ160" s="117">
        <v>1150</v>
      </c>
      <c r="AR160" s="116">
        <f>AR157-AR158</f>
        <v>11254</v>
      </c>
      <c r="AS160" s="117">
        <v>4386</v>
      </c>
      <c r="AT160" s="117">
        <v>5070</v>
      </c>
      <c r="AU160" s="118">
        <f>AS160+AT160</f>
        <v>9456</v>
      </c>
      <c r="AV160" s="117">
        <v>4426</v>
      </c>
      <c r="AW160" s="117">
        <v>3789</v>
      </c>
      <c r="AX160" s="116">
        <f>AX157-AX158</f>
        <v>17671</v>
      </c>
      <c r="AY160" s="117">
        <v>3287</v>
      </c>
      <c r="AZ160" s="117">
        <v>3375</v>
      </c>
      <c r="BA160" s="118">
        <f>AY160+AZ160</f>
        <v>6662</v>
      </c>
      <c r="BB160" s="117">
        <v>2808</v>
      </c>
      <c r="BC160" s="117">
        <v>2937</v>
      </c>
      <c r="BD160" s="116">
        <f>BD157-BD158</f>
        <v>12407</v>
      </c>
      <c r="BE160" s="117">
        <v>2393</v>
      </c>
      <c r="BF160" s="117">
        <v>2712</v>
      </c>
      <c r="BG160" s="118">
        <f>BE160+BF160</f>
        <v>5105</v>
      </c>
      <c r="BH160" s="117">
        <v>2845</v>
      </c>
      <c r="BI160" s="117">
        <v>2225</v>
      </c>
      <c r="BJ160" s="116">
        <f>BJ157-BJ158</f>
        <v>10175</v>
      </c>
      <c r="BK160" s="117">
        <v>2812</v>
      </c>
      <c r="BL160" s="117">
        <v>2356</v>
      </c>
      <c r="BM160" s="118">
        <f>BK160+BL160</f>
        <v>5168</v>
      </c>
      <c r="BN160" s="117">
        <v>2160</v>
      </c>
      <c r="BO160" s="117"/>
      <c r="BP160" s="116">
        <f t="shared" ref="BP160:BU160" si="166">BP157-BP158</f>
        <v>8463</v>
      </c>
      <c r="BQ160" s="417">
        <f t="shared" si="166"/>
        <v>13087.224999999969</v>
      </c>
      <c r="BR160" s="417">
        <f t="shared" si="166"/>
        <v>17108.642405599967</v>
      </c>
      <c r="BS160" s="417">
        <f t="shared" si="166"/>
        <v>21569.718586889965</v>
      </c>
      <c r="BT160" s="417">
        <f t="shared" si="166"/>
        <v>23751.519321076754</v>
      </c>
      <c r="BU160" s="417">
        <f t="shared" si="166"/>
        <v>25751.478693647841</v>
      </c>
      <c r="BV160" s="365"/>
      <c r="BW160" s="305"/>
      <c r="BX160" s="451"/>
      <c r="BY160" s="459"/>
      <c r="BZ160" s="459"/>
    </row>
    <row r="161" spans="2:78" x14ac:dyDescent="0.25">
      <c r="B161" t="s">
        <v>33</v>
      </c>
      <c r="C161" s="2">
        <v>427</v>
      </c>
      <c r="D161" s="2">
        <v>533</v>
      </c>
      <c r="E161" s="6">
        <f>C161+D161</f>
        <v>960</v>
      </c>
      <c r="F161" s="2">
        <v>578</v>
      </c>
      <c r="G161" s="2">
        <v>520</v>
      </c>
      <c r="H161" s="80">
        <v>2056</v>
      </c>
      <c r="I161" s="205">
        <v>233</v>
      </c>
      <c r="J161" s="205">
        <v>333</v>
      </c>
      <c r="K161" s="206">
        <f>I161+J161</f>
        <v>566</v>
      </c>
      <c r="L161" s="205">
        <v>552</v>
      </c>
      <c r="M161" s="205">
        <v>560</v>
      </c>
      <c r="N161" s="80">
        <v>1668</v>
      </c>
      <c r="O161" s="55"/>
      <c r="P161" s="55"/>
      <c r="Q161" s="56"/>
      <c r="R161" s="55"/>
      <c r="S161" s="55"/>
      <c r="T161" s="100">
        <v>2981</v>
      </c>
      <c r="U161" s="207"/>
      <c r="V161" s="207"/>
      <c r="W161" s="208"/>
      <c r="X161" s="207"/>
      <c r="Y161" s="207"/>
      <c r="Z161" s="100">
        <v>4000</v>
      </c>
      <c r="AA161" s="207"/>
      <c r="AB161" s="207"/>
      <c r="AC161" s="208"/>
      <c r="AD161" s="207"/>
      <c r="AE161" s="207"/>
      <c r="AF161" s="100">
        <v>3700</v>
      </c>
      <c r="AG161" s="207">
        <v>331</v>
      </c>
      <c r="AH161" s="207">
        <v>1390</v>
      </c>
      <c r="AI161" s="209">
        <f t="shared" si="159"/>
        <v>1721</v>
      </c>
      <c r="AJ161" s="207">
        <v>1337</v>
      </c>
      <c r="AK161" s="207">
        <v>1200</v>
      </c>
      <c r="AL161" s="100">
        <v>4250</v>
      </c>
      <c r="AM161" s="207">
        <v>2329</v>
      </c>
      <c r="AN161" s="207">
        <v>2527</v>
      </c>
      <c r="AO161" s="209">
        <f t="shared" si="160"/>
        <v>4856</v>
      </c>
      <c r="AP161" s="207">
        <v>3161</v>
      </c>
      <c r="AQ161" s="207">
        <v>3237</v>
      </c>
      <c r="AR161" s="100">
        <v>11205</v>
      </c>
      <c r="AS161" s="207">
        <v>4386</v>
      </c>
      <c r="AT161" s="207">
        <v>5070</v>
      </c>
      <c r="AU161" s="209">
        <f t="shared" ref="AU161" si="167">AS161+AT161</f>
        <v>9456</v>
      </c>
      <c r="AV161" s="207">
        <v>4426</v>
      </c>
      <c r="AW161" s="207">
        <v>3789</v>
      </c>
      <c r="AX161" s="100">
        <v>17568</v>
      </c>
      <c r="AY161" s="207">
        <v>3287</v>
      </c>
      <c r="AZ161" s="207">
        <v>3375</v>
      </c>
      <c r="BA161" s="209">
        <f t="shared" ref="BA161" si="168">AY161+AZ161</f>
        <v>6662</v>
      </c>
      <c r="BB161" s="207">
        <v>2808</v>
      </c>
      <c r="BC161" s="207">
        <v>2937</v>
      </c>
      <c r="BD161" s="100">
        <v>12315</v>
      </c>
      <c r="BE161" s="207">
        <v>2393</v>
      </c>
      <c r="BF161" s="207">
        <v>2712</v>
      </c>
      <c r="BG161" s="209">
        <f t="shared" ref="BG161" si="169">BE161+BF161</f>
        <v>5105</v>
      </c>
      <c r="BH161" s="207">
        <v>2845</v>
      </c>
      <c r="BI161" s="207">
        <v>2225</v>
      </c>
      <c r="BJ161" s="100">
        <v>10109</v>
      </c>
      <c r="BK161" s="207">
        <v>2812</v>
      </c>
      <c r="BL161" s="207">
        <v>2356</v>
      </c>
      <c r="BM161" s="209">
        <f t="shared" ref="BM161" si="170">BK161+BL161</f>
        <v>5168</v>
      </c>
      <c r="BN161" s="207">
        <v>2160</v>
      </c>
      <c r="BO161" s="207"/>
      <c r="BP161" s="108">
        <f>BP166-BP162</f>
        <v>8095</v>
      </c>
      <c r="BQ161" s="405">
        <f>BQ160-BQ162</f>
        <v>13007.224999999969</v>
      </c>
      <c r="BR161" s="406">
        <f>BR160-BR162</f>
        <v>17028.642405599967</v>
      </c>
      <c r="BS161" s="406">
        <f>BS160-BS162</f>
        <v>21489.718586889965</v>
      </c>
      <c r="BT161" s="406">
        <f>BT160-BT162</f>
        <v>23671.519321076754</v>
      </c>
      <c r="BU161" s="406">
        <f>BU160-BU162</f>
        <v>25671.478693647841</v>
      </c>
      <c r="BV161" s="365"/>
      <c r="BW161" s="305"/>
      <c r="BX161" s="451"/>
      <c r="BY161" s="459"/>
      <c r="BZ161" s="459"/>
    </row>
    <row r="162" spans="2:78" x14ac:dyDescent="0.25">
      <c r="B162" t="s">
        <v>34</v>
      </c>
      <c r="C162" s="1"/>
      <c r="D162" s="1"/>
      <c r="E162" s="1"/>
      <c r="F162" s="1"/>
      <c r="G162" s="1"/>
      <c r="H162" s="74">
        <v>2</v>
      </c>
      <c r="I162" s="28"/>
      <c r="J162" s="28"/>
      <c r="K162" s="45"/>
      <c r="L162" s="28"/>
      <c r="M162" s="28"/>
      <c r="N162" s="74">
        <v>10</v>
      </c>
      <c r="O162" s="28"/>
      <c r="P162" s="28"/>
      <c r="Q162" s="45"/>
      <c r="R162" s="28"/>
      <c r="S162" s="28"/>
      <c r="T162" s="87">
        <v>31</v>
      </c>
      <c r="U162" s="36"/>
      <c r="V162" s="36"/>
      <c r="W162" s="53"/>
      <c r="X162" s="36"/>
      <c r="Y162" s="36"/>
      <c r="Z162" s="87">
        <v>-12</v>
      </c>
      <c r="AA162" s="36"/>
      <c r="AB162" s="36"/>
      <c r="AC162" s="53"/>
      <c r="AD162" s="36"/>
      <c r="AE162" s="36"/>
      <c r="AF162" s="87">
        <v>6</v>
      </c>
      <c r="AG162" s="36"/>
      <c r="AH162" s="36"/>
      <c r="AI162" s="53"/>
      <c r="AJ162" s="36"/>
      <c r="AK162" s="36"/>
      <c r="AL162" s="87">
        <v>8</v>
      </c>
      <c r="AM162" s="36"/>
      <c r="AN162" s="36"/>
      <c r="AO162" s="53"/>
      <c r="AP162" s="36"/>
      <c r="AQ162" s="36"/>
      <c r="AR162" s="87">
        <v>49</v>
      </c>
      <c r="AS162" s="36"/>
      <c r="AT162" s="36"/>
      <c r="AU162" s="53"/>
      <c r="AV162" s="36"/>
      <c r="AW162" s="36"/>
      <c r="AX162" s="87">
        <v>103</v>
      </c>
      <c r="AY162" s="36"/>
      <c r="AZ162" s="36"/>
      <c r="BA162" s="53"/>
      <c r="BB162" s="36"/>
      <c r="BC162" s="36"/>
      <c r="BD162" s="87">
        <v>92</v>
      </c>
      <c r="BE162" s="36"/>
      <c r="BF162" s="36"/>
      <c r="BG162" s="53"/>
      <c r="BH162" s="36"/>
      <c r="BI162" s="36"/>
      <c r="BJ162" s="87">
        <v>66</v>
      </c>
      <c r="BK162" s="36"/>
      <c r="BL162" s="36"/>
      <c r="BM162" s="53"/>
      <c r="BN162" s="36"/>
      <c r="BO162" s="36"/>
      <c r="BP162" s="87">
        <v>77</v>
      </c>
      <c r="BQ162" s="368">
        <v>80</v>
      </c>
      <c r="BR162" s="368">
        <v>80</v>
      </c>
      <c r="BS162" s="368">
        <v>80</v>
      </c>
      <c r="BT162" s="368">
        <v>80</v>
      </c>
      <c r="BU162" s="368">
        <v>80</v>
      </c>
      <c r="BV162" s="400" t="s">
        <v>319</v>
      </c>
      <c r="BW162" s="289"/>
      <c r="BX162" s="451"/>
      <c r="BY162" s="459"/>
      <c r="BZ162" s="459"/>
    </row>
    <row r="163" spans="2:78" x14ac:dyDescent="0.25">
      <c r="B163" s="210" t="s">
        <v>35</v>
      </c>
      <c r="C163" s="211"/>
      <c r="D163" s="211"/>
      <c r="E163" s="211"/>
      <c r="F163" s="211"/>
      <c r="G163" s="211"/>
      <c r="H163" s="74">
        <v>2</v>
      </c>
      <c r="I163" s="176"/>
      <c r="J163" s="176"/>
      <c r="K163" s="177"/>
      <c r="L163" s="176"/>
      <c r="M163" s="176"/>
      <c r="N163" s="74">
        <v>10</v>
      </c>
      <c r="O163" s="176"/>
      <c r="P163" s="176"/>
      <c r="Q163" s="177"/>
      <c r="R163" s="176"/>
      <c r="S163" s="176"/>
      <c r="T163" s="64"/>
      <c r="U163" s="176"/>
      <c r="V163" s="176"/>
      <c r="W163" s="177"/>
      <c r="X163" s="176"/>
      <c r="Y163" s="176"/>
      <c r="Z163" s="64"/>
      <c r="AA163" s="176"/>
      <c r="AB163" s="176"/>
      <c r="AC163" s="177"/>
      <c r="AD163" s="176"/>
      <c r="AE163" s="176"/>
      <c r="AF163" s="64"/>
      <c r="AG163" s="176"/>
      <c r="AH163" s="176"/>
      <c r="AI163" s="177"/>
      <c r="AJ163" s="176"/>
      <c r="AK163" s="176"/>
      <c r="AL163" s="64"/>
      <c r="AM163" s="176"/>
      <c r="AN163" s="176"/>
      <c r="AO163" s="177"/>
      <c r="AP163" s="176"/>
      <c r="AQ163" s="176"/>
      <c r="AR163" s="64"/>
      <c r="AS163" s="176"/>
      <c r="AT163" s="176"/>
      <c r="AU163" s="177"/>
      <c r="AV163" s="176"/>
      <c r="AW163" s="176"/>
      <c r="AX163" s="64"/>
      <c r="AY163" s="176"/>
      <c r="AZ163" s="176"/>
      <c r="BA163" s="177"/>
      <c r="BB163" s="176"/>
      <c r="BC163" s="176"/>
      <c r="BD163" s="64"/>
      <c r="BE163" s="176"/>
      <c r="BF163" s="176"/>
      <c r="BG163" s="177"/>
      <c r="BH163" s="176"/>
      <c r="BI163" s="176"/>
      <c r="BJ163" s="64"/>
      <c r="BK163" s="176"/>
      <c r="BL163" s="176"/>
      <c r="BM163" s="177"/>
      <c r="BN163" s="176"/>
      <c r="BO163" s="176"/>
      <c r="BP163" s="91"/>
      <c r="BQ163" s="366"/>
      <c r="BR163" s="366"/>
      <c r="BS163" s="366"/>
      <c r="BT163" s="366"/>
      <c r="BU163" s="366"/>
      <c r="BV163" s="365"/>
      <c r="BW163" s="305"/>
      <c r="BX163" s="451"/>
      <c r="BY163" s="459"/>
      <c r="BZ163" s="459"/>
    </row>
    <row r="164" spans="2:78" x14ac:dyDescent="0.25">
      <c r="B164" t="s">
        <v>36</v>
      </c>
      <c r="C164" s="1"/>
      <c r="D164" s="1"/>
      <c r="E164" s="1"/>
      <c r="F164" s="1"/>
      <c r="G164" s="1"/>
      <c r="H164" s="72" t="s">
        <v>12</v>
      </c>
      <c r="I164" s="28"/>
      <c r="J164" s="28"/>
      <c r="K164" s="45"/>
      <c r="L164" s="28"/>
      <c r="M164" s="28"/>
      <c r="N164" s="72" t="s">
        <v>12</v>
      </c>
      <c r="O164" s="28"/>
      <c r="P164" s="28"/>
      <c r="Q164" s="45"/>
      <c r="R164" s="28"/>
      <c r="S164" s="28"/>
      <c r="T164" s="72" t="s">
        <v>12</v>
      </c>
      <c r="U164" s="28"/>
      <c r="V164" s="28"/>
      <c r="W164" s="45"/>
      <c r="X164" s="28"/>
      <c r="Y164" s="28"/>
      <c r="Z164" s="72" t="s">
        <v>12</v>
      </c>
      <c r="AA164" s="28"/>
      <c r="AB164" s="28"/>
      <c r="AC164" s="45"/>
      <c r="AD164" s="28"/>
      <c r="AE164" s="28"/>
      <c r="AF164" s="72" t="s">
        <v>12</v>
      </c>
      <c r="AG164" s="28"/>
      <c r="AH164" s="28"/>
      <c r="AI164" s="45"/>
      <c r="AJ164" s="28"/>
      <c r="AK164" s="28"/>
      <c r="AL164" s="72" t="s">
        <v>12</v>
      </c>
      <c r="AM164" s="28"/>
      <c r="AN164" s="28"/>
      <c r="AO164" s="45"/>
      <c r="AP164" s="28"/>
      <c r="AQ164" s="28"/>
      <c r="AR164" s="72" t="s">
        <v>12</v>
      </c>
      <c r="AS164" s="28"/>
      <c r="AT164" s="28"/>
      <c r="AU164" s="45"/>
      <c r="AV164" s="28"/>
      <c r="AW164" s="28"/>
      <c r="AX164" s="72" t="s">
        <v>12</v>
      </c>
      <c r="AY164" s="28"/>
      <c r="AZ164" s="28"/>
      <c r="BA164" s="45"/>
      <c r="BB164" s="28"/>
      <c r="BC164" s="28"/>
      <c r="BD164" s="72" t="s">
        <v>12</v>
      </c>
      <c r="BE164" s="28"/>
      <c r="BF164" s="28"/>
      <c r="BG164" s="45"/>
      <c r="BH164" s="28"/>
      <c r="BI164" s="28"/>
      <c r="BJ164" s="72" t="s">
        <v>12</v>
      </c>
      <c r="BK164" s="28"/>
      <c r="BL164" s="28"/>
      <c r="BM164" s="45"/>
      <c r="BN164" s="28"/>
      <c r="BO164" s="28"/>
      <c r="BP164" s="87">
        <v>8463</v>
      </c>
      <c r="BQ164" s="373">
        <f>BQ160</f>
        <v>13087.224999999969</v>
      </c>
      <c r="BR164" s="373">
        <f>BR160</f>
        <v>17108.642405599967</v>
      </c>
      <c r="BS164" s="373">
        <f>BS160</f>
        <v>21569.718586889965</v>
      </c>
      <c r="BT164" s="373">
        <f>BT160</f>
        <v>23751.519321076754</v>
      </c>
      <c r="BU164" s="373">
        <f>BU160</f>
        <v>25751.478693647841</v>
      </c>
      <c r="BV164" s="365"/>
      <c r="BW164" s="305"/>
      <c r="BX164" s="451"/>
      <c r="BY164" s="459"/>
      <c r="BZ164" s="459"/>
    </row>
    <row r="165" spans="2:78" x14ac:dyDescent="0.25">
      <c r="B165" t="s">
        <v>37</v>
      </c>
      <c r="C165" s="1"/>
      <c r="D165" s="1"/>
      <c r="E165" s="1"/>
      <c r="F165" s="1"/>
      <c r="G165" s="1"/>
      <c r="H165" s="72" t="s">
        <v>12</v>
      </c>
      <c r="I165" s="28"/>
      <c r="J165" s="28"/>
      <c r="K165" s="45"/>
      <c r="L165" s="28"/>
      <c r="M165" s="28"/>
      <c r="N165" s="72" t="s">
        <v>12</v>
      </c>
      <c r="O165" s="28"/>
      <c r="P165" s="28"/>
      <c r="Q165" s="45"/>
      <c r="R165" s="28"/>
      <c r="S165" s="28"/>
      <c r="T165" s="72" t="s">
        <v>12</v>
      </c>
      <c r="U165" s="28"/>
      <c r="V165" s="28"/>
      <c r="W165" s="45"/>
      <c r="X165" s="28"/>
      <c r="Y165" s="28"/>
      <c r="Z165" s="72" t="s">
        <v>12</v>
      </c>
      <c r="AA165" s="28"/>
      <c r="AB165" s="28"/>
      <c r="AC165" s="45"/>
      <c r="AD165" s="28"/>
      <c r="AE165" s="28"/>
      <c r="AF165" s="72" t="s">
        <v>12</v>
      </c>
      <c r="AG165" s="28"/>
      <c r="AH165" s="28"/>
      <c r="AI165" s="45"/>
      <c r="AJ165" s="28"/>
      <c r="AK165" s="28"/>
      <c r="AL165" s="72" t="s">
        <v>12</v>
      </c>
      <c r="AM165" s="28"/>
      <c r="AN165" s="28"/>
      <c r="AO165" s="45"/>
      <c r="AP165" s="28"/>
      <c r="AQ165" s="28"/>
      <c r="AR165" s="72" t="s">
        <v>12</v>
      </c>
      <c r="AS165" s="28"/>
      <c r="AT165" s="28"/>
      <c r="AU165" s="45"/>
      <c r="AV165" s="28"/>
      <c r="AW165" s="28"/>
      <c r="AX165" s="72" t="s">
        <v>12</v>
      </c>
      <c r="AY165" s="28"/>
      <c r="AZ165" s="28"/>
      <c r="BA165" s="45"/>
      <c r="BB165" s="28"/>
      <c r="BC165" s="28"/>
      <c r="BD165" s="72" t="s">
        <v>12</v>
      </c>
      <c r="BE165" s="28"/>
      <c r="BF165" s="28"/>
      <c r="BG165" s="45"/>
      <c r="BH165" s="28"/>
      <c r="BI165" s="28"/>
      <c r="BJ165" s="72" t="s">
        <v>12</v>
      </c>
      <c r="BK165" s="28"/>
      <c r="BL165" s="28"/>
      <c r="BM165" s="45"/>
      <c r="BN165" s="28"/>
      <c r="BO165" s="28"/>
      <c r="BP165" s="87">
        <v>-291</v>
      </c>
      <c r="BQ165" s="368">
        <v>0</v>
      </c>
      <c r="BR165" s="368">
        <v>0</v>
      </c>
      <c r="BS165" s="368">
        <v>0</v>
      </c>
      <c r="BT165" s="368">
        <v>0</v>
      </c>
      <c r="BU165" s="368">
        <v>0</v>
      </c>
      <c r="BV165" s="365"/>
      <c r="BW165" s="305"/>
      <c r="BX165" s="451"/>
      <c r="BY165" s="459"/>
      <c r="BZ165" s="459"/>
    </row>
    <row r="166" spans="2:78" x14ac:dyDescent="0.25">
      <c r="B166" s="110" t="s">
        <v>38</v>
      </c>
      <c r="C166" s="123"/>
      <c r="D166" s="123"/>
      <c r="E166" s="123"/>
      <c r="F166" s="123"/>
      <c r="G166" s="123"/>
      <c r="H166" s="124" t="s">
        <v>12</v>
      </c>
      <c r="I166" s="125"/>
      <c r="J166" s="125"/>
      <c r="K166" s="126"/>
      <c r="L166" s="125"/>
      <c r="M166" s="125"/>
      <c r="N166" s="124" t="s">
        <v>12</v>
      </c>
      <c r="O166" s="125"/>
      <c r="P166" s="125"/>
      <c r="Q166" s="126"/>
      <c r="R166" s="125"/>
      <c r="S166" s="125"/>
      <c r="T166" s="124" t="s">
        <v>12</v>
      </c>
      <c r="U166" s="125"/>
      <c r="V166" s="125"/>
      <c r="W166" s="126"/>
      <c r="X166" s="125"/>
      <c r="Y166" s="125"/>
      <c r="Z166" s="124" t="s">
        <v>12</v>
      </c>
      <c r="AA166" s="125"/>
      <c r="AB166" s="125"/>
      <c r="AC166" s="126"/>
      <c r="AD166" s="125"/>
      <c r="AE166" s="125"/>
      <c r="AF166" s="124" t="s">
        <v>12</v>
      </c>
      <c r="AG166" s="125"/>
      <c r="AH166" s="125"/>
      <c r="AI166" s="126"/>
      <c r="AJ166" s="125"/>
      <c r="AK166" s="125"/>
      <c r="AL166" s="124" t="s">
        <v>12</v>
      </c>
      <c r="AM166" s="125"/>
      <c r="AN166" s="125"/>
      <c r="AO166" s="126"/>
      <c r="AP166" s="125"/>
      <c r="AQ166" s="125"/>
      <c r="AR166" s="124" t="s">
        <v>12</v>
      </c>
      <c r="AS166" s="125"/>
      <c r="AT166" s="125"/>
      <c r="AU166" s="126"/>
      <c r="AV166" s="125"/>
      <c r="AW166" s="125"/>
      <c r="AX166" s="124" t="s">
        <v>12</v>
      </c>
      <c r="AY166" s="125"/>
      <c r="AZ166" s="125"/>
      <c r="BA166" s="126"/>
      <c r="BB166" s="125"/>
      <c r="BC166" s="125"/>
      <c r="BD166" s="124" t="s">
        <v>12</v>
      </c>
      <c r="BE166" s="125"/>
      <c r="BF166" s="125"/>
      <c r="BG166" s="126"/>
      <c r="BH166" s="125"/>
      <c r="BI166" s="125"/>
      <c r="BJ166" s="124" t="s">
        <v>12</v>
      </c>
      <c r="BK166" s="125"/>
      <c r="BL166" s="125"/>
      <c r="BM166" s="126"/>
      <c r="BN166" s="125"/>
      <c r="BO166" s="125"/>
      <c r="BP166" s="127">
        <v>8172</v>
      </c>
      <c r="BQ166" s="377">
        <f>BQ164-BQ165</f>
        <v>13087.224999999969</v>
      </c>
      <c r="BR166" s="377">
        <f>BR164-BR165</f>
        <v>17108.642405599967</v>
      </c>
      <c r="BS166" s="377">
        <f>BS164-BS165</f>
        <v>21569.718586889965</v>
      </c>
      <c r="BT166" s="377">
        <f>BT164-BT165</f>
        <v>23751.519321076754</v>
      </c>
      <c r="BU166" s="377">
        <f>BU164-BU165</f>
        <v>25751.478693647841</v>
      </c>
      <c r="BV166" s="365"/>
      <c r="BW166" s="305"/>
      <c r="BX166" s="451"/>
      <c r="BY166" s="459"/>
      <c r="BZ166" s="459"/>
    </row>
    <row r="167" spans="2:78" x14ac:dyDescent="0.25">
      <c r="B167" s="210" t="s">
        <v>39</v>
      </c>
      <c r="C167" s="211"/>
      <c r="D167" s="211"/>
      <c r="E167" s="211"/>
      <c r="F167" s="211"/>
      <c r="G167" s="211"/>
      <c r="H167" s="64"/>
      <c r="I167" s="176"/>
      <c r="J167" s="176"/>
      <c r="K167" s="177"/>
      <c r="L167" s="176"/>
      <c r="M167" s="176"/>
      <c r="N167" s="64"/>
      <c r="O167" s="176"/>
      <c r="P167" s="176"/>
      <c r="Q167" s="177"/>
      <c r="R167" s="176"/>
      <c r="S167" s="176"/>
      <c r="T167" s="64"/>
      <c r="U167" s="176"/>
      <c r="V167" s="176"/>
      <c r="W167" s="177"/>
      <c r="X167" s="176"/>
      <c r="Y167" s="176"/>
      <c r="Z167" s="64"/>
      <c r="AA167" s="176"/>
      <c r="AB167" s="176"/>
      <c r="AC167" s="177"/>
      <c r="AD167" s="176"/>
      <c r="AE167" s="176"/>
      <c r="AF167" s="64"/>
      <c r="AG167" s="176"/>
      <c r="AH167" s="176"/>
      <c r="AI167" s="177"/>
      <c r="AJ167" s="176"/>
      <c r="AK167" s="176"/>
      <c r="AL167" s="64"/>
      <c r="AM167" s="176"/>
      <c r="AN167" s="176"/>
      <c r="AO167" s="177"/>
      <c r="AP167" s="176"/>
      <c r="AQ167" s="176"/>
      <c r="AR167" s="64"/>
      <c r="AS167" s="176"/>
      <c r="AT167" s="176"/>
      <c r="AU167" s="177"/>
      <c r="AV167" s="176"/>
      <c r="AW167" s="176"/>
      <c r="AX167" s="64"/>
      <c r="AY167" s="176"/>
      <c r="AZ167" s="176"/>
      <c r="BA167" s="177"/>
      <c r="BB167" s="176"/>
      <c r="BC167" s="176"/>
      <c r="BD167" s="64"/>
      <c r="BE167" s="176"/>
      <c r="BF167" s="176"/>
      <c r="BG167" s="177"/>
      <c r="BH167" s="176"/>
      <c r="BI167" s="176"/>
      <c r="BJ167" s="64"/>
      <c r="BK167" s="176"/>
      <c r="BL167" s="176"/>
      <c r="BM167" s="177"/>
      <c r="BN167" s="176"/>
      <c r="BO167" s="176"/>
      <c r="BP167" s="91"/>
      <c r="BQ167" s="443">
        <f>BQ257</f>
        <v>234597.21077116189</v>
      </c>
      <c r="BR167" s="444">
        <f>BR257</f>
        <v>231817.3293953719</v>
      </c>
      <c r="BS167" s="444">
        <f>BS257</f>
        <v>226621.28944062427</v>
      </c>
      <c r="BT167" s="444">
        <f>BT257</f>
        <v>219337.12127976312</v>
      </c>
      <c r="BU167" s="444">
        <f>BU257</f>
        <v>211167.9607255263</v>
      </c>
      <c r="BV167" s="365"/>
      <c r="BW167" s="305"/>
      <c r="BX167" s="451"/>
      <c r="BY167" s="459"/>
      <c r="BZ167" s="459"/>
    </row>
    <row r="168" spans="2:78" x14ac:dyDescent="0.25">
      <c r="B168" s="210" t="s">
        <v>235</v>
      </c>
      <c r="C168" s="211"/>
      <c r="D168" s="211"/>
      <c r="E168" s="211"/>
      <c r="F168" s="211"/>
      <c r="G168" s="211"/>
      <c r="H168" s="81">
        <v>169988</v>
      </c>
      <c r="I168" s="212"/>
      <c r="J168" s="212"/>
      <c r="K168" s="213"/>
      <c r="L168" s="212"/>
      <c r="M168" s="212"/>
      <c r="N168" s="81">
        <v>184937</v>
      </c>
      <c r="O168" s="212"/>
      <c r="P168" s="212"/>
      <c r="Q168" s="213"/>
      <c r="R168" s="212"/>
      <c r="S168" s="212"/>
      <c r="T168" s="81">
        <v>186028</v>
      </c>
      <c r="U168" s="212"/>
      <c r="V168" s="212"/>
      <c r="W168" s="213"/>
      <c r="X168" s="212"/>
      <c r="Y168" s="212"/>
      <c r="Z168" s="81">
        <v>182092</v>
      </c>
      <c r="AA168" s="212"/>
      <c r="AB168" s="212"/>
      <c r="AC168" s="213"/>
      <c r="AD168" s="212"/>
      <c r="AE168" s="212"/>
      <c r="AF168" s="81">
        <v>198273</v>
      </c>
      <c r="AG168" s="212"/>
      <c r="AH168" s="212"/>
      <c r="AI168" s="213"/>
      <c r="AJ168" s="212"/>
      <c r="AK168" s="212"/>
      <c r="AL168" s="81">
        <v>227246</v>
      </c>
      <c r="AM168" s="212"/>
      <c r="AN168" s="212"/>
      <c r="AO168" s="213"/>
      <c r="AP168" s="212"/>
      <c r="AQ168" s="212"/>
      <c r="AR168" s="81">
        <v>227501</v>
      </c>
      <c r="AS168" s="212"/>
      <c r="AT168" s="212"/>
      <c r="AU168" s="213"/>
      <c r="AV168" s="212"/>
      <c r="AW168" s="212"/>
      <c r="AX168" s="81">
        <v>227270</v>
      </c>
      <c r="AY168" s="212"/>
      <c r="AZ168" s="212"/>
      <c r="BA168" s="213"/>
      <c r="BB168" s="212"/>
      <c r="BC168" s="212"/>
      <c r="BD168" s="81">
        <v>213432</v>
      </c>
      <c r="BE168" s="212"/>
      <c r="BF168" s="212"/>
      <c r="BG168" s="213"/>
      <c r="BH168" s="212"/>
      <c r="BI168" s="212"/>
      <c r="BJ168" s="81">
        <v>214729</v>
      </c>
      <c r="BK168" s="212"/>
      <c r="BL168" s="212"/>
      <c r="BM168" s="213"/>
      <c r="BN168" s="212"/>
      <c r="BO168" s="212"/>
      <c r="BP168" s="81">
        <v>235787</v>
      </c>
      <c r="BQ168" s="383">
        <f>BQ257</f>
        <v>234597.21077116189</v>
      </c>
      <c r="BR168" s="383">
        <f>BR257</f>
        <v>231817.3293953719</v>
      </c>
      <c r="BS168" s="383">
        <f>BS257</f>
        <v>226621.28944062427</v>
      </c>
      <c r="BT168" s="383">
        <f>BT257</f>
        <v>219337.12127976312</v>
      </c>
      <c r="BU168" s="383">
        <f>BU257</f>
        <v>211167.9607255263</v>
      </c>
      <c r="BV168" s="400" t="s">
        <v>320</v>
      </c>
      <c r="BW168" s="289"/>
      <c r="BX168" s="451"/>
      <c r="BY168" s="459"/>
      <c r="BZ168" s="459"/>
    </row>
    <row r="169" spans="2:78" x14ac:dyDescent="0.25">
      <c r="B169" s="210" t="s">
        <v>236</v>
      </c>
      <c r="C169" s="211"/>
      <c r="D169" s="211"/>
      <c r="E169" s="211"/>
      <c r="F169" s="211"/>
      <c r="G169" s="211"/>
      <c r="H169" s="81">
        <v>172003</v>
      </c>
      <c r="I169" s="212"/>
      <c r="J169" s="212"/>
      <c r="K169" s="213"/>
      <c r="L169" s="212"/>
      <c r="M169" s="212"/>
      <c r="N169" s="81">
        <v>187097</v>
      </c>
      <c r="O169" s="212"/>
      <c r="P169" s="212"/>
      <c r="Q169" s="213"/>
      <c r="R169" s="212"/>
      <c r="S169" s="212"/>
      <c r="T169" s="81">
        <v>189112</v>
      </c>
      <c r="U169" s="212"/>
      <c r="V169" s="212"/>
      <c r="W169" s="213"/>
      <c r="X169" s="212"/>
      <c r="Y169" s="212"/>
      <c r="Z169" s="81">
        <v>185287</v>
      </c>
      <c r="AA169" s="212"/>
      <c r="AB169" s="212"/>
      <c r="AC169" s="213"/>
      <c r="AD169" s="212"/>
      <c r="AE169" s="212"/>
      <c r="AF169" s="81">
        <v>201405</v>
      </c>
      <c r="AG169" s="212"/>
      <c r="AH169" s="212"/>
      <c r="AI169" s="213"/>
      <c r="AJ169" s="212"/>
      <c r="AK169" s="212"/>
      <c r="AL169" s="81">
        <v>231576</v>
      </c>
      <c r="AM169" s="212"/>
      <c r="AN169" s="212"/>
      <c r="AO169" s="213"/>
      <c r="AP169" s="212"/>
      <c r="AQ169" s="212"/>
      <c r="AR169" s="81">
        <v>232639</v>
      </c>
      <c r="AS169" s="212"/>
      <c r="AT169" s="212"/>
      <c r="AU169" s="213"/>
      <c r="AV169" s="212"/>
      <c r="AW169" s="212"/>
      <c r="AX169" s="81">
        <v>230467</v>
      </c>
      <c r="AY169" s="212"/>
      <c r="AZ169" s="212"/>
      <c r="BA169" s="213"/>
      <c r="BB169" s="212"/>
      <c r="BC169" s="212"/>
      <c r="BD169" s="81">
        <v>215518</v>
      </c>
      <c r="BE169" s="212"/>
      <c r="BF169" s="212"/>
      <c r="BG169" s="213"/>
      <c r="BH169" s="212"/>
      <c r="BI169" s="212"/>
      <c r="BJ169" s="81">
        <v>215177</v>
      </c>
      <c r="BK169" s="212"/>
      <c r="BL169" s="212"/>
      <c r="BM169" s="213"/>
      <c r="BN169" s="212"/>
      <c r="BO169" s="212"/>
      <c r="BP169" s="81">
        <v>236159</v>
      </c>
      <c r="BQ169" s="383">
        <f>BQ257+500</f>
        <v>235097.21077116189</v>
      </c>
      <c r="BR169" s="383">
        <f>BR257+500</f>
        <v>232317.3293953719</v>
      </c>
      <c r="BS169" s="383">
        <f>BS257+500</f>
        <v>227121.28944062427</v>
      </c>
      <c r="BT169" s="383">
        <f>BT257+500</f>
        <v>219837.12127976312</v>
      </c>
      <c r="BU169" s="383">
        <f>BU257+500</f>
        <v>211667.9607255263</v>
      </c>
      <c r="BV169" s="365"/>
      <c r="BW169" s="305"/>
      <c r="BX169" s="451"/>
      <c r="BY169" s="459"/>
      <c r="BZ169" s="459"/>
    </row>
    <row r="170" spans="2:78" x14ac:dyDescent="0.25">
      <c r="B170" s="262" t="s">
        <v>40</v>
      </c>
      <c r="C170" s="16"/>
      <c r="D170" s="16"/>
      <c r="E170" s="16"/>
      <c r="F170" s="16"/>
      <c r="G170" s="16"/>
      <c r="H170" s="298">
        <f>H161*1000/H168</f>
        <v>12.09497140974657</v>
      </c>
      <c r="I170" s="299"/>
      <c r="J170" s="299"/>
      <c r="K170" s="299"/>
      <c r="L170" s="299"/>
      <c r="M170" s="299"/>
      <c r="N170" s="298">
        <f>N161*1000/N168</f>
        <v>9.0192876493076017</v>
      </c>
      <c r="O170" s="299"/>
      <c r="P170" s="299"/>
      <c r="Q170" s="299"/>
      <c r="R170" s="299"/>
      <c r="S170" s="299"/>
      <c r="T170" s="300">
        <f>T161*1000/T168</f>
        <v>16.024469434708752</v>
      </c>
      <c r="U170" s="301"/>
      <c r="V170" s="301"/>
      <c r="W170" s="301"/>
      <c r="X170" s="301"/>
      <c r="Y170" s="301"/>
      <c r="Z170" s="300">
        <f>Z161*1000/Z168</f>
        <v>21.966917821760429</v>
      </c>
      <c r="AA170" s="301"/>
      <c r="AB170" s="301"/>
      <c r="AC170" s="301"/>
      <c r="AD170" s="301"/>
      <c r="AE170" s="301"/>
      <c r="AF170" s="300">
        <f>AF161*1000/AF168</f>
        <v>18.661138934701146</v>
      </c>
      <c r="AG170" s="301"/>
      <c r="AH170" s="301"/>
      <c r="AI170" s="301"/>
      <c r="AJ170" s="301"/>
      <c r="AK170" s="301"/>
      <c r="AL170" s="300">
        <f>AL161*1000/AL168</f>
        <v>18.702199378646927</v>
      </c>
      <c r="AM170" s="301"/>
      <c r="AN170" s="301"/>
      <c r="AO170" s="301"/>
      <c r="AP170" s="301"/>
      <c r="AQ170" s="301"/>
      <c r="AR170" s="300">
        <f>AR161*1000/AR168</f>
        <v>49.252530758106559</v>
      </c>
      <c r="AS170" s="301"/>
      <c r="AT170" s="301"/>
      <c r="AU170" s="301"/>
      <c r="AV170" s="301"/>
      <c r="AW170" s="301"/>
      <c r="AX170" s="300">
        <f>AX161*1000/AX168</f>
        <v>77.300127601531216</v>
      </c>
      <c r="AY170" s="301"/>
      <c r="AZ170" s="301"/>
      <c r="BA170" s="301"/>
      <c r="BB170" s="301"/>
      <c r="BC170" s="301"/>
      <c r="BD170" s="300">
        <f>BD161*1000/BD168</f>
        <v>57.699876307207916</v>
      </c>
      <c r="BE170" s="301"/>
      <c r="BF170" s="301"/>
      <c r="BG170" s="301"/>
      <c r="BH170" s="301"/>
      <c r="BI170" s="301"/>
      <c r="BJ170" s="300">
        <f>BJ161*1000/BJ168</f>
        <v>47.077944758276715</v>
      </c>
      <c r="BK170" s="301"/>
      <c r="BL170" s="301"/>
      <c r="BM170" s="301"/>
      <c r="BN170" s="301"/>
      <c r="BO170" s="301"/>
      <c r="BP170" s="300">
        <f t="shared" ref="BP170:BU170" si="171">BP161*1000/BP168</f>
        <v>34.331833392002103</v>
      </c>
      <c r="BQ170" s="330">
        <f t="shared" si="171"/>
        <v>55.444926038306065</v>
      </c>
      <c r="BR170" s="330">
        <f t="shared" si="171"/>
        <v>73.457158919112004</v>
      </c>
      <c r="BS170" s="330">
        <f t="shared" si="171"/>
        <v>94.826565676744863</v>
      </c>
      <c r="BT170" s="330">
        <f t="shared" si="171"/>
        <v>107.92299626693779</v>
      </c>
      <c r="BU170" s="330">
        <f t="shared" si="171"/>
        <v>121.56900414933371</v>
      </c>
      <c r="BV170" s="400" t="s">
        <v>321</v>
      </c>
      <c r="BW170" s="289"/>
      <c r="BX170" s="450">
        <f>IFERROR((BU170/BP170)^(1/5)-1,"n/m")</f>
        <v>0.28773106471253729</v>
      </c>
      <c r="BY170" s="265">
        <f>IFERROR((BP170/AL170)^(1/5)-1,"n/m")</f>
        <v>0.12917398200363506</v>
      </c>
      <c r="BZ170" s="265">
        <f>IFERROR((BP170/H170)^(1/10)-1,"n/m")</f>
        <v>0.10996482216011549</v>
      </c>
    </row>
    <row r="171" spans="2:78" x14ac:dyDescent="0.25">
      <c r="B171" s="262" t="s">
        <v>41</v>
      </c>
      <c r="C171" s="16"/>
      <c r="D171" s="16"/>
      <c r="E171" s="16"/>
      <c r="F171" s="16"/>
      <c r="G171" s="16"/>
      <c r="H171" s="298">
        <f>H161*1000/H169</f>
        <v>11.953279884653174</v>
      </c>
      <c r="I171" s="299"/>
      <c r="J171" s="299"/>
      <c r="K171" s="299"/>
      <c r="L171" s="299"/>
      <c r="M171" s="299"/>
      <c r="N171" s="298">
        <f>N161*1000/N169</f>
        <v>8.915161654115245</v>
      </c>
      <c r="O171" s="299"/>
      <c r="P171" s="299"/>
      <c r="Q171" s="299"/>
      <c r="R171" s="299"/>
      <c r="S171" s="299"/>
      <c r="T171" s="300">
        <f>T161*1000/T169</f>
        <v>15.763145649139135</v>
      </c>
      <c r="U171" s="301"/>
      <c r="V171" s="301"/>
      <c r="W171" s="301"/>
      <c r="X171" s="301"/>
      <c r="Y171" s="301"/>
      <c r="Z171" s="300">
        <f>Z161*1000/Z169</f>
        <v>21.588130845661055</v>
      </c>
      <c r="AA171" s="301"/>
      <c r="AB171" s="301"/>
      <c r="AC171" s="301"/>
      <c r="AD171" s="301"/>
      <c r="AE171" s="301"/>
      <c r="AF171" s="300">
        <f>AF161*1000/AF169</f>
        <v>18.370944117574041</v>
      </c>
      <c r="AG171" s="301"/>
      <c r="AH171" s="301"/>
      <c r="AI171" s="301"/>
      <c r="AJ171" s="301"/>
      <c r="AK171" s="301"/>
      <c r="AL171" s="300">
        <f>AL161*1000/AL169</f>
        <v>18.352506304625695</v>
      </c>
      <c r="AM171" s="301"/>
      <c r="AN171" s="301"/>
      <c r="AO171" s="301"/>
      <c r="AP171" s="301"/>
      <c r="AQ171" s="301"/>
      <c r="AR171" s="300">
        <f>AR161*1000/AR169</f>
        <v>48.164753115341796</v>
      </c>
      <c r="AS171" s="301"/>
      <c r="AT171" s="301"/>
      <c r="AU171" s="301"/>
      <c r="AV171" s="301"/>
      <c r="AW171" s="301"/>
      <c r="AX171" s="300">
        <f>AX161*1000/AX169</f>
        <v>76.227833052020458</v>
      </c>
      <c r="AY171" s="301"/>
      <c r="AZ171" s="301"/>
      <c r="BA171" s="301"/>
      <c r="BB171" s="301"/>
      <c r="BC171" s="301"/>
      <c r="BD171" s="300">
        <f>BD161*1000/BD169</f>
        <v>57.141398862276006</v>
      </c>
      <c r="BE171" s="301"/>
      <c r="BF171" s="301"/>
      <c r="BG171" s="301"/>
      <c r="BH171" s="301"/>
      <c r="BI171" s="301"/>
      <c r="BJ171" s="300">
        <f>BJ161*1000/BJ169</f>
        <v>46.979928152172398</v>
      </c>
      <c r="BK171" s="301"/>
      <c r="BL171" s="301"/>
      <c r="BM171" s="301"/>
      <c r="BN171" s="301"/>
      <c r="BO171" s="301"/>
      <c r="BP171" s="300">
        <f t="shared" ref="BP171:BU171" si="172">BP161*1000/BP169</f>
        <v>34.277753547398149</v>
      </c>
      <c r="BQ171" s="330">
        <f t="shared" si="172"/>
        <v>55.327006889336928</v>
      </c>
      <c r="BR171" s="330">
        <f t="shared" si="172"/>
        <v>73.299062321001358</v>
      </c>
      <c r="BS171" s="330">
        <f t="shared" si="172"/>
        <v>94.617808131579693</v>
      </c>
      <c r="BT171" s="330">
        <f t="shared" si="172"/>
        <v>107.67753500079976</v>
      </c>
      <c r="BU171" s="330">
        <f t="shared" si="172"/>
        <v>121.28183502904588</v>
      </c>
      <c r="BV171" s="400" t="s">
        <v>322</v>
      </c>
      <c r="BW171" s="289"/>
      <c r="BX171" s="450">
        <f>IFERROR((BU171/BP171)^(1/5)-1,"n/m")</f>
        <v>0.28752799709269095</v>
      </c>
      <c r="BY171" s="265">
        <f t="shared" ref="BY171" si="173">IFERROR((BP171/AL171)^(1/5)-1,"n/m")</f>
        <v>0.13308735775015634</v>
      </c>
      <c r="BZ171" s="265">
        <f>IFERROR((BP171/H171)^(1/10)-1,"n/m")</f>
        <v>0.11109841057196834</v>
      </c>
    </row>
    <row r="172" spans="2:78" x14ac:dyDescent="0.25">
      <c r="B172" s="315" t="s">
        <v>243</v>
      </c>
      <c r="C172" s="316"/>
      <c r="D172" s="316"/>
      <c r="E172" s="316"/>
      <c r="F172" s="316"/>
      <c r="G172" s="316"/>
      <c r="H172" s="317"/>
      <c r="I172" s="318"/>
      <c r="J172" s="318"/>
      <c r="K172" s="318"/>
      <c r="L172" s="318"/>
      <c r="M172" s="318"/>
      <c r="N172" s="317"/>
      <c r="O172" s="318"/>
      <c r="P172" s="318"/>
      <c r="Q172" s="318"/>
      <c r="R172" s="318"/>
      <c r="S172" s="318"/>
      <c r="T172" s="319"/>
      <c r="U172" s="320"/>
      <c r="V172" s="320"/>
      <c r="W172" s="320"/>
      <c r="X172" s="320"/>
      <c r="Y172" s="320"/>
      <c r="Z172" s="319"/>
      <c r="AA172" s="320"/>
      <c r="AB172" s="320"/>
      <c r="AC172" s="320"/>
      <c r="AD172" s="320"/>
      <c r="AE172" s="320"/>
      <c r="AF172" s="319"/>
      <c r="AG172" s="320"/>
      <c r="AH172" s="320"/>
      <c r="AI172" s="320"/>
      <c r="AJ172" s="320"/>
      <c r="AK172" s="320"/>
      <c r="AL172" s="319"/>
      <c r="AM172" s="320"/>
      <c r="AN172" s="320"/>
      <c r="AO172" s="320"/>
      <c r="AP172" s="320"/>
      <c r="AQ172" s="320"/>
      <c r="AR172" s="319"/>
      <c r="AS172" s="320"/>
      <c r="AT172" s="320"/>
      <c r="AU172" s="320"/>
      <c r="AV172" s="320"/>
      <c r="AW172" s="320"/>
      <c r="AX172" s="319"/>
      <c r="AY172" s="320"/>
      <c r="AZ172" s="320"/>
      <c r="BA172" s="320"/>
      <c r="BB172" s="320"/>
      <c r="BC172" s="320"/>
      <c r="BD172" s="319"/>
      <c r="BE172" s="320"/>
      <c r="BF172" s="320"/>
      <c r="BG172" s="320"/>
      <c r="BH172" s="320"/>
      <c r="BI172" s="320"/>
      <c r="BJ172" s="319"/>
      <c r="BK172" s="320"/>
      <c r="BL172" s="320"/>
      <c r="BM172" s="320"/>
      <c r="BN172" s="320"/>
      <c r="BO172" s="320"/>
      <c r="BP172" s="319"/>
      <c r="BQ172" s="367"/>
      <c r="BR172" s="367"/>
      <c r="BS172" s="367"/>
      <c r="BT172" s="367"/>
      <c r="BU172" s="367"/>
      <c r="BV172" s="57" t="s">
        <v>326</v>
      </c>
      <c r="BW172" s="305"/>
      <c r="BX172" s="455"/>
      <c r="BY172" s="60"/>
      <c r="BZ172" s="60"/>
    </row>
    <row r="173" spans="2:78" x14ac:dyDescent="0.25">
      <c r="B173" s="305" t="s">
        <v>244</v>
      </c>
      <c r="C173" s="6"/>
      <c r="D173" s="6"/>
      <c r="E173" s="6"/>
      <c r="F173" s="6"/>
      <c r="G173" s="6"/>
      <c r="H173" s="314">
        <f>H161</f>
        <v>2056</v>
      </c>
      <c r="I173" s="321"/>
      <c r="J173" s="321"/>
      <c r="K173" s="191"/>
      <c r="L173" s="321"/>
      <c r="M173" s="321"/>
      <c r="N173" s="314">
        <f>N161</f>
        <v>1668</v>
      </c>
      <c r="O173" s="321"/>
      <c r="P173" s="321"/>
      <c r="Q173" s="191"/>
      <c r="R173" s="321"/>
      <c r="S173" s="321"/>
      <c r="T173" s="90">
        <f>T161</f>
        <v>2981</v>
      </c>
      <c r="U173" s="322"/>
      <c r="V173" s="322"/>
      <c r="W173" s="192"/>
      <c r="X173" s="322"/>
      <c r="Y173" s="322"/>
      <c r="Z173" s="90">
        <f>Z161</f>
        <v>4000</v>
      </c>
      <c r="AA173" s="322"/>
      <c r="AB173" s="322"/>
      <c r="AC173" s="192"/>
      <c r="AD173" s="322"/>
      <c r="AE173" s="322"/>
      <c r="AF173" s="90">
        <f>AF161</f>
        <v>3700</v>
      </c>
      <c r="AG173" s="322"/>
      <c r="AH173" s="322"/>
      <c r="AI173" s="192"/>
      <c r="AJ173" s="322"/>
      <c r="AK173" s="322"/>
      <c r="AL173" s="90">
        <f>AL161</f>
        <v>4250</v>
      </c>
      <c r="AM173" s="322"/>
      <c r="AN173" s="322"/>
      <c r="AO173" s="192"/>
      <c r="AP173" s="322"/>
      <c r="AQ173" s="322"/>
      <c r="AR173" s="90">
        <f>AR161</f>
        <v>11205</v>
      </c>
      <c r="AS173" s="322"/>
      <c r="AT173" s="322"/>
      <c r="AU173" s="192"/>
      <c r="AV173" s="322"/>
      <c r="AW173" s="322"/>
      <c r="AX173" s="90">
        <f>AX161</f>
        <v>17568</v>
      </c>
      <c r="AY173" s="322"/>
      <c r="AZ173" s="322"/>
      <c r="BA173" s="192"/>
      <c r="BB173" s="322"/>
      <c r="BC173" s="322"/>
      <c r="BD173" s="90">
        <f>BD161</f>
        <v>12315</v>
      </c>
      <c r="BE173" s="322"/>
      <c r="BF173" s="322"/>
      <c r="BG173" s="192"/>
      <c r="BH173" s="322"/>
      <c r="BI173" s="322"/>
      <c r="BJ173" s="90">
        <f>BJ161</f>
        <v>10109</v>
      </c>
      <c r="BK173" s="322"/>
      <c r="BL173" s="322"/>
      <c r="BM173" s="192"/>
      <c r="BN173" s="322"/>
      <c r="BO173" s="322"/>
      <c r="BP173" s="90">
        <f>BP164-BP162</f>
        <v>8386</v>
      </c>
      <c r="BQ173" s="373">
        <f>BQ161</f>
        <v>13007.224999999969</v>
      </c>
      <c r="BR173" s="373">
        <f>BR161</f>
        <v>17028.642405599967</v>
      </c>
      <c r="BS173" s="373">
        <f>BS161</f>
        <v>21489.718586889965</v>
      </c>
      <c r="BT173" s="373">
        <f>BT161</f>
        <v>23671.519321076754</v>
      </c>
      <c r="BU173" s="373">
        <f>BU161</f>
        <v>25671.478693647841</v>
      </c>
      <c r="BV173" s="365"/>
      <c r="BW173" s="305"/>
      <c r="BX173" s="451"/>
      <c r="BY173" s="60"/>
      <c r="BZ173" s="60"/>
    </row>
    <row r="174" spans="2:78" x14ac:dyDescent="0.25">
      <c r="B174" s="305" t="s">
        <v>245</v>
      </c>
      <c r="C174" s="6"/>
      <c r="D174" s="6"/>
      <c r="E174" s="6"/>
      <c r="F174" s="6"/>
      <c r="G174" s="6"/>
      <c r="H174" s="67">
        <v>108</v>
      </c>
      <c r="I174" s="179"/>
      <c r="J174" s="179"/>
      <c r="K174" s="180"/>
      <c r="L174" s="179"/>
      <c r="M174" s="179"/>
      <c r="N174" s="67">
        <v>93</v>
      </c>
      <c r="O174" s="179"/>
      <c r="P174" s="179"/>
      <c r="Q174" s="180"/>
      <c r="R174" s="179"/>
      <c r="S174" s="179"/>
      <c r="T174" s="87">
        <v>41</v>
      </c>
      <c r="U174" s="36"/>
      <c r="V174" s="36"/>
      <c r="W174" s="53"/>
      <c r="X174" s="36"/>
      <c r="Y174" s="36"/>
      <c r="Z174" s="87">
        <v>28</v>
      </c>
      <c r="AA174" s="36"/>
      <c r="AB174" s="36"/>
      <c r="AC174" s="53"/>
      <c r="AD174" s="36"/>
      <c r="AE174" s="36"/>
      <c r="AF174" s="87">
        <v>102</v>
      </c>
      <c r="AG174" s="36"/>
      <c r="AH174" s="36"/>
      <c r="AI174" s="53"/>
      <c r="AJ174" s="36"/>
      <c r="AK174" s="36"/>
      <c r="AL174" s="87">
        <v>208</v>
      </c>
      <c r="AM174" s="36"/>
      <c r="AN174" s="36"/>
      <c r="AO174" s="53"/>
      <c r="AP174" s="36"/>
      <c r="AQ174" s="36"/>
      <c r="AR174" s="87">
        <v>212</v>
      </c>
      <c r="AS174" s="36"/>
      <c r="AT174" s="36"/>
      <c r="AU174" s="53"/>
      <c r="AV174" s="36"/>
      <c r="AW174" s="36"/>
      <c r="AX174" s="87"/>
      <c r="AY174" s="36"/>
      <c r="AZ174" s="36"/>
      <c r="BA174" s="53"/>
      <c r="BB174" s="36"/>
      <c r="BC174" s="36"/>
      <c r="BD174" s="87"/>
      <c r="BE174" s="36"/>
      <c r="BF174" s="36"/>
      <c r="BG174" s="53"/>
      <c r="BH174" s="36"/>
      <c r="BI174" s="36"/>
      <c r="BJ174" s="87">
        <v>131</v>
      </c>
      <c r="BK174" s="36"/>
      <c r="BL174" s="36"/>
      <c r="BM174" s="53"/>
      <c r="BN174" s="36"/>
      <c r="BO174" s="36"/>
      <c r="BP174" s="87">
        <v>331</v>
      </c>
      <c r="BQ174" s="368">
        <v>500</v>
      </c>
      <c r="BR174" s="368">
        <v>500</v>
      </c>
      <c r="BS174" s="368">
        <v>480</v>
      </c>
      <c r="BT174" s="368">
        <v>460</v>
      </c>
      <c r="BU174" s="368">
        <v>440</v>
      </c>
      <c r="BV174" s="400" t="s">
        <v>327</v>
      </c>
      <c r="BW174" s="289"/>
      <c r="BX174" s="451"/>
      <c r="BY174" s="60"/>
      <c r="BZ174" s="60"/>
    </row>
    <row r="175" spans="2:78" x14ac:dyDescent="0.25">
      <c r="B175" s="305" t="s">
        <v>246</v>
      </c>
      <c r="C175" s="6"/>
      <c r="D175" s="6"/>
      <c r="E175" s="6"/>
      <c r="F175" s="6"/>
      <c r="G175" s="6"/>
      <c r="H175" s="67">
        <v>37</v>
      </c>
      <c r="I175" s="179"/>
      <c r="J175" s="179"/>
      <c r="K175" s="180"/>
      <c r="L175" s="179"/>
      <c r="M175" s="179"/>
      <c r="N175" s="67">
        <v>48</v>
      </c>
      <c r="O175" s="179"/>
      <c r="P175" s="179"/>
      <c r="Q175" s="180"/>
      <c r="R175" s="179"/>
      <c r="S175" s="179"/>
      <c r="T175" s="87">
        <v>68</v>
      </c>
      <c r="U175" s="36"/>
      <c r="V175" s="36"/>
      <c r="W175" s="53"/>
      <c r="X175" s="36"/>
      <c r="Y175" s="36"/>
      <c r="Z175" s="87">
        <v>93</v>
      </c>
      <c r="AA175" s="36"/>
      <c r="AB175" s="36"/>
      <c r="AC175" s="53"/>
      <c r="AD175" s="36"/>
      <c r="AE175" s="36"/>
      <c r="AF175" s="87">
        <v>117</v>
      </c>
      <c r="AG175" s="36"/>
      <c r="AH175" s="36"/>
      <c r="AI175" s="53"/>
      <c r="AJ175" s="36"/>
      <c r="AK175" s="36"/>
      <c r="AL175" s="87">
        <v>134</v>
      </c>
      <c r="AM175" s="36"/>
      <c r="AN175" s="36"/>
      <c r="AO175" s="53"/>
      <c r="AP175" s="36"/>
      <c r="AQ175" s="36"/>
      <c r="AR175" s="87">
        <v>160</v>
      </c>
      <c r="AS175" s="36"/>
      <c r="AT175" s="36"/>
      <c r="AU175" s="53"/>
      <c r="AV175" s="36"/>
      <c r="AW175" s="36"/>
      <c r="AX175" s="87"/>
      <c r="AY175" s="36"/>
      <c r="AZ175" s="36"/>
      <c r="BA175" s="53"/>
      <c r="BB175" s="36"/>
      <c r="BC175" s="36"/>
      <c r="BD175" s="87"/>
      <c r="BE175" s="36"/>
      <c r="BF175" s="36"/>
      <c r="BG175" s="53"/>
      <c r="BH175" s="36"/>
      <c r="BI175" s="36"/>
      <c r="BJ175" s="87">
        <v>327</v>
      </c>
      <c r="BK175" s="36"/>
      <c r="BL175" s="36"/>
      <c r="BM175" s="53"/>
      <c r="BN175" s="36"/>
      <c r="BO175" s="36"/>
      <c r="BP175" s="87">
        <v>359</v>
      </c>
      <c r="BQ175" s="368">
        <v>375</v>
      </c>
      <c r="BR175" s="368">
        <v>390</v>
      </c>
      <c r="BS175" s="368">
        <v>405</v>
      </c>
      <c r="BT175" s="368">
        <v>420</v>
      </c>
      <c r="BU175" s="368">
        <v>435</v>
      </c>
      <c r="BV175" s="400" t="s">
        <v>328</v>
      </c>
      <c r="BW175" s="289"/>
      <c r="BX175" s="451"/>
      <c r="BY175" s="60"/>
      <c r="BZ175" s="60"/>
    </row>
    <row r="176" spans="2:78" x14ac:dyDescent="0.25">
      <c r="B176" s="305" t="s">
        <v>247</v>
      </c>
      <c r="C176" s="6"/>
      <c r="D176" s="6"/>
      <c r="E176" s="6"/>
      <c r="F176" s="6"/>
      <c r="G176" s="6"/>
      <c r="H176" s="314">
        <f>H154</f>
        <v>58</v>
      </c>
      <c r="I176" s="321"/>
      <c r="J176" s="321"/>
      <c r="K176" s="191"/>
      <c r="L176" s="321"/>
      <c r="M176" s="321"/>
      <c r="N176" s="314">
        <f>N154</f>
        <v>1002</v>
      </c>
      <c r="O176" s="321"/>
      <c r="P176" s="321"/>
      <c r="Q176" s="191"/>
      <c r="R176" s="321"/>
      <c r="S176" s="321"/>
      <c r="T176" s="90">
        <f>T154</f>
        <v>525</v>
      </c>
      <c r="U176" s="322"/>
      <c r="V176" s="322"/>
      <c r="W176" s="192"/>
      <c r="X176" s="322"/>
      <c r="Y176" s="322"/>
      <c r="Z176" s="90">
        <f>Z154</f>
        <v>0</v>
      </c>
      <c r="AA176" s="322"/>
      <c r="AB176" s="322"/>
      <c r="AC176" s="192"/>
      <c r="AD176" s="322"/>
      <c r="AE176" s="322"/>
      <c r="AF176" s="90">
        <f>AF154</f>
        <v>800</v>
      </c>
      <c r="AG176" s="322"/>
      <c r="AH176" s="322"/>
      <c r="AI176" s="192"/>
      <c r="AJ176" s="322"/>
      <c r="AK176" s="322"/>
      <c r="AL176" s="90">
        <f>AL154</f>
        <v>2164</v>
      </c>
      <c r="AM176" s="322"/>
      <c r="AN176" s="322"/>
      <c r="AO176" s="192"/>
      <c r="AP176" s="322"/>
      <c r="AQ176" s="322"/>
      <c r="AR176" s="90">
        <f>AR154</f>
        <v>478</v>
      </c>
      <c r="AS176" s="322"/>
      <c r="AT176" s="322"/>
      <c r="AU176" s="192"/>
      <c r="AV176" s="322"/>
      <c r="AW176" s="322"/>
      <c r="AX176" s="90">
        <f>AX154</f>
        <v>1117</v>
      </c>
      <c r="AY176" s="322"/>
      <c r="AZ176" s="322"/>
      <c r="BA176" s="192"/>
      <c r="BB176" s="322"/>
      <c r="BC176" s="322"/>
      <c r="BD176" s="90">
        <f>BD154</f>
        <v>0</v>
      </c>
      <c r="BE176" s="322"/>
      <c r="BF176" s="322"/>
      <c r="BG176" s="192"/>
      <c r="BH176" s="322"/>
      <c r="BI176" s="322"/>
      <c r="BJ176" s="90">
        <f>BJ154</f>
        <v>853</v>
      </c>
      <c r="BK176" s="322"/>
      <c r="BL176" s="322"/>
      <c r="BM176" s="192"/>
      <c r="BN176" s="322"/>
      <c r="BO176" s="322"/>
      <c r="BP176" s="90">
        <f t="shared" ref="BP176:BU176" si="174">BP154</f>
        <v>4527</v>
      </c>
      <c r="BQ176" s="373">
        <f t="shared" si="174"/>
        <v>3000</v>
      </c>
      <c r="BR176" s="373">
        <f t="shared" si="174"/>
        <v>2000</v>
      </c>
      <c r="BS176" s="373">
        <f t="shared" si="174"/>
        <v>500</v>
      </c>
      <c r="BT176" s="373">
        <f t="shared" si="174"/>
        <v>300</v>
      </c>
      <c r="BU176" s="373">
        <f t="shared" si="174"/>
        <v>300</v>
      </c>
      <c r="BV176" s="365"/>
      <c r="BW176" s="305"/>
      <c r="BX176" s="451"/>
      <c r="BY176" s="60"/>
      <c r="BZ176" s="60"/>
    </row>
    <row r="177" spans="2:78" x14ac:dyDescent="0.25">
      <c r="B177" s="305" t="s">
        <v>248</v>
      </c>
      <c r="C177" s="6"/>
      <c r="D177" s="6"/>
      <c r="E177" s="6"/>
      <c r="F177" s="6"/>
      <c r="G177" s="6"/>
      <c r="H177" s="67">
        <v>-48</v>
      </c>
      <c r="I177" s="179"/>
      <c r="J177" s="179"/>
      <c r="K177" s="180"/>
      <c r="L177" s="179"/>
      <c r="M177" s="179"/>
      <c r="N177" s="67">
        <v>-305</v>
      </c>
      <c r="O177" s="179"/>
      <c r="P177" s="179"/>
      <c r="Q177" s="180"/>
      <c r="R177" s="179"/>
      <c r="S177" s="179"/>
      <c r="T177" s="87">
        <v>-131</v>
      </c>
      <c r="U177" s="36"/>
      <c r="V177" s="36"/>
      <c r="W177" s="53"/>
      <c r="X177" s="36"/>
      <c r="Y177" s="36"/>
      <c r="Z177" s="87">
        <v>-28</v>
      </c>
      <c r="AA177" s="36"/>
      <c r="AB177" s="36"/>
      <c r="AC177" s="53"/>
      <c r="AD177" s="36"/>
      <c r="AE177" s="36"/>
      <c r="AF177" s="87">
        <v>-263</v>
      </c>
      <c r="AG177" s="36"/>
      <c r="AH177" s="36"/>
      <c r="AI177" s="53"/>
      <c r="AJ177" s="36"/>
      <c r="AK177" s="36"/>
      <c r="AL177" s="87">
        <v>-610</v>
      </c>
      <c r="AM177" s="36"/>
      <c r="AN177" s="36"/>
      <c r="AO177" s="53"/>
      <c r="AP177" s="36"/>
      <c r="AQ177" s="36"/>
      <c r="AR177" s="87">
        <v>-208</v>
      </c>
      <c r="AS177" s="36"/>
      <c r="AT177" s="36"/>
      <c r="AU177" s="53"/>
      <c r="AV177" s="36"/>
      <c r="AW177" s="36"/>
      <c r="AX177" s="87"/>
      <c r="AY177" s="36"/>
      <c r="AZ177" s="36"/>
      <c r="BA177" s="53"/>
      <c r="BB177" s="36"/>
      <c r="BC177" s="36"/>
      <c r="BD177" s="87"/>
      <c r="BE177" s="36"/>
      <c r="BF177" s="36"/>
      <c r="BG177" s="53"/>
      <c r="BH177" s="36"/>
      <c r="BI177" s="36"/>
      <c r="BJ177" s="87">
        <v>-317</v>
      </c>
      <c r="BK177" s="36"/>
      <c r="BL177" s="36"/>
      <c r="BM177" s="53"/>
      <c r="BN177" s="36"/>
      <c r="BO177" s="36"/>
      <c r="BP177" s="87">
        <v>-1581</v>
      </c>
      <c r="BQ177" s="373">
        <f>-0.25*(BQ175+BQ176)</f>
        <v>-843.75</v>
      </c>
      <c r="BR177" s="373">
        <f>-0.25*(BR175+BR176)</f>
        <v>-597.5</v>
      </c>
      <c r="BS177" s="373">
        <f>-0.25*(BS175+BS176)</f>
        <v>-226.25</v>
      </c>
      <c r="BT177" s="373">
        <f>-0.25*(BT175+BT176)</f>
        <v>-180</v>
      </c>
      <c r="BU177" s="373">
        <f>-0.25*(BU175+BU176)</f>
        <v>-183.75</v>
      </c>
      <c r="BV177" s="400" t="s">
        <v>329</v>
      </c>
      <c r="BW177" s="289"/>
      <c r="BX177" s="451"/>
      <c r="BY177" s="60"/>
      <c r="BZ177" s="60"/>
    </row>
    <row r="178" spans="2:78" x14ac:dyDescent="0.25">
      <c r="B178" s="305" t="s">
        <v>249</v>
      </c>
      <c r="C178" s="6"/>
      <c r="D178" s="6"/>
      <c r="E178" s="6"/>
      <c r="F178" s="6"/>
      <c r="G178" s="6"/>
      <c r="H178" s="314">
        <f>SUM(H173:H177)</f>
        <v>2211</v>
      </c>
      <c r="I178" s="321"/>
      <c r="J178" s="321"/>
      <c r="K178" s="191"/>
      <c r="L178" s="321"/>
      <c r="M178" s="321"/>
      <c r="N178" s="314">
        <f>SUM(N173:N177)</f>
        <v>2506</v>
      </c>
      <c r="O178" s="321"/>
      <c r="P178" s="321"/>
      <c r="Q178" s="191"/>
      <c r="R178" s="321"/>
      <c r="S178" s="321"/>
      <c r="T178" s="90">
        <f>SUM(T173:T177)</f>
        <v>3484</v>
      </c>
      <c r="U178" s="322"/>
      <c r="V178" s="322"/>
      <c r="W178" s="192"/>
      <c r="X178" s="322"/>
      <c r="Y178" s="322"/>
      <c r="Z178" s="90">
        <f>SUM(Z173:Z177)</f>
        <v>4093</v>
      </c>
      <c r="AA178" s="322"/>
      <c r="AB178" s="322"/>
      <c r="AC178" s="192"/>
      <c r="AD178" s="322"/>
      <c r="AE178" s="322"/>
      <c r="AF178" s="90">
        <f>SUM(AF173:AF177)</f>
        <v>4456</v>
      </c>
      <c r="AG178" s="322"/>
      <c r="AH178" s="322"/>
      <c r="AI178" s="192"/>
      <c r="AJ178" s="322"/>
      <c r="AK178" s="322"/>
      <c r="AL178" s="90">
        <f>SUM(AL173:AL177)</f>
        <v>6146</v>
      </c>
      <c r="AM178" s="322"/>
      <c r="AN178" s="322"/>
      <c r="AO178" s="192"/>
      <c r="AP178" s="322"/>
      <c r="AQ178" s="322"/>
      <c r="AR178" s="90">
        <f>SUM(AR173:AR177)</f>
        <v>11847</v>
      </c>
      <c r="AS178" s="322"/>
      <c r="AT178" s="322"/>
      <c r="AU178" s="192"/>
      <c r="AV178" s="322"/>
      <c r="AW178" s="322"/>
      <c r="AX178" s="90" t="s">
        <v>12</v>
      </c>
      <c r="AY178" s="322"/>
      <c r="AZ178" s="322"/>
      <c r="BA178" s="192"/>
      <c r="BB178" s="322"/>
      <c r="BC178" s="322"/>
      <c r="BD178" s="90" t="s">
        <v>12</v>
      </c>
      <c r="BE178" s="322"/>
      <c r="BF178" s="322"/>
      <c r="BG178" s="192"/>
      <c r="BH178" s="322"/>
      <c r="BI178" s="322"/>
      <c r="BJ178" s="90">
        <f>SUM(BJ173:BJ177)</f>
        <v>11103</v>
      </c>
      <c r="BK178" s="322"/>
      <c r="BL178" s="322"/>
      <c r="BM178" s="192"/>
      <c r="BN178" s="322"/>
      <c r="BO178" s="322"/>
      <c r="BP178" s="90">
        <f t="shared" ref="BP178:BU178" si="175">SUM(BP173:BP177)</f>
        <v>12022</v>
      </c>
      <c r="BQ178" s="373">
        <f t="shared" si="175"/>
        <v>16038.474999999969</v>
      </c>
      <c r="BR178" s="373">
        <f t="shared" si="175"/>
        <v>19321.142405599967</v>
      </c>
      <c r="BS178" s="373">
        <f t="shared" si="175"/>
        <v>22648.468586889965</v>
      </c>
      <c r="BT178" s="373">
        <f t="shared" si="175"/>
        <v>24671.519321076754</v>
      </c>
      <c r="BU178" s="373">
        <f t="shared" si="175"/>
        <v>26662.728693647841</v>
      </c>
      <c r="BV178" s="365"/>
      <c r="BW178" s="305"/>
      <c r="BX178" s="451"/>
      <c r="BY178" s="60"/>
      <c r="BZ178" s="60"/>
    </row>
    <row r="179" spans="2:78" x14ac:dyDescent="0.25">
      <c r="B179" s="305" t="s">
        <v>250</v>
      </c>
      <c r="C179" s="6"/>
      <c r="D179" s="6"/>
      <c r="E179" s="6"/>
      <c r="F179" s="6"/>
      <c r="G179" s="6"/>
      <c r="H179" s="67">
        <v>2211</v>
      </c>
      <c r="I179" s="179"/>
      <c r="J179" s="179"/>
      <c r="K179" s="180"/>
      <c r="L179" s="179"/>
      <c r="M179" s="179"/>
      <c r="N179" s="67">
        <v>2506</v>
      </c>
      <c r="O179" s="179"/>
      <c r="P179" s="179"/>
      <c r="Q179" s="180"/>
      <c r="R179" s="179"/>
      <c r="S179" s="179"/>
      <c r="T179" s="87">
        <v>3484</v>
      </c>
      <c r="U179" s="36"/>
      <c r="V179" s="36"/>
      <c r="W179" s="53"/>
      <c r="X179" s="36"/>
      <c r="Y179" s="36"/>
      <c r="Z179" s="87">
        <v>4093</v>
      </c>
      <c r="AA179" s="36"/>
      <c r="AB179" s="36"/>
      <c r="AC179" s="53"/>
      <c r="AD179" s="36"/>
      <c r="AE179" s="36"/>
      <c r="AF179" s="87">
        <v>4456</v>
      </c>
      <c r="AG179" s="36"/>
      <c r="AH179" s="36"/>
      <c r="AI179" s="53"/>
      <c r="AJ179" s="36"/>
      <c r="AK179" s="36"/>
      <c r="AL179" s="87">
        <v>6146</v>
      </c>
      <c r="AM179" s="36"/>
      <c r="AN179" s="36"/>
      <c r="AO179" s="53"/>
      <c r="AP179" s="36"/>
      <c r="AQ179" s="36"/>
      <c r="AR179" s="87">
        <v>11847</v>
      </c>
      <c r="AS179" s="36"/>
      <c r="AT179" s="36"/>
      <c r="AU179" s="53"/>
      <c r="AV179" s="36"/>
      <c r="AW179" s="36"/>
      <c r="AX179" s="87">
        <v>18765</v>
      </c>
      <c r="AY179" s="36"/>
      <c r="AZ179" s="36"/>
      <c r="BA179" s="53"/>
      <c r="BB179" s="36"/>
      <c r="BC179" s="36"/>
      <c r="BD179" s="87">
        <v>12650</v>
      </c>
      <c r="BE179" s="36"/>
      <c r="BF179" s="36"/>
      <c r="BG179" s="53"/>
      <c r="BH179" s="36"/>
      <c r="BI179" s="36"/>
      <c r="BJ179" s="87">
        <v>11103</v>
      </c>
      <c r="BK179" s="36"/>
      <c r="BL179" s="36"/>
      <c r="BM179" s="53"/>
      <c r="BN179" s="36"/>
      <c r="BO179" s="36"/>
      <c r="BP179" s="87">
        <v>12020</v>
      </c>
      <c r="BQ179" s="373">
        <f>BQ178</f>
        <v>16038.474999999969</v>
      </c>
      <c r="BR179" s="373">
        <f>BR178</f>
        <v>19321.142405599967</v>
      </c>
      <c r="BS179" s="373">
        <f>BS178</f>
        <v>22648.468586889965</v>
      </c>
      <c r="BT179" s="373">
        <f>BT178</f>
        <v>24671.519321076754</v>
      </c>
      <c r="BU179" s="373">
        <f>BU178</f>
        <v>26662.728693647841</v>
      </c>
      <c r="BV179" s="400" t="s">
        <v>330</v>
      </c>
      <c r="BW179" s="289"/>
      <c r="BX179" s="451"/>
      <c r="BY179" s="60"/>
      <c r="BZ179" s="60"/>
    </row>
    <row r="180" spans="2:78" x14ac:dyDescent="0.25">
      <c r="B180" s="57" t="s">
        <v>251</v>
      </c>
      <c r="C180" s="6"/>
      <c r="D180" s="6"/>
      <c r="E180" s="6"/>
      <c r="F180" s="6"/>
      <c r="G180" s="6"/>
      <c r="H180" s="327">
        <f>H179*1000/H169</f>
        <v>12.854426957669343</v>
      </c>
      <c r="I180" s="328"/>
      <c r="J180" s="328"/>
      <c r="K180" s="328"/>
      <c r="L180" s="328"/>
      <c r="M180" s="328"/>
      <c r="N180" s="327">
        <f>N179*1000/N169</f>
        <v>13.394121765715111</v>
      </c>
      <c r="O180" s="328"/>
      <c r="P180" s="328"/>
      <c r="Q180" s="328"/>
      <c r="R180" s="328"/>
      <c r="S180" s="328"/>
      <c r="T180" s="329">
        <f>T179*1000/T169</f>
        <v>18.422945133042852</v>
      </c>
      <c r="U180" s="330"/>
      <c r="V180" s="330"/>
      <c r="W180" s="330"/>
      <c r="X180" s="330"/>
      <c r="Y180" s="330"/>
      <c r="Z180" s="329">
        <f>Z179*1000/Z169</f>
        <v>22.090054887822674</v>
      </c>
      <c r="AA180" s="330"/>
      <c r="AB180" s="330"/>
      <c r="AC180" s="330"/>
      <c r="AD180" s="330"/>
      <c r="AE180" s="330"/>
      <c r="AF180" s="329">
        <f>AF179*1000/AF169</f>
        <v>22.124574861597278</v>
      </c>
      <c r="AG180" s="330"/>
      <c r="AH180" s="330"/>
      <c r="AI180" s="330"/>
      <c r="AJ180" s="330"/>
      <c r="AK180" s="330"/>
      <c r="AL180" s="329">
        <f>AL179*1000/AL169</f>
        <v>26.539883234877536</v>
      </c>
      <c r="AM180" s="330"/>
      <c r="AN180" s="330"/>
      <c r="AO180" s="330"/>
      <c r="AP180" s="330"/>
      <c r="AQ180" s="330"/>
      <c r="AR180" s="329">
        <f>AR179*1000/AR169</f>
        <v>50.924393588349332</v>
      </c>
      <c r="AS180" s="330"/>
      <c r="AT180" s="330"/>
      <c r="AU180" s="330"/>
      <c r="AV180" s="330"/>
      <c r="AW180" s="330"/>
      <c r="AX180" s="329">
        <f>AX179*1000/AX169</f>
        <v>81.421635201568989</v>
      </c>
      <c r="AY180" s="330"/>
      <c r="AZ180" s="330"/>
      <c r="BA180" s="330"/>
      <c r="BB180" s="330"/>
      <c r="BC180" s="330"/>
      <c r="BD180" s="329">
        <f>BD179*1000/BD169</f>
        <v>58.695793390807268</v>
      </c>
      <c r="BE180" s="330"/>
      <c r="BF180" s="330"/>
      <c r="BG180" s="330"/>
      <c r="BH180" s="330"/>
      <c r="BI180" s="330"/>
      <c r="BJ180" s="329">
        <f>BJ179*1000/BJ169</f>
        <v>51.599380974732426</v>
      </c>
      <c r="BK180" s="330"/>
      <c r="BL180" s="330"/>
      <c r="BM180" s="330"/>
      <c r="BN180" s="330"/>
      <c r="BO180" s="330"/>
      <c r="BP180" s="329">
        <f t="shared" ref="BP180:BU180" si="176">BP179*1000/BP169</f>
        <v>50.897911999966126</v>
      </c>
      <c r="BQ180" s="330">
        <f t="shared" si="176"/>
        <v>68.220609455088109</v>
      </c>
      <c r="BR180" s="330">
        <f t="shared" si="176"/>
        <v>83.167030440153084</v>
      </c>
      <c r="BS180" s="330">
        <f t="shared" si="176"/>
        <v>99.719707662239628</v>
      </c>
      <c r="BT180" s="330">
        <f t="shared" si="176"/>
        <v>112.22635730241372</v>
      </c>
      <c r="BU180" s="330">
        <f t="shared" si="176"/>
        <v>125.96487726464133</v>
      </c>
      <c r="BV180" s="400" t="s">
        <v>331</v>
      </c>
      <c r="BW180" s="289"/>
      <c r="BX180" s="450">
        <f>IFERROR((BU180/BP180)^(1/5)-1,"n/m")</f>
        <v>0.19869832996442227</v>
      </c>
      <c r="BY180" s="265">
        <f>IFERROR((BP180/AL180)^(1/5)-1,"n/m")</f>
        <v>0.13909564572578748</v>
      </c>
      <c r="BZ180" s="265">
        <f>IFERROR((BP180/H180)^(1/10)-1,"n/m")</f>
        <v>0.14753178725080085</v>
      </c>
    </row>
    <row r="181" spans="2:78" x14ac:dyDescent="0.25">
      <c r="B181" s="57" t="s">
        <v>252</v>
      </c>
      <c r="C181" s="6"/>
      <c r="D181" s="6"/>
      <c r="E181" s="6"/>
      <c r="F181" s="6"/>
      <c r="G181" s="6"/>
      <c r="H181" s="323">
        <v>12.85</v>
      </c>
      <c r="I181" s="324"/>
      <c r="J181" s="324"/>
      <c r="K181" s="324"/>
      <c r="L181" s="324"/>
      <c r="M181" s="324"/>
      <c r="N181" s="323">
        <v>13.4</v>
      </c>
      <c r="O181" s="324"/>
      <c r="P181" s="324"/>
      <c r="Q181" s="324"/>
      <c r="R181" s="324"/>
      <c r="S181" s="324"/>
      <c r="T181" s="325">
        <v>18.399999999999999</v>
      </c>
      <c r="U181" s="326"/>
      <c r="V181" s="326"/>
      <c r="W181" s="326"/>
      <c r="X181" s="326"/>
      <c r="Y181" s="326"/>
      <c r="Z181" s="325">
        <v>22.1</v>
      </c>
      <c r="AA181" s="326"/>
      <c r="AB181" s="326"/>
      <c r="AC181" s="326"/>
      <c r="AD181" s="326"/>
      <c r="AE181" s="326"/>
      <c r="AF181" s="325">
        <v>22.1</v>
      </c>
      <c r="AG181" s="326"/>
      <c r="AH181" s="326"/>
      <c r="AI181" s="326"/>
      <c r="AJ181" s="326"/>
      <c r="AK181" s="326"/>
      <c r="AL181" s="325">
        <v>26.5</v>
      </c>
      <c r="AM181" s="326"/>
      <c r="AN181" s="326"/>
      <c r="AO181" s="326"/>
      <c r="AP181" s="326"/>
      <c r="AQ181" s="326"/>
      <c r="AR181" s="325">
        <v>50.9</v>
      </c>
      <c r="AS181" s="326"/>
      <c r="AT181" s="326"/>
      <c r="AU181" s="326"/>
      <c r="AV181" s="326"/>
      <c r="AW181" s="326"/>
      <c r="AX181" s="325">
        <v>81.400000000000006</v>
      </c>
      <c r="AY181" s="326"/>
      <c r="AZ181" s="326"/>
      <c r="BA181" s="326"/>
      <c r="BB181" s="326"/>
      <c r="BC181" s="326"/>
      <c r="BD181" s="325">
        <v>58.7</v>
      </c>
      <c r="BE181" s="326"/>
      <c r="BF181" s="326"/>
      <c r="BG181" s="326"/>
      <c r="BH181" s="326"/>
      <c r="BI181" s="326"/>
      <c r="BJ181" s="325">
        <v>51.6</v>
      </c>
      <c r="BK181" s="326"/>
      <c r="BL181" s="326"/>
      <c r="BM181" s="326"/>
      <c r="BN181" s="326"/>
      <c r="BO181" s="326"/>
      <c r="BP181" s="325">
        <v>50.9</v>
      </c>
      <c r="BQ181" s="330">
        <f>BQ180</f>
        <v>68.220609455088109</v>
      </c>
      <c r="BR181" s="330">
        <f>BR180</f>
        <v>83.167030440153084</v>
      </c>
      <c r="BS181" s="330">
        <f>BS180</f>
        <v>99.719707662239628</v>
      </c>
      <c r="BT181" s="330">
        <f>BT180</f>
        <v>112.22635730241372</v>
      </c>
      <c r="BU181" s="330">
        <f>BU180</f>
        <v>125.96487726464133</v>
      </c>
      <c r="BV181" s="365"/>
      <c r="BW181" s="305"/>
      <c r="BX181" s="450">
        <f>IFERROR((BU181/BP181)^(1/5)-1,"n/m")</f>
        <v>0.19868849529556765</v>
      </c>
      <c r="BY181" s="265">
        <f t="shared" ref="BY181" si="177">IFERROR((BP181/AL181)^(1/5)-1,"n/m")</f>
        <v>0.13944766215433924</v>
      </c>
      <c r="BZ181" s="265">
        <f>IFERROR((BP181/H181)^(1/10)-1,"n/m")</f>
        <v>0.14757602240678214</v>
      </c>
    </row>
    <row r="182" spans="2:78" x14ac:dyDescent="0.25">
      <c r="B182" s="3"/>
      <c r="C182" s="16"/>
      <c r="D182" s="16"/>
      <c r="E182" s="16"/>
      <c r="F182" s="16"/>
      <c r="G182" s="16"/>
      <c r="H182" s="82"/>
      <c r="I182" s="23"/>
      <c r="J182" s="23"/>
      <c r="K182" s="40"/>
      <c r="L182" s="23"/>
      <c r="M182" s="23"/>
      <c r="N182" s="82"/>
      <c r="O182" s="23"/>
      <c r="P182" s="23"/>
      <c r="Q182" s="40"/>
      <c r="R182" s="23"/>
      <c r="S182" s="23"/>
      <c r="T182" s="101"/>
      <c r="U182" s="31"/>
      <c r="V182" s="31"/>
      <c r="W182" s="48"/>
      <c r="X182" s="31"/>
      <c r="Y182" s="31"/>
      <c r="Z182" s="101"/>
      <c r="AA182" s="31"/>
      <c r="AB182" s="31"/>
      <c r="AC182" s="48"/>
      <c r="AD182" s="31"/>
      <c r="AE182" s="31"/>
      <c r="AF182" s="101"/>
      <c r="AG182" s="31"/>
      <c r="AH182" s="31"/>
      <c r="AI182" s="48"/>
      <c r="AJ182" s="31"/>
      <c r="AK182" s="31"/>
      <c r="AL182" s="101"/>
      <c r="AM182" s="31"/>
      <c r="AN182" s="31"/>
      <c r="AO182" s="48"/>
      <c r="AP182" s="31"/>
      <c r="AQ182" s="31"/>
      <c r="AR182" s="101"/>
      <c r="AS182" s="31"/>
      <c r="AT182" s="31"/>
      <c r="AU182" s="48"/>
      <c r="AV182" s="31"/>
      <c r="AW182" s="31"/>
      <c r="AX182" s="101"/>
      <c r="AY182" s="31"/>
      <c r="AZ182" s="31"/>
      <c r="BA182" s="48"/>
      <c r="BB182" s="31"/>
      <c r="BC182" s="31"/>
      <c r="BD182" s="101"/>
      <c r="BE182" s="31"/>
      <c r="BF182" s="31"/>
      <c r="BG182" s="48"/>
      <c r="BH182" s="31"/>
      <c r="BI182" s="31"/>
      <c r="BJ182" s="101"/>
      <c r="BK182" s="31"/>
      <c r="BL182" s="31"/>
      <c r="BM182" s="48"/>
      <c r="BN182" s="31"/>
      <c r="BO182" s="31"/>
      <c r="BP182" s="101"/>
      <c r="BQ182" s="379"/>
      <c r="BR182" s="379"/>
      <c r="BS182" s="379"/>
      <c r="BT182" s="379"/>
      <c r="BU182" s="379"/>
      <c r="BV182" s="365"/>
      <c r="BW182" s="305"/>
      <c r="BX182" s="451"/>
      <c r="BY182" s="459"/>
      <c r="BZ182" s="459"/>
    </row>
    <row r="183" spans="2:78" x14ac:dyDescent="0.25">
      <c r="B183" s="57" t="s">
        <v>226</v>
      </c>
      <c r="C183" s="58"/>
      <c r="D183" s="58"/>
      <c r="E183" s="58"/>
      <c r="F183" s="58"/>
      <c r="G183" s="58"/>
      <c r="H183" s="83"/>
      <c r="I183" s="61"/>
      <c r="J183" s="61"/>
      <c r="K183" s="61"/>
      <c r="L183" s="61"/>
      <c r="M183" s="61"/>
      <c r="N183" s="83"/>
      <c r="O183" s="61"/>
      <c r="P183" s="61"/>
      <c r="Q183" s="61"/>
      <c r="R183" s="61"/>
      <c r="S183" s="61"/>
      <c r="T183" s="102"/>
      <c r="U183" s="62"/>
      <c r="V183" s="62"/>
      <c r="W183" s="62"/>
      <c r="X183" s="62"/>
      <c r="Y183" s="62"/>
      <c r="Z183" s="102"/>
      <c r="AA183" s="62"/>
      <c r="AB183" s="62"/>
      <c r="AC183" s="62"/>
      <c r="AD183" s="62"/>
      <c r="AE183" s="62"/>
      <c r="AF183" s="102"/>
      <c r="AG183" s="62"/>
      <c r="AH183" s="62"/>
      <c r="AI183" s="62"/>
      <c r="AJ183" s="62"/>
      <c r="AK183" s="62"/>
      <c r="AL183" s="102"/>
      <c r="AM183" s="62"/>
      <c r="AN183" s="62"/>
      <c r="AO183" s="62"/>
      <c r="AP183" s="62"/>
      <c r="AQ183" s="62"/>
      <c r="AR183" s="102"/>
      <c r="AS183" s="62"/>
      <c r="AT183" s="62"/>
      <c r="AU183" s="62"/>
      <c r="AV183" s="62"/>
      <c r="AW183" s="62"/>
      <c r="AX183" s="102"/>
      <c r="AY183" s="62"/>
      <c r="AZ183" s="62"/>
      <c r="BA183" s="62"/>
      <c r="BB183" s="62"/>
      <c r="BC183" s="62"/>
      <c r="BD183" s="102"/>
      <c r="BE183" s="62"/>
      <c r="BF183" s="62"/>
      <c r="BG183" s="62"/>
      <c r="BH183" s="62"/>
      <c r="BI183" s="62"/>
      <c r="BJ183" s="102"/>
      <c r="BK183" s="62"/>
      <c r="BL183" s="62"/>
      <c r="BM183" s="62"/>
      <c r="BN183" s="62"/>
      <c r="BO183" s="62"/>
      <c r="BP183" s="102"/>
      <c r="BQ183" s="62"/>
      <c r="BR183" s="62"/>
      <c r="BS183" s="62"/>
      <c r="BT183" s="62"/>
      <c r="BU183" s="62"/>
      <c r="BV183" s="57" t="s">
        <v>332</v>
      </c>
      <c r="BW183" s="305"/>
      <c r="BX183" s="455"/>
      <c r="BY183" s="60"/>
      <c r="BZ183" s="60"/>
    </row>
    <row r="184" spans="2:78" x14ac:dyDescent="0.25">
      <c r="B184" s="17" t="s">
        <v>227</v>
      </c>
      <c r="C184" s="16"/>
      <c r="D184" s="16"/>
      <c r="E184" s="16"/>
      <c r="F184" s="16"/>
      <c r="G184" s="16"/>
      <c r="H184" s="84">
        <f>H153</f>
        <v>3050</v>
      </c>
      <c r="I184" s="25"/>
      <c r="J184" s="25"/>
      <c r="K184" s="42"/>
      <c r="L184" s="25"/>
      <c r="M184" s="25"/>
      <c r="N184" s="84">
        <f>N153</f>
        <v>3475</v>
      </c>
      <c r="O184" s="25"/>
      <c r="P184" s="25"/>
      <c r="Q184" s="42"/>
      <c r="R184" s="25"/>
      <c r="S184" s="25"/>
      <c r="T184" s="103">
        <f>T153</f>
        <v>4878</v>
      </c>
      <c r="U184" s="33"/>
      <c r="V184" s="33"/>
      <c r="W184" s="50"/>
      <c r="X184" s="33"/>
      <c r="Y184" s="33"/>
      <c r="Z184" s="103">
        <f>Z153</f>
        <v>5450</v>
      </c>
      <c r="AA184" s="33"/>
      <c r="AB184" s="33"/>
      <c r="AC184" s="50"/>
      <c r="AD184" s="33"/>
      <c r="AE184" s="33"/>
      <c r="AF184" s="103">
        <f>AF153</f>
        <v>6654</v>
      </c>
      <c r="AG184" s="33"/>
      <c r="AH184" s="33"/>
      <c r="AI184" s="50"/>
      <c r="AJ184" s="33"/>
      <c r="AK184" s="33"/>
      <c r="AL184" s="103">
        <f>AL153</f>
        <v>9520</v>
      </c>
      <c r="AM184" s="33"/>
      <c r="AN184" s="33"/>
      <c r="AO184" s="50"/>
      <c r="AP184" s="33"/>
      <c r="AQ184" s="33"/>
      <c r="AR184" s="103">
        <f>AR153</f>
        <v>16223</v>
      </c>
      <c r="AS184" s="33"/>
      <c r="AT184" s="33"/>
      <c r="AU184" s="50"/>
      <c r="AV184" s="33"/>
      <c r="AW184" s="33"/>
      <c r="AX184" s="103">
        <f>AX153</f>
        <v>25204</v>
      </c>
      <c r="AY184" s="33"/>
      <c r="AZ184" s="33"/>
      <c r="BA184" s="50"/>
      <c r="BB184" s="33"/>
      <c r="BC184" s="33"/>
      <c r="BD184" s="103">
        <f>BD153</f>
        <v>17723</v>
      </c>
      <c r="BE184" s="33"/>
      <c r="BF184" s="33"/>
      <c r="BG184" s="50"/>
      <c r="BH184" s="33"/>
      <c r="BI184" s="33"/>
      <c r="BJ184" s="103">
        <f>BJ153</f>
        <v>16096</v>
      </c>
      <c r="BK184" s="33"/>
      <c r="BL184" s="33"/>
      <c r="BM184" s="50"/>
      <c r="BN184" s="33"/>
      <c r="BO184" s="33"/>
      <c r="BP184" s="103">
        <f t="shared" ref="BP184:BU184" si="178">BP153</f>
        <v>19611</v>
      </c>
      <c r="BQ184" s="377">
        <f t="shared" si="178"/>
        <v>24150.633333333291</v>
      </c>
      <c r="BR184" s="377">
        <f t="shared" si="178"/>
        <v>28468.523207466624</v>
      </c>
      <c r="BS184" s="377">
        <f t="shared" si="178"/>
        <v>32877.624782519953</v>
      </c>
      <c r="BT184" s="377">
        <f t="shared" si="178"/>
        <v>35569.692428102338</v>
      </c>
      <c r="BU184" s="377">
        <f t="shared" si="178"/>
        <v>38196.304924863791</v>
      </c>
      <c r="BV184" s="365"/>
      <c r="BW184" s="305"/>
      <c r="BX184" s="451"/>
      <c r="BY184" s="459"/>
      <c r="BZ184" s="459"/>
    </row>
    <row r="185" spans="2:78" x14ac:dyDescent="0.25">
      <c r="B185" s="19" t="s">
        <v>228</v>
      </c>
      <c r="C185" s="1"/>
      <c r="D185" s="1"/>
      <c r="E185" s="1"/>
      <c r="F185" s="1"/>
      <c r="G185" s="1"/>
      <c r="H185" s="85">
        <f>-H154</f>
        <v>-58</v>
      </c>
      <c r="I185" s="26"/>
      <c r="J185" s="26"/>
      <c r="K185" s="43"/>
      <c r="L185" s="26"/>
      <c r="M185" s="26"/>
      <c r="N185" s="85">
        <f>-N154</f>
        <v>-1002</v>
      </c>
      <c r="O185" s="26"/>
      <c r="P185" s="26"/>
      <c r="Q185" s="43"/>
      <c r="R185" s="26"/>
      <c r="S185" s="26"/>
      <c r="T185" s="94">
        <f>-T154</f>
        <v>-525</v>
      </c>
      <c r="U185" s="34"/>
      <c r="V185" s="34"/>
      <c r="W185" s="51"/>
      <c r="X185" s="34"/>
      <c r="Y185" s="34"/>
      <c r="Z185" s="94">
        <f>-Z154</f>
        <v>0</v>
      </c>
      <c r="AA185" s="34"/>
      <c r="AB185" s="34"/>
      <c r="AC185" s="51"/>
      <c r="AD185" s="34"/>
      <c r="AE185" s="34"/>
      <c r="AF185" s="94">
        <f>-AF154</f>
        <v>-800</v>
      </c>
      <c r="AG185" s="34"/>
      <c r="AH185" s="34"/>
      <c r="AI185" s="51"/>
      <c r="AJ185" s="34"/>
      <c r="AK185" s="34"/>
      <c r="AL185" s="94">
        <f>-AL154</f>
        <v>-2164</v>
      </c>
      <c r="AM185" s="34"/>
      <c r="AN185" s="34"/>
      <c r="AO185" s="51"/>
      <c r="AP185" s="34"/>
      <c r="AQ185" s="34"/>
      <c r="AR185" s="94">
        <f>-AR154</f>
        <v>-478</v>
      </c>
      <c r="AS185" s="34"/>
      <c r="AT185" s="34"/>
      <c r="AU185" s="51"/>
      <c r="AV185" s="34"/>
      <c r="AW185" s="34"/>
      <c r="AX185" s="94">
        <f>-AX154</f>
        <v>-1117</v>
      </c>
      <c r="AY185" s="34"/>
      <c r="AZ185" s="34"/>
      <c r="BA185" s="51"/>
      <c r="BB185" s="34"/>
      <c r="BC185" s="34"/>
      <c r="BD185" s="94">
        <f>-BD154</f>
        <v>0</v>
      </c>
      <c r="BE185" s="34"/>
      <c r="BF185" s="34"/>
      <c r="BG185" s="51"/>
      <c r="BH185" s="34"/>
      <c r="BI185" s="34"/>
      <c r="BJ185" s="94">
        <f>-BJ154</f>
        <v>-853</v>
      </c>
      <c r="BK185" s="34"/>
      <c r="BL185" s="34"/>
      <c r="BM185" s="51"/>
      <c r="BN185" s="34"/>
      <c r="BO185" s="34"/>
      <c r="BP185" s="94">
        <f t="shared" ref="BP185:BU185" si="179">-BP154</f>
        <v>-4527</v>
      </c>
      <c r="BQ185" s="373">
        <f t="shared" si="179"/>
        <v>-3000</v>
      </c>
      <c r="BR185" s="373">
        <f t="shared" si="179"/>
        <v>-2000</v>
      </c>
      <c r="BS185" s="373">
        <f t="shared" si="179"/>
        <v>-500</v>
      </c>
      <c r="BT185" s="373">
        <f t="shared" si="179"/>
        <v>-300</v>
      </c>
      <c r="BU185" s="373">
        <f t="shared" si="179"/>
        <v>-300</v>
      </c>
      <c r="BV185" s="365"/>
      <c r="BW185" s="305"/>
      <c r="BX185" s="451"/>
      <c r="BY185" s="459"/>
      <c r="BZ185" s="459"/>
    </row>
    <row r="186" spans="2:78" x14ac:dyDescent="0.25">
      <c r="B186" s="3" t="s">
        <v>229</v>
      </c>
      <c r="C186" s="16"/>
      <c r="D186" s="16"/>
      <c r="E186" s="16"/>
      <c r="F186" s="16"/>
      <c r="G186" s="16"/>
      <c r="H186" s="75">
        <f>H153-H154</f>
        <v>2992</v>
      </c>
      <c r="I186" s="27"/>
      <c r="J186" s="27"/>
      <c r="K186" s="44"/>
      <c r="L186" s="27"/>
      <c r="M186" s="27"/>
      <c r="N186" s="75">
        <f>N153-N154</f>
        <v>2473</v>
      </c>
      <c r="O186" s="27"/>
      <c r="P186" s="27"/>
      <c r="Q186" s="44"/>
      <c r="R186" s="27"/>
      <c r="S186" s="27"/>
      <c r="T186" s="97">
        <f>T153-T154</f>
        <v>4353</v>
      </c>
      <c r="U186" s="35"/>
      <c r="V186" s="35"/>
      <c r="W186" s="52"/>
      <c r="X186" s="35"/>
      <c r="Y186" s="35"/>
      <c r="Z186" s="97">
        <f>Z153-Z154</f>
        <v>5450</v>
      </c>
      <c r="AA186" s="35"/>
      <c r="AB186" s="35"/>
      <c r="AC186" s="52"/>
      <c r="AD186" s="35"/>
      <c r="AE186" s="35"/>
      <c r="AF186" s="97">
        <f>AF153-AF154</f>
        <v>5854</v>
      </c>
      <c r="AG186" s="35"/>
      <c r="AH186" s="35"/>
      <c r="AI186" s="52"/>
      <c r="AJ186" s="35"/>
      <c r="AK186" s="35"/>
      <c r="AL186" s="97">
        <f>AL153-AL154</f>
        <v>7356</v>
      </c>
      <c r="AM186" s="35"/>
      <c r="AN186" s="35"/>
      <c r="AO186" s="52"/>
      <c r="AP186" s="35"/>
      <c r="AQ186" s="35"/>
      <c r="AR186" s="97">
        <f>AR153-AR154</f>
        <v>15745</v>
      </c>
      <c r="AS186" s="35"/>
      <c r="AT186" s="35"/>
      <c r="AU186" s="52"/>
      <c r="AV186" s="35"/>
      <c r="AW186" s="35"/>
      <c r="AX186" s="97">
        <f>AX153-AX154</f>
        <v>24087</v>
      </c>
      <c r="AY186" s="35"/>
      <c r="AZ186" s="35"/>
      <c r="BA186" s="52"/>
      <c r="BB186" s="35"/>
      <c r="BC186" s="35"/>
      <c r="BD186" s="97">
        <f>BD153-BD154</f>
        <v>17723</v>
      </c>
      <c r="BE186" s="35"/>
      <c r="BF186" s="35"/>
      <c r="BG186" s="52"/>
      <c r="BH186" s="35"/>
      <c r="BI186" s="35"/>
      <c r="BJ186" s="97">
        <f>BJ153-BJ154</f>
        <v>15243</v>
      </c>
      <c r="BK186" s="35"/>
      <c r="BL186" s="35"/>
      <c r="BM186" s="52"/>
      <c r="BN186" s="35"/>
      <c r="BO186" s="35"/>
      <c r="BP186" s="97">
        <f t="shared" ref="BP186:BU186" si="180">BP153-BP154</f>
        <v>15084</v>
      </c>
      <c r="BQ186" s="377">
        <f t="shared" si="180"/>
        <v>21150.633333333291</v>
      </c>
      <c r="BR186" s="377">
        <f t="shared" si="180"/>
        <v>26468.523207466624</v>
      </c>
      <c r="BS186" s="377">
        <f t="shared" si="180"/>
        <v>32377.624782519953</v>
      </c>
      <c r="BT186" s="377">
        <f t="shared" si="180"/>
        <v>35269.692428102338</v>
      </c>
      <c r="BU186" s="377">
        <f t="shared" si="180"/>
        <v>37896.304924863791</v>
      </c>
      <c r="BV186" s="365"/>
      <c r="BW186" s="305"/>
      <c r="BX186" s="451"/>
      <c r="BY186" s="459"/>
      <c r="BZ186" s="459"/>
    </row>
    <row r="187" spans="2:78" x14ac:dyDescent="0.25">
      <c r="B187" s="19" t="s">
        <v>230</v>
      </c>
      <c r="C187" s="1"/>
      <c r="D187" s="1"/>
      <c r="E187" s="1"/>
      <c r="F187" s="1"/>
      <c r="G187" s="1"/>
      <c r="H187" s="85">
        <f>H154</f>
        <v>58</v>
      </c>
      <c r="I187" s="26"/>
      <c r="J187" s="26"/>
      <c r="K187" s="43"/>
      <c r="L187" s="26"/>
      <c r="M187" s="26"/>
      <c r="N187" s="85">
        <f>N154</f>
        <v>1002</v>
      </c>
      <c r="O187" s="26"/>
      <c r="P187" s="26"/>
      <c r="Q187" s="43"/>
      <c r="R187" s="26"/>
      <c r="S187" s="26"/>
      <c r="T187" s="94">
        <f>T154</f>
        <v>525</v>
      </c>
      <c r="U187" s="34"/>
      <c r="V187" s="34"/>
      <c r="W187" s="51"/>
      <c r="X187" s="34"/>
      <c r="Y187" s="34"/>
      <c r="Z187" s="94">
        <f>Z154</f>
        <v>0</v>
      </c>
      <c r="AA187" s="34"/>
      <c r="AB187" s="34"/>
      <c r="AC187" s="51"/>
      <c r="AD187" s="34"/>
      <c r="AE187" s="34"/>
      <c r="AF187" s="94">
        <f>AF154</f>
        <v>800</v>
      </c>
      <c r="AG187" s="34"/>
      <c r="AH187" s="34"/>
      <c r="AI187" s="51"/>
      <c r="AJ187" s="34"/>
      <c r="AK187" s="34"/>
      <c r="AL187" s="94">
        <f>AL154</f>
        <v>2164</v>
      </c>
      <c r="AM187" s="34"/>
      <c r="AN187" s="34"/>
      <c r="AO187" s="51"/>
      <c r="AP187" s="34"/>
      <c r="AQ187" s="34"/>
      <c r="AR187" s="94">
        <f>AR154</f>
        <v>478</v>
      </c>
      <c r="AS187" s="34"/>
      <c r="AT187" s="34"/>
      <c r="AU187" s="51"/>
      <c r="AV187" s="34"/>
      <c r="AW187" s="34"/>
      <c r="AX187" s="94">
        <f>AX154</f>
        <v>1117</v>
      </c>
      <c r="AY187" s="34"/>
      <c r="AZ187" s="34"/>
      <c r="BA187" s="51"/>
      <c r="BB187" s="34"/>
      <c r="BC187" s="34"/>
      <c r="BD187" s="94">
        <f>BD154</f>
        <v>0</v>
      </c>
      <c r="BE187" s="34"/>
      <c r="BF187" s="34"/>
      <c r="BG187" s="51"/>
      <c r="BH187" s="34"/>
      <c r="BI187" s="34"/>
      <c r="BJ187" s="94">
        <f>BJ154</f>
        <v>853</v>
      </c>
      <c r="BK187" s="34"/>
      <c r="BL187" s="34"/>
      <c r="BM187" s="51"/>
      <c r="BN187" s="34"/>
      <c r="BO187" s="34"/>
      <c r="BP187" s="94">
        <f t="shared" ref="BP187:BU187" si="181">BP154</f>
        <v>4527</v>
      </c>
      <c r="BQ187" s="373">
        <f t="shared" si="181"/>
        <v>3000</v>
      </c>
      <c r="BR187" s="373">
        <f t="shared" si="181"/>
        <v>2000</v>
      </c>
      <c r="BS187" s="373">
        <f t="shared" si="181"/>
        <v>500</v>
      </c>
      <c r="BT187" s="373">
        <f t="shared" si="181"/>
        <v>300</v>
      </c>
      <c r="BU187" s="373">
        <f t="shared" si="181"/>
        <v>300</v>
      </c>
      <c r="BV187" s="365"/>
      <c r="BW187" s="305"/>
      <c r="BX187" s="451"/>
      <c r="BY187" s="459"/>
      <c r="BZ187" s="459"/>
    </row>
    <row r="188" spans="2:78" x14ac:dyDescent="0.25">
      <c r="B188" s="3" t="s">
        <v>234</v>
      </c>
      <c r="C188" s="16"/>
      <c r="D188" s="16"/>
      <c r="E188" s="16"/>
      <c r="F188" s="16"/>
      <c r="G188" s="16"/>
      <c r="H188" s="84">
        <f>H186</f>
        <v>2992</v>
      </c>
      <c r="I188" s="25"/>
      <c r="J188" s="25"/>
      <c r="K188" s="42"/>
      <c r="L188" s="25"/>
      <c r="M188" s="25"/>
      <c r="N188" s="84">
        <f>N186</f>
        <v>2473</v>
      </c>
      <c r="O188" s="25"/>
      <c r="P188" s="25"/>
      <c r="Q188" s="42"/>
      <c r="R188" s="25"/>
      <c r="S188" s="25"/>
      <c r="T188" s="103">
        <f>T186</f>
        <v>4353</v>
      </c>
      <c r="U188" s="33"/>
      <c r="V188" s="33"/>
      <c r="W188" s="50"/>
      <c r="X188" s="33"/>
      <c r="Y188" s="33"/>
      <c r="Z188" s="103">
        <f>Z186</f>
        <v>5450</v>
      </c>
      <c r="AA188" s="33"/>
      <c r="AB188" s="33"/>
      <c r="AC188" s="50"/>
      <c r="AD188" s="33"/>
      <c r="AE188" s="33"/>
      <c r="AF188" s="103">
        <f>AF186</f>
        <v>5854</v>
      </c>
      <c r="AG188" s="33"/>
      <c r="AH188" s="33"/>
      <c r="AI188" s="50"/>
      <c r="AJ188" s="33"/>
      <c r="AK188" s="33"/>
      <c r="AL188" s="103">
        <f>AL186</f>
        <v>7356</v>
      </c>
      <c r="AM188" s="33"/>
      <c r="AN188" s="33"/>
      <c r="AO188" s="50"/>
      <c r="AP188" s="33"/>
      <c r="AQ188" s="33"/>
      <c r="AR188" s="103">
        <f>AR186</f>
        <v>15745</v>
      </c>
      <c r="AS188" s="33"/>
      <c r="AT188" s="33"/>
      <c r="AU188" s="50"/>
      <c r="AV188" s="33"/>
      <c r="AW188" s="33"/>
      <c r="AX188" s="103">
        <f>AX186</f>
        <v>24087</v>
      </c>
      <c r="AY188" s="33"/>
      <c r="AZ188" s="33"/>
      <c r="BA188" s="50"/>
      <c r="BB188" s="33"/>
      <c r="BC188" s="33"/>
      <c r="BD188" s="103">
        <f>BD186</f>
        <v>17723</v>
      </c>
      <c r="BE188" s="33"/>
      <c r="BF188" s="33"/>
      <c r="BG188" s="50"/>
      <c r="BH188" s="33"/>
      <c r="BI188" s="33"/>
      <c r="BJ188" s="103">
        <f>BJ186</f>
        <v>15243</v>
      </c>
      <c r="BK188" s="33"/>
      <c r="BL188" s="33"/>
      <c r="BM188" s="50"/>
      <c r="BN188" s="33"/>
      <c r="BO188" s="33"/>
      <c r="BP188" s="103">
        <f t="shared" ref="BP188:BU188" si="182">BP186</f>
        <v>15084</v>
      </c>
      <c r="BQ188" s="377">
        <f t="shared" si="182"/>
        <v>21150.633333333291</v>
      </c>
      <c r="BR188" s="377">
        <f t="shared" si="182"/>
        <v>26468.523207466624</v>
      </c>
      <c r="BS188" s="377">
        <f t="shared" si="182"/>
        <v>32377.624782519953</v>
      </c>
      <c r="BT188" s="377">
        <f t="shared" si="182"/>
        <v>35269.692428102338</v>
      </c>
      <c r="BU188" s="377">
        <f t="shared" si="182"/>
        <v>37896.304924863791</v>
      </c>
      <c r="BV188" s="400" t="s">
        <v>333</v>
      </c>
      <c r="BW188" s="289"/>
      <c r="BX188" s="451"/>
      <c r="BY188" s="459"/>
      <c r="BZ188" s="459"/>
    </row>
    <row r="189" spans="2:78" x14ac:dyDescent="0.25">
      <c r="C189" s="1"/>
      <c r="D189" s="1"/>
      <c r="E189" s="1"/>
      <c r="F189" s="1"/>
      <c r="G189" s="1"/>
      <c r="H189" s="86"/>
      <c r="I189" s="24"/>
      <c r="J189" s="24"/>
      <c r="K189" s="41"/>
      <c r="L189" s="24"/>
      <c r="M189" s="24"/>
      <c r="N189" s="86"/>
      <c r="O189" s="24"/>
      <c r="P189" s="24"/>
      <c r="Q189" s="41"/>
      <c r="R189" s="24"/>
      <c r="S189" s="24"/>
      <c r="T189" s="104"/>
      <c r="U189" s="32"/>
      <c r="V189" s="32"/>
      <c r="W189" s="49"/>
      <c r="X189" s="32"/>
      <c r="Y189" s="32"/>
      <c r="Z189" s="104"/>
      <c r="AA189" s="32"/>
      <c r="AB189" s="32"/>
      <c r="AC189" s="49"/>
      <c r="AD189" s="32"/>
      <c r="AE189" s="32"/>
      <c r="AF189" s="104"/>
      <c r="AG189" s="32"/>
      <c r="AH189" s="32"/>
      <c r="AI189" s="49"/>
      <c r="AJ189" s="32"/>
      <c r="AK189" s="32"/>
      <c r="AL189" s="104"/>
      <c r="AM189" s="32"/>
      <c r="AN189" s="32"/>
      <c r="AO189" s="49"/>
      <c r="AP189" s="32"/>
      <c r="AQ189" s="32"/>
      <c r="AR189" s="104"/>
      <c r="AS189" s="32"/>
      <c r="AT189" s="32"/>
      <c r="AU189" s="49"/>
      <c r="AV189" s="32"/>
      <c r="AW189" s="32"/>
      <c r="AX189" s="104"/>
      <c r="AY189" s="32"/>
      <c r="AZ189" s="32"/>
      <c r="BA189" s="49"/>
      <c r="BB189" s="32"/>
      <c r="BC189" s="32"/>
      <c r="BD189" s="104"/>
      <c r="BE189" s="32"/>
      <c r="BF189" s="32"/>
      <c r="BG189" s="49"/>
      <c r="BH189" s="32"/>
      <c r="BI189" s="32"/>
      <c r="BJ189" s="104"/>
      <c r="BK189" s="32"/>
      <c r="BL189" s="32"/>
      <c r="BM189" s="49"/>
      <c r="BN189" s="32"/>
      <c r="BO189" s="32"/>
      <c r="BP189" s="104"/>
      <c r="BQ189" s="380"/>
      <c r="BR189" s="380"/>
      <c r="BS189" s="380"/>
      <c r="BT189" s="380"/>
      <c r="BU189" s="380"/>
      <c r="BV189" s="365"/>
      <c r="BW189" s="305"/>
      <c r="BX189" s="451"/>
      <c r="BY189" s="459"/>
      <c r="BZ189" s="459"/>
    </row>
    <row r="190" spans="2:78" x14ac:dyDescent="0.25">
      <c r="B190" t="s">
        <v>231</v>
      </c>
      <c r="C190" s="1"/>
      <c r="D190" s="1"/>
      <c r="E190" s="1"/>
      <c r="F190" s="1"/>
      <c r="G190" s="1"/>
      <c r="H190" s="86"/>
      <c r="I190" s="24"/>
      <c r="J190" s="24"/>
      <c r="K190" s="41"/>
      <c r="L190" s="24"/>
      <c r="M190" s="24"/>
      <c r="N190" s="86"/>
      <c r="O190" s="24"/>
      <c r="P190" s="24"/>
      <c r="Q190" s="41"/>
      <c r="R190" s="24"/>
      <c r="S190" s="24"/>
      <c r="T190" s="104"/>
      <c r="U190" s="32"/>
      <c r="V190" s="32"/>
      <c r="W190" s="49"/>
      <c r="X190" s="32"/>
      <c r="Y190" s="32"/>
      <c r="Z190" s="104"/>
      <c r="AA190" s="32"/>
      <c r="AB190" s="32"/>
      <c r="AC190" s="49"/>
      <c r="AD190" s="32"/>
      <c r="AE190" s="32"/>
      <c r="AF190" s="104"/>
      <c r="AG190" s="32"/>
      <c r="AH190" s="32"/>
      <c r="AI190" s="49"/>
      <c r="AJ190" s="32"/>
      <c r="AK190" s="32"/>
      <c r="AL190" s="104"/>
      <c r="AM190" s="32"/>
      <c r="AN190" s="32"/>
      <c r="AO190" s="49"/>
      <c r="AP190" s="32"/>
      <c r="AQ190" s="32"/>
      <c r="AR190" s="104"/>
      <c r="AS190" s="32"/>
      <c r="AT190" s="32"/>
      <c r="AU190" s="49"/>
      <c r="AV190" s="32"/>
      <c r="AW190" s="32"/>
      <c r="AX190" s="104"/>
      <c r="AY190" s="32"/>
      <c r="AZ190" s="32"/>
      <c r="BA190" s="49"/>
      <c r="BB190" s="32"/>
      <c r="BC190" s="32"/>
      <c r="BD190" s="104"/>
      <c r="BE190" s="32"/>
      <c r="BF190" s="32"/>
      <c r="BG190" s="49"/>
      <c r="BH190" s="32"/>
      <c r="BI190" s="32"/>
      <c r="BJ190" s="104"/>
      <c r="BK190" s="32"/>
      <c r="BL190" s="32"/>
      <c r="BM190" s="49"/>
      <c r="BN190" s="32"/>
      <c r="BO190" s="32"/>
      <c r="BP190" s="104"/>
      <c r="BQ190" s="380"/>
      <c r="BR190" s="380"/>
      <c r="BS190" s="380"/>
      <c r="BT190" s="380"/>
      <c r="BU190" s="380"/>
      <c r="BV190" s="365"/>
      <c r="BW190" s="305"/>
      <c r="BX190" s="451"/>
      <c r="BY190" s="459"/>
      <c r="BZ190" s="459"/>
    </row>
    <row r="191" spans="2:78" x14ac:dyDescent="0.25">
      <c r="B191" s="19" t="s">
        <v>232</v>
      </c>
      <c r="C191" s="1"/>
      <c r="D191" s="1"/>
      <c r="E191" s="1"/>
      <c r="F191" s="1"/>
      <c r="G191" s="1"/>
      <c r="H191" s="67">
        <v>3</v>
      </c>
      <c r="I191" s="28"/>
      <c r="J191" s="28"/>
      <c r="K191" s="45"/>
      <c r="L191" s="28"/>
      <c r="M191" s="28"/>
      <c r="N191" s="67">
        <v>926</v>
      </c>
      <c r="O191" s="28"/>
      <c r="P191" s="28"/>
      <c r="Q191" s="45"/>
      <c r="R191" s="28"/>
      <c r="S191" s="28"/>
      <c r="T191" s="87"/>
      <c r="U191" s="36"/>
      <c r="V191" s="36"/>
      <c r="W191" s="53"/>
      <c r="X191" s="36"/>
      <c r="Y191" s="36"/>
      <c r="Z191" s="87">
        <v>0</v>
      </c>
      <c r="AA191" s="36"/>
      <c r="AB191" s="36"/>
      <c r="AC191" s="53"/>
      <c r="AD191" s="36"/>
      <c r="AE191" s="36"/>
      <c r="AF191" s="87">
        <v>696</v>
      </c>
      <c r="AG191" s="36"/>
      <c r="AH191" s="36"/>
      <c r="AI191" s="53"/>
      <c r="AJ191" s="36"/>
      <c r="AK191" s="36"/>
      <c r="AL191" s="87">
        <v>2161</v>
      </c>
      <c r="AM191" s="36"/>
      <c r="AN191" s="36"/>
      <c r="AO191" s="53"/>
      <c r="AP191" s="36"/>
      <c r="AQ191" s="36"/>
      <c r="AR191" s="87"/>
      <c r="AS191" s="36"/>
      <c r="AT191" s="36"/>
      <c r="AU191" s="53"/>
      <c r="AV191" s="36"/>
      <c r="AW191" s="36"/>
      <c r="AX191" s="87"/>
      <c r="AY191" s="36"/>
      <c r="AZ191" s="36"/>
      <c r="BA191" s="53"/>
      <c r="BB191" s="36"/>
      <c r="BC191" s="36"/>
      <c r="BD191" s="87">
        <v>0</v>
      </c>
      <c r="BE191" s="36"/>
      <c r="BF191" s="36"/>
      <c r="BG191" s="53"/>
      <c r="BH191" s="36"/>
      <c r="BI191" s="36"/>
      <c r="BJ191" s="87">
        <v>657</v>
      </c>
      <c r="BK191" s="36"/>
      <c r="BL191" s="36"/>
      <c r="BM191" s="53"/>
      <c r="BN191" s="36"/>
      <c r="BO191" s="36"/>
      <c r="BP191" s="87">
        <v>3973</v>
      </c>
      <c r="BQ191" s="368">
        <v>2700</v>
      </c>
      <c r="BR191" s="368">
        <v>1700</v>
      </c>
      <c r="BS191" s="368">
        <v>400</v>
      </c>
      <c r="BT191" s="368">
        <v>200</v>
      </c>
      <c r="BU191" s="368">
        <v>200</v>
      </c>
      <c r="BV191" s="400" t="s">
        <v>334</v>
      </c>
      <c r="BW191" s="289"/>
      <c r="BX191" s="451"/>
      <c r="BY191" s="459"/>
      <c r="BZ191" s="459"/>
    </row>
    <row r="192" spans="2:78" x14ac:dyDescent="0.25">
      <c r="B192" s="19" t="s">
        <v>233</v>
      </c>
      <c r="C192" s="1"/>
      <c r="D192" s="1"/>
      <c r="E192" s="1"/>
      <c r="F192" s="1"/>
      <c r="G192" s="1"/>
      <c r="H192" s="67">
        <v>55</v>
      </c>
      <c r="I192" s="28"/>
      <c r="J192" s="28"/>
      <c r="K192" s="45"/>
      <c r="L192" s="28"/>
      <c r="M192" s="28"/>
      <c r="N192" s="67">
        <v>76</v>
      </c>
      <c r="O192" s="28"/>
      <c r="P192" s="28"/>
      <c r="Q192" s="45"/>
      <c r="R192" s="28"/>
      <c r="S192" s="28"/>
      <c r="T192" s="87"/>
      <c r="U192" s="36"/>
      <c r="V192" s="36"/>
      <c r="W192" s="53"/>
      <c r="X192" s="36"/>
      <c r="Y192" s="36"/>
      <c r="Z192" s="87">
        <v>0</v>
      </c>
      <c r="AA192" s="36"/>
      <c r="AB192" s="36"/>
      <c r="AC192" s="53"/>
      <c r="AD192" s="36"/>
      <c r="AE192" s="36"/>
      <c r="AF192" s="87">
        <v>104</v>
      </c>
      <c r="AG192" s="36"/>
      <c r="AH192" s="36"/>
      <c r="AI192" s="53"/>
      <c r="AJ192" s="36"/>
      <c r="AK192" s="36"/>
      <c r="AL192" s="87">
        <v>3</v>
      </c>
      <c r="AM192" s="36"/>
      <c r="AN192" s="36"/>
      <c r="AO192" s="53"/>
      <c r="AP192" s="36"/>
      <c r="AQ192" s="36"/>
      <c r="AR192" s="87"/>
      <c r="AS192" s="36"/>
      <c r="AT192" s="36"/>
      <c r="AU192" s="53"/>
      <c r="AV192" s="36"/>
      <c r="AW192" s="36"/>
      <c r="AX192" s="87"/>
      <c r="AY192" s="36"/>
      <c r="AZ192" s="36"/>
      <c r="BA192" s="53"/>
      <c r="BB192" s="36"/>
      <c r="BC192" s="36"/>
      <c r="BD192" s="87">
        <v>0</v>
      </c>
      <c r="BE192" s="36"/>
      <c r="BF192" s="36"/>
      <c r="BG192" s="53"/>
      <c r="BH192" s="36"/>
      <c r="BI192" s="36"/>
      <c r="BJ192" s="87">
        <v>196</v>
      </c>
      <c r="BK192" s="36"/>
      <c r="BL192" s="36"/>
      <c r="BM192" s="53"/>
      <c r="BN192" s="36"/>
      <c r="BO192" s="36"/>
      <c r="BP192" s="87">
        <v>554</v>
      </c>
      <c r="BQ192" s="368">
        <v>300</v>
      </c>
      <c r="BR192" s="368">
        <v>300</v>
      </c>
      <c r="BS192" s="368">
        <v>100</v>
      </c>
      <c r="BT192" s="368">
        <v>100</v>
      </c>
      <c r="BU192" s="368">
        <v>100</v>
      </c>
      <c r="BV192" s="400" t="s">
        <v>335</v>
      </c>
      <c r="BW192" s="289"/>
      <c r="BX192" s="451"/>
      <c r="BY192" s="459"/>
      <c r="BZ192" s="459"/>
    </row>
    <row r="193" spans="2:78" x14ac:dyDescent="0.25">
      <c r="B193" s="19"/>
      <c r="C193" s="1"/>
      <c r="D193" s="1"/>
      <c r="E193" s="1"/>
      <c r="F193" s="1"/>
      <c r="G193" s="1"/>
      <c r="H193" s="67"/>
      <c r="I193" s="28"/>
      <c r="J193" s="28"/>
      <c r="K193" s="45"/>
      <c r="L193" s="28"/>
      <c r="M193" s="28"/>
      <c r="N193" s="67"/>
      <c r="O193" s="28"/>
      <c r="P193" s="28"/>
      <c r="Q193" s="45"/>
      <c r="R193" s="28"/>
      <c r="S193" s="28"/>
      <c r="T193" s="87"/>
      <c r="U193" s="36"/>
      <c r="V193" s="36"/>
      <c r="W193" s="53"/>
      <c r="X193" s="36"/>
      <c r="Y193" s="36"/>
      <c r="Z193" s="87"/>
      <c r="AA193" s="36"/>
      <c r="AB193" s="36"/>
      <c r="AC193" s="53"/>
      <c r="AD193" s="36"/>
      <c r="AE193" s="36"/>
      <c r="AF193" s="87"/>
      <c r="AG193" s="36"/>
      <c r="AH193" s="36"/>
      <c r="AI193" s="53"/>
      <c r="AJ193" s="36"/>
      <c r="AK193" s="36"/>
      <c r="AL193" s="87"/>
      <c r="AM193" s="36"/>
      <c r="AN193" s="36"/>
      <c r="AO193" s="53"/>
      <c r="AP193" s="36"/>
      <c r="AQ193" s="36"/>
      <c r="AR193" s="87"/>
      <c r="AS193" s="36"/>
      <c r="AT193" s="36"/>
      <c r="AU193" s="53"/>
      <c r="AV193" s="36"/>
      <c r="AW193" s="36"/>
      <c r="AX193" s="87"/>
      <c r="AY193" s="36"/>
      <c r="AZ193" s="36"/>
      <c r="BA193" s="53"/>
      <c r="BB193" s="36"/>
      <c r="BC193" s="36"/>
      <c r="BD193" s="87"/>
      <c r="BE193" s="36"/>
      <c r="BF193" s="36"/>
      <c r="BG193" s="53"/>
      <c r="BH193" s="36"/>
      <c r="BI193" s="36"/>
      <c r="BJ193" s="87"/>
      <c r="BK193" s="36"/>
      <c r="BL193" s="36"/>
      <c r="BM193" s="53"/>
      <c r="BN193" s="36"/>
      <c r="BO193" s="36"/>
      <c r="BP193" s="87"/>
      <c r="BQ193" s="368"/>
      <c r="BR193" s="368"/>
      <c r="BS193" s="368"/>
      <c r="BT193" s="368"/>
      <c r="BU193" s="368"/>
      <c r="BV193" s="365"/>
      <c r="BW193" s="305"/>
      <c r="BX193" s="451"/>
      <c r="BY193" s="459"/>
      <c r="BZ193" s="459"/>
    </row>
    <row r="194" spans="2:78" x14ac:dyDescent="0.25">
      <c r="B194" s="57" t="s">
        <v>268</v>
      </c>
      <c r="C194" s="58"/>
      <c r="D194" s="58"/>
      <c r="E194" s="58"/>
      <c r="F194" s="58"/>
      <c r="G194" s="58"/>
      <c r="H194" s="83"/>
      <c r="I194" s="61"/>
      <c r="J194" s="61"/>
      <c r="K194" s="61"/>
      <c r="L194" s="61"/>
      <c r="M194" s="61"/>
      <c r="N194" s="83"/>
      <c r="O194" s="61"/>
      <c r="P194" s="61"/>
      <c r="Q194" s="61"/>
      <c r="R194" s="61"/>
      <c r="S194" s="61"/>
      <c r="T194" s="102"/>
      <c r="U194" s="62"/>
      <c r="V194" s="62"/>
      <c r="W194" s="62"/>
      <c r="X194" s="62"/>
      <c r="Y194" s="62"/>
      <c r="Z194" s="102"/>
      <c r="AA194" s="62"/>
      <c r="AB194" s="62"/>
      <c r="AC194" s="62"/>
      <c r="AD194" s="62"/>
      <c r="AE194" s="62"/>
      <c r="AF194" s="102"/>
      <c r="AG194" s="62"/>
      <c r="AH194" s="62"/>
      <c r="AI194" s="62"/>
      <c r="AJ194" s="62"/>
      <c r="AK194" s="62"/>
      <c r="AL194" s="102"/>
      <c r="AM194" s="62"/>
      <c r="AN194" s="62"/>
      <c r="AO194" s="62"/>
      <c r="AP194" s="62"/>
      <c r="AQ194" s="62"/>
      <c r="AR194" s="102"/>
      <c r="AS194" s="62"/>
      <c r="AT194" s="62"/>
      <c r="AU194" s="62"/>
      <c r="AV194" s="62"/>
      <c r="AW194" s="62"/>
      <c r="AX194" s="102"/>
      <c r="AY194" s="62"/>
      <c r="AZ194" s="62"/>
      <c r="BA194" s="62"/>
      <c r="BB194" s="62"/>
      <c r="BC194" s="62"/>
      <c r="BD194" s="102"/>
      <c r="BE194" s="62"/>
      <c r="BF194" s="62"/>
      <c r="BG194" s="62"/>
      <c r="BH194" s="62"/>
      <c r="BI194" s="62"/>
      <c r="BJ194" s="102"/>
      <c r="BK194" s="62"/>
      <c r="BL194" s="62"/>
      <c r="BM194" s="62"/>
      <c r="BN194" s="62"/>
      <c r="BO194" s="62"/>
      <c r="BP194" s="102"/>
      <c r="BQ194" s="62"/>
      <c r="BR194" s="62"/>
      <c r="BS194" s="62"/>
      <c r="BT194" s="62"/>
      <c r="BU194" s="62"/>
      <c r="BV194" s="57" t="s">
        <v>336</v>
      </c>
      <c r="BW194" s="305"/>
      <c r="BX194" s="455"/>
      <c r="BY194" s="60"/>
      <c r="BZ194" s="60"/>
    </row>
    <row r="195" spans="2:78" x14ac:dyDescent="0.25">
      <c r="B195" s="12" t="s">
        <v>175</v>
      </c>
      <c r="C195" s="1"/>
      <c r="D195" s="1"/>
      <c r="E195" s="1"/>
      <c r="F195" s="1"/>
      <c r="G195" s="1"/>
      <c r="H195" s="70" t="str">
        <f>""</f>
        <v/>
      </c>
      <c r="I195" s="24"/>
      <c r="J195" s="24"/>
      <c r="K195" s="41"/>
      <c r="L195" s="24"/>
      <c r="M195" s="24"/>
      <c r="N195" s="93">
        <f>IFERROR(N146/H146-1,"")</f>
        <v>0.33179343018341223</v>
      </c>
      <c r="O195" s="183"/>
      <c r="P195" s="183"/>
      <c r="Q195" s="184"/>
      <c r="R195" s="183"/>
      <c r="S195" s="183"/>
      <c r="T195" s="96">
        <f>IFERROR(T146/N146-1,"")</f>
        <v>0.10559877190133871</v>
      </c>
      <c r="U195" s="197"/>
      <c r="V195" s="197"/>
      <c r="W195" s="198"/>
      <c r="X195" s="197"/>
      <c r="Y195" s="197"/>
      <c r="Z195" s="96">
        <f>IFERROR(Z146/T146-1,"")</f>
        <v>5.5433171786758439E-2</v>
      </c>
      <c r="AA195" s="197"/>
      <c r="AB195" s="197"/>
      <c r="AC195" s="198"/>
      <c r="AD195" s="197"/>
      <c r="AE195" s="197"/>
      <c r="AF195" s="96">
        <f>IFERROR(AF146/Z146-1,"")</f>
        <v>0.19794315206254032</v>
      </c>
      <c r="AG195" s="197"/>
      <c r="AH195" s="197"/>
      <c r="AI195" s="198"/>
      <c r="AJ195" s="197"/>
      <c r="AK195" s="197"/>
      <c r="AL195" s="96">
        <f>IFERROR(AL146/AF146-1,"")</f>
        <v>0.22418981848132535</v>
      </c>
      <c r="AM195" s="197"/>
      <c r="AN195" s="197"/>
      <c r="AO195" s="198"/>
      <c r="AP195" s="197"/>
      <c r="AQ195" s="197"/>
      <c r="AR195" s="96">
        <f>IFERROR(AR146/AL146-1,"")</f>
        <v>0.57252527343615234</v>
      </c>
      <c r="AS195" s="197"/>
      <c r="AT195" s="197"/>
      <c r="AU195" s="198"/>
      <c r="AV195" s="197"/>
      <c r="AW195" s="197"/>
      <c r="AX195" s="96">
        <f>IFERROR(AX146/AR146-1,"")</f>
        <v>0.29268921483659338</v>
      </c>
      <c r="AY195" s="197"/>
      <c r="AZ195" s="197"/>
      <c r="BA195" s="198"/>
      <c r="BB195" s="197"/>
      <c r="BC195" s="197"/>
      <c r="BD195" s="96">
        <f>IFERROR(BD146/AX146-1,"")</f>
        <v>-0.36017227844609934</v>
      </c>
      <c r="BE195" s="197"/>
      <c r="BF195" s="197"/>
      <c r="BG195" s="198"/>
      <c r="BH195" s="197"/>
      <c r="BI195" s="197"/>
      <c r="BJ195" s="96">
        <f>IFERROR(BJ146/BD146-1,"")</f>
        <v>0.10824020956991753</v>
      </c>
      <c r="BK195" s="197"/>
      <c r="BL195" s="197"/>
      <c r="BM195" s="198"/>
      <c r="BN195" s="197"/>
      <c r="BO195" s="197"/>
      <c r="BP195" s="96">
        <f>IFERROR(BP146/BJ146-1,"")</f>
        <v>0.48008449726520896</v>
      </c>
      <c r="BQ195" s="375">
        <f>IFERROR(BQ146/BP146-1,"")</f>
        <v>0.10108284040415305</v>
      </c>
      <c r="BR195" s="375">
        <f>IFERROR(BR146/BQ146-1,"")</f>
        <v>5.8025711173825378E-2</v>
      </c>
      <c r="BS195" s="375">
        <f>IFERROR(BS146/BR146-1,"")</f>
        <v>5.0556811666861101E-2</v>
      </c>
      <c r="BT195" s="375">
        <f>IFERROR(BT146/BS146-1,"")</f>
        <v>4.019430271460589E-2</v>
      </c>
      <c r="BU195" s="375">
        <f>IFERROR(BU146/BT146-1,"")</f>
        <v>4.0188361055109034E-2</v>
      </c>
      <c r="BV195" s="365"/>
      <c r="BW195" s="305"/>
      <c r="BX195" s="451"/>
      <c r="BY195" s="459"/>
      <c r="BZ195" s="459"/>
    </row>
    <row r="196" spans="2:78" x14ac:dyDescent="0.25">
      <c r="B196" s="262" t="s">
        <v>189</v>
      </c>
      <c r="C196" s="1"/>
      <c r="D196" s="1"/>
      <c r="E196" s="1"/>
      <c r="F196" s="1"/>
      <c r="G196" s="1"/>
      <c r="H196" s="267" t="str">
        <f>IFERROR(H195-H197,"")</f>
        <v/>
      </c>
      <c r="I196" s="347"/>
      <c r="J196" s="347"/>
      <c r="K196" s="347"/>
      <c r="L196" s="347"/>
      <c r="M196" s="347"/>
      <c r="N196" s="267">
        <f>IFERROR(N195-N197,"")</f>
        <v>1.2345436316813729E-2</v>
      </c>
      <c r="O196" s="266"/>
      <c r="P196" s="266"/>
      <c r="Q196" s="266"/>
      <c r="R196" s="266"/>
      <c r="S196" s="266"/>
      <c r="T196" s="286">
        <f>IFERROR(T195-T197,"")</f>
        <v>0.10559877190133871</v>
      </c>
      <c r="U196" s="279"/>
      <c r="V196" s="279"/>
      <c r="W196" s="279"/>
      <c r="X196" s="279"/>
      <c r="Y196" s="279"/>
      <c r="Z196" s="286">
        <f>IFERROR(Z195-Z197,"")</f>
        <v>5.5433171786758439E-2</v>
      </c>
      <c r="AA196" s="279"/>
      <c r="AB196" s="279"/>
      <c r="AC196" s="279"/>
      <c r="AD196" s="279"/>
      <c r="AE196" s="279"/>
      <c r="AF196" s="286">
        <f>IFERROR(AF195-AF197,"")</f>
        <v>2.3300823498159456E-2</v>
      </c>
      <c r="AG196" s="279"/>
      <c r="AH196" s="279"/>
      <c r="AI196" s="279"/>
      <c r="AJ196" s="279"/>
      <c r="AK196" s="279"/>
      <c r="AL196" s="286">
        <f>IFERROR(AL195-AL197,"")</f>
        <v>0.22418981848132535</v>
      </c>
      <c r="AM196" s="279"/>
      <c r="AN196" s="279"/>
      <c r="AO196" s="279"/>
      <c r="AP196" s="279"/>
      <c r="AQ196" s="279"/>
      <c r="AR196" s="286">
        <f>IFERROR(AR195-AR197,"")</f>
        <v>0.44313908153055248</v>
      </c>
      <c r="AS196" s="279"/>
      <c r="AT196" s="279"/>
      <c r="AU196" s="279"/>
      <c r="AV196" s="279"/>
      <c r="AW196" s="279"/>
      <c r="AX196" s="286">
        <f>IFERROR(AX195-AX197,"")</f>
        <v>0.29268921483659338</v>
      </c>
      <c r="AY196" s="279"/>
      <c r="AZ196" s="279"/>
      <c r="BA196" s="279"/>
      <c r="BB196" s="279"/>
      <c r="BC196" s="279"/>
      <c r="BD196" s="286">
        <f>IFERROR(BD195-BD197,"")</f>
        <v>-0.36017227844609934</v>
      </c>
      <c r="BE196" s="279"/>
      <c r="BF196" s="279"/>
      <c r="BG196" s="279"/>
      <c r="BH196" s="279"/>
      <c r="BI196" s="279"/>
      <c r="BJ196" s="286">
        <f>IFERROR(BJ195-BJ197,"")</f>
        <v>0.10824020956991753</v>
      </c>
      <c r="BK196" s="279"/>
      <c r="BL196" s="279"/>
      <c r="BM196" s="279"/>
      <c r="BN196" s="279"/>
      <c r="BO196" s="279"/>
      <c r="BP196" s="286">
        <f t="shared" ref="BP196:BU196" si="183">IFERROR(BP195-BP197,"")</f>
        <v>-7.0907088913623628E-2</v>
      </c>
      <c r="BQ196" s="364">
        <f t="shared" si="183"/>
        <v>0.10108284040415305</v>
      </c>
      <c r="BR196" s="364">
        <f t="shared" si="183"/>
        <v>5.8025711173825378E-2</v>
      </c>
      <c r="BS196" s="364">
        <f t="shared" si="183"/>
        <v>5.0556811666861101E-2</v>
      </c>
      <c r="BT196" s="364">
        <f t="shared" si="183"/>
        <v>4.019430271460589E-2</v>
      </c>
      <c r="BU196" s="364">
        <f t="shared" si="183"/>
        <v>4.0188361055109034E-2</v>
      </c>
      <c r="BV196" s="400" t="s">
        <v>337</v>
      </c>
      <c r="BW196" s="289"/>
      <c r="BX196" s="450">
        <f>IFERROR(((1+BQ196)*(1+BR196)*(1+BS196)*(1+BT196)*(1+BU196))^(1/5)-1,"n/m")</f>
        <v>5.7772918839292586E-2</v>
      </c>
      <c r="BY196" s="265">
        <f>IFERROR(((1+AR196)*(1+AX196)*(1+BD196)*(1+BJ196)*(1+BP196))^(1/5)-1,"n/m")</f>
        <v>4.2105488359736043E-2</v>
      </c>
      <c r="BZ196" s="265">
        <f>IFERROR(((1+T196)*(1+Z196)*(1+AF196)*(1+AL196)*(1+AR196)*(1+AX196)*(1+BD196)*(1+BJ196)*(1+BP196))^(1/9)-1,"n/m")</f>
        <v>6.7261828151388814E-2</v>
      </c>
    </row>
    <row r="197" spans="2:78" x14ac:dyDescent="0.25">
      <c r="B197" s="12" t="s">
        <v>190</v>
      </c>
      <c r="C197" s="1"/>
      <c r="D197" s="1"/>
      <c r="E197" s="1"/>
      <c r="F197" s="1"/>
      <c r="G197" s="1"/>
      <c r="H197" s="70">
        <v>0</v>
      </c>
      <c r="I197" s="24"/>
      <c r="J197" s="24"/>
      <c r="K197" s="41"/>
      <c r="L197" s="24"/>
      <c r="M197" s="24"/>
      <c r="N197" s="70">
        <f>16250/H146</f>
        <v>0.3194479938665985</v>
      </c>
      <c r="O197" s="183"/>
      <c r="P197" s="183"/>
      <c r="Q197" s="184"/>
      <c r="R197" s="183"/>
      <c r="S197" s="183"/>
      <c r="T197" s="78">
        <v>0</v>
      </c>
      <c r="U197" s="197"/>
      <c r="V197" s="197"/>
      <c r="W197" s="198"/>
      <c r="X197" s="197"/>
      <c r="Y197" s="197"/>
      <c r="Z197" s="78">
        <v>0</v>
      </c>
      <c r="AA197" s="197"/>
      <c r="AB197" s="197"/>
      <c r="AC197" s="198"/>
      <c r="AD197" s="197"/>
      <c r="AE197" s="197"/>
      <c r="AF197" s="78">
        <f>13806/Z146</f>
        <v>0.17464232856438086</v>
      </c>
      <c r="AG197" s="197"/>
      <c r="AH197" s="197"/>
      <c r="AI197" s="198"/>
      <c r="AJ197" s="197"/>
      <c r="AK197" s="197"/>
      <c r="AL197" s="78">
        <v>0</v>
      </c>
      <c r="AM197" s="197"/>
      <c r="AN197" s="197"/>
      <c r="AO197" s="198"/>
      <c r="AP197" s="197"/>
      <c r="AQ197" s="197"/>
      <c r="AR197" s="78">
        <f>15000/AL146</f>
        <v>0.12938619190559983</v>
      </c>
      <c r="AS197" s="197"/>
      <c r="AT197" s="197"/>
      <c r="AU197" s="198"/>
      <c r="AV197" s="197"/>
      <c r="AW197" s="197"/>
      <c r="AX197" s="78">
        <v>0</v>
      </c>
      <c r="AY197" s="197"/>
      <c r="AZ197" s="197"/>
      <c r="BA197" s="198"/>
      <c r="BB197" s="197"/>
      <c r="BC197" s="197"/>
      <c r="BD197" s="78">
        <v>0</v>
      </c>
      <c r="BE197" s="197"/>
      <c r="BF197" s="197"/>
      <c r="BG197" s="198"/>
      <c r="BH197" s="197"/>
      <c r="BI197" s="197"/>
      <c r="BJ197" s="78">
        <v>0</v>
      </c>
      <c r="BK197" s="197"/>
      <c r="BL197" s="197"/>
      <c r="BM197" s="198"/>
      <c r="BN197" s="197"/>
      <c r="BO197" s="197"/>
      <c r="BP197" s="78">
        <f>92074/BJ146</f>
        <v>0.55099158617883259</v>
      </c>
      <c r="BQ197" s="398">
        <v>0</v>
      </c>
      <c r="BR197" s="398">
        <v>0</v>
      </c>
      <c r="BS197" s="398">
        <v>0</v>
      </c>
      <c r="BT197" s="398">
        <v>0</v>
      </c>
      <c r="BU197" s="398">
        <v>0</v>
      </c>
      <c r="BV197" s="400" t="s">
        <v>338</v>
      </c>
      <c r="BW197" s="289"/>
      <c r="BX197" s="451"/>
      <c r="BY197" s="459"/>
      <c r="BZ197" s="459"/>
    </row>
    <row r="198" spans="2:78" x14ac:dyDescent="0.25">
      <c r="B198" s="12" t="s">
        <v>176</v>
      </c>
      <c r="C198" s="1"/>
      <c r="D198" s="1"/>
      <c r="E198" s="1"/>
      <c r="F198" s="1"/>
      <c r="G198" s="1"/>
      <c r="H198" s="70" t="str">
        <f>""</f>
        <v/>
      </c>
      <c r="I198" s="24"/>
      <c r="J198" s="24"/>
      <c r="K198" s="41"/>
      <c r="L198" s="24"/>
      <c r="M198" s="24"/>
      <c r="N198" s="93">
        <f>IFERROR(N148/H148-1,"")</f>
        <v>0.41398089456298548</v>
      </c>
      <c r="O198" s="183"/>
      <c r="P198" s="183"/>
      <c r="Q198" s="184"/>
      <c r="R198" s="183"/>
      <c r="S198" s="183"/>
      <c r="T198" s="96">
        <f>IFERROR(T148/N148-1,"")</f>
        <v>4.8427831796943988E-2</v>
      </c>
      <c r="U198" s="197"/>
      <c r="V198" s="197"/>
      <c r="W198" s="198"/>
      <c r="X198" s="197"/>
      <c r="Y198" s="197"/>
      <c r="Z198" s="96">
        <f>IFERROR(Z148/T148-1,"")</f>
        <v>5.3236976814212689E-2</v>
      </c>
      <c r="AA198" s="197"/>
      <c r="AB198" s="197"/>
      <c r="AC198" s="198"/>
      <c r="AD198" s="197"/>
      <c r="AE198" s="197"/>
      <c r="AF198" s="96">
        <f>IFERROR(AF148/Z148-1,"")</f>
        <v>0.35822517010692434</v>
      </c>
      <c r="AG198" s="197"/>
      <c r="AH198" s="197"/>
      <c r="AI198" s="198"/>
      <c r="AJ198" s="197"/>
      <c r="AK198" s="197"/>
      <c r="AL198" s="96">
        <f>IFERROR(AL148/AF148-1,"")</f>
        <v>0.20122926664982743</v>
      </c>
      <c r="AM198" s="197"/>
      <c r="AN198" s="197"/>
      <c r="AO198" s="198"/>
      <c r="AP198" s="197"/>
      <c r="AQ198" s="197"/>
      <c r="AR198" s="96">
        <f>IFERROR(AR148/AL148-1,"")</f>
        <v>0.31825191000210284</v>
      </c>
      <c r="AS198" s="197"/>
      <c r="AT198" s="197"/>
      <c r="AU198" s="198"/>
      <c r="AV198" s="197"/>
      <c r="AW198" s="197"/>
      <c r="AX198" s="96">
        <f>IFERROR(AX148/AR148-1,"")</f>
        <v>0.38638840887943648</v>
      </c>
      <c r="AY198" s="197"/>
      <c r="AZ198" s="197"/>
      <c r="BA198" s="198"/>
      <c r="BB198" s="197"/>
      <c r="BC198" s="197"/>
      <c r="BD198" s="96">
        <f>IFERROR(BD148/AX148-1,"")</f>
        <v>-0.15975378243111082</v>
      </c>
      <c r="BE198" s="197"/>
      <c r="BF198" s="197"/>
      <c r="BG198" s="198"/>
      <c r="BH198" s="197"/>
      <c r="BI198" s="197"/>
      <c r="BJ198" s="96">
        <f>IFERROR(BJ148/BD148-1,"")</f>
        <v>-1.9261490711579676E-2</v>
      </c>
      <c r="BK198" s="197"/>
      <c r="BL198" s="197"/>
      <c r="BM198" s="198"/>
      <c r="BN198" s="197"/>
      <c r="BO198" s="197"/>
      <c r="BP198" s="96">
        <f>IFERROR(BP148/BJ148-1,"")</f>
        <v>0.5558011821101132</v>
      </c>
      <c r="BQ198" s="375">
        <f>IFERROR(BQ148/BP148-1,"")</f>
        <v>0.1153667736579953</v>
      </c>
      <c r="BR198" s="375">
        <f>IFERROR(BR148/BQ148-1,"")</f>
        <v>7.3746077729414994E-2</v>
      </c>
      <c r="BS198" s="375">
        <f>IFERROR(BS148/BR148-1,"")</f>
        <v>6.5174478251014634E-2</v>
      </c>
      <c r="BT198" s="375">
        <f>IFERROR(BT148/BS148-1,"")</f>
        <v>4.2073371509119051E-2</v>
      </c>
      <c r="BU198" s="375">
        <f>IFERROR(BU148/BT148-1,"")</f>
        <v>4.1475432294825199E-2</v>
      </c>
      <c r="BV198" s="365"/>
      <c r="BW198" s="305"/>
      <c r="BX198" s="451"/>
      <c r="BY198" s="459"/>
      <c r="BZ198" s="459"/>
    </row>
    <row r="199" spans="2:78" x14ac:dyDescent="0.25">
      <c r="B199" s="12" t="s">
        <v>177</v>
      </c>
      <c r="C199" s="1"/>
      <c r="D199" s="1"/>
      <c r="E199" s="1"/>
      <c r="F199" s="1"/>
      <c r="G199" s="1"/>
      <c r="H199" s="70" t="str">
        <f>""</f>
        <v/>
      </c>
      <c r="I199" s="24"/>
      <c r="J199" s="24"/>
      <c r="K199" s="41"/>
      <c r="L199" s="24"/>
      <c r="M199" s="24"/>
      <c r="N199" s="93">
        <f>IFERROR(N151/H151-1,"")</f>
        <v>0.18881118881118875</v>
      </c>
      <c r="O199" s="183"/>
      <c r="P199" s="183"/>
      <c r="Q199" s="184"/>
      <c r="R199" s="183"/>
      <c r="S199" s="183"/>
      <c r="T199" s="96">
        <f>IFERROR(T151/N151-1,"")</f>
        <v>0.33270588235294118</v>
      </c>
      <c r="U199" s="197"/>
      <c r="V199" s="197"/>
      <c r="W199" s="198"/>
      <c r="X199" s="197"/>
      <c r="Y199" s="197"/>
      <c r="Z199" s="96">
        <f>IFERROR(Z151/T151-1,"")</f>
        <v>9.6751412429378458E-2</v>
      </c>
      <c r="AA199" s="197"/>
      <c r="AB199" s="197"/>
      <c r="AC199" s="198"/>
      <c r="AD199" s="197"/>
      <c r="AE199" s="197"/>
      <c r="AF199" s="96">
        <f>IFERROR(AF151/Z151-1,"")</f>
        <v>0.65679330328396657</v>
      </c>
      <c r="AG199" s="197"/>
      <c r="AH199" s="197"/>
      <c r="AI199" s="198"/>
      <c r="AJ199" s="197"/>
      <c r="AK199" s="197"/>
      <c r="AL199" s="96">
        <f>IFERROR(AL151/AF151-1,"")</f>
        <v>0.31743101438010113</v>
      </c>
      <c r="AM199" s="197"/>
      <c r="AN199" s="197"/>
      <c r="AO199" s="198"/>
      <c r="AP199" s="197"/>
      <c r="AQ199" s="197"/>
      <c r="AR199" s="96">
        <f>IFERROR(AR151/AL151-1,"")</f>
        <v>0.50578951250092197</v>
      </c>
      <c r="AS199" s="197"/>
      <c r="AT199" s="197"/>
      <c r="AU199" s="198"/>
      <c r="AV199" s="197"/>
      <c r="AW199" s="197"/>
      <c r="AX199" s="96">
        <f>IFERROR(AX151/AR151-1,"")</f>
        <v>0.48283293333986377</v>
      </c>
      <c r="AY199" s="197"/>
      <c r="AZ199" s="197"/>
      <c r="BA199" s="198"/>
      <c r="BB199" s="197"/>
      <c r="BC199" s="197"/>
      <c r="BD199" s="96">
        <f>IFERROR(BD151/AX151-1,"")</f>
        <v>-0.24039636663914121</v>
      </c>
      <c r="BE199" s="197"/>
      <c r="BF199" s="197"/>
      <c r="BG199" s="198"/>
      <c r="BH199" s="197"/>
      <c r="BI199" s="197"/>
      <c r="BJ199" s="96">
        <f>IFERROR(BJ151/BD151-1,"")</f>
        <v>-5.070226551289303E-2</v>
      </c>
      <c r="BK199" s="197"/>
      <c r="BL199" s="197"/>
      <c r="BM199" s="198"/>
      <c r="BN199" s="197"/>
      <c r="BO199" s="197"/>
      <c r="BP199" s="96">
        <f>IFERROR(BP151/BJ151-1,"")</f>
        <v>0.29375658467317112</v>
      </c>
      <c r="BQ199" s="375">
        <f>IFERROR(BQ151/BP151-1,"")</f>
        <v>0.18372708964735729</v>
      </c>
      <c r="BR199" s="375">
        <f>IFERROR(BR151/BQ151-1,"")</f>
        <v>0.13794951939280509</v>
      </c>
      <c r="BS199" s="375">
        <f>IFERROR(BS151/BR151-1,"")</f>
        <v>0.12229018560300497</v>
      </c>
      <c r="BT199" s="375">
        <f>IFERROR(BT151/BS151-1,"")</f>
        <v>7.1280468115716866E-2</v>
      </c>
      <c r="BU199" s="375">
        <f>IFERROR(BU151/BT151-1,"")</f>
        <v>6.3327940587852183E-2</v>
      </c>
      <c r="BV199" s="365"/>
      <c r="BW199" s="305"/>
      <c r="BX199" s="451"/>
      <c r="BY199" s="459"/>
      <c r="BZ199" s="459"/>
    </row>
    <row r="200" spans="2:78" x14ac:dyDescent="0.25">
      <c r="B200" s="12" t="s">
        <v>178</v>
      </c>
      <c r="C200" s="1"/>
      <c r="D200" s="1"/>
      <c r="E200" s="1"/>
      <c r="F200" s="1"/>
      <c r="G200" s="1"/>
      <c r="H200" s="70" t="str">
        <f>""</f>
        <v/>
      </c>
      <c r="I200" s="24"/>
      <c r="J200" s="24"/>
      <c r="K200" s="41"/>
      <c r="L200" s="24"/>
      <c r="M200" s="24"/>
      <c r="N200" s="93">
        <f>IFERROR(N153/H153-1,"")</f>
        <v>0.13934426229508201</v>
      </c>
      <c r="O200" s="183"/>
      <c r="P200" s="183"/>
      <c r="Q200" s="184"/>
      <c r="R200" s="183"/>
      <c r="S200" s="183"/>
      <c r="T200" s="96">
        <f>IFERROR(T153/N153-1,"")</f>
        <v>0.40374100719424466</v>
      </c>
      <c r="U200" s="197"/>
      <c r="V200" s="197"/>
      <c r="W200" s="198"/>
      <c r="X200" s="197"/>
      <c r="Y200" s="197"/>
      <c r="Z200" s="96">
        <f>IFERROR(Z153/T153-1,"")</f>
        <v>0.11726117261172608</v>
      </c>
      <c r="AA200" s="197"/>
      <c r="AB200" s="197"/>
      <c r="AC200" s="198"/>
      <c r="AD200" s="197"/>
      <c r="AE200" s="197"/>
      <c r="AF200" s="96">
        <f>IFERROR(AF153/Z153-1,"")</f>
        <v>0.2209174311926605</v>
      </c>
      <c r="AG200" s="197"/>
      <c r="AH200" s="197"/>
      <c r="AI200" s="198"/>
      <c r="AJ200" s="197"/>
      <c r="AK200" s="197"/>
      <c r="AL200" s="96">
        <f>IFERROR(AL153/AF153-1,"")</f>
        <v>0.43071836489329729</v>
      </c>
      <c r="AM200" s="197"/>
      <c r="AN200" s="197"/>
      <c r="AO200" s="198"/>
      <c r="AP200" s="197"/>
      <c r="AQ200" s="197"/>
      <c r="AR200" s="96">
        <f>IFERROR(AR153/AL153-1,"")</f>
        <v>0.70409663865546213</v>
      </c>
      <c r="AS200" s="197"/>
      <c r="AT200" s="197"/>
      <c r="AU200" s="198"/>
      <c r="AV200" s="197"/>
      <c r="AW200" s="197"/>
      <c r="AX200" s="96">
        <f>IFERROR(AX153/AR153-1,"")</f>
        <v>0.55359674536152381</v>
      </c>
      <c r="AY200" s="197"/>
      <c r="AZ200" s="197"/>
      <c r="BA200" s="198"/>
      <c r="BB200" s="197"/>
      <c r="BC200" s="197"/>
      <c r="BD200" s="96">
        <f>IFERROR(BD153/AX153-1,"")</f>
        <v>-0.29681796540231709</v>
      </c>
      <c r="BE200" s="197"/>
      <c r="BF200" s="197"/>
      <c r="BG200" s="198"/>
      <c r="BH200" s="197"/>
      <c r="BI200" s="197"/>
      <c r="BJ200" s="96">
        <f>IFERROR(BJ153/BD153-1,"")</f>
        <v>-9.1801613722281794E-2</v>
      </c>
      <c r="BK200" s="197"/>
      <c r="BL200" s="197"/>
      <c r="BM200" s="198"/>
      <c r="BN200" s="197"/>
      <c r="BO200" s="197"/>
      <c r="BP200" s="96">
        <f>IFERROR(BP153/BJ153-1,"")</f>
        <v>0.218377236580517</v>
      </c>
      <c r="BQ200" s="375">
        <f>IFERROR(BQ153/BP153-1,"")</f>
        <v>0.23148403107099536</v>
      </c>
      <c r="BR200" s="375">
        <f>IFERROR(BR153/BQ153-1,"")</f>
        <v>0.17878992300270968</v>
      </c>
      <c r="BS200" s="375">
        <f>IFERROR(BS153/BR153-1,"")</f>
        <v>0.15487637145494526</v>
      </c>
      <c r="BT200" s="375">
        <f>IFERROR(BT153/BS153-1,"")</f>
        <v>8.1881451698228469E-2</v>
      </c>
      <c r="BU200" s="375">
        <f>IFERROR(BU153/BT153-1,"")</f>
        <v>7.3844116084800904E-2</v>
      </c>
      <c r="BV200" s="365"/>
      <c r="BW200" s="305"/>
      <c r="BX200" s="451"/>
      <c r="BY200" s="459"/>
      <c r="BZ200" s="459"/>
    </row>
    <row r="201" spans="2:78" x14ac:dyDescent="0.25">
      <c r="B201" s="12" t="s">
        <v>179</v>
      </c>
      <c r="C201" s="1"/>
      <c r="D201" s="1"/>
      <c r="E201" s="1"/>
      <c r="F201" s="1"/>
      <c r="G201" s="1"/>
      <c r="H201" s="70">
        <f>IFERROR(H148/H146,"")</f>
        <v>0.22019304487998584</v>
      </c>
      <c r="I201" s="24"/>
      <c r="J201" s="24"/>
      <c r="K201" s="41"/>
      <c r="L201" s="24"/>
      <c r="M201" s="24"/>
      <c r="N201" s="70">
        <f>IFERROR(N148/N146,"")</f>
        <v>0.23378156966360134</v>
      </c>
      <c r="O201" s="183"/>
      <c r="P201" s="183"/>
      <c r="Q201" s="184"/>
      <c r="R201" s="183"/>
      <c r="S201" s="183"/>
      <c r="T201" s="78">
        <f>IFERROR(T148/T146,"")</f>
        <v>0.22169263427724598</v>
      </c>
      <c r="U201" s="197"/>
      <c r="V201" s="197"/>
      <c r="W201" s="198"/>
      <c r="X201" s="197"/>
      <c r="Y201" s="197"/>
      <c r="Z201" s="78">
        <f>IFERROR(Z148/Z146,"")</f>
        <v>0.22123132581938698</v>
      </c>
      <c r="AA201" s="197"/>
      <c r="AB201" s="197"/>
      <c r="AC201" s="198"/>
      <c r="AD201" s="197"/>
      <c r="AE201" s="197"/>
      <c r="AF201" s="78">
        <f>IFERROR(AF148/AF146,"")</f>
        <v>0.25083156460861028</v>
      </c>
      <c r="AG201" s="197"/>
      <c r="AH201" s="197"/>
      <c r="AI201" s="198"/>
      <c r="AJ201" s="197"/>
      <c r="AK201" s="197"/>
      <c r="AL201" s="78">
        <f>IFERROR(AL148/AL146,"")</f>
        <v>0.24612703998895905</v>
      </c>
      <c r="AM201" s="197"/>
      <c r="AN201" s="197"/>
      <c r="AO201" s="198"/>
      <c r="AP201" s="197"/>
      <c r="AQ201" s="197"/>
      <c r="AR201" s="78">
        <f>IFERROR(AR148/AR146,"")</f>
        <v>0.20632891950895746</v>
      </c>
      <c r="AS201" s="197"/>
      <c r="AT201" s="197"/>
      <c r="AU201" s="198"/>
      <c r="AV201" s="197"/>
      <c r="AW201" s="197"/>
      <c r="AX201" s="78">
        <f>IFERROR(AX148/AX146,"")</f>
        <v>0.22128445038508052</v>
      </c>
      <c r="AY201" s="197"/>
      <c r="AZ201" s="197"/>
      <c r="BA201" s="198"/>
      <c r="BB201" s="197"/>
      <c r="BC201" s="197"/>
      <c r="BD201" s="78">
        <f>IFERROR(BD148/BD146,"")</f>
        <v>0.29059919753291108</v>
      </c>
      <c r="BE201" s="197"/>
      <c r="BF201" s="197"/>
      <c r="BG201" s="198"/>
      <c r="BH201" s="197"/>
      <c r="BI201" s="197"/>
      <c r="BJ201" s="78">
        <f>IFERROR(BJ148/BJ146,"")</f>
        <v>0.25716611013368762</v>
      </c>
      <c r="BK201" s="197"/>
      <c r="BL201" s="197"/>
      <c r="BM201" s="198"/>
      <c r="BN201" s="197"/>
      <c r="BO201" s="197"/>
      <c r="BP201" s="78">
        <f t="shared" ref="BP201:BU201" si="184">IFERROR(BP148/BP146,"")</f>
        <v>0.27032195721522978</v>
      </c>
      <c r="BQ201" s="375">
        <f t="shared" si="184"/>
        <v>0.27382874222015557</v>
      </c>
      <c r="BR201" s="375">
        <f t="shared" si="184"/>
        <v>0.27789734674998412</v>
      </c>
      <c r="BS201" s="375">
        <f t="shared" si="184"/>
        <v>0.28176406839159329</v>
      </c>
      <c r="BT201" s="375">
        <f t="shared" si="184"/>
        <v>0.2822730637465457</v>
      </c>
      <c r="BU201" s="375">
        <f t="shared" si="184"/>
        <v>0.28262233274021742</v>
      </c>
      <c r="BV201" s="365"/>
      <c r="BW201" s="305"/>
      <c r="BX201" s="450">
        <f>IFERROR(AVERAGE(BQ201,BR201,BS201,BT201,BU201),"n/m")</f>
        <v>0.27967711076969926</v>
      </c>
      <c r="BY201" s="459">
        <f>IFERROR(AVERAGE(AR201,AX201,BD201,BJ201,BP201),"n/m")</f>
        <v>0.24914012695517326</v>
      </c>
      <c r="BZ201" s="459">
        <f>IFERROR(AVERAGE(N201,T201,Z201,AF201,AL201,AR201,AX201,BD201,BJ201,BP201),"n/m")</f>
        <v>0.24193647691336703</v>
      </c>
    </row>
    <row r="202" spans="2:78" x14ac:dyDescent="0.25">
      <c r="B202" s="12" t="s">
        <v>180</v>
      </c>
      <c r="C202" s="1"/>
      <c r="D202" s="1"/>
      <c r="E202" s="1"/>
      <c r="F202" s="1"/>
      <c r="G202" s="1"/>
      <c r="H202" s="70">
        <f>IFERROR(H151/H146,"")</f>
        <v>7.0278558650651676E-2</v>
      </c>
      <c r="I202" s="24"/>
      <c r="J202" s="24"/>
      <c r="K202" s="41"/>
      <c r="L202" s="24"/>
      <c r="M202" s="24"/>
      <c r="N202" s="70">
        <f>IFERROR(N151/N146,"")</f>
        <v>6.2733405169232592E-2</v>
      </c>
      <c r="O202" s="24"/>
      <c r="P202" s="24"/>
      <c r="Q202" s="41"/>
      <c r="R202" s="24"/>
      <c r="S202" s="24"/>
      <c r="T202" s="78">
        <f>IFERROR(T151/T146,"")</f>
        <v>7.5619818159971167E-2</v>
      </c>
      <c r="U202" s="32"/>
      <c r="V202" s="32"/>
      <c r="W202" s="49"/>
      <c r="X202" s="32"/>
      <c r="Y202" s="32"/>
      <c r="Z202" s="78">
        <f>IFERROR(Z151/Z146,"")</f>
        <v>7.858019303505244E-2</v>
      </c>
      <c r="AA202" s="32"/>
      <c r="AB202" s="32"/>
      <c r="AC202" s="49"/>
      <c r="AD202" s="32"/>
      <c r="AE202" s="32"/>
      <c r="AF202" s="78">
        <f>IFERROR(AF151/AF146,"")</f>
        <v>0.10867889462624471</v>
      </c>
      <c r="AG202" s="32"/>
      <c r="AH202" s="32"/>
      <c r="AI202" s="49"/>
      <c r="AJ202" s="32"/>
      <c r="AK202" s="32"/>
      <c r="AL202" s="78">
        <f>IFERROR(AL151/AL146,"")</f>
        <v>0.1169564917365352</v>
      </c>
      <c r="AM202" s="32"/>
      <c r="AN202" s="32"/>
      <c r="AO202" s="49"/>
      <c r="AP202" s="32"/>
      <c r="AQ202" s="32"/>
      <c r="AR202" s="78">
        <f>IFERROR(AR151/AR146,"")</f>
        <v>0.11199302272004212</v>
      </c>
      <c r="AS202" s="32"/>
      <c r="AT202" s="32"/>
      <c r="AU202" s="49"/>
      <c r="AV202" s="32"/>
      <c r="AW202" s="32"/>
      <c r="AX202" s="78">
        <f>IFERROR(AX151/AX146,"")</f>
        <v>0.12846625506545309</v>
      </c>
      <c r="AY202" s="32"/>
      <c r="AZ202" s="32"/>
      <c r="BA202" s="49"/>
      <c r="BB202" s="32"/>
      <c r="BC202" s="32"/>
      <c r="BD202" s="78">
        <f>IFERROR(BD151/BD146,"")</f>
        <v>0.15251517060715589</v>
      </c>
      <c r="BE202" s="32"/>
      <c r="BF202" s="32"/>
      <c r="BG202" s="49"/>
      <c r="BH202" s="32"/>
      <c r="BI202" s="32"/>
      <c r="BJ202" s="78">
        <f>IFERROR(BJ151/BJ146,"")</f>
        <v>0.13064162866683424</v>
      </c>
      <c r="BK202" s="32"/>
      <c r="BL202" s="32"/>
      <c r="BM202" s="49"/>
      <c r="BN202" s="32"/>
      <c r="BO202" s="32"/>
      <c r="BP202" s="78">
        <f t="shared" ref="BP202:BU202" si="185">IFERROR(BP151/BP146,"")</f>
        <v>0.1141951473935738</v>
      </c>
      <c r="BQ202" s="375">
        <f t="shared" si="185"/>
        <v>0.12276632103941401</v>
      </c>
      <c r="BR202" s="375">
        <f t="shared" si="185"/>
        <v>0.13204015228460933</v>
      </c>
      <c r="BS202" s="375">
        <f t="shared" si="185"/>
        <v>0.14105602416629184</v>
      </c>
      <c r="BT202" s="375">
        <f t="shared" si="185"/>
        <v>0.14527147784318004</v>
      </c>
      <c r="BU202" s="375">
        <f t="shared" si="185"/>
        <v>0.14850312418844547</v>
      </c>
      <c r="BV202" s="365"/>
      <c r="BW202" s="305"/>
      <c r="BX202" s="451"/>
      <c r="BY202" s="459"/>
      <c r="BZ202" s="459"/>
    </row>
    <row r="203" spans="2:78" x14ac:dyDescent="0.25">
      <c r="B203" s="12" t="s">
        <v>181</v>
      </c>
      <c r="C203" s="1"/>
      <c r="D203" s="1"/>
      <c r="E203" s="1"/>
      <c r="F203" s="1"/>
      <c r="G203" s="1"/>
      <c r="H203" s="70">
        <f>IFERROR(H153/H146,"")</f>
        <v>5.9957931156500027E-2</v>
      </c>
      <c r="I203" s="24"/>
      <c r="J203" s="24"/>
      <c r="K203" s="41"/>
      <c r="L203" s="24"/>
      <c r="M203" s="24"/>
      <c r="N203" s="70">
        <f>IFERROR(N153/N146,"")</f>
        <v>5.1293784226607818E-2</v>
      </c>
      <c r="O203" s="24"/>
      <c r="P203" s="24"/>
      <c r="Q203" s="41"/>
      <c r="R203" s="24"/>
      <c r="S203" s="24"/>
      <c r="T203" s="78">
        <f>IFERROR(T153/T146,"")</f>
        <v>6.5125966275483643E-2</v>
      </c>
      <c r="U203" s="32"/>
      <c r="V203" s="32"/>
      <c r="W203" s="49"/>
      <c r="X203" s="32"/>
      <c r="Y203" s="32"/>
      <c r="Z203" s="78">
        <f>IFERROR(Z153/Z146,"")</f>
        <v>6.8941090154706341E-2</v>
      </c>
      <c r="AA203" s="32"/>
      <c r="AB203" s="32"/>
      <c r="AC203" s="49"/>
      <c r="AD203" s="32"/>
      <c r="AE203" s="32"/>
      <c r="AF203" s="78">
        <f>IFERROR(AF153/AF146,"")</f>
        <v>7.0263249596097185E-2</v>
      </c>
      <c r="AG203" s="32"/>
      <c r="AH203" s="32"/>
      <c r="AI203" s="49"/>
      <c r="AJ203" s="32"/>
      <c r="AK203" s="32"/>
      <c r="AL203" s="78">
        <f>IFERROR(AL153/AL146,"")</f>
        <v>8.2117103129420693E-2</v>
      </c>
      <c r="AM203" s="32"/>
      <c r="AN203" s="32"/>
      <c r="AO203" s="49"/>
      <c r="AP203" s="32"/>
      <c r="AQ203" s="32"/>
      <c r="AR203" s="78">
        <f>IFERROR(AR153/AR146,"")</f>
        <v>8.8987745877809832E-2</v>
      </c>
      <c r="AS203" s="32"/>
      <c r="AT203" s="32"/>
      <c r="AU203" s="49"/>
      <c r="AV203" s="32"/>
      <c r="AW203" s="32"/>
      <c r="AX203" s="78">
        <f>IFERROR(AX153/AX146,"")</f>
        <v>0.1069484225489572</v>
      </c>
      <c r="AY203" s="32"/>
      <c r="AZ203" s="32"/>
      <c r="BA203" s="49"/>
      <c r="BB203" s="32"/>
      <c r="BC203" s="32"/>
      <c r="BD203" s="78">
        <f>IFERROR(BD153/BD146,"")</f>
        <v>0.117538216666114</v>
      </c>
      <c r="BE203" s="32"/>
      <c r="BF203" s="32"/>
      <c r="BG203" s="49"/>
      <c r="BH203" s="32"/>
      <c r="BI203" s="32"/>
      <c r="BJ203" s="78">
        <f>IFERROR(BJ153/BJ146,"")</f>
        <v>9.632209495769152E-2</v>
      </c>
      <c r="BK203" s="32"/>
      <c r="BL203" s="32"/>
      <c r="BM203" s="49"/>
      <c r="BN203" s="32"/>
      <c r="BO203" s="32"/>
      <c r="BP203" s="78">
        <f t="shared" ref="BP203:BU203" si="186">IFERROR(BP153/BP146,"")</f>
        <v>7.9290505436035108E-2</v>
      </c>
      <c r="BQ203" s="375">
        <f t="shared" si="186"/>
        <v>8.8680876385453924E-2</v>
      </c>
      <c r="BR203" s="375">
        <f t="shared" si="186"/>
        <v>9.8803008605759274E-2</v>
      </c>
      <c r="BS203" s="375">
        <f t="shared" si="186"/>
        <v>0.10861407855364473</v>
      </c>
      <c r="BT203" s="375">
        <f t="shared" si="186"/>
        <v>0.11296692999934904</v>
      </c>
      <c r="BU203" s="375">
        <f t="shared" si="186"/>
        <v>0.11662202504257554</v>
      </c>
      <c r="BV203" s="400" t="s">
        <v>339</v>
      </c>
      <c r="BW203" s="289"/>
      <c r="BX203" s="450">
        <f>IFERROR(AVERAGE(BQ203,BR203,BS203,BT203,BU203),"n/m")</f>
        <v>0.10513738371735651</v>
      </c>
      <c r="BY203" s="459">
        <f>IFERROR(AVERAGE(AR203,AX203,BD203,BJ203,BP203),"n/m")</f>
        <v>9.781739709732154E-2</v>
      </c>
      <c r="BZ203" s="459">
        <f>IFERROR(AVERAGE(N203,T203,Z203,AF203,AL203,AR203,AX203,BD203,BJ203,BP203),"n/m")</f>
        <v>8.2682817886892329E-2</v>
      </c>
    </row>
    <row r="204" spans="2:78" x14ac:dyDescent="0.25">
      <c r="B204" s="262" t="s">
        <v>182</v>
      </c>
      <c r="C204" s="1"/>
      <c r="D204" s="1"/>
      <c r="E204" s="1"/>
      <c r="F204" s="1"/>
      <c r="G204" s="1"/>
      <c r="H204" s="269" t="str">
        <f>""</f>
        <v/>
      </c>
      <c r="I204" s="266"/>
      <c r="J204" s="266"/>
      <c r="K204" s="266"/>
      <c r="L204" s="266"/>
      <c r="M204" s="266"/>
      <c r="N204" s="269">
        <f>IFERROR((N153-H153)/(N146-H146),"")</f>
        <v>2.5180708614764784E-2</v>
      </c>
      <c r="O204" s="266"/>
      <c r="P204" s="266"/>
      <c r="Q204" s="266"/>
      <c r="R204" s="266"/>
      <c r="S204" s="266"/>
      <c r="T204" s="278">
        <f>IFERROR((T153-N153)/(T146-N146),"")</f>
        <v>0.19611406206318144</v>
      </c>
      <c r="U204" s="279"/>
      <c r="V204" s="279"/>
      <c r="W204" s="279"/>
      <c r="X204" s="279"/>
      <c r="Y204" s="279"/>
      <c r="Z204" s="278">
        <f>IFERROR((Z153-T153)/(Z146-T146),"")</f>
        <v>0.13776493256262043</v>
      </c>
      <c r="AA204" s="279"/>
      <c r="AB204" s="279"/>
      <c r="AC204" s="279"/>
      <c r="AD204" s="279"/>
      <c r="AE204" s="279"/>
      <c r="AF204" s="278">
        <f>IFERROR((AF153-Z153)/(AF146-Z146),"")</f>
        <v>7.6942740286298564E-2</v>
      </c>
      <c r="AG204" s="279"/>
      <c r="AH204" s="279"/>
      <c r="AI204" s="279"/>
      <c r="AJ204" s="279"/>
      <c r="AK204" s="279"/>
      <c r="AL204" s="278">
        <f>IFERROR((AL153-AF153)/(AL146-AF146),"")</f>
        <v>0.1349912863265979</v>
      </c>
      <c r="AM204" s="279"/>
      <c r="AN204" s="279"/>
      <c r="AO204" s="279"/>
      <c r="AP204" s="279"/>
      <c r="AQ204" s="279"/>
      <c r="AR204" s="278">
        <f>IFERROR((AR153-AL153)/(AR146-AL146),"")</f>
        <v>0.10098833880736433</v>
      </c>
      <c r="AS204" s="279"/>
      <c r="AT204" s="279"/>
      <c r="AU204" s="279"/>
      <c r="AV204" s="279"/>
      <c r="AW204" s="279"/>
      <c r="AX204" s="278">
        <f>IFERROR((AX153-AR153)/(AX146-AR146),"")</f>
        <v>0.16831274948930827</v>
      </c>
      <c r="AY204" s="279"/>
      <c r="AZ204" s="279"/>
      <c r="BA204" s="279"/>
      <c r="BB204" s="279"/>
      <c r="BC204" s="279"/>
      <c r="BD204" s="278">
        <f>IFERROR((BD153-AX153)/(BD146-AX146),"")</f>
        <v>8.8136192271442038E-2</v>
      </c>
      <c r="BE204" s="279"/>
      <c r="BF204" s="279"/>
      <c r="BG204" s="279"/>
      <c r="BH204" s="279"/>
      <c r="BI204" s="279"/>
      <c r="BJ204" s="278">
        <f>IFERROR((BJ153-BD153)/(BJ146-BD146),"")</f>
        <v>-9.9687519147111089E-2</v>
      </c>
      <c r="BK204" s="279"/>
      <c r="BL204" s="279"/>
      <c r="BM204" s="279"/>
      <c r="BN204" s="279"/>
      <c r="BO204" s="279"/>
      <c r="BP204" s="278">
        <f>IFERROR((BP153-BJ153)/(BP146-BJ146),"")</f>
        <v>4.3814272358990339E-2</v>
      </c>
      <c r="BQ204" s="285">
        <f>IFERROR((BQ153-BP153)/(BQ146-BP146),"")</f>
        <v>0.18157865123896913</v>
      </c>
      <c r="BR204" s="285">
        <f>IFERROR((BR153-BQ153)/(BR146-BQ146),"")</f>
        <v>0.27324520010226444</v>
      </c>
      <c r="BS204" s="285">
        <f>IFERROR((BS153-BR153)/(BS146-BR146),"")</f>
        <v>0.30267437674915798</v>
      </c>
      <c r="BT204" s="285">
        <f>IFERROR((BT153-BS153)/(BT146-BS146),"")</f>
        <v>0.22126216468997484</v>
      </c>
      <c r="BU204" s="285">
        <f>IFERROR((BU153-BT153)/(BU146-BT146),"")</f>
        <v>0.20757111943869636</v>
      </c>
      <c r="BV204" s="365"/>
      <c r="BW204" s="305"/>
      <c r="BX204" s="450">
        <f>IFERROR(AVERAGE(BQ204,BR204,BS204,BT204,BU204),"n/m")</f>
        <v>0.23726630244381255</v>
      </c>
      <c r="BY204" s="265">
        <f t="shared" ref="BY204:BY205" si="187">IFERROR(AVERAGE(AR204,AX204,BD204,BJ204,BP204),"n/m")</f>
        <v>6.0312806755998774E-2</v>
      </c>
      <c r="BZ204" s="265">
        <f t="shared" ref="BZ204:BZ205" si="188">IFERROR(AVERAGE(N204,T204,Z204,AF204,AL204,AR204,AX204,BD204,BJ204,BP204),"n/m")</f>
        <v>8.7255776363345722E-2</v>
      </c>
    </row>
    <row r="205" spans="2:78" x14ac:dyDescent="0.25">
      <c r="B205" s="262" t="s">
        <v>183</v>
      </c>
      <c r="C205" s="16"/>
      <c r="D205" s="16"/>
      <c r="E205" s="16"/>
      <c r="F205" s="16"/>
      <c r="G205" s="16"/>
      <c r="H205" s="348">
        <f>IFERROR(H153/H148,"")</f>
        <v>0.27229711632889919</v>
      </c>
      <c r="I205" s="349"/>
      <c r="J205" s="349"/>
      <c r="K205" s="349"/>
      <c r="L205" s="349"/>
      <c r="M205" s="349"/>
      <c r="N205" s="348">
        <f>IFERROR(N153/N148,"")</f>
        <v>0.21940901628993559</v>
      </c>
      <c r="O205" s="349"/>
      <c r="P205" s="349"/>
      <c r="Q205" s="349"/>
      <c r="R205" s="349"/>
      <c r="S205" s="349"/>
      <c r="T205" s="350">
        <f>IFERROR(T153/T148,"")</f>
        <v>0.29376693766937667</v>
      </c>
      <c r="U205" s="351"/>
      <c r="V205" s="351"/>
      <c r="W205" s="351"/>
      <c r="X205" s="351"/>
      <c r="Y205" s="351"/>
      <c r="Z205" s="350">
        <f>IFERROR(Z153/Z148,"")</f>
        <v>0.31162444965406827</v>
      </c>
      <c r="AA205" s="351"/>
      <c r="AB205" s="351"/>
      <c r="AC205" s="351"/>
      <c r="AD205" s="351"/>
      <c r="AE205" s="351"/>
      <c r="AF205" s="350">
        <f>IFERROR(AF153/AF148,"")</f>
        <v>0.28012124273806516</v>
      </c>
      <c r="AG205" s="351"/>
      <c r="AH205" s="351"/>
      <c r="AI205" s="351"/>
      <c r="AJ205" s="351"/>
      <c r="AK205" s="351"/>
      <c r="AL205" s="350">
        <f>IFERROR(AL153/AL148,"")</f>
        <v>0.33363706455456649</v>
      </c>
      <c r="AM205" s="351"/>
      <c r="AN205" s="351"/>
      <c r="AO205" s="351"/>
      <c r="AP205" s="351"/>
      <c r="AQ205" s="351"/>
      <c r="AR205" s="350">
        <f>IFERROR(AR153/AR148,"")</f>
        <v>0.4312907084939519</v>
      </c>
      <c r="AS205" s="351"/>
      <c r="AT205" s="351"/>
      <c r="AU205" s="351"/>
      <c r="AV205" s="351"/>
      <c r="AW205" s="351"/>
      <c r="AX205" s="350">
        <f>IFERROR(AX153/AX148,"")</f>
        <v>0.48330744597211833</v>
      </c>
      <c r="AY205" s="351"/>
      <c r="AZ205" s="351"/>
      <c r="BA205" s="351"/>
      <c r="BB205" s="351"/>
      <c r="BC205" s="351"/>
      <c r="BD205" s="350">
        <f>IFERROR(BD153/BD148,"")</f>
        <v>0.40446848327171481</v>
      </c>
      <c r="BE205" s="351"/>
      <c r="BF205" s="351"/>
      <c r="BG205" s="351"/>
      <c r="BH205" s="351"/>
      <c r="BI205" s="351"/>
      <c r="BJ205" s="350">
        <f>IFERROR(BJ153/BJ148,"")</f>
        <v>0.37455205473076741</v>
      </c>
      <c r="BK205" s="351"/>
      <c r="BL205" s="351"/>
      <c r="BM205" s="351"/>
      <c r="BN205" s="351"/>
      <c r="BO205" s="351"/>
      <c r="BP205" s="350">
        <f t="shared" ref="BP205:BU205" si="189">IFERROR(BP153/BP148,"")</f>
        <v>0.29331877533316381</v>
      </c>
      <c r="BQ205" s="285">
        <f t="shared" si="189"/>
        <v>0.32385525225162592</v>
      </c>
      <c r="BR205" s="285">
        <f t="shared" si="189"/>
        <v>0.35553779034331467</v>
      </c>
      <c r="BS205" s="285">
        <f t="shared" si="189"/>
        <v>0.38547881273027979</v>
      </c>
      <c r="BT205" s="285">
        <f t="shared" si="189"/>
        <v>0.40020442793926159</v>
      </c>
      <c r="BU205" s="285">
        <f t="shared" si="189"/>
        <v>0.41264263836422627</v>
      </c>
      <c r="BV205" s="400" t="s">
        <v>340</v>
      </c>
      <c r="BW205" s="289"/>
      <c r="BX205" s="450">
        <f>IFERROR(AVERAGE(BQ205,BR205,BS205,BT205,BU205),"n/m")</f>
        <v>0.37554378432574165</v>
      </c>
      <c r="BY205" s="265">
        <f t="shared" si="187"/>
        <v>0.39738749356034331</v>
      </c>
      <c r="BZ205" s="265">
        <f t="shared" si="188"/>
        <v>0.34254961787077287</v>
      </c>
    </row>
    <row r="206" spans="2:78" x14ac:dyDescent="0.25">
      <c r="C206" s="1"/>
      <c r="D206" s="1"/>
      <c r="E206" s="1"/>
      <c r="F206" s="1"/>
      <c r="G206" s="1"/>
      <c r="H206" s="64"/>
      <c r="I206" s="176"/>
      <c r="J206" s="176"/>
      <c r="K206" s="177"/>
      <c r="L206" s="176"/>
      <c r="M206" s="176"/>
      <c r="N206" s="64"/>
      <c r="O206" s="176"/>
      <c r="P206" s="176"/>
      <c r="Q206" s="177"/>
      <c r="R206" s="176"/>
      <c r="S206" s="176"/>
      <c r="T206" s="64"/>
      <c r="U206" s="176"/>
      <c r="V206" s="176"/>
      <c r="W206" s="177"/>
      <c r="X206" s="176"/>
      <c r="Y206" s="176"/>
      <c r="Z206" s="64"/>
      <c r="AA206" s="176"/>
      <c r="AB206" s="176"/>
      <c r="AC206" s="177"/>
      <c r="AD206" s="176"/>
      <c r="AE206" s="176"/>
      <c r="AF206" s="64"/>
      <c r="AG206" s="176"/>
      <c r="AH206" s="176"/>
      <c r="AI206" s="177"/>
      <c r="AJ206" s="176"/>
      <c r="AK206" s="176"/>
      <c r="AL206" s="64"/>
      <c r="AM206" s="176"/>
      <c r="AN206" s="176"/>
      <c r="AO206" s="177"/>
      <c r="AP206" s="176"/>
      <c r="AQ206" s="176"/>
      <c r="AR206" s="64"/>
      <c r="AS206" s="176"/>
      <c r="AT206" s="176"/>
      <c r="AU206" s="177"/>
      <c r="AV206" s="176"/>
      <c r="AW206" s="176"/>
      <c r="AX206" s="64"/>
      <c r="AY206" s="176"/>
      <c r="AZ206" s="176"/>
      <c r="BA206" s="177"/>
      <c r="BB206" s="176"/>
      <c r="BC206" s="176"/>
      <c r="BD206" s="64"/>
      <c r="BE206" s="176"/>
      <c r="BF206" s="176"/>
      <c r="BG206" s="177"/>
      <c r="BH206" s="176"/>
      <c r="BI206" s="176"/>
      <c r="BJ206" s="64"/>
      <c r="BK206" s="176"/>
      <c r="BL206" s="176"/>
      <c r="BM206" s="177"/>
      <c r="BN206" s="176"/>
      <c r="BO206" s="176"/>
      <c r="BP206" s="91"/>
      <c r="BQ206" s="366"/>
      <c r="BR206" s="366"/>
      <c r="BS206" s="366"/>
      <c r="BT206" s="366"/>
      <c r="BU206" s="366"/>
      <c r="BV206" s="365"/>
      <c r="BW206" s="305"/>
      <c r="BX206" s="451"/>
      <c r="BY206" s="459"/>
      <c r="BZ206" s="459"/>
    </row>
    <row r="207" spans="2:78" x14ac:dyDescent="0.25">
      <c r="B207" s="57" t="s">
        <v>220</v>
      </c>
      <c r="C207" s="58"/>
      <c r="D207" s="58"/>
      <c r="E207" s="58"/>
      <c r="F207" s="58"/>
      <c r="G207" s="58"/>
      <c r="H207" s="66"/>
      <c r="I207" s="58"/>
      <c r="J207" s="58"/>
      <c r="K207" s="58"/>
      <c r="L207" s="58"/>
      <c r="M207" s="58"/>
      <c r="N207" s="66"/>
      <c r="O207" s="58"/>
      <c r="P207" s="58"/>
      <c r="Q207" s="58"/>
      <c r="R207" s="58"/>
      <c r="S207" s="58"/>
      <c r="T207" s="66"/>
      <c r="U207" s="58"/>
      <c r="V207" s="58"/>
      <c r="W207" s="58"/>
      <c r="X207" s="58"/>
      <c r="Y207" s="58"/>
      <c r="Z207" s="66"/>
      <c r="AA207" s="58"/>
      <c r="AB207" s="58"/>
      <c r="AC207" s="58"/>
      <c r="AD207" s="58"/>
      <c r="AE207" s="58"/>
      <c r="AF207" s="66"/>
      <c r="AG207" s="58"/>
      <c r="AH207" s="58"/>
      <c r="AI207" s="58"/>
      <c r="AJ207" s="58"/>
      <c r="AK207" s="58"/>
      <c r="AL207" s="66"/>
      <c r="AM207" s="58"/>
      <c r="AN207" s="58"/>
      <c r="AO207" s="58"/>
      <c r="AP207" s="58"/>
      <c r="AQ207" s="58"/>
      <c r="AR207" s="66"/>
      <c r="AS207" s="58"/>
      <c r="AT207" s="58"/>
      <c r="AU207" s="58"/>
      <c r="AV207" s="58"/>
      <c r="AW207" s="58"/>
      <c r="AX207" s="66"/>
      <c r="AY207" s="58"/>
      <c r="AZ207" s="58"/>
      <c r="BA207" s="58"/>
      <c r="BB207" s="58"/>
      <c r="BC207" s="58"/>
      <c r="BD207" s="66"/>
      <c r="BE207" s="58"/>
      <c r="BF207" s="58"/>
      <c r="BG207" s="58"/>
      <c r="BH207" s="58"/>
      <c r="BI207" s="58"/>
      <c r="BJ207" s="66"/>
      <c r="BK207" s="58"/>
      <c r="BL207" s="58"/>
      <c r="BM207" s="58"/>
      <c r="BN207" s="58"/>
      <c r="BO207" s="58"/>
      <c r="BP207" s="106"/>
      <c r="BQ207" s="58"/>
      <c r="BR207" s="58"/>
      <c r="BS207" s="58"/>
      <c r="BT207" s="58"/>
      <c r="BU207" s="58"/>
      <c r="BV207" s="57" t="s">
        <v>359</v>
      </c>
      <c r="BW207" s="305"/>
      <c r="BX207" s="455"/>
      <c r="BY207" s="60"/>
      <c r="BZ207" s="60"/>
    </row>
    <row r="208" spans="2:78" x14ac:dyDescent="0.25">
      <c r="C208" s="1"/>
      <c r="D208" s="1"/>
      <c r="E208" s="1"/>
      <c r="F208" s="1"/>
      <c r="G208" s="1"/>
      <c r="H208" s="64"/>
      <c r="I208" s="176"/>
      <c r="J208" s="176"/>
      <c r="K208" s="177"/>
      <c r="L208" s="176"/>
      <c r="M208" s="176"/>
      <c r="N208" s="64"/>
      <c r="O208" s="176"/>
      <c r="P208" s="176"/>
      <c r="Q208" s="177"/>
      <c r="R208" s="176"/>
      <c r="S208" s="176"/>
      <c r="T208" s="64"/>
      <c r="U208" s="176"/>
      <c r="V208" s="176"/>
      <c r="W208" s="177"/>
      <c r="X208" s="176"/>
      <c r="Y208" s="176"/>
      <c r="Z208" s="64"/>
      <c r="AA208" s="176"/>
      <c r="AB208" s="176"/>
      <c r="AC208" s="177"/>
      <c r="AD208" s="176"/>
      <c r="AE208" s="176"/>
      <c r="AF208" s="64"/>
      <c r="AG208" s="176"/>
      <c r="AH208" s="176"/>
      <c r="AI208" s="177"/>
      <c r="AJ208" s="176"/>
      <c r="AK208" s="176"/>
      <c r="AL208" s="64"/>
      <c r="AM208" s="176"/>
      <c r="AN208" s="176"/>
      <c r="AO208" s="177"/>
      <c r="AP208" s="176"/>
      <c r="AQ208" s="176"/>
      <c r="AR208" s="64"/>
      <c r="AS208" s="176"/>
      <c r="AT208" s="176"/>
      <c r="AU208" s="177"/>
      <c r="AV208" s="176"/>
      <c r="AW208" s="176"/>
      <c r="AX208" s="64"/>
      <c r="AY208" s="176"/>
      <c r="AZ208" s="176"/>
      <c r="BA208" s="177"/>
      <c r="BB208" s="176"/>
      <c r="BC208" s="176"/>
      <c r="BD208" s="64"/>
      <c r="BE208" s="176"/>
      <c r="BF208" s="176"/>
      <c r="BG208" s="177"/>
      <c r="BH208" s="176"/>
      <c r="BI208" s="176"/>
      <c r="BJ208" s="64"/>
      <c r="BK208" s="176"/>
      <c r="BL208" s="176"/>
      <c r="BM208" s="177"/>
      <c r="BN208" s="176"/>
      <c r="BO208" s="176"/>
      <c r="BP208" s="91"/>
      <c r="BQ208" s="366"/>
      <c r="BR208" s="366"/>
      <c r="BS208" s="366"/>
      <c r="BT208" s="366"/>
      <c r="BU208" s="366"/>
      <c r="BV208" s="365"/>
      <c r="BW208" s="305"/>
      <c r="BX208" s="451"/>
      <c r="BY208" s="459"/>
      <c r="BZ208" s="459"/>
    </row>
    <row r="209" spans="2:78" x14ac:dyDescent="0.25">
      <c r="B209" s="110" t="s">
        <v>8</v>
      </c>
      <c r="C209" s="123"/>
      <c r="D209" s="123"/>
      <c r="E209" s="123"/>
      <c r="F209" s="123"/>
      <c r="G209" s="123"/>
      <c r="H209" s="244">
        <f>H151</f>
        <v>3575</v>
      </c>
      <c r="I209" s="128"/>
      <c r="J209" s="128"/>
      <c r="K209" s="129"/>
      <c r="L209" s="128"/>
      <c r="M209" s="128"/>
      <c r="N209" s="244">
        <f>N151</f>
        <v>4250</v>
      </c>
      <c r="O209" s="125"/>
      <c r="P209" s="125"/>
      <c r="Q209" s="126"/>
      <c r="R209" s="125"/>
      <c r="S209" s="125"/>
      <c r="T209" s="244">
        <f>T151</f>
        <v>5664</v>
      </c>
      <c r="U209" s="128"/>
      <c r="V209" s="128"/>
      <c r="W209" s="129"/>
      <c r="X209" s="128"/>
      <c r="Y209" s="128"/>
      <c r="Z209" s="244">
        <f>Z151</f>
        <v>6212</v>
      </c>
      <c r="AA209" s="128"/>
      <c r="AB209" s="128"/>
      <c r="AC209" s="129"/>
      <c r="AD209" s="128"/>
      <c r="AE209" s="128"/>
      <c r="AF209" s="244">
        <f>AF151</f>
        <v>10292</v>
      </c>
      <c r="AG209" s="128"/>
      <c r="AH209" s="128"/>
      <c r="AI209" s="129"/>
      <c r="AJ209" s="128"/>
      <c r="AK209" s="128"/>
      <c r="AL209" s="244">
        <f>AL151</f>
        <v>13559</v>
      </c>
      <c r="AM209" s="128"/>
      <c r="AN209" s="128"/>
      <c r="AO209" s="129"/>
      <c r="AP209" s="128"/>
      <c r="AQ209" s="128"/>
      <c r="AR209" s="244">
        <f>AR151</f>
        <v>20417</v>
      </c>
      <c r="AS209" s="128"/>
      <c r="AT209" s="128"/>
      <c r="AU209" s="129"/>
      <c r="AV209" s="128"/>
      <c r="AW209" s="128"/>
      <c r="AX209" s="244">
        <f>AX151</f>
        <v>30275</v>
      </c>
      <c r="AY209" s="128"/>
      <c r="AZ209" s="128"/>
      <c r="BA209" s="129"/>
      <c r="BB209" s="128"/>
      <c r="BC209" s="128"/>
      <c r="BD209" s="244">
        <f>BD151</f>
        <v>22997</v>
      </c>
      <c r="BE209" s="128"/>
      <c r="BF209" s="128"/>
      <c r="BG209" s="129"/>
      <c r="BH209" s="128"/>
      <c r="BI209" s="128"/>
      <c r="BJ209" s="244">
        <f>BJ151</f>
        <v>21831</v>
      </c>
      <c r="BK209" s="128"/>
      <c r="BL209" s="128"/>
      <c r="BM209" s="129"/>
      <c r="BN209" s="128"/>
      <c r="BO209" s="128"/>
      <c r="BP209" s="244">
        <f t="shared" ref="BP209:BU209" si="190">BP151</f>
        <v>28244</v>
      </c>
      <c r="BQ209" s="377">
        <f t="shared" si="190"/>
        <v>33433.18791999996</v>
      </c>
      <c r="BR209" s="377">
        <f t="shared" si="190"/>
        <v>38045.280125333295</v>
      </c>
      <c r="BS209" s="377">
        <f t="shared" si="190"/>
        <v>42697.844493178622</v>
      </c>
      <c r="BT209" s="377">
        <f t="shared" si="190"/>
        <v>45741.366836184476</v>
      </c>
      <c r="BU209" s="377">
        <f t="shared" si="190"/>
        <v>48638.073397593515</v>
      </c>
      <c r="BV209" s="400" t="s">
        <v>360</v>
      </c>
      <c r="BW209" s="289"/>
      <c r="BX209" s="451"/>
      <c r="BY209" s="459"/>
      <c r="BZ209" s="459"/>
    </row>
    <row r="210" spans="2:78" x14ac:dyDescent="0.25">
      <c r="B210" s="210" t="s">
        <v>42</v>
      </c>
      <c r="C210" s="211"/>
      <c r="D210" s="211"/>
      <c r="E210" s="211"/>
      <c r="F210" s="211"/>
      <c r="G210" s="211"/>
      <c r="H210" s="87"/>
      <c r="I210" s="36"/>
      <c r="J210" s="36"/>
      <c r="K210" s="53"/>
      <c r="L210" s="36"/>
      <c r="M210" s="36"/>
      <c r="N210" s="87"/>
      <c r="O210" s="176"/>
      <c r="P210" s="176"/>
      <c r="Q210" s="177"/>
      <c r="R210" s="176"/>
      <c r="S210" s="176"/>
      <c r="T210" s="64"/>
      <c r="U210" s="176"/>
      <c r="V210" s="176"/>
      <c r="W210" s="177"/>
      <c r="X210" s="176"/>
      <c r="Y210" s="176"/>
      <c r="Z210" s="64"/>
      <c r="AA210" s="176"/>
      <c r="AB210" s="176"/>
      <c r="AC210" s="177"/>
      <c r="AD210" s="176"/>
      <c r="AE210" s="176"/>
      <c r="AF210" s="64"/>
      <c r="AG210" s="176"/>
      <c r="AH210" s="176"/>
      <c r="AI210" s="177"/>
      <c r="AJ210" s="176"/>
      <c r="AK210" s="176"/>
      <c r="AL210" s="64"/>
      <c r="AM210" s="176"/>
      <c r="AN210" s="176"/>
      <c r="AO210" s="177"/>
      <c r="AP210" s="176"/>
      <c r="AQ210" s="176"/>
      <c r="AR210" s="64"/>
      <c r="AS210" s="176"/>
      <c r="AT210" s="176"/>
      <c r="AU210" s="177"/>
      <c r="AV210" s="176"/>
      <c r="AW210" s="176"/>
      <c r="AX210" s="64"/>
      <c r="AY210" s="176"/>
      <c r="AZ210" s="176"/>
      <c r="BA210" s="177"/>
      <c r="BB210" s="176"/>
      <c r="BC210" s="176"/>
      <c r="BD210" s="64"/>
      <c r="BE210" s="176"/>
      <c r="BF210" s="176"/>
      <c r="BG210" s="177"/>
      <c r="BH210" s="176"/>
      <c r="BI210" s="176"/>
      <c r="BJ210" s="64"/>
      <c r="BK210" s="176"/>
      <c r="BL210" s="176"/>
      <c r="BM210" s="177"/>
      <c r="BN210" s="176"/>
      <c r="BO210" s="176"/>
      <c r="BP210" s="91"/>
      <c r="BQ210" s="407"/>
      <c r="BR210" s="408"/>
      <c r="BS210" s="408"/>
      <c r="BT210" s="408"/>
      <c r="BU210" s="408"/>
      <c r="BV210" s="365"/>
      <c r="BW210" s="305"/>
      <c r="BX210" s="451"/>
      <c r="BY210" s="459"/>
      <c r="BZ210" s="459"/>
    </row>
    <row r="211" spans="2:78" x14ac:dyDescent="0.25">
      <c r="B211" t="s">
        <v>43</v>
      </c>
      <c r="C211" s="1"/>
      <c r="D211" s="1"/>
      <c r="E211" s="1"/>
      <c r="F211" s="1"/>
      <c r="G211" s="1"/>
      <c r="H211" s="87">
        <v>37</v>
      </c>
      <c r="I211" s="36"/>
      <c r="J211" s="36"/>
      <c r="K211" s="53"/>
      <c r="L211" s="36"/>
      <c r="M211" s="36"/>
      <c r="N211" s="87">
        <v>48</v>
      </c>
      <c r="O211" s="28"/>
      <c r="P211" s="28"/>
      <c r="Q211" s="45"/>
      <c r="R211" s="28"/>
      <c r="S211" s="28"/>
      <c r="T211" s="87">
        <v>68</v>
      </c>
      <c r="U211" s="36"/>
      <c r="V211" s="36"/>
      <c r="W211" s="53"/>
      <c r="X211" s="36"/>
      <c r="Y211" s="36"/>
      <c r="Z211" s="87">
        <v>93</v>
      </c>
      <c r="AA211" s="36"/>
      <c r="AB211" s="36"/>
      <c r="AC211" s="53"/>
      <c r="AD211" s="36"/>
      <c r="AE211" s="36"/>
      <c r="AF211" s="87">
        <v>117</v>
      </c>
      <c r="AG211" s="36"/>
      <c r="AH211" s="36"/>
      <c r="AI211" s="53"/>
      <c r="AJ211" s="36"/>
      <c r="AK211" s="36"/>
      <c r="AL211" s="87">
        <v>134</v>
      </c>
      <c r="AM211" s="36"/>
      <c r="AN211" s="36"/>
      <c r="AO211" s="53"/>
      <c r="AP211" s="36"/>
      <c r="AQ211" s="36"/>
      <c r="AR211" s="87">
        <v>160</v>
      </c>
      <c r="AS211" s="36"/>
      <c r="AT211" s="36"/>
      <c r="AU211" s="53"/>
      <c r="AV211" s="36"/>
      <c r="AW211" s="36"/>
      <c r="AX211" s="87">
        <v>202</v>
      </c>
      <c r="AY211" s="36"/>
      <c r="AZ211" s="36"/>
      <c r="BA211" s="53"/>
      <c r="BB211" s="36"/>
      <c r="BC211" s="36"/>
      <c r="BD211" s="87">
        <v>267</v>
      </c>
      <c r="BE211" s="36"/>
      <c r="BF211" s="36"/>
      <c r="BG211" s="53"/>
      <c r="BH211" s="36"/>
      <c r="BI211" s="36"/>
      <c r="BJ211" s="87">
        <v>327</v>
      </c>
      <c r="BK211" s="36"/>
      <c r="BL211" s="36"/>
      <c r="BM211" s="53"/>
      <c r="BN211" s="36"/>
      <c r="BO211" s="36"/>
      <c r="BP211" s="87">
        <v>359</v>
      </c>
      <c r="BQ211" s="373">
        <f>BQ174</f>
        <v>500</v>
      </c>
      <c r="BR211" s="373">
        <f>BR174</f>
        <v>500</v>
      </c>
      <c r="BS211" s="373">
        <f>BS174</f>
        <v>480</v>
      </c>
      <c r="BT211" s="373">
        <f>BT174</f>
        <v>460</v>
      </c>
      <c r="BU211" s="373">
        <f>BU174</f>
        <v>440</v>
      </c>
      <c r="BV211" s="400" t="s">
        <v>361</v>
      </c>
      <c r="BW211" s="289"/>
      <c r="BX211" s="451"/>
      <c r="BY211" s="459"/>
      <c r="BZ211" s="459"/>
    </row>
    <row r="212" spans="2:78" x14ac:dyDescent="0.25">
      <c r="B212" t="s">
        <v>44</v>
      </c>
      <c r="C212" s="1"/>
      <c r="D212" s="1"/>
      <c r="E212" s="1"/>
      <c r="F212" s="1"/>
      <c r="G212" s="1"/>
      <c r="H212" s="87">
        <v>-238</v>
      </c>
      <c r="I212" s="36"/>
      <c r="J212" s="36"/>
      <c r="K212" s="53"/>
      <c r="L212" s="36"/>
      <c r="M212" s="36"/>
      <c r="N212" s="87">
        <v>-168</v>
      </c>
      <c r="O212" s="28"/>
      <c r="P212" s="28"/>
      <c r="Q212" s="45"/>
      <c r="R212" s="28"/>
      <c r="S212" s="28"/>
      <c r="T212" s="87">
        <v>-279</v>
      </c>
      <c r="U212" s="36"/>
      <c r="V212" s="36"/>
      <c r="W212" s="53"/>
      <c r="X212" s="36"/>
      <c r="Y212" s="36"/>
      <c r="Z212" s="87">
        <v>-329</v>
      </c>
      <c r="AA212" s="36"/>
      <c r="AB212" s="36"/>
      <c r="AC212" s="53"/>
      <c r="AD212" s="36"/>
      <c r="AE212" s="36"/>
      <c r="AF212" s="87">
        <v>-181</v>
      </c>
      <c r="AG212" s="36"/>
      <c r="AH212" s="36"/>
      <c r="AI212" s="53"/>
      <c r="AJ212" s="36"/>
      <c r="AK212" s="36"/>
      <c r="AL212" s="87">
        <v>93</v>
      </c>
      <c r="AM212" s="36"/>
      <c r="AN212" s="36"/>
      <c r="AO212" s="53"/>
      <c r="AP212" s="36"/>
      <c r="AQ212" s="36"/>
      <c r="AR212" s="87">
        <v>105</v>
      </c>
      <c r="AS212" s="36"/>
      <c r="AT212" s="36"/>
      <c r="AU212" s="53"/>
      <c r="AV212" s="36"/>
      <c r="AW212" s="36"/>
      <c r="AX212" s="87">
        <v>520</v>
      </c>
      <c r="AY212" s="36"/>
      <c r="AZ212" s="36"/>
      <c r="BA212" s="53"/>
      <c r="BB212" s="36"/>
      <c r="BC212" s="36"/>
      <c r="BD212" s="87">
        <v>-704</v>
      </c>
      <c r="BE212" s="36"/>
      <c r="BF212" s="36"/>
      <c r="BG212" s="53"/>
      <c r="BH212" s="36"/>
      <c r="BI212" s="36"/>
      <c r="BJ212" s="87">
        <v>-722</v>
      </c>
      <c r="BK212" s="36"/>
      <c r="BL212" s="36"/>
      <c r="BM212" s="53"/>
      <c r="BN212" s="36"/>
      <c r="BO212" s="36"/>
      <c r="BP212" s="87">
        <v>-2653</v>
      </c>
      <c r="BQ212" s="368">
        <v>-500</v>
      </c>
      <c r="BR212" s="368">
        <v>-300</v>
      </c>
      <c r="BS212" s="368">
        <v>-200</v>
      </c>
      <c r="BT212" s="368">
        <v>-200</v>
      </c>
      <c r="BU212" s="368">
        <v>-200</v>
      </c>
      <c r="BV212" s="400" t="s">
        <v>362</v>
      </c>
      <c r="BW212" s="289"/>
      <c r="BX212" s="451"/>
      <c r="BY212" s="459"/>
      <c r="BZ212" s="459"/>
    </row>
    <row r="213" spans="2:78" x14ac:dyDescent="0.25">
      <c r="B213" t="s">
        <v>45</v>
      </c>
      <c r="C213" s="1"/>
      <c r="D213" s="1"/>
      <c r="E213" s="1"/>
      <c r="F213" s="1"/>
      <c r="G213" s="1"/>
      <c r="H213" s="87">
        <v>758</v>
      </c>
      <c r="I213" s="36"/>
      <c r="J213" s="36"/>
      <c r="K213" s="53"/>
      <c r="L213" s="36"/>
      <c r="M213" s="36"/>
      <c r="N213" s="87">
        <v>-867</v>
      </c>
      <c r="O213" s="28"/>
      <c r="P213" s="28"/>
      <c r="Q213" s="45"/>
      <c r="R213" s="28"/>
      <c r="S213" s="28"/>
      <c r="T213" s="87">
        <v>944</v>
      </c>
      <c r="U213" s="36"/>
      <c r="V213" s="36"/>
      <c r="W213" s="53"/>
      <c r="X213" s="36"/>
      <c r="Y213" s="36"/>
      <c r="Z213" s="87">
        <v>-520</v>
      </c>
      <c r="AA213" s="36"/>
      <c r="AB213" s="36"/>
      <c r="AC213" s="53"/>
      <c r="AD213" s="36"/>
      <c r="AE213" s="36"/>
      <c r="AF213" s="87">
        <v>-1165</v>
      </c>
      <c r="AG213" s="36"/>
      <c r="AH213" s="36"/>
      <c r="AI213" s="53"/>
      <c r="AJ213" s="36"/>
      <c r="AK213" s="36"/>
      <c r="AL213" s="87">
        <v>209</v>
      </c>
      <c r="AM213" s="36"/>
      <c r="AN213" s="36"/>
      <c r="AO213" s="53"/>
      <c r="AP213" s="36"/>
      <c r="AQ213" s="36"/>
      <c r="AR213" s="87">
        <v>-4604</v>
      </c>
      <c r="AS213" s="36"/>
      <c r="AT213" s="36"/>
      <c r="AU213" s="53"/>
      <c r="AV213" s="36"/>
      <c r="AW213" s="36"/>
      <c r="AX213" s="87">
        <v>2840</v>
      </c>
      <c r="AY213" s="36"/>
      <c r="AZ213" s="36"/>
      <c r="BA213" s="53"/>
      <c r="BB213" s="36"/>
      <c r="BC213" s="36"/>
      <c r="BD213" s="87">
        <v>826</v>
      </c>
      <c r="BE213" s="36"/>
      <c r="BF213" s="36"/>
      <c r="BG213" s="53"/>
      <c r="BH213" s="36"/>
      <c r="BI213" s="36"/>
      <c r="BJ213" s="87">
        <v>-4212</v>
      </c>
      <c r="BK213" s="36"/>
      <c r="BL213" s="36"/>
      <c r="BM213" s="53"/>
      <c r="BN213" s="36"/>
      <c r="BO213" s="36"/>
      <c r="BP213" s="87">
        <v>5029</v>
      </c>
      <c r="BQ213" s="373">
        <f>-(BQ317-BP317)</f>
        <v>-1370.4940035068212</v>
      </c>
      <c r="BR213" s="373">
        <f>-(BR317-BQ317)</f>
        <v>62.969627791782841</v>
      </c>
      <c r="BS213" s="373">
        <f>-(BS317-BR317)</f>
        <v>-282.73504268255056</v>
      </c>
      <c r="BT213" s="373">
        <f>-(BT317-BS317)</f>
        <v>-935.20475964859361</v>
      </c>
      <c r="BU213" s="373">
        <f>-(BU317-BT317)</f>
        <v>-964.10905572025513</v>
      </c>
      <c r="BV213" s="400" t="s">
        <v>363</v>
      </c>
      <c r="BW213" s="289"/>
      <c r="BX213" s="451"/>
      <c r="BY213" s="459"/>
      <c r="BZ213" s="459"/>
    </row>
    <row r="214" spans="2:78" x14ac:dyDescent="0.25">
      <c r="B214" t="s">
        <v>46</v>
      </c>
      <c r="C214" s="1"/>
      <c r="D214" s="1"/>
      <c r="E214" s="1"/>
      <c r="F214" s="1"/>
      <c r="G214" s="1"/>
      <c r="H214" s="87">
        <v>-58</v>
      </c>
      <c r="I214" s="36"/>
      <c r="J214" s="36"/>
      <c r="K214" s="53"/>
      <c r="L214" s="36"/>
      <c r="M214" s="36"/>
      <c r="N214" s="87">
        <v>-644</v>
      </c>
      <c r="O214" s="28"/>
      <c r="P214" s="28"/>
      <c r="Q214" s="45"/>
      <c r="R214" s="28"/>
      <c r="S214" s="28"/>
      <c r="T214" s="87">
        <v>-488</v>
      </c>
      <c r="U214" s="36"/>
      <c r="V214" s="36"/>
      <c r="W214" s="53"/>
      <c r="X214" s="36"/>
      <c r="Y214" s="36"/>
      <c r="Z214" s="87">
        <v>0</v>
      </c>
      <c r="AA214" s="36"/>
      <c r="AB214" s="36"/>
      <c r="AC214" s="53"/>
      <c r="AD214" s="36"/>
      <c r="AE214" s="36"/>
      <c r="AF214" s="87">
        <v>-292</v>
      </c>
      <c r="AG214" s="36"/>
      <c r="AH214" s="36"/>
      <c r="AI214" s="53"/>
      <c r="AJ214" s="36"/>
      <c r="AK214" s="36"/>
      <c r="AL214" s="87">
        <v>-1944</v>
      </c>
      <c r="AM214" s="36"/>
      <c r="AN214" s="36"/>
      <c r="AO214" s="53"/>
      <c r="AP214" s="36"/>
      <c r="AQ214" s="36"/>
      <c r="AR214" s="87">
        <v>-828</v>
      </c>
      <c r="AS214" s="36"/>
      <c r="AT214" s="36"/>
      <c r="AU214" s="53"/>
      <c r="AV214" s="36"/>
      <c r="AW214" s="36"/>
      <c r="AX214" s="87">
        <v>-664</v>
      </c>
      <c r="AY214" s="36"/>
      <c r="AZ214" s="36"/>
      <c r="BA214" s="53"/>
      <c r="BB214" s="36"/>
      <c r="BC214" s="36"/>
      <c r="BD214" s="87">
        <v>-263</v>
      </c>
      <c r="BE214" s="36"/>
      <c r="BF214" s="36"/>
      <c r="BG214" s="53"/>
      <c r="BH214" s="36"/>
      <c r="BI214" s="36"/>
      <c r="BJ214" s="87">
        <v>-526</v>
      </c>
      <c r="BK214" s="36"/>
      <c r="BL214" s="36"/>
      <c r="BM214" s="53"/>
      <c r="BN214" s="36"/>
      <c r="BO214" s="36"/>
      <c r="BP214" s="87">
        <v>-2865</v>
      </c>
      <c r="BQ214" s="373">
        <f>-BQ154</f>
        <v>-3000</v>
      </c>
      <c r="BR214" s="373">
        <f>-BR154</f>
        <v>-2000</v>
      </c>
      <c r="BS214" s="373">
        <f>-BS154</f>
        <v>-500</v>
      </c>
      <c r="BT214" s="373">
        <f>-BT154</f>
        <v>-300</v>
      </c>
      <c r="BU214" s="373">
        <f>-BU154</f>
        <v>-300</v>
      </c>
      <c r="BV214" s="400" t="s">
        <v>364</v>
      </c>
      <c r="BW214" s="289"/>
      <c r="BX214" s="451"/>
      <c r="BY214" s="459"/>
      <c r="BZ214" s="459"/>
    </row>
    <row r="215" spans="2:78" x14ac:dyDescent="0.25">
      <c r="B215" t="s">
        <v>47</v>
      </c>
      <c r="C215" s="1"/>
      <c r="D215" s="1"/>
      <c r="E215" s="1"/>
      <c r="F215" s="1"/>
      <c r="G215" s="1"/>
      <c r="H215" s="87">
        <v>50</v>
      </c>
      <c r="I215" s="36"/>
      <c r="J215" s="36"/>
      <c r="K215" s="53"/>
      <c r="L215" s="36"/>
      <c r="M215" s="36"/>
      <c r="N215" s="87">
        <v>118</v>
      </c>
      <c r="O215" s="28"/>
      <c r="P215" s="28"/>
      <c r="Q215" s="45"/>
      <c r="R215" s="28"/>
      <c r="S215" s="28"/>
      <c r="T215" s="87">
        <v>110</v>
      </c>
      <c r="U215" s="36"/>
      <c r="V215" s="36"/>
      <c r="W215" s="53"/>
      <c r="X215" s="36"/>
      <c r="Y215" s="36"/>
      <c r="Z215" s="87">
        <v>107</v>
      </c>
      <c r="AA215" s="36"/>
      <c r="AB215" s="36"/>
      <c r="AC215" s="53"/>
      <c r="AD215" s="36"/>
      <c r="AE215" s="36"/>
      <c r="AF215" s="87">
        <v>131</v>
      </c>
      <c r="AG215" s="36"/>
      <c r="AH215" s="36"/>
      <c r="AI215" s="53"/>
      <c r="AJ215" s="36"/>
      <c r="AK215" s="36"/>
      <c r="AL215" s="87">
        <v>225</v>
      </c>
      <c r="AM215" s="36"/>
      <c r="AN215" s="36"/>
      <c r="AO215" s="53"/>
      <c r="AP215" s="36"/>
      <c r="AQ215" s="36"/>
      <c r="AR215" s="87">
        <v>153</v>
      </c>
      <c r="AS215" s="36"/>
      <c r="AT215" s="36"/>
      <c r="AU215" s="53"/>
      <c r="AV215" s="36"/>
      <c r="AW215" s="36"/>
      <c r="AX215" s="87">
        <v>323</v>
      </c>
      <c r="AY215" s="36"/>
      <c r="AZ215" s="36"/>
      <c r="BA215" s="53"/>
      <c r="BB215" s="36"/>
      <c r="BC215" s="36"/>
      <c r="BD215" s="87">
        <v>473</v>
      </c>
      <c r="BE215" s="36"/>
      <c r="BF215" s="36"/>
      <c r="BG215" s="53"/>
      <c r="BH215" s="36"/>
      <c r="BI215" s="36"/>
      <c r="BJ215" s="87">
        <v>650</v>
      </c>
      <c r="BK215" s="36"/>
      <c r="BL215" s="36"/>
      <c r="BM215" s="53"/>
      <c r="BN215" s="36"/>
      <c r="BO215" s="36"/>
      <c r="BP215" s="87">
        <v>1089</v>
      </c>
      <c r="BQ215" s="368">
        <v>1000</v>
      </c>
      <c r="BR215" s="368">
        <v>950</v>
      </c>
      <c r="BS215" s="368">
        <v>900</v>
      </c>
      <c r="BT215" s="368">
        <v>850</v>
      </c>
      <c r="BU215" s="368">
        <v>800</v>
      </c>
      <c r="BV215" s="365"/>
      <c r="BW215" s="305"/>
      <c r="BX215" s="451"/>
      <c r="BY215" s="459"/>
      <c r="BZ215" s="459"/>
    </row>
    <row r="216" spans="2:78" x14ac:dyDescent="0.25">
      <c r="B216" t="s">
        <v>48</v>
      </c>
      <c r="C216" s="1"/>
      <c r="D216" s="1"/>
      <c r="E216" s="1"/>
      <c r="F216" s="1"/>
      <c r="G216" s="1"/>
      <c r="H216" s="87" t="s">
        <v>12</v>
      </c>
      <c r="I216" s="36"/>
      <c r="J216" s="36"/>
      <c r="K216" s="53"/>
      <c r="L216" s="36"/>
      <c r="M216" s="36"/>
      <c r="N216" s="87" t="s">
        <v>12</v>
      </c>
      <c r="O216" s="28"/>
      <c r="P216" s="28"/>
      <c r="Q216" s="45"/>
      <c r="R216" s="28"/>
      <c r="S216" s="28"/>
      <c r="T216" s="72" t="s">
        <v>12</v>
      </c>
      <c r="U216" s="28"/>
      <c r="V216" s="28"/>
      <c r="W216" s="45"/>
      <c r="X216" s="28"/>
      <c r="Y216" s="28"/>
      <c r="Z216" s="72" t="s">
        <v>12</v>
      </c>
      <c r="AA216" s="28"/>
      <c r="AB216" s="28"/>
      <c r="AC216" s="45"/>
      <c r="AD216" s="28"/>
      <c r="AE216" s="28"/>
      <c r="AF216" s="72">
        <v>-383</v>
      </c>
      <c r="AG216" s="28"/>
      <c r="AH216" s="28"/>
      <c r="AI216" s="45"/>
      <c r="AJ216" s="28"/>
      <c r="AK216" s="28"/>
      <c r="AL216" s="72">
        <v>-434</v>
      </c>
      <c r="AM216" s="28"/>
      <c r="AN216" s="28"/>
      <c r="AO216" s="45"/>
      <c r="AP216" s="28"/>
      <c r="AQ216" s="28"/>
      <c r="AR216" s="72">
        <v>-495</v>
      </c>
      <c r="AS216" s="28"/>
      <c r="AT216" s="28"/>
      <c r="AU216" s="45"/>
      <c r="AV216" s="28"/>
      <c r="AW216" s="28"/>
      <c r="AX216" s="87">
        <v>-727</v>
      </c>
      <c r="AY216" s="36"/>
      <c r="AZ216" s="36"/>
      <c r="BA216" s="53"/>
      <c r="BB216" s="36"/>
      <c r="BC216" s="36"/>
      <c r="BD216" s="87">
        <v>-851</v>
      </c>
      <c r="BE216" s="36"/>
      <c r="BF216" s="36"/>
      <c r="BG216" s="53"/>
      <c r="BH216" s="36"/>
      <c r="BI216" s="36"/>
      <c r="BJ216" s="87">
        <v>-1152</v>
      </c>
      <c r="BK216" s="36"/>
      <c r="BL216" s="36"/>
      <c r="BM216" s="53"/>
      <c r="BN216" s="36"/>
      <c r="BO216" s="36"/>
      <c r="BP216" s="87">
        <v>-1669</v>
      </c>
      <c r="BQ216" s="373">
        <f>-ROUND((BQ291+BQ298+BP291+BP298)/2*0.055,0)</f>
        <v>-1798</v>
      </c>
      <c r="BR216" s="373">
        <f>-ROUND((BR291+BR298+BQ291+BQ298)/2*0.055,0)</f>
        <v>-1997</v>
      </c>
      <c r="BS216" s="373">
        <f>-ROUND((BS291+BS298+BR291+BR298)/2*0.055,0)</f>
        <v>-2200</v>
      </c>
      <c r="BT216" s="373">
        <f>-ROUND((BT291+BT298+BS291+BS298)/2*0.055,0)</f>
        <v>-2313</v>
      </c>
      <c r="BU216" s="373">
        <f>-ROUND((BU291+BU298+BT291+BT298)/2*0.055,0)</f>
        <v>-2336</v>
      </c>
      <c r="BV216" s="400" t="s">
        <v>365</v>
      </c>
      <c r="BW216" s="289"/>
      <c r="BX216" s="451"/>
      <c r="BY216" s="459"/>
      <c r="BZ216" s="459"/>
    </row>
    <row r="217" spans="2:78" x14ac:dyDescent="0.25">
      <c r="B217" t="s">
        <v>49</v>
      </c>
      <c r="C217" s="1"/>
      <c r="D217" s="1"/>
      <c r="E217" s="1"/>
      <c r="F217" s="1"/>
      <c r="G217" s="1"/>
      <c r="H217" s="87">
        <v>-363</v>
      </c>
      <c r="I217" s="36"/>
      <c r="J217" s="36"/>
      <c r="K217" s="53"/>
      <c r="L217" s="36"/>
      <c r="M217" s="36"/>
      <c r="N217" s="87">
        <v>-409</v>
      </c>
      <c r="O217" s="28"/>
      <c r="P217" s="28"/>
      <c r="Q217" s="45"/>
      <c r="R217" s="28"/>
      <c r="S217" s="28"/>
      <c r="T217" s="87">
        <v>-386</v>
      </c>
      <c r="U217" s="36"/>
      <c r="V217" s="36"/>
      <c r="W217" s="53"/>
      <c r="X217" s="36"/>
      <c r="Y217" s="36"/>
      <c r="Z217" s="87">
        <v>-411</v>
      </c>
      <c r="AA217" s="36"/>
      <c r="AB217" s="36"/>
      <c r="AC217" s="53"/>
      <c r="AD217" s="36"/>
      <c r="AE217" s="36"/>
      <c r="AF217" s="87">
        <v>-556</v>
      </c>
      <c r="AG217" s="36"/>
      <c r="AH217" s="36"/>
      <c r="AI217" s="53"/>
      <c r="AJ217" s="36"/>
      <c r="AK217" s="36"/>
      <c r="AL217" s="87">
        <v>-499</v>
      </c>
      <c r="AM217" s="36"/>
      <c r="AN217" s="36"/>
      <c r="AO217" s="53"/>
      <c r="AP217" s="36"/>
      <c r="AQ217" s="36"/>
      <c r="AR217" s="87">
        <v>-443</v>
      </c>
      <c r="AS217" s="36"/>
      <c r="AT217" s="36"/>
      <c r="AU217" s="53"/>
      <c r="AV217" s="36"/>
      <c r="AW217" s="36"/>
      <c r="AX217" s="87">
        <v>-745</v>
      </c>
      <c r="AY217" s="36"/>
      <c r="AZ217" s="36"/>
      <c r="BA217" s="53"/>
      <c r="BB217" s="36"/>
      <c r="BC217" s="36"/>
      <c r="BD217" s="87">
        <v>-698</v>
      </c>
      <c r="BE217" s="36"/>
      <c r="BF217" s="36"/>
      <c r="BG217" s="53"/>
      <c r="BH217" s="36"/>
      <c r="BI217" s="36"/>
      <c r="BJ217" s="87">
        <v>-923</v>
      </c>
      <c r="BK217" s="36"/>
      <c r="BL217" s="36"/>
      <c r="BM217" s="53"/>
      <c r="BN217" s="36"/>
      <c r="BO217" s="36"/>
      <c r="BP217" s="87">
        <v>-2163</v>
      </c>
      <c r="BQ217" s="373">
        <f>-ROUND((BQ292+BQ299+BP292+BP299)/2*0.045,0)</f>
        <v>-2903</v>
      </c>
      <c r="BR217" s="373">
        <f>-ROUND((BR292+BR299+BQ292+BQ299)/2*0.045,0)</f>
        <v>-2610</v>
      </c>
      <c r="BS217" s="373">
        <f>-ROUND((BS292+BS299+BR292+BR299)/2*0.045,0)</f>
        <v>-2318</v>
      </c>
      <c r="BT217" s="373">
        <f>-ROUND((BT292+BT299+BS292+BS299)/2*0.045,0)</f>
        <v>-2138</v>
      </c>
      <c r="BU217" s="373">
        <f>-ROUND((BU292+BU299+BT292+BT299)/2*0.045,0)</f>
        <v>-2025</v>
      </c>
      <c r="BV217" s="400" t="s">
        <v>366</v>
      </c>
      <c r="BW217" s="289"/>
      <c r="BX217" s="451"/>
      <c r="BY217" s="459"/>
      <c r="BZ217" s="459"/>
    </row>
    <row r="218" spans="2:78" x14ac:dyDescent="0.25">
      <c r="B218" t="s">
        <v>50</v>
      </c>
      <c r="C218" s="1"/>
      <c r="D218" s="1"/>
      <c r="E218" s="1"/>
      <c r="F218" s="1"/>
      <c r="G218" s="1"/>
      <c r="H218" s="87">
        <v>-601</v>
      </c>
      <c r="I218" s="36"/>
      <c r="J218" s="36"/>
      <c r="K218" s="53"/>
      <c r="L218" s="36"/>
      <c r="M218" s="36"/>
      <c r="N218" s="87">
        <v>-764</v>
      </c>
      <c r="O218" s="28"/>
      <c r="P218" s="28"/>
      <c r="Q218" s="45"/>
      <c r="R218" s="28"/>
      <c r="S218" s="28"/>
      <c r="T218" s="87">
        <v>-969</v>
      </c>
      <c r="U218" s="36"/>
      <c r="V218" s="36"/>
      <c r="W218" s="53"/>
      <c r="X218" s="36"/>
      <c r="Y218" s="36"/>
      <c r="Z218" s="87">
        <v>-851</v>
      </c>
      <c r="AA218" s="36"/>
      <c r="AB218" s="36"/>
      <c r="AC218" s="53"/>
      <c r="AD218" s="36"/>
      <c r="AE218" s="36"/>
      <c r="AF218" s="87">
        <v>-1084</v>
      </c>
      <c r="AG218" s="36"/>
      <c r="AH218" s="36"/>
      <c r="AI218" s="53"/>
      <c r="AJ218" s="36"/>
      <c r="AK218" s="36"/>
      <c r="AL218" s="87">
        <v>-1067</v>
      </c>
      <c r="AM218" s="36"/>
      <c r="AN218" s="36"/>
      <c r="AO218" s="53"/>
      <c r="AP218" s="36"/>
      <c r="AQ218" s="36"/>
      <c r="AR218" s="87">
        <v>-2263</v>
      </c>
      <c r="AS218" s="36"/>
      <c r="AT218" s="36"/>
      <c r="AU218" s="53"/>
      <c r="AV218" s="36"/>
      <c r="AW218" s="36"/>
      <c r="AX218" s="87">
        <v>-5178</v>
      </c>
      <c r="AY218" s="36"/>
      <c r="AZ218" s="36"/>
      <c r="BA218" s="53"/>
      <c r="BB218" s="36"/>
      <c r="BC218" s="36"/>
      <c r="BD218" s="87">
        <v>-5589</v>
      </c>
      <c r="BE218" s="36"/>
      <c r="BF218" s="36"/>
      <c r="BG218" s="53"/>
      <c r="BH218" s="36"/>
      <c r="BI218" s="36"/>
      <c r="BJ218" s="87">
        <v>-3622</v>
      </c>
      <c r="BK218" s="36"/>
      <c r="BL218" s="36"/>
      <c r="BM218" s="53"/>
      <c r="BN218" s="36"/>
      <c r="BO218" s="36"/>
      <c r="BP218" s="87">
        <v>-3890</v>
      </c>
      <c r="BQ218" s="373">
        <f>-BQ158</f>
        <v>-4362.4083333333228</v>
      </c>
      <c r="BR218" s="373">
        <f>-BR158</f>
        <v>-5702.8808018666559</v>
      </c>
      <c r="BS218" s="373">
        <f>-BS158</f>
        <v>-7189.9061956299884</v>
      </c>
      <c r="BT218" s="373">
        <f>-BT158</f>
        <v>-7917.1731070255846</v>
      </c>
      <c r="BU218" s="373">
        <f>-BU158</f>
        <v>-8583.8262312159477</v>
      </c>
      <c r="BV218" s="400" t="s">
        <v>367</v>
      </c>
      <c r="BW218" s="289"/>
      <c r="BX218" s="451"/>
      <c r="BY218" s="459"/>
      <c r="BZ218" s="459"/>
    </row>
    <row r="219" spans="2:78" x14ac:dyDescent="0.25">
      <c r="B219" s="110" t="s">
        <v>51</v>
      </c>
      <c r="C219" s="123"/>
      <c r="D219" s="123"/>
      <c r="E219" s="123"/>
      <c r="F219" s="123"/>
      <c r="G219" s="123"/>
      <c r="H219" s="243">
        <f>SUM(H209:H218)</f>
        <v>3160</v>
      </c>
      <c r="I219" s="125"/>
      <c r="J219" s="125"/>
      <c r="K219" s="126"/>
      <c r="L219" s="125"/>
      <c r="M219" s="125"/>
      <c r="N219" s="243">
        <f>SUM(N209:N218)</f>
        <v>1564</v>
      </c>
      <c r="O219" s="125"/>
      <c r="P219" s="125"/>
      <c r="Q219" s="126"/>
      <c r="R219" s="125"/>
      <c r="S219" s="125"/>
      <c r="T219" s="244">
        <f>SUM(T209:T218)</f>
        <v>4664</v>
      </c>
      <c r="U219" s="245"/>
      <c r="V219" s="245"/>
      <c r="W219" s="246"/>
      <c r="X219" s="245"/>
      <c r="Y219" s="245"/>
      <c r="Z219" s="244">
        <f>SUM(Z209:Z218)</f>
        <v>4301</v>
      </c>
      <c r="AA219" s="245"/>
      <c r="AB219" s="245"/>
      <c r="AC219" s="246"/>
      <c r="AD219" s="245"/>
      <c r="AE219" s="245"/>
      <c r="AF219" s="244">
        <f>SUM(AF209:AF218)</f>
        <v>6879</v>
      </c>
      <c r="AG219" s="245"/>
      <c r="AH219" s="245"/>
      <c r="AI219" s="246"/>
      <c r="AJ219" s="245"/>
      <c r="AK219" s="245"/>
      <c r="AL219" s="244">
        <f>SUM(AL209:AL218)</f>
        <v>10276</v>
      </c>
      <c r="AM219" s="245"/>
      <c r="AN219" s="245"/>
      <c r="AO219" s="246"/>
      <c r="AP219" s="245"/>
      <c r="AQ219" s="245"/>
      <c r="AR219" s="244">
        <f>SUM(AR209:AR218)</f>
        <v>12202</v>
      </c>
      <c r="AS219" s="245"/>
      <c r="AT219" s="245"/>
      <c r="AU219" s="246"/>
      <c r="AV219" s="245"/>
      <c r="AW219" s="245"/>
      <c r="AX219" s="244">
        <f>SUM(AX209:AX218)</f>
        <v>26846</v>
      </c>
      <c r="AY219" s="245"/>
      <c r="AZ219" s="245"/>
      <c r="BA219" s="246"/>
      <c r="BB219" s="245"/>
      <c r="BC219" s="245"/>
      <c r="BD219" s="244">
        <f>SUM(BD209:BD218)</f>
        <v>16458</v>
      </c>
      <c r="BE219" s="245"/>
      <c r="BF219" s="245"/>
      <c r="BG219" s="246"/>
      <c r="BH219" s="245"/>
      <c r="BI219" s="245"/>
      <c r="BJ219" s="244">
        <f>SUM(BJ209:BJ218)</f>
        <v>11651</v>
      </c>
      <c r="BK219" s="245"/>
      <c r="BL219" s="245"/>
      <c r="BM219" s="246"/>
      <c r="BN219" s="245"/>
      <c r="BO219" s="245"/>
      <c r="BP219" s="244">
        <f t="shared" ref="BP219:BU219" si="191">SUM(BP209:BP218)</f>
        <v>21481</v>
      </c>
      <c r="BQ219" s="377">
        <f t="shared" si="191"/>
        <v>20999.285583159817</v>
      </c>
      <c r="BR219" s="377">
        <f t="shared" si="191"/>
        <v>26948.368951258421</v>
      </c>
      <c r="BS219" s="377">
        <f t="shared" si="191"/>
        <v>31387.203254866083</v>
      </c>
      <c r="BT219" s="377">
        <f t="shared" si="191"/>
        <v>33247.988969510297</v>
      </c>
      <c r="BU219" s="377">
        <f t="shared" si="191"/>
        <v>35469.13811065731</v>
      </c>
      <c r="BV219" s="400" t="s">
        <v>368</v>
      </c>
      <c r="BW219" s="289"/>
      <c r="BX219" s="450">
        <f>IFERROR((BU219/BP219)^(1/5)-1,"n/m")</f>
        <v>0.10550122474303758</v>
      </c>
      <c r="BY219" s="459">
        <f>IFERROR((BP219/AL219)^(1/5)-1,"n/m")</f>
        <v>0.15890031231273571</v>
      </c>
      <c r="BZ219" s="459">
        <f>IFERROR((BP219/H219)^(1/10)-1,"n/m")</f>
        <v>0.21125823091559437</v>
      </c>
    </row>
    <row r="220" spans="2:78" x14ac:dyDescent="0.25">
      <c r="B220" t="s">
        <v>52</v>
      </c>
      <c r="C220" s="1"/>
      <c r="D220" s="1"/>
      <c r="E220" s="1"/>
      <c r="F220" s="1"/>
      <c r="G220" s="1"/>
      <c r="H220" s="87">
        <v>-284</v>
      </c>
      <c r="I220" s="36"/>
      <c r="J220" s="36"/>
      <c r="K220" s="53"/>
      <c r="L220" s="36"/>
      <c r="M220" s="36"/>
      <c r="N220" s="87">
        <v>-338</v>
      </c>
      <c r="O220" s="36"/>
      <c r="P220" s="36"/>
      <c r="Q220" s="53"/>
      <c r="R220" s="36"/>
      <c r="S220" s="36"/>
      <c r="T220" s="87">
        <v>-393</v>
      </c>
      <c r="U220" s="36"/>
      <c r="V220" s="36"/>
      <c r="W220" s="53"/>
      <c r="X220" s="36"/>
      <c r="Y220" s="36"/>
      <c r="Z220" s="87">
        <v>-501</v>
      </c>
      <c r="AA220" s="36"/>
      <c r="AB220" s="36"/>
      <c r="AC220" s="53"/>
      <c r="AD220" s="36"/>
      <c r="AE220" s="36"/>
      <c r="AF220" s="87">
        <v>-292</v>
      </c>
      <c r="AG220" s="36"/>
      <c r="AH220" s="36"/>
      <c r="AI220" s="53"/>
      <c r="AJ220" s="36"/>
      <c r="AK220" s="36"/>
      <c r="AL220" s="87">
        <v>-220</v>
      </c>
      <c r="AM220" s="36"/>
      <c r="AN220" s="36"/>
      <c r="AO220" s="53"/>
      <c r="AP220" s="36"/>
      <c r="AQ220" s="36"/>
      <c r="AR220" s="87">
        <v>-303</v>
      </c>
      <c r="AS220" s="36"/>
      <c r="AT220" s="36"/>
      <c r="AU220" s="53"/>
      <c r="AV220" s="36"/>
      <c r="AW220" s="36"/>
      <c r="AX220" s="87">
        <v>-280</v>
      </c>
      <c r="AY220" s="36"/>
      <c r="AZ220" s="36"/>
      <c r="BA220" s="53"/>
      <c r="BB220" s="36"/>
      <c r="BC220" s="36"/>
      <c r="BD220" s="87">
        <v>-345</v>
      </c>
      <c r="BE220" s="36"/>
      <c r="BF220" s="36"/>
      <c r="BG220" s="53"/>
      <c r="BH220" s="36"/>
      <c r="BI220" s="36"/>
      <c r="BJ220" s="87">
        <v>-337</v>
      </c>
      <c r="BK220" s="36"/>
      <c r="BL220" s="36"/>
      <c r="BM220" s="53"/>
      <c r="BN220" s="36"/>
      <c r="BO220" s="36"/>
      <c r="BP220" s="87">
        <v>-523</v>
      </c>
      <c r="BQ220" s="443">
        <f>-BQ146*BQ249</f>
        <v>-544.66383999999914</v>
      </c>
      <c r="BR220" s="444">
        <f>-BR146*BR249</f>
        <v>-576.26834666666571</v>
      </c>
      <c r="BS220" s="444">
        <f>-BS146*BS249</f>
        <v>-605.40263693866575</v>
      </c>
      <c r="BT220" s="444">
        <f>-BT146*BT249</f>
        <v>-629.7363737919992</v>
      </c>
      <c r="BU220" s="444">
        <f>-BU146*BU249</f>
        <v>-655.04444655148723</v>
      </c>
      <c r="BV220" s="365"/>
      <c r="BW220" s="305"/>
      <c r="BX220" s="451"/>
      <c r="BY220" s="459"/>
      <c r="BZ220" s="459"/>
    </row>
    <row r="221" spans="2:78" x14ac:dyDescent="0.25">
      <c r="B221" t="s">
        <v>53</v>
      </c>
      <c r="C221" s="1"/>
      <c r="D221" s="1"/>
      <c r="E221" s="1"/>
      <c r="F221" s="1"/>
      <c r="G221" s="1"/>
      <c r="H221" s="87">
        <v>-297</v>
      </c>
      <c r="I221" s="36"/>
      <c r="J221" s="36"/>
      <c r="K221" s="53"/>
      <c r="L221" s="36"/>
      <c r="M221" s="36"/>
      <c r="N221" s="87">
        <v>-748</v>
      </c>
      <c r="O221" s="36"/>
      <c r="P221" s="36"/>
      <c r="Q221" s="53"/>
      <c r="R221" s="36"/>
      <c r="S221" s="36"/>
      <c r="T221" s="87">
        <v>-620</v>
      </c>
      <c r="U221" s="36"/>
      <c r="V221" s="36"/>
      <c r="W221" s="53"/>
      <c r="X221" s="36"/>
      <c r="Y221" s="36"/>
      <c r="Z221" s="87">
        <v>-709</v>
      </c>
      <c r="AA221" s="36"/>
      <c r="AB221" s="36"/>
      <c r="AC221" s="53"/>
      <c r="AD221" s="36"/>
      <c r="AE221" s="36"/>
      <c r="AF221" s="87">
        <v>-1000</v>
      </c>
      <c r="AG221" s="36"/>
      <c r="AH221" s="36"/>
      <c r="AI221" s="53"/>
      <c r="AJ221" s="36"/>
      <c r="AK221" s="36"/>
      <c r="AL221" s="87">
        <v>-1121</v>
      </c>
      <c r="AM221" s="36"/>
      <c r="AN221" s="36"/>
      <c r="AO221" s="53"/>
      <c r="AP221" s="36"/>
      <c r="AQ221" s="36"/>
      <c r="AR221" s="87">
        <v>-1180</v>
      </c>
      <c r="AS221" s="36"/>
      <c r="AT221" s="36"/>
      <c r="AU221" s="53"/>
      <c r="AV221" s="36"/>
      <c r="AW221" s="36"/>
      <c r="AX221" s="87">
        <v>-1514</v>
      </c>
      <c r="AY221" s="36"/>
      <c r="AZ221" s="36"/>
      <c r="BA221" s="53"/>
      <c r="BB221" s="36"/>
      <c r="BC221" s="36"/>
      <c r="BD221" s="87">
        <v>-2030</v>
      </c>
      <c r="BE221" s="36"/>
      <c r="BF221" s="36"/>
      <c r="BG221" s="53"/>
      <c r="BH221" s="36"/>
      <c r="BI221" s="36"/>
      <c r="BJ221" s="87">
        <v>-2092</v>
      </c>
      <c r="BK221" s="36"/>
      <c r="BL221" s="36"/>
      <c r="BM221" s="53"/>
      <c r="BN221" s="36"/>
      <c r="BO221" s="36"/>
      <c r="BP221" s="87">
        <v>-2065</v>
      </c>
      <c r="BQ221" s="373">
        <f>-BQ146*BQ248</f>
        <v>-4084.9787999999935</v>
      </c>
      <c r="BR221" s="373">
        <f>-BR146*BR248</f>
        <v>-4322.0125999999927</v>
      </c>
      <c r="BS221" s="373">
        <f>-BS146*BS248</f>
        <v>-4540.5197770399927</v>
      </c>
      <c r="BT221" s="373">
        <f>-BT146*BT248</f>
        <v>-4723.0228034399934</v>
      </c>
      <c r="BU221" s="373">
        <f>-BU146*BU248</f>
        <v>-4912.8333491361536</v>
      </c>
      <c r="BV221" s="400" t="s">
        <v>369</v>
      </c>
      <c r="BW221" s="289"/>
      <c r="BX221" s="451"/>
      <c r="BY221" s="459"/>
      <c r="BZ221" s="459"/>
    </row>
    <row r="222" spans="2:78" ht="15.75" customHeight="1" x14ac:dyDescent="0.25">
      <c r="B222" t="s">
        <v>54</v>
      </c>
      <c r="C222" s="1"/>
      <c r="D222" s="1"/>
      <c r="E222" s="1"/>
      <c r="F222" s="1"/>
      <c r="G222" s="1"/>
      <c r="H222" s="87">
        <v>318</v>
      </c>
      <c r="I222" s="36"/>
      <c r="J222" s="36"/>
      <c r="K222" s="53"/>
      <c r="L222" s="36"/>
      <c r="M222" s="36"/>
      <c r="N222" s="87">
        <v>492</v>
      </c>
      <c r="O222" s="36"/>
      <c r="P222" s="36"/>
      <c r="Q222" s="53"/>
      <c r="R222" s="36"/>
      <c r="S222" s="36"/>
      <c r="T222" s="87">
        <v>636</v>
      </c>
      <c r="U222" s="36"/>
      <c r="V222" s="36"/>
      <c r="W222" s="53"/>
      <c r="X222" s="36"/>
      <c r="Y222" s="36"/>
      <c r="Z222" s="87">
        <v>859</v>
      </c>
      <c r="AA222" s="36"/>
      <c r="AB222" s="36"/>
      <c r="AC222" s="53"/>
      <c r="AD222" s="36"/>
      <c r="AE222" s="36"/>
      <c r="AF222" s="87">
        <v>623</v>
      </c>
      <c r="AG222" s="36"/>
      <c r="AH222" s="36"/>
      <c r="AI222" s="53"/>
      <c r="AJ222" s="36"/>
      <c r="AK222" s="36"/>
      <c r="AL222" s="87">
        <v>803</v>
      </c>
      <c r="AM222" s="36"/>
      <c r="AN222" s="36"/>
      <c r="AO222" s="53"/>
      <c r="AP222" s="36"/>
      <c r="AQ222" s="36"/>
      <c r="AR222" s="87">
        <v>420</v>
      </c>
      <c r="AS222" s="36"/>
      <c r="AT222" s="36"/>
      <c r="AU222" s="53"/>
      <c r="AV222" s="36"/>
      <c r="AW222" s="36"/>
      <c r="AX222" s="87">
        <v>824</v>
      </c>
      <c r="AY222" s="36"/>
      <c r="AZ222" s="36"/>
      <c r="BA222" s="53"/>
      <c r="BB222" s="36"/>
      <c r="BC222" s="36"/>
      <c r="BD222" s="87">
        <v>1258</v>
      </c>
      <c r="BE222" s="36"/>
      <c r="BF222" s="36"/>
      <c r="BG222" s="53"/>
      <c r="BH222" s="36"/>
      <c r="BI222" s="36"/>
      <c r="BJ222" s="87">
        <v>984</v>
      </c>
      <c r="BK222" s="36"/>
      <c r="BL222" s="36"/>
      <c r="BM222" s="53"/>
      <c r="BN222" s="36"/>
      <c r="BO222" s="36"/>
      <c r="BP222" s="87">
        <v>329</v>
      </c>
      <c r="BQ222" s="368">
        <v>4000</v>
      </c>
      <c r="BR222" s="368">
        <v>4000</v>
      </c>
      <c r="BS222" s="368">
        <v>4000</v>
      </c>
      <c r="BT222" s="368">
        <v>500</v>
      </c>
      <c r="BU222" s="368">
        <v>500</v>
      </c>
      <c r="BV222" s="411" t="s">
        <v>388</v>
      </c>
      <c r="BW222" s="446"/>
      <c r="BX222" s="457"/>
      <c r="BY222" s="459"/>
      <c r="BZ222" s="459"/>
    </row>
    <row r="223" spans="2:78" x14ac:dyDescent="0.25">
      <c r="B223" t="s">
        <v>55</v>
      </c>
      <c r="C223" s="1"/>
      <c r="D223" s="1"/>
      <c r="E223" s="1"/>
      <c r="F223" s="1"/>
      <c r="G223" s="1"/>
      <c r="H223" s="87">
        <v>-108</v>
      </c>
      <c r="I223" s="36"/>
      <c r="J223" s="36"/>
      <c r="K223" s="53"/>
      <c r="L223" s="36"/>
      <c r="M223" s="36"/>
      <c r="N223" s="87">
        <v>-4624</v>
      </c>
      <c r="O223" s="36"/>
      <c r="P223" s="36"/>
      <c r="Q223" s="53"/>
      <c r="R223" s="36"/>
      <c r="S223" s="36"/>
      <c r="T223" s="87">
        <v>-8</v>
      </c>
      <c r="U223" s="36"/>
      <c r="V223" s="36"/>
      <c r="W223" s="53"/>
      <c r="X223" s="36"/>
      <c r="Y223" s="36"/>
      <c r="Z223" s="87">
        <v>-59</v>
      </c>
      <c r="AA223" s="36"/>
      <c r="AB223" s="36"/>
      <c r="AC223" s="53"/>
      <c r="AD223" s="36"/>
      <c r="AE223" s="36"/>
      <c r="AF223" s="87">
        <v>2101</v>
      </c>
      <c r="AG223" s="36"/>
      <c r="AH223" s="36"/>
      <c r="AI223" s="53"/>
      <c r="AJ223" s="36"/>
      <c r="AK223" s="36"/>
      <c r="AL223" s="87">
        <v>-140</v>
      </c>
      <c r="AM223" s="36"/>
      <c r="AN223" s="36"/>
      <c r="AO223" s="53"/>
      <c r="AP223" s="36"/>
      <c r="AQ223" s="36"/>
      <c r="AR223" s="87">
        <v>1631</v>
      </c>
      <c r="AS223" s="36"/>
      <c r="AT223" s="36"/>
      <c r="AU223" s="53"/>
      <c r="AV223" s="36"/>
      <c r="AW223" s="36"/>
      <c r="AX223" s="87">
        <v>0</v>
      </c>
      <c r="AY223" s="36"/>
      <c r="AZ223" s="36"/>
      <c r="BA223" s="53"/>
      <c r="BB223" s="36"/>
      <c r="BC223" s="36"/>
      <c r="BD223" s="87">
        <v>-685</v>
      </c>
      <c r="BE223" s="36"/>
      <c r="BF223" s="36"/>
      <c r="BG223" s="53"/>
      <c r="BH223" s="36"/>
      <c r="BI223" s="36"/>
      <c r="BJ223" s="87">
        <v>0</v>
      </c>
      <c r="BK223" s="36"/>
      <c r="BL223" s="36"/>
      <c r="BM223" s="53"/>
      <c r="BN223" s="36"/>
      <c r="BO223" s="36"/>
      <c r="BP223" s="87">
        <v>-75790</v>
      </c>
      <c r="BQ223" s="368">
        <v>0</v>
      </c>
      <c r="BR223" s="368">
        <v>0</v>
      </c>
      <c r="BS223" s="368">
        <v>0</v>
      </c>
      <c r="BT223" s="368">
        <v>0</v>
      </c>
      <c r="BU223" s="368">
        <v>0</v>
      </c>
      <c r="BV223" s="400" t="s">
        <v>370</v>
      </c>
      <c r="BW223" s="289"/>
      <c r="BX223" s="451"/>
      <c r="BY223" s="459"/>
      <c r="BZ223" s="459"/>
    </row>
    <row r="224" spans="2:78" x14ac:dyDescent="0.25">
      <c r="B224" t="s">
        <v>56</v>
      </c>
      <c r="C224" s="1"/>
      <c r="D224" s="1"/>
      <c r="E224" s="1"/>
      <c r="F224" s="1"/>
      <c r="G224" s="1"/>
      <c r="H224" s="87">
        <v>-60</v>
      </c>
      <c r="I224" s="36"/>
      <c r="J224" s="36"/>
      <c r="K224" s="53"/>
      <c r="L224" s="36"/>
      <c r="M224" s="36"/>
      <c r="N224" s="87">
        <v>-26</v>
      </c>
      <c r="O224" s="36"/>
      <c r="P224" s="36"/>
      <c r="Q224" s="53"/>
      <c r="R224" s="36"/>
      <c r="S224" s="36"/>
      <c r="T224" s="87">
        <v>60</v>
      </c>
      <c r="U224" s="36"/>
      <c r="V224" s="36"/>
      <c r="W224" s="53"/>
      <c r="X224" s="36"/>
      <c r="Y224" s="36"/>
      <c r="Z224" s="87">
        <v>-34</v>
      </c>
      <c r="AA224" s="36"/>
      <c r="AB224" s="36"/>
      <c r="AC224" s="53"/>
      <c r="AD224" s="36"/>
      <c r="AE224" s="36"/>
      <c r="AF224" s="87">
        <v>-61</v>
      </c>
      <c r="AG224" s="36"/>
      <c r="AH224" s="36"/>
      <c r="AI224" s="53"/>
      <c r="AJ224" s="36"/>
      <c r="AK224" s="36"/>
      <c r="AL224" s="87">
        <v>122</v>
      </c>
      <c r="AM224" s="36"/>
      <c r="AN224" s="36"/>
      <c r="AO224" s="53"/>
      <c r="AP224" s="36"/>
      <c r="AQ224" s="36"/>
      <c r="AR224" s="87">
        <v>-148</v>
      </c>
      <c r="AS224" s="36"/>
      <c r="AT224" s="36"/>
      <c r="AU224" s="53"/>
      <c r="AV224" s="36"/>
      <c r="AW224" s="36"/>
      <c r="AX224" s="87">
        <v>4</v>
      </c>
      <c r="AY224" s="36"/>
      <c r="AZ224" s="36"/>
      <c r="BA224" s="53"/>
      <c r="BB224" s="36"/>
      <c r="BC224" s="36"/>
      <c r="BD224" s="87">
        <v>-228</v>
      </c>
      <c r="BE224" s="36"/>
      <c r="BF224" s="36"/>
      <c r="BG224" s="53"/>
      <c r="BH224" s="36"/>
      <c r="BI224" s="36"/>
      <c r="BJ224" s="87">
        <v>-930</v>
      </c>
      <c r="BK224" s="36"/>
      <c r="BL224" s="36"/>
      <c r="BM224" s="53"/>
      <c r="BN224" s="36"/>
      <c r="BO224" s="36"/>
      <c r="BP224" s="87">
        <v>326</v>
      </c>
      <c r="BQ224" s="368">
        <v>0</v>
      </c>
      <c r="BR224" s="368">
        <v>0</v>
      </c>
      <c r="BS224" s="368">
        <v>0</v>
      </c>
      <c r="BT224" s="368">
        <v>0</v>
      </c>
      <c r="BU224" s="368">
        <v>0</v>
      </c>
      <c r="BV224" s="365"/>
      <c r="BW224" s="305"/>
      <c r="BX224" s="451"/>
      <c r="BY224" s="459"/>
      <c r="BZ224" s="459"/>
    </row>
    <row r="225" spans="2:78" x14ac:dyDescent="0.25">
      <c r="B225" s="110" t="s">
        <v>57</v>
      </c>
      <c r="C225" s="123"/>
      <c r="D225" s="123"/>
      <c r="E225" s="123"/>
      <c r="F225" s="123"/>
      <c r="G225" s="123"/>
      <c r="H225" s="247">
        <f>SUM(H220:H224)</f>
        <v>-431</v>
      </c>
      <c r="I225" s="248"/>
      <c r="J225" s="248"/>
      <c r="K225" s="249"/>
      <c r="L225" s="248"/>
      <c r="M225" s="248"/>
      <c r="N225" s="247">
        <f>SUM(N220:N224)</f>
        <v>-5244</v>
      </c>
      <c r="O225" s="248"/>
      <c r="P225" s="248"/>
      <c r="Q225" s="249"/>
      <c r="R225" s="248"/>
      <c r="S225" s="248"/>
      <c r="T225" s="247">
        <f>SUM(T220:T224)</f>
        <v>-325</v>
      </c>
      <c r="U225" s="248"/>
      <c r="V225" s="248"/>
      <c r="W225" s="249"/>
      <c r="X225" s="248"/>
      <c r="Y225" s="248"/>
      <c r="Z225" s="247">
        <f>SUM(Z220:Z224)</f>
        <v>-444</v>
      </c>
      <c r="AA225" s="248"/>
      <c r="AB225" s="248"/>
      <c r="AC225" s="249"/>
      <c r="AD225" s="248"/>
      <c r="AE225" s="248"/>
      <c r="AF225" s="247">
        <f>SUM(AF220:AF224)</f>
        <v>1371</v>
      </c>
      <c r="AG225" s="248"/>
      <c r="AH225" s="248"/>
      <c r="AI225" s="249"/>
      <c r="AJ225" s="248"/>
      <c r="AK225" s="248"/>
      <c r="AL225" s="247">
        <f>SUM(AL220:AL224)</f>
        <v>-556</v>
      </c>
      <c r="AM225" s="248"/>
      <c r="AN225" s="248"/>
      <c r="AO225" s="249"/>
      <c r="AP225" s="248"/>
      <c r="AQ225" s="248"/>
      <c r="AR225" s="247">
        <f>SUM(AR220:AR224)</f>
        <v>420</v>
      </c>
      <c r="AS225" s="248"/>
      <c r="AT225" s="248"/>
      <c r="AU225" s="249"/>
      <c r="AV225" s="248"/>
      <c r="AW225" s="248"/>
      <c r="AX225" s="247">
        <f>SUM(AX220:AX224)</f>
        <v>-966</v>
      </c>
      <c r="AY225" s="248"/>
      <c r="AZ225" s="248"/>
      <c r="BA225" s="249"/>
      <c r="BB225" s="248"/>
      <c r="BC225" s="248"/>
      <c r="BD225" s="247">
        <f>SUM(BD220:BD224)</f>
        <v>-2030</v>
      </c>
      <c r="BE225" s="248"/>
      <c r="BF225" s="248"/>
      <c r="BG225" s="249"/>
      <c r="BH225" s="248"/>
      <c r="BI225" s="248"/>
      <c r="BJ225" s="247">
        <f>SUM(BJ220:BJ224)</f>
        <v>-2375</v>
      </c>
      <c r="BK225" s="248"/>
      <c r="BL225" s="248"/>
      <c r="BM225" s="249"/>
      <c r="BN225" s="248"/>
      <c r="BO225" s="248"/>
      <c r="BP225" s="247">
        <f t="shared" ref="BP225:BU225" si="192">SUM(BP220:BP224)</f>
        <v>-77723</v>
      </c>
      <c r="BQ225" s="377">
        <f t="shared" si="192"/>
        <v>-629.64263999999275</v>
      </c>
      <c r="BR225" s="377">
        <f t="shared" si="192"/>
        <v>-898.28094666665856</v>
      </c>
      <c r="BS225" s="377">
        <f t="shared" si="192"/>
        <v>-1145.9224139786584</v>
      </c>
      <c r="BT225" s="377">
        <f t="shared" si="192"/>
        <v>-4852.7591772319929</v>
      </c>
      <c r="BU225" s="377">
        <f t="shared" si="192"/>
        <v>-5067.8777956876411</v>
      </c>
      <c r="BV225" s="400" t="s">
        <v>371</v>
      </c>
      <c r="BW225" s="289"/>
      <c r="BX225" s="451"/>
      <c r="BY225" s="459"/>
      <c r="BZ225" s="459"/>
    </row>
    <row r="226" spans="2:78" x14ac:dyDescent="0.25">
      <c r="B226" s="3"/>
      <c r="C226" s="16"/>
      <c r="D226" s="16"/>
      <c r="E226" s="16"/>
      <c r="F226" s="16"/>
      <c r="G226" s="16"/>
      <c r="H226" s="74"/>
      <c r="I226" s="28"/>
      <c r="J226" s="28"/>
      <c r="K226" s="45"/>
      <c r="L226" s="28"/>
      <c r="M226" s="28"/>
      <c r="N226" s="74"/>
      <c r="O226" s="28"/>
      <c r="P226" s="28"/>
      <c r="Q226" s="45"/>
      <c r="R226" s="28"/>
      <c r="S226" s="28"/>
      <c r="T226" s="95"/>
      <c r="U226" s="189"/>
      <c r="V226" s="189"/>
      <c r="W226" s="190"/>
      <c r="X226" s="189"/>
      <c r="Y226" s="189"/>
      <c r="Z226" s="95"/>
      <c r="AA226" s="189"/>
      <c r="AB226" s="189"/>
      <c r="AC226" s="190"/>
      <c r="AD226" s="189"/>
      <c r="AE226" s="189"/>
      <c r="AF226" s="95"/>
      <c r="AG226" s="189"/>
      <c r="AH226" s="189"/>
      <c r="AI226" s="190"/>
      <c r="AJ226" s="189"/>
      <c r="AK226" s="189"/>
      <c r="AL226" s="95"/>
      <c r="AM226" s="189"/>
      <c r="AN226" s="189"/>
      <c r="AO226" s="190"/>
      <c r="AP226" s="189"/>
      <c r="AQ226" s="189"/>
      <c r="AR226" s="95"/>
      <c r="AS226" s="189"/>
      <c r="AT226" s="189"/>
      <c r="AU226" s="190"/>
      <c r="AV226" s="189"/>
      <c r="AW226" s="189"/>
      <c r="AX226" s="95"/>
      <c r="AY226" s="189"/>
      <c r="AZ226" s="189"/>
      <c r="BA226" s="190"/>
      <c r="BB226" s="189"/>
      <c r="BC226" s="189"/>
      <c r="BD226" s="95"/>
      <c r="BE226" s="189"/>
      <c r="BF226" s="189"/>
      <c r="BG226" s="190"/>
      <c r="BH226" s="189"/>
      <c r="BI226" s="189"/>
      <c r="BJ226" s="95"/>
      <c r="BK226" s="189"/>
      <c r="BL226" s="189"/>
      <c r="BM226" s="190"/>
      <c r="BN226" s="189"/>
      <c r="BO226" s="189"/>
      <c r="BP226" s="95"/>
      <c r="BQ226" s="409"/>
      <c r="BR226" s="410"/>
      <c r="BS226" s="410"/>
      <c r="BT226" s="410"/>
      <c r="BU226" s="410"/>
      <c r="BV226" s="365"/>
      <c r="BW226" s="305"/>
      <c r="BX226" s="451"/>
      <c r="BY226" s="459"/>
      <c r="BZ226" s="459"/>
    </row>
    <row r="227" spans="2:78" x14ac:dyDescent="0.25">
      <c r="B227" t="s">
        <v>58</v>
      </c>
      <c r="C227" s="1"/>
      <c r="D227" s="1"/>
      <c r="E227" s="1"/>
      <c r="F227" s="1"/>
      <c r="G227" s="1"/>
      <c r="H227" s="87">
        <v>715</v>
      </c>
      <c r="I227" s="36"/>
      <c r="J227" s="36"/>
      <c r="K227" s="53"/>
      <c r="L227" s="36"/>
      <c r="M227" s="36"/>
      <c r="N227" s="87">
        <v>4470</v>
      </c>
      <c r="O227" s="36"/>
      <c r="P227" s="36"/>
      <c r="Q227" s="53"/>
      <c r="R227" s="36"/>
      <c r="S227" s="36"/>
      <c r="T227" s="87">
        <v>1488</v>
      </c>
      <c r="U227" s="36"/>
      <c r="V227" s="36"/>
      <c r="W227" s="53"/>
      <c r="X227" s="36"/>
      <c r="Y227" s="36"/>
      <c r="Z227" s="87">
        <v>855</v>
      </c>
      <c r="AA227" s="36"/>
      <c r="AB227" s="36"/>
      <c r="AC227" s="53"/>
      <c r="AD227" s="36"/>
      <c r="AE227" s="36"/>
      <c r="AF227" s="87">
        <v>2445</v>
      </c>
      <c r="AG227" s="36"/>
      <c r="AH227" s="36"/>
      <c r="AI227" s="53"/>
      <c r="AJ227" s="36"/>
      <c r="AK227" s="36"/>
      <c r="AL227" s="87">
        <v>4108</v>
      </c>
      <c r="AM227" s="36"/>
      <c r="AN227" s="36"/>
      <c r="AO227" s="53"/>
      <c r="AP227" s="36"/>
      <c r="AQ227" s="36"/>
      <c r="AR227" s="87">
        <v>12834</v>
      </c>
      <c r="AS227" s="36"/>
      <c r="AT227" s="36"/>
      <c r="AU227" s="53"/>
      <c r="AV227" s="36"/>
      <c r="AW227" s="36"/>
      <c r="AX227" s="87">
        <v>4393</v>
      </c>
      <c r="AY227" s="36"/>
      <c r="AZ227" s="36"/>
      <c r="BA227" s="53"/>
      <c r="BB227" s="36"/>
      <c r="BC227" s="36"/>
      <c r="BD227" s="87">
        <v>212</v>
      </c>
      <c r="BE227" s="36"/>
      <c r="BF227" s="36"/>
      <c r="BG227" s="53"/>
      <c r="BH227" s="36"/>
      <c r="BI227" s="36"/>
      <c r="BJ227" s="87">
        <v>41406</v>
      </c>
      <c r="BK227" s="36"/>
      <c r="BL227" s="36"/>
      <c r="BM227" s="53"/>
      <c r="BN227" s="36"/>
      <c r="BO227" s="36"/>
      <c r="BP227" s="87">
        <v>14211</v>
      </c>
      <c r="BQ227" s="373">
        <f>BQ339</f>
        <v>1000</v>
      </c>
      <c r="BR227" s="373">
        <f>BR339</f>
        <v>1000</v>
      </c>
      <c r="BS227" s="373">
        <f>BS339</f>
        <v>1000</v>
      </c>
      <c r="BT227" s="373">
        <f>BT339</f>
        <v>1000</v>
      </c>
      <c r="BU227" s="373">
        <f>BU339</f>
        <v>1000</v>
      </c>
      <c r="BV227" s="400" t="s">
        <v>372</v>
      </c>
      <c r="BW227" s="289"/>
      <c r="BX227" s="451"/>
      <c r="BY227" s="459"/>
      <c r="BZ227" s="459"/>
    </row>
    <row r="228" spans="2:78" x14ac:dyDescent="0.25">
      <c r="B228" t="s">
        <v>59</v>
      </c>
      <c r="C228" s="1"/>
      <c r="D228" s="1"/>
      <c r="E228" s="1"/>
      <c r="F228" s="1"/>
      <c r="G228" s="1"/>
      <c r="H228" s="87">
        <v>-2395</v>
      </c>
      <c r="I228" s="36"/>
      <c r="J228" s="36"/>
      <c r="K228" s="53"/>
      <c r="L228" s="36"/>
      <c r="M228" s="36"/>
      <c r="N228" s="87">
        <v>-3936</v>
      </c>
      <c r="O228" s="36"/>
      <c r="P228" s="36"/>
      <c r="Q228" s="53"/>
      <c r="R228" s="36"/>
      <c r="S228" s="36"/>
      <c r="T228" s="87">
        <v>-4517</v>
      </c>
      <c r="U228" s="36"/>
      <c r="V228" s="36"/>
      <c r="W228" s="53"/>
      <c r="X228" s="36"/>
      <c r="Y228" s="36"/>
      <c r="Z228" s="87">
        <v>-750</v>
      </c>
      <c r="AA228" s="36"/>
      <c r="AB228" s="36"/>
      <c r="AC228" s="53"/>
      <c r="AD228" s="36"/>
      <c r="AE228" s="36"/>
      <c r="AF228" s="87">
        <v>-2466</v>
      </c>
      <c r="AG228" s="36"/>
      <c r="AH228" s="36"/>
      <c r="AI228" s="53"/>
      <c r="AJ228" s="36"/>
      <c r="AK228" s="36"/>
      <c r="AL228" s="87">
        <v>-3243</v>
      </c>
      <c r="AM228" s="36"/>
      <c r="AN228" s="36"/>
      <c r="AO228" s="53"/>
      <c r="AP228" s="36"/>
      <c r="AQ228" s="36"/>
      <c r="AR228" s="87">
        <v>-489</v>
      </c>
      <c r="AS228" s="36"/>
      <c r="AT228" s="36"/>
      <c r="AU228" s="53"/>
      <c r="AV228" s="36"/>
      <c r="AW228" s="36"/>
      <c r="AX228" s="87">
        <v>-3719</v>
      </c>
      <c r="AY228" s="36"/>
      <c r="AZ228" s="36"/>
      <c r="BA228" s="53"/>
      <c r="BB228" s="36"/>
      <c r="BC228" s="36"/>
      <c r="BD228" s="87">
        <v>-327</v>
      </c>
      <c r="BE228" s="36"/>
      <c r="BF228" s="36"/>
      <c r="BG228" s="53"/>
      <c r="BH228" s="36"/>
      <c r="BI228" s="36"/>
      <c r="BJ228" s="87">
        <v>-2445</v>
      </c>
      <c r="BK228" s="36"/>
      <c r="BL228" s="36"/>
      <c r="BM228" s="53"/>
      <c r="BN228" s="36"/>
      <c r="BO228" s="36"/>
      <c r="BP228" s="87">
        <v>-21746</v>
      </c>
      <c r="BQ228" s="373">
        <f>(BQ292+BQ299-BP292-BP299)-BQ227</f>
        <v>-6000</v>
      </c>
      <c r="BR228" s="373">
        <f>(BR292+BR299-BQ292-BQ299)-BR227</f>
        <v>-9000</v>
      </c>
      <c r="BS228" s="373">
        <f>(BS292+BS299-BR292-BR299)-BS227</f>
        <v>-6000</v>
      </c>
      <c r="BT228" s="373">
        <f>(BT292+BT299-BS292-BS299)-BT227</f>
        <v>-4000</v>
      </c>
      <c r="BU228" s="373">
        <f>(BU292+BU299-BT292-BT299)-BU227</f>
        <v>-3000</v>
      </c>
      <c r="BV228" s="400" t="s">
        <v>373</v>
      </c>
      <c r="BW228" s="289"/>
      <c r="BX228" s="451"/>
      <c r="BY228" s="459"/>
      <c r="BZ228" s="459"/>
    </row>
    <row r="229" spans="2:78" x14ac:dyDescent="0.25">
      <c r="B229" t="s">
        <v>60</v>
      </c>
      <c r="C229" s="1"/>
      <c r="D229" s="1"/>
      <c r="E229" s="1"/>
      <c r="F229" s="1"/>
      <c r="G229" s="1"/>
      <c r="H229" s="87" t="s">
        <v>12</v>
      </c>
      <c r="I229" s="36"/>
      <c r="J229" s="36"/>
      <c r="K229" s="53"/>
      <c r="L229" s="36"/>
      <c r="M229" s="36"/>
      <c r="N229" s="87" t="s">
        <v>12</v>
      </c>
      <c r="O229" s="36"/>
      <c r="P229" s="36"/>
      <c r="Q229" s="53"/>
      <c r="R229" s="36"/>
      <c r="S229" s="36"/>
      <c r="T229" s="87" t="s">
        <v>12</v>
      </c>
      <c r="U229" s="36"/>
      <c r="V229" s="36"/>
      <c r="W229" s="53"/>
      <c r="X229" s="36"/>
      <c r="Y229" s="36"/>
      <c r="Z229" s="87" t="s">
        <v>12</v>
      </c>
      <c r="AA229" s="36"/>
      <c r="AB229" s="36"/>
      <c r="AC229" s="53"/>
      <c r="AD229" s="36"/>
      <c r="AE229" s="36"/>
      <c r="AF229" s="87">
        <v>-2763</v>
      </c>
      <c r="AG229" s="36"/>
      <c r="AH229" s="36"/>
      <c r="AI229" s="53"/>
      <c r="AJ229" s="36"/>
      <c r="AK229" s="36"/>
      <c r="AL229" s="87">
        <v>-3058</v>
      </c>
      <c r="AM229" s="36"/>
      <c r="AN229" s="36"/>
      <c r="AO229" s="53"/>
      <c r="AP229" s="36"/>
      <c r="AQ229" s="36"/>
      <c r="AR229" s="87">
        <v>-3160</v>
      </c>
      <c r="AS229" s="36"/>
      <c r="AT229" s="36"/>
      <c r="AU229" s="53"/>
      <c r="AV229" s="36"/>
      <c r="AW229" s="36"/>
      <c r="AX229" s="87">
        <v>-3734</v>
      </c>
      <c r="AY229" s="36"/>
      <c r="AZ229" s="36"/>
      <c r="BA229" s="53"/>
      <c r="BB229" s="36"/>
      <c r="BC229" s="36"/>
      <c r="BD229" s="87">
        <v>-3905</v>
      </c>
      <c r="BE229" s="36"/>
      <c r="BF229" s="36"/>
      <c r="BG229" s="53"/>
      <c r="BH229" s="36"/>
      <c r="BI229" s="36"/>
      <c r="BJ229" s="87">
        <v>-4252</v>
      </c>
      <c r="BK229" s="36"/>
      <c r="BL229" s="36"/>
      <c r="BM229" s="53"/>
      <c r="BN229" s="36"/>
      <c r="BO229" s="36"/>
      <c r="BP229" s="87">
        <v>-6078</v>
      </c>
      <c r="BQ229" s="368">
        <v>-7000</v>
      </c>
      <c r="BR229" s="368">
        <v>-7000</v>
      </c>
      <c r="BS229" s="368">
        <v>-7000</v>
      </c>
      <c r="BT229" s="368">
        <v>-7000</v>
      </c>
      <c r="BU229" s="368">
        <v>-7000</v>
      </c>
      <c r="BV229" s="400" t="s">
        <v>374</v>
      </c>
      <c r="BW229" s="289"/>
      <c r="BX229" s="451"/>
      <c r="BY229" s="459"/>
      <c r="BZ229" s="459"/>
    </row>
    <row r="230" spans="2:78" x14ac:dyDescent="0.25">
      <c r="B230" t="s">
        <v>61</v>
      </c>
      <c r="C230" s="1"/>
      <c r="D230" s="1"/>
      <c r="E230" s="1"/>
      <c r="F230" s="1"/>
      <c r="G230" s="1"/>
      <c r="H230" s="87">
        <v>-3</v>
      </c>
      <c r="I230" s="36"/>
      <c r="J230" s="36"/>
      <c r="K230" s="53"/>
      <c r="L230" s="36"/>
      <c r="M230" s="36"/>
      <c r="N230" s="87">
        <v>-39</v>
      </c>
      <c r="O230" s="36"/>
      <c r="P230" s="36"/>
      <c r="Q230" s="53"/>
      <c r="R230" s="36"/>
      <c r="S230" s="36"/>
      <c r="T230" s="87">
        <v>-69</v>
      </c>
      <c r="U230" s="36"/>
      <c r="V230" s="36"/>
      <c r="W230" s="53"/>
      <c r="X230" s="36"/>
      <c r="Y230" s="36"/>
      <c r="Z230" s="87">
        <v>48</v>
      </c>
      <c r="AA230" s="36"/>
      <c r="AB230" s="36"/>
      <c r="AC230" s="53"/>
      <c r="AD230" s="36"/>
      <c r="AE230" s="36"/>
      <c r="AF230" s="87">
        <v>-29</v>
      </c>
      <c r="AG230" s="36"/>
      <c r="AH230" s="36"/>
      <c r="AI230" s="53"/>
      <c r="AJ230" s="36"/>
      <c r="AK230" s="36"/>
      <c r="AL230" s="87">
        <v>5</v>
      </c>
      <c r="AM230" s="36"/>
      <c r="AN230" s="36"/>
      <c r="AO230" s="53"/>
      <c r="AP230" s="36"/>
      <c r="AQ230" s="36"/>
      <c r="AR230" s="87">
        <v>118</v>
      </c>
      <c r="AS230" s="36"/>
      <c r="AT230" s="36"/>
      <c r="AU230" s="53"/>
      <c r="AV230" s="36"/>
      <c r="AW230" s="36"/>
      <c r="AX230" s="87">
        <v>-161</v>
      </c>
      <c r="AY230" s="36"/>
      <c r="AZ230" s="36"/>
      <c r="BA230" s="53"/>
      <c r="BB230" s="36"/>
      <c r="BC230" s="36"/>
      <c r="BD230" s="87">
        <v>108</v>
      </c>
      <c r="BE230" s="36"/>
      <c r="BF230" s="36"/>
      <c r="BG230" s="53"/>
      <c r="BH230" s="36"/>
      <c r="BI230" s="36"/>
      <c r="BJ230" s="87">
        <v>6</v>
      </c>
      <c r="BK230" s="36"/>
      <c r="BL230" s="36"/>
      <c r="BM230" s="53"/>
      <c r="BN230" s="36"/>
      <c r="BO230" s="36"/>
      <c r="BP230" s="87">
        <v>352</v>
      </c>
      <c r="BQ230" s="368">
        <v>0</v>
      </c>
      <c r="BR230" s="368">
        <v>0</v>
      </c>
      <c r="BS230" s="368">
        <v>0</v>
      </c>
      <c r="BT230" s="368">
        <v>0</v>
      </c>
      <c r="BU230" s="368">
        <v>0</v>
      </c>
      <c r="BV230" s="365"/>
      <c r="BW230" s="305"/>
      <c r="BX230" s="451"/>
      <c r="BY230" s="459"/>
      <c r="BZ230" s="459"/>
    </row>
    <row r="231" spans="2:78" x14ac:dyDescent="0.25">
      <c r="B231" t="s">
        <v>62</v>
      </c>
      <c r="C231" s="1"/>
      <c r="D231" s="1"/>
      <c r="E231" s="1"/>
      <c r="F231" s="1"/>
      <c r="G231" s="1"/>
      <c r="H231" s="87">
        <v>4761</v>
      </c>
      <c r="I231" s="36"/>
      <c r="J231" s="36"/>
      <c r="K231" s="53"/>
      <c r="L231" s="36"/>
      <c r="M231" s="36"/>
      <c r="N231" s="87">
        <v>0</v>
      </c>
      <c r="O231" s="36"/>
      <c r="P231" s="36"/>
      <c r="Q231" s="53"/>
      <c r="R231" s="36"/>
      <c r="S231" s="36"/>
      <c r="T231" s="87" t="s">
        <v>12</v>
      </c>
      <c r="U231" s="36"/>
      <c r="V231" s="36"/>
      <c r="W231" s="53"/>
      <c r="X231" s="36"/>
      <c r="Y231" s="36"/>
      <c r="Z231" s="87" t="s">
        <v>12</v>
      </c>
      <c r="AA231" s="36"/>
      <c r="AB231" s="36"/>
      <c r="AC231" s="53"/>
      <c r="AD231" s="36"/>
      <c r="AE231" s="36"/>
      <c r="AF231" s="87" t="s">
        <v>12</v>
      </c>
      <c r="AG231" s="36"/>
      <c r="AH231" s="36"/>
      <c r="AI231" s="53"/>
      <c r="AJ231" s="36"/>
      <c r="AK231" s="36"/>
      <c r="AL231" s="87" t="s">
        <v>12</v>
      </c>
      <c r="AM231" s="36"/>
      <c r="AN231" s="36"/>
      <c r="AO231" s="53"/>
      <c r="AP231" s="36"/>
      <c r="AQ231" s="36"/>
      <c r="AR231" s="87" t="s">
        <v>12</v>
      </c>
      <c r="AS231" s="36"/>
      <c r="AT231" s="36"/>
      <c r="AU231" s="53"/>
      <c r="AV231" s="36"/>
      <c r="AW231" s="36"/>
      <c r="AX231" s="87" t="s">
        <v>12</v>
      </c>
      <c r="AY231" s="36"/>
      <c r="AZ231" s="36"/>
      <c r="BA231" s="53"/>
      <c r="BB231" s="36"/>
      <c r="BC231" s="36"/>
      <c r="BD231" s="87" t="s">
        <v>12</v>
      </c>
      <c r="BE231" s="36"/>
      <c r="BF231" s="36"/>
      <c r="BG231" s="53"/>
      <c r="BH231" s="36"/>
      <c r="BI231" s="36"/>
      <c r="BJ231" s="87">
        <v>36605</v>
      </c>
      <c r="BK231" s="36"/>
      <c r="BL231" s="36"/>
      <c r="BM231" s="53"/>
      <c r="BN231" s="36"/>
      <c r="BO231" s="36"/>
      <c r="BP231" s="87">
        <v>0</v>
      </c>
      <c r="BQ231" s="368">
        <v>0</v>
      </c>
      <c r="BR231" s="368">
        <v>0</v>
      </c>
      <c r="BS231" s="368">
        <v>0</v>
      </c>
      <c r="BT231" s="368">
        <v>0</v>
      </c>
      <c r="BU231" s="368">
        <v>0</v>
      </c>
      <c r="BV231" s="365"/>
      <c r="BW231" s="305"/>
      <c r="BX231" s="451"/>
      <c r="BY231" s="459"/>
      <c r="BZ231" s="459"/>
    </row>
    <row r="232" spans="2:78" x14ac:dyDescent="0.25">
      <c r="B232" t="s">
        <v>63</v>
      </c>
      <c r="C232" s="1"/>
      <c r="D232" s="1"/>
      <c r="E232" s="1"/>
      <c r="F232" s="1"/>
      <c r="G232" s="1"/>
      <c r="H232" s="87">
        <v>-283</v>
      </c>
      <c r="I232" s="36"/>
      <c r="J232" s="36"/>
      <c r="K232" s="53"/>
      <c r="L232" s="36"/>
      <c r="M232" s="36"/>
      <c r="N232" s="87">
        <v>-327</v>
      </c>
      <c r="O232" s="36"/>
      <c r="P232" s="36"/>
      <c r="Q232" s="53"/>
      <c r="R232" s="36"/>
      <c r="S232" s="36"/>
      <c r="T232" s="87">
        <v>-342</v>
      </c>
      <c r="U232" s="36"/>
      <c r="V232" s="36"/>
      <c r="W232" s="53"/>
      <c r="X232" s="36"/>
      <c r="Y232" s="36"/>
      <c r="Z232" s="87">
        <v>-380</v>
      </c>
      <c r="AA232" s="36"/>
      <c r="AB232" s="36"/>
      <c r="AC232" s="53"/>
      <c r="AD232" s="36"/>
      <c r="AE232" s="36"/>
      <c r="AF232" s="87">
        <v>-423</v>
      </c>
      <c r="AG232" s="36"/>
      <c r="AH232" s="36"/>
      <c r="AI232" s="53"/>
      <c r="AJ232" s="36"/>
      <c r="AK232" s="36"/>
      <c r="AL232" s="87">
        <v>-588</v>
      </c>
      <c r="AM232" s="36"/>
      <c r="AN232" s="36"/>
      <c r="AO232" s="53"/>
      <c r="AP232" s="36"/>
      <c r="AQ232" s="36"/>
      <c r="AR232" s="87">
        <v>-920</v>
      </c>
      <c r="AS232" s="36"/>
      <c r="AT232" s="36"/>
      <c r="AU232" s="53"/>
      <c r="AV232" s="36"/>
      <c r="AW232" s="36"/>
      <c r="AX232" s="87">
        <v>-1320</v>
      </c>
      <c r="AY232" s="36"/>
      <c r="AZ232" s="36"/>
      <c r="BA232" s="53"/>
      <c r="BB232" s="36"/>
      <c r="BC232" s="36"/>
      <c r="BD232" s="87">
        <v>-1424</v>
      </c>
      <c r="BE232" s="36"/>
      <c r="BF232" s="36"/>
      <c r="BG232" s="53"/>
      <c r="BH232" s="36"/>
      <c r="BI232" s="36"/>
      <c r="BJ232" s="87">
        <v>-1533</v>
      </c>
      <c r="BK232" s="36"/>
      <c r="BL232" s="36"/>
      <c r="BM232" s="53"/>
      <c r="BN232" s="36"/>
      <c r="BO232" s="36"/>
      <c r="BP232" s="87">
        <v>-1683</v>
      </c>
      <c r="BQ232" s="373">
        <f>-BQ160*0.1</f>
        <v>-1308.7224999999971</v>
      </c>
      <c r="BR232" s="373">
        <f>-BR160*0.1</f>
        <v>-1710.8642405599967</v>
      </c>
      <c r="BS232" s="373">
        <f>-BS160*0.1</f>
        <v>-2156.9718586889967</v>
      </c>
      <c r="BT232" s="373">
        <f>-BT160*0.1</f>
        <v>-2375.1519321076753</v>
      </c>
      <c r="BU232" s="373">
        <f>-BU160*0.1</f>
        <v>-2575.1478693647841</v>
      </c>
      <c r="BV232" s="400" t="s">
        <v>375</v>
      </c>
      <c r="BW232" s="289"/>
      <c r="BX232" s="451"/>
      <c r="BY232" s="459"/>
      <c r="BZ232" s="459"/>
    </row>
    <row r="233" spans="2:78" x14ac:dyDescent="0.25">
      <c r="B233" t="s">
        <v>64</v>
      </c>
      <c r="C233" s="1"/>
      <c r="D233" s="1"/>
      <c r="E233" s="1"/>
      <c r="F233" s="1"/>
      <c r="G233" s="1"/>
      <c r="H233" s="87">
        <v>-1419</v>
      </c>
      <c r="I233" s="36"/>
      <c r="J233" s="36"/>
      <c r="K233" s="53"/>
      <c r="L233" s="36"/>
      <c r="M233" s="36"/>
      <c r="N233" s="87">
        <v>0</v>
      </c>
      <c r="O233" s="36"/>
      <c r="P233" s="36"/>
      <c r="Q233" s="53"/>
      <c r="R233" s="36"/>
      <c r="S233" s="36"/>
      <c r="T233" s="87">
        <v>-1559</v>
      </c>
      <c r="U233" s="36"/>
      <c r="V233" s="36"/>
      <c r="W233" s="53"/>
      <c r="X233" s="36"/>
      <c r="Y233" s="36"/>
      <c r="Z233" s="87">
        <v>-4161</v>
      </c>
      <c r="AA233" s="36"/>
      <c r="AB233" s="36"/>
      <c r="AC233" s="53"/>
      <c r="AD233" s="36"/>
      <c r="AE233" s="36"/>
      <c r="AF233" s="87">
        <v>-4888</v>
      </c>
      <c r="AG233" s="36"/>
      <c r="AH233" s="36"/>
      <c r="AI233" s="53"/>
      <c r="AJ233" s="36"/>
      <c r="AK233" s="36"/>
      <c r="AL233" s="87">
        <v>-5031</v>
      </c>
      <c r="AM233" s="36"/>
      <c r="AN233" s="36"/>
      <c r="AO233" s="53"/>
      <c r="AP233" s="36"/>
      <c r="AQ233" s="36"/>
      <c r="AR233" s="87">
        <v>-17841</v>
      </c>
      <c r="AS233" s="36"/>
      <c r="AT233" s="36"/>
      <c r="AU233" s="53"/>
      <c r="AV233" s="36"/>
      <c r="AW233" s="36"/>
      <c r="AX233" s="87">
        <v>-20313</v>
      </c>
      <c r="AY233" s="36"/>
      <c r="AZ233" s="36"/>
      <c r="BA233" s="53"/>
      <c r="BB233" s="36"/>
      <c r="BC233" s="36"/>
      <c r="BD233" s="87">
        <v>-13997</v>
      </c>
      <c r="BE233" s="36"/>
      <c r="BF233" s="36"/>
      <c r="BG233" s="53"/>
      <c r="BH233" s="36"/>
      <c r="BI233" s="36"/>
      <c r="BJ233" s="87">
        <v>-3347</v>
      </c>
      <c r="BK233" s="36"/>
      <c r="BL233" s="36"/>
      <c r="BM233" s="53"/>
      <c r="BN233" s="36"/>
      <c r="BO233" s="36"/>
      <c r="BP233" s="87">
        <v>0</v>
      </c>
      <c r="BQ233" s="373">
        <f>CHOOSE(MATCH($BV$2,{"Bull","Base","Bear"},0),CD61,CE61,CF61)</f>
        <v>-2000</v>
      </c>
      <c r="BR233" s="373">
        <f>CHOOSE(MATCH($BV$2,{"Bull","Base","Bear"},0),CD62,CE62,CF62)</f>
        <v>-5000</v>
      </c>
      <c r="BS233" s="373">
        <f>CHOOSE(MATCH($BV$2,{"Bull","Base","Bear"},0),CD63,CE63,CF63)</f>
        <v>-10000</v>
      </c>
      <c r="BT233" s="373">
        <f>CHOOSE(MATCH($BV$2,{"Bull","Base","Bear"},0),CD64,CE64,CF64)</f>
        <v>-15000</v>
      </c>
      <c r="BU233" s="373">
        <f>CHOOSE(MATCH($BV$2,{"Bull","Base","Bear"},0),CD65,CE65,CF65)</f>
        <v>-18000</v>
      </c>
      <c r="BV233" s="400" t="s">
        <v>376</v>
      </c>
      <c r="BW233" s="289"/>
      <c r="BX233" s="451"/>
      <c r="BY233" s="459"/>
      <c r="BZ233" s="459"/>
    </row>
    <row r="234" spans="2:78" x14ac:dyDescent="0.25">
      <c r="B234" t="s">
        <v>65</v>
      </c>
      <c r="C234" s="1"/>
      <c r="D234" s="1"/>
      <c r="E234" s="1"/>
      <c r="F234" s="1"/>
      <c r="G234" s="1"/>
      <c r="H234" s="87">
        <v>437</v>
      </c>
      <c r="I234" s="36"/>
      <c r="J234" s="36"/>
      <c r="K234" s="53"/>
      <c r="L234" s="36"/>
      <c r="M234" s="36"/>
      <c r="N234" s="87">
        <v>220</v>
      </c>
      <c r="O234" s="36"/>
      <c r="P234" s="36"/>
      <c r="Q234" s="53"/>
      <c r="R234" s="36"/>
      <c r="S234" s="36"/>
      <c r="T234" s="87">
        <v>303</v>
      </c>
      <c r="U234" s="36"/>
      <c r="V234" s="36"/>
      <c r="W234" s="53"/>
      <c r="X234" s="36"/>
      <c r="Y234" s="36"/>
      <c r="Z234" s="87">
        <v>372</v>
      </c>
      <c r="AA234" s="36"/>
      <c r="AB234" s="36"/>
      <c r="AC234" s="53"/>
      <c r="AD234" s="36"/>
      <c r="AE234" s="36"/>
      <c r="AF234" s="87">
        <v>623</v>
      </c>
      <c r="AG234" s="36"/>
      <c r="AH234" s="36"/>
      <c r="AI234" s="53"/>
      <c r="AJ234" s="36"/>
      <c r="AK234" s="36"/>
      <c r="AL234" s="87">
        <v>818</v>
      </c>
      <c r="AM234" s="36"/>
      <c r="AN234" s="36"/>
      <c r="AO234" s="53"/>
      <c r="AP234" s="36"/>
      <c r="AQ234" s="36"/>
      <c r="AR234" s="87">
        <v>784</v>
      </c>
      <c r="AS234" s="36"/>
      <c r="AT234" s="36"/>
      <c r="AU234" s="53"/>
      <c r="AV234" s="36"/>
      <c r="AW234" s="36"/>
      <c r="AX234" s="87">
        <v>618</v>
      </c>
      <c r="AY234" s="36"/>
      <c r="AZ234" s="36"/>
      <c r="BA234" s="53"/>
      <c r="BB234" s="36"/>
      <c r="BC234" s="36"/>
      <c r="BD234" s="87">
        <v>1794</v>
      </c>
      <c r="BE234" s="36"/>
      <c r="BF234" s="36"/>
      <c r="BG234" s="53"/>
      <c r="BH234" s="36"/>
      <c r="BI234" s="36"/>
      <c r="BJ234" s="87">
        <v>1502</v>
      </c>
      <c r="BK234" s="36"/>
      <c r="BL234" s="36"/>
      <c r="BM234" s="53"/>
      <c r="BN234" s="36"/>
      <c r="BO234" s="36"/>
      <c r="BP234" s="87">
        <v>2080</v>
      </c>
      <c r="BQ234" s="368">
        <v>1500</v>
      </c>
      <c r="BR234" s="368">
        <v>1500</v>
      </c>
      <c r="BS234" s="368">
        <v>1500</v>
      </c>
      <c r="BT234" s="368">
        <v>1500</v>
      </c>
      <c r="BU234" s="368">
        <v>1500</v>
      </c>
      <c r="BV234" s="365"/>
      <c r="BW234" s="305"/>
      <c r="BX234" s="451"/>
      <c r="BY234" s="459"/>
      <c r="BZ234" s="459"/>
    </row>
    <row r="235" spans="2:78" x14ac:dyDescent="0.25">
      <c r="B235" t="s">
        <v>66</v>
      </c>
      <c r="C235" s="1"/>
      <c r="D235" s="1"/>
      <c r="E235" s="1"/>
      <c r="F235" s="1"/>
      <c r="G235" s="1"/>
      <c r="H235" s="87">
        <v>42</v>
      </c>
      <c r="I235" s="36"/>
      <c r="J235" s="36"/>
      <c r="K235" s="53"/>
      <c r="L235" s="36"/>
      <c r="M235" s="36"/>
      <c r="N235" s="87">
        <v>8</v>
      </c>
      <c r="O235" s="36"/>
      <c r="P235" s="36"/>
      <c r="Q235" s="53"/>
      <c r="R235" s="36"/>
      <c r="S235" s="36"/>
      <c r="T235" s="87">
        <v>-19</v>
      </c>
      <c r="U235" s="36"/>
      <c r="V235" s="36"/>
      <c r="W235" s="53"/>
      <c r="X235" s="36"/>
      <c r="Y235" s="36"/>
      <c r="Z235" s="87">
        <v>16</v>
      </c>
      <c r="AA235" s="36"/>
      <c r="AB235" s="36"/>
      <c r="AC235" s="53"/>
      <c r="AD235" s="36"/>
      <c r="AE235" s="36"/>
      <c r="AF235" s="87">
        <v>17</v>
      </c>
      <c r="AG235" s="36"/>
      <c r="AH235" s="36"/>
      <c r="AI235" s="53"/>
      <c r="AJ235" s="36"/>
      <c r="AK235" s="36"/>
      <c r="AL235" s="87">
        <v>-10</v>
      </c>
      <c r="AM235" s="36"/>
      <c r="AN235" s="36"/>
      <c r="AO235" s="53"/>
      <c r="AP235" s="36"/>
      <c r="AQ235" s="36"/>
      <c r="AR235" s="87">
        <v>-6</v>
      </c>
      <c r="AS235" s="36"/>
      <c r="AT235" s="36"/>
      <c r="AU235" s="53"/>
      <c r="AV235" s="36"/>
      <c r="AW235" s="36"/>
      <c r="AX235" s="87">
        <v>-9</v>
      </c>
      <c r="AY235" s="36"/>
      <c r="AZ235" s="36"/>
      <c r="BA235" s="53"/>
      <c r="BB235" s="36"/>
      <c r="BC235" s="36"/>
      <c r="BD235" s="87">
        <v>-35</v>
      </c>
      <c r="BE235" s="36"/>
      <c r="BF235" s="36"/>
      <c r="BG235" s="53"/>
      <c r="BH235" s="36"/>
      <c r="BI235" s="36"/>
      <c r="BJ235" s="87">
        <v>1</v>
      </c>
      <c r="BK235" s="36"/>
      <c r="BL235" s="36"/>
      <c r="BM235" s="53"/>
      <c r="BN235" s="36"/>
      <c r="BO235" s="36"/>
      <c r="BP235" s="87">
        <v>-593</v>
      </c>
      <c r="BQ235" s="368">
        <v>0</v>
      </c>
      <c r="BR235" s="368">
        <v>0</v>
      </c>
      <c r="BS235" s="368">
        <v>0</v>
      </c>
      <c r="BT235" s="368">
        <v>0</v>
      </c>
      <c r="BU235" s="368">
        <v>0</v>
      </c>
      <c r="BV235" s="365"/>
      <c r="BW235" s="305"/>
      <c r="BX235" s="451"/>
      <c r="BY235" s="459"/>
      <c r="BZ235" s="459"/>
    </row>
    <row r="236" spans="2:78" x14ac:dyDescent="0.25">
      <c r="B236" s="3" t="s">
        <v>67</v>
      </c>
      <c r="C236" s="16"/>
      <c r="D236" s="16"/>
      <c r="E236" s="16"/>
      <c r="F236" s="16"/>
      <c r="G236" s="16"/>
      <c r="H236" s="97">
        <f>SUM(H227:H235)</f>
        <v>1855</v>
      </c>
      <c r="I236" s="35"/>
      <c r="J236" s="35"/>
      <c r="K236" s="52"/>
      <c r="L236" s="35"/>
      <c r="M236" s="35"/>
      <c r="N236" s="97">
        <f>SUM(N227:N235)</f>
        <v>396</v>
      </c>
      <c r="O236" s="35"/>
      <c r="P236" s="35"/>
      <c r="Q236" s="52"/>
      <c r="R236" s="35"/>
      <c r="S236" s="35"/>
      <c r="T236" s="97">
        <f>SUM(T227:T235)</f>
        <v>-4715</v>
      </c>
      <c r="U236" s="35"/>
      <c r="V236" s="35"/>
      <c r="W236" s="52"/>
      <c r="X236" s="35"/>
      <c r="Y236" s="35"/>
      <c r="Z236" s="97">
        <f>SUM(Z227:Z235)</f>
        <v>-4000</v>
      </c>
      <c r="AA236" s="35"/>
      <c r="AB236" s="35"/>
      <c r="AC236" s="52"/>
      <c r="AD236" s="35"/>
      <c r="AE236" s="35"/>
      <c r="AF236" s="97">
        <f>SUM(AF227:AF235)</f>
        <v>-7484</v>
      </c>
      <c r="AG236" s="35"/>
      <c r="AH236" s="35"/>
      <c r="AI236" s="52"/>
      <c r="AJ236" s="35"/>
      <c r="AK236" s="35"/>
      <c r="AL236" s="97">
        <f>SUM(AL227:AL235)</f>
        <v>-6999</v>
      </c>
      <c r="AM236" s="35"/>
      <c r="AN236" s="35"/>
      <c r="AO236" s="52"/>
      <c r="AP236" s="35"/>
      <c r="AQ236" s="35"/>
      <c r="AR236" s="97">
        <f>SUM(AR227:AR235)</f>
        <v>-8680</v>
      </c>
      <c r="AS236" s="35"/>
      <c r="AT236" s="35"/>
      <c r="AU236" s="52"/>
      <c r="AV236" s="35"/>
      <c r="AW236" s="35"/>
      <c r="AX236" s="97">
        <f>SUM(AX227:AX235)</f>
        <v>-24245</v>
      </c>
      <c r="AY236" s="35"/>
      <c r="AZ236" s="35"/>
      <c r="BA236" s="52"/>
      <c r="BB236" s="35"/>
      <c r="BC236" s="35"/>
      <c r="BD236" s="97">
        <f>SUM(BD227:BD235)</f>
        <v>-17574</v>
      </c>
      <c r="BE236" s="35"/>
      <c r="BF236" s="35"/>
      <c r="BG236" s="52"/>
      <c r="BH236" s="35"/>
      <c r="BI236" s="35"/>
      <c r="BJ236" s="97">
        <f>SUM(BJ227:BJ235)</f>
        <v>67943</v>
      </c>
      <c r="BK236" s="35"/>
      <c r="BL236" s="35"/>
      <c r="BM236" s="52"/>
      <c r="BN236" s="35"/>
      <c r="BO236" s="35"/>
      <c r="BP236" s="97">
        <f t="shared" ref="BP236:BU236" si="193">SUM(BP227:BP235)</f>
        <v>-13457</v>
      </c>
      <c r="BQ236" s="377">
        <f t="shared" si="193"/>
        <v>-13808.722499999996</v>
      </c>
      <c r="BR236" s="377">
        <f t="shared" si="193"/>
        <v>-20210.864240559997</v>
      </c>
      <c r="BS236" s="377">
        <f t="shared" si="193"/>
        <v>-22656.971858688998</v>
      </c>
      <c r="BT236" s="377">
        <f t="shared" si="193"/>
        <v>-25875.151932107678</v>
      </c>
      <c r="BU236" s="377">
        <f t="shared" si="193"/>
        <v>-28075.147869364784</v>
      </c>
      <c r="BV236" s="400" t="s">
        <v>377</v>
      </c>
      <c r="BW236" s="289"/>
      <c r="BX236" s="451"/>
      <c r="BY236" s="459"/>
      <c r="BZ236" s="459"/>
    </row>
    <row r="237" spans="2:78" x14ac:dyDescent="0.25">
      <c r="B237" s="130" t="s">
        <v>68</v>
      </c>
      <c r="C237" s="131"/>
      <c r="D237" s="131"/>
      <c r="E237" s="131"/>
      <c r="F237" s="131"/>
      <c r="G237" s="131"/>
      <c r="H237" s="132">
        <f>H219+H225+H236</f>
        <v>4584</v>
      </c>
      <c r="I237" s="133"/>
      <c r="J237" s="133"/>
      <c r="K237" s="134"/>
      <c r="L237" s="133"/>
      <c r="M237" s="133"/>
      <c r="N237" s="132">
        <f>N219+N225+N236</f>
        <v>-3284</v>
      </c>
      <c r="O237" s="133"/>
      <c r="P237" s="133"/>
      <c r="Q237" s="134"/>
      <c r="R237" s="133"/>
      <c r="S237" s="133"/>
      <c r="T237" s="132">
        <f>T219+T225+T236</f>
        <v>-376</v>
      </c>
      <c r="U237" s="133"/>
      <c r="V237" s="133"/>
      <c r="W237" s="134"/>
      <c r="X237" s="133"/>
      <c r="Y237" s="133"/>
      <c r="Z237" s="132">
        <f>Z219+Z225+Z236</f>
        <v>-143</v>
      </c>
      <c r="AA237" s="133"/>
      <c r="AB237" s="133"/>
      <c r="AC237" s="134"/>
      <c r="AD237" s="133"/>
      <c r="AE237" s="133"/>
      <c r="AF237" s="132">
        <f>AF219+AF225+AF236</f>
        <v>766</v>
      </c>
      <c r="AG237" s="133"/>
      <c r="AH237" s="133"/>
      <c r="AI237" s="134"/>
      <c r="AJ237" s="133"/>
      <c r="AK237" s="133"/>
      <c r="AL237" s="132">
        <f>AL219+AL225+AL236</f>
        <v>2721</v>
      </c>
      <c r="AM237" s="133"/>
      <c r="AN237" s="133"/>
      <c r="AO237" s="134"/>
      <c r="AP237" s="133"/>
      <c r="AQ237" s="133"/>
      <c r="AR237" s="132">
        <f>AR219+AR225+AR236</f>
        <v>3942</v>
      </c>
      <c r="AS237" s="133"/>
      <c r="AT237" s="133"/>
      <c r="AU237" s="134"/>
      <c r="AV237" s="133"/>
      <c r="AW237" s="133"/>
      <c r="AX237" s="132">
        <f>AX219+AX225+AX236</f>
        <v>1635</v>
      </c>
      <c r="AY237" s="133"/>
      <c r="AZ237" s="133"/>
      <c r="BA237" s="134"/>
      <c r="BB237" s="133"/>
      <c r="BC237" s="133"/>
      <c r="BD237" s="132">
        <f>BD219+BD225+BD236</f>
        <v>-3146</v>
      </c>
      <c r="BE237" s="133"/>
      <c r="BF237" s="133"/>
      <c r="BG237" s="134"/>
      <c r="BH237" s="133"/>
      <c r="BI237" s="133"/>
      <c r="BJ237" s="132">
        <f>BJ219+BJ225+BJ236</f>
        <v>77219</v>
      </c>
      <c r="BK237" s="133"/>
      <c r="BL237" s="133"/>
      <c r="BM237" s="134"/>
      <c r="BN237" s="133"/>
      <c r="BO237" s="133"/>
      <c r="BP237" s="132">
        <f t="shared" ref="BP237:BU237" si="194">BP219+BP225+BP236</f>
        <v>-69699</v>
      </c>
      <c r="BQ237" s="461">
        <f t="shared" si="194"/>
        <v>6560.9204431598264</v>
      </c>
      <c r="BR237" s="462">
        <f t="shared" si="194"/>
        <v>5839.2237640317653</v>
      </c>
      <c r="BS237" s="462">
        <f t="shared" si="194"/>
        <v>7584.3089821984286</v>
      </c>
      <c r="BT237" s="462">
        <f t="shared" si="194"/>
        <v>2520.0778601706261</v>
      </c>
      <c r="BU237" s="462">
        <f t="shared" si="194"/>
        <v>2326.1124456048856</v>
      </c>
      <c r="BV237" s="365"/>
      <c r="BW237" s="305"/>
      <c r="BX237" s="451"/>
      <c r="BY237" s="459"/>
      <c r="BZ237" s="459"/>
    </row>
    <row r="238" spans="2:78" x14ac:dyDescent="0.25">
      <c r="B238" t="s">
        <v>69</v>
      </c>
      <c r="C238" s="1"/>
      <c r="D238" s="1"/>
      <c r="E238" s="1"/>
      <c r="F238" s="1"/>
      <c r="G238" s="1"/>
      <c r="H238" s="87" t="s">
        <v>188</v>
      </c>
      <c r="I238" s="36"/>
      <c r="J238" s="36"/>
      <c r="K238" s="53"/>
      <c r="L238" s="36"/>
      <c r="M238" s="36"/>
      <c r="N238" s="94">
        <f>H240</f>
        <v>4908</v>
      </c>
      <c r="O238" s="34"/>
      <c r="P238" s="34"/>
      <c r="Q238" s="51"/>
      <c r="R238" s="34"/>
      <c r="S238" s="34"/>
      <c r="T238" s="94">
        <f>N240</f>
        <v>1714</v>
      </c>
      <c r="U238" s="34"/>
      <c r="V238" s="34"/>
      <c r="W238" s="51"/>
      <c r="X238" s="34"/>
      <c r="Y238" s="34"/>
      <c r="Z238" s="94">
        <f>T240</f>
        <v>1348</v>
      </c>
      <c r="AA238" s="34"/>
      <c r="AB238" s="34"/>
      <c r="AC238" s="51"/>
      <c r="AD238" s="34"/>
      <c r="AE238" s="34"/>
      <c r="AF238" s="94">
        <f>Z240</f>
        <v>1158</v>
      </c>
      <c r="AG238" s="34"/>
      <c r="AH238" s="34"/>
      <c r="AI238" s="51"/>
      <c r="AJ238" s="34"/>
      <c r="AK238" s="34"/>
      <c r="AL238" s="94">
        <f>AF240</f>
        <v>2043</v>
      </c>
      <c r="AM238" s="34"/>
      <c r="AN238" s="34"/>
      <c r="AO238" s="51"/>
      <c r="AP238" s="34"/>
      <c r="AQ238" s="34"/>
      <c r="AR238" s="94">
        <f>AL240</f>
        <v>4060</v>
      </c>
      <c r="AS238" s="34"/>
      <c r="AT238" s="34"/>
      <c r="AU238" s="51"/>
      <c r="AV238" s="34"/>
      <c r="AW238" s="34"/>
      <c r="AX238" s="94">
        <f>AR240</f>
        <v>8299</v>
      </c>
      <c r="AY238" s="34"/>
      <c r="AZ238" s="34"/>
      <c r="BA238" s="51"/>
      <c r="BB238" s="34"/>
      <c r="BC238" s="34"/>
      <c r="BD238" s="94">
        <f>AX240</f>
        <v>10160</v>
      </c>
      <c r="BE238" s="34"/>
      <c r="BF238" s="34"/>
      <c r="BG238" s="51"/>
      <c r="BH238" s="34"/>
      <c r="BI238" s="34"/>
      <c r="BJ238" s="94">
        <f>BD240</f>
        <v>6452</v>
      </c>
      <c r="BK238" s="34"/>
      <c r="BL238" s="34"/>
      <c r="BM238" s="51"/>
      <c r="BN238" s="34"/>
      <c r="BO238" s="34"/>
      <c r="BP238" s="94">
        <f>BJ240</f>
        <v>83576</v>
      </c>
      <c r="BQ238" s="443">
        <f>BP240</f>
        <v>13179</v>
      </c>
      <c r="BR238" s="444">
        <f>BQ240</f>
        <v>19739.920443159826</v>
      </c>
      <c r="BS238" s="444">
        <f>BR240</f>
        <v>25579.144207191592</v>
      </c>
      <c r="BT238" s="444">
        <f>BS240</f>
        <v>33163.45318939002</v>
      </c>
      <c r="BU238" s="444">
        <f>BT240</f>
        <v>35683.531049560646</v>
      </c>
      <c r="BV238" s="365"/>
      <c r="BW238" s="305"/>
      <c r="BX238" s="451"/>
      <c r="BY238" s="459"/>
      <c r="BZ238" s="459"/>
    </row>
    <row r="239" spans="2:78" x14ac:dyDescent="0.25">
      <c r="B239" t="s">
        <v>70</v>
      </c>
      <c r="C239" s="1"/>
      <c r="D239" s="1"/>
      <c r="E239" s="1"/>
      <c r="F239" s="1"/>
      <c r="G239" s="1"/>
      <c r="H239" s="87">
        <v>-108</v>
      </c>
      <c r="I239" s="36"/>
      <c r="J239" s="36"/>
      <c r="K239" s="53"/>
      <c r="L239" s="36"/>
      <c r="M239" s="36"/>
      <c r="N239" s="87">
        <v>90</v>
      </c>
      <c r="O239" s="36"/>
      <c r="P239" s="36"/>
      <c r="Q239" s="53"/>
      <c r="R239" s="36"/>
      <c r="S239" s="36"/>
      <c r="T239" s="87">
        <v>10</v>
      </c>
      <c r="U239" s="36"/>
      <c r="V239" s="36"/>
      <c r="W239" s="53"/>
      <c r="X239" s="36"/>
      <c r="Y239" s="36"/>
      <c r="Z239" s="87">
        <v>-47</v>
      </c>
      <c r="AA239" s="36"/>
      <c r="AB239" s="36"/>
      <c r="AC239" s="53"/>
      <c r="AD239" s="36"/>
      <c r="AE239" s="36"/>
      <c r="AF239" s="87">
        <v>119</v>
      </c>
      <c r="AG239" s="36"/>
      <c r="AH239" s="36"/>
      <c r="AI239" s="53"/>
      <c r="AJ239" s="36"/>
      <c r="AK239" s="36"/>
      <c r="AL239" s="87">
        <v>-704</v>
      </c>
      <c r="AM239" s="36"/>
      <c r="AN239" s="36"/>
      <c r="AO239" s="53"/>
      <c r="AP239" s="36"/>
      <c r="AQ239" s="36"/>
      <c r="AR239" s="87">
        <v>297</v>
      </c>
      <c r="AS239" s="36"/>
      <c r="AT239" s="36"/>
      <c r="AU239" s="53"/>
      <c r="AV239" s="36"/>
      <c r="AW239" s="36"/>
      <c r="AX239" s="87">
        <v>226</v>
      </c>
      <c r="AY239" s="36"/>
      <c r="AZ239" s="36"/>
      <c r="BA239" s="53"/>
      <c r="BB239" s="36"/>
      <c r="BC239" s="36"/>
      <c r="BD239" s="87">
        <v>-562</v>
      </c>
      <c r="BE239" s="36"/>
      <c r="BF239" s="36"/>
      <c r="BG239" s="53"/>
      <c r="BH239" s="36"/>
      <c r="BI239" s="36"/>
      <c r="BJ239" s="87">
        <v>-95</v>
      </c>
      <c r="BK239" s="36"/>
      <c r="BL239" s="36"/>
      <c r="BM239" s="53"/>
      <c r="BN239" s="36"/>
      <c r="BO239" s="36"/>
      <c r="BP239" s="87">
        <v>-698</v>
      </c>
      <c r="BQ239" s="368">
        <v>0</v>
      </c>
      <c r="BR239" s="368">
        <v>0</v>
      </c>
      <c r="BS239" s="368">
        <v>0</v>
      </c>
      <c r="BT239" s="368">
        <v>0</v>
      </c>
      <c r="BU239" s="368">
        <v>0</v>
      </c>
      <c r="BV239" s="365"/>
      <c r="BW239" s="305"/>
      <c r="BX239" s="451"/>
      <c r="BY239" s="459"/>
      <c r="BZ239" s="459"/>
    </row>
    <row r="240" spans="2:78" x14ac:dyDescent="0.25">
      <c r="B240" s="135" t="s">
        <v>71</v>
      </c>
      <c r="C240" s="120"/>
      <c r="D240" s="120"/>
      <c r="E240" s="120"/>
      <c r="F240" s="120"/>
      <c r="G240" s="120"/>
      <c r="H240" s="136">
        <f>H277</f>
        <v>4908</v>
      </c>
      <c r="I240" s="137"/>
      <c r="J240" s="137"/>
      <c r="K240" s="138"/>
      <c r="L240" s="137"/>
      <c r="M240" s="137"/>
      <c r="N240" s="136">
        <f>N237+N238+N239</f>
        <v>1714</v>
      </c>
      <c r="O240" s="137"/>
      <c r="P240" s="137"/>
      <c r="Q240" s="138"/>
      <c r="R240" s="137"/>
      <c r="S240" s="137"/>
      <c r="T240" s="136">
        <f>T237+T238+T239</f>
        <v>1348</v>
      </c>
      <c r="U240" s="137"/>
      <c r="V240" s="137"/>
      <c r="W240" s="138"/>
      <c r="X240" s="137"/>
      <c r="Y240" s="137"/>
      <c r="Z240" s="136">
        <f>Z237+Z238+Z239</f>
        <v>1158</v>
      </c>
      <c r="AA240" s="137"/>
      <c r="AB240" s="137"/>
      <c r="AC240" s="138"/>
      <c r="AD240" s="137"/>
      <c r="AE240" s="137"/>
      <c r="AF240" s="136">
        <f>AF237+AF238+AF239</f>
        <v>2043</v>
      </c>
      <c r="AG240" s="137"/>
      <c r="AH240" s="137"/>
      <c r="AI240" s="138"/>
      <c r="AJ240" s="137"/>
      <c r="AK240" s="137"/>
      <c r="AL240" s="136">
        <f>AL237+AL238+AL239</f>
        <v>4060</v>
      </c>
      <c r="AM240" s="137"/>
      <c r="AN240" s="137"/>
      <c r="AO240" s="138"/>
      <c r="AP240" s="137"/>
      <c r="AQ240" s="137"/>
      <c r="AR240" s="136">
        <f>AR237+AR238+AR239</f>
        <v>8299</v>
      </c>
      <c r="AS240" s="137"/>
      <c r="AT240" s="137"/>
      <c r="AU240" s="138"/>
      <c r="AV240" s="137"/>
      <c r="AW240" s="137"/>
      <c r="AX240" s="136">
        <f>AX237+AX238+AX239</f>
        <v>10160</v>
      </c>
      <c r="AY240" s="137"/>
      <c r="AZ240" s="137"/>
      <c r="BA240" s="138"/>
      <c r="BB240" s="137"/>
      <c r="BC240" s="137"/>
      <c r="BD240" s="136">
        <f>BD237+BD238+BD239</f>
        <v>6452</v>
      </c>
      <c r="BE240" s="137"/>
      <c r="BF240" s="137"/>
      <c r="BG240" s="138"/>
      <c r="BH240" s="137"/>
      <c r="BI240" s="137"/>
      <c r="BJ240" s="136">
        <f>BJ237+BJ238+BJ239</f>
        <v>83576</v>
      </c>
      <c r="BK240" s="137"/>
      <c r="BL240" s="137"/>
      <c r="BM240" s="138"/>
      <c r="BN240" s="137"/>
      <c r="BO240" s="137"/>
      <c r="BP240" s="136">
        <f t="shared" ref="BP240:BU240" si="195">BP237+BP238+BP239</f>
        <v>13179</v>
      </c>
      <c r="BQ240" s="384">
        <f t="shared" si="195"/>
        <v>19739.920443159826</v>
      </c>
      <c r="BR240" s="385">
        <f t="shared" si="195"/>
        <v>25579.144207191592</v>
      </c>
      <c r="BS240" s="385">
        <f t="shared" si="195"/>
        <v>33163.45318939002</v>
      </c>
      <c r="BT240" s="385">
        <f t="shared" si="195"/>
        <v>35683.531049560646</v>
      </c>
      <c r="BU240" s="385">
        <f t="shared" si="195"/>
        <v>38009.643495165532</v>
      </c>
      <c r="BV240" s="400" t="s">
        <v>378</v>
      </c>
      <c r="BW240" s="289"/>
      <c r="BX240" s="451"/>
      <c r="BY240" s="459"/>
      <c r="BZ240" s="459"/>
    </row>
    <row r="241" spans="2:78" x14ac:dyDescent="0.25">
      <c r="B241" s="18" t="s">
        <v>72</v>
      </c>
      <c r="C241" s="214"/>
      <c r="D241" s="214"/>
      <c r="E241" s="214"/>
      <c r="F241" s="214"/>
      <c r="G241" s="214"/>
      <c r="H241" s="162"/>
      <c r="I241" s="215"/>
      <c r="J241" s="215"/>
      <c r="K241" s="216"/>
      <c r="L241" s="215"/>
      <c r="M241" s="215"/>
      <c r="N241" s="162"/>
      <c r="O241" s="215"/>
      <c r="P241" s="215"/>
      <c r="Q241" s="216"/>
      <c r="R241" s="215"/>
      <c r="S241" s="215"/>
      <c r="T241" s="162"/>
      <c r="U241" s="215"/>
      <c r="V241" s="215"/>
      <c r="W241" s="216"/>
      <c r="X241" s="215"/>
      <c r="Y241" s="215"/>
      <c r="Z241" s="162"/>
      <c r="AA241" s="215"/>
      <c r="AB241" s="215"/>
      <c r="AC241" s="216"/>
      <c r="AD241" s="215"/>
      <c r="AE241" s="215"/>
      <c r="AF241" s="162"/>
      <c r="AG241" s="215"/>
      <c r="AH241" s="215"/>
      <c r="AI241" s="216"/>
      <c r="AJ241" s="215"/>
      <c r="AK241" s="215"/>
      <c r="AL241" s="162"/>
      <c r="AM241" s="215"/>
      <c r="AN241" s="215"/>
      <c r="AO241" s="216"/>
      <c r="AP241" s="215"/>
      <c r="AQ241" s="215"/>
      <c r="AR241" s="162"/>
      <c r="AS241" s="215"/>
      <c r="AT241" s="215"/>
      <c r="AU241" s="216"/>
      <c r="AV241" s="215"/>
      <c r="AW241" s="215"/>
      <c r="AX241" s="162"/>
      <c r="AY241" s="215"/>
      <c r="AZ241" s="215"/>
      <c r="BA241" s="216"/>
      <c r="BB241" s="215"/>
      <c r="BC241" s="215"/>
      <c r="BD241" s="162"/>
      <c r="BE241" s="215"/>
      <c r="BF241" s="215"/>
      <c r="BG241" s="216"/>
      <c r="BH241" s="215"/>
      <c r="BI241" s="215"/>
      <c r="BJ241" s="162"/>
      <c r="BK241" s="215"/>
      <c r="BL241" s="215"/>
      <c r="BM241" s="216"/>
      <c r="BN241" s="215"/>
      <c r="BO241" s="215"/>
      <c r="BP241" s="163"/>
      <c r="BQ241" s="381"/>
      <c r="BR241" s="381"/>
      <c r="BS241" s="381"/>
      <c r="BT241" s="381"/>
      <c r="BU241" s="381"/>
      <c r="BV241" s="365"/>
      <c r="BW241" s="305"/>
      <c r="BX241" s="451"/>
      <c r="BY241" s="459"/>
      <c r="BZ241" s="459"/>
    </row>
    <row r="242" spans="2:78" x14ac:dyDescent="0.25">
      <c r="B242" s="142" t="s">
        <v>73</v>
      </c>
      <c r="C242" s="252"/>
      <c r="D242" s="252"/>
      <c r="E242" s="252"/>
      <c r="F242" s="252"/>
      <c r="G242" s="252"/>
      <c r="H242" s="253">
        <f>(H219+H225)-H223-H214+IF(ISNUMBER(H229),H229,0)-58</f>
        <v>2837</v>
      </c>
      <c r="I242" s="254"/>
      <c r="J242" s="254"/>
      <c r="K242" s="254"/>
      <c r="L242" s="254"/>
      <c r="M242" s="254"/>
      <c r="N242" s="253">
        <f>(N219+N225)-N223-N214+IF(ISNUMBER(N229),N229,0)+250</f>
        <v>1838</v>
      </c>
      <c r="O242" s="254"/>
      <c r="P242" s="254"/>
      <c r="Q242" s="254"/>
      <c r="R242" s="254"/>
      <c r="S242" s="254"/>
      <c r="T242" s="255">
        <f>(T219+T225)-T223-T214+IF(ISNUMBER(T229),T229,0)</f>
        <v>4835</v>
      </c>
      <c r="U242" s="256"/>
      <c r="V242" s="256"/>
      <c r="W242" s="256"/>
      <c r="X242" s="256"/>
      <c r="Y242" s="256"/>
      <c r="Z242" s="255">
        <f>(Z219+Z225)-Z223-Z214+IF(ISNUMBER(Z229),Z229,0)</f>
        <v>3916</v>
      </c>
      <c r="AA242" s="256"/>
      <c r="AB242" s="256"/>
      <c r="AC242" s="256"/>
      <c r="AD242" s="256"/>
      <c r="AE242" s="256"/>
      <c r="AF242" s="255">
        <f>(AF219+AF225)-AF223-AF214+IF(ISNUMBER(AF229),AF229,0)</f>
        <v>3678</v>
      </c>
      <c r="AG242" s="256"/>
      <c r="AH242" s="256"/>
      <c r="AI242" s="256"/>
      <c r="AJ242" s="256"/>
      <c r="AK242" s="256"/>
      <c r="AL242" s="255">
        <f>(AL219+AL225)-AL223-AL214+IF(ISNUMBER(AL229),AL229,0)</f>
        <v>8746</v>
      </c>
      <c r="AM242" s="256"/>
      <c r="AN242" s="256"/>
      <c r="AO242" s="256"/>
      <c r="AP242" s="256"/>
      <c r="AQ242" s="256"/>
      <c r="AR242" s="255">
        <f>(AR219+AR225)-AR223-AR214+IF(ISNUMBER(AR229),AR229,0)</f>
        <v>8659</v>
      </c>
      <c r="AS242" s="256"/>
      <c r="AT242" s="256"/>
      <c r="AU242" s="256"/>
      <c r="AV242" s="256"/>
      <c r="AW242" s="256"/>
      <c r="AX242" s="255">
        <f>(AX219+AX225)-AX223-AX214+IF(ISNUMBER(AX229),AX229,0)</f>
        <v>22810</v>
      </c>
      <c r="AY242" s="256"/>
      <c r="AZ242" s="256"/>
      <c r="BA242" s="256"/>
      <c r="BB242" s="256"/>
      <c r="BC242" s="256"/>
      <c r="BD242" s="255">
        <f>(BD219+BD225)-BD223-BD214+IF(ISNUMBER(BD229),BD229,0)</f>
        <v>11471</v>
      </c>
      <c r="BE242" s="256"/>
      <c r="BF242" s="256"/>
      <c r="BG242" s="256"/>
      <c r="BH242" s="256"/>
      <c r="BI242" s="256"/>
      <c r="BJ242" s="255">
        <f>(BJ219+BJ225)-BJ223-BJ214+IF(ISNUMBER(BJ229),BJ229,0)</f>
        <v>5550</v>
      </c>
      <c r="BK242" s="256"/>
      <c r="BL242" s="256"/>
      <c r="BM242" s="256"/>
      <c r="BN242" s="256"/>
      <c r="BO242" s="256"/>
      <c r="BP242" s="255">
        <f>(BP219+BP225)-BP223-BP214+IF(ISNUMBER(BP229),BP229,0)</f>
        <v>16335</v>
      </c>
      <c r="BQ242" s="518">
        <f>BQ219+BQ220+BQ221+BQ222+BQ229-BQ214</f>
        <v>16369.642943159826</v>
      </c>
      <c r="BR242" s="521">
        <f>BR219+BR220+BR221+BR222+BR229-BR214</f>
        <v>21050.088004591766</v>
      </c>
      <c r="BS242" s="521">
        <f>BS219+BS220+BS221+BS222+BS229-BS214</f>
        <v>23741.280840887423</v>
      </c>
      <c r="BT242" s="521">
        <f>BT219+BT220+BT221+BT222+BT229-BT214</f>
        <v>21695.229792278304</v>
      </c>
      <c r="BU242" s="519">
        <f>BU219+BU220+BU221+BU222+BU229-BU214</f>
        <v>23701.260314969666</v>
      </c>
      <c r="BV242" s="400" t="s">
        <v>379</v>
      </c>
      <c r="BW242" s="289"/>
      <c r="BX242" s="451"/>
      <c r="BY242" s="265"/>
      <c r="BZ242" s="265"/>
    </row>
    <row r="243" spans="2:78" ht="16.5" thickBot="1" x14ac:dyDescent="0.3">
      <c r="B243" s="143" t="s">
        <v>184</v>
      </c>
      <c r="C243" s="257"/>
      <c r="D243" s="257"/>
      <c r="E243" s="257"/>
      <c r="F243" s="257"/>
      <c r="G243" s="257"/>
      <c r="H243" s="258">
        <f>H219+H221+IFERROR(H222*1,0)</f>
        <v>3181</v>
      </c>
      <c r="I243" s="157"/>
      <c r="J243" s="157"/>
      <c r="K243" s="157"/>
      <c r="L243" s="157"/>
      <c r="M243" s="157"/>
      <c r="N243" s="258">
        <f>N219+N221+IFERROR(N222*1,0)</f>
        <v>1308</v>
      </c>
      <c r="O243" s="157"/>
      <c r="P243" s="157"/>
      <c r="Q243" s="157"/>
      <c r="R243" s="157"/>
      <c r="S243" s="157"/>
      <c r="T243" s="259">
        <f>T219+T221+IFERROR(T222*1,0)</f>
        <v>4680</v>
      </c>
      <c r="U243" s="158"/>
      <c r="V243" s="158"/>
      <c r="W243" s="158"/>
      <c r="X243" s="158"/>
      <c r="Y243" s="158"/>
      <c r="Z243" s="259">
        <f>Z219+Z221+IFERROR(Z222*1,0)</f>
        <v>4451</v>
      </c>
      <c r="AA243" s="158"/>
      <c r="AB243" s="158"/>
      <c r="AC243" s="158"/>
      <c r="AD243" s="158"/>
      <c r="AE243" s="158"/>
      <c r="AF243" s="259">
        <f>AF219+AF221+IFERROR(AF222*1,0)</f>
        <v>6502</v>
      </c>
      <c r="AG243" s="158"/>
      <c r="AH243" s="158"/>
      <c r="AI243" s="158"/>
      <c r="AJ243" s="158"/>
      <c r="AK243" s="158"/>
      <c r="AL243" s="259">
        <f>AL219+AL221+IFERROR(AL222*1,0)</f>
        <v>9958</v>
      </c>
      <c r="AM243" s="158"/>
      <c r="AN243" s="158"/>
      <c r="AO243" s="158"/>
      <c r="AP243" s="158"/>
      <c r="AQ243" s="158"/>
      <c r="AR243" s="259">
        <f>AR219+AR221+IFERROR(AR222*1,0)</f>
        <v>11442</v>
      </c>
      <c r="AS243" s="158"/>
      <c r="AT243" s="158"/>
      <c r="AU243" s="158"/>
      <c r="AV243" s="158"/>
      <c r="AW243" s="158"/>
      <c r="AX243" s="259">
        <f>AX219+AX221+IFERROR(AX222*1,0)</f>
        <v>26156</v>
      </c>
      <c r="AY243" s="158"/>
      <c r="AZ243" s="158"/>
      <c r="BA243" s="158"/>
      <c r="BB243" s="158"/>
      <c r="BC243" s="158"/>
      <c r="BD243" s="259">
        <f>BD219+BD221+IFERROR(BD222*1,0)</f>
        <v>15686</v>
      </c>
      <c r="BE243" s="158"/>
      <c r="BF243" s="158"/>
      <c r="BG243" s="158"/>
      <c r="BH243" s="158"/>
      <c r="BI243" s="158"/>
      <c r="BJ243" s="259">
        <f>BJ219+BJ221+IFERROR(BJ222*1,0)</f>
        <v>10543</v>
      </c>
      <c r="BK243" s="158"/>
      <c r="BL243" s="158"/>
      <c r="BM243" s="158"/>
      <c r="BN243" s="158"/>
      <c r="BO243" s="158"/>
      <c r="BP243" s="259">
        <f>BP219+BP221+IFERROR(BP222*1,0)</f>
        <v>19745</v>
      </c>
      <c r="BQ243" s="520">
        <f>BQ219+BQ220+BQ221+BQ222</f>
        <v>20369.642943159826</v>
      </c>
      <c r="BR243" s="522">
        <f>BR219+BR220+BR221+BR222</f>
        <v>26050.088004591766</v>
      </c>
      <c r="BS243" s="522">
        <f>BS219+BS220+BS221+BS222</f>
        <v>30241.280840887423</v>
      </c>
      <c r="BT243" s="522">
        <f>BT219+BT220+BT221+BT222</f>
        <v>28395.229792278304</v>
      </c>
      <c r="BU243" s="259">
        <f>BU219+BU220+BU221+BU222</f>
        <v>30401.260314969666</v>
      </c>
      <c r="BV243" s="400" t="s">
        <v>380</v>
      </c>
      <c r="BW243" s="289"/>
      <c r="BX243" s="450">
        <f>IFERROR((BU243/BP243)^(1/5)-1,"n/m")</f>
        <v>9.0151583614934694E-2</v>
      </c>
      <c r="BY243" s="265">
        <f>IFERROR((BP243/AL243)^(1/5)-1,"n/m")</f>
        <v>0.14671898634612623</v>
      </c>
      <c r="BZ243" s="265">
        <f>IFERROR((BP243/H243)^(1/10)-1,"n/m")</f>
        <v>0.20029873086106376</v>
      </c>
    </row>
    <row r="244" spans="2:78" x14ac:dyDescent="0.25">
      <c r="B244" s="217" t="s">
        <v>185</v>
      </c>
      <c r="C244" s="218"/>
      <c r="D244" s="218"/>
      <c r="E244" s="218"/>
      <c r="F244" s="218"/>
      <c r="G244" s="218"/>
      <c r="H244" s="160" t="str">
        <f>""</f>
        <v/>
      </c>
      <c r="I244" s="219"/>
      <c r="J244" s="219"/>
      <c r="K244" s="219"/>
      <c r="L244" s="219"/>
      <c r="M244" s="219"/>
      <c r="N244" s="160">
        <f>IFERROR(N243/H243-1,"")</f>
        <v>-0.58880855077019811</v>
      </c>
      <c r="O244" s="219"/>
      <c r="P244" s="219"/>
      <c r="Q244" s="219"/>
      <c r="R244" s="219"/>
      <c r="S244" s="219"/>
      <c r="T244" s="161">
        <f>IFERROR(T243/N243-1,"")</f>
        <v>2.5779816513761467</v>
      </c>
      <c r="U244" s="220"/>
      <c r="V244" s="220"/>
      <c r="W244" s="220"/>
      <c r="X244" s="220"/>
      <c r="Y244" s="220"/>
      <c r="Z244" s="161">
        <f>IFERROR(Z243/T243-1,"")</f>
        <v>-4.893162393162398E-2</v>
      </c>
      <c r="AA244" s="220"/>
      <c r="AB244" s="220"/>
      <c r="AC244" s="220"/>
      <c r="AD244" s="220"/>
      <c r="AE244" s="220"/>
      <c r="AF244" s="161">
        <f>IFERROR(AF243/Z243-1,"")</f>
        <v>0.46079532689283309</v>
      </c>
      <c r="AG244" s="220"/>
      <c r="AH244" s="220"/>
      <c r="AI244" s="220"/>
      <c r="AJ244" s="220"/>
      <c r="AK244" s="220"/>
      <c r="AL244" s="161">
        <f>IFERROR(AL243/AF243-1,"")</f>
        <v>0.53152876038142116</v>
      </c>
      <c r="AM244" s="220"/>
      <c r="AN244" s="220"/>
      <c r="AO244" s="220"/>
      <c r="AP244" s="220"/>
      <c r="AQ244" s="220"/>
      <c r="AR244" s="161">
        <f>IFERROR(AR243/AL243-1,"")</f>
        <v>0.14902590881703159</v>
      </c>
      <c r="AS244" s="220"/>
      <c r="AT244" s="220"/>
      <c r="AU244" s="220"/>
      <c r="AV244" s="220"/>
      <c r="AW244" s="220"/>
      <c r="AX244" s="161">
        <f>IFERROR(AX243/AR243-1,"")</f>
        <v>1.2859639923090369</v>
      </c>
      <c r="AY244" s="220"/>
      <c r="AZ244" s="220"/>
      <c r="BA244" s="220"/>
      <c r="BB244" s="220"/>
      <c r="BC244" s="220"/>
      <c r="BD244" s="161">
        <f>IFERROR(BD243/AX243-1,"")</f>
        <v>-0.40029056430646892</v>
      </c>
      <c r="BE244" s="220"/>
      <c r="BF244" s="220"/>
      <c r="BG244" s="220"/>
      <c r="BH244" s="220"/>
      <c r="BI244" s="220"/>
      <c r="BJ244" s="161">
        <f>IFERROR(BJ243/BD243-1,"")</f>
        <v>-0.32787198775978577</v>
      </c>
      <c r="BK244" s="220"/>
      <c r="BL244" s="220"/>
      <c r="BM244" s="220"/>
      <c r="BN244" s="220"/>
      <c r="BO244" s="220"/>
      <c r="BP244" s="161">
        <f>IFERROR(BP243/BJ243-1,"")</f>
        <v>0.87280660153656453</v>
      </c>
      <c r="BQ244" s="375">
        <f>IFERROR(BQ243/BP243-1,"")</f>
        <v>3.1635499780188647E-2</v>
      </c>
      <c r="BR244" s="375">
        <f>IFERROR(BR243/BQ243-1,"")</f>
        <v>0.27886817050661383</v>
      </c>
      <c r="BS244" s="375">
        <f>IFERROR(BS243/BR243-1,"")</f>
        <v>0.16088977647817893</v>
      </c>
      <c r="BT244" s="375">
        <f>IFERROR(BT243/BS243-1,"")</f>
        <v>-6.104407608665785E-2</v>
      </c>
      <c r="BU244" s="375">
        <f>IFERROR(BU243/BT243-1,"")</f>
        <v>7.0646743744150919E-2</v>
      </c>
      <c r="BV244" s="365"/>
      <c r="BW244" s="305"/>
      <c r="BX244" s="451"/>
      <c r="BY244" s="460"/>
      <c r="BZ244" s="460"/>
    </row>
    <row r="245" spans="2:78" x14ac:dyDescent="0.25">
      <c r="B245" s="217" t="s">
        <v>186</v>
      </c>
      <c r="C245" s="218"/>
      <c r="D245" s="218"/>
      <c r="E245" s="218"/>
      <c r="F245" s="218"/>
      <c r="G245" s="218"/>
      <c r="H245" s="160">
        <f>IFERROR(H243/H146,"")</f>
        <v>6.2533173445516912E-2</v>
      </c>
      <c r="I245" s="219"/>
      <c r="J245" s="219"/>
      <c r="K245" s="219"/>
      <c r="L245" s="219"/>
      <c r="M245" s="219"/>
      <c r="N245" s="160">
        <f>IFERROR(N243/N146,"")</f>
        <v>1.9307127990907346E-2</v>
      </c>
      <c r="O245" s="219"/>
      <c r="P245" s="219"/>
      <c r="Q245" s="219"/>
      <c r="R245" s="219"/>
      <c r="S245" s="219"/>
      <c r="T245" s="161">
        <f>IFERROR(T243/T146,"")</f>
        <v>6.2482476869467694E-2</v>
      </c>
      <c r="U245" s="220"/>
      <c r="V245" s="220"/>
      <c r="W245" s="220"/>
      <c r="X245" s="220"/>
      <c r="Y245" s="220"/>
      <c r="Z245" s="161">
        <f>IFERROR(Z243/Z146,"")</f>
        <v>5.6303998583228973E-2</v>
      </c>
      <c r="AA245" s="220"/>
      <c r="AB245" s="220"/>
      <c r="AC245" s="220"/>
      <c r="AD245" s="220"/>
      <c r="AE245" s="220"/>
      <c r="AF245" s="161">
        <f>IFERROR(AF243/AF146,"")</f>
        <v>6.8658197907097068E-2</v>
      </c>
      <c r="AG245" s="220"/>
      <c r="AH245" s="220"/>
      <c r="AI245" s="220"/>
      <c r="AJ245" s="220"/>
      <c r="AK245" s="220"/>
      <c r="AL245" s="161">
        <f>IFERROR(AL243/AL146,"")</f>
        <v>8.5895179933064211E-2</v>
      </c>
      <c r="AM245" s="220"/>
      <c r="AN245" s="220"/>
      <c r="AO245" s="220"/>
      <c r="AP245" s="220"/>
      <c r="AQ245" s="220"/>
      <c r="AR245" s="161">
        <f>IFERROR(AR243/AR146,"")</f>
        <v>6.2762607922942748E-2</v>
      </c>
      <c r="AS245" s="220"/>
      <c r="AT245" s="220"/>
      <c r="AU245" s="220"/>
      <c r="AV245" s="220"/>
      <c r="AW245" s="220"/>
      <c r="AX245" s="161">
        <f>IFERROR(AX243/AX146,"")</f>
        <v>0.11098805507818302</v>
      </c>
      <c r="AY245" s="220"/>
      <c r="AZ245" s="220"/>
      <c r="BA245" s="220"/>
      <c r="BB245" s="220"/>
      <c r="BC245" s="220"/>
      <c r="BD245" s="161">
        <f>IFERROR(BD243/BD146,"")</f>
        <v>0.1040289153430381</v>
      </c>
      <c r="BE245" s="220"/>
      <c r="BF245" s="220"/>
      <c r="BG245" s="220"/>
      <c r="BH245" s="220"/>
      <c r="BI245" s="220"/>
      <c r="BJ245" s="161">
        <f>IFERROR(BJ243/BJ146,"")</f>
        <v>6.3091690304357712E-2</v>
      </c>
      <c r="BK245" s="220"/>
      <c r="BL245" s="220"/>
      <c r="BM245" s="220"/>
      <c r="BN245" s="220"/>
      <c r="BO245" s="220"/>
      <c r="BP245" s="161">
        <f t="shared" ref="BP245:BU245" si="196">IFERROR(BP243/BP146,"")</f>
        <v>7.9832289522946978E-2</v>
      </c>
      <c r="BQ245" s="375">
        <f t="shared" si="196"/>
        <v>7.4797118689428177E-2</v>
      </c>
      <c r="BR245" s="375">
        <f t="shared" si="196"/>
        <v>9.0409574481313898E-2</v>
      </c>
      <c r="BS245" s="375">
        <f t="shared" si="196"/>
        <v>9.9904688204888709E-2</v>
      </c>
      <c r="BT245" s="375">
        <f t="shared" si="196"/>
        <v>9.018132340456865E-2</v>
      </c>
      <c r="BU245" s="375">
        <f t="shared" si="196"/>
        <v>9.2821977119319318E-2</v>
      </c>
      <c r="BV245" s="365"/>
      <c r="BW245" s="305"/>
      <c r="BX245" s="451"/>
      <c r="BY245" s="460"/>
      <c r="BZ245" s="460"/>
    </row>
    <row r="246" spans="2:78" x14ac:dyDescent="0.25">
      <c r="B246" s="164" t="s">
        <v>187</v>
      </c>
      <c r="C246" s="165"/>
      <c r="D246" s="165"/>
      <c r="E246" s="165"/>
      <c r="F246" s="165"/>
      <c r="G246" s="165"/>
      <c r="H246" s="166">
        <f>IFERROR(H243/H151,"")</f>
        <v>0.88979020979020984</v>
      </c>
      <c r="I246" s="167"/>
      <c r="J246" s="167"/>
      <c r="K246" s="167"/>
      <c r="L246" s="167"/>
      <c r="M246" s="167"/>
      <c r="N246" s="166">
        <f>IFERROR(N243/N151,"")</f>
        <v>0.30776470588235294</v>
      </c>
      <c r="O246" s="167"/>
      <c r="P246" s="167"/>
      <c r="Q246" s="167"/>
      <c r="R246" s="167"/>
      <c r="S246" s="167"/>
      <c r="T246" s="168">
        <f>IFERROR(T243/T151,"")</f>
        <v>0.82627118644067798</v>
      </c>
      <c r="U246" s="169"/>
      <c r="V246" s="169"/>
      <c r="W246" s="169"/>
      <c r="X246" s="169"/>
      <c r="Y246" s="169"/>
      <c r="Z246" s="168">
        <f>IFERROR(Z243/Z151,"")</f>
        <v>0.71651641983258207</v>
      </c>
      <c r="AA246" s="169"/>
      <c r="AB246" s="169"/>
      <c r="AC246" s="169"/>
      <c r="AD246" s="169"/>
      <c r="AE246" s="169"/>
      <c r="AF246" s="168">
        <f>IFERROR(AF243/AF151,"")</f>
        <v>0.63175281772250291</v>
      </c>
      <c r="AG246" s="169"/>
      <c r="AH246" s="169"/>
      <c r="AI246" s="169"/>
      <c r="AJ246" s="169"/>
      <c r="AK246" s="169"/>
      <c r="AL246" s="168">
        <f>IFERROR(AL243/AL151,"")</f>
        <v>0.73441994247363374</v>
      </c>
      <c r="AM246" s="169"/>
      <c r="AN246" s="169"/>
      <c r="AO246" s="169"/>
      <c r="AP246" s="169"/>
      <c r="AQ246" s="169"/>
      <c r="AR246" s="168">
        <f>IFERROR(AR243/AR151,"")</f>
        <v>0.56041534015771166</v>
      </c>
      <c r="AS246" s="169"/>
      <c r="AT246" s="169"/>
      <c r="AU246" s="169"/>
      <c r="AV246" s="169"/>
      <c r="AW246" s="169"/>
      <c r="AX246" s="168">
        <f>IFERROR(AX243/AX151,"")</f>
        <v>0.86394715111478115</v>
      </c>
      <c r="AY246" s="169"/>
      <c r="AZ246" s="169"/>
      <c r="BA246" s="169"/>
      <c r="BB246" s="169"/>
      <c r="BC246" s="169"/>
      <c r="BD246" s="168">
        <f>IFERROR(BD243/BD151,"")</f>
        <v>0.6820889681262774</v>
      </c>
      <c r="BE246" s="169"/>
      <c r="BF246" s="169"/>
      <c r="BG246" s="169"/>
      <c r="BH246" s="169"/>
      <c r="BI246" s="169"/>
      <c r="BJ246" s="168">
        <f>IFERROR(BJ243/BJ151,"")</f>
        <v>0.48293710778251109</v>
      </c>
      <c r="BK246" s="169"/>
      <c r="BL246" s="169"/>
      <c r="BM246" s="169"/>
      <c r="BN246" s="169"/>
      <c r="BO246" s="169"/>
      <c r="BP246" s="168">
        <f t="shared" ref="BP246:BU246" si="197">IFERROR(BP243/BP151,"")</f>
        <v>0.69908653165274037</v>
      </c>
      <c r="BQ246" s="436">
        <f t="shared" si="197"/>
        <v>0.6092641536876765</v>
      </c>
      <c r="BR246" s="437">
        <f t="shared" si="197"/>
        <v>0.68471274015526928</v>
      </c>
      <c r="BS246" s="437">
        <f t="shared" si="197"/>
        <v>0.70826247085420779</v>
      </c>
      <c r="BT246" s="437">
        <f t="shared" si="197"/>
        <v>0.62077790316086012</v>
      </c>
      <c r="BU246" s="437">
        <f t="shared" si="197"/>
        <v>0.62505066897805706</v>
      </c>
      <c r="BV246" s="365"/>
      <c r="BW246" s="305"/>
      <c r="BX246" s="451"/>
      <c r="BY246" s="460"/>
      <c r="BZ246" s="460"/>
    </row>
    <row r="247" spans="2:78" x14ac:dyDescent="0.25">
      <c r="B247" s="149" t="s">
        <v>384</v>
      </c>
      <c r="C247" s="261"/>
      <c r="D247" s="261"/>
      <c r="E247" s="261"/>
      <c r="F247" s="261"/>
      <c r="G247" s="261"/>
      <c r="H247" s="332"/>
      <c r="I247" s="338"/>
      <c r="J247" s="338"/>
      <c r="K247" s="338"/>
      <c r="L247" s="338"/>
      <c r="M247" s="338"/>
      <c r="N247" s="332"/>
      <c r="O247" s="338"/>
      <c r="P247" s="338"/>
      <c r="Q247" s="338"/>
      <c r="R247" s="338"/>
      <c r="S247" s="338"/>
      <c r="T247" s="393"/>
      <c r="U247" s="261"/>
      <c r="V247" s="261"/>
      <c r="W247" s="261"/>
      <c r="X247" s="261"/>
      <c r="Y247" s="261"/>
      <c r="Z247" s="393"/>
      <c r="AA247" s="261"/>
      <c r="AB247" s="261"/>
      <c r="AC247" s="261"/>
      <c r="AD247" s="261"/>
      <c r="AE247" s="261"/>
      <c r="AF247" s="393"/>
      <c r="AG247" s="261"/>
      <c r="AH247" s="261"/>
      <c r="AI247" s="261"/>
      <c r="AJ247" s="261"/>
      <c r="AK247" s="261"/>
      <c r="AL247" s="393"/>
      <c r="AM247" s="261"/>
      <c r="AN247" s="261"/>
      <c r="AO247" s="261"/>
      <c r="AP247" s="261"/>
      <c r="AQ247" s="261"/>
      <c r="AR247" s="393"/>
      <c r="AS247" s="261"/>
      <c r="AT247" s="261"/>
      <c r="AU247" s="261"/>
      <c r="AV247" s="261"/>
      <c r="AW247" s="261"/>
      <c r="AX247" s="393"/>
      <c r="AY247" s="261"/>
      <c r="AZ247" s="261"/>
      <c r="BA247" s="261"/>
      <c r="BB247" s="261"/>
      <c r="BC247" s="261"/>
      <c r="BD247" s="393"/>
      <c r="BE247" s="261"/>
      <c r="BF247" s="261"/>
      <c r="BG247" s="261"/>
      <c r="BH247" s="261"/>
      <c r="BI247" s="261"/>
      <c r="BJ247" s="393"/>
      <c r="BK247" s="261"/>
      <c r="BL247" s="261"/>
      <c r="BM247" s="261"/>
      <c r="BN247" s="261"/>
      <c r="BO247" s="261"/>
      <c r="BP247" s="393"/>
      <c r="BQ247" s="394"/>
      <c r="BR247" s="394"/>
      <c r="BS247" s="394"/>
      <c r="BT247" s="394"/>
      <c r="BU247" s="394"/>
      <c r="BV247" s="365"/>
      <c r="BW247" s="305"/>
      <c r="BX247" s="451"/>
      <c r="BY247" s="460"/>
      <c r="BZ247" s="460"/>
    </row>
    <row r="248" spans="2:78" x14ac:dyDescent="0.25">
      <c r="B248" s="217" t="s">
        <v>385</v>
      </c>
      <c r="C248" s="218"/>
      <c r="D248" s="218"/>
      <c r="E248" s="218"/>
      <c r="F248" s="218"/>
      <c r="G248" s="218"/>
      <c r="H248" s="438">
        <f>IFERROR(-H221/H146,"n/a")</f>
        <v>5.8385264109772159E-3</v>
      </c>
      <c r="I248" s="439"/>
      <c r="J248" s="439"/>
      <c r="K248" s="439"/>
      <c r="L248" s="439"/>
      <c r="M248" s="439"/>
      <c r="N248" s="438">
        <f>IFERROR(-N221/N146,"n/a")</f>
        <v>1.1041079309784934E-2</v>
      </c>
      <c r="O248" s="439"/>
      <c r="P248" s="439"/>
      <c r="Q248" s="439"/>
      <c r="R248" s="439"/>
      <c r="S248" s="439"/>
      <c r="T248" s="440">
        <f>IFERROR(-T221/T146,"n/a")</f>
        <v>8.2775930895448661E-3</v>
      </c>
      <c r="U248" s="441"/>
      <c r="V248" s="441"/>
      <c r="W248" s="441"/>
      <c r="X248" s="441"/>
      <c r="Y248" s="441"/>
      <c r="Z248" s="440">
        <f>IFERROR(-Z221/Z146,"n/a")</f>
        <v>8.9686665907682192E-3</v>
      </c>
      <c r="AA248" s="441"/>
      <c r="AB248" s="441"/>
      <c r="AC248" s="441"/>
      <c r="AD248" s="441"/>
      <c r="AE248" s="441"/>
      <c r="AF248" s="440">
        <f>IFERROR(-AF221/AF146,"n/a")</f>
        <v>1.0559550585527081E-2</v>
      </c>
      <c r="AG248" s="441"/>
      <c r="AH248" s="441"/>
      <c r="AI248" s="441"/>
      <c r="AJ248" s="441"/>
      <c r="AK248" s="441"/>
      <c r="AL248" s="440">
        <f>IFERROR(-AL221/AL146,"n/a")</f>
        <v>9.6694614084118276E-3</v>
      </c>
      <c r="AM248" s="441"/>
      <c r="AN248" s="441"/>
      <c r="AO248" s="441"/>
      <c r="AP248" s="441"/>
      <c r="AQ248" s="441"/>
      <c r="AR248" s="440">
        <f>IFERROR(-AR221/AR146,"n/a")</f>
        <v>6.4726339231840971E-3</v>
      </c>
      <c r="AS248" s="441"/>
      <c r="AT248" s="441"/>
      <c r="AU248" s="441"/>
      <c r="AV248" s="441"/>
      <c r="AW248" s="441"/>
      <c r="AX248" s="440">
        <f>IFERROR(-AX221/AX146,"n/a")</f>
        <v>6.4243735811427239E-3</v>
      </c>
      <c r="AY248" s="441"/>
      <c r="AZ248" s="441"/>
      <c r="BA248" s="441"/>
      <c r="BB248" s="441"/>
      <c r="BC248" s="441"/>
      <c r="BD248" s="440">
        <f>IFERROR(-BD221/BD146,"n/a")</f>
        <v>1.3462877607189044E-2</v>
      </c>
      <c r="BE248" s="441"/>
      <c r="BF248" s="441"/>
      <c r="BG248" s="441"/>
      <c r="BH248" s="441"/>
      <c r="BI248" s="441"/>
      <c r="BJ248" s="440">
        <f>IFERROR(-BJ221/BJ146,"n/a")</f>
        <v>1.2518999916220842E-2</v>
      </c>
      <c r="BK248" s="441"/>
      <c r="BL248" s="441"/>
      <c r="BM248" s="441"/>
      <c r="BN248" s="441"/>
      <c r="BO248" s="441"/>
      <c r="BP248" s="440">
        <f>IFERROR(-BP221/BP146,"n/a")</f>
        <v>8.349135369201597E-3</v>
      </c>
      <c r="BQ248" s="715">
        <v>1.4999999999999999E-2</v>
      </c>
      <c r="BR248" s="715">
        <v>1.4999999999999999E-2</v>
      </c>
      <c r="BS248" s="715">
        <v>1.4999999999999999E-2</v>
      </c>
      <c r="BT248" s="715">
        <v>1.4999999999999999E-2</v>
      </c>
      <c r="BU248" s="715">
        <v>1.4999999999999999E-2</v>
      </c>
      <c r="BV248" s="365"/>
      <c r="BW248" s="305"/>
      <c r="BX248" s="451"/>
      <c r="BY248" s="460"/>
      <c r="BZ248" s="460"/>
    </row>
    <row r="249" spans="2:78" x14ac:dyDescent="0.25">
      <c r="B249" s="217" t="s">
        <v>386</v>
      </c>
      <c r="C249" s="218"/>
      <c r="D249" s="218"/>
      <c r="E249" s="218"/>
      <c r="F249" s="218"/>
      <c r="G249" s="218"/>
      <c r="H249" s="438">
        <f>IFERROR(-H220/H146,"n/a")</f>
        <v>5.5829680158839372E-3</v>
      </c>
      <c r="I249" s="439"/>
      <c r="J249" s="439"/>
      <c r="K249" s="439"/>
      <c r="L249" s="439"/>
      <c r="M249" s="439"/>
      <c r="N249" s="438">
        <f>IFERROR(-N220/N146,"n/a")</f>
        <v>4.9891508111060264E-3</v>
      </c>
      <c r="O249" s="439"/>
      <c r="P249" s="439"/>
      <c r="Q249" s="439"/>
      <c r="R249" s="439"/>
      <c r="S249" s="439"/>
      <c r="T249" s="440">
        <f>IFERROR(-T220/T146,"n/a")</f>
        <v>5.2469259422437617E-3</v>
      </c>
      <c r="U249" s="441"/>
      <c r="V249" s="441"/>
      <c r="W249" s="441"/>
      <c r="X249" s="441"/>
      <c r="Y249" s="441"/>
      <c r="Z249" s="440">
        <f>IFERROR(-Z220/Z146,"n/a")</f>
        <v>6.3375203977078668E-3</v>
      </c>
      <c r="AA249" s="441"/>
      <c r="AB249" s="441"/>
      <c r="AC249" s="441"/>
      <c r="AD249" s="441"/>
      <c r="AE249" s="441"/>
      <c r="AF249" s="440">
        <f>IFERROR(-AF220/AF146,"n/a")</f>
        <v>3.0833887709739074E-3</v>
      </c>
      <c r="AG249" s="441"/>
      <c r="AH249" s="441"/>
      <c r="AI249" s="441"/>
      <c r="AJ249" s="441"/>
      <c r="AK249" s="441"/>
      <c r="AL249" s="440">
        <f>IFERROR(-AL220/AL146,"n/a")</f>
        <v>1.8976641479487976E-3</v>
      </c>
      <c r="AM249" s="441"/>
      <c r="AN249" s="441"/>
      <c r="AO249" s="441"/>
      <c r="AP249" s="441"/>
      <c r="AQ249" s="441"/>
      <c r="AR249" s="440">
        <f>IFERROR(-AR220/AR146,"n/a")</f>
        <v>1.6620407446820181E-3</v>
      </c>
      <c r="AS249" s="441"/>
      <c r="AT249" s="441"/>
      <c r="AU249" s="441"/>
      <c r="AV249" s="441"/>
      <c r="AW249" s="441"/>
      <c r="AX249" s="440">
        <f>IFERROR(-AX220/AX146,"n/a")</f>
        <v>1.1881272144781787E-3</v>
      </c>
      <c r="AY249" s="441"/>
      <c r="AZ249" s="441"/>
      <c r="BA249" s="441"/>
      <c r="BB249" s="441"/>
      <c r="BC249" s="441"/>
      <c r="BD249" s="440">
        <f>IFERROR(-BD220/BD146,"n/a")</f>
        <v>2.2880259972808967E-3</v>
      </c>
      <c r="BE249" s="441"/>
      <c r="BF249" s="441"/>
      <c r="BG249" s="441"/>
      <c r="BH249" s="441"/>
      <c r="BI249" s="441"/>
      <c r="BJ249" s="440">
        <f>IFERROR(-BJ220/BJ146,"n/a")</f>
        <v>2.0166840209208526E-3</v>
      </c>
      <c r="BK249" s="441"/>
      <c r="BL249" s="441"/>
      <c r="BM249" s="441"/>
      <c r="BN249" s="441"/>
      <c r="BO249" s="441"/>
      <c r="BP249" s="440">
        <f>IFERROR(-BP220/BP146,"n/a")</f>
        <v>2.1145752048873775E-3</v>
      </c>
      <c r="BQ249" s="715">
        <v>2E-3</v>
      </c>
      <c r="BR249" s="715">
        <v>2E-3</v>
      </c>
      <c r="BS249" s="715">
        <v>2E-3</v>
      </c>
      <c r="BT249" s="715">
        <v>2E-3</v>
      </c>
      <c r="BU249" s="715">
        <v>2E-3</v>
      </c>
      <c r="BV249" s="365"/>
      <c r="BW249" s="305"/>
      <c r="BX249" s="451"/>
      <c r="BY249" s="460"/>
      <c r="BZ249" s="460"/>
    </row>
    <row r="250" spans="2:78" x14ac:dyDescent="0.25">
      <c r="B250" s="217" t="s">
        <v>387</v>
      </c>
      <c r="C250" s="218"/>
      <c r="D250" s="218"/>
      <c r="E250" s="218"/>
      <c r="F250" s="218"/>
      <c r="G250" s="218"/>
      <c r="H250" s="438">
        <f>IFERROR(H248+H249,"n/a")</f>
        <v>1.1421494426861153E-2</v>
      </c>
      <c r="I250" s="439"/>
      <c r="J250" s="439"/>
      <c r="K250" s="439"/>
      <c r="L250" s="439"/>
      <c r="M250" s="439"/>
      <c r="N250" s="438">
        <f>IFERROR(N248+N249,"n/a")</f>
        <v>1.603023012089096E-2</v>
      </c>
      <c r="O250" s="439"/>
      <c r="P250" s="439"/>
      <c r="Q250" s="439"/>
      <c r="R250" s="439"/>
      <c r="S250" s="439"/>
      <c r="T250" s="440">
        <f>IFERROR(T248+T249,"n/a")</f>
        <v>1.3524519031788628E-2</v>
      </c>
      <c r="U250" s="441"/>
      <c r="V250" s="441"/>
      <c r="W250" s="441"/>
      <c r="X250" s="441"/>
      <c r="Y250" s="441"/>
      <c r="Z250" s="440">
        <f>IFERROR(Z248+Z249,"n/a")</f>
        <v>1.5306186988476085E-2</v>
      </c>
      <c r="AA250" s="441"/>
      <c r="AB250" s="441"/>
      <c r="AC250" s="441"/>
      <c r="AD250" s="441"/>
      <c r="AE250" s="441"/>
      <c r="AF250" s="440">
        <f>IFERROR(AF248+AF249,"n/a")</f>
        <v>1.3642939356500988E-2</v>
      </c>
      <c r="AG250" s="441"/>
      <c r="AH250" s="441"/>
      <c r="AI250" s="441"/>
      <c r="AJ250" s="441"/>
      <c r="AK250" s="441"/>
      <c r="AL250" s="440">
        <f>IFERROR(AL248+AL249,"n/a")</f>
        <v>1.1567125556360625E-2</v>
      </c>
      <c r="AM250" s="441"/>
      <c r="AN250" s="441"/>
      <c r="AO250" s="441"/>
      <c r="AP250" s="441"/>
      <c r="AQ250" s="441"/>
      <c r="AR250" s="440">
        <f>IFERROR(AR248+AR249,"n/a")</f>
        <v>8.1346746678661146E-3</v>
      </c>
      <c r="AS250" s="441"/>
      <c r="AT250" s="441"/>
      <c r="AU250" s="441"/>
      <c r="AV250" s="441"/>
      <c r="AW250" s="441"/>
      <c r="AX250" s="440">
        <f>IFERROR(AX248+AX249,"n/a")</f>
        <v>7.6125007956209028E-3</v>
      </c>
      <c r="AY250" s="441"/>
      <c r="AZ250" s="441"/>
      <c r="BA250" s="441"/>
      <c r="BB250" s="441"/>
      <c r="BC250" s="441"/>
      <c r="BD250" s="440">
        <f>IFERROR(BD248+BD249,"n/a")</f>
        <v>1.575090360446994E-2</v>
      </c>
      <c r="BE250" s="441"/>
      <c r="BF250" s="441"/>
      <c r="BG250" s="441"/>
      <c r="BH250" s="441"/>
      <c r="BI250" s="441"/>
      <c r="BJ250" s="440">
        <f>IFERROR(BJ248+BJ249,"n/a")</f>
        <v>1.4535683937141695E-2</v>
      </c>
      <c r="BK250" s="441"/>
      <c r="BL250" s="441"/>
      <c r="BM250" s="441"/>
      <c r="BN250" s="441"/>
      <c r="BO250" s="441"/>
      <c r="BP250" s="440">
        <f>IFERROR(BP248+BP249,"n/a")</f>
        <v>1.0463710574088975E-2</v>
      </c>
      <c r="BQ250" s="442">
        <f>BQ248+BQ249</f>
        <v>1.7000000000000001E-2</v>
      </c>
      <c r="BR250" s="442">
        <f>BR248+BR249</f>
        <v>1.7000000000000001E-2</v>
      </c>
      <c r="BS250" s="442">
        <f>BS248+BS249</f>
        <v>1.7000000000000001E-2</v>
      </c>
      <c r="BT250" s="442">
        <f>BT248+BT249</f>
        <v>1.7000000000000001E-2</v>
      </c>
      <c r="BU250" s="442">
        <f>BU248+BU249</f>
        <v>1.7000000000000001E-2</v>
      </c>
      <c r="BV250" s="365"/>
      <c r="BW250" s="305"/>
      <c r="BX250" s="451"/>
      <c r="BY250" s="460"/>
      <c r="BZ250" s="460"/>
    </row>
    <row r="251" spans="2:78" x14ac:dyDescent="0.25">
      <c r="C251" s="1"/>
      <c r="D251" s="1"/>
      <c r="E251" s="1"/>
      <c r="F251" s="1"/>
      <c r="G251" s="1"/>
      <c r="H251" s="74"/>
      <c r="I251" s="28"/>
      <c r="J251" s="28"/>
      <c r="K251" s="45"/>
      <c r="L251" s="28"/>
      <c r="M251" s="28"/>
      <c r="N251" s="74"/>
      <c r="O251" s="28"/>
      <c r="P251" s="28"/>
      <c r="Q251" s="45"/>
      <c r="R251" s="28"/>
      <c r="S251" s="28"/>
      <c r="T251" s="87"/>
      <c r="U251" s="36"/>
      <c r="V251" s="36"/>
      <c r="W251" s="53"/>
      <c r="X251" s="36"/>
      <c r="Y251" s="36"/>
      <c r="Z251" s="87"/>
      <c r="AA251" s="36"/>
      <c r="AB251" s="36"/>
      <c r="AC251" s="53"/>
      <c r="AD251" s="36"/>
      <c r="AE251" s="36"/>
      <c r="AF251" s="87"/>
      <c r="AG251" s="36"/>
      <c r="AH251" s="36"/>
      <c r="AI251" s="53"/>
      <c r="AJ251" s="36"/>
      <c r="AK251" s="36"/>
      <c r="AL251" s="87"/>
      <c r="AM251" s="36"/>
      <c r="AN251" s="36"/>
      <c r="AO251" s="53"/>
      <c r="AP251" s="36"/>
      <c r="AQ251" s="36"/>
      <c r="AR251" s="87"/>
      <c r="AS251" s="36"/>
      <c r="AT251" s="36"/>
      <c r="AU251" s="53"/>
      <c r="AV251" s="36"/>
      <c r="AW251" s="36"/>
      <c r="AX251" s="87"/>
      <c r="AY251" s="36"/>
      <c r="AZ251" s="36"/>
      <c r="BA251" s="53"/>
      <c r="BB251" s="36"/>
      <c r="BC251" s="36"/>
      <c r="BD251" s="87"/>
      <c r="BE251" s="36"/>
      <c r="BF251" s="36"/>
      <c r="BG251" s="53"/>
      <c r="BH251" s="36"/>
      <c r="BI251" s="36"/>
      <c r="BJ251" s="87"/>
      <c r="BK251" s="36"/>
      <c r="BL251" s="36"/>
      <c r="BM251" s="53"/>
      <c r="BN251" s="36"/>
      <c r="BO251" s="36"/>
      <c r="BP251" s="87"/>
      <c r="BQ251" s="368"/>
      <c r="BR251" s="368"/>
      <c r="BS251" s="368"/>
      <c r="BT251" s="368"/>
      <c r="BU251" s="368"/>
      <c r="BV251" s="365"/>
      <c r="BW251" s="305"/>
      <c r="BX251" s="451"/>
      <c r="BY251" s="459"/>
      <c r="BZ251" s="459"/>
    </row>
    <row r="252" spans="2:78" x14ac:dyDescent="0.25">
      <c r="B252" s="57" t="s">
        <v>484</v>
      </c>
      <c r="C252" s="58"/>
      <c r="D252" s="58"/>
      <c r="E252" s="58"/>
      <c r="F252" s="58"/>
      <c r="G252" s="58"/>
      <c r="H252" s="494"/>
      <c r="I252" s="495"/>
      <c r="J252" s="495"/>
      <c r="K252" s="495"/>
      <c r="L252" s="495"/>
      <c r="M252" s="495"/>
      <c r="N252" s="494"/>
      <c r="O252" s="495"/>
      <c r="P252" s="495"/>
      <c r="Q252" s="495"/>
      <c r="R252" s="495"/>
      <c r="S252" s="495"/>
      <c r="T252" s="106"/>
      <c r="U252" s="58"/>
      <c r="V252" s="58"/>
      <c r="W252" s="58"/>
      <c r="X252" s="58"/>
      <c r="Y252" s="58"/>
      <c r="Z252" s="106"/>
      <c r="AA252" s="58"/>
      <c r="AB252" s="58"/>
      <c r="AC252" s="58"/>
      <c r="AD252" s="58"/>
      <c r="AE252" s="58"/>
      <c r="AF252" s="106"/>
      <c r="AG252" s="58"/>
      <c r="AH252" s="58"/>
      <c r="AI252" s="58"/>
      <c r="AJ252" s="58"/>
      <c r="AK252" s="58"/>
      <c r="AL252" s="106"/>
      <c r="AM252" s="58"/>
      <c r="AN252" s="58"/>
      <c r="AO252" s="58"/>
      <c r="AP252" s="58"/>
      <c r="AQ252" s="58"/>
      <c r="AR252" s="106"/>
      <c r="AS252" s="58"/>
      <c r="AT252" s="58"/>
      <c r="AU252" s="58"/>
      <c r="AV252" s="58"/>
      <c r="AW252" s="58"/>
      <c r="AX252" s="106"/>
      <c r="AY252" s="58"/>
      <c r="AZ252" s="58"/>
      <c r="BA252" s="58"/>
      <c r="BB252" s="58"/>
      <c r="BC252" s="58"/>
      <c r="BD252" s="106"/>
      <c r="BE252" s="58"/>
      <c r="BF252" s="58"/>
      <c r="BG252" s="58"/>
      <c r="BH252" s="58"/>
      <c r="BI252" s="58"/>
      <c r="BJ252" s="106"/>
      <c r="BK252" s="58"/>
      <c r="BL252" s="58"/>
      <c r="BM252" s="58"/>
      <c r="BN252" s="58"/>
      <c r="BO252" s="58"/>
      <c r="BP252" s="106"/>
      <c r="BQ252" s="58"/>
      <c r="BR252" s="58"/>
      <c r="BS252" s="58"/>
      <c r="BT252" s="58"/>
      <c r="BU252" s="58"/>
      <c r="BV252" s="365"/>
      <c r="BW252" s="305"/>
      <c r="BX252" s="451"/>
      <c r="BY252" s="459"/>
      <c r="BZ252" s="459"/>
    </row>
    <row r="253" spans="2:78" x14ac:dyDescent="0.25">
      <c r="B253" s="217" t="s">
        <v>485</v>
      </c>
      <c r="C253" s="1"/>
      <c r="D253" s="1"/>
      <c r="E253" s="1"/>
      <c r="F253" s="1"/>
      <c r="G253" s="1"/>
      <c r="H253" s="74"/>
      <c r="I253" s="28"/>
      <c r="J253" s="28"/>
      <c r="K253" s="45"/>
      <c r="L253" s="28"/>
      <c r="M253" s="28"/>
      <c r="N253" s="74"/>
      <c r="O253" s="28"/>
      <c r="P253" s="28"/>
      <c r="Q253" s="45"/>
      <c r="R253" s="28"/>
      <c r="S253" s="28"/>
      <c r="T253" s="87"/>
      <c r="U253" s="36"/>
      <c r="V253" s="36"/>
      <c r="W253" s="53"/>
      <c r="X253" s="36"/>
      <c r="Y253" s="36"/>
      <c r="Z253" s="87"/>
      <c r="AA253" s="36"/>
      <c r="AB253" s="36"/>
      <c r="AC253" s="53"/>
      <c r="AD253" s="36"/>
      <c r="AE253" s="36"/>
      <c r="AF253" s="87"/>
      <c r="AG253" s="36"/>
      <c r="AH253" s="36"/>
      <c r="AI253" s="53"/>
      <c r="AJ253" s="36"/>
      <c r="AK253" s="36"/>
      <c r="AL253" s="87"/>
      <c r="AM253" s="36"/>
      <c r="AN253" s="36"/>
      <c r="AO253" s="53"/>
      <c r="AP253" s="36"/>
      <c r="AQ253" s="36"/>
      <c r="AR253" s="87"/>
      <c r="AS253" s="36"/>
      <c r="AT253" s="36"/>
      <c r="AU253" s="53"/>
      <c r="AV253" s="36"/>
      <c r="AW253" s="36"/>
      <c r="AX253" s="87"/>
      <c r="AY253" s="36"/>
      <c r="AZ253" s="36"/>
      <c r="BA253" s="53"/>
      <c r="BB253" s="36"/>
      <c r="BC253" s="36"/>
      <c r="BD253" s="87"/>
      <c r="BE253" s="36"/>
      <c r="BF253" s="36"/>
      <c r="BG253" s="53"/>
      <c r="BH253" s="36"/>
      <c r="BI253" s="36"/>
      <c r="BJ253" s="87"/>
      <c r="BK253" s="36"/>
      <c r="BL253" s="36"/>
      <c r="BM253" s="53"/>
      <c r="BN253" s="36"/>
      <c r="BO253" s="36"/>
      <c r="BP253" s="496">
        <v>1571</v>
      </c>
      <c r="BQ253" s="506">
        <f>BP253*1.07</f>
        <v>1680.97</v>
      </c>
      <c r="BR253" s="506">
        <f>BQ253*1.07</f>
        <v>1798.6379000000002</v>
      </c>
      <c r="BS253" s="506">
        <f>BR253*1.07</f>
        <v>1924.5425530000002</v>
      </c>
      <c r="BT253" s="506">
        <f>BS253*1.07</f>
        <v>2059.2605317100006</v>
      </c>
      <c r="BU253" s="506">
        <f>BT253*1.07</f>
        <v>2203.4087689297007</v>
      </c>
      <c r="BV253" s="365"/>
      <c r="BW253" s="305"/>
      <c r="BX253" s="451"/>
      <c r="BY253" s="459"/>
      <c r="BZ253" s="459"/>
    </row>
    <row r="254" spans="2:78" x14ac:dyDescent="0.25">
      <c r="B254" s="217" t="s">
        <v>486</v>
      </c>
      <c r="C254" s="1"/>
      <c r="D254" s="1"/>
      <c r="E254" s="1"/>
      <c r="F254" s="1"/>
      <c r="G254" s="1"/>
      <c r="H254" s="74"/>
      <c r="I254" s="28"/>
      <c r="J254" s="28"/>
      <c r="K254" s="45"/>
      <c r="L254" s="28"/>
      <c r="M254" s="28"/>
      <c r="N254" s="74"/>
      <c r="O254" s="28"/>
      <c r="P254" s="28"/>
      <c r="Q254" s="45"/>
      <c r="R254" s="28"/>
      <c r="S254" s="28"/>
      <c r="T254" s="87"/>
      <c r="U254" s="36"/>
      <c r="V254" s="36"/>
      <c r="W254" s="53"/>
      <c r="X254" s="36"/>
      <c r="Y254" s="36"/>
      <c r="Z254" s="87"/>
      <c r="AA254" s="36"/>
      <c r="AB254" s="36"/>
      <c r="AC254" s="53"/>
      <c r="AD254" s="36"/>
      <c r="AE254" s="36"/>
      <c r="AF254" s="87"/>
      <c r="AG254" s="36"/>
      <c r="AH254" s="36"/>
      <c r="AI254" s="53"/>
      <c r="AJ254" s="36"/>
      <c r="AK254" s="36"/>
      <c r="AL254" s="87"/>
      <c r="AM254" s="36"/>
      <c r="AN254" s="36"/>
      <c r="AO254" s="53"/>
      <c r="AP254" s="36"/>
      <c r="AQ254" s="36"/>
      <c r="AR254" s="87"/>
      <c r="AS254" s="36"/>
      <c r="AT254" s="36"/>
      <c r="AU254" s="53"/>
      <c r="AV254" s="36"/>
      <c r="AW254" s="36"/>
      <c r="AX254" s="87"/>
      <c r="AY254" s="36"/>
      <c r="AZ254" s="36"/>
      <c r="BA254" s="53"/>
      <c r="BB254" s="36"/>
      <c r="BC254" s="36"/>
      <c r="BD254" s="87"/>
      <c r="BE254" s="36"/>
      <c r="BF254" s="36"/>
      <c r="BG254" s="53"/>
      <c r="BH254" s="36"/>
      <c r="BI254" s="36"/>
      <c r="BJ254" s="87"/>
      <c r="BK254" s="36"/>
      <c r="BL254" s="36"/>
      <c r="BM254" s="53"/>
      <c r="BN254" s="36"/>
      <c r="BO254" s="36"/>
      <c r="BP254" s="87"/>
      <c r="BQ254" s="373">
        <f>-BQ233</f>
        <v>2000</v>
      </c>
      <c r="BR254" s="373">
        <f>-BR233</f>
        <v>5000</v>
      </c>
      <c r="BS254" s="373">
        <f>-BS233</f>
        <v>10000</v>
      </c>
      <c r="BT254" s="373">
        <f>-BT233</f>
        <v>15000</v>
      </c>
      <c r="BU254" s="373">
        <f>-BU233</f>
        <v>18000</v>
      </c>
      <c r="BV254" s="365"/>
      <c r="BW254" s="305"/>
      <c r="BX254" s="451"/>
      <c r="BY254" s="459"/>
      <c r="BZ254" s="459"/>
    </row>
    <row r="255" spans="2:78" x14ac:dyDescent="0.25">
      <c r="B255" s="217" t="s">
        <v>487</v>
      </c>
      <c r="C255" s="1"/>
      <c r="D255" s="1"/>
      <c r="E255" s="1"/>
      <c r="F255" s="1"/>
      <c r="G255" s="1"/>
      <c r="H255" s="74"/>
      <c r="I255" s="28"/>
      <c r="J255" s="28"/>
      <c r="K255" s="45"/>
      <c r="L255" s="28"/>
      <c r="M255" s="28"/>
      <c r="N255" s="74"/>
      <c r="O255" s="28"/>
      <c r="P255" s="28"/>
      <c r="Q255" s="45"/>
      <c r="R255" s="28"/>
      <c r="S255" s="28"/>
      <c r="T255" s="87"/>
      <c r="U255" s="36"/>
      <c r="V255" s="36"/>
      <c r="W255" s="53"/>
      <c r="X255" s="36"/>
      <c r="Y255" s="36"/>
      <c r="Z255" s="87"/>
      <c r="AA255" s="36"/>
      <c r="AB255" s="36"/>
      <c r="AC255" s="53"/>
      <c r="AD255" s="36"/>
      <c r="AE255" s="36"/>
      <c r="AF255" s="87"/>
      <c r="AG255" s="36"/>
      <c r="AH255" s="36"/>
      <c r="AI255" s="53"/>
      <c r="AJ255" s="36"/>
      <c r="AK255" s="36"/>
      <c r="AL255" s="87"/>
      <c r="AM255" s="36"/>
      <c r="AN255" s="36"/>
      <c r="AO255" s="53"/>
      <c r="AP255" s="36"/>
      <c r="AQ255" s="36"/>
      <c r="AR255" s="87"/>
      <c r="AS255" s="36"/>
      <c r="AT255" s="36"/>
      <c r="AU255" s="53"/>
      <c r="AV255" s="36"/>
      <c r="AW255" s="36"/>
      <c r="AX255" s="87"/>
      <c r="AY255" s="36"/>
      <c r="AZ255" s="36"/>
      <c r="BA255" s="53"/>
      <c r="BB255" s="36"/>
      <c r="BC255" s="36"/>
      <c r="BD255" s="87"/>
      <c r="BE255" s="36"/>
      <c r="BF255" s="36"/>
      <c r="BG255" s="53"/>
      <c r="BH255" s="36"/>
      <c r="BI255" s="36"/>
      <c r="BJ255" s="87"/>
      <c r="BK255" s="36"/>
      <c r="BL255" s="36"/>
      <c r="BM255" s="53"/>
      <c r="BN255" s="36"/>
      <c r="BO255" s="36"/>
      <c r="BP255" s="497"/>
      <c r="BQ255" s="503">
        <f>BQ254*1000/BQ253</f>
        <v>1189.7892288381113</v>
      </c>
      <c r="BR255" s="503">
        <f>BR254*1000/BR253</f>
        <v>2779.8813757899793</v>
      </c>
      <c r="BS255" s="503">
        <f>BS254*1000/BS253</f>
        <v>5196.0399547476254</v>
      </c>
      <c r="BT255" s="503">
        <f>BT254*1000/BT253</f>
        <v>7284.1681608611552</v>
      </c>
      <c r="BU255" s="503">
        <f>BU254*1000/BU253</f>
        <v>8169.1605542368097</v>
      </c>
      <c r="BV255" s="365"/>
      <c r="BW255" s="305"/>
      <c r="BX255" s="451"/>
      <c r="BY255" s="459"/>
      <c r="BZ255" s="459"/>
    </row>
    <row r="256" spans="2:78" x14ac:dyDescent="0.25">
      <c r="B256" s="217" t="s">
        <v>488</v>
      </c>
      <c r="C256" s="1"/>
      <c r="D256" s="1"/>
      <c r="E256" s="1"/>
      <c r="F256" s="1"/>
      <c r="G256" s="1"/>
      <c r="H256" s="74"/>
      <c r="I256" s="28"/>
      <c r="J256" s="28"/>
      <c r="K256" s="45"/>
      <c r="L256" s="28"/>
      <c r="M256" s="28"/>
      <c r="N256" s="74"/>
      <c r="O256" s="28"/>
      <c r="P256" s="28"/>
      <c r="Q256" s="45"/>
      <c r="R256" s="28"/>
      <c r="S256" s="28"/>
      <c r="T256" s="87"/>
      <c r="U256" s="36"/>
      <c r="V256" s="36"/>
      <c r="W256" s="53"/>
      <c r="X256" s="36"/>
      <c r="Y256" s="36"/>
      <c r="Z256" s="87"/>
      <c r="AA256" s="36"/>
      <c r="AB256" s="36"/>
      <c r="AC256" s="53"/>
      <c r="AD256" s="36"/>
      <c r="AE256" s="36"/>
      <c r="AF256" s="87"/>
      <c r="AG256" s="36"/>
      <c r="AH256" s="36"/>
      <c r="AI256" s="53"/>
      <c r="AJ256" s="36"/>
      <c r="AK256" s="36"/>
      <c r="AL256" s="87"/>
      <c r="AM256" s="36"/>
      <c r="AN256" s="36"/>
      <c r="AO256" s="53"/>
      <c r="AP256" s="36"/>
      <c r="AQ256" s="36"/>
      <c r="AR256" s="87"/>
      <c r="AS256" s="36"/>
      <c r="AT256" s="36"/>
      <c r="AU256" s="53"/>
      <c r="AV256" s="36"/>
      <c r="AW256" s="36"/>
      <c r="AX256" s="87"/>
      <c r="AY256" s="36"/>
      <c r="AZ256" s="36"/>
      <c r="BA256" s="53"/>
      <c r="BB256" s="36"/>
      <c r="BC256" s="36"/>
      <c r="BD256" s="87"/>
      <c r="BE256" s="36"/>
      <c r="BF256" s="36"/>
      <c r="BG256" s="53"/>
      <c r="BH256" s="36"/>
      <c r="BI256" s="36"/>
      <c r="BJ256" s="87"/>
      <c r="BK256" s="36"/>
      <c r="BL256" s="36"/>
      <c r="BM256" s="53"/>
      <c r="BN256" s="36"/>
      <c r="BO256" s="36"/>
      <c r="BP256" s="497"/>
      <c r="BQ256" s="503">
        <f>BP168</f>
        <v>235787</v>
      </c>
      <c r="BR256" s="503">
        <f>BQ168</f>
        <v>234597.21077116189</v>
      </c>
      <c r="BS256" s="503">
        <f>BR168</f>
        <v>231817.3293953719</v>
      </c>
      <c r="BT256" s="503">
        <f>BS168</f>
        <v>226621.28944062427</v>
      </c>
      <c r="BU256" s="503">
        <f>BT168</f>
        <v>219337.12127976312</v>
      </c>
      <c r="BV256" s="365"/>
      <c r="BW256" s="305"/>
      <c r="BX256" s="451"/>
      <c r="BY256" s="459"/>
      <c r="BZ256" s="459"/>
    </row>
    <row r="257" spans="2:78" x14ac:dyDescent="0.25">
      <c r="B257" s="217" t="s">
        <v>489</v>
      </c>
      <c r="C257" s="1"/>
      <c r="D257" s="1"/>
      <c r="E257" s="1"/>
      <c r="F257" s="1"/>
      <c r="G257" s="1"/>
      <c r="H257" s="74"/>
      <c r="I257" s="28"/>
      <c r="J257" s="28"/>
      <c r="K257" s="45"/>
      <c r="L257" s="28"/>
      <c r="M257" s="28"/>
      <c r="N257" s="74"/>
      <c r="O257" s="28"/>
      <c r="P257" s="28"/>
      <c r="Q257" s="45"/>
      <c r="R257" s="28"/>
      <c r="S257" s="28"/>
      <c r="T257" s="87"/>
      <c r="U257" s="36"/>
      <c r="V257" s="36"/>
      <c r="W257" s="53"/>
      <c r="X257" s="36"/>
      <c r="Y257" s="36"/>
      <c r="Z257" s="87"/>
      <c r="AA257" s="36"/>
      <c r="AB257" s="36"/>
      <c r="AC257" s="53"/>
      <c r="AD257" s="36"/>
      <c r="AE257" s="36"/>
      <c r="AF257" s="87"/>
      <c r="AG257" s="36"/>
      <c r="AH257" s="36"/>
      <c r="AI257" s="53"/>
      <c r="AJ257" s="36"/>
      <c r="AK257" s="36"/>
      <c r="AL257" s="87"/>
      <c r="AM257" s="36"/>
      <c r="AN257" s="36"/>
      <c r="AO257" s="53"/>
      <c r="AP257" s="36"/>
      <c r="AQ257" s="36"/>
      <c r="AR257" s="87"/>
      <c r="AS257" s="36"/>
      <c r="AT257" s="36"/>
      <c r="AU257" s="53"/>
      <c r="AV257" s="36"/>
      <c r="AW257" s="36"/>
      <c r="AX257" s="87"/>
      <c r="AY257" s="36"/>
      <c r="AZ257" s="36"/>
      <c r="BA257" s="53"/>
      <c r="BB257" s="36"/>
      <c r="BC257" s="36"/>
      <c r="BD257" s="87"/>
      <c r="BE257" s="36"/>
      <c r="BF257" s="36"/>
      <c r="BG257" s="53"/>
      <c r="BH257" s="36"/>
      <c r="BI257" s="36"/>
      <c r="BJ257" s="87"/>
      <c r="BK257" s="36"/>
      <c r="BL257" s="36"/>
      <c r="BM257" s="53"/>
      <c r="BN257" s="36"/>
      <c r="BO257" s="36"/>
      <c r="BP257" s="497"/>
      <c r="BQ257" s="503">
        <f>BQ256-BQ255</f>
        <v>234597.21077116189</v>
      </c>
      <c r="BR257" s="503">
        <f>BR256-BR255</f>
        <v>231817.3293953719</v>
      </c>
      <c r="BS257" s="503">
        <f>BS256-BS255</f>
        <v>226621.28944062427</v>
      </c>
      <c r="BT257" s="503">
        <f>BT256-BT255</f>
        <v>219337.12127976312</v>
      </c>
      <c r="BU257" s="503">
        <f>BU256-BU255</f>
        <v>211167.9607255263</v>
      </c>
      <c r="BV257" s="365"/>
      <c r="BW257" s="305"/>
      <c r="BX257" s="451"/>
      <c r="BY257" s="459"/>
      <c r="BZ257" s="459"/>
    </row>
    <row r="258" spans="2:78" x14ac:dyDescent="0.25">
      <c r="B258" s="217" t="s">
        <v>490</v>
      </c>
      <c r="C258" s="1"/>
      <c r="D258" s="1"/>
      <c r="E258" s="1"/>
      <c r="F258" s="1"/>
      <c r="G258" s="1"/>
      <c r="H258" s="74"/>
      <c r="I258" s="28"/>
      <c r="J258" s="28"/>
      <c r="K258" s="45"/>
      <c r="L258" s="28"/>
      <c r="M258" s="28"/>
      <c r="N258" s="74"/>
      <c r="O258" s="28"/>
      <c r="P258" s="28"/>
      <c r="Q258" s="45"/>
      <c r="R258" s="28"/>
      <c r="S258" s="28"/>
      <c r="T258" s="87"/>
      <c r="U258" s="36"/>
      <c r="V258" s="36"/>
      <c r="W258" s="53"/>
      <c r="X258" s="36"/>
      <c r="Y258" s="36"/>
      <c r="Z258" s="87"/>
      <c r="AA258" s="36"/>
      <c r="AB258" s="36"/>
      <c r="AC258" s="53"/>
      <c r="AD258" s="36"/>
      <c r="AE258" s="36"/>
      <c r="AF258" s="87"/>
      <c r="AG258" s="36"/>
      <c r="AH258" s="36"/>
      <c r="AI258" s="53"/>
      <c r="AJ258" s="36"/>
      <c r="AK258" s="36"/>
      <c r="AL258" s="87"/>
      <c r="AM258" s="36"/>
      <c r="AN258" s="36"/>
      <c r="AO258" s="53"/>
      <c r="AP258" s="36"/>
      <c r="AQ258" s="36"/>
      <c r="AR258" s="87"/>
      <c r="AS258" s="36"/>
      <c r="AT258" s="36"/>
      <c r="AU258" s="53"/>
      <c r="AV258" s="36"/>
      <c r="AW258" s="36"/>
      <c r="AX258" s="87"/>
      <c r="AY258" s="36"/>
      <c r="AZ258" s="36"/>
      <c r="BA258" s="53"/>
      <c r="BB258" s="36"/>
      <c r="BC258" s="36"/>
      <c r="BD258" s="87"/>
      <c r="BE258" s="36"/>
      <c r="BF258" s="36"/>
      <c r="BG258" s="53"/>
      <c r="BH258" s="36"/>
      <c r="BI258" s="36"/>
      <c r="BJ258" s="87"/>
      <c r="BK258" s="36"/>
      <c r="BL258" s="36"/>
      <c r="BM258" s="53"/>
      <c r="BN258" s="36"/>
      <c r="BO258" s="36"/>
      <c r="BP258" s="498"/>
      <c r="BQ258" s="504">
        <f>BQ255/BQ256</f>
        <v>5.0460340427509204E-3</v>
      </c>
      <c r="BR258" s="504">
        <f>BR255/BR256</f>
        <v>1.1849592613023936E-2</v>
      </c>
      <c r="BS258" s="504">
        <f>BS255/BS256</f>
        <v>2.241437242116448E-2</v>
      </c>
      <c r="BT258" s="504">
        <f>BT255/BT256</f>
        <v>3.2142470722150041E-2</v>
      </c>
      <c r="BU258" s="504">
        <f>BU255/BU256</f>
        <v>3.724476963394216E-2</v>
      </c>
      <c r="BV258" s="365"/>
      <c r="BW258" s="305"/>
      <c r="BX258" s="451"/>
      <c r="BY258" s="459"/>
      <c r="BZ258" s="459"/>
    </row>
    <row r="259" spans="2:78" x14ac:dyDescent="0.25">
      <c r="B259" s="217" t="s">
        <v>491</v>
      </c>
      <c r="C259" s="1"/>
      <c r="D259" s="1"/>
      <c r="E259" s="1"/>
      <c r="F259" s="1"/>
      <c r="G259" s="1"/>
      <c r="H259" s="74"/>
      <c r="I259" s="28"/>
      <c r="J259" s="28"/>
      <c r="K259" s="45"/>
      <c r="L259" s="28"/>
      <c r="M259" s="28"/>
      <c r="N259" s="74"/>
      <c r="O259" s="28"/>
      <c r="P259" s="28"/>
      <c r="Q259" s="45"/>
      <c r="R259" s="28"/>
      <c r="S259" s="28"/>
      <c r="T259" s="87"/>
      <c r="U259" s="36"/>
      <c r="V259" s="36"/>
      <c r="W259" s="53"/>
      <c r="X259" s="36"/>
      <c r="Y259" s="36"/>
      <c r="Z259" s="87"/>
      <c r="AA259" s="36"/>
      <c r="AB259" s="36"/>
      <c r="AC259" s="53"/>
      <c r="AD259" s="36"/>
      <c r="AE259" s="36"/>
      <c r="AF259" s="87"/>
      <c r="AG259" s="36"/>
      <c r="AH259" s="36"/>
      <c r="AI259" s="53"/>
      <c r="AJ259" s="36"/>
      <c r="AK259" s="36"/>
      <c r="AL259" s="87"/>
      <c r="AM259" s="36"/>
      <c r="AN259" s="36"/>
      <c r="AO259" s="53"/>
      <c r="AP259" s="36"/>
      <c r="AQ259" s="36"/>
      <c r="AR259" s="87"/>
      <c r="AS259" s="36"/>
      <c r="AT259" s="36"/>
      <c r="AU259" s="53"/>
      <c r="AV259" s="36"/>
      <c r="AW259" s="36"/>
      <c r="AX259" s="87"/>
      <c r="AY259" s="36"/>
      <c r="AZ259" s="36"/>
      <c r="BA259" s="53"/>
      <c r="BB259" s="36"/>
      <c r="BC259" s="36"/>
      <c r="BD259" s="87"/>
      <c r="BE259" s="36"/>
      <c r="BF259" s="36"/>
      <c r="BG259" s="53"/>
      <c r="BH259" s="36"/>
      <c r="BI259" s="36"/>
      <c r="BJ259" s="87"/>
      <c r="BK259" s="36"/>
      <c r="BL259" s="36"/>
      <c r="BM259" s="53"/>
      <c r="BN259" s="36"/>
      <c r="BO259" s="36"/>
      <c r="BP259" s="497"/>
      <c r="BQ259" s="503">
        <f>BQ255</f>
        <v>1189.7892288381113</v>
      </c>
      <c r="BR259" s="503">
        <f>BQ259+BR255</f>
        <v>3969.6706046280906</v>
      </c>
      <c r="BS259" s="503">
        <f>BR259+BS255</f>
        <v>9165.7105593757151</v>
      </c>
      <c r="BT259" s="503">
        <f>BS259+BT255</f>
        <v>16449.878720236869</v>
      </c>
      <c r="BU259" s="503">
        <f>BT259+BU255</f>
        <v>24619.039274473678</v>
      </c>
      <c r="BV259" s="365"/>
      <c r="BW259" s="305"/>
      <c r="BX259" s="451"/>
      <c r="BY259" s="459"/>
      <c r="BZ259" s="459"/>
    </row>
    <row r="260" spans="2:78" x14ac:dyDescent="0.25">
      <c r="C260" s="1"/>
      <c r="D260" s="1"/>
      <c r="E260" s="1"/>
      <c r="F260" s="1"/>
      <c r="G260" s="1"/>
      <c r="H260" s="64"/>
      <c r="I260" s="176"/>
      <c r="J260" s="176"/>
      <c r="K260" s="177"/>
      <c r="L260" s="176"/>
      <c r="M260" s="176"/>
      <c r="N260" s="64"/>
      <c r="O260" s="176"/>
      <c r="P260" s="176"/>
      <c r="Q260" s="177"/>
      <c r="R260" s="176"/>
      <c r="S260" s="176"/>
      <c r="T260" s="64"/>
      <c r="U260" s="176"/>
      <c r="V260" s="176"/>
      <c r="W260" s="177"/>
      <c r="X260" s="176"/>
      <c r="Y260" s="176"/>
      <c r="Z260" s="64"/>
      <c r="AA260" s="176"/>
      <c r="AB260" s="176"/>
      <c r="AC260" s="177"/>
      <c r="AD260" s="176"/>
      <c r="AE260" s="176"/>
      <c r="AF260" s="64"/>
      <c r="AG260" s="176"/>
      <c r="AH260" s="176"/>
      <c r="AI260" s="177"/>
      <c r="AJ260" s="176"/>
      <c r="AK260" s="176"/>
      <c r="AL260" s="64"/>
      <c r="AM260" s="176"/>
      <c r="AN260" s="176"/>
      <c r="AO260" s="177"/>
      <c r="AP260" s="176"/>
      <c r="AQ260" s="176"/>
      <c r="AR260" s="64"/>
      <c r="AS260" s="176"/>
      <c r="AT260" s="176"/>
      <c r="AU260" s="177"/>
      <c r="AV260" s="176"/>
      <c r="AW260" s="176"/>
      <c r="AX260" s="64"/>
      <c r="AY260" s="176"/>
      <c r="AZ260" s="176"/>
      <c r="BA260" s="177"/>
      <c r="BB260" s="176"/>
      <c r="BC260" s="176"/>
      <c r="BD260" s="64"/>
      <c r="BE260" s="176"/>
      <c r="BF260" s="176"/>
      <c r="BG260" s="177"/>
      <c r="BH260" s="176"/>
      <c r="BI260" s="176"/>
      <c r="BJ260" s="64"/>
      <c r="BK260" s="176"/>
      <c r="BL260" s="176"/>
      <c r="BM260" s="177"/>
      <c r="BN260" s="176"/>
      <c r="BO260" s="176"/>
      <c r="BP260" s="91"/>
      <c r="BQ260" s="366"/>
      <c r="BR260" s="366"/>
      <c r="BS260" s="366"/>
      <c r="BT260" s="366"/>
      <c r="BU260" s="366"/>
      <c r="BV260" s="365"/>
      <c r="BW260" s="305"/>
      <c r="BX260" s="451"/>
      <c r="BY260" s="459"/>
      <c r="BZ260" s="459"/>
    </row>
    <row r="261" spans="2:78" x14ac:dyDescent="0.25">
      <c r="B261" s="57" t="s">
        <v>219</v>
      </c>
      <c r="C261" s="58"/>
      <c r="D261" s="58"/>
      <c r="E261" s="58"/>
      <c r="F261" s="58"/>
      <c r="G261" s="58"/>
      <c r="H261" s="66"/>
      <c r="I261" s="58"/>
      <c r="J261" s="58"/>
      <c r="K261" s="58"/>
      <c r="L261" s="58"/>
      <c r="M261" s="58"/>
      <c r="N261" s="66"/>
      <c r="O261" s="58"/>
      <c r="P261" s="58"/>
      <c r="Q261" s="58"/>
      <c r="R261" s="58"/>
      <c r="S261" s="58"/>
      <c r="T261" s="66"/>
      <c r="U261" s="58"/>
      <c r="V261" s="58"/>
      <c r="W261" s="58"/>
      <c r="X261" s="58"/>
      <c r="Y261" s="58"/>
      <c r="Z261" s="66"/>
      <c r="AA261" s="58"/>
      <c r="AB261" s="58"/>
      <c r="AC261" s="58"/>
      <c r="AD261" s="58"/>
      <c r="AE261" s="58"/>
      <c r="AF261" s="66"/>
      <c r="AG261" s="58"/>
      <c r="AH261" s="58"/>
      <c r="AI261" s="58"/>
      <c r="AJ261" s="58"/>
      <c r="AK261" s="58"/>
      <c r="AL261" s="66"/>
      <c r="AM261" s="58"/>
      <c r="AN261" s="58"/>
      <c r="AO261" s="58"/>
      <c r="AP261" s="58"/>
      <c r="AQ261" s="58"/>
      <c r="AR261" s="66"/>
      <c r="AS261" s="58"/>
      <c r="AT261" s="58"/>
      <c r="AU261" s="58"/>
      <c r="AV261" s="58"/>
      <c r="AW261" s="58"/>
      <c r="AX261" s="66"/>
      <c r="AY261" s="58"/>
      <c r="AZ261" s="58"/>
      <c r="BA261" s="58"/>
      <c r="BB261" s="58"/>
      <c r="BC261" s="58"/>
      <c r="BD261" s="66"/>
      <c r="BE261" s="58"/>
      <c r="BF261" s="58"/>
      <c r="BG261" s="58"/>
      <c r="BH261" s="58"/>
      <c r="BI261" s="58"/>
      <c r="BJ261" s="66"/>
      <c r="BK261" s="58"/>
      <c r="BL261" s="58"/>
      <c r="BM261" s="58"/>
      <c r="BN261" s="58"/>
      <c r="BO261" s="58"/>
      <c r="BP261" s="106"/>
      <c r="BQ261" s="58"/>
      <c r="BR261" s="58"/>
      <c r="BS261" s="58"/>
      <c r="BT261" s="58"/>
      <c r="BU261" s="58"/>
      <c r="BV261" s="399"/>
      <c r="BW261" s="305"/>
      <c r="BX261" s="458"/>
      <c r="BY261" s="60"/>
      <c r="BZ261" s="60"/>
    </row>
    <row r="262" spans="2:78" x14ac:dyDescent="0.25">
      <c r="C262" s="1"/>
      <c r="D262" s="1"/>
      <c r="E262" s="1"/>
      <c r="F262" s="1"/>
      <c r="G262" s="1"/>
      <c r="H262" s="64"/>
      <c r="I262" s="176"/>
      <c r="J262" s="176"/>
      <c r="K262" s="177"/>
      <c r="L262" s="176"/>
      <c r="M262" s="176"/>
      <c r="N262" s="64"/>
      <c r="O262" s="176"/>
      <c r="P262" s="176"/>
      <c r="Q262" s="177"/>
      <c r="R262" s="176"/>
      <c r="S262" s="176"/>
      <c r="T262" s="64"/>
      <c r="U262" s="176"/>
      <c r="V262" s="176"/>
      <c r="W262" s="177"/>
      <c r="X262" s="176"/>
      <c r="Y262" s="176"/>
      <c r="Z262" s="64"/>
      <c r="AA262" s="176"/>
      <c r="AB262" s="176"/>
      <c r="AC262" s="177"/>
      <c r="AD262" s="176"/>
      <c r="AE262" s="176"/>
      <c r="AF262" s="64"/>
      <c r="AG262" s="176"/>
      <c r="AH262" s="176"/>
      <c r="AI262" s="177"/>
      <c r="AJ262" s="176"/>
      <c r="AK262" s="176"/>
      <c r="AL262" s="64"/>
      <c r="AM262" s="176"/>
      <c r="AN262" s="176"/>
      <c r="AO262" s="177"/>
      <c r="AP262" s="176"/>
      <c r="AQ262" s="176"/>
      <c r="AR262" s="64"/>
      <c r="AS262" s="176"/>
      <c r="AT262" s="176"/>
      <c r="AU262" s="177"/>
      <c r="AV262" s="176"/>
      <c r="AW262" s="176"/>
      <c r="AX262" s="64"/>
      <c r="AY262" s="176"/>
      <c r="AZ262" s="176"/>
      <c r="BA262" s="177"/>
      <c r="BB262" s="176"/>
      <c r="BC262" s="176"/>
      <c r="BD262" s="64"/>
      <c r="BE262" s="176"/>
      <c r="BF262" s="176"/>
      <c r="BG262" s="177"/>
      <c r="BH262" s="176"/>
      <c r="BI262" s="176"/>
      <c r="BJ262" s="64"/>
      <c r="BK262" s="176"/>
      <c r="BL262" s="176"/>
      <c r="BM262" s="177"/>
      <c r="BN262" s="176"/>
      <c r="BO262" s="176"/>
      <c r="BP262" s="91"/>
      <c r="BQ262" s="366"/>
      <c r="BR262" s="366"/>
      <c r="BS262" s="366"/>
      <c r="BT262" s="366"/>
      <c r="BU262" s="366"/>
      <c r="BV262" s="365"/>
      <c r="BW262" s="305"/>
      <c r="BX262" s="451"/>
      <c r="BY262" s="459"/>
      <c r="BZ262" s="459"/>
    </row>
    <row r="263" spans="2:78" x14ac:dyDescent="0.25">
      <c r="B263" s="221" t="s">
        <v>74</v>
      </c>
      <c r="C263" s="222"/>
      <c r="D263" s="222"/>
      <c r="E263" s="222"/>
      <c r="F263" s="222"/>
      <c r="G263" s="222"/>
      <c r="H263" s="146"/>
      <c r="I263" s="222"/>
      <c r="J263" s="222"/>
      <c r="K263" s="222"/>
      <c r="L263" s="222"/>
      <c r="M263" s="222"/>
      <c r="N263" s="146"/>
      <c r="O263" s="222"/>
      <c r="P263" s="222"/>
      <c r="Q263" s="222"/>
      <c r="R263" s="222"/>
      <c r="S263" s="222"/>
      <c r="T263" s="146"/>
      <c r="U263" s="222"/>
      <c r="V263" s="222"/>
      <c r="W263" s="222"/>
      <c r="X263" s="222"/>
      <c r="Y263" s="222"/>
      <c r="Z263" s="146"/>
      <c r="AA263" s="222"/>
      <c r="AB263" s="222"/>
      <c r="AC263" s="222"/>
      <c r="AD263" s="222"/>
      <c r="AE263" s="222"/>
      <c r="AF263" s="146"/>
      <c r="AG263" s="222"/>
      <c r="AH263" s="222"/>
      <c r="AI263" s="222"/>
      <c r="AJ263" s="222"/>
      <c r="AK263" s="222"/>
      <c r="AL263" s="146"/>
      <c r="AM263" s="222"/>
      <c r="AN263" s="222"/>
      <c r="AO263" s="222"/>
      <c r="AP263" s="222"/>
      <c r="AQ263" s="222"/>
      <c r="AR263" s="146"/>
      <c r="AS263" s="222"/>
      <c r="AT263" s="222"/>
      <c r="AU263" s="222"/>
      <c r="AV263" s="222"/>
      <c r="AW263" s="222"/>
      <c r="AX263" s="146"/>
      <c r="AY263" s="222"/>
      <c r="AZ263" s="222"/>
      <c r="BA263" s="222"/>
      <c r="BB263" s="222"/>
      <c r="BC263" s="222"/>
      <c r="BD263" s="146"/>
      <c r="BE263" s="222"/>
      <c r="BF263" s="222"/>
      <c r="BG263" s="222"/>
      <c r="BH263" s="222"/>
      <c r="BI263" s="222"/>
      <c r="BJ263" s="146"/>
      <c r="BK263" s="222"/>
      <c r="BL263" s="222"/>
      <c r="BM263" s="222"/>
      <c r="BN263" s="222"/>
      <c r="BO263" s="222"/>
      <c r="BP263" s="147"/>
      <c r="BQ263" s="222"/>
      <c r="BR263" s="222"/>
      <c r="BS263" s="222"/>
      <c r="BT263" s="222"/>
      <c r="BU263" s="222"/>
      <c r="BV263" s="57" t="s">
        <v>355</v>
      </c>
      <c r="BW263" s="305"/>
      <c r="BX263" s="455"/>
      <c r="BY263" s="459"/>
      <c r="BZ263" s="459"/>
    </row>
    <row r="264" spans="2:78" x14ac:dyDescent="0.25">
      <c r="B264" s="223" t="s">
        <v>75</v>
      </c>
      <c r="C264" s="224"/>
      <c r="D264" s="224"/>
      <c r="E264" s="224"/>
      <c r="F264" s="224"/>
      <c r="G264" s="224"/>
      <c r="H264" s="152"/>
      <c r="I264" s="224"/>
      <c r="J264" s="224"/>
      <c r="K264" s="224"/>
      <c r="L264" s="224"/>
      <c r="M264" s="224"/>
      <c r="N264" s="152"/>
      <c r="O264" s="224"/>
      <c r="P264" s="224"/>
      <c r="Q264" s="224"/>
      <c r="R264" s="224"/>
      <c r="S264" s="224"/>
      <c r="T264" s="152"/>
      <c r="U264" s="224"/>
      <c r="V264" s="224"/>
      <c r="W264" s="224"/>
      <c r="X264" s="224"/>
      <c r="Y264" s="224"/>
      <c r="Z264" s="152"/>
      <c r="AA264" s="224"/>
      <c r="AB264" s="224"/>
      <c r="AC264" s="224"/>
      <c r="AD264" s="224"/>
      <c r="AE264" s="224"/>
      <c r="AF264" s="152"/>
      <c r="AG264" s="224"/>
      <c r="AH264" s="224"/>
      <c r="AI264" s="224"/>
      <c r="AJ264" s="224"/>
      <c r="AK264" s="224"/>
      <c r="AL264" s="152"/>
      <c r="AM264" s="224"/>
      <c r="AN264" s="224"/>
      <c r="AO264" s="224"/>
      <c r="AP264" s="224"/>
      <c r="AQ264" s="224"/>
      <c r="AR264" s="152"/>
      <c r="AS264" s="224"/>
      <c r="AT264" s="224"/>
      <c r="AU264" s="224"/>
      <c r="AV264" s="224"/>
      <c r="AW264" s="224"/>
      <c r="AX264" s="152"/>
      <c r="AY264" s="224"/>
      <c r="AZ264" s="224"/>
      <c r="BA264" s="224"/>
      <c r="BB264" s="224"/>
      <c r="BC264" s="224"/>
      <c r="BD264" s="152"/>
      <c r="BE264" s="224"/>
      <c r="BF264" s="224"/>
      <c r="BG264" s="224"/>
      <c r="BH264" s="224"/>
      <c r="BI264" s="224"/>
      <c r="BJ264" s="152"/>
      <c r="BK264" s="224"/>
      <c r="BL264" s="224"/>
      <c r="BM264" s="224"/>
      <c r="BN264" s="224"/>
      <c r="BO264" s="224"/>
      <c r="BP264" s="153"/>
      <c r="BQ264" s="224"/>
      <c r="BR264" s="224"/>
      <c r="BS264" s="224"/>
      <c r="BT264" s="224"/>
      <c r="BU264" s="224"/>
      <c r="BV264" s="365"/>
      <c r="BW264" s="305"/>
      <c r="BX264" s="451"/>
      <c r="BY264" s="459"/>
      <c r="BZ264" s="459"/>
    </row>
    <row r="265" spans="2:78" ht="16.5" customHeight="1" x14ac:dyDescent="0.25">
      <c r="B265" t="s">
        <v>76</v>
      </c>
      <c r="C265" s="1"/>
      <c r="D265" s="1"/>
      <c r="E265" s="1"/>
      <c r="F265" s="1"/>
      <c r="G265" s="1"/>
      <c r="H265" s="74">
        <v>8996</v>
      </c>
      <c r="I265" s="28"/>
      <c r="J265" s="28"/>
      <c r="K265" s="45"/>
      <c r="L265" s="28"/>
      <c r="M265" s="28"/>
      <c r="N265" s="74">
        <v>17247</v>
      </c>
      <c r="O265" s="28"/>
      <c r="P265" s="28"/>
      <c r="Q265" s="45"/>
      <c r="R265" s="28"/>
      <c r="S265" s="28"/>
      <c r="T265" s="87">
        <v>16573</v>
      </c>
      <c r="U265" s="36"/>
      <c r="V265" s="36"/>
      <c r="W265" s="53"/>
      <c r="X265" s="36"/>
      <c r="Y265" s="36"/>
      <c r="Z265" s="87">
        <v>16742</v>
      </c>
      <c r="AA265" s="36"/>
      <c r="AB265" s="36"/>
      <c r="AC265" s="53"/>
      <c r="AD265" s="36"/>
      <c r="AE265" s="36"/>
      <c r="AF265" s="87">
        <v>51988</v>
      </c>
      <c r="AG265" s="36"/>
      <c r="AH265" s="36"/>
      <c r="AI265" s="53"/>
      <c r="AJ265" s="36"/>
      <c r="AK265" s="36"/>
      <c r="AL265" s="87">
        <v>48665</v>
      </c>
      <c r="AM265" s="36"/>
      <c r="AN265" s="36"/>
      <c r="AO265" s="53"/>
      <c r="AP265" s="36"/>
      <c r="AQ265" s="36"/>
      <c r="AR265" s="87">
        <v>76661</v>
      </c>
      <c r="AS265" s="36"/>
      <c r="AT265" s="36"/>
      <c r="AU265" s="53"/>
      <c r="AV265" s="36"/>
      <c r="AW265" s="36"/>
      <c r="AX265" s="87">
        <v>77674</v>
      </c>
      <c r="AY265" s="36"/>
      <c r="AZ265" s="36"/>
      <c r="BA265" s="53"/>
      <c r="BB265" s="36"/>
      <c r="BC265" s="36"/>
      <c r="BD265" s="87">
        <v>77106</v>
      </c>
      <c r="BE265" s="36"/>
      <c r="BF265" s="36"/>
      <c r="BG265" s="53"/>
      <c r="BH265" s="36"/>
      <c r="BI265" s="36"/>
      <c r="BJ265" s="87">
        <v>77877</v>
      </c>
      <c r="BK265" s="36"/>
      <c r="BL265" s="36"/>
      <c r="BM265" s="53"/>
      <c r="BN265" s="36"/>
      <c r="BO265" s="36"/>
      <c r="BP265" s="87">
        <v>150954</v>
      </c>
      <c r="BQ265" s="373">
        <f>BP265-BQ220-BQ133*BQ323</f>
        <v>150384.75728960001</v>
      </c>
      <c r="BR265" s="373">
        <f>BQ265-BR220-BR133*BR323</f>
        <v>149811.81480612268</v>
      </c>
      <c r="BS265" s="373">
        <f>BR265-BS220-BS133*BS323</f>
        <v>149238.79107778231</v>
      </c>
      <c r="BT265" s="373">
        <f>BS265-BT220-BT133*BT323</f>
        <v>148647.92652260445</v>
      </c>
      <c r="BU265" s="373">
        <f>BT265-BU220-BU133*BU323</f>
        <v>148049.95875242836</v>
      </c>
      <c r="BV265" s="411" t="s">
        <v>393</v>
      </c>
      <c r="BW265" s="289"/>
      <c r="BX265" s="451"/>
      <c r="BY265" s="459"/>
      <c r="BZ265" s="459"/>
    </row>
    <row r="266" spans="2:78" ht="16.5" customHeight="1" x14ac:dyDescent="0.25">
      <c r="B266" t="s">
        <v>77</v>
      </c>
      <c r="C266" s="1"/>
      <c r="D266" s="1"/>
      <c r="E266" s="1"/>
      <c r="F266" s="1"/>
      <c r="G266" s="1"/>
      <c r="H266" s="72" t="s">
        <v>12</v>
      </c>
      <c r="I266" s="28"/>
      <c r="J266" s="28"/>
      <c r="K266" s="45"/>
      <c r="L266" s="28"/>
      <c r="M266" s="28"/>
      <c r="N266" s="72" t="s">
        <v>12</v>
      </c>
      <c r="O266" s="28"/>
      <c r="P266" s="28"/>
      <c r="Q266" s="45"/>
      <c r="R266" s="28"/>
      <c r="S266" s="28"/>
      <c r="T266" s="72" t="s">
        <v>12</v>
      </c>
      <c r="U266" s="28"/>
      <c r="V266" s="28"/>
      <c r="W266" s="45"/>
      <c r="X266" s="28"/>
      <c r="Y266" s="28"/>
      <c r="Z266" s="72" t="s">
        <v>12</v>
      </c>
      <c r="AA266" s="28"/>
      <c r="AB266" s="28"/>
      <c r="AC266" s="45"/>
      <c r="AD266" s="28"/>
      <c r="AE266" s="28"/>
      <c r="AF266" s="87">
        <v>11671</v>
      </c>
      <c r="AG266" s="36"/>
      <c r="AH266" s="36"/>
      <c r="AI266" s="53"/>
      <c r="AJ266" s="36"/>
      <c r="AK266" s="36"/>
      <c r="AL266" s="72">
        <v>11111</v>
      </c>
      <c r="AM266" s="28"/>
      <c r="AN266" s="28"/>
      <c r="AO266" s="45"/>
      <c r="AP266" s="28"/>
      <c r="AQ266" s="28"/>
      <c r="AR266" s="72">
        <v>13709</v>
      </c>
      <c r="AS266" s="28"/>
      <c r="AT266" s="28"/>
      <c r="AU266" s="45"/>
      <c r="AV266" s="28"/>
      <c r="AW266" s="28"/>
      <c r="AX266" s="87">
        <v>14694</v>
      </c>
      <c r="AY266" s="36"/>
      <c r="AZ266" s="36"/>
      <c r="BA266" s="53"/>
      <c r="BB266" s="36"/>
      <c r="BC266" s="36"/>
      <c r="BD266" s="87">
        <v>15655</v>
      </c>
      <c r="BE266" s="36"/>
      <c r="BF266" s="36"/>
      <c r="BG266" s="53"/>
      <c r="BH266" s="36"/>
      <c r="BI266" s="36"/>
      <c r="BJ266" s="87">
        <v>18713</v>
      </c>
      <c r="BK266" s="36"/>
      <c r="BL266" s="36"/>
      <c r="BM266" s="53"/>
      <c r="BN266" s="36"/>
      <c r="BO266" s="36"/>
      <c r="BP266" s="87">
        <v>27772</v>
      </c>
      <c r="BQ266" s="373">
        <f>BP266*(1+BQ326)+BQ327</f>
        <v>31049.72</v>
      </c>
      <c r="BR266" s="373">
        <f>BQ266*(1+BR326)+BR327</f>
        <v>34360.217199999999</v>
      </c>
      <c r="BS266" s="373">
        <f>BR266*(1+BS326)+BS327</f>
        <v>37703.819371999998</v>
      </c>
      <c r="BT266" s="373">
        <f>BS266*(1+BT326)+BT327</f>
        <v>38080.857565719998</v>
      </c>
      <c r="BU266" s="373">
        <f>BT266*(1+BU326)+BU327</f>
        <v>38461.666141377202</v>
      </c>
      <c r="BV266" s="411" t="s">
        <v>394</v>
      </c>
      <c r="BW266" s="305"/>
      <c r="BX266" s="451"/>
      <c r="BY266" s="459"/>
      <c r="BZ266" s="459"/>
    </row>
    <row r="267" spans="2:78" ht="15.75" customHeight="1" x14ac:dyDescent="0.25">
      <c r="B267" t="s">
        <v>78</v>
      </c>
      <c r="C267" s="1"/>
      <c r="D267" s="1"/>
      <c r="E267" s="1"/>
      <c r="F267" s="1"/>
      <c r="G267" s="1"/>
      <c r="H267" s="74">
        <v>3568</v>
      </c>
      <c r="I267" s="28"/>
      <c r="J267" s="28"/>
      <c r="K267" s="45"/>
      <c r="L267" s="28"/>
      <c r="M267" s="28"/>
      <c r="N267" s="74">
        <v>3334</v>
      </c>
      <c r="O267" s="28"/>
      <c r="P267" s="28"/>
      <c r="Q267" s="45"/>
      <c r="R267" s="28"/>
      <c r="S267" s="28"/>
      <c r="T267" s="87">
        <v>2431</v>
      </c>
      <c r="U267" s="36"/>
      <c r="V267" s="36"/>
      <c r="W267" s="53"/>
      <c r="X267" s="36"/>
      <c r="Y267" s="36"/>
      <c r="Z267" s="87">
        <v>2490</v>
      </c>
      <c r="AA267" s="36"/>
      <c r="AB267" s="36"/>
      <c r="AC267" s="53"/>
      <c r="AD267" s="36"/>
      <c r="AE267" s="36"/>
      <c r="AF267" s="87">
        <v>3022</v>
      </c>
      <c r="AG267" s="36"/>
      <c r="AH267" s="36"/>
      <c r="AI267" s="53"/>
      <c r="AJ267" s="36"/>
      <c r="AK267" s="36"/>
      <c r="AL267" s="87">
        <v>3014</v>
      </c>
      <c r="AM267" s="36"/>
      <c r="AN267" s="36"/>
      <c r="AO267" s="53"/>
      <c r="AP267" s="36"/>
      <c r="AQ267" s="36"/>
      <c r="AR267" s="87">
        <v>6262</v>
      </c>
      <c r="AS267" s="36"/>
      <c r="AT267" s="36"/>
      <c r="AU267" s="53"/>
      <c r="AV267" s="36"/>
      <c r="AW267" s="36"/>
      <c r="AX267" s="87">
        <v>6284</v>
      </c>
      <c r="AY267" s="36"/>
      <c r="AZ267" s="36"/>
      <c r="BA267" s="53"/>
      <c r="BB267" s="36"/>
      <c r="BC267" s="36"/>
      <c r="BD267" s="87">
        <v>6214</v>
      </c>
      <c r="BE267" s="36"/>
      <c r="BF267" s="36"/>
      <c r="BG267" s="53"/>
      <c r="BH267" s="36"/>
      <c r="BI267" s="36"/>
      <c r="BJ267" s="87">
        <v>6779</v>
      </c>
      <c r="BK267" s="36"/>
      <c r="BL267" s="36"/>
      <c r="BM267" s="53"/>
      <c r="BN267" s="36"/>
      <c r="BO267" s="36"/>
      <c r="BP267" s="87">
        <v>24421</v>
      </c>
      <c r="BQ267" s="373">
        <f>BP267-BQ221-BQ133*BQ325</f>
        <v>26556.642336799996</v>
      </c>
      <c r="BR267" s="373">
        <f>BQ267-BR221-BR133*BR325</f>
        <v>28867.53598404799</v>
      </c>
      <c r="BS267" s="373">
        <f>BR267-BS221-BS133*BS325</f>
        <v>31345.809621849665</v>
      </c>
      <c r="BT267" s="373">
        <f>BS267-BT221-BT133*BT325</f>
        <v>33932.780799592409</v>
      </c>
      <c r="BU267" s="373">
        <f>BT267-BU221-BU133*BU325</f>
        <v>36652.842769455325</v>
      </c>
      <c r="BV267" s="411" t="s">
        <v>395</v>
      </c>
      <c r="BW267" s="289"/>
      <c r="BX267" s="451"/>
      <c r="BY267" s="459"/>
      <c r="BZ267" s="459"/>
    </row>
    <row r="268" spans="2:78" x14ac:dyDescent="0.25">
      <c r="B268" t="s">
        <v>79</v>
      </c>
      <c r="C268" s="1"/>
      <c r="D268" s="1"/>
      <c r="E268" s="1"/>
      <c r="F268" s="1"/>
      <c r="G268" s="1"/>
      <c r="H268" s="72" t="s">
        <v>12</v>
      </c>
      <c r="I268" s="28"/>
      <c r="J268" s="28"/>
      <c r="K268" s="45"/>
      <c r="L268" s="28"/>
      <c r="M268" s="28"/>
      <c r="N268" s="72" t="s">
        <v>12</v>
      </c>
      <c r="O268" s="28"/>
      <c r="P268" s="28"/>
      <c r="Q268" s="45"/>
      <c r="R268" s="28"/>
      <c r="S268" s="28"/>
      <c r="T268" s="72" t="s">
        <v>12</v>
      </c>
      <c r="U268" s="28"/>
      <c r="V268" s="28"/>
      <c r="W268" s="45"/>
      <c r="X268" s="28"/>
      <c r="Y268" s="28"/>
      <c r="Z268" s="72" t="s">
        <v>12</v>
      </c>
      <c r="AA268" s="28"/>
      <c r="AB268" s="28"/>
      <c r="AC268" s="45"/>
      <c r="AD268" s="28"/>
      <c r="AE268" s="28"/>
      <c r="AF268" s="72" t="s">
        <v>12</v>
      </c>
      <c r="AG268" s="28"/>
      <c r="AH268" s="28"/>
      <c r="AI268" s="45"/>
      <c r="AJ268" s="28"/>
      <c r="AK268" s="28"/>
      <c r="AL268" s="72" t="s">
        <v>12</v>
      </c>
      <c r="AM268" s="28"/>
      <c r="AN268" s="28"/>
      <c r="AO268" s="45"/>
      <c r="AP268" s="28"/>
      <c r="AQ268" s="28"/>
      <c r="AR268" s="72" t="s">
        <v>12</v>
      </c>
      <c r="AS268" s="28"/>
      <c r="AT268" s="28"/>
      <c r="AU268" s="45"/>
      <c r="AV268" s="28"/>
      <c r="AW268" s="28"/>
      <c r="AX268" s="72" t="s">
        <v>12</v>
      </c>
      <c r="AY268" s="28"/>
      <c r="AZ268" s="28"/>
      <c r="BA268" s="45"/>
      <c r="BB268" s="28"/>
      <c r="BC268" s="28"/>
      <c r="BD268" s="72" t="s">
        <v>12</v>
      </c>
      <c r="BE268" s="28"/>
      <c r="BF268" s="28"/>
      <c r="BG268" s="45"/>
      <c r="BH268" s="28"/>
      <c r="BI268" s="28"/>
      <c r="BJ268" s="72" t="s">
        <v>12</v>
      </c>
      <c r="BK268" s="28"/>
      <c r="BL268" s="28"/>
      <c r="BM268" s="45"/>
      <c r="BN268" s="28"/>
      <c r="BO268" s="28"/>
      <c r="BP268" s="109" t="s">
        <v>12</v>
      </c>
      <c r="BQ268" s="382"/>
      <c r="BR268" s="382"/>
      <c r="BS268" s="382"/>
      <c r="BT268" s="382"/>
      <c r="BU268" s="382"/>
      <c r="BV268" s="365"/>
      <c r="BW268" s="305"/>
      <c r="BX268" s="451"/>
      <c r="BY268" s="459"/>
      <c r="BZ268" s="459"/>
    </row>
    <row r="269" spans="2:78" x14ac:dyDescent="0.25">
      <c r="B269" t="s">
        <v>80</v>
      </c>
      <c r="C269" s="1"/>
      <c r="D269" s="1"/>
      <c r="E269" s="1"/>
      <c r="F269" s="1"/>
      <c r="G269" s="1"/>
      <c r="H269" s="74">
        <v>119</v>
      </c>
      <c r="I269" s="28"/>
      <c r="J269" s="28"/>
      <c r="K269" s="45"/>
      <c r="L269" s="28"/>
      <c r="M269" s="28"/>
      <c r="N269" s="74">
        <v>317</v>
      </c>
      <c r="O269" s="28"/>
      <c r="P269" s="28"/>
      <c r="Q269" s="45"/>
      <c r="R269" s="28"/>
      <c r="S269" s="28"/>
      <c r="T269" s="87">
        <v>257</v>
      </c>
      <c r="U269" s="36"/>
      <c r="V269" s="36"/>
      <c r="W269" s="53"/>
      <c r="X269" s="36"/>
      <c r="Y269" s="36"/>
      <c r="Z269" s="87">
        <v>291</v>
      </c>
      <c r="AA269" s="36"/>
      <c r="AB269" s="36"/>
      <c r="AC269" s="53"/>
      <c r="AD269" s="36"/>
      <c r="AE269" s="36"/>
      <c r="AF269" s="87">
        <v>494</v>
      </c>
      <c r="AG269" s="36"/>
      <c r="AH269" s="36"/>
      <c r="AI269" s="53"/>
      <c r="AJ269" s="36"/>
      <c r="AK269" s="36"/>
      <c r="AL269" s="87">
        <v>372</v>
      </c>
      <c r="AM269" s="36"/>
      <c r="AN269" s="36"/>
      <c r="AO269" s="53"/>
      <c r="AP269" s="36"/>
      <c r="AQ269" s="36"/>
      <c r="AR269" s="87">
        <v>2395</v>
      </c>
      <c r="AS269" s="36"/>
      <c r="AT269" s="36"/>
      <c r="AU269" s="53"/>
      <c r="AV269" s="36"/>
      <c r="AW269" s="36"/>
      <c r="AX269" s="87">
        <v>2461</v>
      </c>
      <c r="AY269" s="36"/>
      <c r="AZ269" s="36"/>
      <c r="BA269" s="53"/>
      <c r="BB269" s="36"/>
      <c r="BC269" s="36"/>
      <c r="BD269" s="87">
        <v>2461</v>
      </c>
      <c r="BE269" s="36"/>
      <c r="BF269" s="36"/>
      <c r="BG269" s="53"/>
      <c r="BH269" s="36"/>
      <c r="BI269" s="36"/>
      <c r="BJ269" s="87">
        <v>3352</v>
      </c>
      <c r="BK269" s="36"/>
      <c r="BL269" s="36"/>
      <c r="BM269" s="53"/>
      <c r="BN269" s="36"/>
      <c r="BO269" s="36"/>
      <c r="BP269" s="87">
        <v>3338</v>
      </c>
      <c r="BQ269" s="373">
        <f>BQ330*BQ146</f>
        <v>3676.4809199999941</v>
      </c>
      <c r="BR269" s="373">
        <f>BR330*BR146</f>
        <v>3889.8113399999938</v>
      </c>
      <c r="BS269" s="373">
        <f>BS330*BS146</f>
        <v>4086.4677993359937</v>
      </c>
      <c r="BT269" s="373">
        <f>BT330*BT146</f>
        <v>4250.7205230959944</v>
      </c>
      <c r="BU269" s="373">
        <f>BU330*BU146</f>
        <v>4421.5500142225383</v>
      </c>
      <c r="BV269" s="365"/>
      <c r="BW269" s="305"/>
      <c r="BX269" s="451"/>
      <c r="BY269" s="459"/>
      <c r="BZ269" s="459"/>
    </row>
    <row r="270" spans="2:78" x14ac:dyDescent="0.25">
      <c r="B270" t="s">
        <v>81</v>
      </c>
      <c r="C270" s="1"/>
      <c r="D270" s="1"/>
      <c r="E270" s="1"/>
      <c r="F270" s="1"/>
      <c r="G270" s="1"/>
      <c r="H270" s="74">
        <v>515</v>
      </c>
      <c r="I270" s="28"/>
      <c r="J270" s="28"/>
      <c r="K270" s="45"/>
      <c r="L270" s="28"/>
      <c r="M270" s="28"/>
      <c r="N270" s="74">
        <v>1031</v>
      </c>
      <c r="O270" s="28"/>
      <c r="P270" s="28"/>
      <c r="Q270" s="45"/>
      <c r="R270" s="28"/>
      <c r="S270" s="28"/>
      <c r="T270" s="67">
        <v>965</v>
      </c>
      <c r="U270" s="179"/>
      <c r="V270" s="179"/>
      <c r="W270" s="180"/>
      <c r="X270" s="179"/>
      <c r="Y270" s="179"/>
      <c r="Z270" s="67">
        <v>851</v>
      </c>
      <c r="AA270" s="179"/>
      <c r="AB270" s="179"/>
      <c r="AC270" s="180"/>
      <c r="AD270" s="179"/>
      <c r="AE270" s="179"/>
      <c r="AF270" s="87">
        <v>2164</v>
      </c>
      <c r="AG270" s="36"/>
      <c r="AH270" s="36"/>
      <c r="AI270" s="53"/>
      <c r="AJ270" s="36"/>
      <c r="AK270" s="36"/>
      <c r="AL270" s="67">
        <v>2536</v>
      </c>
      <c r="AM270" s="179"/>
      <c r="AN270" s="179"/>
      <c r="AO270" s="180"/>
      <c r="AP270" s="179"/>
      <c r="AQ270" s="179"/>
      <c r="AR270" s="67">
        <v>3544</v>
      </c>
      <c r="AS270" s="179"/>
      <c r="AT270" s="179"/>
      <c r="AU270" s="180"/>
      <c r="AV270" s="179"/>
      <c r="AW270" s="179"/>
      <c r="AX270" s="87">
        <v>3494</v>
      </c>
      <c r="AY270" s="36"/>
      <c r="AZ270" s="36"/>
      <c r="BA270" s="53"/>
      <c r="BB270" s="36"/>
      <c r="BC270" s="36"/>
      <c r="BD270" s="87">
        <v>3300</v>
      </c>
      <c r="BE270" s="36"/>
      <c r="BF270" s="36"/>
      <c r="BG270" s="53"/>
      <c r="BH270" s="36"/>
      <c r="BI270" s="36"/>
      <c r="BJ270" s="87">
        <v>3312</v>
      </c>
      <c r="BK270" s="36"/>
      <c r="BL270" s="36"/>
      <c r="BM270" s="53"/>
      <c r="BN270" s="36"/>
      <c r="BO270" s="36"/>
      <c r="BP270" s="87">
        <v>5681</v>
      </c>
      <c r="BQ270" s="373">
        <f>BP270</f>
        <v>5681</v>
      </c>
      <c r="BR270" s="373">
        <f>BP270</f>
        <v>5681</v>
      </c>
      <c r="BS270" s="373">
        <f>BP270</f>
        <v>5681</v>
      </c>
      <c r="BT270" s="373">
        <f>BP270</f>
        <v>5681</v>
      </c>
      <c r="BU270" s="373">
        <f>BP270</f>
        <v>5681</v>
      </c>
      <c r="BV270" s="365"/>
      <c r="BW270" s="305"/>
      <c r="BX270" s="451"/>
      <c r="BY270" s="459"/>
      <c r="BZ270" s="459"/>
    </row>
    <row r="271" spans="2:78" x14ac:dyDescent="0.25">
      <c r="B271" s="110" t="s">
        <v>82</v>
      </c>
      <c r="C271" s="123"/>
      <c r="D271" s="123"/>
      <c r="E271" s="123"/>
      <c r="F271" s="123"/>
      <c r="G271" s="123"/>
      <c r="H271" s="113">
        <f>SUM(H265:H270)</f>
        <v>13198</v>
      </c>
      <c r="I271" s="114"/>
      <c r="J271" s="114"/>
      <c r="K271" s="115"/>
      <c r="L271" s="114"/>
      <c r="M271" s="114"/>
      <c r="N271" s="113">
        <f>SUM(N265:N270)</f>
        <v>21929</v>
      </c>
      <c r="O271" s="250"/>
      <c r="P271" s="250"/>
      <c r="Q271" s="251"/>
      <c r="R271" s="250"/>
      <c r="S271" s="250"/>
      <c r="T271" s="113">
        <f>SUM(T265:T270)</f>
        <v>20226</v>
      </c>
      <c r="U271" s="248"/>
      <c r="V271" s="248"/>
      <c r="W271" s="249"/>
      <c r="X271" s="248"/>
      <c r="Y271" s="248"/>
      <c r="Z271" s="113">
        <f>SUM(Z265:Z270)</f>
        <v>20374</v>
      </c>
      <c r="AA271" s="248"/>
      <c r="AB271" s="248"/>
      <c r="AC271" s="249"/>
      <c r="AD271" s="248"/>
      <c r="AE271" s="248"/>
      <c r="AF271" s="113">
        <f>SUM(AF265:AF270)</f>
        <v>69339</v>
      </c>
      <c r="AG271" s="248"/>
      <c r="AH271" s="248"/>
      <c r="AI271" s="249"/>
      <c r="AJ271" s="248"/>
      <c r="AK271" s="248"/>
      <c r="AL271" s="113">
        <f>SUM(AL265:AL270)</f>
        <v>65698</v>
      </c>
      <c r="AM271" s="248"/>
      <c r="AN271" s="248"/>
      <c r="AO271" s="249"/>
      <c r="AP271" s="248"/>
      <c r="AQ271" s="248"/>
      <c r="AR271" s="113">
        <f>SUM(AR265:AR270)</f>
        <v>102571</v>
      </c>
      <c r="AS271" s="248"/>
      <c r="AT271" s="248"/>
      <c r="AU271" s="249"/>
      <c r="AV271" s="248"/>
      <c r="AW271" s="248"/>
      <c r="AX271" s="113">
        <f>SUM(AX265:AX270)</f>
        <v>104607</v>
      </c>
      <c r="AY271" s="248"/>
      <c r="AZ271" s="248"/>
      <c r="BA271" s="249"/>
      <c r="BB271" s="248"/>
      <c r="BC271" s="248"/>
      <c r="BD271" s="113">
        <f>SUM(BD265:BD270)</f>
        <v>104736</v>
      </c>
      <c r="BE271" s="248"/>
      <c r="BF271" s="248"/>
      <c r="BG271" s="249"/>
      <c r="BH271" s="248"/>
      <c r="BI271" s="248"/>
      <c r="BJ271" s="113">
        <f>SUM(BJ265:BJ270)</f>
        <v>110033</v>
      </c>
      <c r="BK271" s="248"/>
      <c r="BL271" s="248"/>
      <c r="BM271" s="249"/>
      <c r="BN271" s="248"/>
      <c r="BO271" s="248"/>
      <c r="BP271" s="113">
        <f t="shared" ref="BP271:BU271" si="198">SUM(BP265:BP270)</f>
        <v>212166</v>
      </c>
      <c r="BQ271" s="463">
        <f t="shared" si="198"/>
        <v>217348.6005464</v>
      </c>
      <c r="BR271" s="463">
        <f t="shared" si="198"/>
        <v>222610.37933017066</v>
      </c>
      <c r="BS271" s="463">
        <f t="shared" si="198"/>
        <v>228055.88787096794</v>
      </c>
      <c r="BT271" s="463">
        <f t="shared" si="198"/>
        <v>230593.28541101285</v>
      </c>
      <c r="BU271" s="463">
        <f t="shared" si="198"/>
        <v>233267.01767748341</v>
      </c>
      <c r="BV271" s="365"/>
      <c r="BW271" s="305"/>
      <c r="BX271" s="451"/>
      <c r="BY271" s="459"/>
      <c r="BZ271" s="459"/>
    </row>
    <row r="272" spans="2:78" x14ac:dyDescent="0.25">
      <c r="B272" s="223" t="s">
        <v>83</v>
      </c>
      <c r="C272" s="224"/>
      <c r="D272" s="224"/>
      <c r="E272" s="224"/>
      <c r="F272" s="224"/>
      <c r="G272" s="224"/>
      <c r="H272" s="152"/>
      <c r="I272" s="224"/>
      <c r="J272" s="224"/>
      <c r="K272" s="224"/>
      <c r="L272" s="224"/>
      <c r="M272" s="224"/>
      <c r="N272" s="152"/>
      <c r="O272" s="224"/>
      <c r="P272" s="224"/>
      <c r="Q272" s="224"/>
      <c r="R272" s="224"/>
      <c r="S272" s="224"/>
      <c r="T272" s="152"/>
      <c r="U272" s="224"/>
      <c r="V272" s="224"/>
      <c r="W272" s="224"/>
      <c r="X272" s="224"/>
      <c r="Y272" s="224"/>
      <c r="Z272" s="152"/>
      <c r="AA272" s="224"/>
      <c r="AB272" s="224"/>
      <c r="AC272" s="224"/>
      <c r="AD272" s="224"/>
      <c r="AE272" s="224"/>
      <c r="AF272" s="152"/>
      <c r="AG272" s="224"/>
      <c r="AH272" s="224"/>
      <c r="AI272" s="224"/>
      <c r="AJ272" s="224"/>
      <c r="AK272" s="224"/>
      <c r="AL272" s="152"/>
      <c r="AM272" s="224"/>
      <c r="AN272" s="224"/>
      <c r="AO272" s="224"/>
      <c r="AP272" s="224"/>
      <c r="AQ272" s="224"/>
      <c r="AR272" s="152"/>
      <c r="AS272" s="224"/>
      <c r="AT272" s="224"/>
      <c r="AU272" s="224"/>
      <c r="AV272" s="224"/>
      <c r="AW272" s="224"/>
      <c r="AX272" s="152"/>
      <c r="AY272" s="224"/>
      <c r="AZ272" s="224"/>
      <c r="BA272" s="224"/>
      <c r="BB272" s="224"/>
      <c r="BC272" s="224"/>
      <c r="BD272" s="152"/>
      <c r="BE272" s="224"/>
      <c r="BF272" s="224"/>
      <c r="BG272" s="224"/>
      <c r="BH272" s="224"/>
      <c r="BI272" s="224"/>
      <c r="BJ272" s="152"/>
      <c r="BK272" s="224"/>
      <c r="BL272" s="224"/>
      <c r="BM272" s="224"/>
      <c r="BN272" s="224"/>
      <c r="BO272" s="224"/>
      <c r="BP272" s="153"/>
      <c r="BQ272" s="224"/>
      <c r="BR272" s="224"/>
      <c r="BS272" s="224"/>
      <c r="BT272" s="224"/>
      <c r="BU272" s="224"/>
      <c r="BV272" s="365"/>
      <c r="BW272" s="305"/>
      <c r="BX272" s="451"/>
      <c r="BY272" s="459"/>
      <c r="BZ272" s="459"/>
    </row>
    <row r="273" spans="2:78" x14ac:dyDescent="0.25">
      <c r="B273" t="s">
        <v>84</v>
      </c>
      <c r="C273" s="1"/>
      <c r="D273" s="1"/>
      <c r="E273" s="1"/>
      <c r="F273" s="1"/>
      <c r="G273" s="1"/>
      <c r="H273" s="74">
        <v>7799</v>
      </c>
      <c r="I273" s="28"/>
      <c r="J273" s="28"/>
      <c r="K273" s="45"/>
      <c r="L273" s="28"/>
      <c r="M273" s="28"/>
      <c r="N273" s="74">
        <v>12338</v>
      </c>
      <c r="O273" s="28"/>
      <c r="P273" s="28"/>
      <c r="Q273" s="45"/>
      <c r="R273" s="28"/>
      <c r="S273" s="28"/>
      <c r="T273" s="87">
        <v>12557</v>
      </c>
      <c r="U273" s="36"/>
      <c r="V273" s="36"/>
      <c r="W273" s="53"/>
      <c r="X273" s="36"/>
      <c r="Y273" s="36"/>
      <c r="Z273" s="87">
        <v>13252</v>
      </c>
      <c r="AA273" s="36"/>
      <c r="AB273" s="36"/>
      <c r="AC273" s="53"/>
      <c r="AD273" s="36"/>
      <c r="AE273" s="36"/>
      <c r="AF273" s="87">
        <v>18252</v>
      </c>
      <c r="AG273" s="36"/>
      <c r="AH273" s="36"/>
      <c r="AI273" s="53"/>
      <c r="AJ273" s="36"/>
      <c r="AK273" s="36"/>
      <c r="AL273" s="87">
        <v>19038</v>
      </c>
      <c r="AM273" s="36"/>
      <c r="AN273" s="36"/>
      <c r="AO273" s="53"/>
      <c r="AP273" s="36"/>
      <c r="AQ273" s="36"/>
      <c r="AR273" s="87">
        <v>36369</v>
      </c>
      <c r="AS273" s="36"/>
      <c r="AT273" s="36"/>
      <c r="AU273" s="53"/>
      <c r="AV273" s="36"/>
      <c r="AW273" s="36"/>
      <c r="AX273" s="87">
        <v>32387</v>
      </c>
      <c r="AY273" s="36"/>
      <c r="AZ273" s="36"/>
      <c r="BA273" s="53"/>
      <c r="BB273" s="36"/>
      <c r="BC273" s="36"/>
      <c r="BD273" s="87">
        <v>22296</v>
      </c>
      <c r="BE273" s="36"/>
      <c r="BF273" s="36"/>
      <c r="BG273" s="53"/>
      <c r="BH273" s="36"/>
      <c r="BI273" s="36"/>
      <c r="BJ273" s="87">
        <v>27222</v>
      </c>
      <c r="BK273" s="36"/>
      <c r="BL273" s="36"/>
      <c r="BM273" s="53"/>
      <c r="BN273" s="36"/>
      <c r="BO273" s="36"/>
      <c r="BP273" s="87">
        <v>45130</v>
      </c>
      <c r="BQ273" s="373">
        <f>BQ312*BQ146*0.819/365</f>
        <v>48885.444927123208</v>
      </c>
      <c r="BR273" s="373">
        <f>BR312*BR146*0.819/365</f>
        <v>50429.006194191701</v>
      </c>
      <c r="BS273" s="373">
        <f>BS312*BS146*0.819/365</f>
        <v>51620.11196384974</v>
      </c>
      <c r="BT273" s="373">
        <f>BT312*BT146*0.819/365</f>
        <v>53694.946370286569</v>
      </c>
      <c r="BU273" s="373">
        <f>BU312*BU146*0.819/365</f>
        <v>55852.858261850364</v>
      </c>
      <c r="BV273" s="400" t="s">
        <v>356</v>
      </c>
      <c r="BW273" s="289"/>
      <c r="BX273" s="451"/>
      <c r="BY273" s="459"/>
      <c r="BZ273" s="459"/>
    </row>
    <row r="274" spans="2:78" x14ac:dyDescent="0.25">
      <c r="B274" t="s">
        <v>85</v>
      </c>
      <c r="C274" s="1"/>
      <c r="D274" s="1"/>
      <c r="E274" s="1"/>
      <c r="F274" s="1"/>
      <c r="G274" s="1"/>
      <c r="H274" s="74">
        <v>588</v>
      </c>
      <c r="I274" s="28"/>
      <c r="J274" s="28"/>
      <c r="K274" s="45"/>
      <c r="L274" s="28"/>
      <c r="M274" s="28"/>
      <c r="N274" s="74">
        <v>1443</v>
      </c>
      <c r="O274" s="28"/>
      <c r="P274" s="28"/>
      <c r="Q274" s="45"/>
      <c r="R274" s="28"/>
      <c r="S274" s="28"/>
      <c r="T274" s="87">
        <v>1300</v>
      </c>
      <c r="U274" s="36"/>
      <c r="V274" s="36"/>
      <c r="W274" s="53"/>
      <c r="X274" s="36"/>
      <c r="Y274" s="36"/>
      <c r="Z274" s="87">
        <v>1554</v>
      </c>
      <c r="AA274" s="36"/>
      <c r="AB274" s="36"/>
      <c r="AC274" s="53"/>
      <c r="AD274" s="36"/>
      <c r="AE274" s="36"/>
      <c r="AF274" s="87">
        <v>3054</v>
      </c>
      <c r="AG274" s="36"/>
      <c r="AH274" s="36"/>
      <c r="AI274" s="53"/>
      <c r="AJ274" s="36"/>
      <c r="AK274" s="36"/>
      <c r="AL274" s="87">
        <v>3283</v>
      </c>
      <c r="AM274" s="36"/>
      <c r="AN274" s="36"/>
      <c r="AO274" s="53"/>
      <c r="AP274" s="36"/>
      <c r="AQ274" s="36"/>
      <c r="AR274" s="87">
        <v>9797</v>
      </c>
      <c r="AS274" s="36"/>
      <c r="AT274" s="36"/>
      <c r="AU274" s="53"/>
      <c r="AV274" s="36"/>
      <c r="AW274" s="36"/>
      <c r="AX274" s="87">
        <v>5785</v>
      </c>
      <c r="AY274" s="36"/>
      <c r="AZ274" s="36"/>
      <c r="BA274" s="53"/>
      <c r="BB274" s="36"/>
      <c r="BC274" s="36"/>
      <c r="BD274" s="87">
        <v>4985</v>
      </c>
      <c r="BE274" s="36"/>
      <c r="BF274" s="36"/>
      <c r="BG274" s="53"/>
      <c r="BH274" s="36"/>
      <c r="BI274" s="36"/>
      <c r="BJ274" s="87">
        <v>6354</v>
      </c>
      <c r="BK274" s="36"/>
      <c r="BL274" s="36"/>
      <c r="BM274" s="53"/>
      <c r="BN274" s="36"/>
      <c r="BO274" s="36"/>
      <c r="BP274" s="87">
        <v>9928</v>
      </c>
      <c r="BQ274" s="373">
        <f>BQ312*BQ146*0.181/365</f>
        <v>10803.743018082174</v>
      </c>
      <c r="BR274" s="373">
        <f>BR312*BR146*0.181/365</f>
        <v>11144.871942794503</v>
      </c>
      <c r="BS274" s="373">
        <f>BS312*BS146*0.181/365</f>
        <v>11408.107772230527</v>
      </c>
      <c r="BT274" s="373">
        <f>BT312*BT146*0.181/365</f>
        <v>11866.648709428409</v>
      </c>
      <c r="BU274" s="373">
        <f>BU312*BU146*0.181/365</f>
        <v>12343.549872277068</v>
      </c>
      <c r="BV274" s="365"/>
      <c r="BW274" s="305"/>
      <c r="BX274" s="451"/>
      <c r="BY274" s="459"/>
      <c r="BZ274" s="459"/>
    </row>
    <row r="275" spans="2:78" x14ac:dyDescent="0.25">
      <c r="B275" t="s">
        <v>86</v>
      </c>
      <c r="C275" s="1"/>
      <c r="D275" s="1"/>
      <c r="E275" s="1"/>
      <c r="F275" s="1"/>
      <c r="G275" s="1"/>
      <c r="H275" s="72" t="s">
        <v>12</v>
      </c>
      <c r="I275" s="28"/>
      <c r="J275" s="28"/>
      <c r="K275" s="45"/>
      <c r="L275" s="28"/>
      <c r="M275" s="28"/>
      <c r="N275" s="72" t="s">
        <v>12</v>
      </c>
      <c r="O275" s="28"/>
      <c r="P275" s="28"/>
      <c r="Q275" s="45"/>
      <c r="R275" s="28"/>
      <c r="S275" s="28"/>
      <c r="T275" s="87">
        <v>462</v>
      </c>
      <c r="U275" s="36"/>
      <c r="V275" s="36"/>
      <c r="W275" s="53"/>
      <c r="X275" s="36"/>
      <c r="Y275" s="36"/>
      <c r="Z275" s="87">
        <v>718</v>
      </c>
      <c r="AA275" s="36"/>
      <c r="AB275" s="36"/>
      <c r="AC275" s="53"/>
      <c r="AD275" s="36"/>
      <c r="AE275" s="36"/>
      <c r="AF275" s="87">
        <v>1324</v>
      </c>
      <c r="AG275" s="36"/>
      <c r="AH275" s="36"/>
      <c r="AI275" s="53"/>
      <c r="AJ275" s="36"/>
      <c r="AK275" s="36"/>
      <c r="AL275" s="87">
        <v>1426</v>
      </c>
      <c r="AM275" s="36"/>
      <c r="AN275" s="36"/>
      <c r="AO275" s="53"/>
      <c r="AP275" s="36"/>
      <c r="AQ275" s="36"/>
      <c r="AR275" s="87">
        <v>284</v>
      </c>
      <c r="AS275" s="36"/>
      <c r="AT275" s="36"/>
      <c r="AU275" s="53"/>
      <c r="AV275" s="36"/>
      <c r="AW275" s="36"/>
      <c r="AX275" s="87">
        <v>1889</v>
      </c>
      <c r="AY275" s="36"/>
      <c r="AZ275" s="36"/>
      <c r="BA275" s="53"/>
      <c r="BB275" s="36"/>
      <c r="BC275" s="36"/>
      <c r="BD275" s="87">
        <v>4314</v>
      </c>
      <c r="BE275" s="36"/>
      <c r="BF275" s="36"/>
      <c r="BG275" s="53"/>
      <c r="BH275" s="36"/>
      <c r="BI275" s="36"/>
      <c r="BJ275" s="87">
        <v>5007</v>
      </c>
      <c r="BK275" s="36"/>
      <c r="BL275" s="36"/>
      <c r="BM275" s="53"/>
      <c r="BN275" s="36"/>
      <c r="BO275" s="36"/>
      <c r="BP275" s="87">
        <v>2095</v>
      </c>
      <c r="BQ275" s="373">
        <f>BQ313*BQ147/365</f>
        <v>2167.2286343013661</v>
      </c>
      <c r="BR275" s="373">
        <f>BR313*BR147/365</f>
        <v>2280.1364499287638</v>
      </c>
      <c r="BS275" s="373">
        <f>BS313*BS147/365</f>
        <v>2978.2323763001964</v>
      </c>
      <c r="BT275" s="373">
        <f>BT313*BT147/365</f>
        <v>3095.7449192403542</v>
      </c>
      <c r="BU275" s="373">
        <f>BU313*BU147/365</f>
        <v>3218.5908014971315</v>
      </c>
      <c r="BV275" s="365"/>
      <c r="BW275" s="305"/>
      <c r="BX275" s="451"/>
      <c r="BY275" s="459"/>
      <c r="BZ275" s="459"/>
    </row>
    <row r="276" spans="2:78" x14ac:dyDescent="0.25">
      <c r="B276" t="s">
        <v>87</v>
      </c>
      <c r="C276" s="1"/>
      <c r="D276" s="1"/>
      <c r="E276" s="1"/>
      <c r="F276" s="1"/>
      <c r="G276" s="1"/>
      <c r="H276" s="74">
        <v>1232</v>
      </c>
      <c r="I276" s="28"/>
      <c r="J276" s="28"/>
      <c r="K276" s="45"/>
      <c r="L276" s="28"/>
      <c r="M276" s="28"/>
      <c r="N276" s="74">
        <v>2142</v>
      </c>
      <c r="O276" s="28"/>
      <c r="P276" s="28"/>
      <c r="Q276" s="45"/>
      <c r="R276" s="28"/>
      <c r="S276" s="28"/>
      <c r="T276" s="87">
        <v>1778</v>
      </c>
      <c r="U276" s="36"/>
      <c r="V276" s="36"/>
      <c r="W276" s="53"/>
      <c r="X276" s="36"/>
      <c r="Y276" s="36"/>
      <c r="Z276" s="87">
        <v>1662</v>
      </c>
      <c r="AA276" s="36"/>
      <c r="AB276" s="36"/>
      <c r="AC276" s="53"/>
      <c r="AD276" s="36"/>
      <c r="AE276" s="36"/>
      <c r="AF276" s="87">
        <v>3410</v>
      </c>
      <c r="AG276" s="36"/>
      <c r="AH276" s="36"/>
      <c r="AI276" s="53"/>
      <c r="AJ276" s="36"/>
      <c r="AK276" s="36"/>
      <c r="AL276" s="87">
        <v>2635</v>
      </c>
      <c r="AM276" s="36"/>
      <c r="AN276" s="36"/>
      <c r="AO276" s="53"/>
      <c r="AP276" s="36"/>
      <c r="AQ276" s="36"/>
      <c r="AR276" s="87">
        <v>4009</v>
      </c>
      <c r="AS276" s="36"/>
      <c r="AT276" s="36"/>
      <c r="AU276" s="53"/>
      <c r="AV276" s="36"/>
      <c r="AW276" s="36"/>
      <c r="AX276" s="87">
        <v>4179</v>
      </c>
      <c r="AY276" s="36"/>
      <c r="AZ276" s="36"/>
      <c r="BA276" s="53"/>
      <c r="BB276" s="36"/>
      <c r="BC276" s="36"/>
      <c r="BD276" s="87">
        <v>4283</v>
      </c>
      <c r="BE276" s="36"/>
      <c r="BF276" s="36"/>
      <c r="BG276" s="53"/>
      <c r="BH276" s="36"/>
      <c r="BI276" s="36"/>
      <c r="BJ276" s="87">
        <v>4316</v>
      </c>
      <c r="BK276" s="36"/>
      <c r="BL276" s="36"/>
      <c r="BM276" s="53"/>
      <c r="BN276" s="36"/>
      <c r="BO276" s="36"/>
      <c r="BP276" s="87">
        <v>7834</v>
      </c>
      <c r="BQ276" s="373">
        <f>BQ331*BQ146</f>
        <v>8632.9218639999872</v>
      </c>
      <c r="BR276" s="373">
        <f>BR331*BR146</f>
        <v>9133.853294666651</v>
      </c>
      <c r="BS276" s="373">
        <f>BS331*BS146</f>
        <v>9595.6317954778515</v>
      </c>
      <c r="BT276" s="373">
        <f>BT331*BT146</f>
        <v>9981.3215246031868</v>
      </c>
      <c r="BU276" s="373">
        <f>BU331*BU146</f>
        <v>10382.454477841071</v>
      </c>
      <c r="BV276" s="365"/>
      <c r="BW276" s="305"/>
      <c r="BX276" s="451"/>
      <c r="BY276" s="459"/>
      <c r="BZ276" s="459"/>
    </row>
    <row r="277" spans="2:78" x14ac:dyDescent="0.25">
      <c r="B277" t="s">
        <v>88</v>
      </c>
      <c r="C277" s="1"/>
      <c r="D277" s="1"/>
      <c r="E277" s="1"/>
      <c r="F277" s="1"/>
      <c r="G277" s="1"/>
      <c r="H277" s="74">
        <v>4908</v>
      </c>
      <c r="I277" s="28"/>
      <c r="J277" s="28"/>
      <c r="K277" s="45"/>
      <c r="L277" s="28"/>
      <c r="M277" s="28"/>
      <c r="N277" s="74">
        <v>1714</v>
      </c>
      <c r="O277" s="28"/>
      <c r="P277" s="28"/>
      <c r="Q277" s="45"/>
      <c r="R277" s="28"/>
      <c r="S277" s="28"/>
      <c r="T277" s="87">
        <v>1348</v>
      </c>
      <c r="U277" s="36"/>
      <c r="V277" s="36"/>
      <c r="W277" s="53"/>
      <c r="X277" s="36"/>
      <c r="Y277" s="36"/>
      <c r="Z277" s="87">
        <v>1158</v>
      </c>
      <c r="AA277" s="36"/>
      <c r="AB277" s="36"/>
      <c r="AC277" s="53"/>
      <c r="AD277" s="36"/>
      <c r="AE277" s="36"/>
      <c r="AF277" s="87">
        <v>2043</v>
      </c>
      <c r="AG277" s="36"/>
      <c r="AH277" s="36"/>
      <c r="AI277" s="53"/>
      <c r="AJ277" s="36"/>
      <c r="AK277" s="36"/>
      <c r="AL277" s="87">
        <v>4060</v>
      </c>
      <c r="AM277" s="36"/>
      <c r="AN277" s="36"/>
      <c r="AO277" s="53"/>
      <c r="AP277" s="36"/>
      <c r="AQ277" s="36"/>
      <c r="AR277" s="87">
        <v>8299</v>
      </c>
      <c r="AS277" s="36"/>
      <c r="AT277" s="36"/>
      <c r="AU277" s="53"/>
      <c r="AV277" s="36"/>
      <c r="AW277" s="36"/>
      <c r="AX277" s="87">
        <v>10160</v>
      </c>
      <c r="AY277" s="36"/>
      <c r="AZ277" s="36"/>
      <c r="BA277" s="53"/>
      <c r="BB277" s="36"/>
      <c r="BC277" s="36"/>
      <c r="BD277" s="87">
        <v>6452</v>
      </c>
      <c r="BE277" s="36"/>
      <c r="BF277" s="36"/>
      <c r="BG277" s="53"/>
      <c r="BH277" s="36"/>
      <c r="BI277" s="36"/>
      <c r="BJ277" s="87">
        <v>83576</v>
      </c>
      <c r="BK277" s="36"/>
      <c r="BL277" s="36"/>
      <c r="BM277" s="53"/>
      <c r="BN277" s="36"/>
      <c r="BO277" s="36"/>
      <c r="BP277" s="87">
        <v>13179</v>
      </c>
      <c r="BQ277" s="373">
        <f>BQ240</f>
        <v>19739.920443159826</v>
      </c>
      <c r="BR277" s="373">
        <f>BR240</f>
        <v>25579.144207191592</v>
      </c>
      <c r="BS277" s="373">
        <f>BS240</f>
        <v>33163.45318939002</v>
      </c>
      <c r="BT277" s="373">
        <f>BT240</f>
        <v>35683.531049560646</v>
      </c>
      <c r="BU277" s="373">
        <f>BU240</f>
        <v>38009.643495165532</v>
      </c>
      <c r="BV277" s="400" t="s">
        <v>382</v>
      </c>
      <c r="BW277" s="289"/>
      <c r="BX277" s="451"/>
      <c r="BY277" s="459"/>
      <c r="BZ277" s="459"/>
    </row>
    <row r="278" spans="2:78" x14ac:dyDescent="0.25">
      <c r="B278" t="s">
        <v>89</v>
      </c>
      <c r="C278" s="1"/>
      <c r="D278" s="1"/>
      <c r="E278" s="1"/>
      <c r="F278" s="1"/>
      <c r="G278" s="1"/>
      <c r="H278" s="74">
        <v>0</v>
      </c>
      <c r="I278" s="28"/>
      <c r="J278" s="28"/>
      <c r="K278" s="45"/>
      <c r="L278" s="28"/>
      <c r="M278" s="28"/>
      <c r="N278" s="74">
        <v>801</v>
      </c>
      <c r="O278" s="28"/>
      <c r="P278" s="28"/>
      <c r="Q278" s="45"/>
      <c r="R278" s="28"/>
      <c r="S278" s="28"/>
      <c r="T278" s="87">
        <v>717</v>
      </c>
      <c r="U278" s="36"/>
      <c r="V278" s="36"/>
      <c r="W278" s="53"/>
      <c r="X278" s="36"/>
      <c r="Y278" s="36"/>
      <c r="Z278" s="87">
        <v>94</v>
      </c>
      <c r="AA278" s="36"/>
      <c r="AB278" s="36"/>
      <c r="AC278" s="53"/>
      <c r="AD278" s="36"/>
      <c r="AE278" s="36"/>
      <c r="AF278" s="87">
        <v>135</v>
      </c>
      <c r="AG278" s="36"/>
      <c r="AH278" s="36"/>
      <c r="AI278" s="53"/>
      <c r="AJ278" s="36"/>
      <c r="AK278" s="36"/>
      <c r="AL278" s="87">
        <v>110</v>
      </c>
      <c r="AM278" s="36"/>
      <c r="AN278" s="36"/>
      <c r="AO278" s="53"/>
      <c r="AP278" s="36"/>
      <c r="AQ278" s="36"/>
      <c r="AR278" s="87">
        <v>66</v>
      </c>
      <c r="AS278" s="36"/>
      <c r="AT278" s="36"/>
      <c r="AU278" s="53"/>
      <c r="AV278" s="36"/>
      <c r="AW278" s="36"/>
      <c r="AX278" s="87">
        <v>38</v>
      </c>
      <c r="AY278" s="36"/>
      <c r="AZ278" s="36"/>
      <c r="BA278" s="53"/>
      <c r="BB278" s="36"/>
      <c r="BC278" s="36"/>
      <c r="BD278" s="87">
        <v>44</v>
      </c>
      <c r="BE278" s="36"/>
      <c r="BF278" s="36"/>
      <c r="BG278" s="53"/>
      <c r="BH278" s="36"/>
      <c r="BI278" s="36"/>
      <c r="BJ278" s="87">
        <v>37</v>
      </c>
      <c r="BK278" s="36"/>
      <c r="BL278" s="36"/>
      <c r="BM278" s="53"/>
      <c r="BN278" s="36"/>
      <c r="BO278" s="36"/>
      <c r="BP278" s="87">
        <v>41</v>
      </c>
      <c r="BQ278" s="373">
        <f>BP278</f>
        <v>41</v>
      </c>
      <c r="BR278" s="373">
        <f>BP278</f>
        <v>41</v>
      </c>
      <c r="BS278" s="373">
        <f>BP278</f>
        <v>41</v>
      </c>
      <c r="BT278" s="373">
        <f>BP278</f>
        <v>41</v>
      </c>
      <c r="BU278" s="373">
        <f>BP278</f>
        <v>41</v>
      </c>
      <c r="BV278" s="365"/>
      <c r="BW278" s="305"/>
      <c r="BX278" s="451"/>
      <c r="BY278" s="459"/>
      <c r="BZ278" s="459"/>
    </row>
    <row r="279" spans="2:78" x14ac:dyDescent="0.25">
      <c r="B279" s="240" t="s">
        <v>90</v>
      </c>
      <c r="C279" s="20"/>
      <c r="D279" s="20"/>
      <c r="E279" s="20"/>
      <c r="F279" s="20"/>
      <c r="G279" s="20"/>
      <c r="H279" s="232">
        <f>SUM(H273:H278)</f>
        <v>14527</v>
      </c>
      <c r="I279" s="199"/>
      <c r="J279" s="199"/>
      <c r="K279" s="200"/>
      <c r="L279" s="199"/>
      <c r="M279" s="199"/>
      <c r="N279" s="232">
        <f>SUM(N273:N278)</f>
        <v>18438</v>
      </c>
      <c r="O279" s="199"/>
      <c r="P279" s="199"/>
      <c r="Q279" s="200"/>
      <c r="R279" s="199"/>
      <c r="S279" s="199"/>
      <c r="T279" s="232">
        <f>SUM(T273:T278)</f>
        <v>18162</v>
      </c>
      <c r="U279" s="35"/>
      <c r="V279" s="35"/>
      <c r="W279" s="52"/>
      <c r="X279" s="35"/>
      <c r="Y279" s="35"/>
      <c r="Z279" s="232">
        <f>SUM(Z273:Z278)</f>
        <v>18438</v>
      </c>
      <c r="AA279" s="35"/>
      <c r="AB279" s="35"/>
      <c r="AC279" s="52"/>
      <c r="AD279" s="35"/>
      <c r="AE279" s="35"/>
      <c r="AF279" s="232">
        <f>SUM(AF273:AF278)</f>
        <v>28218</v>
      </c>
      <c r="AG279" s="35"/>
      <c r="AH279" s="35"/>
      <c r="AI279" s="52"/>
      <c r="AJ279" s="35"/>
      <c r="AK279" s="35"/>
      <c r="AL279" s="232">
        <f>SUM(AL273:AL278)</f>
        <v>30552</v>
      </c>
      <c r="AM279" s="35"/>
      <c r="AN279" s="35"/>
      <c r="AO279" s="52"/>
      <c r="AP279" s="35"/>
      <c r="AQ279" s="35"/>
      <c r="AR279" s="232">
        <f>SUM(AR273:AR278)</f>
        <v>58824</v>
      </c>
      <c r="AS279" s="35"/>
      <c r="AT279" s="35"/>
      <c r="AU279" s="52"/>
      <c r="AV279" s="35"/>
      <c r="AW279" s="35"/>
      <c r="AX279" s="232">
        <f>SUM(AX273:AX278)</f>
        <v>54438</v>
      </c>
      <c r="AY279" s="35"/>
      <c r="AZ279" s="35"/>
      <c r="BA279" s="52"/>
      <c r="BB279" s="35"/>
      <c r="BC279" s="35"/>
      <c r="BD279" s="232">
        <f>SUM(BD273:BD278)</f>
        <v>42374</v>
      </c>
      <c r="BE279" s="35"/>
      <c r="BF279" s="35"/>
      <c r="BG279" s="52"/>
      <c r="BH279" s="35"/>
      <c r="BI279" s="35"/>
      <c r="BJ279" s="232">
        <f>SUM(BJ273:BJ278)</f>
        <v>126512</v>
      </c>
      <c r="BK279" s="35"/>
      <c r="BL279" s="35"/>
      <c r="BM279" s="52"/>
      <c r="BN279" s="35"/>
      <c r="BO279" s="35"/>
      <c r="BP279" s="232">
        <f t="shared" ref="BP279:BU279" si="199">SUM(BP273:BP278)</f>
        <v>78207</v>
      </c>
      <c r="BQ279" s="463">
        <f t="shared" si="199"/>
        <v>90270.258886666561</v>
      </c>
      <c r="BR279" s="463">
        <f t="shared" si="199"/>
        <v>98608.012088773219</v>
      </c>
      <c r="BS279" s="463">
        <f t="shared" si="199"/>
        <v>108806.53709724834</v>
      </c>
      <c r="BT279" s="463">
        <f t="shared" si="199"/>
        <v>114363.19257311919</v>
      </c>
      <c r="BU279" s="463">
        <f t="shared" si="199"/>
        <v>119848.09690863118</v>
      </c>
      <c r="BV279" s="365"/>
      <c r="BW279" s="305"/>
      <c r="BX279" s="451"/>
      <c r="BY279" s="459"/>
      <c r="BZ279" s="459"/>
    </row>
    <row r="280" spans="2:78" ht="16.5" thickBot="1" x14ac:dyDescent="0.3">
      <c r="B280" s="143" t="s">
        <v>91</v>
      </c>
      <c r="C280" s="155"/>
      <c r="D280" s="155"/>
      <c r="E280" s="155"/>
      <c r="F280" s="155"/>
      <c r="G280" s="155"/>
      <c r="H280" s="156">
        <f>H271+H279</f>
        <v>27725</v>
      </c>
      <c r="I280" s="157"/>
      <c r="J280" s="157"/>
      <c r="K280" s="157"/>
      <c r="L280" s="157"/>
      <c r="M280" s="157"/>
      <c r="N280" s="156">
        <f>N271+N279</f>
        <v>40367</v>
      </c>
      <c r="O280" s="157"/>
      <c r="P280" s="157"/>
      <c r="Q280" s="157"/>
      <c r="R280" s="157"/>
      <c r="S280" s="157"/>
      <c r="T280" s="156">
        <f>T271+T279</f>
        <v>38388</v>
      </c>
      <c r="U280" s="158"/>
      <c r="V280" s="158"/>
      <c r="W280" s="158"/>
      <c r="X280" s="158"/>
      <c r="Y280" s="158"/>
      <c r="Z280" s="156">
        <f>Z271+Z279</f>
        <v>38812</v>
      </c>
      <c r="AA280" s="158"/>
      <c r="AB280" s="158"/>
      <c r="AC280" s="158"/>
      <c r="AD280" s="158"/>
      <c r="AE280" s="158"/>
      <c r="AF280" s="156">
        <f>AF271+AF279</f>
        <v>97557</v>
      </c>
      <c r="AG280" s="158"/>
      <c r="AH280" s="158"/>
      <c r="AI280" s="158"/>
      <c r="AJ280" s="158"/>
      <c r="AK280" s="158"/>
      <c r="AL280" s="156">
        <f>AL271+AL279</f>
        <v>96250</v>
      </c>
      <c r="AM280" s="158"/>
      <c r="AN280" s="158"/>
      <c r="AO280" s="158"/>
      <c r="AP280" s="158"/>
      <c r="AQ280" s="158"/>
      <c r="AR280" s="156">
        <f>AR271+AR279</f>
        <v>161395</v>
      </c>
      <c r="AS280" s="158"/>
      <c r="AT280" s="158"/>
      <c r="AU280" s="158"/>
      <c r="AV280" s="158"/>
      <c r="AW280" s="158"/>
      <c r="AX280" s="156">
        <f>AX271+AX279</f>
        <v>159045</v>
      </c>
      <c r="AY280" s="158"/>
      <c r="AZ280" s="158"/>
      <c r="BA280" s="158"/>
      <c r="BB280" s="158"/>
      <c r="BC280" s="158"/>
      <c r="BD280" s="156">
        <f>BD271+BD279</f>
        <v>147110</v>
      </c>
      <c r="BE280" s="158"/>
      <c r="BF280" s="158"/>
      <c r="BG280" s="158"/>
      <c r="BH280" s="158"/>
      <c r="BI280" s="158"/>
      <c r="BJ280" s="156">
        <f>BJ271+BJ279</f>
        <v>236545</v>
      </c>
      <c r="BK280" s="158"/>
      <c r="BL280" s="158"/>
      <c r="BM280" s="158"/>
      <c r="BN280" s="158"/>
      <c r="BO280" s="158"/>
      <c r="BP280" s="156">
        <f t="shared" ref="BP280:BU280" si="200">BP271+BP279</f>
        <v>290373</v>
      </c>
      <c r="BQ280" s="464">
        <f t="shared" si="200"/>
        <v>307618.85943306657</v>
      </c>
      <c r="BR280" s="465">
        <f t="shared" si="200"/>
        <v>321218.39141894388</v>
      </c>
      <c r="BS280" s="465">
        <f t="shared" si="200"/>
        <v>336862.42496821628</v>
      </c>
      <c r="BT280" s="465">
        <f t="shared" si="200"/>
        <v>344956.47798413201</v>
      </c>
      <c r="BU280" s="465">
        <f t="shared" si="200"/>
        <v>353115.11458611459</v>
      </c>
      <c r="BV280" s="365"/>
      <c r="BW280" s="305"/>
      <c r="BX280" s="451"/>
      <c r="BY280" s="459"/>
      <c r="BZ280" s="459"/>
    </row>
    <row r="281" spans="2:78" x14ac:dyDescent="0.25">
      <c r="C281" s="1"/>
      <c r="D281" s="1"/>
      <c r="E281" s="1"/>
      <c r="F281" s="1"/>
      <c r="G281" s="1"/>
      <c r="H281" s="64"/>
      <c r="I281" s="176"/>
      <c r="J281" s="176"/>
      <c r="K281" s="177"/>
      <c r="L281" s="176"/>
      <c r="M281" s="176"/>
      <c r="N281" s="64"/>
      <c r="O281" s="176"/>
      <c r="P281" s="176"/>
      <c r="Q281" s="177"/>
      <c r="R281" s="176"/>
      <c r="S281" s="176"/>
      <c r="T281" s="64"/>
      <c r="U281" s="176"/>
      <c r="V281" s="176"/>
      <c r="W281" s="177"/>
      <c r="X281" s="176"/>
      <c r="Y281" s="176"/>
      <c r="Z281" s="64"/>
      <c r="AA281" s="176"/>
      <c r="AB281" s="176"/>
      <c r="AC281" s="177"/>
      <c r="AD281" s="176"/>
      <c r="AE281" s="176"/>
      <c r="AF281" s="64"/>
      <c r="AG281" s="176"/>
      <c r="AH281" s="176"/>
      <c r="AI281" s="177"/>
      <c r="AJ281" s="176"/>
      <c r="AK281" s="176"/>
      <c r="AL281" s="64"/>
      <c r="AM281" s="176"/>
      <c r="AN281" s="176"/>
      <c r="AO281" s="177"/>
      <c r="AP281" s="176"/>
      <c r="AQ281" s="176"/>
      <c r="AR281" s="64"/>
      <c r="AS281" s="176"/>
      <c r="AT281" s="176"/>
      <c r="AU281" s="177"/>
      <c r="AV281" s="176"/>
      <c r="AW281" s="176"/>
      <c r="AX281" s="64"/>
      <c r="AY281" s="176"/>
      <c r="AZ281" s="176"/>
      <c r="BA281" s="177"/>
      <c r="BB281" s="176"/>
      <c r="BC281" s="176"/>
      <c r="BD281" s="64"/>
      <c r="BE281" s="176"/>
      <c r="BF281" s="176"/>
      <c r="BG281" s="177"/>
      <c r="BH281" s="176"/>
      <c r="BI281" s="176"/>
      <c r="BJ281" s="64"/>
      <c r="BK281" s="176"/>
      <c r="BL281" s="176"/>
      <c r="BM281" s="177"/>
      <c r="BN281" s="176"/>
      <c r="BO281" s="176"/>
      <c r="BP281" s="91"/>
      <c r="BQ281" s="407"/>
      <c r="BR281" s="408"/>
      <c r="BS281" s="408"/>
      <c r="BT281" s="408"/>
      <c r="BU281" s="408"/>
      <c r="BV281" s="365"/>
      <c r="BW281" s="305"/>
      <c r="BX281" s="451"/>
      <c r="BY281" s="459"/>
      <c r="BZ281" s="459"/>
    </row>
    <row r="282" spans="2:78" x14ac:dyDescent="0.25">
      <c r="B282" s="221" t="s">
        <v>92</v>
      </c>
      <c r="C282" s="222"/>
      <c r="D282" s="222"/>
      <c r="E282" s="222"/>
      <c r="F282" s="222"/>
      <c r="G282" s="222"/>
      <c r="H282" s="146"/>
      <c r="I282" s="222"/>
      <c r="J282" s="222"/>
      <c r="K282" s="222"/>
      <c r="L282" s="222"/>
      <c r="M282" s="222"/>
      <c r="N282" s="146"/>
      <c r="O282" s="222"/>
      <c r="P282" s="222"/>
      <c r="Q282" s="222"/>
      <c r="R282" s="222"/>
      <c r="S282" s="222"/>
      <c r="T282" s="146"/>
      <c r="U282" s="222"/>
      <c r="V282" s="222"/>
      <c r="W282" s="222"/>
      <c r="X282" s="222"/>
      <c r="Y282" s="222"/>
      <c r="Z282" s="146"/>
      <c r="AA282" s="222"/>
      <c r="AB282" s="222"/>
      <c r="AC282" s="222"/>
      <c r="AD282" s="222"/>
      <c r="AE282" s="222"/>
      <c r="AF282" s="146"/>
      <c r="AG282" s="222"/>
      <c r="AH282" s="222"/>
      <c r="AI282" s="222"/>
      <c r="AJ282" s="222"/>
      <c r="AK282" s="222"/>
      <c r="AL282" s="146"/>
      <c r="AM282" s="222"/>
      <c r="AN282" s="222"/>
      <c r="AO282" s="222"/>
      <c r="AP282" s="222"/>
      <c r="AQ282" s="222"/>
      <c r="AR282" s="146"/>
      <c r="AS282" s="222"/>
      <c r="AT282" s="222"/>
      <c r="AU282" s="222"/>
      <c r="AV282" s="222"/>
      <c r="AW282" s="222"/>
      <c r="AX282" s="146"/>
      <c r="AY282" s="222"/>
      <c r="AZ282" s="222"/>
      <c r="BA282" s="222"/>
      <c r="BB282" s="222"/>
      <c r="BC282" s="222"/>
      <c r="BD282" s="146"/>
      <c r="BE282" s="222"/>
      <c r="BF282" s="222"/>
      <c r="BG282" s="222"/>
      <c r="BH282" s="222"/>
      <c r="BI282" s="222"/>
      <c r="BJ282" s="146"/>
      <c r="BK282" s="222"/>
      <c r="BL282" s="222"/>
      <c r="BM282" s="222"/>
      <c r="BN282" s="222"/>
      <c r="BO282" s="222"/>
      <c r="BP282" s="147"/>
      <c r="BQ282" s="222"/>
      <c r="BR282" s="222"/>
      <c r="BS282" s="222"/>
      <c r="BT282" s="222"/>
      <c r="BU282" s="222"/>
      <c r="BV282" s="365"/>
      <c r="BW282" s="305"/>
      <c r="BX282" s="451"/>
      <c r="BY282" s="459"/>
      <c r="BZ282" s="459"/>
    </row>
    <row r="283" spans="2:78" x14ac:dyDescent="0.25">
      <c r="B283" s="210" t="s">
        <v>93</v>
      </c>
      <c r="C283" s="211"/>
      <c r="D283" s="211"/>
      <c r="E283" s="211"/>
      <c r="F283" s="211"/>
      <c r="G283" s="211"/>
      <c r="H283" s="64"/>
      <c r="I283" s="176"/>
      <c r="J283" s="176"/>
      <c r="K283" s="177"/>
      <c r="L283" s="176"/>
      <c r="M283" s="176"/>
      <c r="N283" s="64"/>
      <c r="O283" s="176"/>
      <c r="P283" s="176"/>
      <c r="Q283" s="177"/>
      <c r="R283" s="176"/>
      <c r="S283" s="176"/>
      <c r="T283" s="64"/>
      <c r="U283" s="176"/>
      <c r="V283" s="176"/>
      <c r="W283" s="177"/>
      <c r="X283" s="176"/>
      <c r="Y283" s="176"/>
      <c r="Z283" s="64"/>
      <c r="AA283" s="176"/>
      <c r="AB283" s="176"/>
      <c r="AC283" s="177"/>
      <c r="AD283" s="176"/>
      <c r="AE283" s="176"/>
      <c r="AF283" s="64"/>
      <c r="AG283" s="176"/>
      <c r="AH283" s="176"/>
      <c r="AI283" s="177"/>
      <c r="AJ283" s="176"/>
      <c r="AK283" s="176"/>
      <c r="AL283" s="64"/>
      <c r="AM283" s="176"/>
      <c r="AN283" s="176"/>
      <c r="AO283" s="177"/>
      <c r="AP283" s="176"/>
      <c r="AQ283" s="176"/>
      <c r="AR283" s="64"/>
      <c r="AS283" s="176"/>
      <c r="AT283" s="176"/>
      <c r="AU283" s="177"/>
      <c r="AV283" s="176"/>
      <c r="AW283" s="176"/>
      <c r="AX283" s="64"/>
      <c r="AY283" s="176"/>
      <c r="AZ283" s="176"/>
      <c r="BA283" s="177"/>
      <c r="BB283" s="176"/>
      <c r="BC283" s="176"/>
      <c r="BD283" s="64"/>
      <c r="BE283" s="176"/>
      <c r="BF283" s="176"/>
      <c r="BG283" s="177"/>
      <c r="BH283" s="176"/>
      <c r="BI283" s="176"/>
      <c r="BJ283" s="64"/>
      <c r="BK283" s="176"/>
      <c r="BL283" s="176"/>
      <c r="BM283" s="177"/>
      <c r="BN283" s="176"/>
      <c r="BO283" s="176"/>
      <c r="BP283" s="91"/>
      <c r="BQ283" s="420"/>
      <c r="BR283" s="420"/>
      <c r="BS283" s="420"/>
      <c r="BT283" s="420"/>
      <c r="BU283" s="420"/>
      <c r="BV283" s="365"/>
      <c r="BW283" s="305"/>
      <c r="BX283" s="451"/>
      <c r="BY283" s="459"/>
      <c r="BZ283" s="459"/>
    </row>
    <row r="284" spans="2:78" x14ac:dyDescent="0.25">
      <c r="B284" t="s">
        <v>94</v>
      </c>
      <c r="C284" s="1"/>
      <c r="D284" s="1"/>
      <c r="E284" s="1"/>
      <c r="F284" s="1"/>
      <c r="G284" s="1"/>
      <c r="H284" s="80">
        <v>192</v>
      </c>
      <c r="I284" s="55"/>
      <c r="J284" s="55"/>
      <c r="K284" s="56"/>
      <c r="L284" s="55"/>
      <c r="M284" s="55"/>
      <c r="N284" s="80">
        <v>190</v>
      </c>
      <c r="O284" s="55"/>
      <c r="P284" s="55"/>
      <c r="Q284" s="56"/>
      <c r="R284" s="55"/>
      <c r="S284" s="55"/>
      <c r="T284" s="100">
        <v>190</v>
      </c>
      <c r="U284" s="207"/>
      <c r="V284" s="207"/>
      <c r="W284" s="208"/>
      <c r="X284" s="207"/>
      <c r="Y284" s="207"/>
      <c r="Z284" s="100">
        <v>188</v>
      </c>
      <c r="AA284" s="207"/>
      <c r="AB284" s="207"/>
      <c r="AC284" s="208"/>
      <c r="AD284" s="207"/>
      <c r="AE284" s="207"/>
      <c r="AF284" s="100">
        <v>235</v>
      </c>
      <c r="AG284" s="207"/>
      <c r="AH284" s="207"/>
      <c r="AI284" s="208"/>
      <c r="AJ284" s="207"/>
      <c r="AK284" s="207"/>
      <c r="AL284" s="100">
        <v>230</v>
      </c>
      <c r="AM284" s="207"/>
      <c r="AN284" s="207"/>
      <c r="AO284" s="208"/>
      <c r="AP284" s="207"/>
      <c r="AQ284" s="207"/>
      <c r="AR284" s="100">
        <v>240</v>
      </c>
      <c r="AS284" s="207"/>
      <c r="AT284" s="207"/>
      <c r="AU284" s="208"/>
      <c r="AV284" s="207"/>
      <c r="AW284" s="207"/>
      <c r="AX284" s="100">
        <v>219</v>
      </c>
      <c r="AY284" s="207"/>
      <c r="AZ284" s="207"/>
      <c r="BA284" s="208"/>
      <c r="BB284" s="207"/>
      <c r="BC284" s="207"/>
      <c r="BD284" s="100">
        <v>219</v>
      </c>
      <c r="BE284" s="207"/>
      <c r="BF284" s="207"/>
      <c r="BG284" s="208"/>
      <c r="BH284" s="207"/>
      <c r="BI284" s="207"/>
      <c r="BJ284" s="100">
        <v>240</v>
      </c>
      <c r="BK284" s="207"/>
      <c r="BL284" s="207"/>
      <c r="BM284" s="208"/>
      <c r="BN284" s="207"/>
      <c r="BO284" s="207"/>
      <c r="BP284" s="100">
        <v>240</v>
      </c>
      <c r="BQ284" s="378">
        <f>BP284</f>
        <v>240</v>
      </c>
      <c r="BR284" s="378">
        <f>BP284</f>
        <v>240</v>
      </c>
      <c r="BS284" s="378">
        <f>BP284</f>
        <v>240</v>
      </c>
      <c r="BT284" s="378">
        <f>BP284</f>
        <v>240</v>
      </c>
      <c r="BU284" s="378">
        <f>BP284</f>
        <v>240</v>
      </c>
      <c r="BV284" s="365"/>
      <c r="BW284" s="305"/>
      <c r="BX284" s="451"/>
      <c r="BY284" s="459"/>
      <c r="BZ284" s="459"/>
    </row>
    <row r="285" spans="2:78" x14ac:dyDescent="0.25">
      <c r="B285" t="s">
        <v>95</v>
      </c>
      <c r="C285" s="1"/>
      <c r="D285" s="1"/>
      <c r="E285" s="1"/>
      <c r="F285" s="1"/>
      <c r="G285" s="1"/>
      <c r="H285" s="80">
        <v>11617</v>
      </c>
      <c r="I285" s="55"/>
      <c r="J285" s="55"/>
      <c r="K285" s="56"/>
      <c r="L285" s="55"/>
      <c r="M285" s="55"/>
      <c r="N285" s="80">
        <v>13226</v>
      </c>
      <c r="O285" s="55"/>
      <c r="P285" s="55"/>
      <c r="Q285" s="56"/>
      <c r="R285" s="55"/>
      <c r="S285" s="55"/>
      <c r="T285" s="89">
        <v>14645</v>
      </c>
      <c r="U285" s="55"/>
      <c r="V285" s="55"/>
      <c r="W285" s="56"/>
      <c r="X285" s="55"/>
      <c r="Y285" s="55"/>
      <c r="Z285" s="89">
        <v>14373</v>
      </c>
      <c r="AA285" s="55"/>
      <c r="AB285" s="55"/>
      <c r="AC285" s="56"/>
      <c r="AD285" s="55"/>
      <c r="AE285" s="55"/>
      <c r="AF285" s="89">
        <v>49195</v>
      </c>
      <c r="AG285" s="55"/>
      <c r="AH285" s="55"/>
      <c r="AI285" s="56"/>
      <c r="AJ285" s="55"/>
      <c r="AK285" s="55"/>
      <c r="AL285" s="89">
        <v>47155</v>
      </c>
      <c r="AM285" s="55"/>
      <c r="AN285" s="55"/>
      <c r="AO285" s="56"/>
      <c r="AP285" s="55"/>
      <c r="AQ285" s="55"/>
      <c r="AR285" s="89">
        <v>73863</v>
      </c>
      <c r="AS285" s="55"/>
      <c r="AT285" s="55"/>
      <c r="AU285" s="56"/>
      <c r="AV285" s="55"/>
      <c r="AW285" s="55"/>
      <c r="AX285" s="100">
        <v>919</v>
      </c>
      <c r="AY285" s="207"/>
      <c r="AZ285" s="207"/>
      <c r="BA285" s="208"/>
      <c r="BB285" s="207"/>
      <c r="BC285" s="207"/>
      <c r="BD285" s="100">
        <v>-718</v>
      </c>
      <c r="BE285" s="207"/>
      <c r="BF285" s="207"/>
      <c r="BG285" s="208"/>
      <c r="BH285" s="207"/>
      <c r="BI285" s="207"/>
      <c r="BJ285" s="100">
        <v>237</v>
      </c>
      <c r="BK285" s="207"/>
      <c r="BL285" s="207"/>
      <c r="BM285" s="208"/>
      <c r="BN285" s="207"/>
      <c r="BO285" s="207"/>
      <c r="BP285" s="100">
        <v>-5393</v>
      </c>
      <c r="BQ285" s="378">
        <f>BQ280-BQ307-BQ284-BQ286-BQ288</f>
        <v>-3901.8899069332692</v>
      </c>
      <c r="BR285" s="378">
        <f>BR280-BR307-BR284-BR286-BR288</f>
        <v>-252.36745862930547</v>
      </c>
      <c r="BS285" s="378">
        <f>BS280-BS307-BS284-BS286-BS288</f>
        <v>3939.8957521701232</v>
      </c>
      <c r="BT285" s="378">
        <f>BT280-BT307-BT284-BT286-BT288</f>
        <v>5151.8213318092749</v>
      </c>
      <c r="BU285" s="378">
        <f>BU280-BU307-BU284-BU286-BU288</f>
        <v>6444.8493137772894</v>
      </c>
      <c r="BV285" s="400" t="s">
        <v>381</v>
      </c>
      <c r="BW285" s="289"/>
      <c r="BX285" s="451"/>
      <c r="BY285" s="459"/>
      <c r="BZ285" s="459"/>
    </row>
    <row r="286" spans="2:78" x14ac:dyDescent="0.25">
      <c r="B286" t="s">
        <v>96</v>
      </c>
      <c r="C286" s="1"/>
      <c r="D286" s="1"/>
      <c r="E286" s="1"/>
      <c r="F286" s="1"/>
      <c r="G286" s="1"/>
      <c r="H286" s="89" t="s">
        <v>12</v>
      </c>
      <c r="I286" s="55"/>
      <c r="J286" s="55"/>
      <c r="K286" s="56"/>
      <c r="L286" s="55"/>
      <c r="M286" s="55"/>
      <c r="N286" s="89" t="s">
        <v>12</v>
      </c>
      <c r="O286" s="55"/>
      <c r="P286" s="55"/>
      <c r="Q286" s="56"/>
      <c r="R286" s="55"/>
      <c r="S286" s="55"/>
      <c r="T286" s="89" t="s">
        <v>12</v>
      </c>
      <c r="U286" s="55"/>
      <c r="V286" s="55"/>
      <c r="W286" s="56"/>
      <c r="X286" s="55"/>
      <c r="Y286" s="55"/>
      <c r="Z286" s="89" t="s">
        <v>12</v>
      </c>
      <c r="AA286" s="55"/>
      <c r="AB286" s="55"/>
      <c r="AC286" s="56"/>
      <c r="AD286" s="55"/>
      <c r="AE286" s="55"/>
      <c r="AF286" s="89" t="s">
        <v>12</v>
      </c>
      <c r="AG286" s="55"/>
      <c r="AH286" s="55"/>
      <c r="AI286" s="56"/>
      <c r="AJ286" s="55"/>
      <c r="AK286" s="55"/>
      <c r="AL286" s="89" t="s">
        <v>12</v>
      </c>
      <c r="AM286" s="55"/>
      <c r="AN286" s="55"/>
      <c r="AO286" s="56"/>
      <c r="AP286" s="55"/>
      <c r="AQ286" s="55"/>
      <c r="AR286" s="89" t="s">
        <v>12</v>
      </c>
      <c r="AS286" s="55"/>
      <c r="AT286" s="55"/>
      <c r="AU286" s="56"/>
      <c r="AV286" s="55"/>
      <c r="AW286" s="55"/>
      <c r="AX286" s="100">
        <v>70381</v>
      </c>
      <c r="AY286" s="207"/>
      <c r="AZ286" s="207"/>
      <c r="BA286" s="208"/>
      <c r="BB286" s="207"/>
      <c r="BC286" s="207"/>
      <c r="BD286" s="100">
        <v>69202</v>
      </c>
      <c r="BE286" s="207"/>
      <c r="BF286" s="207"/>
      <c r="BG286" s="208"/>
      <c r="BH286" s="207"/>
      <c r="BI286" s="207"/>
      <c r="BJ286" s="100">
        <v>113705</v>
      </c>
      <c r="BK286" s="207"/>
      <c r="BL286" s="207"/>
      <c r="BM286" s="208"/>
      <c r="BN286" s="207"/>
      <c r="BO286" s="207"/>
      <c r="BP286" s="100">
        <v>122567</v>
      </c>
      <c r="BQ286" s="378">
        <f>BP286+BQ160+BQ232+BQ233+BQ234</f>
        <v>133845.50249999997</v>
      </c>
      <c r="BR286" s="378">
        <f>BQ286+BR160+BR232+BR233+BR234</f>
        <v>145743.28066503996</v>
      </c>
      <c r="BS286" s="378">
        <f>BR286+BS160+BS232+BS233+BS234</f>
        <v>156656.02739324092</v>
      </c>
      <c r="BT286" s="378">
        <f>BS286+BT160+BT232+BT233+BT234</f>
        <v>164532.39478221</v>
      </c>
      <c r="BU286" s="378">
        <f>BT286+BU160+BU232+BU233+BU234</f>
        <v>171208.72560649304</v>
      </c>
      <c r="BV286" s="400" t="s">
        <v>383</v>
      </c>
      <c r="BW286" s="289"/>
      <c r="BX286" s="451"/>
      <c r="BY286" s="459"/>
      <c r="BZ286" s="459"/>
    </row>
    <row r="287" spans="2:78" x14ac:dyDescent="0.25">
      <c r="B287" t="s">
        <v>97</v>
      </c>
      <c r="C287" s="1"/>
      <c r="D287" s="1"/>
      <c r="E287" s="1"/>
      <c r="F287" s="1"/>
      <c r="G287" s="1"/>
      <c r="H287" s="80">
        <f>SUM(H284:H286)</f>
        <v>11809</v>
      </c>
      <c r="I287" s="55"/>
      <c r="J287" s="55"/>
      <c r="K287" s="56"/>
      <c r="L287" s="55"/>
      <c r="M287" s="55"/>
      <c r="N287" s="80">
        <f>SUM(N284:N286)</f>
        <v>13416</v>
      </c>
      <c r="O287" s="55"/>
      <c r="P287" s="55"/>
      <c r="Q287" s="56"/>
      <c r="R287" s="55"/>
      <c r="S287" s="55"/>
      <c r="T287" s="100">
        <f>SUM(T284:T286)</f>
        <v>14835</v>
      </c>
      <c r="U287" s="207"/>
      <c r="V287" s="207"/>
      <c r="W287" s="208"/>
      <c r="X287" s="207"/>
      <c r="Y287" s="207"/>
      <c r="Z287" s="100">
        <f>SUM(Z284:Z286)</f>
        <v>14561</v>
      </c>
      <c r="AA287" s="207"/>
      <c r="AB287" s="207"/>
      <c r="AC287" s="208"/>
      <c r="AD287" s="207"/>
      <c r="AE287" s="207"/>
      <c r="AF287" s="100">
        <f>SUM(AF284:AF286)</f>
        <v>49430</v>
      </c>
      <c r="AG287" s="207"/>
      <c r="AH287" s="207"/>
      <c r="AI287" s="208"/>
      <c r="AJ287" s="207"/>
      <c r="AK287" s="207"/>
      <c r="AL287" s="100">
        <f>SUM(AL284:AL286)</f>
        <v>47385</v>
      </c>
      <c r="AM287" s="207"/>
      <c r="AN287" s="207"/>
      <c r="AO287" s="208"/>
      <c r="AP287" s="207"/>
      <c r="AQ287" s="207"/>
      <c r="AR287" s="100">
        <f>SUM(AR284:AR286)</f>
        <v>74103</v>
      </c>
      <c r="AS287" s="207"/>
      <c r="AT287" s="207"/>
      <c r="AU287" s="208"/>
      <c r="AV287" s="207"/>
      <c r="AW287" s="207"/>
      <c r="AX287" s="100">
        <f>SUM(AX284:AX286)</f>
        <v>71519</v>
      </c>
      <c r="AY287" s="207"/>
      <c r="AZ287" s="207"/>
      <c r="BA287" s="208"/>
      <c r="BB287" s="207"/>
      <c r="BC287" s="207"/>
      <c r="BD287" s="100">
        <f>SUM(BD284:BD286)</f>
        <v>68703</v>
      </c>
      <c r="BE287" s="207"/>
      <c r="BF287" s="207"/>
      <c r="BG287" s="208"/>
      <c r="BH287" s="207"/>
      <c r="BI287" s="207"/>
      <c r="BJ287" s="100">
        <f>SUM(BJ284:BJ286)</f>
        <v>114182</v>
      </c>
      <c r="BK287" s="207"/>
      <c r="BL287" s="207"/>
      <c r="BM287" s="208"/>
      <c r="BN287" s="207"/>
      <c r="BO287" s="207"/>
      <c r="BP287" s="100">
        <f t="shared" ref="BP287:BU287" si="201">SUM(BP284:BP286)</f>
        <v>117414</v>
      </c>
      <c r="BQ287" s="378">
        <f t="shared" si="201"/>
        <v>130183.6125930667</v>
      </c>
      <c r="BR287" s="378">
        <f t="shared" si="201"/>
        <v>145730.91320641065</v>
      </c>
      <c r="BS287" s="378">
        <f t="shared" si="201"/>
        <v>160835.92314541104</v>
      </c>
      <c r="BT287" s="378">
        <f t="shared" si="201"/>
        <v>169924.21611401928</v>
      </c>
      <c r="BU287" s="378">
        <f t="shared" si="201"/>
        <v>177893.57492027033</v>
      </c>
      <c r="BV287" s="365"/>
      <c r="BW287" s="305"/>
      <c r="BX287" s="451"/>
      <c r="BY287" s="459"/>
      <c r="BZ287" s="459"/>
    </row>
    <row r="288" spans="2:78" x14ac:dyDescent="0.25">
      <c r="B288" t="s">
        <v>98</v>
      </c>
      <c r="C288" s="1"/>
      <c r="D288" s="1"/>
      <c r="E288" s="1"/>
      <c r="F288" s="1"/>
      <c r="G288" s="1"/>
      <c r="H288" s="80">
        <v>32</v>
      </c>
      <c r="I288" s="55"/>
      <c r="J288" s="55"/>
      <c r="K288" s="56"/>
      <c r="L288" s="55"/>
      <c r="M288" s="55"/>
      <c r="N288" s="80">
        <v>-38</v>
      </c>
      <c r="O288" s="55"/>
      <c r="P288" s="55"/>
      <c r="Q288" s="56"/>
      <c r="R288" s="55"/>
      <c r="S288" s="55"/>
      <c r="T288" s="100">
        <v>-26</v>
      </c>
      <c r="U288" s="207"/>
      <c r="V288" s="207"/>
      <c r="W288" s="208"/>
      <c r="X288" s="207"/>
      <c r="Y288" s="207"/>
      <c r="Z288" s="100">
        <v>-29</v>
      </c>
      <c r="AA288" s="207"/>
      <c r="AB288" s="207"/>
      <c r="AC288" s="208"/>
      <c r="AD288" s="207"/>
      <c r="AE288" s="207"/>
      <c r="AF288" s="100">
        <v>-111</v>
      </c>
      <c r="AG288" s="207"/>
      <c r="AH288" s="207"/>
      <c r="AI288" s="208"/>
      <c r="AJ288" s="207"/>
      <c r="AK288" s="207"/>
      <c r="AL288" s="100">
        <v>-88</v>
      </c>
      <c r="AM288" s="207"/>
      <c r="AN288" s="207"/>
      <c r="AO288" s="208"/>
      <c r="AP288" s="207"/>
      <c r="AQ288" s="207"/>
      <c r="AR288" s="100">
        <v>175</v>
      </c>
      <c r="AS288" s="207"/>
      <c r="AT288" s="207"/>
      <c r="AU288" s="208"/>
      <c r="AV288" s="207"/>
      <c r="AW288" s="207"/>
      <c r="AX288" s="100">
        <v>222</v>
      </c>
      <c r="AY288" s="207"/>
      <c r="AZ288" s="207"/>
      <c r="BA288" s="208"/>
      <c r="BB288" s="207"/>
      <c r="BC288" s="207"/>
      <c r="BD288" s="100">
        <v>263</v>
      </c>
      <c r="BE288" s="207"/>
      <c r="BF288" s="207"/>
      <c r="BG288" s="208"/>
      <c r="BH288" s="207"/>
      <c r="BI288" s="207"/>
      <c r="BJ288" s="100">
        <v>321</v>
      </c>
      <c r="BK288" s="207"/>
      <c r="BL288" s="207"/>
      <c r="BM288" s="208"/>
      <c r="BN288" s="207"/>
      <c r="BO288" s="207"/>
      <c r="BP288" s="100">
        <v>276</v>
      </c>
      <c r="BQ288" s="378">
        <f>BP288</f>
        <v>276</v>
      </c>
      <c r="BR288" s="378">
        <f>BP288</f>
        <v>276</v>
      </c>
      <c r="BS288" s="378">
        <f>BP288</f>
        <v>276</v>
      </c>
      <c r="BT288" s="378">
        <f>BP288</f>
        <v>276</v>
      </c>
      <c r="BU288" s="378">
        <f>BP288</f>
        <v>276</v>
      </c>
      <c r="BV288" s="365"/>
      <c r="BW288" s="305"/>
      <c r="BX288" s="451"/>
      <c r="BY288" s="459"/>
      <c r="BZ288" s="459"/>
    </row>
    <row r="289" spans="2:78" x14ac:dyDescent="0.25">
      <c r="B289" s="110" t="s">
        <v>99</v>
      </c>
      <c r="C289" s="123"/>
      <c r="D289" s="123"/>
      <c r="E289" s="123"/>
      <c r="F289" s="123"/>
      <c r="G289" s="123"/>
      <c r="H289" s="113">
        <f>H287+H288</f>
        <v>11841</v>
      </c>
      <c r="I289" s="114"/>
      <c r="J289" s="114"/>
      <c r="K289" s="115"/>
      <c r="L289" s="114"/>
      <c r="M289" s="114"/>
      <c r="N289" s="113">
        <f>N287+N288</f>
        <v>13378</v>
      </c>
      <c r="O289" s="121"/>
      <c r="P289" s="121"/>
      <c r="Q289" s="122"/>
      <c r="R289" s="121"/>
      <c r="S289" s="121"/>
      <c r="T289" s="116">
        <f>T287+T288</f>
        <v>14809</v>
      </c>
      <c r="U289" s="117"/>
      <c r="V289" s="117"/>
      <c r="W289" s="118"/>
      <c r="X289" s="117"/>
      <c r="Y289" s="117"/>
      <c r="Z289" s="116">
        <f>Z287+Z288</f>
        <v>14532</v>
      </c>
      <c r="AA289" s="117"/>
      <c r="AB289" s="117"/>
      <c r="AC289" s="118"/>
      <c r="AD289" s="117"/>
      <c r="AE289" s="117"/>
      <c r="AF289" s="116">
        <f>AF287+AF288</f>
        <v>49319</v>
      </c>
      <c r="AG289" s="117"/>
      <c r="AH289" s="117"/>
      <c r="AI289" s="118"/>
      <c r="AJ289" s="117"/>
      <c r="AK289" s="117"/>
      <c r="AL289" s="116">
        <f>AL287+AL288</f>
        <v>47297</v>
      </c>
      <c r="AM289" s="117"/>
      <c r="AN289" s="117"/>
      <c r="AO289" s="118"/>
      <c r="AP289" s="117"/>
      <c r="AQ289" s="117"/>
      <c r="AR289" s="116">
        <f>AR287+AR288</f>
        <v>74278</v>
      </c>
      <c r="AS289" s="117"/>
      <c r="AT289" s="117"/>
      <c r="AU289" s="118"/>
      <c r="AV289" s="117"/>
      <c r="AW289" s="117"/>
      <c r="AX289" s="116">
        <f>AX287+AX288</f>
        <v>71741</v>
      </c>
      <c r="AY289" s="117"/>
      <c r="AZ289" s="117"/>
      <c r="BA289" s="118"/>
      <c r="BB289" s="117"/>
      <c r="BC289" s="117"/>
      <c r="BD289" s="116">
        <f>BD287+BD288</f>
        <v>68966</v>
      </c>
      <c r="BE289" s="117"/>
      <c r="BF289" s="117"/>
      <c r="BG289" s="118"/>
      <c r="BH289" s="117"/>
      <c r="BI289" s="117"/>
      <c r="BJ289" s="116">
        <f>BJ287+BJ288</f>
        <v>114503</v>
      </c>
      <c r="BK289" s="117"/>
      <c r="BL289" s="117"/>
      <c r="BM289" s="118"/>
      <c r="BN289" s="117"/>
      <c r="BO289" s="117"/>
      <c r="BP289" s="116">
        <f t="shared" ref="BP289:BU289" si="202">BP287+BP288</f>
        <v>117690</v>
      </c>
      <c r="BQ289" s="466">
        <f t="shared" si="202"/>
        <v>130459.6125930667</v>
      </c>
      <c r="BR289" s="466">
        <f t="shared" si="202"/>
        <v>146006.91320641065</v>
      </c>
      <c r="BS289" s="466">
        <f t="shared" si="202"/>
        <v>161111.92314541104</v>
      </c>
      <c r="BT289" s="466">
        <f t="shared" si="202"/>
        <v>170200.21611401928</v>
      </c>
      <c r="BU289" s="466">
        <f t="shared" si="202"/>
        <v>178169.57492027033</v>
      </c>
      <c r="BV289" s="365"/>
      <c r="BW289" s="305"/>
      <c r="BX289" s="451"/>
      <c r="BY289" s="459"/>
      <c r="BZ289" s="459"/>
    </row>
    <row r="290" spans="2:78" x14ac:dyDescent="0.25">
      <c r="B290" s="223" t="s">
        <v>100</v>
      </c>
      <c r="C290" s="224"/>
      <c r="D290" s="224"/>
      <c r="E290" s="224"/>
      <c r="F290" s="224"/>
      <c r="G290" s="224"/>
      <c r="H290" s="154"/>
      <c r="I290" s="225"/>
      <c r="J290" s="225"/>
      <c r="K290" s="225"/>
      <c r="L290" s="225"/>
      <c r="M290" s="225"/>
      <c r="N290" s="154"/>
      <c r="O290" s="225"/>
      <c r="P290" s="225"/>
      <c r="Q290" s="225"/>
      <c r="R290" s="225"/>
      <c r="S290" s="225"/>
      <c r="T290" s="154"/>
      <c r="U290" s="225"/>
      <c r="V290" s="225"/>
      <c r="W290" s="225"/>
      <c r="X290" s="225"/>
      <c r="Y290" s="225"/>
      <c r="Z290" s="154"/>
      <c r="AA290" s="225"/>
      <c r="AB290" s="225"/>
      <c r="AC290" s="225"/>
      <c r="AD290" s="225"/>
      <c r="AE290" s="225"/>
      <c r="AF290" s="154"/>
      <c r="AG290" s="225"/>
      <c r="AH290" s="225"/>
      <c r="AI290" s="225"/>
      <c r="AJ290" s="225"/>
      <c r="AK290" s="225"/>
      <c r="AL290" s="154"/>
      <c r="AM290" s="225"/>
      <c r="AN290" s="225"/>
      <c r="AO290" s="225"/>
      <c r="AP290" s="225"/>
      <c r="AQ290" s="225"/>
      <c r="AR290" s="154"/>
      <c r="AS290" s="225"/>
      <c r="AT290" s="225"/>
      <c r="AU290" s="225"/>
      <c r="AV290" s="225"/>
      <c r="AW290" s="225"/>
      <c r="AX290" s="154"/>
      <c r="AY290" s="225"/>
      <c r="AZ290" s="225"/>
      <c r="BA290" s="225"/>
      <c r="BB290" s="225"/>
      <c r="BC290" s="225"/>
      <c r="BD290" s="154"/>
      <c r="BE290" s="225"/>
      <c r="BF290" s="225"/>
      <c r="BG290" s="225"/>
      <c r="BH290" s="225"/>
      <c r="BI290" s="225"/>
      <c r="BJ290" s="154"/>
      <c r="BK290" s="225"/>
      <c r="BL290" s="225"/>
      <c r="BM290" s="225"/>
      <c r="BN290" s="225"/>
      <c r="BO290" s="225"/>
      <c r="BP290" s="154"/>
      <c r="BQ290" s="225"/>
      <c r="BR290" s="225"/>
      <c r="BS290" s="225"/>
      <c r="BT290" s="225"/>
      <c r="BU290" s="225"/>
      <c r="BV290" s="365"/>
      <c r="BW290" s="305"/>
      <c r="BX290" s="451"/>
      <c r="BY290" s="459"/>
      <c r="BZ290" s="459"/>
    </row>
    <row r="291" spans="2:78" ht="15.75" customHeight="1" x14ac:dyDescent="0.25">
      <c r="B291" t="s">
        <v>101</v>
      </c>
      <c r="C291" s="1"/>
      <c r="D291" s="1"/>
      <c r="E291" s="1"/>
      <c r="F291" s="1"/>
      <c r="G291" s="1"/>
      <c r="H291" s="89" t="s">
        <v>12</v>
      </c>
      <c r="I291" s="55"/>
      <c r="J291" s="55"/>
      <c r="K291" s="56"/>
      <c r="L291" s="55"/>
      <c r="M291" s="55"/>
      <c r="N291" s="89" t="s">
        <v>12</v>
      </c>
      <c r="O291" s="55"/>
      <c r="P291" s="55"/>
      <c r="Q291" s="56"/>
      <c r="R291" s="55"/>
      <c r="S291" s="55"/>
      <c r="T291" s="89" t="s">
        <v>12</v>
      </c>
      <c r="U291" s="55"/>
      <c r="V291" s="55"/>
      <c r="W291" s="56"/>
      <c r="X291" s="55"/>
      <c r="Y291" s="55"/>
      <c r="Z291" s="89">
        <v>132</v>
      </c>
      <c r="AA291" s="55"/>
      <c r="AB291" s="55"/>
      <c r="AC291" s="56"/>
      <c r="AD291" s="55"/>
      <c r="AE291" s="55"/>
      <c r="AF291" s="100">
        <v>9227</v>
      </c>
      <c r="AG291" s="207"/>
      <c r="AH291" s="207"/>
      <c r="AI291" s="208"/>
      <c r="AJ291" s="207"/>
      <c r="AK291" s="207"/>
      <c r="AL291" s="100">
        <v>9428</v>
      </c>
      <c r="AM291" s="207"/>
      <c r="AN291" s="207"/>
      <c r="AO291" s="208"/>
      <c r="AP291" s="207"/>
      <c r="AQ291" s="207"/>
      <c r="AR291" s="100">
        <v>11848</v>
      </c>
      <c r="AS291" s="207"/>
      <c r="AT291" s="207"/>
      <c r="AU291" s="208"/>
      <c r="AV291" s="207"/>
      <c r="AW291" s="207"/>
      <c r="AX291" s="100">
        <v>13190</v>
      </c>
      <c r="AY291" s="207"/>
      <c r="AZ291" s="207"/>
      <c r="BA291" s="208"/>
      <c r="BB291" s="207"/>
      <c r="BC291" s="207"/>
      <c r="BD291" s="100">
        <v>14139</v>
      </c>
      <c r="BE291" s="207"/>
      <c r="BF291" s="207"/>
      <c r="BG291" s="208"/>
      <c r="BH291" s="207"/>
      <c r="BI291" s="207"/>
      <c r="BJ291" s="100">
        <v>17324</v>
      </c>
      <c r="BK291" s="207"/>
      <c r="BL291" s="207"/>
      <c r="BM291" s="208"/>
      <c r="BN291" s="207"/>
      <c r="BO291" s="207"/>
      <c r="BP291" s="100">
        <v>24084</v>
      </c>
      <c r="BQ291" s="378">
        <f>BQ266*1.11*0.78</f>
        <v>26882.847576</v>
      </c>
      <c r="BR291" s="378">
        <f>BR266*1.11*0.78</f>
        <v>29749.076051760003</v>
      </c>
      <c r="BS291" s="378">
        <f>BS266*1.11*0.78</f>
        <v>32643.966812277606</v>
      </c>
      <c r="BT291" s="378">
        <f>BT266*1.11*0.78</f>
        <v>32970.406480400379</v>
      </c>
      <c r="BU291" s="378">
        <f>BU266*1.11*0.78</f>
        <v>33300.110545204385</v>
      </c>
      <c r="BV291" s="411" t="s">
        <v>396</v>
      </c>
      <c r="BW291" s="305"/>
      <c r="BX291" s="451"/>
      <c r="BY291" s="459"/>
      <c r="BZ291" s="459"/>
    </row>
    <row r="292" spans="2:78" x14ac:dyDescent="0.25">
      <c r="B292" t="s">
        <v>102</v>
      </c>
      <c r="C292" s="1"/>
      <c r="D292" s="1"/>
      <c r="E292" s="1"/>
      <c r="F292" s="1"/>
      <c r="G292" s="1"/>
      <c r="H292" s="80">
        <v>4309</v>
      </c>
      <c r="I292" s="55"/>
      <c r="J292" s="55"/>
      <c r="K292" s="56"/>
      <c r="L292" s="55"/>
      <c r="M292" s="55"/>
      <c r="N292" s="80">
        <v>8725</v>
      </c>
      <c r="O292" s="55"/>
      <c r="P292" s="55"/>
      <c r="Q292" s="56"/>
      <c r="R292" s="55"/>
      <c r="S292" s="55"/>
      <c r="T292" s="89">
        <v>6491</v>
      </c>
      <c r="U292" s="55"/>
      <c r="V292" s="55"/>
      <c r="W292" s="56"/>
      <c r="X292" s="55"/>
      <c r="Y292" s="55"/>
      <c r="Z292" s="89">
        <v>6461</v>
      </c>
      <c r="AA292" s="55"/>
      <c r="AB292" s="55"/>
      <c r="AC292" s="56"/>
      <c r="AD292" s="55"/>
      <c r="AE292" s="55"/>
      <c r="AF292" s="100">
        <v>6464</v>
      </c>
      <c r="AG292" s="207"/>
      <c r="AH292" s="207"/>
      <c r="AI292" s="208"/>
      <c r="AJ292" s="207"/>
      <c r="AK292" s="207"/>
      <c r="AL292" s="100">
        <v>7696</v>
      </c>
      <c r="AM292" s="207"/>
      <c r="AN292" s="207"/>
      <c r="AO292" s="208"/>
      <c r="AP292" s="207"/>
      <c r="AQ292" s="207"/>
      <c r="AR292" s="100">
        <v>16993</v>
      </c>
      <c r="AS292" s="207"/>
      <c r="AT292" s="207"/>
      <c r="AU292" s="208"/>
      <c r="AV292" s="207"/>
      <c r="AW292" s="207"/>
      <c r="AX292" s="100">
        <v>21398</v>
      </c>
      <c r="AY292" s="207"/>
      <c r="AZ292" s="207"/>
      <c r="BA292" s="208"/>
      <c r="BB292" s="207"/>
      <c r="BC292" s="207"/>
      <c r="BD292" s="100">
        <v>20004</v>
      </c>
      <c r="BE292" s="207"/>
      <c r="BF292" s="207"/>
      <c r="BG292" s="208"/>
      <c r="BH292" s="207"/>
      <c r="BI292" s="207"/>
      <c r="BJ292" s="100">
        <v>60852</v>
      </c>
      <c r="BK292" s="207"/>
      <c r="BL292" s="207"/>
      <c r="BM292" s="208"/>
      <c r="BN292" s="207"/>
      <c r="BO292" s="207"/>
      <c r="BP292" s="100">
        <v>56950</v>
      </c>
      <c r="BQ292" s="378">
        <f>BQ337</f>
        <v>51950</v>
      </c>
      <c r="BR292" s="378">
        <f>BR337</f>
        <v>43950</v>
      </c>
      <c r="BS292" s="378">
        <f>BS337</f>
        <v>38950</v>
      </c>
      <c r="BT292" s="378">
        <f>BT337</f>
        <v>35950</v>
      </c>
      <c r="BU292" s="378">
        <f>BU337</f>
        <v>33950</v>
      </c>
      <c r="BV292" s="400" t="s">
        <v>357</v>
      </c>
      <c r="BW292" s="289"/>
      <c r="BX292" s="451"/>
      <c r="BY292" s="459"/>
      <c r="BZ292" s="459"/>
    </row>
    <row r="293" spans="2:78" x14ac:dyDescent="0.25">
      <c r="B293" t="s">
        <v>103</v>
      </c>
      <c r="C293" s="1"/>
      <c r="D293" s="1"/>
      <c r="E293" s="1"/>
      <c r="F293" s="1"/>
      <c r="G293" s="1"/>
      <c r="H293" s="80">
        <v>1226</v>
      </c>
      <c r="I293" s="55"/>
      <c r="J293" s="55"/>
      <c r="K293" s="56"/>
      <c r="L293" s="55"/>
      <c r="M293" s="55"/>
      <c r="N293" s="80">
        <v>1488</v>
      </c>
      <c r="O293" s="55"/>
      <c r="P293" s="55"/>
      <c r="Q293" s="56"/>
      <c r="R293" s="55"/>
      <c r="S293" s="55"/>
      <c r="T293" s="100">
        <v>1124</v>
      </c>
      <c r="U293" s="207"/>
      <c r="V293" s="207"/>
      <c r="W293" s="208"/>
      <c r="X293" s="207"/>
      <c r="Y293" s="207"/>
      <c r="Z293" s="100">
        <v>915</v>
      </c>
      <c r="AA293" s="207"/>
      <c r="AB293" s="207"/>
      <c r="AC293" s="208"/>
      <c r="AD293" s="207"/>
      <c r="AE293" s="207"/>
      <c r="AF293" s="100">
        <v>1494</v>
      </c>
      <c r="AG293" s="207"/>
      <c r="AH293" s="207"/>
      <c r="AI293" s="208"/>
      <c r="AJ293" s="207"/>
      <c r="AK293" s="207"/>
      <c r="AL293" s="100">
        <v>1219</v>
      </c>
      <c r="AM293" s="207"/>
      <c r="AN293" s="207"/>
      <c r="AO293" s="208"/>
      <c r="AP293" s="207"/>
      <c r="AQ293" s="207"/>
      <c r="AR293" s="100">
        <v>908</v>
      </c>
      <c r="AS293" s="207"/>
      <c r="AT293" s="207"/>
      <c r="AU293" s="208"/>
      <c r="AV293" s="207"/>
      <c r="AW293" s="207"/>
      <c r="AX293" s="100">
        <v>1183</v>
      </c>
      <c r="AY293" s="207"/>
      <c r="AZ293" s="207"/>
      <c r="BA293" s="208"/>
      <c r="BB293" s="207"/>
      <c r="BC293" s="207"/>
      <c r="BD293" s="100">
        <v>1281</v>
      </c>
      <c r="BE293" s="207"/>
      <c r="BF293" s="207"/>
      <c r="BG293" s="208"/>
      <c r="BH293" s="207"/>
      <c r="BI293" s="207"/>
      <c r="BJ293" s="100">
        <v>457</v>
      </c>
      <c r="BK293" s="207"/>
      <c r="BL293" s="207"/>
      <c r="BM293" s="208"/>
      <c r="BN293" s="207"/>
      <c r="BO293" s="207"/>
      <c r="BP293" s="100">
        <v>2098</v>
      </c>
      <c r="BQ293" s="378">
        <f>BP293</f>
        <v>2098</v>
      </c>
      <c r="BR293" s="378">
        <f>BP293</f>
        <v>2098</v>
      </c>
      <c r="BS293" s="378">
        <f>BP293</f>
        <v>2098</v>
      </c>
      <c r="BT293" s="378">
        <f>BP293</f>
        <v>2098</v>
      </c>
      <c r="BU293" s="378">
        <f>BP293</f>
        <v>2098</v>
      </c>
      <c r="BV293" s="365"/>
      <c r="BW293" s="305"/>
      <c r="BX293" s="451"/>
      <c r="BY293" s="459"/>
      <c r="BZ293" s="459"/>
    </row>
    <row r="294" spans="2:78" x14ac:dyDescent="0.25">
      <c r="B294" t="s">
        <v>104</v>
      </c>
      <c r="C294" s="1"/>
      <c r="D294" s="1"/>
      <c r="E294" s="1"/>
      <c r="F294" s="1"/>
      <c r="G294" s="1"/>
      <c r="H294" s="80">
        <v>360</v>
      </c>
      <c r="I294" s="55"/>
      <c r="J294" s="55"/>
      <c r="K294" s="56"/>
      <c r="L294" s="55"/>
      <c r="M294" s="55"/>
      <c r="N294" s="80">
        <v>736</v>
      </c>
      <c r="O294" s="55"/>
      <c r="P294" s="55"/>
      <c r="Q294" s="56"/>
      <c r="R294" s="55"/>
      <c r="S294" s="55"/>
      <c r="T294" s="100">
        <v>706</v>
      </c>
      <c r="U294" s="207"/>
      <c r="V294" s="207"/>
      <c r="W294" s="208"/>
      <c r="X294" s="207"/>
      <c r="Y294" s="207"/>
      <c r="Z294" s="100">
        <v>627</v>
      </c>
      <c r="AA294" s="207"/>
      <c r="AB294" s="207"/>
      <c r="AC294" s="208"/>
      <c r="AD294" s="207"/>
      <c r="AE294" s="207"/>
      <c r="AF294" s="100">
        <v>1282</v>
      </c>
      <c r="AG294" s="207"/>
      <c r="AH294" s="207"/>
      <c r="AI294" s="208"/>
      <c r="AJ294" s="207"/>
      <c r="AK294" s="207"/>
      <c r="AL294" s="100">
        <v>1253</v>
      </c>
      <c r="AM294" s="207"/>
      <c r="AN294" s="207"/>
      <c r="AO294" s="208"/>
      <c r="AP294" s="207"/>
      <c r="AQ294" s="207"/>
      <c r="AR294" s="100">
        <v>3508</v>
      </c>
      <c r="AS294" s="207"/>
      <c r="AT294" s="207"/>
      <c r="AU294" s="208"/>
      <c r="AV294" s="207"/>
      <c r="AW294" s="207"/>
      <c r="AX294" s="100">
        <v>4260</v>
      </c>
      <c r="AY294" s="207"/>
      <c r="AZ294" s="207"/>
      <c r="BA294" s="208"/>
      <c r="BB294" s="207"/>
      <c r="BC294" s="207"/>
      <c r="BD294" s="100">
        <v>3772</v>
      </c>
      <c r="BE294" s="207"/>
      <c r="BF294" s="207"/>
      <c r="BG294" s="208"/>
      <c r="BH294" s="207"/>
      <c r="BI294" s="207"/>
      <c r="BJ294" s="100">
        <v>3787</v>
      </c>
      <c r="BK294" s="207"/>
      <c r="BL294" s="207"/>
      <c r="BM294" s="208"/>
      <c r="BN294" s="207"/>
      <c r="BO294" s="207"/>
      <c r="BP294" s="100">
        <v>5928</v>
      </c>
      <c r="BQ294" s="378">
        <f>BP294</f>
        <v>5928</v>
      </c>
      <c r="BR294" s="378">
        <f>BP294</f>
        <v>5928</v>
      </c>
      <c r="BS294" s="378">
        <f>BP294</f>
        <v>5928</v>
      </c>
      <c r="BT294" s="378">
        <f>BP294</f>
        <v>5928</v>
      </c>
      <c r="BU294" s="378">
        <f>BP294</f>
        <v>5928</v>
      </c>
      <c r="BV294" s="365"/>
      <c r="BW294" s="305"/>
      <c r="BX294" s="451"/>
      <c r="BY294" s="459"/>
      <c r="BZ294" s="459"/>
    </row>
    <row r="295" spans="2:78" x14ac:dyDescent="0.25">
      <c r="B295" t="s">
        <v>105</v>
      </c>
      <c r="C295" s="1"/>
      <c r="D295" s="1"/>
      <c r="E295" s="1"/>
      <c r="F295" s="1"/>
      <c r="G295" s="1"/>
      <c r="H295" s="80">
        <v>321</v>
      </c>
      <c r="I295" s="55"/>
      <c r="J295" s="55"/>
      <c r="K295" s="56"/>
      <c r="L295" s="55"/>
      <c r="M295" s="55"/>
      <c r="N295" s="80">
        <v>287</v>
      </c>
      <c r="O295" s="55"/>
      <c r="P295" s="55"/>
      <c r="Q295" s="56"/>
      <c r="R295" s="55"/>
      <c r="S295" s="55"/>
      <c r="T295" s="100">
        <v>82</v>
      </c>
      <c r="U295" s="207"/>
      <c r="V295" s="207"/>
      <c r="W295" s="208"/>
      <c r="X295" s="207"/>
      <c r="Y295" s="207"/>
      <c r="Z295" s="100">
        <v>188</v>
      </c>
      <c r="AA295" s="207"/>
      <c r="AB295" s="207"/>
      <c r="AC295" s="208"/>
      <c r="AD295" s="207"/>
      <c r="AE295" s="207"/>
      <c r="AF295" s="100">
        <v>455</v>
      </c>
      <c r="AG295" s="207"/>
      <c r="AH295" s="207"/>
      <c r="AI295" s="208"/>
      <c r="AJ295" s="207"/>
      <c r="AK295" s="207"/>
      <c r="AL295" s="100">
        <v>243</v>
      </c>
      <c r="AM295" s="207"/>
      <c r="AN295" s="207"/>
      <c r="AO295" s="208"/>
      <c r="AP295" s="207"/>
      <c r="AQ295" s="207"/>
      <c r="AR295" s="100">
        <v>447</v>
      </c>
      <c r="AS295" s="207"/>
      <c r="AT295" s="207"/>
      <c r="AU295" s="208"/>
      <c r="AV295" s="207"/>
      <c r="AW295" s="207"/>
      <c r="AX295" s="100">
        <v>504</v>
      </c>
      <c r="AY295" s="207"/>
      <c r="AZ295" s="207"/>
      <c r="BA295" s="208"/>
      <c r="BB295" s="207"/>
      <c r="BC295" s="207"/>
      <c r="BD295" s="100">
        <v>609</v>
      </c>
      <c r="BE295" s="207"/>
      <c r="BF295" s="207"/>
      <c r="BG295" s="208"/>
      <c r="BH295" s="207"/>
      <c r="BI295" s="207"/>
      <c r="BJ295" s="100">
        <v>408</v>
      </c>
      <c r="BK295" s="207"/>
      <c r="BL295" s="207"/>
      <c r="BM295" s="208"/>
      <c r="BN295" s="207"/>
      <c r="BO295" s="207"/>
      <c r="BP295" s="100">
        <v>1330</v>
      </c>
      <c r="BQ295" s="378">
        <f>BP295</f>
        <v>1330</v>
      </c>
      <c r="BR295" s="378">
        <f>BP295</f>
        <v>1330</v>
      </c>
      <c r="BS295" s="378">
        <f>BP295</f>
        <v>1330</v>
      </c>
      <c r="BT295" s="378">
        <f>BP295</f>
        <v>1330</v>
      </c>
      <c r="BU295" s="378">
        <f>BP295</f>
        <v>1330</v>
      </c>
      <c r="BV295" s="365"/>
      <c r="BW295" s="305"/>
      <c r="BX295" s="451"/>
      <c r="BY295" s="459"/>
      <c r="BZ295" s="459"/>
    </row>
    <row r="296" spans="2:78" x14ac:dyDescent="0.25">
      <c r="B296" s="110" t="s">
        <v>106</v>
      </c>
      <c r="C296" s="123"/>
      <c r="D296" s="123"/>
      <c r="E296" s="123"/>
      <c r="F296" s="123"/>
      <c r="G296" s="123"/>
      <c r="H296" s="113">
        <f>SUM(H291:H295)</f>
        <v>6216</v>
      </c>
      <c r="I296" s="114"/>
      <c r="J296" s="114"/>
      <c r="K296" s="115"/>
      <c r="L296" s="114"/>
      <c r="M296" s="114"/>
      <c r="N296" s="113">
        <f>SUM(N291:N295)</f>
        <v>11236</v>
      </c>
      <c r="O296" s="121"/>
      <c r="P296" s="121"/>
      <c r="Q296" s="122"/>
      <c r="R296" s="121"/>
      <c r="S296" s="121"/>
      <c r="T296" s="116">
        <f>SUM(T291:T295)</f>
        <v>8403</v>
      </c>
      <c r="U296" s="117"/>
      <c r="V296" s="117"/>
      <c r="W296" s="118"/>
      <c r="X296" s="117"/>
      <c r="Y296" s="117"/>
      <c r="Z296" s="116">
        <f>SUM(Z291:Z295)</f>
        <v>8323</v>
      </c>
      <c r="AA296" s="117"/>
      <c r="AB296" s="117"/>
      <c r="AC296" s="118"/>
      <c r="AD296" s="117"/>
      <c r="AE296" s="117"/>
      <c r="AF296" s="116">
        <f>SUM(AF291:AF295)</f>
        <v>18922</v>
      </c>
      <c r="AG296" s="117"/>
      <c r="AH296" s="117"/>
      <c r="AI296" s="118"/>
      <c r="AJ296" s="117"/>
      <c r="AK296" s="117"/>
      <c r="AL296" s="116">
        <f>SUM(AL291:AL295)</f>
        <v>19839</v>
      </c>
      <c r="AM296" s="117"/>
      <c r="AN296" s="117"/>
      <c r="AO296" s="118"/>
      <c r="AP296" s="117"/>
      <c r="AQ296" s="117"/>
      <c r="AR296" s="116">
        <f>SUM(AR291:AR295)</f>
        <v>33704</v>
      </c>
      <c r="AS296" s="117"/>
      <c r="AT296" s="117"/>
      <c r="AU296" s="118"/>
      <c r="AV296" s="117"/>
      <c r="AW296" s="117"/>
      <c r="AX296" s="116">
        <f>SUM(AX291:AX295)</f>
        <v>40535</v>
      </c>
      <c r="AY296" s="117"/>
      <c r="AZ296" s="117"/>
      <c r="BA296" s="118"/>
      <c r="BB296" s="117"/>
      <c r="BC296" s="117"/>
      <c r="BD296" s="116">
        <f>SUM(BD291:BD295)</f>
        <v>39805</v>
      </c>
      <c r="BE296" s="117"/>
      <c r="BF296" s="117"/>
      <c r="BG296" s="118"/>
      <c r="BH296" s="117"/>
      <c r="BI296" s="117"/>
      <c r="BJ296" s="116">
        <f>SUM(BJ291:BJ295)</f>
        <v>82828</v>
      </c>
      <c r="BK296" s="117"/>
      <c r="BL296" s="117"/>
      <c r="BM296" s="118"/>
      <c r="BN296" s="117"/>
      <c r="BO296" s="117"/>
      <c r="BP296" s="116">
        <f t="shared" ref="BP296:BU296" si="203">SUM(BP291:BP295)</f>
        <v>90390</v>
      </c>
      <c r="BQ296" s="466">
        <f t="shared" si="203"/>
        <v>88188.847576</v>
      </c>
      <c r="BR296" s="466">
        <f t="shared" si="203"/>
        <v>83055.076051759999</v>
      </c>
      <c r="BS296" s="466">
        <f t="shared" si="203"/>
        <v>80949.966812277606</v>
      </c>
      <c r="BT296" s="466">
        <f t="shared" si="203"/>
        <v>78276.406480400386</v>
      </c>
      <c r="BU296" s="466">
        <f t="shared" si="203"/>
        <v>76606.110545204385</v>
      </c>
      <c r="BV296" s="365"/>
      <c r="BW296" s="305"/>
      <c r="BX296" s="451"/>
      <c r="BY296" s="459"/>
      <c r="BZ296" s="459"/>
    </row>
    <row r="297" spans="2:78" x14ac:dyDescent="0.25">
      <c r="B297" s="223" t="s">
        <v>107</v>
      </c>
      <c r="C297" s="224"/>
      <c r="D297" s="224"/>
      <c r="E297" s="224"/>
      <c r="F297" s="224"/>
      <c r="G297" s="224"/>
      <c r="H297" s="154"/>
      <c r="I297" s="225"/>
      <c r="J297" s="225"/>
      <c r="K297" s="225"/>
      <c r="L297" s="225"/>
      <c r="M297" s="225"/>
      <c r="N297" s="154"/>
      <c r="O297" s="225"/>
      <c r="P297" s="225"/>
      <c r="Q297" s="225"/>
      <c r="R297" s="225"/>
      <c r="S297" s="225"/>
      <c r="T297" s="154"/>
      <c r="U297" s="225"/>
      <c r="V297" s="225"/>
      <c r="W297" s="225"/>
      <c r="X297" s="225"/>
      <c r="Y297" s="225"/>
      <c r="Z297" s="154"/>
      <c r="AA297" s="225"/>
      <c r="AB297" s="225"/>
      <c r="AC297" s="225"/>
      <c r="AD297" s="225"/>
      <c r="AE297" s="225"/>
      <c r="AF297" s="154"/>
      <c r="AG297" s="225"/>
      <c r="AH297" s="225"/>
      <c r="AI297" s="225"/>
      <c r="AJ297" s="225"/>
      <c r="AK297" s="225"/>
      <c r="AL297" s="154"/>
      <c r="AM297" s="225"/>
      <c r="AN297" s="225"/>
      <c r="AO297" s="225"/>
      <c r="AP297" s="225"/>
      <c r="AQ297" s="225"/>
      <c r="AR297" s="154"/>
      <c r="AS297" s="225"/>
      <c r="AT297" s="225"/>
      <c r="AU297" s="225"/>
      <c r="AV297" s="225"/>
      <c r="AW297" s="225"/>
      <c r="AX297" s="154"/>
      <c r="AY297" s="225"/>
      <c r="AZ297" s="225"/>
      <c r="BA297" s="225"/>
      <c r="BB297" s="225"/>
      <c r="BC297" s="225"/>
      <c r="BD297" s="154"/>
      <c r="BE297" s="225"/>
      <c r="BF297" s="225"/>
      <c r="BG297" s="225"/>
      <c r="BH297" s="225"/>
      <c r="BI297" s="225"/>
      <c r="BJ297" s="154"/>
      <c r="BK297" s="225"/>
      <c r="BL297" s="225"/>
      <c r="BM297" s="225"/>
      <c r="BN297" s="225"/>
      <c r="BO297" s="225"/>
      <c r="BP297" s="154"/>
      <c r="BQ297" s="225"/>
      <c r="BR297" s="225"/>
      <c r="BS297" s="225"/>
      <c r="BT297" s="225"/>
      <c r="BU297" s="225"/>
      <c r="BV297" s="365"/>
      <c r="BW297" s="305"/>
      <c r="BX297" s="451"/>
      <c r="BY297" s="459"/>
      <c r="BZ297" s="459"/>
    </row>
    <row r="298" spans="2:78" x14ac:dyDescent="0.25">
      <c r="B298" t="s">
        <v>108</v>
      </c>
      <c r="C298" s="1"/>
      <c r="D298" s="1"/>
      <c r="E298" s="1"/>
      <c r="F298" s="1"/>
      <c r="G298" s="1"/>
      <c r="H298" s="89" t="s">
        <v>12</v>
      </c>
      <c r="I298" s="55"/>
      <c r="J298" s="55"/>
      <c r="K298" s="56"/>
      <c r="L298" s="55"/>
      <c r="M298" s="55"/>
      <c r="N298" s="89" t="s">
        <v>12</v>
      </c>
      <c r="O298" s="55"/>
      <c r="P298" s="55"/>
      <c r="Q298" s="56"/>
      <c r="R298" s="55"/>
      <c r="S298" s="55"/>
      <c r="T298" s="89" t="s">
        <v>12</v>
      </c>
      <c r="U298" s="55"/>
      <c r="V298" s="55"/>
      <c r="W298" s="56"/>
      <c r="X298" s="55"/>
      <c r="Y298" s="55"/>
      <c r="Z298" s="89">
        <v>60</v>
      </c>
      <c r="AA298" s="55"/>
      <c r="AB298" s="55"/>
      <c r="AC298" s="56"/>
      <c r="AD298" s="55"/>
      <c r="AE298" s="55"/>
      <c r="AF298" s="100">
        <v>3385</v>
      </c>
      <c r="AG298" s="207"/>
      <c r="AH298" s="207"/>
      <c r="AI298" s="208"/>
      <c r="AJ298" s="207"/>
      <c r="AK298" s="207"/>
      <c r="AL298" s="100">
        <v>2850</v>
      </c>
      <c r="AM298" s="207"/>
      <c r="AN298" s="207"/>
      <c r="AO298" s="208"/>
      <c r="AP298" s="207"/>
      <c r="AQ298" s="207"/>
      <c r="AR298" s="100">
        <v>3440</v>
      </c>
      <c r="AS298" s="207"/>
      <c r="AT298" s="207"/>
      <c r="AU298" s="208"/>
      <c r="AV298" s="207"/>
      <c r="AW298" s="207"/>
      <c r="AX298" s="100">
        <v>3577</v>
      </c>
      <c r="AY298" s="207"/>
      <c r="AZ298" s="207"/>
      <c r="BA298" s="208"/>
      <c r="BB298" s="207"/>
      <c r="BC298" s="207"/>
      <c r="BD298" s="100">
        <v>3808</v>
      </c>
      <c r="BE298" s="207"/>
      <c r="BF298" s="207"/>
      <c r="BG298" s="208"/>
      <c r="BH298" s="207"/>
      <c r="BI298" s="207"/>
      <c r="BJ298" s="100">
        <v>4349</v>
      </c>
      <c r="BK298" s="207"/>
      <c r="BL298" s="207"/>
      <c r="BM298" s="208"/>
      <c r="BN298" s="207"/>
      <c r="BO298" s="207"/>
      <c r="BP298" s="100">
        <v>6846</v>
      </c>
      <c r="BQ298" s="378">
        <f>BQ266*1.11*0.22</f>
        <v>7582.3416240000006</v>
      </c>
      <c r="BR298" s="378">
        <f>BR266*1.11*0.22</f>
        <v>8390.7650402400013</v>
      </c>
      <c r="BS298" s="378">
        <f>BS266*1.11*0.22</f>
        <v>9207.2726906424014</v>
      </c>
      <c r="BT298" s="378">
        <f>BT266*1.11*0.22</f>
        <v>9299.3454175488241</v>
      </c>
      <c r="BU298" s="378">
        <f>BU266*1.11*0.22</f>
        <v>9392.3388717243142</v>
      </c>
      <c r="BV298" s="365"/>
      <c r="BW298" s="305"/>
      <c r="BX298" s="451"/>
      <c r="BY298" s="459"/>
      <c r="BZ298" s="459"/>
    </row>
    <row r="299" spans="2:78" x14ac:dyDescent="0.25">
      <c r="B299" t="s">
        <v>109</v>
      </c>
      <c r="C299" s="1"/>
      <c r="D299" s="1"/>
      <c r="E299" s="1"/>
      <c r="F299" s="1"/>
      <c r="G299" s="1"/>
      <c r="H299" s="80">
        <v>313</v>
      </c>
      <c r="I299" s="55"/>
      <c r="J299" s="55"/>
      <c r="K299" s="56"/>
      <c r="L299" s="55"/>
      <c r="M299" s="55"/>
      <c r="N299" s="80">
        <v>1358</v>
      </c>
      <c r="O299" s="55"/>
      <c r="P299" s="55"/>
      <c r="Q299" s="56"/>
      <c r="R299" s="55"/>
      <c r="S299" s="55"/>
      <c r="T299" s="89">
        <v>495</v>
      </c>
      <c r="U299" s="55"/>
      <c r="V299" s="55"/>
      <c r="W299" s="56"/>
      <c r="X299" s="55"/>
      <c r="Y299" s="55"/>
      <c r="Z299" s="89">
        <v>485</v>
      </c>
      <c r="AA299" s="55"/>
      <c r="AB299" s="55"/>
      <c r="AC299" s="56"/>
      <c r="AD299" s="55"/>
      <c r="AE299" s="55"/>
      <c r="AF299" s="100">
        <v>1520</v>
      </c>
      <c r="AG299" s="207"/>
      <c r="AH299" s="207"/>
      <c r="AI299" s="208"/>
      <c r="AJ299" s="207"/>
      <c r="AK299" s="207"/>
      <c r="AL299" s="100">
        <v>1185</v>
      </c>
      <c r="AM299" s="207"/>
      <c r="AN299" s="207"/>
      <c r="AO299" s="208"/>
      <c r="AP299" s="207"/>
      <c r="AQ299" s="207"/>
      <c r="AR299" s="100">
        <v>4472</v>
      </c>
      <c r="AS299" s="207"/>
      <c r="AT299" s="207"/>
      <c r="AU299" s="208"/>
      <c r="AV299" s="207"/>
      <c r="AW299" s="207"/>
      <c r="AX299" s="100">
        <v>814</v>
      </c>
      <c r="AY299" s="207"/>
      <c r="AZ299" s="207"/>
      <c r="BA299" s="208"/>
      <c r="BB299" s="207"/>
      <c r="BC299" s="207"/>
      <c r="BD299" s="100">
        <v>2139</v>
      </c>
      <c r="BE299" s="207"/>
      <c r="BF299" s="207"/>
      <c r="BG299" s="208"/>
      <c r="BH299" s="207"/>
      <c r="BI299" s="207"/>
      <c r="BJ299" s="100">
        <v>292</v>
      </c>
      <c r="BK299" s="207"/>
      <c r="BL299" s="207"/>
      <c r="BM299" s="208"/>
      <c r="BN299" s="207"/>
      <c r="BO299" s="207"/>
      <c r="BP299" s="100">
        <v>10055</v>
      </c>
      <c r="BQ299" s="378">
        <f>BP299</f>
        <v>10055</v>
      </c>
      <c r="BR299" s="378">
        <f>BP299</f>
        <v>10055</v>
      </c>
      <c r="BS299" s="378">
        <f>BP299</f>
        <v>10055</v>
      </c>
      <c r="BT299" s="378">
        <f>BP299</f>
        <v>10055</v>
      </c>
      <c r="BU299" s="378">
        <f>BP299</f>
        <v>10055</v>
      </c>
      <c r="BV299" s="365"/>
      <c r="BW299" s="305"/>
      <c r="BX299" s="451"/>
      <c r="BY299" s="459"/>
      <c r="BZ299" s="459"/>
    </row>
    <row r="300" spans="2:78" x14ac:dyDescent="0.25">
      <c r="B300" t="s">
        <v>110</v>
      </c>
      <c r="C300" s="1"/>
      <c r="D300" s="1"/>
      <c r="E300" s="1"/>
      <c r="F300" s="1"/>
      <c r="G300" s="1"/>
      <c r="H300" s="80">
        <v>4997</v>
      </c>
      <c r="I300" s="55"/>
      <c r="J300" s="55"/>
      <c r="K300" s="56"/>
      <c r="L300" s="55"/>
      <c r="M300" s="55"/>
      <c r="N300" s="80">
        <v>7010</v>
      </c>
      <c r="O300" s="55"/>
      <c r="P300" s="55"/>
      <c r="Q300" s="56"/>
      <c r="R300" s="55"/>
      <c r="S300" s="55"/>
      <c r="T300" s="100">
        <v>7477</v>
      </c>
      <c r="U300" s="207"/>
      <c r="V300" s="207"/>
      <c r="W300" s="208"/>
      <c r="X300" s="207"/>
      <c r="Y300" s="207"/>
      <c r="Z300" s="100">
        <v>7646</v>
      </c>
      <c r="AA300" s="207"/>
      <c r="AB300" s="207"/>
      <c r="AC300" s="208"/>
      <c r="AD300" s="207"/>
      <c r="AE300" s="207"/>
      <c r="AF300" s="100">
        <v>9783</v>
      </c>
      <c r="AG300" s="207"/>
      <c r="AH300" s="207"/>
      <c r="AI300" s="208"/>
      <c r="AJ300" s="207"/>
      <c r="AK300" s="207"/>
      <c r="AL300" s="100">
        <v>9926</v>
      </c>
      <c r="AM300" s="207"/>
      <c r="AN300" s="207"/>
      <c r="AO300" s="208"/>
      <c r="AP300" s="207"/>
      <c r="AQ300" s="207"/>
      <c r="AR300" s="100">
        <v>17040</v>
      </c>
      <c r="AS300" s="207"/>
      <c r="AT300" s="207"/>
      <c r="AU300" s="208"/>
      <c r="AV300" s="207"/>
      <c r="AW300" s="207"/>
      <c r="AX300" s="100">
        <v>14992</v>
      </c>
      <c r="AY300" s="207"/>
      <c r="AZ300" s="207"/>
      <c r="BA300" s="208"/>
      <c r="BB300" s="207"/>
      <c r="BC300" s="207"/>
      <c r="BD300" s="100">
        <v>13111</v>
      </c>
      <c r="BE300" s="207"/>
      <c r="BF300" s="207"/>
      <c r="BG300" s="208"/>
      <c r="BH300" s="207"/>
      <c r="BI300" s="207"/>
      <c r="BJ300" s="100">
        <v>14456</v>
      </c>
      <c r="BK300" s="207"/>
      <c r="BL300" s="207"/>
      <c r="BM300" s="208"/>
      <c r="BN300" s="207"/>
      <c r="BO300" s="207"/>
      <c r="BP300" s="100">
        <v>23493</v>
      </c>
      <c r="BQ300" s="378">
        <f>BQ314*BQ147*0.649/365</f>
        <v>25669.197751823955</v>
      </c>
      <c r="BR300" s="378">
        <f>BR314*BR147*0.649/365</f>
        <v>27006.506147068758</v>
      </c>
      <c r="BS300" s="378">
        <f>BS314*BS147*0.649/365</f>
        <v>28219.943058394885</v>
      </c>
      <c r="BT300" s="378">
        <f>BT314*BT147*0.649/365</f>
        <v>29333.421407770049</v>
      </c>
      <c r="BU300" s="378">
        <f>BU314*BU147*0.649/365</f>
        <v>30497.435280505924</v>
      </c>
      <c r="BV300" s="400" t="s">
        <v>358</v>
      </c>
      <c r="BW300" s="289"/>
      <c r="BX300" s="451"/>
      <c r="BY300" s="459"/>
      <c r="BZ300" s="459"/>
    </row>
    <row r="301" spans="2:78" x14ac:dyDescent="0.25">
      <c r="B301" t="s">
        <v>111</v>
      </c>
      <c r="C301" s="1"/>
      <c r="D301" s="1"/>
      <c r="E301" s="1"/>
      <c r="F301" s="1"/>
      <c r="G301" s="1"/>
      <c r="H301" s="80">
        <v>1451</v>
      </c>
      <c r="I301" s="55"/>
      <c r="J301" s="55"/>
      <c r="K301" s="56"/>
      <c r="L301" s="55"/>
      <c r="M301" s="55"/>
      <c r="N301" s="80">
        <v>2435</v>
      </c>
      <c r="O301" s="55"/>
      <c r="P301" s="55"/>
      <c r="Q301" s="56"/>
      <c r="R301" s="55"/>
      <c r="S301" s="55"/>
      <c r="T301" s="100">
        <v>2539</v>
      </c>
      <c r="U301" s="207"/>
      <c r="V301" s="207"/>
      <c r="W301" s="208"/>
      <c r="X301" s="207"/>
      <c r="Y301" s="207"/>
      <c r="Z301" s="100">
        <v>2813</v>
      </c>
      <c r="AA301" s="207"/>
      <c r="AB301" s="207"/>
      <c r="AC301" s="208"/>
      <c r="AD301" s="207"/>
      <c r="AE301" s="207"/>
      <c r="AF301" s="100">
        <v>5330</v>
      </c>
      <c r="AG301" s="207"/>
      <c r="AH301" s="207"/>
      <c r="AI301" s="208"/>
      <c r="AJ301" s="207"/>
      <c r="AK301" s="207"/>
      <c r="AL301" s="100">
        <v>5913</v>
      </c>
      <c r="AM301" s="207"/>
      <c r="AN301" s="207"/>
      <c r="AO301" s="208"/>
      <c r="AP301" s="207"/>
      <c r="AQ301" s="207"/>
      <c r="AR301" s="100">
        <v>13289</v>
      </c>
      <c r="AS301" s="207"/>
      <c r="AT301" s="207"/>
      <c r="AU301" s="208"/>
      <c r="AV301" s="207"/>
      <c r="AW301" s="207"/>
      <c r="AX301" s="100">
        <v>12085</v>
      </c>
      <c r="AY301" s="207"/>
      <c r="AZ301" s="207"/>
      <c r="BA301" s="208"/>
      <c r="BB301" s="207"/>
      <c r="BC301" s="207"/>
      <c r="BD301" s="100">
        <v>7920</v>
      </c>
      <c r="BE301" s="207"/>
      <c r="BF301" s="207"/>
      <c r="BG301" s="208"/>
      <c r="BH301" s="207"/>
      <c r="BI301" s="207"/>
      <c r="BJ301" s="100">
        <v>8063</v>
      </c>
      <c r="BK301" s="207"/>
      <c r="BL301" s="207"/>
      <c r="BM301" s="208"/>
      <c r="BN301" s="207"/>
      <c r="BO301" s="207"/>
      <c r="BP301" s="100">
        <v>12726</v>
      </c>
      <c r="BQ301" s="378">
        <f>BQ314*BQ147*0.351/365</f>
        <v>13882.724824175973</v>
      </c>
      <c r="BR301" s="378">
        <f>BR314*BR147*0.351/365</f>
        <v>14605.984064131177</v>
      </c>
      <c r="BS301" s="378">
        <f>BS314*BS147*0.351/365</f>
        <v>15262.249635587987</v>
      </c>
      <c r="BT301" s="378">
        <f>BT314*BT147*0.351/365</f>
        <v>15864.454413139116</v>
      </c>
      <c r="BU301" s="378">
        <f>BU314*BU147*0.351/365</f>
        <v>16493.990421352202</v>
      </c>
      <c r="BV301" s="365"/>
      <c r="BW301" s="305"/>
      <c r="BX301" s="451"/>
      <c r="BY301" s="459"/>
      <c r="BZ301" s="459"/>
    </row>
    <row r="302" spans="2:78" x14ac:dyDescent="0.25">
      <c r="B302" t="s">
        <v>112</v>
      </c>
      <c r="C302" s="1"/>
      <c r="D302" s="1"/>
      <c r="E302" s="1"/>
      <c r="F302" s="1"/>
      <c r="G302" s="1"/>
      <c r="H302" s="80">
        <v>270</v>
      </c>
      <c r="I302" s="55"/>
      <c r="J302" s="55"/>
      <c r="K302" s="56"/>
      <c r="L302" s="55"/>
      <c r="M302" s="55"/>
      <c r="N302" s="80">
        <v>462</v>
      </c>
      <c r="O302" s="55"/>
      <c r="P302" s="55"/>
      <c r="Q302" s="56"/>
      <c r="R302" s="55"/>
      <c r="S302" s="55"/>
      <c r="T302" s="100">
        <v>383</v>
      </c>
      <c r="U302" s="207"/>
      <c r="V302" s="207"/>
      <c r="W302" s="208"/>
      <c r="X302" s="207"/>
      <c r="Y302" s="207"/>
      <c r="Z302" s="100">
        <v>412</v>
      </c>
      <c r="AA302" s="207"/>
      <c r="AB302" s="207"/>
      <c r="AC302" s="208"/>
      <c r="AD302" s="207"/>
      <c r="AE302" s="207"/>
      <c r="AF302" s="100">
        <v>1157</v>
      </c>
      <c r="AG302" s="207"/>
      <c r="AH302" s="207"/>
      <c r="AI302" s="208"/>
      <c r="AJ302" s="207"/>
      <c r="AK302" s="207"/>
      <c r="AL302" s="100">
        <v>1525</v>
      </c>
      <c r="AM302" s="207"/>
      <c r="AN302" s="207"/>
      <c r="AO302" s="208"/>
      <c r="AP302" s="207"/>
      <c r="AQ302" s="207"/>
      <c r="AR302" s="100">
        <v>1841</v>
      </c>
      <c r="AS302" s="207"/>
      <c r="AT302" s="207"/>
      <c r="AU302" s="208"/>
      <c r="AV302" s="207"/>
      <c r="AW302" s="207"/>
      <c r="AX302" s="100">
        <v>2407</v>
      </c>
      <c r="AY302" s="207"/>
      <c r="AZ302" s="207"/>
      <c r="BA302" s="208"/>
      <c r="BB302" s="207"/>
      <c r="BC302" s="207"/>
      <c r="BD302" s="100">
        <v>1967</v>
      </c>
      <c r="BE302" s="207"/>
      <c r="BF302" s="207"/>
      <c r="BG302" s="208"/>
      <c r="BH302" s="207"/>
      <c r="BI302" s="207"/>
      <c r="BJ302" s="100">
        <v>1503</v>
      </c>
      <c r="BK302" s="207"/>
      <c r="BL302" s="207"/>
      <c r="BM302" s="208"/>
      <c r="BN302" s="207"/>
      <c r="BO302" s="207"/>
      <c r="BP302" s="100">
        <v>6489</v>
      </c>
      <c r="BQ302" s="378">
        <f>BQ333*BQ146</f>
        <v>6808.2979999999898</v>
      </c>
      <c r="BR302" s="378">
        <f>BR333*BR146</f>
        <v>6338.9518133333231</v>
      </c>
      <c r="BS302" s="378">
        <f>BS333*BS146</f>
        <v>5751.3250509173249</v>
      </c>
      <c r="BT302" s="378">
        <f>BT333*BT146</f>
        <v>5352.7591772319938</v>
      </c>
      <c r="BU302" s="378">
        <f>BU333*BU146</f>
        <v>4912.8333491361536</v>
      </c>
      <c r="BV302" s="365"/>
      <c r="BW302" s="305"/>
      <c r="BX302" s="451"/>
      <c r="BY302" s="459"/>
      <c r="BZ302" s="459"/>
    </row>
    <row r="303" spans="2:78" x14ac:dyDescent="0.25">
      <c r="B303" t="s">
        <v>113</v>
      </c>
      <c r="C303" s="1"/>
      <c r="D303" s="1"/>
      <c r="E303" s="1"/>
      <c r="F303" s="1"/>
      <c r="G303" s="1"/>
      <c r="H303" s="80">
        <v>2347</v>
      </c>
      <c r="I303" s="55"/>
      <c r="J303" s="55"/>
      <c r="K303" s="56"/>
      <c r="L303" s="55"/>
      <c r="M303" s="55"/>
      <c r="N303" s="80">
        <v>3879</v>
      </c>
      <c r="O303" s="55"/>
      <c r="P303" s="55"/>
      <c r="Q303" s="56"/>
      <c r="R303" s="55"/>
      <c r="S303" s="55"/>
      <c r="T303" s="100">
        <v>3953</v>
      </c>
      <c r="U303" s="207"/>
      <c r="V303" s="207"/>
      <c r="W303" s="208"/>
      <c r="X303" s="207"/>
      <c r="Y303" s="207"/>
      <c r="Z303" s="100">
        <v>4087</v>
      </c>
      <c r="AA303" s="207"/>
      <c r="AB303" s="207"/>
      <c r="AC303" s="208"/>
      <c r="AD303" s="207"/>
      <c r="AE303" s="207"/>
      <c r="AF303" s="100">
        <v>7201</v>
      </c>
      <c r="AG303" s="207"/>
      <c r="AH303" s="207"/>
      <c r="AI303" s="208"/>
      <c r="AJ303" s="207"/>
      <c r="AK303" s="207"/>
      <c r="AL303" s="100">
        <v>6316</v>
      </c>
      <c r="AM303" s="207"/>
      <c r="AN303" s="207"/>
      <c r="AO303" s="208"/>
      <c r="AP303" s="207"/>
      <c r="AQ303" s="207"/>
      <c r="AR303" s="100">
        <v>10257</v>
      </c>
      <c r="AS303" s="207"/>
      <c r="AT303" s="207"/>
      <c r="AU303" s="208"/>
      <c r="AV303" s="207"/>
      <c r="AW303" s="207"/>
      <c r="AX303" s="100">
        <v>9640</v>
      </c>
      <c r="AY303" s="207"/>
      <c r="AZ303" s="207"/>
      <c r="BA303" s="208"/>
      <c r="BB303" s="207"/>
      <c r="BC303" s="207"/>
      <c r="BD303" s="100">
        <v>8138</v>
      </c>
      <c r="BE303" s="207"/>
      <c r="BF303" s="207"/>
      <c r="BG303" s="208"/>
      <c r="BH303" s="207"/>
      <c r="BI303" s="207"/>
      <c r="BJ303" s="100">
        <v>8696</v>
      </c>
      <c r="BK303" s="207"/>
      <c r="BL303" s="207"/>
      <c r="BM303" s="208"/>
      <c r="BN303" s="207"/>
      <c r="BO303" s="207"/>
      <c r="BP303" s="100">
        <v>19115</v>
      </c>
      <c r="BQ303" s="378">
        <f>BQ332*BQ146</f>
        <v>21051.257415999964</v>
      </c>
      <c r="BR303" s="378">
        <f>BR332*BR146</f>
        <v>21610.062999999966</v>
      </c>
      <c r="BS303" s="378">
        <f>BS332*BS146</f>
        <v>21945.845589026634</v>
      </c>
      <c r="BT303" s="378">
        <f>BT332*BT146</f>
        <v>22040.773082719974</v>
      </c>
      <c r="BU303" s="378">
        <f>BU332*BU146</f>
        <v>22271.511182750568</v>
      </c>
      <c r="BV303" s="365"/>
      <c r="BW303" s="305"/>
      <c r="BX303" s="451"/>
      <c r="BY303" s="459"/>
      <c r="BZ303" s="459"/>
    </row>
    <row r="304" spans="2:78" x14ac:dyDescent="0.25">
      <c r="B304" t="s">
        <v>114</v>
      </c>
      <c r="C304" s="1"/>
      <c r="D304" s="1"/>
      <c r="E304" s="1"/>
      <c r="F304" s="1"/>
      <c r="G304" s="1"/>
      <c r="H304" s="80">
        <v>290</v>
      </c>
      <c r="I304" s="55"/>
      <c r="J304" s="55"/>
      <c r="K304" s="56"/>
      <c r="L304" s="55"/>
      <c r="M304" s="55"/>
      <c r="N304" s="80">
        <v>609</v>
      </c>
      <c r="O304" s="55"/>
      <c r="P304" s="55"/>
      <c r="Q304" s="56"/>
      <c r="R304" s="55"/>
      <c r="S304" s="55"/>
      <c r="T304" s="89">
        <v>329</v>
      </c>
      <c r="U304" s="55"/>
      <c r="V304" s="55"/>
      <c r="W304" s="56"/>
      <c r="X304" s="55"/>
      <c r="Y304" s="55"/>
      <c r="Z304" s="89">
        <v>454</v>
      </c>
      <c r="AA304" s="55"/>
      <c r="AB304" s="55"/>
      <c r="AC304" s="56"/>
      <c r="AD304" s="55"/>
      <c r="AE304" s="55"/>
      <c r="AF304" s="89">
        <v>940</v>
      </c>
      <c r="AG304" s="55"/>
      <c r="AH304" s="55"/>
      <c r="AI304" s="56"/>
      <c r="AJ304" s="55"/>
      <c r="AK304" s="55"/>
      <c r="AL304" s="100">
        <v>1399</v>
      </c>
      <c r="AM304" s="207"/>
      <c r="AN304" s="207"/>
      <c r="AO304" s="208"/>
      <c r="AP304" s="207"/>
      <c r="AQ304" s="207"/>
      <c r="AR304" s="100">
        <v>3074</v>
      </c>
      <c r="AS304" s="207"/>
      <c r="AT304" s="207"/>
      <c r="AU304" s="208"/>
      <c r="AV304" s="207"/>
      <c r="AW304" s="207"/>
      <c r="AX304" s="100">
        <v>3254</v>
      </c>
      <c r="AY304" s="207"/>
      <c r="AZ304" s="207"/>
      <c r="BA304" s="208"/>
      <c r="BB304" s="207"/>
      <c r="BC304" s="207"/>
      <c r="BD304" s="100">
        <v>1256</v>
      </c>
      <c r="BE304" s="207"/>
      <c r="BF304" s="207"/>
      <c r="BG304" s="208"/>
      <c r="BH304" s="207"/>
      <c r="BI304" s="207"/>
      <c r="BJ304" s="100">
        <v>1855</v>
      </c>
      <c r="BK304" s="207"/>
      <c r="BL304" s="207"/>
      <c r="BM304" s="208"/>
      <c r="BN304" s="207"/>
      <c r="BO304" s="207"/>
      <c r="BP304" s="100">
        <v>3569</v>
      </c>
      <c r="BQ304" s="378">
        <f>BQ334*BQ146</f>
        <v>3921.579647999994</v>
      </c>
      <c r="BR304" s="378">
        <f>BR334*BR146</f>
        <v>4149.132095999993</v>
      </c>
      <c r="BS304" s="378">
        <f>BS334*BS146</f>
        <v>4358.8989859583935</v>
      </c>
      <c r="BT304" s="378">
        <f>BT334*BT146</f>
        <v>4534.1018913023936</v>
      </c>
      <c r="BU304" s="378">
        <f>BU334*BU146</f>
        <v>4716.3200151707078</v>
      </c>
      <c r="BV304" s="365"/>
      <c r="BW304" s="305"/>
      <c r="BX304" s="451"/>
      <c r="BY304" s="459"/>
      <c r="BZ304" s="459"/>
    </row>
    <row r="305" spans="2:78" x14ac:dyDescent="0.25">
      <c r="B305" t="s">
        <v>115</v>
      </c>
      <c r="C305" s="1"/>
      <c r="D305" s="1"/>
      <c r="E305" s="1"/>
      <c r="F305" s="1"/>
      <c r="G305" s="1"/>
      <c r="H305" s="89" t="s">
        <v>12</v>
      </c>
      <c r="I305" s="55"/>
      <c r="J305" s="55"/>
      <c r="K305" s="56"/>
      <c r="L305" s="55"/>
      <c r="M305" s="55"/>
      <c r="N305" s="89" t="s">
        <v>12</v>
      </c>
      <c r="O305" s="55"/>
      <c r="P305" s="55"/>
      <c r="Q305" s="56"/>
      <c r="R305" s="55"/>
      <c r="S305" s="55"/>
      <c r="T305" s="89" t="s">
        <v>12</v>
      </c>
      <c r="U305" s="55"/>
      <c r="V305" s="55"/>
      <c r="W305" s="56"/>
      <c r="X305" s="55"/>
      <c r="Y305" s="55"/>
      <c r="Z305" s="89" t="s">
        <v>12</v>
      </c>
      <c r="AA305" s="55"/>
      <c r="AB305" s="55"/>
      <c r="AC305" s="56"/>
      <c r="AD305" s="55"/>
      <c r="AE305" s="55"/>
      <c r="AF305" s="89" t="s">
        <v>12</v>
      </c>
      <c r="AG305" s="55"/>
      <c r="AH305" s="55"/>
      <c r="AI305" s="56"/>
      <c r="AJ305" s="55"/>
      <c r="AK305" s="55"/>
      <c r="AL305" s="89" t="s">
        <v>12</v>
      </c>
      <c r="AM305" s="55"/>
      <c r="AN305" s="55"/>
      <c r="AO305" s="56"/>
      <c r="AP305" s="55"/>
      <c r="AQ305" s="55"/>
      <c r="AR305" s="89" t="s">
        <v>12</v>
      </c>
      <c r="AS305" s="55"/>
      <c r="AT305" s="55"/>
      <c r="AU305" s="56"/>
      <c r="AV305" s="55"/>
      <c r="AW305" s="55"/>
      <c r="AX305" s="89" t="s">
        <v>12</v>
      </c>
      <c r="AY305" s="55"/>
      <c r="AZ305" s="55"/>
      <c r="BA305" s="56"/>
      <c r="BB305" s="55"/>
      <c r="BC305" s="55"/>
      <c r="BD305" s="89" t="s">
        <v>12</v>
      </c>
      <c r="BE305" s="55"/>
      <c r="BF305" s="55"/>
      <c r="BG305" s="56"/>
      <c r="BH305" s="55"/>
      <c r="BI305" s="55"/>
      <c r="BJ305" s="89" t="s">
        <v>12</v>
      </c>
      <c r="BK305" s="55"/>
      <c r="BL305" s="55"/>
      <c r="BM305" s="56"/>
      <c r="BN305" s="55"/>
      <c r="BO305" s="55"/>
      <c r="BP305" s="89" t="s">
        <v>12</v>
      </c>
      <c r="BQ305" s="467" t="str">
        <f>BP305</f>
        <v>n/a</v>
      </c>
      <c r="BR305" s="467" t="str">
        <f>BP305</f>
        <v>n/a</v>
      </c>
      <c r="BS305" s="467" t="str">
        <f>BP305</f>
        <v>n/a</v>
      </c>
      <c r="BT305" s="467" t="str">
        <f>BP305</f>
        <v>n/a</v>
      </c>
      <c r="BU305" s="467" t="str">
        <f>BP305</f>
        <v>n/a</v>
      </c>
      <c r="BV305" s="365"/>
      <c r="BW305" s="305"/>
      <c r="BX305" s="451"/>
      <c r="BY305" s="459"/>
      <c r="BZ305" s="459"/>
    </row>
    <row r="306" spans="2:78" x14ac:dyDescent="0.25">
      <c r="B306" s="3" t="s">
        <v>116</v>
      </c>
      <c r="C306" s="16"/>
      <c r="D306" s="16"/>
      <c r="E306" s="16"/>
      <c r="F306" s="16"/>
      <c r="G306" s="16"/>
      <c r="H306" s="232">
        <f>SUM(H298:H305)</f>
        <v>9668</v>
      </c>
      <c r="I306" s="233"/>
      <c r="J306" s="233"/>
      <c r="K306" s="234"/>
      <c r="L306" s="233"/>
      <c r="M306" s="233"/>
      <c r="N306" s="232">
        <f>SUM(N298:N305)</f>
        <v>15753</v>
      </c>
      <c r="O306" s="235"/>
      <c r="P306" s="235"/>
      <c r="Q306" s="236"/>
      <c r="R306" s="235"/>
      <c r="S306" s="235"/>
      <c r="T306" s="237">
        <f>SUM(T298:T305)</f>
        <v>15176</v>
      </c>
      <c r="U306" s="238"/>
      <c r="V306" s="238"/>
      <c r="W306" s="239"/>
      <c r="X306" s="238"/>
      <c r="Y306" s="238"/>
      <c r="Z306" s="237">
        <f>SUM(Z298:Z305)</f>
        <v>15957</v>
      </c>
      <c r="AA306" s="238"/>
      <c r="AB306" s="238"/>
      <c r="AC306" s="239"/>
      <c r="AD306" s="238"/>
      <c r="AE306" s="238"/>
      <c r="AF306" s="237">
        <f>SUM(AF298:AF305)</f>
        <v>29316</v>
      </c>
      <c r="AG306" s="238"/>
      <c r="AH306" s="238"/>
      <c r="AI306" s="239"/>
      <c r="AJ306" s="238"/>
      <c r="AK306" s="238"/>
      <c r="AL306" s="237">
        <f>SUM(AL298:AL305)</f>
        <v>29114</v>
      </c>
      <c r="AM306" s="238"/>
      <c r="AN306" s="238"/>
      <c r="AO306" s="239"/>
      <c r="AP306" s="238"/>
      <c r="AQ306" s="238"/>
      <c r="AR306" s="237">
        <f>SUM(AR298:AR305)</f>
        <v>53413</v>
      </c>
      <c r="AS306" s="238"/>
      <c r="AT306" s="238"/>
      <c r="AU306" s="239"/>
      <c r="AV306" s="238"/>
      <c r="AW306" s="238"/>
      <c r="AX306" s="237">
        <f>SUM(AX298:AX305)</f>
        <v>46769</v>
      </c>
      <c r="AY306" s="238"/>
      <c r="AZ306" s="238"/>
      <c r="BA306" s="239"/>
      <c r="BB306" s="238"/>
      <c r="BC306" s="238"/>
      <c r="BD306" s="237">
        <f>SUM(BD298:BD305)</f>
        <v>38339</v>
      </c>
      <c r="BE306" s="238"/>
      <c r="BF306" s="238"/>
      <c r="BG306" s="239"/>
      <c r="BH306" s="238"/>
      <c r="BI306" s="238"/>
      <c r="BJ306" s="237">
        <f>SUM(BJ298:BJ305)</f>
        <v>39214</v>
      </c>
      <c r="BK306" s="238"/>
      <c r="BL306" s="238"/>
      <c r="BM306" s="239"/>
      <c r="BN306" s="238"/>
      <c r="BO306" s="238"/>
      <c r="BP306" s="237">
        <f t="shared" ref="BP306:BU306" si="204">SUM(BP298:BP305)</f>
        <v>82293</v>
      </c>
      <c r="BQ306" s="466">
        <f t="shared" si="204"/>
        <v>88970.399263999876</v>
      </c>
      <c r="BR306" s="466">
        <f t="shared" si="204"/>
        <v>92156.402160773214</v>
      </c>
      <c r="BS306" s="466">
        <f t="shared" si="204"/>
        <v>94800.53501052763</v>
      </c>
      <c r="BT306" s="466">
        <f t="shared" si="204"/>
        <v>96479.855389712349</v>
      </c>
      <c r="BU306" s="466">
        <f t="shared" si="204"/>
        <v>98339.429120639878</v>
      </c>
      <c r="BV306" s="365"/>
      <c r="BW306" s="305"/>
      <c r="BX306" s="451"/>
      <c r="BY306" s="459"/>
      <c r="BZ306" s="459"/>
    </row>
    <row r="307" spans="2:78" x14ac:dyDescent="0.25">
      <c r="B307" s="139" t="s">
        <v>117</v>
      </c>
      <c r="C307" s="140"/>
      <c r="D307" s="140"/>
      <c r="E307" s="140"/>
      <c r="F307" s="140"/>
      <c r="G307" s="140"/>
      <c r="H307" s="352">
        <f>H296+H306</f>
        <v>15884</v>
      </c>
      <c r="I307" s="353"/>
      <c r="J307" s="353"/>
      <c r="K307" s="354"/>
      <c r="L307" s="353"/>
      <c r="M307" s="353"/>
      <c r="N307" s="352">
        <f>N296+N306</f>
        <v>26989</v>
      </c>
      <c r="O307" s="355"/>
      <c r="P307" s="355"/>
      <c r="Q307" s="356"/>
      <c r="R307" s="355"/>
      <c r="S307" s="355"/>
      <c r="T307" s="357">
        <f>T296+T306</f>
        <v>23579</v>
      </c>
      <c r="U307" s="358"/>
      <c r="V307" s="358"/>
      <c r="W307" s="359"/>
      <c r="X307" s="358"/>
      <c r="Y307" s="358"/>
      <c r="Z307" s="357">
        <f>Z296+Z306</f>
        <v>24280</v>
      </c>
      <c r="AA307" s="358"/>
      <c r="AB307" s="358"/>
      <c r="AC307" s="359"/>
      <c r="AD307" s="358"/>
      <c r="AE307" s="358"/>
      <c r="AF307" s="357">
        <f>AF296+AF306</f>
        <v>48238</v>
      </c>
      <c r="AG307" s="358"/>
      <c r="AH307" s="358"/>
      <c r="AI307" s="359"/>
      <c r="AJ307" s="358"/>
      <c r="AK307" s="358"/>
      <c r="AL307" s="357">
        <f>AL296+AL306</f>
        <v>48953</v>
      </c>
      <c r="AM307" s="358"/>
      <c r="AN307" s="358"/>
      <c r="AO307" s="359"/>
      <c r="AP307" s="358"/>
      <c r="AQ307" s="358"/>
      <c r="AR307" s="357">
        <f>AR296+AR306</f>
        <v>87117</v>
      </c>
      <c r="AS307" s="358"/>
      <c r="AT307" s="358"/>
      <c r="AU307" s="359"/>
      <c r="AV307" s="358"/>
      <c r="AW307" s="358"/>
      <c r="AX307" s="357">
        <f>AX296+AX306</f>
        <v>87304</v>
      </c>
      <c r="AY307" s="358"/>
      <c r="AZ307" s="358"/>
      <c r="BA307" s="359"/>
      <c r="BB307" s="358"/>
      <c r="BC307" s="358"/>
      <c r="BD307" s="357">
        <f>BD296+BD306</f>
        <v>78144</v>
      </c>
      <c r="BE307" s="358"/>
      <c r="BF307" s="358"/>
      <c r="BG307" s="359"/>
      <c r="BH307" s="358"/>
      <c r="BI307" s="358"/>
      <c r="BJ307" s="357">
        <f>BJ296+BJ306</f>
        <v>122042</v>
      </c>
      <c r="BK307" s="358"/>
      <c r="BL307" s="358"/>
      <c r="BM307" s="359"/>
      <c r="BN307" s="358"/>
      <c r="BO307" s="358"/>
      <c r="BP307" s="357">
        <f t="shared" ref="BP307:BU307" si="205">BP296+BP306</f>
        <v>172683</v>
      </c>
      <c r="BQ307" s="468">
        <f t="shared" si="205"/>
        <v>177159.24683999986</v>
      </c>
      <c r="BR307" s="469">
        <f t="shared" si="205"/>
        <v>175211.47821253323</v>
      </c>
      <c r="BS307" s="469">
        <f t="shared" si="205"/>
        <v>175750.50182280524</v>
      </c>
      <c r="BT307" s="469">
        <f t="shared" si="205"/>
        <v>174756.26187011274</v>
      </c>
      <c r="BU307" s="469">
        <f t="shared" si="205"/>
        <v>174945.53966584426</v>
      </c>
      <c r="BV307" s="365"/>
      <c r="BW307" s="305"/>
      <c r="BX307" s="451"/>
      <c r="BY307" s="459"/>
      <c r="BZ307" s="459"/>
    </row>
    <row r="308" spans="2:78" ht="16.5" thickBot="1" x14ac:dyDescent="0.3">
      <c r="B308" s="143" t="s">
        <v>118</v>
      </c>
      <c r="C308" s="155"/>
      <c r="D308" s="155"/>
      <c r="E308" s="155"/>
      <c r="F308" s="155"/>
      <c r="G308" s="155"/>
      <c r="H308" s="360">
        <f>H289+H307</f>
        <v>27725</v>
      </c>
      <c r="I308" s="361"/>
      <c r="J308" s="361"/>
      <c r="K308" s="361"/>
      <c r="L308" s="361"/>
      <c r="M308" s="361"/>
      <c r="N308" s="360">
        <f>N289+N307</f>
        <v>40367</v>
      </c>
      <c r="O308" s="361"/>
      <c r="P308" s="361"/>
      <c r="Q308" s="361"/>
      <c r="R308" s="361"/>
      <c r="S308" s="361"/>
      <c r="T308" s="362">
        <f>T289+T307</f>
        <v>38388</v>
      </c>
      <c r="U308" s="363"/>
      <c r="V308" s="363"/>
      <c r="W308" s="363"/>
      <c r="X308" s="363"/>
      <c r="Y308" s="363"/>
      <c r="Z308" s="362">
        <f>Z289+Z307</f>
        <v>38812</v>
      </c>
      <c r="AA308" s="363"/>
      <c r="AB308" s="363"/>
      <c r="AC308" s="363"/>
      <c r="AD308" s="363"/>
      <c r="AE308" s="363"/>
      <c r="AF308" s="362">
        <f>AF289+AF307</f>
        <v>97557</v>
      </c>
      <c r="AG308" s="363"/>
      <c r="AH308" s="363"/>
      <c r="AI308" s="363"/>
      <c r="AJ308" s="363"/>
      <c r="AK308" s="363"/>
      <c r="AL308" s="362">
        <f>AL289+AL307</f>
        <v>96250</v>
      </c>
      <c r="AM308" s="363"/>
      <c r="AN308" s="363"/>
      <c r="AO308" s="363"/>
      <c r="AP308" s="363"/>
      <c r="AQ308" s="363"/>
      <c r="AR308" s="362">
        <f>AR289+AR307</f>
        <v>161395</v>
      </c>
      <c r="AS308" s="363"/>
      <c r="AT308" s="363"/>
      <c r="AU308" s="363"/>
      <c r="AV308" s="363"/>
      <c r="AW308" s="363"/>
      <c r="AX308" s="362">
        <f>AX289+AX307</f>
        <v>159045</v>
      </c>
      <c r="AY308" s="363"/>
      <c r="AZ308" s="363"/>
      <c r="BA308" s="363"/>
      <c r="BB308" s="363"/>
      <c r="BC308" s="363"/>
      <c r="BD308" s="362">
        <f>BD289+BD307</f>
        <v>147110</v>
      </c>
      <c r="BE308" s="363"/>
      <c r="BF308" s="363"/>
      <c r="BG308" s="363"/>
      <c r="BH308" s="363"/>
      <c r="BI308" s="363"/>
      <c r="BJ308" s="362">
        <f>BJ289+BJ307</f>
        <v>236545</v>
      </c>
      <c r="BK308" s="363"/>
      <c r="BL308" s="363"/>
      <c r="BM308" s="363"/>
      <c r="BN308" s="363"/>
      <c r="BO308" s="363"/>
      <c r="BP308" s="362">
        <f t="shared" ref="BP308:BU308" si="206">BP289+BP307</f>
        <v>290373</v>
      </c>
      <c r="BQ308" s="470">
        <f t="shared" si="206"/>
        <v>307618.85943306657</v>
      </c>
      <c r="BR308" s="471">
        <f t="shared" si="206"/>
        <v>321218.39141894388</v>
      </c>
      <c r="BS308" s="471">
        <f t="shared" si="206"/>
        <v>336862.42496821628</v>
      </c>
      <c r="BT308" s="471">
        <f t="shared" si="206"/>
        <v>344956.47798413201</v>
      </c>
      <c r="BU308" s="471">
        <f t="shared" si="206"/>
        <v>353115.11458611459</v>
      </c>
      <c r="BV308" s="365"/>
      <c r="BW308" s="305"/>
      <c r="BX308" s="451"/>
      <c r="BY308" s="459"/>
      <c r="BZ308" s="459"/>
    </row>
    <row r="309" spans="2:78" x14ac:dyDescent="0.25">
      <c r="H309" s="64"/>
      <c r="I309" s="171"/>
      <c r="J309" s="171"/>
      <c r="K309" s="172"/>
      <c r="L309" s="171"/>
      <c r="M309" s="171"/>
      <c r="N309" s="64"/>
      <c r="O309" s="171"/>
      <c r="P309" s="171"/>
      <c r="Q309" s="172"/>
      <c r="R309" s="171"/>
      <c r="S309" s="171"/>
      <c r="T309" s="64"/>
      <c r="U309" s="171"/>
      <c r="V309" s="171"/>
      <c r="W309" s="172"/>
      <c r="X309" s="171"/>
      <c r="Y309" s="171"/>
      <c r="Z309" s="64"/>
      <c r="AA309" s="171"/>
      <c r="AB309" s="171"/>
      <c r="AC309" s="172"/>
      <c r="AD309" s="171"/>
      <c r="AE309" s="171"/>
      <c r="AF309" s="64"/>
      <c r="AG309" s="171"/>
      <c r="AH309" s="171"/>
      <c r="AI309" s="172"/>
      <c r="AJ309" s="171"/>
      <c r="AK309" s="171"/>
      <c r="AL309" s="64"/>
      <c r="AM309" s="171"/>
      <c r="AN309" s="171"/>
      <c r="AO309" s="172"/>
      <c r="AP309" s="171"/>
      <c r="AQ309" s="171"/>
      <c r="AR309" s="64"/>
      <c r="AS309" s="171"/>
      <c r="AT309" s="171"/>
      <c r="AU309" s="172"/>
      <c r="AV309" s="171"/>
      <c r="AW309" s="171"/>
      <c r="AX309" s="64"/>
      <c r="AY309" s="171"/>
      <c r="AZ309" s="171"/>
      <c r="BA309" s="172"/>
      <c r="BB309" s="171"/>
      <c r="BC309" s="171"/>
      <c r="BD309" s="64"/>
      <c r="BE309" s="171"/>
      <c r="BF309" s="171"/>
      <c r="BG309" s="172"/>
      <c r="BH309" s="171"/>
      <c r="BI309" s="171"/>
      <c r="BJ309" s="64"/>
      <c r="BK309" s="171"/>
      <c r="BL309" s="171"/>
      <c r="BM309" s="172"/>
      <c r="BN309" s="171"/>
      <c r="BO309" s="171"/>
      <c r="BP309" s="64"/>
      <c r="BQ309" s="365"/>
      <c r="BR309" s="365"/>
      <c r="BS309" s="365"/>
      <c r="BT309" s="365"/>
      <c r="BU309" s="365"/>
      <c r="BV309" s="365"/>
      <c r="BW309" s="305"/>
      <c r="BX309" s="451"/>
      <c r="BY309" s="459"/>
      <c r="BZ309" s="459"/>
    </row>
    <row r="310" spans="2:78" x14ac:dyDescent="0.25">
      <c r="B310" s="226" t="s">
        <v>119</v>
      </c>
      <c r="C310" s="226"/>
      <c r="D310" s="226"/>
      <c r="E310" s="226"/>
      <c r="F310" s="226"/>
      <c r="G310" s="226"/>
      <c r="H310" s="90">
        <f>H280-H308</f>
        <v>0</v>
      </c>
      <c r="I310" s="227"/>
      <c r="J310" s="227"/>
      <c r="K310" s="228"/>
      <c r="L310" s="227"/>
      <c r="M310" s="227"/>
      <c r="N310" s="90">
        <f>N280-N308</f>
        <v>0</v>
      </c>
      <c r="O310" s="227"/>
      <c r="P310" s="227"/>
      <c r="Q310" s="228"/>
      <c r="R310" s="227"/>
      <c r="S310" s="227"/>
      <c r="T310" s="90">
        <f>T280-T308</f>
        <v>0</v>
      </c>
      <c r="U310" s="227"/>
      <c r="V310" s="227"/>
      <c r="W310" s="228"/>
      <c r="X310" s="227"/>
      <c r="Y310" s="227"/>
      <c r="Z310" s="90">
        <f>Z280-Z308</f>
        <v>0</v>
      </c>
      <c r="AA310" s="227"/>
      <c r="AB310" s="227"/>
      <c r="AC310" s="228"/>
      <c r="AD310" s="227"/>
      <c r="AE310" s="227"/>
      <c r="AF310" s="90">
        <f>AF280-AF308</f>
        <v>0</v>
      </c>
      <c r="AG310" s="227"/>
      <c r="AH310" s="227"/>
      <c r="AI310" s="228"/>
      <c r="AJ310" s="227"/>
      <c r="AK310" s="227"/>
      <c r="AL310" s="90">
        <f>AL280-AL308</f>
        <v>0</v>
      </c>
      <c r="AM310" s="227"/>
      <c r="AN310" s="227"/>
      <c r="AO310" s="228"/>
      <c r="AP310" s="227"/>
      <c r="AQ310" s="227"/>
      <c r="AR310" s="90">
        <f>AR280-AR308</f>
        <v>0</v>
      </c>
      <c r="AS310" s="227"/>
      <c r="AT310" s="227"/>
      <c r="AU310" s="228"/>
      <c r="AV310" s="227"/>
      <c r="AW310" s="227"/>
      <c r="AX310" s="90">
        <f>AX280-AX308</f>
        <v>0</v>
      </c>
      <c r="AY310" s="227"/>
      <c r="AZ310" s="227"/>
      <c r="BA310" s="228"/>
      <c r="BB310" s="227"/>
      <c r="BC310" s="227"/>
      <c r="BD310" s="90">
        <f>BD280-BD308</f>
        <v>0</v>
      </c>
      <c r="BE310" s="227"/>
      <c r="BF310" s="227"/>
      <c r="BG310" s="228"/>
      <c r="BH310" s="227"/>
      <c r="BI310" s="227"/>
      <c r="BJ310" s="90">
        <f>BJ280-BJ308</f>
        <v>0</v>
      </c>
      <c r="BK310" s="227"/>
      <c r="BL310" s="227"/>
      <c r="BM310" s="228"/>
      <c r="BN310" s="227"/>
      <c r="BO310" s="227"/>
      <c r="BP310" s="90">
        <f t="shared" ref="BP310:BU310" si="207">BP280-BP308</f>
        <v>0</v>
      </c>
      <c r="BQ310" s="373">
        <f t="shared" si="207"/>
        <v>0</v>
      </c>
      <c r="BR310" s="373">
        <f t="shared" si="207"/>
        <v>0</v>
      </c>
      <c r="BS310" s="373">
        <f t="shared" si="207"/>
        <v>0</v>
      </c>
      <c r="BT310" s="373">
        <f t="shared" si="207"/>
        <v>0</v>
      </c>
      <c r="BU310" s="373">
        <f t="shared" si="207"/>
        <v>0</v>
      </c>
      <c r="BV310" s="365"/>
      <c r="BW310" s="305"/>
      <c r="BX310" s="451"/>
      <c r="BY310" s="459"/>
      <c r="BZ310" s="459"/>
    </row>
    <row r="311" spans="2:78" x14ac:dyDescent="0.25">
      <c r="B311" s="57" t="s">
        <v>342</v>
      </c>
      <c r="C311" s="57"/>
      <c r="D311" s="57"/>
      <c r="E311" s="57"/>
      <c r="F311" s="57"/>
      <c r="G311" s="57"/>
      <c r="H311" s="106"/>
      <c r="I311" s="58"/>
      <c r="J311" s="58"/>
      <c r="K311" s="58"/>
      <c r="L311" s="58"/>
      <c r="M311" s="58"/>
      <c r="N311" s="106"/>
      <c r="O311" s="58"/>
      <c r="P311" s="58"/>
      <c r="Q311" s="58"/>
      <c r="R311" s="58"/>
      <c r="S311" s="58"/>
      <c r="T311" s="106"/>
      <c r="U311" s="58"/>
      <c r="V311" s="58"/>
      <c r="W311" s="58"/>
      <c r="X311" s="58"/>
      <c r="Y311" s="58"/>
      <c r="Z311" s="106"/>
      <c r="AA311" s="58"/>
      <c r="AB311" s="58"/>
      <c r="AC311" s="58"/>
      <c r="AD311" s="58"/>
      <c r="AE311" s="58"/>
      <c r="AF311" s="106"/>
      <c r="AG311" s="58"/>
      <c r="AH311" s="58"/>
      <c r="AI311" s="58"/>
      <c r="AJ311" s="58"/>
      <c r="AK311" s="58"/>
      <c r="AL311" s="106"/>
      <c r="AM311" s="58"/>
      <c r="AN311" s="58"/>
      <c r="AO311" s="58"/>
      <c r="AP311" s="58"/>
      <c r="AQ311" s="58"/>
      <c r="AR311" s="106"/>
      <c r="AS311" s="58"/>
      <c r="AT311" s="58"/>
      <c r="AU311" s="58"/>
      <c r="AV311" s="58"/>
      <c r="AW311" s="58"/>
      <c r="AX311" s="106"/>
      <c r="AY311" s="58"/>
      <c r="AZ311" s="58"/>
      <c r="BA311" s="58"/>
      <c r="BB311" s="58"/>
      <c r="BC311" s="58"/>
      <c r="BD311" s="106"/>
      <c r="BE311" s="58"/>
      <c r="BF311" s="58"/>
      <c r="BG311" s="58"/>
      <c r="BH311" s="58"/>
      <c r="BI311" s="58"/>
      <c r="BJ311" s="106"/>
      <c r="BK311" s="58"/>
      <c r="BL311" s="58"/>
      <c r="BM311" s="58"/>
      <c r="BN311" s="58"/>
      <c r="BO311" s="58"/>
      <c r="BP311" s="106"/>
      <c r="BQ311" s="58"/>
      <c r="BR311" s="58"/>
      <c r="BS311" s="58"/>
      <c r="BT311" s="58"/>
      <c r="BU311" s="58"/>
      <c r="BV311" s="57" t="s">
        <v>350</v>
      </c>
      <c r="BW311" s="305"/>
      <c r="BX311" s="455"/>
      <c r="BY311" s="459"/>
      <c r="BZ311" s="459"/>
    </row>
    <row r="312" spans="2:78" x14ac:dyDescent="0.25">
      <c r="B312" s="226" t="s">
        <v>343</v>
      </c>
      <c r="C312" s="226"/>
      <c r="D312" s="226"/>
      <c r="E312" s="226"/>
      <c r="F312" s="226"/>
      <c r="G312" s="226"/>
      <c r="H312" s="431">
        <f>IFERROR((H273+H274)/H146*365,"n/a")</f>
        <v>60.179185751636552</v>
      </c>
      <c r="I312" s="227"/>
      <c r="J312" s="227"/>
      <c r="K312" s="228"/>
      <c r="L312" s="227"/>
      <c r="M312" s="227"/>
      <c r="N312" s="431">
        <f>IFERROR((N273+N274)/N146*365,"n/a")</f>
        <v>74.247789570017858</v>
      </c>
      <c r="O312" s="227"/>
      <c r="P312" s="227"/>
      <c r="Q312" s="228"/>
      <c r="R312" s="227"/>
      <c r="S312" s="227"/>
      <c r="T312" s="431">
        <f>IFERROR((T273+T274)/T146*365,"n/a")</f>
        <v>67.52653502623464</v>
      </c>
      <c r="U312" s="227"/>
      <c r="V312" s="227"/>
      <c r="W312" s="228"/>
      <c r="X312" s="227"/>
      <c r="Y312" s="227"/>
      <c r="Z312" s="431">
        <f>IFERROR((Z273+Z274)/Z146*365,"n/a")</f>
        <v>68.361605505167418</v>
      </c>
      <c r="AA312" s="227"/>
      <c r="AB312" s="227"/>
      <c r="AC312" s="228"/>
      <c r="AD312" s="227"/>
      <c r="AE312" s="227"/>
      <c r="AF312" s="431">
        <f>IFERROR((AF273+AF274)/AF146*365,"n/a")</f>
        <v>82.118351442962592</v>
      </c>
      <c r="AG312" s="227"/>
      <c r="AH312" s="227"/>
      <c r="AI312" s="228"/>
      <c r="AJ312" s="227"/>
      <c r="AK312" s="227"/>
      <c r="AL312" s="431">
        <f>IFERROR((AL273+AL274)/AL146*365,"n/a")</f>
        <v>70.275376945105748</v>
      </c>
      <c r="AM312" s="227"/>
      <c r="AN312" s="227"/>
      <c r="AO312" s="228"/>
      <c r="AP312" s="227"/>
      <c r="AQ312" s="227"/>
      <c r="AR312" s="431">
        <f>IFERROR((AR273+AR274)/AR146*365,"n/a")</f>
        <v>92.430254626836202</v>
      </c>
      <c r="AS312" s="227"/>
      <c r="AT312" s="227"/>
      <c r="AU312" s="228"/>
      <c r="AV312" s="227"/>
      <c r="AW312" s="227"/>
      <c r="AX312" s="431">
        <f>IFERROR((AX273+AX274)/AX146*365,"n/a")</f>
        <v>59.121125326204577</v>
      </c>
      <c r="AY312" s="227"/>
      <c r="AZ312" s="227"/>
      <c r="BA312" s="228"/>
      <c r="BB312" s="227"/>
      <c r="BC312" s="227"/>
      <c r="BD312" s="431">
        <f>IFERROR((BD273+BD274)/BD146*365,"n/a")</f>
        <v>66.038166926418413</v>
      </c>
      <c r="BE312" s="227"/>
      <c r="BF312" s="227"/>
      <c r="BG312" s="228"/>
      <c r="BH312" s="227"/>
      <c r="BI312" s="227"/>
      <c r="BJ312" s="431">
        <f>IFERROR((BJ273+BJ274)/BJ146*365,"n/a")</f>
        <v>73.338120713798418</v>
      </c>
      <c r="BK312" s="227"/>
      <c r="BL312" s="227"/>
      <c r="BM312" s="228"/>
      <c r="BN312" s="227"/>
      <c r="BO312" s="227"/>
      <c r="BP312" s="431">
        <f>IFERROR((BP273+BP274)/BP146*365,"n/a")</f>
        <v>81.252127715490573</v>
      </c>
      <c r="BQ312" s="435">
        <v>80</v>
      </c>
      <c r="BR312" s="435">
        <v>78</v>
      </c>
      <c r="BS312" s="435">
        <v>76</v>
      </c>
      <c r="BT312" s="435">
        <v>76</v>
      </c>
      <c r="BU312" s="435">
        <v>76</v>
      </c>
      <c r="BV312" s="400" t="s">
        <v>389</v>
      </c>
      <c r="BW312" s="289"/>
      <c r="BX312" s="451"/>
      <c r="BY312" s="459"/>
      <c r="BZ312" s="459"/>
    </row>
    <row r="313" spans="2:78" x14ac:dyDescent="0.25">
      <c r="B313" s="226" t="s">
        <v>344</v>
      </c>
      <c r="C313" s="226"/>
      <c r="D313" s="226"/>
      <c r="E313" s="226"/>
      <c r="F313" s="226"/>
      <c r="G313" s="226"/>
      <c r="H313" s="431" t="str">
        <f>IFERROR(H275/H147*365,"n/a")</f>
        <v>n/a</v>
      </c>
      <c r="I313" s="227"/>
      <c r="J313" s="227"/>
      <c r="K313" s="228"/>
      <c r="L313" s="227"/>
      <c r="M313" s="227"/>
      <c r="N313" s="431" t="str">
        <f>IFERROR(N275/N147*365,"n/a")</f>
        <v>n/a</v>
      </c>
      <c r="O313" s="227"/>
      <c r="P313" s="227"/>
      <c r="Q313" s="228"/>
      <c r="R313" s="227"/>
      <c r="S313" s="227"/>
      <c r="T313" s="431">
        <f>IFERROR(T275/T147*365,"n/a")</f>
        <v>2.8926512968299711</v>
      </c>
      <c r="U313" s="227"/>
      <c r="V313" s="227"/>
      <c r="W313" s="228"/>
      <c r="X313" s="227"/>
      <c r="Y313" s="227"/>
      <c r="Z313" s="431">
        <f>IFERROR(Z275/Z147*365,"n/a")</f>
        <v>4.2568708985770911</v>
      </c>
      <c r="AA313" s="227"/>
      <c r="AB313" s="227"/>
      <c r="AC313" s="228"/>
      <c r="AD313" s="227"/>
      <c r="AE313" s="227"/>
      <c r="AF313" s="431">
        <f>IFERROR(AF275/AF147*365,"n/a")</f>
        <v>6.8115635615318482</v>
      </c>
      <c r="AG313" s="227"/>
      <c r="AH313" s="227"/>
      <c r="AI313" s="228"/>
      <c r="AJ313" s="227"/>
      <c r="AK313" s="227"/>
      <c r="AL313" s="431">
        <f>IFERROR(AL275/AL147*365,"n/a")</f>
        <v>5.9553994370580563</v>
      </c>
      <c r="AM313" s="227"/>
      <c r="AN313" s="227"/>
      <c r="AO313" s="228"/>
      <c r="AP313" s="227"/>
      <c r="AQ313" s="227"/>
      <c r="AR313" s="431">
        <f>IFERROR(AR275/AR147*365,"n/a")</f>
        <v>0.71642327442619103</v>
      </c>
      <c r="AS313" s="227"/>
      <c r="AT313" s="227"/>
      <c r="AU313" s="228"/>
      <c r="AV313" s="227"/>
      <c r="AW313" s="227"/>
      <c r="AX313" s="431">
        <f>IFERROR(AX275/AX147*365,"n/a")</f>
        <v>3.757083850999368</v>
      </c>
      <c r="AY313" s="227"/>
      <c r="AZ313" s="227"/>
      <c r="BA313" s="228"/>
      <c r="BB313" s="227"/>
      <c r="BC313" s="227"/>
      <c r="BD313" s="431">
        <f>IFERROR(BD275/BD147*365,"n/a")</f>
        <v>14.720521282264624</v>
      </c>
      <c r="BE313" s="227"/>
      <c r="BF313" s="227"/>
      <c r="BG313" s="228"/>
      <c r="BH313" s="227"/>
      <c r="BI313" s="227"/>
      <c r="BJ313" s="431">
        <f>IFERROR(BJ275/BJ147*365,"n/a")</f>
        <v>14.722674249991945</v>
      </c>
      <c r="BK313" s="227"/>
      <c r="BL313" s="227"/>
      <c r="BM313" s="228"/>
      <c r="BN313" s="227"/>
      <c r="BO313" s="227"/>
      <c r="BP313" s="431">
        <f>IFERROR(BP275/BP147*365,"n/a")</f>
        <v>4.237083868965823</v>
      </c>
      <c r="BQ313" s="435">
        <v>4</v>
      </c>
      <c r="BR313" s="435">
        <v>4</v>
      </c>
      <c r="BS313" s="435">
        <v>5</v>
      </c>
      <c r="BT313" s="435">
        <v>5</v>
      </c>
      <c r="BU313" s="435">
        <v>5</v>
      </c>
      <c r="BV313" s="400" t="s">
        <v>351</v>
      </c>
      <c r="BW313" s="289"/>
      <c r="BX313" s="451"/>
      <c r="BY313" s="459"/>
      <c r="BZ313" s="459"/>
    </row>
    <row r="314" spans="2:78" x14ac:dyDescent="0.25">
      <c r="B314" s="226" t="s">
        <v>345</v>
      </c>
      <c r="C314" s="226"/>
      <c r="D314" s="226"/>
      <c r="E314" s="226"/>
      <c r="F314" s="226"/>
      <c r="G314" s="226"/>
      <c r="H314" s="431">
        <f>IFERROR((H300+H301)/H147*365,"n/a")</f>
        <v>59.33044267419583</v>
      </c>
      <c r="I314" s="227"/>
      <c r="J314" s="227"/>
      <c r="K314" s="228"/>
      <c r="L314" s="227"/>
      <c r="M314" s="227"/>
      <c r="N314" s="431">
        <f>IFERROR((N300+N301)/N147*365,"n/a")</f>
        <v>66.41285711533645</v>
      </c>
      <c r="O314" s="227"/>
      <c r="P314" s="227"/>
      <c r="Q314" s="228"/>
      <c r="R314" s="227"/>
      <c r="S314" s="227"/>
      <c r="T314" s="431">
        <f>IFERROR((T300+T301)/T147*365,"n/a")</f>
        <v>62.711678331274868</v>
      </c>
      <c r="U314" s="227"/>
      <c r="V314" s="227"/>
      <c r="W314" s="228"/>
      <c r="X314" s="227"/>
      <c r="Y314" s="227"/>
      <c r="Z314" s="431">
        <f>IFERROR((Z300+Z301)/Z147*365,"n/a")</f>
        <v>62.00920992787993</v>
      </c>
      <c r="AA314" s="227"/>
      <c r="AB314" s="227"/>
      <c r="AC314" s="228"/>
      <c r="AD314" s="227"/>
      <c r="AE314" s="227"/>
      <c r="AF314" s="431">
        <f>IFERROR((AF300+AF301)/AF147*365,"n/a")</f>
        <v>77.751631499570109</v>
      </c>
      <c r="AG314" s="227"/>
      <c r="AH314" s="227"/>
      <c r="AI314" s="228"/>
      <c r="AJ314" s="227"/>
      <c r="AK314" s="227"/>
      <c r="AL314" s="431">
        <f>IFERROR((AL300+AL301)/AL147*365,"n/a")</f>
        <v>66.14836723952493</v>
      </c>
      <c r="AM314" s="227"/>
      <c r="AN314" s="227"/>
      <c r="AO314" s="228"/>
      <c r="AP314" s="227"/>
      <c r="AQ314" s="227"/>
      <c r="AR314" s="431">
        <f>IFERROR((AR300+AR301)/AR147*365,"n/a")</f>
        <v>76.508455950957554</v>
      </c>
      <c r="AS314" s="227"/>
      <c r="AT314" s="227"/>
      <c r="AU314" s="228"/>
      <c r="AV314" s="227"/>
      <c r="AW314" s="227"/>
      <c r="AX314" s="431">
        <f>IFERROR((AX300+AX301)/AX147*365,"n/a")</f>
        <v>53.854187100852236</v>
      </c>
      <c r="AY314" s="227"/>
      <c r="AZ314" s="227"/>
      <c r="BA314" s="228"/>
      <c r="BB314" s="227"/>
      <c r="BC314" s="227"/>
      <c r="BD314" s="431">
        <f>IFERROR((BD300+BD301)/BD147*365,"n/a")</f>
        <v>71.763394317873733</v>
      </c>
      <c r="BE314" s="227"/>
      <c r="BF314" s="227"/>
      <c r="BG314" s="228"/>
      <c r="BH314" s="227"/>
      <c r="BI314" s="227"/>
      <c r="BJ314" s="431">
        <f>IFERROR((BJ300+BJ301)/BJ147*365,"n/a")</f>
        <v>66.215278896658404</v>
      </c>
      <c r="BK314" s="227"/>
      <c r="BL314" s="227"/>
      <c r="BM314" s="228"/>
      <c r="BN314" s="227"/>
      <c r="BO314" s="227"/>
      <c r="BP314" s="431">
        <f>IFERROR((BP300+BP301)/BP147*365,"n/a")</f>
        <v>73.252000310297433</v>
      </c>
      <c r="BQ314" s="435">
        <v>73</v>
      </c>
      <c r="BR314" s="435">
        <v>73</v>
      </c>
      <c r="BS314" s="435">
        <v>73</v>
      </c>
      <c r="BT314" s="435">
        <v>73</v>
      </c>
      <c r="BU314" s="435">
        <v>73</v>
      </c>
      <c r="BV314" s="400" t="s">
        <v>352</v>
      </c>
      <c r="BW314" s="289"/>
      <c r="BX314" s="451"/>
      <c r="BY314" s="459"/>
      <c r="BZ314" s="459"/>
    </row>
    <row r="315" spans="2:78" x14ac:dyDescent="0.25">
      <c r="B315" s="262" t="s">
        <v>346</v>
      </c>
      <c r="C315" s="226"/>
      <c r="D315" s="226"/>
      <c r="E315" s="226"/>
      <c r="F315" s="226"/>
      <c r="G315" s="226"/>
      <c r="H315" s="432" t="str">
        <f>IFERROR(H312+H313-H314,"n/a")</f>
        <v>n/a</v>
      </c>
      <c r="I315" s="433"/>
      <c r="J315" s="433"/>
      <c r="K315" s="433"/>
      <c r="L315" s="433"/>
      <c r="M315" s="433"/>
      <c r="N315" s="432" t="str">
        <f>IFERROR(N312+N313-N314,"n/a")</f>
        <v>n/a</v>
      </c>
      <c r="O315" s="433"/>
      <c r="P315" s="433"/>
      <c r="Q315" s="433"/>
      <c r="R315" s="433"/>
      <c r="S315" s="433"/>
      <c r="T315" s="432">
        <f>IFERROR(T312+T313-T314,"n/a")</f>
        <v>7.7075079917897398</v>
      </c>
      <c r="U315" s="433"/>
      <c r="V315" s="433"/>
      <c r="W315" s="433"/>
      <c r="X315" s="433"/>
      <c r="Y315" s="433"/>
      <c r="Z315" s="432">
        <f>IFERROR(Z312+Z313-Z314,"n/a")</f>
        <v>10.60926647586458</v>
      </c>
      <c r="AA315" s="433"/>
      <c r="AB315" s="433"/>
      <c r="AC315" s="433"/>
      <c r="AD315" s="433"/>
      <c r="AE315" s="433"/>
      <c r="AF315" s="432">
        <f>IFERROR(AF312+AF313-AF314,"n/a")</f>
        <v>11.178283504924323</v>
      </c>
      <c r="AG315" s="433"/>
      <c r="AH315" s="433"/>
      <c r="AI315" s="433"/>
      <c r="AJ315" s="433"/>
      <c r="AK315" s="433"/>
      <c r="AL315" s="432">
        <f>IFERROR(AL312+AL313-AL314,"n/a")</f>
        <v>10.08240914263888</v>
      </c>
      <c r="AM315" s="433"/>
      <c r="AN315" s="433"/>
      <c r="AO315" s="433"/>
      <c r="AP315" s="433"/>
      <c r="AQ315" s="433"/>
      <c r="AR315" s="432">
        <f>IFERROR(AR312+AR313-AR314,"n/a")</f>
        <v>16.638221950304839</v>
      </c>
      <c r="AS315" s="433"/>
      <c r="AT315" s="433"/>
      <c r="AU315" s="433"/>
      <c r="AV315" s="433"/>
      <c r="AW315" s="433"/>
      <c r="AX315" s="432">
        <f>IFERROR(AX312+AX313-AX314,"n/a")</f>
        <v>9.0240220763517058</v>
      </c>
      <c r="AY315" s="433"/>
      <c r="AZ315" s="433"/>
      <c r="BA315" s="433"/>
      <c r="BB315" s="433"/>
      <c r="BC315" s="433"/>
      <c r="BD315" s="432">
        <f>IFERROR(BD312+BD313-BD314,"n/a")</f>
        <v>8.9952938908093074</v>
      </c>
      <c r="BE315" s="433"/>
      <c r="BF315" s="433"/>
      <c r="BG315" s="433"/>
      <c r="BH315" s="433"/>
      <c r="BI315" s="433"/>
      <c r="BJ315" s="432">
        <f>IFERROR(BJ312+BJ313-BJ314,"n/a")</f>
        <v>21.845516067131953</v>
      </c>
      <c r="BK315" s="433"/>
      <c r="BL315" s="433"/>
      <c r="BM315" s="433"/>
      <c r="BN315" s="433"/>
      <c r="BO315" s="433"/>
      <c r="BP315" s="432">
        <f t="shared" ref="BP315:BU315" si="208">IFERROR(BP312+BP313-BP314,"n/a")</f>
        <v>12.237211274158966</v>
      </c>
      <c r="BQ315" s="434">
        <f t="shared" si="208"/>
        <v>11</v>
      </c>
      <c r="BR315" s="434">
        <f t="shared" si="208"/>
        <v>9</v>
      </c>
      <c r="BS315" s="434">
        <f t="shared" si="208"/>
        <v>8</v>
      </c>
      <c r="BT315" s="434">
        <f t="shared" si="208"/>
        <v>8</v>
      </c>
      <c r="BU315" s="434">
        <f t="shared" si="208"/>
        <v>8</v>
      </c>
      <c r="BV315" s="400" t="s">
        <v>353</v>
      </c>
      <c r="BW315" s="289"/>
      <c r="BX315" s="451"/>
      <c r="BY315" s="459"/>
      <c r="BZ315" s="459"/>
    </row>
    <row r="316" spans="2:78" x14ac:dyDescent="0.25">
      <c r="B316" s="226"/>
      <c r="C316" s="226"/>
      <c r="D316" s="226"/>
      <c r="E316" s="226"/>
      <c r="F316" s="226"/>
      <c r="G316" s="226"/>
      <c r="H316" s="90"/>
      <c r="I316" s="227"/>
      <c r="J316" s="227"/>
      <c r="K316" s="228"/>
      <c r="L316" s="227"/>
      <c r="M316" s="227"/>
      <c r="N316" s="90"/>
      <c r="O316" s="227"/>
      <c r="P316" s="227"/>
      <c r="Q316" s="228"/>
      <c r="R316" s="227"/>
      <c r="S316" s="227"/>
      <c r="T316" s="90"/>
      <c r="U316" s="227"/>
      <c r="V316" s="227"/>
      <c r="W316" s="228"/>
      <c r="X316" s="227"/>
      <c r="Y316" s="227"/>
      <c r="Z316" s="90"/>
      <c r="AA316" s="227"/>
      <c r="AB316" s="227"/>
      <c r="AC316" s="228"/>
      <c r="AD316" s="227"/>
      <c r="AE316" s="227"/>
      <c r="AF316" s="90"/>
      <c r="AG316" s="227"/>
      <c r="AH316" s="227"/>
      <c r="AI316" s="228"/>
      <c r="AJ316" s="227"/>
      <c r="AK316" s="227"/>
      <c r="AL316" s="90"/>
      <c r="AM316" s="227"/>
      <c r="AN316" s="227"/>
      <c r="AO316" s="228"/>
      <c r="AP316" s="227"/>
      <c r="AQ316" s="227"/>
      <c r="AR316" s="90"/>
      <c r="AS316" s="227"/>
      <c r="AT316" s="227"/>
      <c r="AU316" s="228"/>
      <c r="AV316" s="227"/>
      <c r="AW316" s="227"/>
      <c r="AX316" s="90"/>
      <c r="AY316" s="227"/>
      <c r="AZ316" s="227"/>
      <c r="BA316" s="228"/>
      <c r="BB316" s="227"/>
      <c r="BC316" s="227"/>
      <c r="BD316" s="90"/>
      <c r="BE316" s="227"/>
      <c r="BF316" s="227"/>
      <c r="BG316" s="228"/>
      <c r="BH316" s="227"/>
      <c r="BI316" s="227"/>
      <c r="BJ316" s="90"/>
      <c r="BK316" s="227"/>
      <c r="BL316" s="227"/>
      <c r="BM316" s="228"/>
      <c r="BN316" s="227"/>
      <c r="BO316" s="227"/>
      <c r="BP316" s="90"/>
      <c r="BQ316" s="373"/>
      <c r="BR316" s="373"/>
      <c r="BS316" s="373"/>
      <c r="BT316" s="373"/>
      <c r="BU316" s="373"/>
      <c r="BV316" s="365"/>
      <c r="BW316" s="305"/>
      <c r="BX316" s="451"/>
      <c r="BY316" s="459"/>
      <c r="BZ316" s="459"/>
    </row>
    <row r="317" spans="2:78" x14ac:dyDescent="0.25">
      <c r="B317" s="226" t="s">
        <v>347</v>
      </c>
      <c r="C317" s="226"/>
      <c r="D317" s="226"/>
      <c r="E317" s="226"/>
      <c r="F317" s="226"/>
      <c r="G317" s="226"/>
      <c r="H317" s="90" t="str">
        <f>IFERROR(H273+H274+H275-H300-H301,"n/a")</f>
        <v>n/a</v>
      </c>
      <c r="I317" s="227"/>
      <c r="J317" s="227"/>
      <c r="K317" s="228"/>
      <c r="L317" s="227"/>
      <c r="M317" s="227"/>
      <c r="N317" s="90" t="str">
        <f>IFERROR(N273+N274+N275-N300-N301,"n/a")</f>
        <v>n/a</v>
      </c>
      <c r="O317" s="227"/>
      <c r="P317" s="227"/>
      <c r="Q317" s="228"/>
      <c r="R317" s="227"/>
      <c r="S317" s="227"/>
      <c r="T317" s="90">
        <f>IFERROR(T273+T274+T275-T300-T301,"n/a")</f>
        <v>4303</v>
      </c>
      <c r="U317" s="227"/>
      <c r="V317" s="227"/>
      <c r="W317" s="228"/>
      <c r="X317" s="227"/>
      <c r="Y317" s="227"/>
      <c r="Z317" s="90">
        <f>IFERROR(Z273+Z274+Z275-Z300-Z301,"n/a")</f>
        <v>5065</v>
      </c>
      <c r="AA317" s="227"/>
      <c r="AB317" s="227"/>
      <c r="AC317" s="228"/>
      <c r="AD317" s="227"/>
      <c r="AE317" s="227"/>
      <c r="AF317" s="90">
        <f>IFERROR(AF273+AF274+AF275-AF300-AF301,"n/a")</f>
        <v>7517</v>
      </c>
      <c r="AG317" s="227"/>
      <c r="AH317" s="227"/>
      <c r="AI317" s="228"/>
      <c r="AJ317" s="227"/>
      <c r="AK317" s="227"/>
      <c r="AL317" s="90">
        <f>IFERROR(AL273+AL274+AL275-AL300-AL301,"n/a")</f>
        <v>7908</v>
      </c>
      <c r="AM317" s="227"/>
      <c r="AN317" s="227"/>
      <c r="AO317" s="228"/>
      <c r="AP317" s="227"/>
      <c r="AQ317" s="227"/>
      <c r="AR317" s="90">
        <f>IFERROR(AR273+AR274+AR275-AR300-AR301,"n/a")</f>
        <v>16121</v>
      </c>
      <c r="AS317" s="227"/>
      <c r="AT317" s="227"/>
      <c r="AU317" s="228"/>
      <c r="AV317" s="227"/>
      <c r="AW317" s="227"/>
      <c r="AX317" s="90">
        <f>IFERROR(AX273+AX274+AX275-AX300-AX301,"n/a")</f>
        <v>12984</v>
      </c>
      <c r="AY317" s="227"/>
      <c r="AZ317" s="227"/>
      <c r="BA317" s="228"/>
      <c r="BB317" s="227"/>
      <c r="BC317" s="227"/>
      <c r="BD317" s="90">
        <f>IFERROR(BD273+BD274+BD275-BD300-BD301,"n/a")</f>
        <v>10564</v>
      </c>
      <c r="BE317" s="227"/>
      <c r="BF317" s="227"/>
      <c r="BG317" s="228"/>
      <c r="BH317" s="227"/>
      <c r="BI317" s="227"/>
      <c r="BJ317" s="90">
        <f>IFERROR(BJ273+BJ274+BJ275-BJ300-BJ301,"n/a")</f>
        <v>16064</v>
      </c>
      <c r="BK317" s="227"/>
      <c r="BL317" s="227"/>
      <c r="BM317" s="228"/>
      <c r="BN317" s="227"/>
      <c r="BO317" s="227"/>
      <c r="BP317" s="90">
        <f t="shared" ref="BP317:BU317" si="209">IFERROR(BP273+BP274+BP275-BP300-BP301,"n/a")</f>
        <v>20934</v>
      </c>
      <c r="BQ317" s="373">
        <f t="shared" si="209"/>
        <v>22304.494003506821</v>
      </c>
      <c r="BR317" s="373">
        <f t="shared" si="209"/>
        <v>22241.524375715038</v>
      </c>
      <c r="BS317" s="373">
        <f t="shared" si="209"/>
        <v>22524.259418397589</v>
      </c>
      <c r="BT317" s="373">
        <f t="shared" si="209"/>
        <v>23459.464178046182</v>
      </c>
      <c r="BU317" s="373">
        <f t="shared" si="209"/>
        <v>24423.573233766438</v>
      </c>
      <c r="BV317" s="365"/>
      <c r="BW317" s="305"/>
      <c r="BX317" s="451"/>
      <c r="BY317" s="459"/>
      <c r="BZ317" s="459"/>
    </row>
    <row r="318" spans="2:78" x14ac:dyDescent="0.25">
      <c r="B318" s="262" t="s">
        <v>348</v>
      </c>
      <c r="C318" s="226"/>
      <c r="D318" s="226"/>
      <c r="E318" s="226"/>
      <c r="F318" s="226"/>
      <c r="G318" s="226"/>
      <c r="H318" s="286" t="str">
        <f>IFERROR(H317/H146,"n/a")</f>
        <v>n/a</v>
      </c>
      <c r="I318" s="433"/>
      <c r="J318" s="433"/>
      <c r="K318" s="433"/>
      <c r="L318" s="433"/>
      <c r="M318" s="433"/>
      <c r="N318" s="286" t="str">
        <f>IFERROR(N317/N146,"n/a")</f>
        <v>n/a</v>
      </c>
      <c r="O318" s="433"/>
      <c r="P318" s="433"/>
      <c r="Q318" s="433"/>
      <c r="R318" s="433"/>
      <c r="S318" s="433"/>
      <c r="T318" s="286">
        <f>IFERROR(T317/T146,"n/a")</f>
        <v>5.7449166232760578E-2</v>
      </c>
      <c r="U318" s="433"/>
      <c r="V318" s="433"/>
      <c r="W318" s="433"/>
      <c r="X318" s="433"/>
      <c r="Y318" s="433"/>
      <c r="Z318" s="286">
        <f>IFERROR(Z317/Z146,"n/a")</f>
        <v>6.407093974928213E-2</v>
      </c>
      <c r="AA318" s="433"/>
      <c r="AB318" s="433"/>
      <c r="AC318" s="433"/>
      <c r="AD318" s="433"/>
      <c r="AE318" s="433"/>
      <c r="AF318" s="286">
        <f>IFERROR(AF317/AF146,"n/a")</f>
        <v>7.9376141751407059E-2</v>
      </c>
      <c r="AG318" s="433"/>
      <c r="AH318" s="433"/>
      <c r="AI318" s="433"/>
      <c r="AJ318" s="433"/>
      <c r="AK318" s="433"/>
      <c r="AL318" s="286">
        <f>IFERROR(AL317/AL146,"n/a")</f>
        <v>6.8212400372632237E-2</v>
      </c>
      <c r="AM318" s="433"/>
      <c r="AN318" s="433"/>
      <c r="AO318" s="433"/>
      <c r="AP318" s="433"/>
      <c r="AQ318" s="433"/>
      <c r="AR318" s="286">
        <f>IFERROR(AR317/AR146,"n/a")</f>
        <v>8.842824701326342E-2</v>
      </c>
      <c r="AS318" s="433"/>
      <c r="AT318" s="433"/>
      <c r="AU318" s="433"/>
      <c r="AV318" s="433"/>
      <c r="AW318" s="433"/>
      <c r="AX318" s="286">
        <f>IFERROR(AX317/AX146,"n/a")</f>
        <v>5.5095156259945259E-2</v>
      </c>
      <c r="AY318" s="433"/>
      <c r="AZ318" s="433"/>
      <c r="BA318" s="433"/>
      <c r="BB318" s="433"/>
      <c r="BC318" s="433"/>
      <c r="BD318" s="286">
        <f>IFERROR(BD317/BD146,"n/a")</f>
        <v>7.0060019232682291E-2</v>
      </c>
      <c r="BE318" s="433"/>
      <c r="BF318" s="433"/>
      <c r="BG318" s="433"/>
      <c r="BH318" s="433"/>
      <c r="BI318" s="433"/>
      <c r="BJ318" s="286">
        <f>IFERROR(BJ317/BJ146,"n/a")</f>
        <v>9.613059973908776E-2</v>
      </c>
      <c r="BK318" s="433"/>
      <c r="BL318" s="433"/>
      <c r="BM318" s="433"/>
      <c r="BN318" s="433"/>
      <c r="BO318" s="433"/>
      <c r="BP318" s="286">
        <f t="shared" ref="BP318:BU318" si="210">IFERROR(BP317/BP146,"n/a")</f>
        <v>8.4639612503082912E-2</v>
      </c>
      <c r="BQ318" s="364">
        <f t="shared" si="210"/>
        <v>8.1901871816960917E-2</v>
      </c>
      <c r="BR318" s="364">
        <f t="shared" si="210"/>
        <v>7.7191553221229878E-2</v>
      </c>
      <c r="BS318" s="364">
        <f t="shared" si="210"/>
        <v>7.4410840138707732E-2</v>
      </c>
      <c r="BT318" s="364">
        <f t="shared" si="210"/>
        <v>7.4505666670589374E-2</v>
      </c>
      <c r="BU318" s="364">
        <f t="shared" si="210"/>
        <v>7.457073596256103E-2</v>
      </c>
      <c r="BV318" s="400" t="s">
        <v>354</v>
      </c>
      <c r="BW318" s="289"/>
      <c r="BX318" s="451"/>
      <c r="BY318" s="459"/>
      <c r="BZ318" s="459"/>
    </row>
    <row r="319" spans="2:78" x14ac:dyDescent="0.25">
      <c r="B319" s="226" t="s">
        <v>349</v>
      </c>
      <c r="C319" s="226"/>
      <c r="D319" s="226"/>
      <c r="E319" s="226"/>
      <c r="F319" s="226"/>
      <c r="G319" s="226"/>
      <c r="H319" s="90"/>
      <c r="I319" s="227"/>
      <c r="J319" s="227"/>
      <c r="K319" s="228"/>
      <c r="L319" s="227"/>
      <c r="M319" s="227"/>
      <c r="N319" s="90" t="str">
        <f>IFERROR(N317-H317,"n/a")</f>
        <v>n/a</v>
      </c>
      <c r="O319" s="227"/>
      <c r="P319" s="227"/>
      <c r="Q319" s="228"/>
      <c r="R319" s="227"/>
      <c r="S319" s="227"/>
      <c r="T319" s="90" t="str">
        <f>IFERROR(T317-N317,"n/a")</f>
        <v>n/a</v>
      </c>
      <c r="U319" s="227"/>
      <c r="V319" s="227"/>
      <c r="W319" s="228"/>
      <c r="X319" s="227"/>
      <c r="Y319" s="227"/>
      <c r="Z319" s="90">
        <f>IFERROR(Z317-T317,"n/a")</f>
        <v>762</v>
      </c>
      <c r="AA319" s="227"/>
      <c r="AB319" s="227"/>
      <c r="AC319" s="228"/>
      <c r="AD319" s="227"/>
      <c r="AE319" s="227"/>
      <c r="AF319" s="90">
        <f>IFERROR(AF317-Z317,"n/a")</f>
        <v>2452</v>
      </c>
      <c r="AG319" s="227"/>
      <c r="AH319" s="227"/>
      <c r="AI319" s="228"/>
      <c r="AJ319" s="227"/>
      <c r="AK319" s="227"/>
      <c r="AL319" s="90">
        <f>IFERROR(AL317-AF317,"n/a")</f>
        <v>391</v>
      </c>
      <c r="AM319" s="227"/>
      <c r="AN319" s="227"/>
      <c r="AO319" s="228"/>
      <c r="AP319" s="227"/>
      <c r="AQ319" s="227"/>
      <c r="AR319" s="90">
        <f>IFERROR(AR317-AL317,"n/a")</f>
        <v>8213</v>
      </c>
      <c r="AS319" s="227"/>
      <c r="AT319" s="227"/>
      <c r="AU319" s="228"/>
      <c r="AV319" s="227"/>
      <c r="AW319" s="227"/>
      <c r="AX319" s="90">
        <f>IFERROR(AX317-AR317,"n/a")</f>
        <v>-3137</v>
      </c>
      <c r="AY319" s="227"/>
      <c r="AZ319" s="227"/>
      <c r="BA319" s="228"/>
      <c r="BB319" s="227"/>
      <c r="BC319" s="227"/>
      <c r="BD319" s="90">
        <f>IFERROR(BD317-AX317,"n/a")</f>
        <v>-2420</v>
      </c>
      <c r="BE319" s="227"/>
      <c r="BF319" s="227"/>
      <c r="BG319" s="228"/>
      <c r="BH319" s="227"/>
      <c r="BI319" s="227"/>
      <c r="BJ319" s="90">
        <f>IFERROR(BJ317-BD317,"n/a")</f>
        <v>5500</v>
      </c>
      <c r="BK319" s="227"/>
      <c r="BL319" s="227"/>
      <c r="BM319" s="228"/>
      <c r="BN319" s="227"/>
      <c r="BO319" s="227"/>
      <c r="BP319" s="90">
        <f>IFERROR(BP317-BJ317,"n/a")</f>
        <v>4870</v>
      </c>
      <c r="BQ319" s="373">
        <f>IFERROR(BQ317-BP317,"n/a")</f>
        <v>1370.4940035068212</v>
      </c>
      <c r="BR319" s="373">
        <f>IFERROR(BR317-BQ317,"n/a")</f>
        <v>-62.969627791782841</v>
      </c>
      <c r="BS319" s="373">
        <f>IFERROR(BS317-BR317,"n/a")</f>
        <v>282.73504268255056</v>
      </c>
      <c r="BT319" s="373">
        <f>IFERROR(BT317-BS317,"n/a")</f>
        <v>935.20475964859361</v>
      </c>
      <c r="BU319" s="373">
        <f>IFERROR(BU317-BT317,"n/a")</f>
        <v>964.10905572025513</v>
      </c>
      <c r="BV319" s="365"/>
      <c r="BW319" s="305"/>
      <c r="BX319" s="451"/>
      <c r="BY319" s="459"/>
      <c r="BZ319" s="459"/>
    </row>
    <row r="320" spans="2:78" x14ac:dyDescent="0.25">
      <c r="B320" s="226"/>
      <c r="C320" s="226"/>
      <c r="D320" s="226"/>
      <c r="E320" s="226"/>
      <c r="F320" s="226"/>
      <c r="G320" s="226"/>
      <c r="H320" s="90"/>
      <c r="I320" s="227"/>
      <c r="J320" s="227"/>
      <c r="K320" s="228"/>
      <c r="L320" s="227"/>
      <c r="M320" s="227"/>
      <c r="N320" s="90"/>
      <c r="O320" s="227"/>
      <c r="P320" s="227"/>
      <c r="Q320" s="228"/>
      <c r="R320" s="227"/>
      <c r="S320" s="227"/>
      <c r="T320" s="90"/>
      <c r="U320" s="227"/>
      <c r="V320" s="227"/>
      <c r="W320" s="228"/>
      <c r="X320" s="227"/>
      <c r="Y320" s="227"/>
      <c r="Z320" s="90"/>
      <c r="AA320" s="227"/>
      <c r="AB320" s="227"/>
      <c r="AC320" s="228"/>
      <c r="AD320" s="227"/>
      <c r="AE320" s="227"/>
      <c r="AF320" s="90"/>
      <c r="AG320" s="227"/>
      <c r="AH320" s="227"/>
      <c r="AI320" s="228"/>
      <c r="AJ320" s="227"/>
      <c r="AK320" s="227"/>
      <c r="AL320" s="90"/>
      <c r="AM320" s="227"/>
      <c r="AN320" s="227"/>
      <c r="AO320" s="228"/>
      <c r="AP320" s="227"/>
      <c r="AQ320" s="227"/>
      <c r="AR320" s="90"/>
      <c r="AS320" s="227"/>
      <c r="AT320" s="227"/>
      <c r="AU320" s="228"/>
      <c r="AV320" s="227"/>
      <c r="AW320" s="227"/>
      <c r="AX320" s="90"/>
      <c r="AY320" s="227"/>
      <c r="AZ320" s="227"/>
      <c r="BA320" s="228"/>
      <c r="BB320" s="227"/>
      <c r="BC320" s="227"/>
      <c r="BD320" s="90"/>
      <c r="BE320" s="227"/>
      <c r="BF320" s="227"/>
      <c r="BG320" s="228"/>
      <c r="BH320" s="227"/>
      <c r="BI320" s="227"/>
      <c r="BJ320" s="90"/>
      <c r="BK320" s="227"/>
      <c r="BL320" s="227"/>
      <c r="BM320" s="228"/>
      <c r="BN320" s="227"/>
      <c r="BO320" s="227"/>
      <c r="BP320" s="90"/>
      <c r="BQ320" s="373"/>
      <c r="BR320" s="373"/>
      <c r="BS320" s="373"/>
      <c r="BT320" s="373"/>
      <c r="BU320" s="373"/>
      <c r="BV320" s="365"/>
      <c r="BW320" s="305"/>
      <c r="BX320" s="451"/>
      <c r="BY320" s="459"/>
      <c r="BZ320" s="459"/>
    </row>
    <row r="321" spans="2:78" x14ac:dyDescent="0.25">
      <c r="B321" s="57" t="s">
        <v>492</v>
      </c>
      <c r="C321" s="57"/>
      <c r="D321" s="57"/>
      <c r="E321" s="57"/>
      <c r="F321" s="57"/>
      <c r="G321" s="57"/>
      <c r="H321" s="106"/>
      <c r="I321" s="58"/>
      <c r="J321" s="58"/>
      <c r="K321" s="58"/>
      <c r="L321" s="58"/>
      <c r="M321" s="58"/>
      <c r="N321" s="106"/>
      <c r="O321" s="58"/>
      <c r="P321" s="58"/>
      <c r="Q321" s="58"/>
      <c r="R321" s="58"/>
      <c r="S321" s="58"/>
      <c r="T321" s="106"/>
      <c r="U321" s="58"/>
      <c r="V321" s="58"/>
      <c r="W321" s="58"/>
      <c r="X321" s="58"/>
      <c r="Y321" s="58"/>
      <c r="Z321" s="106"/>
      <c r="AA321" s="58"/>
      <c r="AB321" s="58"/>
      <c r="AC321" s="58"/>
      <c r="AD321" s="58"/>
      <c r="AE321" s="58"/>
      <c r="AF321" s="106"/>
      <c r="AG321" s="58"/>
      <c r="AH321" s="58"/>
      <c r="AI321" s="58"/>
      <c r="AJ321" s="58"/>
      <c r="AK321" s="58"/>
      <c r="AL321" s="106"/>
      <c r="AM321" s="58"/>
      <c r="AN321" s="58"/>
      <c r="AO321" s="58"/>
      <c r="AP321" s="58"/>
      <c r="AQ321" s="58"/>
      <c r="AR321" s="106"/>
      <c r="AS321" s="58"/>
      <c r="AT321" s="58"/>
      <c r="AU321" s="58"/>
      <c r="AV321" s="58"/>
      <c r="AW321" s="58"/>
      <c r="AX321" s="106"/>
      <c r="AY321" s="58"/>
      <c r="AZ321" s="58"/>
      <c r="BA321" s="58"/>
      <c r="BB321" s="58"/>
      <c r="BC321" s="58"/>
      <c r="BD321" s="106"/>
      <c r="BE321" s="58"/>
      <c r="BF321" s="58"/>
      <c r="BG321" s="58"/>
      <c r="BH321" s="58"/>
      <c r="BI321" s="58"/>
      <c r="BJ321" s="106"/>
      <c r="BK321" s="58"/>
      <c r="BL321" s="58"/>
      <c r="BM321" s="58"/>
      <c r="BN321" s="58"/>
      <c r="BO321" s="58"/>
      <c r="BP321" s="106"/>
      <c r="BQ321" s="58"/>
      <c r="BR321" s="58"/>
      <c r="BS321" s="58"/>
      <c r="BT321" s="58"/>
      <c r="BU321" s="58"/>
      <c r="BV321" s="57" t="s">
        <v>509</v>
      </c>
      <c r="BW321" s="305"/>
      <c r="BX321" s="451"/>
      <c r="BY321" s="459"/>
      <c r="BZ321" s="459"/>
    </row>
    <row r="322" spans="2:78" x14ac:dyDescent="0.25">
      <c r="B322" s="149" t="s">
        <v>493</v>
      </c>
      <c r="C322" s="149"/>
      <c r="D322" s="149"/>
      <c r="E322" s="149"/>
      <c r="F322" s="149"/>
      <c r="G322" s="149"/>
      <c r="H322" s="151"/>
      <c r="I322" s="261"/>
      <c r="J322" s="261"/>
      <c r="K322" s="261"/>
      <c r="L322" s="261"/>
      <c r="M322" s="261"/>
      <c r="N322" s="151"/>
      <c r="O322" s="261"/>
      <c r="P322" s="261"/>
      <c r="Q322" s="261"/>
      <c r="R322" s="261"/>
      <c r="S322" s="261"/>
      <c r="T322" s="151"/>
      <c r="U322" s="261"/>
      <c r="V322" s="261"/>
      <c r="W322" s="261"/>
      <c r="X322" s="261"/>
      <c r="Y322" s="261"/>
      <c r="Z322" s="151"/>
      <c r="AA322" s="261"/>
      <c r="AB322" s="261"/>
      <c r="AC322" s="261"/>
      <c r="AD322" s="261"/>
      <c r="AE322" s="261"/>
      <c r="AF322" s="151"/>
      <c r="AG322" s="261"/>
      <c r="AH322" s="261"/>
      <c r="AI322" s="261"/>
      <c r="AJ322" s="261"/>
      <c r="AK322" s="261"/>
      <c r="AL322" s="151"/>
      <c r="AM322" s="261"/>
      <c r="AN322" s="261"/>
      <c r="AO322" s="261"/>
      <c r="AP322" s="261"/>
      <c r="AQ322" s="261"/>
      <c r="AR322" s="151"/>
      <c r="AS322" s="261"/>
      <c r="AT322" s="261"/>
      <c r="AU322" s="261"/>
      <c r="AV322" s="261"/>
      <c r="AW322" s="261"/>
      <c r="AX322" s="151"/>
      <c r="AY322" s="261"/>
      <c r="AZ322" s="261"/>
      <c r="BA322" s="261"/>
      <c r="BB322" s="261"/>
      <c r="BC322" s="261"/>
      <c r="BD322" s="151"/>
      <c r="BE322" s="261"/>
      <c r="BF322" s="261"/>
      <c r="BG322" s="261"/>
      <c r="BH322" s="261"/>
      <c r="BI322" s="261"/>
      <c r="BJ322" s="151"/>
      <c r="BK322" s="261"/>
      <c r="BL322" s="261"/>
      <c r="BM322" s="261"/>
      <c r="BN322" s="261"/>
      <c r="BO322" s="261"/>
      <c r="BP322" s="151"/>
      <c r="BQ322" s="261"/>
      <c r="BR322" s="261"/>
      <c r="BS322" s="261"/>
      <c r="BT322" s="261"/>
      <c r="BU322" s="261"/>
      <c r="BV322" s="365"/>
      <c r="BW322" s="305"/>
      <c r="BX322" s="451"/>
      <c r="BY322" s="459"/>
      <c r="BZ322" s="459"/>
    </row>
    <row r="323" spans="2:78" x14ac:dyDescent="0.25">
      <c r="B323" s="210" t="s">
        <v>494</v>
      </c>
      <c r="C323" s="210"/>
      <c r="D323" s="210"/>
      <c r="E323" s="210"/>
      <c r="F323" s="210"/>
      <c r="G323" s="210"/>
      <c r="H323" s="78"/>
      <c r="I323" s="507"/>
      <c r="J323" s="507"/>
      <c r="K323" s="508"/>
      <c r="L323" s="507"/>
      <c r="M323" s="507"/>
      <c r="N323" s="78"/>
      <c r="O323" s="507"/>
      <c r="P323" s="507"/>
      <c r="Q323" s="508"/>
      <c r="R323" s="507"/>
      <c r="S323" s="507"/>
      <c r="T323" s="78"/>
      <c r="U323" s="507"/>
      <c r="V323" s="507"/>
      <c r="W323" s="508"/>
      <c r="X323" s="507"/>
      <c r="Y323" s="507"/>
      <c r="Z323" s="78"/>
      <c r="AA323" s="507"/>
      <c r="AB323" s="507"/>
      <c r="AC323" s="508"/>
      <c r="AD323" s="507"/>
      <c r="AE323" s="507"/>
      <c r="AF323" s="78"/>
      <c r="AG323" s="507"/>
      <c r="AH323" s="507"/>
      <c r="AI323" s="508"/>
      <c r="AJ323" s="507"/>
      <c r="AK323" s="507"/>
      <c r="AL323" s="78"/>
      <c r="AM323" s="507"/>
      <c r="AN323" s="507"/>
      <c r="AO323" s="508"/>
      <c r="AP323" s="507"/>
      <c r="AQ323" s="507"/>
      <c r="AR323" s="78"/>
      <c r="AS323" s="507"/>
      <c r="AT323" s="507"/>
      <c r="AU323" s="508"/>
      <c r="AV323" s="507"/>
      <c r="AW323" s="507"/>
      <c r="AX323" s="78"/>
      <c r="AY323" s="507"/>
      <c r="AZ323" s="507"/>
      <c r="BA323" s="508"/>
      <c r="BB323" s="507"/>
      <c r="BC323" s="507"/>
      <c r="BD323" s="78"/>
      <c r="BE323" s="507"/>
      <c r="BF323" s="507"/>
      <c r="BG323" s="508"/>
      <c r="BH323" s="507"/>
      <c r="BI323" s="507"/>
      <c r="BJ323" s="78"/>
      <c r="BK323" s="507"/>
      <c r="BL323" s="507"/>
      <c r="BM323" s="508"/>
      <c r="BN323" s="507"/>
      <c r="BO323" s="507"/>
      <c r="BP323" s="78"/>
      <c r="BQ323" s="398">
        <v>0.12</v>
      </c>
      <c r="BR323" s="398">
        <v>0.12</v>
      </c>
      <c r="BS323" s="398">
        <v>0.12</v>
      </c>
      <c r="BT323" s="398">
        <v>0.12</v>
      </c>
      <c r="BU323" s="398">
        <v>0.12</v>
      </c>
      <c r="BV323" s="400" t="s">
        <v>510</v>
      </c>
      <c r="BW323" s="305"/>
      <c r="BX323" s="451"/>
      <c r="BY323" s="459"/>
      <c r="BZ323" s="459"/>
    </row>
    <row r="324" spans="2:78" x14ac:dyDescent="0.25">
      <c r="B324" s="210" t="s">
        <v>495</v>
      </c>
      <c r="C324" s="210"/>
      <c r="D324" s="210"/>
      <c r="E324" s="210"/>
      <c r="F324" s="210"/>
      <c r="G324" s="210"/>
      <c r="H324" s="78"/>
      <c r="I324" s="507"/>
      <c r="J324" s="507"/>
      <c r="K324" s="508"/>
      <c r="L324" s="507"/>
      <c r="M324" s="507"/>
      <c r="N324" s="78"/>
      <c r="O324" s="507"/>
      <c r="P324" s="507"/>
      <c r="Q324" s="508"/>
      <c r="R324" s="507"/>
      <c r="S324" s="507"/>
      <c r="T324" s="78"/>
      <c r="U324" s="507"/>
      <c r="V324" s="507"/>
      <c r="W324" s="508"/>
      <c r="X324" s="507"/>
      <c r="Y324" s="507"/>
      <c r="Z324" s="78"/>
      <c r="AA324" s="507"/>
      <c r="AB324" s="507"/>
      <c r="AC324" s="508"/>
      <c r="AD324" s="507"/>
      <c r="AE324" s="507"/>
      <c r="AF324" s="78"/>
      <c r="AG324" s="507"/>
      <c r="AH324" s="507"/>
      <c r="AI324" s="508"/>
      <c r="AJ324" s="507"/>
      <c r="AK324" s="507"/>
      <c r="AL324" s="78"/>
      <c r="AM324" s="507"/>
      <c r="AN324" s="507"/>
      <c r="AO324" s="508"/>
      <c r="AP324" s="507"/>
      <c r="AQ324" s="507"/>
      <c r="AR324" s="78"/>
      <c r="AS324" s="507"/>
      <c r="AT324" s="507"/>
      <c r="AU324" s="508"/>
      <c r="AV324" s="507"/>
      <c r="AW324" s="507"/>
      <c r="AX324" s="78"/>
      <c r="AY324" s="507"/>
      <c r="AZ324" s="507"/>
      <c r="BA324" s="508"/>
      <c r="BB324" s="507"/>
      <c r="BC324" s="507"/>
      <c r="BD324" s="78"/>
      <c r="BE324" s="507"/>
      <c r="BF324" s="507"/>
      <c r="BG324" s="508"/>
      <c r="BH324" s="507"/>
      <c r="BI324" s="507"/>
      <c r="BJ324" s="78"/>
      <c r="BK324" s="507"/>
      <c r="BL324" s="507"/>
      <c r="BM324" s="508"/>
      <c r="BN324" s="507"/>
      <c r="BO324" s="507"/>
      <c r="BP324" s="78"/>
      <c r="BQ324" s="398">
        <v>0.67</v>
      </c>
      <c r="BR324" s="398">
        <v>0.67</v>
      </c>
      <c r="BS324" s="398">
        <v>0.67</v>
      </c>
      <c r="BT324" s="398">
        <v>0.67</v>
      </c>
      <c r="BU324" s="398">
        <v>0.67</v>
      </c>
      <c r="BV324" s="400" t="s">
        <v>511</v>
      </c>
      <c r="BW324" s="305"/>
      <c r="BX324" s="451"/>
      <c r="BY324" s="459"/>
      <c r="BZ324" s="459"/>
    </row>
    <row r="325" spans="2:78" x14ac:dyDescent="0.25">
      <c r="B325" s="210" t="s">
        <v>496</v>
      </c>
      <c r="C325" s="210"/>
      <c r="D325" s="210"/>
      <c r="E325" s="210"/>
      <c r="F325" s="210"/>
      <c r="G325" s="210"/>
      <c r="H325" s="78"/>
      <c r="I325" s="507"/>
      <c r="J325" s="507"/>
      <c r="K325" s="508"/>
      <c r="L325" s="507"/>
      <c r="M325" s="507"/>
      <c r="N325" s="78"/>
      <c r="O325" s="507"/>
      <c r="P325" s="507"/>
      <c r="Q325" s="508"/>
      <c r="R325" s="507"/>
      <c r="S325" s="507"/>
      <c r="T325" s="78"/>
      <c r="U325" s="507"/>
      <c r="V325" s="507"/>
      <c r="W325" s="508"/>
      <c r="X325" s="507"/>
      <c r="Y325" s="507"/>
      <c r="Z325" s="78"/>
      <c r="AA325" s="507"/>
      <c r="AB325" s="507"/>
      <c r="AC325" s="508"/>
      <c r="AD325" s="507"/>
      <c r="AE325" s="507"/>
      <c r="AF325" s="78"/>
      <c r="AG325" s="507"/>
      <c r="AH325" s="507"/>
      <c r="AI325" s="508"/>
      <c r="AJ325" s="507"/>
      <c r="AK325" s="507"/>
      <c r="AL325" s="78"/>
      <c r="AM325" s="507"/>
      <c r="AN325" s="507"/>
      <c r="AO325" s="508"/>
      <c r="AP325" s="507"/>
      <c r="AQ325" s="507"/>
      <c r="AR325" s="78"/>
      <c r="AS325" s="507"/>
      <c r="AT325" s="507"/>
      <c r="AU325" s="508"/>
      <c r="AV325" s="507"/>
      <c r="AW325" s="507"/>
      <c r="AX325" s="78"/>
      <c r="AY325" s="507"/>
      <c r="AZ325" s="507"/>
      <c r="BA325" s="508"/>
      <c r="BB325" s="507"/>
      <c r="BC325" s="507"/>
      <c r="BD325" s="78"/>
      <c r="BE325" s="507"/>
      <c r="BF325" s="507"/>
      <c r="BG325" s="508"/>
      <c r="BH325" s="507"/>
      <c r="BI325" s="507"/>
      <c r="BJ325" s="78"/>
      <c r="BK325" s="507"/>
      <c r="BL325" s="507"/>
      <c r="BM325" s="508"/>
      <c r="BN325" s="507"/>
      <c r="BO325" s="507"/>
      <c r="BP325" s="78"/>
      <c r="BQ325" s="398">
        <v>0.21</v>
      </c>
      <c r="BR325" s="398">
        <v>0.21</v>
      </c>
      <c r="BS325" s="398">
        <v>0.21</v>
      </c>
      <c r="BT325" s="398">
        <v>0.21</v>
      </c>
      <c r="BU325" s="398">
        <v>0.21</v>
      </c>
      <c r="BV325" s="400" t="s">
        <v>512</v>
      </c>
      <c r="BW325" s="305"/>
      <c r="BX325" s="451"/>
      <c r="BY325" s="459"/>
      <c r="BZ325" s="459"/>
    </row>
    <row r="326" spans="2:78" x14ac:dyDescent="0.25">
      <c r="B326" s="210" t="s">
        <v>497</v>
      </c>
      <c r="C326" s="210"/>
      <c r="D326" s="210"/>
      <c r="E326" s="210"/>
      <c r="F326" s="210"/>
      <c r="G326" s="210"/>
      <c r="H326" s="78"/>
      <c r="I326" s="507"/>
      <c r="J326" s="507"/>
      <c r="K326" s="508"/>
      <c r="L326" s="507"/>
      <c r="M326" s="507"/>
      <c r="N326" s="78"/>
      <c r="O326" s="507"/>
      <c r="P326" s="507"/>
      <c r="Q326" s="508"/>
      <c r="R326" s="507"/>
      <c r="S326" s="507"/>
      <c r="T326" s="78"/>
      <c r="U326" s="507"/>
      <c r="V326" s="507"/>
      <c r="W326" s="508"/>
      <c r="X326" s="507"/>
      <c r="Y326" s="507"/>
      <c r="Z326" s="78"/>
      <c r="AA326" s="507"/>
      <c r="AB326" s="507"/>
      <c r="AC326" s="508"/>
      <c r="AD326" s="507"/>
      <c r="AE326" s="507"/>
      <c r="AF326" s="78"/>
      <c r="AG326" s="507"/>
      <c r="AH326" s="507"/>
      <c r="AI326" s="508"/>
      <c r="AJ326" s="507"/>
      <c r="AK326" s="507"/>
      <c r="AL326" s="78"/>
      <c r="AM326" s="507"/>
      <c r="AN326" s="507"/>
      <c r="AO326" s="508"/>
      <c r="AP326" s="507"/>
      <c r="AQ326" s="507"/>
      <c r="AR326" s="78"/>
      <c r="AS326" s="507"/>
      <c r="AT326" s="507"/>
      <c r="AU326" s="508"/>
      <c r="AV326" s="507"/>
      <c r="AW326" s="507"/>
      <c r="AX326" s="78"/>
      <c r="AY326" s="507"/>
      <c r="AZ326" s="507"/>
      <c r="BA326" s="508"/>
      <c r="BB326" s="507"/>
      <c r="BC326" s="507"/>
      <c r="BD326" s="78"/>
      <c r="BE326" s="507"/>
      <c r="BF326" s="507"/>
      <c r="BG326" s="508"/>
      <c r="BH326" s="507"/>
      <c r="BI326" s="507"/>
      <c r="BJ326" s="78"/>
      <c r="BK326" s="507"/>
      <c r="BL326" s="507"/>
      <c r="BM326" s="508"/>
      <c r="BN326" s="507"/>
      <c r="BO326" s="507"/>
      <c r="BP326" s="78"/>
      <c r="BQ326" s="398">
        <v>0.01</v>
      </c>
      <c r="BR326" s="398">
        <v>0.01</v>
      </c>
      <c r="BS326" s="398">
        <v>0.01</v>
      </c>
      <c r="BT326" s="398">
        <v>0.01</v>
      </c>
      <c r="BU326" s="398">
        <v>0.01</v>
      </c>
      <c r="BV326" s="400" t="s">
        <v>513</v>
      </c>
      <c r="BW326" s="305"/>
      <c r="BX326" s="451"/>
      <c r="BY326" s="459"/>
      <c r="BZ326" s="459"/>
    </row>
    <row r="327" spans="2:78" x14ac:dyDescent="0.25">
      <c r="B327" s="210" t="s">
        <v>498</v>
      </c>
      <c r="C327" s="210"/>
      <c r="D327" s="210"/>
      <c r="E327" s="210"/>
      <c r="F327" s="210"/>
      <c r="G327" s="210"/>
      <c r="H327" s="90"/>
      <c r="I327" s="227"/>
      <c r="J327" s="227"/>
      <c r="K327" s="228"/>
      <c r="L327" s="227"/>
      <c r="M327" s="227"/>
      <c r="N327" s="90"/>
      <c r="O327" s="227"/>
      <c r="P327" s="227"/>
      <c r="Q327" s="228"/>
      <c r="R327" s="227"/>
      <c r="S327" s="227"/>
      <c r="T327" s="90"/>
      <c r="U327" s="227"/>
      <c r="V327" s="227"/>
      <c r="W327" s="228"/>
      <c r="X327" s="227"/>
      <c r="Y327" s="227"/>
      <c r="Z327" s="90"/>
      <c r="AA327" s="227"/>
      <c r="AB327" s="227"/>
      <c r="AC327" s="228"/>
      <c r="AD327" s="227"/>
      <c r="AE327" s="227"/>
      <c r="AF327" s="90"/>
      <c r="AG327" s="227"/>
      <c r="AH327" s="227"/>
      <c r="AI327" s="228"/>
      <c r="AJ327" s="227"/>
      <c r="AK327" s="227"/>
      <c r="AL327" s="90"/>
      <c r="AM327" s="227"/>
      <c r="AN327" s="227"/>
      <c r="AO327" s="228"/>
      <c r="AP327" s="227"/>
      <c r="AQ327" s="227"/>
      <c r="AR327" s="90"/>
      <c r="AS327" s="227"/>
      <c r="AT327" s="227"/>
      <c r="AU327" s="228"/>
      <c r="AV327" s="227"/>
      <c r="AW327" s="227"/>
      <c r="AX327" s="90"/>
      <c r="AY327" s="227"/>
      <c r="AZ327" s="227"/>
      <c r="BA327" s="228"/>
      <c r="BB327" s="227"/>
      <c r="BC327" s="227"/>
      <c r="BD327" s="90"/>
      <c r="BE327" s="227"/>
      <c r="BF327" s="227"/>
      <c r="BG327" s="228"/>
      <c r="BH327" s="227"/>
      <c r="BI327" s="227"/>
      <c r="BJ327" s="90"/>
      <c r="BK327" s="227"/>
      <c r="BL327" s="227"/>
      <c r="BM327" s="228"/>
      <c r="BN327" s="227"/>
      <c r="BO327" s="227"/>
      <c r="BP327" s="90"/>
      <c r="BQ327" s="368">
        <v>3000</v>
      </c>
      <c r="BR327" s="368">
        <v>3000</v>
      </c>
      <c r="BS327" s="368">
        <v>3000</v>
      </c>
      <c r="BT327" s="368">
        <v>0</v>
      </c>
      <c r="BU327" s="368">
        <v>0</v>
      </c>
      <c r="BV327" s="400" t="s">
        <v>514</v>
      </c>
      <c r="BW327" s="305"/>
      <c r="BX327" s="451"/>
      <c r="BY327" s="459"/>
      <c r="BZ327" s="459"/>
    </row>
    <row r="328" spans="2:78" x14ac:dyDescent="0.25">
      <c r="B328" s="226"/>
      <c r="C328" s="226"/>
      <c r="D328" s="226"/>
      <c r="E328" s="226"/>
      <c r="F328" s="226"/>
      <c r="G328" s="226"/>
      <c r="H328" s="90"/>
      <c r="I328" s="227"/>
      <c r="J328" s="227"/>
      <c r="K328" s="228"/>
      <c r="L328" s="227"/>
      <c r="M328" s="227"/>
      <c r="N328" s="90"/>
      <c r="O328" s="227"/>
      <c r="P328" s="227"/>
      <c r="Q328" s="228"/>
      <c r="R328" s="227"/>
      <c r="S328" s="227"/>
      <c r="T328" s="90"/>
      <c r="U328" s="227"/>
      <c r="V328" s="227"/>
      <c r="W328" s="228"/>
      <c r="X328" s="227"/>
      <c r="Y328" s="227"/>
      <c r="Z328" s="90"/>
      <c r="AA328" s="227"/>
      <c r="AB328" s="227"/>
      <c r="AC328" s="228"/>
      <c r="AD328" s="227"/>
      <c r="AE328" s="227"/>
      <c r="AF328" s="90"/>
      <c r="AG328" s="227"/>
      <c r="AH328" s="227"/>
      <c r="AI328" s="228"/>
      <c r="AJ328" s="227"/>
      <c r="AK328" s="227"/>
      <c r="AL328" s="90"/>
      <c r="AM328" s="227"/>
      <c r="AN328" s="227"/>
      <c r="AO328" s="228"/>
      <c r="AP328" s="227"/>
      <c r="AQ328" s="227"/>
      <c r="AR328" s="90"/>
      <c r="AS328" s="227"/>
      <c r="AT328" s="227"/>
      <c r="AU328" s="228"/>
      <c r="AV328" s="227"/>
      <c r="AW328" s="227"/>
      <c r="AX328" s="90"/>
      <c r="AY328" s="227"/>
      <c r="AZ328" s="227"/>
      <c r="BA328" s="228"/>
      <c r="BB328" s="227"/>
      <c r="BC328" s="227"/>
      <c r="BD328" s="90"/>
      <c r="BE328" s="227"/>
      <c r="BF328" s="227"/>
      <c r="BG328" s="228"/>
      <c r="BH328" s="227"/>
      <c r="BI328" s="227"/>
      <c r="BJ328" s="90"/>
      <c r="BK328" s="227"/>
      <c r="BL328" s="227"/>
      <c r="BM328" s="228"/>
      <c r="BN328" s="227"/>
      <c r="BO328" s="227"/>
      <c r="BP328" s="90"/>
      <c r="BQ328" s="373"/>
      <c r="BR328" s="373"/>
      <c r="BS328" s="373"/>
      <c r="BT328" s="373"/>
      <c r="BU328" s="373"/>
      <c r="BV328" s="365"/>
      <c r="BW328" s="305"/>
      <c r="BX328" s="451"/>
      <c r="BY328" s="459"/>
      <c r="BZ328" s="459"/>
    </row>
    <row r="329" spans="2:78" x14ac:dyDescent="0.25">
      <c r="B329" s="149" t="s">
        <v>499</v>
      </c>
      <c r="C329" s="149"/>
      <c r="D329" s="149"/>
      <c r="E329" s="149"/>
      <c r="F329" s="149"/>
      <c r="G329" s="149"/>
      <c r="H329" s="151"/>
      <c r="I329" s="261"/>
      <c r="J329" s="261"/>
      <c r="K329" s="261"/>
      <c r="L329" s="261"/>
      <c r="M329" s="261"/>
      <c r="N329" s="151"/>
      <c r="O329" s="261"/>
      <c r="P329" s="261"/>
      <c r="Q329" s="261"/>
      <c r="R329" s="261"/>
      <c r="S329" s="261"/>
      <c r="T329" s="151"/>
      <c r="U329" s="261"/>
      <c r="V329" s="261"/>
      <c r="W329" s="261"/>
      <c r="X329" s="261"/>
      <c r="Y329" s="261"/>
      <c r="Z329" s="151"/>
      <c r="AA329" s="261"/>
      <c r="AB329" s="261"/>
      <c r="AC329" s="261"/>
      <c r="AD329" s="261"/>
      <c r="AE329" s="261"/>
      <c r="AF329" s="151"/>
      <c r="AG329" s="261"/>
      <c r="AH329" s="261"/>
      <c r="AI329" s="261"/>
      <c r="AJ329" s="261"/>
      <c r="AK329" s="261"/>
      <c r="AL329" s="151"/>
      <c r="AM329" s="261"/>
      <c r="AN329" s="261"/>
      <c r="AO329" s="261"/>
      <c r="AP329" s="261"/>
      <c r="AQ329" s="261"/>
      <c r="AR329" s="151"/>
      <c r="AS329" s="261"/>
      <c r="AT329" s="261"/>
      <c r="AU329" s="261"/>
      <c r="AV329" s="261"/>
      <c r="AW329" s="261"/>
      <c r="AX329" s="151"/>
      <c r="AY329" s="261"/>
      <c r="AZ329" s="261"/>
      <c r="BA329" s="261"/>
      <c r="BB329" s="261"/>
      <c r="BC329" s="261"/>
      <c r="BD329" s="151"/>
      <c r="BE329" s="261"/>
      <c r="BF329" s="261"/>
      <c r="BG329" s="261"/>
      <c r="BH329" s="261"/>
      <c r="BI329" s="261"/>
      <c r="BJ329" s="151"/>
      <c r="BK329" s="261"/>
      <c r="BL329" s="261"/>
      <c r="BM329" s="261"/>
      <c r="BN329" s="261"/>
      <c r="BO329" s="261"/>
      <c r="BP329" s="151"/>
      <c r="BQ329" s="261"/>
      <c r="BR329" s="261"/>
      <c r="BS329" s="261"/>
      <c r="BT329" s="261"/>
      <c r="BU329" s="261"/>
      <c r="BV329" s="365"/>
      <c r="BW329" s="305"/>
      <c r="BX329" s="451"/>
      <c r="BY329" s="459"/>
      <c r="BZ329" s="459"/>
    </row>
    <row r="330" spans="2:78" x14ac:dyDescent="0.25">
      <c r="B330" s="210" t="s">
        <v>500</v>
      </c>
      <c r="C330" s="210"/>
      <c r="D330" s="210"/>
      <c r="E330" s="210"/>
      <c r="F330" s="210"/>
      <c r="G330" s="210"/>
      <c r="H330" s="395">
        <f>IFERROR(H269/H146,"n/a")</f>
        <v>2.3393422320077059E-3</v>
      </c>
      <c r="I330" s="509"/>
      <c r="J330" s="509"/>
      <c r="K330" s="510"/>
      <c r="L330" s="509"/>
      <c r="M330" s="509"/>
      <c r="N330" s="395">
        <f>IFERROR(N269/N146,"n/a")</f>
        <v>4.679173985563936E-3</v>
      </c>
      <c r="O330" s="509"/>
      <c r="P330" s="509"/>
      <c r="Q330" s="510"/>
      <c r="R330" s="509"/>
      <c r="S330" s="509"/>
      <c r="T330" s="395">
        <f>IFERROR(T269/T146,"n/a")</f>
        <v>3.4311958451823071E-3</v>
      </c>
      <c r="U330" s="509"/>
      <c r="V330" s="509"/>
      <c r="W330" s="510"/>
      <c r="X330" s="509"/>
      <c r="Y330" s="509"/>
      <c r="Z330" s="395">
        <f>IFERROR(Z269/Z146,"n/a")</f>
        <v>3.6810747220219348E-3</v>
      </c>
      <c r="AA330" s="509"/>
      <c r="AB330" s="509"/>
      <c r="AC330" s="510"/>
      <c r="AD330" s="509"/>
      <c r="AE330" s="509"/>
      <c r="AF330" s="395">
        <f>IFERROR(AF269/AF146,"n/a")</f>
        <v>5.2164179892503779E-3</v>
      </c>
      <c r="AG330" s="509"/>
      <c r="AH330" s="509"/>
      <c r="AI330" s="510"/>
      <c r="AJ330" s="509"/>
      <c r="AK330" s="509"/>
      <c r="AL330" s="395">
        <f>IFERROR(AL269/AL146,"n/a")</f>
        <v>3.2087775592588761E-3</v>
      </c>
      <c r="AM330" s="509"/>
      <c r="AN330" s="509"/>
      <c r="AO330" s="510"/>
      <c r="AP330" s="509"/>
      <c r="AQ330" s="509"/>
      <c r="AR330" s="395">
        <f>IFERROR(AR269/AR146,"n/a")</f>
        <v>1.3137252750869417E-2</v>
      </c>
      <c r="AS330" s="509"/>
      <c r="AT330" s="509"/>
      <c r="AU330" s="510"/>
      <c r="AV330" s="509"/>
      <c r="AW330" s="509"/>
      <c r="AX330" s="395">
        <f>IFERROR(AX269/AX146,"n/a")</f>
        <v>1.0442789552967135E-2</v>
      </c>
      <c r="AY330" s="509"/>
      <c r="AZ330" s="509"/>
      <c r="BA330" s="510"/>
      <c r="BB330" s="509"/>
      <c r="BC330" s="509"/>
      <c r="BD330" s="395">
        <f>IFERROR(BD269/BD146,"n/a")</f>
        <v>1.6321252113937063E-2</v>
      </c>
      <c r="BE330" s="509"/>
      <c r="BF330" s="509"/>
      <c r="BG330" s="510"/>
      <c r="BH330" s="509"/>
      <c r="BI330" s="509"/>
      <c r="BJ330" s="395">
        <f>IFERROR(BJ269/BJ146,"n/a")</f>
        <v>2.0059124148743911E-2</v>
      </c>
      <c r="BK330" s="509"/>
      <c r="BL330" s="509"/>
      <c r="BM330" s="510"/>
      <c r="BN330" s="509"/>
      <c r="BO330" s="509"/>
      <c r="BP330" s="395">
        <f>IFERROR(BP269/BP146,"n/a")</f>
        <v>1.3496084194864371E-2</v>
      </c>
      <c r="BQ330" s="398">
        <v>1.35E-2</v>
      </c>
      <c r="BR330" s="398">
        <v>1.35E-2</v>
      </c>
      <c r="BS330" s="398">
        <v>1.35E-2</v>
      </c>
      <c r="BT330" s="398">
        <v>1.35E-2</v>
      </c>
      <c r="BU330" s="398">
        <v>1.35E-2</v>
      </c>
      <c r="BV330" s="400" t="s">
        <v>515</v>
      </c>
      <c r="BW330" s="305"/>
      <c r="BX330" s="451"/>
      <c r="BY330" s="459"/>
      <c r="BZ330" s="459"/>
    </row>
    <row r="331" spans="2:78" x14ac:dyDescent="0.25">
      <c r="B331" s="210" t="s">
        <v>501</v>
      </c>
      <c r="C331" s="210"/>
      <c r="D331" s="210"/>
      <c r="E331" s="210"/>
      <c r="F331" s="210"/>
      <c r="G331" s="210"/>
      <c r="H331" s="395">
        <f>IFERROR(H276/H146,"n/a")</f>
        <v>2.4219072519609194E-2</v>
      </c>
      <c r="I331" s="509"/>
      <c r="J331" s="509"/>
      <c r="K331" s="510"/>
      <c r="L331" s="509"/>
      <c r="M331" s="509"/>
      <c r="N331" s="395">
        <f>IFERROR(N276/N146,"n/a")</f>
        <v>3.1617636205293224E-2</v>
      </c>
      <c r="O331" s="509"/>
      <c r="P331" s="509"/>
      <c r="Q331" s="510"/>
      <c r="R331" s="509"/>
      <c r="S331" s="509"/>
      <c r="T331" s="395">
        <f>IFERROR(T276/T146,"n/a")</f>
        <v>2.3738000827759308E-2</v>
      </c>
      <c r="U331" s="509"/>
      <c r="V331" s="509"/>
      <c r="W331" s="510"/>
      <c r="X331" s="509"/>
      <c r="Y331" s="509"/>
      <c r="Z331" s="395">
        <f>IFERROR(Z276/Z146,"n/a")</f>
        <v>2.1023870061857235E-2</v>
      </c>
      <c r="AA331" s="509"/>
      <c r="AB331" s="509"/>
      <c r="AC331" s="510"/>
      <c r="AD331" s="509"/>
      <c r="AE331" s="509"/>
      <c r="AF331" s="395">
        <f>IFERROR(AF276/AF146,"n/a")</f>
        <v>3.6008067496647346E-2</v>
      </c>
      <c r="AG331" s="509"/>
      <c r="AH331" s="509"/>
      <c r="AI331" s="510"/>
      <c r="AJ331" s="509"/>
      <c r="AK331" s="509"/>
      <c r="AL331" s="395">
        <f>IFERROR(AL276/AL146,"n/a")</f>
        <v>2.272884104475037E-2</v>
      </c>
      <c r="AM331" s="509"/>
      <c r="AN331" s="509"/>
      <c r="AO331" s="510"/>
      <c r="AP331" s="509"/>
      <c r="AQ331" s="509"/>
      <c r="AR331" s="395">
        <f>IFERROR(AR276/AR146,"n/a")</f>
        <v>2.1990499489868684E-2</v>
      </c>
      <c r="AS331" s="509"/>
      <c r="AT331" s="509"/>
      <c r="AU331" s="510"/>
      <c r="AV331" s="509"/>
      <c r="AW331" s="509"/>
      <c r="AX331" s="395">
        <f>IFERROR(AX276/AX146,"n/a")</f>
        <v>1.7732798676086819E-2</v>
      </c>
      <c r="AY331" s="509"/>
      <c r="AZ331" s="509"/>
      <c r="BA331" s="510"/>
      <c r="BB331" s="509"/>
      <c r="BC331" s="509"/>
      <c r="BD331" s="395">
        <f>IFERROR(BD276/BD146,"n/a")</f>
        <v>2.8404682163345161E-2</v>
      </c>
      <c r="BE331" s="509"/>
      <c r="BF331" s="509"/>
      <c r="BG331" s="510"/>
      <c r="BH331" s="509"/>
      <c r="BI331" s="509"/>
      <c r="BJ331" s="395">
        <f>IFERROR(BJ276/BJ146,"n/a")</f>
        <v>2.5827917609182197E-2</v>
      </c>
      <c r="BK331" s="509"/>
      <c r="BL331" s="509"/>
      <c r="BM331" s="510"/>
      <c r="BN331" s="509"/>
      <c r="BO331" s="509"/>
      <c r="BP331" s="395">
        <f>IFERROR(BP276/BP146,"n/a")</f>
        <v>3.1674153260205958E-2</v>
      </c>
      <c r="BQ331" s="398">
        <v>3.1699999999999999E-2</v>
      </c>
      <c r="BR331" s="398">
        <v>3.1699999999999999E-2</v>
      </c>
      <c r="BS331" s="398">
        <v>3.1699999999999999E-2</v>
      </c>
      <c r="BT331" s="398">
        <v>3.1699999999999999E-2</v>
      </c>
      <c r="BU331" s="398">
        <v>3.1699999999999999E-2</v>
      </c>
      <c r="BV331" s="400" t="s">
        <v>516</v>
      </c>
      <c r="BW331" s="305"/>
      <c r="BX331" s="451"/>
      <c r="BY331" s="459"/>
      <c r="BZ331" s="459"/>
    </row>
    <row r="332" spans="2:78" x14ac:dyDescent="0.25">
      <c r="B332" s="210" t="s">
        <v>502</v>
      </c>
      <c r="C332" s="210"/>
      <c r="D332" s="210"/>
      <c r="E332" s="210"/>
      <c r="F332" s="210"/>
      <c r="G332" s="210"/>
      <c r="H332" s="395">
        <f>IFERROR(H303/H146,"n/a")</f>
        <v>4.6138119483378877E-2</v>
      </c>
      <c r="I332" s="509"/>
      <c r="J332" s="509"/>
      <c r="K332" s="510"/>
      <c r="L332" s="509"/>
      <c r="M332" s="509"/>
      <c r="N332" s="395">
        <f>IFERROR(N303/N146,"n/a")</f>
        <v>5.7257147917988992E-2</v>
      </c>
      <c r="O332" s="509"/>
      <c r="P332" s="509"/>
      <c r="Q332" s="510"/>
      <c r="R332" s="509"/>
      <c r="S332" s="509"/>
      <c r="T332" s="395">
        <f>IFERROR(T303/T146,"n/a")</f>
        <v>5.277633142414654E-2</v>
      </c>
      <c r="U332" s="509"/>
      <c r="V332" s="509"/>
      <c r="W332" s="510"/>
      <c r="X332" s="509"/>
      <c r="Y332" s="509"/>
      <c r="Z332" s="395">
        <f>IFERROR(Z303/Z146,"n/a")</f>
        <v>5.169949274537336E-2</v>
      </c>
      <c r="AA332" s="509"/>
      <c r="AB332" s="509"/>
      <c r="AC332" s="510"/>
      <c r="AD332" s="509"/>
      <c r="AE332" s="509"/>
      <c r="AF332" s="395">
        <f>IFERROR(AF303/AF146,"n/a")</f>
        <v>7.6039323766380507E-2</v>
      </c>
      <c r="AG332" s="509"/>
      <c r="AH332" s="509"/>
      <c r="AI332" s="510"/>
      <c r="AJ332" s="509"/>
      <c r="AK332" s="509"/>
      <c r="AL332" s="395">
        <f>IFERROR(AL303/AL146,"n/a")</f>
        <v>5.4480212538384573E-2</v>
      </c>
      <c r="AM332" s="509"/>
      <c r="AN332" s="509"/>
      <c r="AO332" s="510"/>
      <c r="AP332" s="509"/>
      <c r="AQ332" s="509"/>
      <c r="AR332" s="395">
        <f>IFERROR(AR303/AR146,"n/a")</f>
        <v>5.6262547584829903E-2</v>
      </c>
      <c r="AS332" s="509"/>
      <c r="AT332" s="509"/>
      <c r="AU332" s="510"/>
      <c r="AV332" s="509"/>
      <c r="AW332" s="509"/>
      <c r="AX332" s="395">
        <f>IFERROR(AX303/AX146,"n/a")</f>
        <v>4.0905522669891586E-2</v>
      </c>
      <c r="AY332" s="509"/>
      <c r="AZ332" s="509"/>
      <c r="BA332" s="510"/>
      <c r="BB332" s="509"/>
      <c r="BC332" s="509"/>
      <c r="BD332" s="395">
        <f>IFERROR(BD303/BD146,"n/a")</f>
        <v>5.3970885698179524E-2</v>
      </c>
      <c r="BE332" s="509"/>
      <c r="BF332" s="509"/>
      <c r="BG332" s="510"/>
      <c r="BH332" s="509"/>
      <c r="BI332" s="509"/>
      <c r="BJ332" s="395">
        <f>IFERROR(BJ303/BJ146,"n/a")</f>
        <v>5.2038825655571913E-2</v>
      </c>
      <c r="BK332" s="509"/>
      <c r="BL332" s="509"/>
      <c r="BM332" s="510"/>
      <c r="BN332" s="509"/>
      <c r="BO332" s="509"/>
      <c r="BP332" s="395">
        <f>IFERROR(BP303/BP146,"n/a")</f>
        <v>7.728509568149565E-2</v>
      </c>
      <c r="BQ332" s="398">
        <v>7.7299999999999994E-2</v>
      </c>
      <c r="BR332" s="398">
        <v>7.4999999999999997E-2</v>
      </c>
      <c r="BS332" s="398">
        <v>7.2499999999999995E-2</v>
      </c>
      <c r="BT332" s="398">
        <v>7.0000000000000007E-2</v>
      </c>
      <c r="BU332" s="398">
        <v>6.8000000000000005E-2</v>
      </c>
      <c r="BV332" s="400" t="s">
        <v>517</v>
      </c>
      <c r="BW332" s="305"/>
      <c r="BX332" s="451"/>
      <c r="BY332" s="459"/>
      <c r="BZ332" s="459"/>
    </row>
    <row r="333" spans="2:78" x14ac:dyDescent="0.25">
      <c r="B333" s="210" t="s">
        <v>503</v>
      </c>
      <c r="C333" s="210"/>
      <c r="D333" s="210"/>
      <c r="E333" s="210"/>
      <c r="F333" s="210"/>
      <c r="G333" s="210"/>
      <c r="H333" s="395">
        <f>IFERROR(H302/H146,"n/a")</f>
        <v>5.3077512827065599E-3</v>
      </c>
      <c r="I333" s="509"/>
      <c r="J333" s="509"/>
      <c r="K333" s="510"/>
      <c r="L333" s="509"/>
      <c r="M333" s="509"/>
      <c r="N333" s="395">
        <f>IFERROR(N302/N146,"n/a")</f>
        <v>6.8194901619259892E-3</v>
      </c>
      <c r="O333" s="509"/>
      <c r="P333" s="509"/>
      <c r="Q333" s="510"/>
      <c r="R333" s="509"/>
      <c r="S333" s="509"/>
      <c r="T333" s="395">
        <f>IFERROR(T302/T146,"n/a")</f>
        <v>5.1134163762833603E-3</v>
      </c>
      <c r="U333" s="509"/>
      <c r="V333" s="509"/>
      <c r="W333" s="510"/>
      <c r="X333" s="509"/>
      <c r="Y333" s="509"/>
      <c r="Z333" s="395">
        <f>IFERROR(Z302/Z146,"n/a")</f>
        <v>5.2116934208695431E-3</v>
      </c>
      <c r="AA333" s="509"/>
      <c r="AB333" s="509"/>
      <c r="AC333" s="510"/>
      <c r="AD333" s="509"/>
      <c r="AE333" s="509"/>
      <c r="AF333" s="395">
        <f>IFERROR(AF302/AF146,"n/a")</f>
        <v>1.2217400027454832E-2</v>
      </c>
      <c r="AG333" s="509"/>
      <c r="AH333" s="509"/>
      <c r="AI333" s="510"/>
      <c r="AJ333" s="509"/>
      <c r="AK333" s="509"/>
      <c r="AL333" s="395">
        <f>IFERROR(AL302/AL146,"n/a")</f>
        <v>1.3154262843735984E-2</v>
      </c>
      <c r="AM333" s="509"/>
      <c r="AN333" s="509"/>
      <c r="AO333" s="510"/>
      <c r="AP333" s="509"/>
      <c r="AQ333" s="509"/>
      <c r="AR333" s="395">
        <f>IFERROR(AR302/AR146,"n/a")</f>
        <v>1.0098405976764341E-2</v>
      </c>
      <c r="AS333" s="509"/>
      <c r="AT333" s="509"/>
      <c r="AU333" s="510"/>
      <c r="AV333" s="509"/>
      <c r="AW333" s="509"/>
      <c r="AX333" s="395">
        <f>IFERROR(AX302/AX146,"n/a")</f>
        <v>1.0213650733032058E-2</v>
      </c>
      <c r="AY333" s="509"/>
      <c r="AZ333" s="509"/>
      <c r="BA333" s="510"/>
      <c r="BB333" s="509"/>
      <c r="BC333" s="509"/>
      <c r="BD333" s="395">
        <f>IFERROR(BD302/BD146,"n/a")</f>
        <v>1.3045064164207315E-2</v>
      </c>
      <c r="BE333" s="509"/>
      <c r="BF333" s="509"/>
      <c r="BG333" s="510"/>
      <c r="BH333" s="509"/>
      <c r="BI333" s="509"/>
      <c r="BJ333" s="395">
        <f>IFERROR(BJ302/BJ146,"n/a")</f>
        <v>8.9942910487953755E-3</v>
      </c>
      <c r="BK333" s="509"/>
      <c r="BL333" s="509"/>
      <c r="BM333" s="510"/>
      <c r="BN333" s="509"/>
      <c r="BO333" s="509"/>
      <c r="BP333" s="395">
        <f>IFERROR(BP302/BP146,"n/a")</f>
        <v>2.6236096566948745E-2</v>
      </c>
      <c r="BQ333" s="398">
        <v>2.5000000000000001E-2</v>
      </c>
      <c r="BR333" s="398">
        <v>2.1999999999999999E-2</v>
      </c>
      <c r="BS333" s="398">
        <v>1.9E-2</v>
      </c>
      <c r="BT333" s="398">
        <v>1.7000000000000001E-2</v>
      </c>
      <c r="BU333" s="398">
        <v>1.4999999999999999E-2</v>
      </c>
      <c r="BV333" s="400" t="s">
        <v>518</v>
      </c>
      <c r="BW333" s="305"/>
      <c r="BX333" s="451"/>
      <c r="BY333" s="459"/>
      <c r="BZ333" s="459"/>
    </row>
    <row r="334" spans="2:78" x14ac:dyDescent="0.25">
      <c r="B334" s="210" t="s">
        <v>504</v>
      </c>
      <c r="C334" s="210"/>
      <c r="D334" s="210"/>
      <c r="E334" s="210"/>
      <c r="F334" s="210"/>
      <c r="G334" s="210"/>
      <c r="H334" s="395">
        <f>IFERROR(H304/H146,"n/a")</f>
        <v>5.7009180443885277E-3</v>
      </c>
      <c r="I334" s="509"/>
      <c r="J334" s="509"/>
      <c r="K334" s="510"/>
      <c r="L334" s="509"/>
      <c r="M334" s="509"/>
      <c r="N334" s="395">
        <f>IFERROR(N304/N146,"n/a")</f>
        <v>8.989327940720623E-3</v>
      </c>
      <c r="O334" s="509"/>
      <c r="P334" s="509"/>
      <c r="Q334" s="510"/>
      <c r="R334" s="509"/>
      <c r="S334" s="509"/>
      <c r="T334" s="395">
        <f>IFERROR(T304/T146,"n/a")</f>
        <v>4.392464720097195E-3</v>
      </c>
      <c r="U334" s="509"/>
      <c r="V334" s="509"/>
      <c r="W334" s="510"/>
      <c r="X334" s="509"/>
      <c r="Y334" s="509"/>
      <c r="Z334" s="395">
        <f>IFERROR(Z304/Z146,"n/a")</f>
        <v>5.74298255600673E-3</v>
      </c>
      <c r="AA334" s="509"/>
      <c r="AB334" s="509"/>
      <c r="AC334" s="510"/>
      <c r="AD334" s="509"/>
      <c r="AE334" s="509"/>
      <c r="AF334" s="395">
        <f>IFERROR(AF304/AF146,"n/a")</f>
        <v>9.9259775503954557E-3</v>
      </c>
      <c r="AG334" s="509"/>
      <c r="AH334" s="509"/>
      <c r="AI334" s="510"/>
      <c r="AJ334" s="509"/>
      <c r="AK334" s="509"/>
      <c r="AL334" s="395">
        <f>IFERROR(AL304/AL146,"n/a")</f>
        <v>1.2067418831728944E-2</v>
      </c>
      <c r="AM334" s="509"/>
      <c r="AN334" s="509"/>
      <c r="AO334" s="510"/>
      <c r="AP334" s="509"/>
      <c r="AQ334" s="509"/>
      <c r="AR334" s="395">
        <f>IFERROR(AR304/AR146,"n/a")</f>
        <v>1.6861759898193149E-2</v>
      </c>
      <c r="AS334" s="509"/>
      <c r="AT334" s="509"/>
      <c r="AU334" s="510"/>
      <c r="AV334" s="509"/>
      <c r="AW334" s="509"/>
      <c r="AX334" s="395">
        <f>IFERROR(AX304/AX146,"n/a")</f>
        <v>1.3807735556828548E-2</v>
      </c>
      <c r="AY334" s="509"/>
      <c r="AZ334" s="509"/>
      <c r="BA334" s="510"/>
      <c r="BB334" s="509"/>
      <c r="BC334" s="509"/>
      <c r="BD334" s="395">
        <f>IFERROR(BD304/BD146,"n/a")</f>
        <v>8.329741021984945E-3</v>
      </c>
      <c r="BE334" s="509"/>
      <c r="BF334" s="509"/>
      <c r="BG334" s="510"/>
      <c r="BH334" s="509"/>
      <c r="BI334" s="509"/>
      <c r="BJ334" s="395">
        <f>IFERROR(BJ304/BJ146,"n/a")</f>
        <v>1.110073845343674E-2</v>
      </c>
      <c r="BK334" s="509"/>
      <c r="BL334" s="509"/>
      <c r="BM334" s="510"/>
      <c r="BN334" s="509"/>
      <c r="BO334" s="509"/>
      <c r="BP334" s="395">
        <f>IFERROR(BP304/BP146,"n/a")</f>
        <v>1.4430055270063195E-2</v>
      </c>
      <c r="BQ334" s="398">
        <v>1.44E-2</v>
      </c>
      <c r="BR334" s="398">
        <v>1.44E-2</v>
      </c>
      <c r="BS334" s="398">
        <v>1.44E-2</v>
      </c>
      <c r="BT334" s="398">
        <v>1.44E-2</v>
      </c>
      <c r="BU334" s="398">
        <v>1.44E-2</v>
      </c>
      <c r="BV334" s="400" t="s">
        <v>519</v>
      </c>
      <c r="BW334" s="305"/>
      <c r="BX334" s="451"/>
      <c r="BY334" s="459"/>
      <c r="BZ334" s="459"/>
    </row>
    <row r="335" spans="2:78" x14ac:dyDescent="0.25">
      <c r="B335" s="226"/>
      <c r="C335" s="226"/>
      <c r="D335" s="226"/>
      <c r="E335" s="226"/>
      <c r="F335" s="226"/>
      <c r="G335" s="226"/>
      <c r="H335" s="90"/>
      <c r="I335" s="227"/>
      <c r="J335" s="227"/>
      <c r="K335" s="228"/>
      <c r="L335" s="227"/>
      <c r="M335" s="227"/>
      <c r="N335" s="90"/>
      <c r="O335" s="227"/>
      <c r="P335" s="227"/>
      <c r="Q335" s="228"/>
      <c r="R335" s="227"/>
      <c r="S335" s="227"/>
      <c r="T335" s="90"/>
      <c r="U335" s="227"/>
      <c r="V335" s="227"/>
      <c r="W335" s="228"/>
      <c r="X335" s="227"/>
      <c r="Y335" s="227"/>
      <c r="Z335" s="90"/>
      <c r="AA335" s="227"/>
      <c r="AB335" s="227"/>
      <c r="AC335" s="228"/>
      <c r="AD335" s="227"/>
      <c r="AE335" s="227"/>
      <c r="AF335" s="90"/>
      <c r="AG335" s="227"/>
      <c r="AH335" s="227"/>
      <c r="AI335" s="228"/>
      <c r="AJ335" s="227"/>
      <c r="AK335" s="227"/>
      <c r="AL335" s="90"/>
      <c r="AM335" s="227"/>
      <c r="AN335" s="227"/>
      <c r="AO335" s="228"/>
      <c r="AP335" s="227"/>
      <c r="AQ335" s="227"/>
      <c r="AR335" s="90"/>
      <c r="AS335" s="227"/>
      <c r="AT335" s="227"/>
      <c r="AU335" s="228"/>
      <c r="AV335" s="227"/>
      <c r="AW335" s="227"/>
      <c r="AX335" s="90"/>
      <c r="AY335" s="227"/>
      <c r="AZ335" s="227"/>
      <c r="BA335" s="228"/>
      <c r="BB335" s="227"/>
      <c r="BC335" s="227"/>
      <c r="BD335" s="90"/>
      <c r="BE335" s="227"/>
      <c r="BF335" s="227"/>
      <c r="BG335" s="228"/>
      <c r="BH335" s="227"/>
      <c r="BI335" s="227"/>
      <c r="BJ335" s="90"/>
      <c r="BK335" s="227"/>
      <c r="BL335" s="227"/>
      <c r="BM335" s="228"/>
      <c r="BN335" s="227"/>
      <c r="BO335" s="227"/>
      <c r="BP335" s="90"/>
      <c r="BQ335" s="373"/>
      <c r="BR335" s="373"/>
      <c r="BS335" s="373"/>
      <c r="BT335" s="373"/>
      <c r="BU335" s="373"/>
      <c r="BV335" s="365"/>
      <c r="BW335" s="305"/>
      <c r="BX335" s="451"/>
      <c r="BY335" s="459"/>
      <c r="BZ335" s="459"/>
    </row>
    <row r="336" spans="2:78" x14ac:dyDescent="0.25">
      <c r="B336" s="149" t="s">
        <v>505</v>
      </c>
      <c r="C336" s="149"/>
      <c r="D336" s="149"/>
      <c r="E336" s="149"/>
      <c r="F336" s="149"/>
      <c r="G336" s="149"/>
      <c r="H336" s="151"/>
      <c r="I336" s="261"/>
      <c r="J336" s="261"/>
      <c r="K336" s="261"/>
      <c r="L336" s="261"/>
      <c r="M336" s="261"/>
      <c r="N336" s="151"/>
      <c r="O336" s="261"/>
      <c r="P336" s="261"/>
      <c r="Q336" s="261"/>
      <c r="R336" s="261"/>
      <c r="S336" s="261"/>
      <c r="T336" s="151"/>
      <c r="U336" s="261"/>
      <c r="V336" s="261"/>
      <c r="W336" s="261"/>
      <c r="X336" s="261"/>
      <c r="Y336" s="261"/>
      <c r="Z336" s="151"/>
      <c r="AA336" s="261"/>
      <c r="AB336" s="261"/>
      <c r="AC336" s="261"/>
      <c r="AD336" s="261"/>
      <c r="AE336" s="261"/>
      <c r="AF336" s="151"/>
      <c r="AG336" s="261"/>
      <c r="AH336" s="261"/>
      <c r="AI336" s="261"/>
      <c r="AJ336" s="261"/>
      <c r="AK336" s="261"/>
      <c r="AL336" s="151"/>
      <c r="AM336" s="261"/>
      <c r="AN336" s="261"/>
      <c r="AO336" s="261"/>
      <c r="AP336" s="261"/>
      <c r="AQ336" s="261"/>
      <c r="AR336" s="151"/>
      <c r="AS336" s="261"/>
      <c r="AT336" s="261"/>
      <c r="AU336" s="261"/>
      <c r="AV336" s="261"/>
      <c r="AW336" s="261"/>
      <c r="AX336" s="151"/>
      <c r="AY336" s="261"/>
      <c r="AZ336" s="261"/>
      <c r="BA336" s="261"/>
      <c r="BB336" s="261"/>
      <c r="BC336" s="261"/>
      <c r="BD336" s="151"/>
      <c r="BE336" s="261"/>
      <c r="BF336" s="261"/>
      <c r="BG336" s="261"/>
      <c r="BH336" s="261"/>
      <c r="BI336" s="261"/>
      <c r="BJ336" s="151"/>
      <c r="BK336" s="261"/>
      <c r="BL336" s="261"/>
      <c r="BM336" s="261"/>
      <c r="BN336" s="261"/>
      <c r="BO336" s="261"/>
      <c r="BP336" s="151"/>
      <c r="BQ336" s="261"/>
      <c r="BR336" s="261"/>
      <c r="BS336" s="261"/>
      <c r="BT336" s="261"/>
      <c r="BU336" s="261"/>
      <c r="BV336" s="365"/>
      <c r="BW336" s="305"/>
      <c r="BX336" s="451"/>
      <c r="BY336" s="459"/>
      <c r="BZ336" s="459"/>
    </row>
    <row r="337" spans="2:85" x14ac:dyDescent="0.25">
      <c r="B337" s="210" t="s">
        <v>506</v>
      </c>
      <c r="C337" s="210"/>
      <c r="D337" s="210"/>
      <c r="E337" s="210"/>
      <c r="F337" s="210"/>
      <c r="G337" s="210"/>
      <c r="H337" s="90">
        <f>H292</f>
        <v>4309</v>
      </c>
      <c r="I337" s="227"/>
      <c r="J337" s="227"/>
      <c r="K337" s="228"/>
      <c r="L337" s="227"/>
      <c r="M337" s="227"/>
      <c r="N337" s="90">
        <f>N292</f>
        <v>8725</v>
      </c>
      <c r="O337" s="227"/>
      <c r="P337" s="227"/>
      <c r="Q337" s="228"/>
      <c r="R337" s="227"/>
      <c r="S337" s="227"/>
      <c r="T337" s="90">
        <f>T292</f>
        <v>6491</v>
      </c>
      <c r="U337" s="227"/>
      <c r="V337" s="227"/>
      <c r="W337" s="228"/>
      <c r="X337" s="227"/>
      <c r="Y337" s="227"/>
      <c r="Z337" s="90">
        <f>Z292</f>
        <v>6461</v>
      </c>
      <c r="AA337" s="227"/>
      <c r="AB337" s="227"/>
      <c r="AC337" s="228"/>
      <c r="AD337" s="227"/>
      <c r="AE337" s="227"/>
      <c r="AF337" s="90">
        <f>AF292</f>
        <v>6464</v>
      </c>
      <c r="AG337" s="227"/>
      <c r="AH337" s="227"/>
      <c r="AI337" s="228"/>
      <c r="AJ337" s="227"/>
      <c r="AK337" s="227"/>
      <c r="AL337" s="90">
        <f>AL292</f>
        <v>7696</v>
      </c>
      <c r="AM337" s="227"/>
      <c r="AN337" s="227"/>
      <c r="AO337" s="228"/>
      <c r="AP337" s="227"/>
      <c r="AQ337" s="227"/>
      <c r="AR337" s="90">
        <f>AR292</f>
        <v>16993</v>
      </c>
      <c r="AS337" s="227"/>
      <c r="AT337" s="227"/>
      <c r="AU337" s="228"/>
      <c r="AV337" s="227"/>
      <c r="AW337" s="227"/>
      <c r="AX337" s="90">
        <f>AX292</f>
        <v>21398</v>
      </c>
      <c r="AY337" s="227"/>
      <c r="AZ337" s="227"/>
      <c r="BA337" s="228"/>
      <c r="BB337" s="227"/>
      <c r="BC337" s="227"/>
      <c r="BD337" s="90">
        <f>BD292</f>
        <v>20004</v>
      </c>
      <c r="BE337" s="227"/>
      <c r="BF337" s="227"/>
      <c r="BG337" s="228"/>
      <c r="BH337" s="227"/>
      <c r="BI337" s="227"/>
      <c r="BJ337" s="90">
        <f>BJ292</f>
        <v>60852</v>
      </c>
      <c r="BK337" s="227"/>
      <c r="BL337" s="227"/>
      <c r="BM337" s="228"/>
      <c r="BN337" s="227"/>
      <c r="BO337" s="227"/>
      <c r="BP337" s="90">
        <f>BP292</f>
        <v>56950</v>
      </c>
      <c r="BQ337" s="368">
        <v>51950</v>
      </c>
      <c r="BR337" s="368">
        <v>43950</v>
      </c>
      <c r="BS337" s="368">
        <v>38950</v>
      </c>
      <c r="BT337" s="368">
        <v>35950</v>
      </c>
      <c r="BU337" s="368">
        <v>33950</v>
      </c>
      <c r="BV337" s="400" t="s">
        <v>520</v>
      </c>
      <c r="BW337" s="305"/>
      <c r="BX337" s="451"/>
      <c r="BY337" s="459"/>
      <c r="BZ337" s="459"/>
    </row>
    <row r="338" spans="2:85" x14ac:dyDescent="0.25">
      <c r="B338" s="210" t="s">
        <v>507</v>
      </c>
      <c r="C338" s="210"/>
      <c r="D338" s="210"/>
      <c r="E338" s="210"/>
      <c r="F338" s="210"/>
      <c r="G338" s="210"/>
      <c r="H338" s="90">
        <f>H228</f>
        <v>-2395</v>
      </c>
      <c r="I338" s="227"/>
      <c r="J338" s="227"/>
      <c r="K338" s="228"/>
      <c r="L338" s="227"/>
      <c r="M338" s="227"/>
      <c r="N338" s="90">
        <f>N228</f>
        <v>-3936</v>
      </c>
      <c r="O338" s="227"/>
      <c r="P338" s="227"/>
      <c r="Q338" s="228"/>
      <c r="R338" s="227"/>
      <c r="S338" s="227"/>
      <c r="T338" s="90">
        <f>T228</f>
        <v>-4517</v>
      </c>
      <c r="U338" s="227"/>
      <c r="V338" s="227"/>
      <c r="W338" s="228"/>
      <c r="X338" s="227"/>
      <c r="Y338" s="227"/>
      <c r="Z338" s="90">
        <f>Z228</f>
        <v>-750</v>
      </c>
      <c r="AA338" s="227"/>
      <c r="AB338" s="227"/>
      <c r="AC338" s="228"/>
      <c r="AD338" s="227"/>
      <c r="AE338" s="227"/>
      <c r="AF338" s="90">
        <f>AF228</f>
        <v>-2466</v>
      </c>
      <c r="AG338" s="227"/>
      <c r="AH338" s="227"/>
      <c r="AI338" s="228"/>
      <c r="AJ338" s="227"/>
      <c r="AK338" s="227"/>
      <c r="AL338" s="90">
        <f>AL228</f>
        <v>-3243</v>
      </c>
      <c r="AM338" s="227"/>
      <c r="AN338" s="227"/>
      <c r="AO338" s="228"/>
      <c r="AP338" s="227"/>
      <c r="AQ338" s="227"/>
      <c r="AR338" s="90">
        <f>AR228</f>
        <v>-489</v>
      </c>
      <c r="AS338" s="227"/>
      <c r="AT338" s="227"/>
      <c r="AU338" s="228"/>
      <c r="AV338" s="227"/>
      <c r="AW338" s="227"/>
      <c r="AX338" s="90">
        <f>AX228</f>
        <v>-3719</v>
      </c>
      <c r="AY338" s="227"/>
      <c r="AZ338" s="227"/>
      <c r="BA338" s="228"/>
      <c r="BB338" s="227"/>
      <c r="BC338" s="227"/>
      <c r="BD338" s="90">
        <f>BD228</f>
        <v>-327</v>
      </c>
      <c r="BE338" s="227"/>
      <c r="BF338" s="227"/>
      <c r="BG338" s="228"/>
      <c r="BH338" s="227"/>
      <c r="BI338" s="227"/>
      <c r="BJ338" s="90">
        <f>BJ228</f>
        <v>-2445</v>
      </c>
      <c r="BK338" s="227"/>
      <c r="BL338" s="227"/>
      <c r="BM338" s="228"/>
      <c r="BN338" s="227"/>
      <c r="BO338" s="227"/>
      <c r="BP338" s="90">
        <f>BP228</f>
        <v>-21746</v>
      </c>
      <c r="BQ338" s="373">
        <f>(BQ292+BQ299-BP292-BP299)-BQ339</f>
        <v>-6000</v>
      </c>
      <c r="BR338" s="373">
        <f>(BR292+BR299-BQ292-BQ299)-BR339</f>
        <v>-9000</v>
      </c>
      <c r="BS338" s="373">
        <f>(BS292+BS299-BR292-BR299)-BS339</f>
        <v>-6000</v>
      </c>
      <c r="BT338" s="373">
        <f>(BT292+BT299-BS292-BS299)-BT339</f>
        <v>-4000</v>
      </c>
      <c r="BU338" s="373">
        <f>(BU292+BU299-BT292-BT299)-BU339</f>
        <v>-3000</v>
      </c>
      <c r="BV338" s="400" t="s">
        <v>521</v>
      </c>
      <c r="BW338" s="305"/>
      <c r="BX338" s="451"/>
      <c r="BY338" s="459"/>
      <c r="BZ338" s="459"/>
    </row>
    <row r="339" spans="2:85" x14ac:dyDescent="0.25">
      <c r="B339" s="210" t="s">
        <v>508</v>
      </c>
      <c r="C339" s="210"/>
      <c r="D339" s="210"/>
      <c r="E339" s="210"/>
      <c r="F339" s="210"/>
      <c r="G339" s="210"/>
      <c r="H339" s="90">
        <f>H227</f>
        <v>715</v>
      </c>
      <c r="I339" s="227"/>
      <c r="J339" s="227"/>
      <c r="K339" s="228"/>
      <c r="L339" s="227"/>
      <c r="M339" s="227"/>
      <c r="N339" s="90">
        <f>N227</f>
        <v>4470</v>
      </c>
      <c r="O339" s="227"/>
      <c r="P339" s="227"/>
      <c r="Q339" s="228"/>
      <c r="R339" s="227"/>
      <c r="S339" s="227"/>
      <c r="T339" s="90">
        <f>T227</f>
        <v>1488</v>
      </c>
      <c r="U339" s="227"/>
      <c r="V339" s="227"/>
      <c r="W339" s="228"/>
      <c r="X339" s="227"/>
      <c r="Y339" s="227"/>
      <c r="Z339" s="90">
        <f>Z227</f>
        <v>855</v>
      </c>
      <c r="AA339" s="227"/>
      <c r="AB339" s="227"/>
      <c r="AC339" s="228"/>
      <c r="AD339" s="227"/>
      <c r="AE339" s="227"/>
      <c r="AF339" s="90">
        <f>AF227</f>
        <v>2445</v>
      </c>
      <c r="AG339" s="227"/>
      <c r="AH339" s="227"/>
      <c r="AI339" s="228"/>
      <c r="AJ339" s="227"/>
      <c r="AK339" s="227"/>
      <c r="AL339" s="90">
        <f>AL227</f>
        <v>4108</v>
      </c>
      <c r="AM339" s="227"/>
      <c r="AN339" s="227"/>
      <c r="AO339" s="228"/>
      <c r="AP339" s="227"/>
      <c r="AQ339" s="227"/>
      <c r="AR339" s="90">
        <f>AR227</f>
        <v>12834</v>
      </c>
      <c r="AS339" s="227"/>
      <c r="AT339" s="227"/>
      <c r="AU339" s="228"/>
      <c r="AV339" s="227"/>
      <c r="AW339" s="227"/>
      <c r="AX339" s="90">
        <f>AX227</f>
        <v>4393</v>
      </c>
      <c r="AY339" s="227"/>
      <c r="AZ339" s="227"/>
      <c r="BA339" s="228"/>
      <c r="BB339" s="227"/>
      <c r="BC339" s="227"/>
      <c r="BD339" s="90">
        <f>BD227</f>
        <v>212</v>
      </c>
      <c r="BE339" s="227"/>
      <c r="BF339" s="227"/>
      <c r="BG339" s="228"/>
      <c r="BH339" s="227"/>
      <c r="BI339" s="227"/>
      <c r="BJ339" s="90">
        <f>BJ227</f>
        <v>41406</v>
      </c>
      <c r="BK339" s="227"/>
      <c r="BL339" s="227"/>
      <c r="BM339" s="228"/>
      <c r="BN339" s="227"/>
      <c r="BO339" s="227"/>
      <c r="BP339" s="90">
        <f>BP227</f>
        <v>14211</v>
      </c>
      <c r="BQ339" s="368">
        <v>1000</v>
      </c>
      <c r="BR339" s="368">
        <v>1000</v>
      </c>
      <c r="BS339" s="368">
        <v>1000</v>
      </c>
      <c r="BT339" s="368">
        <v>1000</v>
      </c>
      <c r="BU339" s="368">
        <v>1000</v>
      </c>
      <c r="BV339" s="400" t="s">
        <v>522</v>
      </c>
      <c r="BW339" s="305"/>
      <c r="BX339" s="451"/>
      <c r="BY339" s="459"/>
      <c r="BZ339" s="459"/>
    </row>
    <row r="340" spans="2:85" x14ac:dyDescent="0.25">
      <c r="H340" s="64"/>
      <c r="I340" s="171"/>
      <c r="J340" s="171"/>
      <c r="K340" s="172"/>
      <c r="L340" s="171"/>
      <c r="M340" s="171"/>
      <c r="N340" s="64"/>
      <c r="O340" s="171"/>
      <c r="P340" s="171"/>
      <c r="Q340" s="172"/>
      <c r="R340" s="171"/>
      <c r="S340" s="171"/>
      <c r="T340" s="64"/>
      <c r="U340" s="171"/>
      <c r="V340" s="171"/>
      <c r="W340" s="172"/>
      <c r="X340" s="171"/>
      <c r="Y340" s="171"/>
      <c r="Z340" s="64"/>
      <c r="AA340" s="171"/>
      <c r="AB340" s="171"/>
      <c r="AC340" s="172"/>
      <c r="AD340" s="171"/>
      <c r="AE340" s="171"/>
      <c r="AF340" s="64"/>
      <c r="AG340" s="171"/>
      <c r="AH340" s="171"/>
      <c r="AI340" s="172"/>
      <c r="AJ340" s="171"/>
      <c r="AK340" s="171"/>
      <c r="AL340" s="64"/>
      <c r="AM340" s="171"/>
      <c r="AN340" s="171"/>
      <c r="AO340" s="172"/>
      <c r="AP340" s="171"/>
      <c r="AQ340" s="171"/>
      <c r="AR340" s="64"/>
      <c r="AS340" s="171"/>
      <c r="AT340" s="171"/>
      <c r="AU340" s="172"/>
      <c r="AV340" s="171"/>
      <c r="AW340" s="171"/>
      <c r="AX340" s="64"/>
      <c r="AY340" s="171"/>
      <c r="AZ340" s="171"/>
      <c r="BA340" s="172"/>
      <c r="BB340" s="171"/>
      <c r="BC340" s="171"/>
      <c r="BD340" s="64"/>
      <c r="BE340" s="171"/>
      <c r="BF340" s="171"/>
      <c r="BG340" s="172"/>
      <c r="BH340" s="171"/>
      <c r="BI340" s="171"/>
      <c r="BJ340" s="64"/>
      <c r="BK340" s="171"/>
      <c r="BL340" s="171"/>
      <c r="BM340" s="172"/>
      <c r="BN340" s="171"/>
      <c r="BO340" s="171"/>
      <c r="BP340" s="64"/>
      <c r="BQ340" s="373"/>
      <c r="BR340" s="373"/>
      <c r="BS340" s="373"/>
      <c r="BT340" s="373"/>
      <c r="BU340" s="373"/>
      <c r="BV340" s="365"/>
      <c r="BW340" s="305"/>
      <c r="BX340" s="451"/>
      <c r="BY340" s="459"/>
      <c r="BZ340" s="459"/>
    </row>
    <row r="341" spans="2:85" x14ac:dyDescent="0.25">
      <c r="B341" s="149" t="s">
        <v>523</v>
      </c>
      <c r="C341" s="261"/>
      <c r="D341" s="261"/>
      <c r="E341" s="261"/>
      <c r="F341" s="261"/>
      <c r="G341" s="261"/>
      <c r="H341" s="150"/>
      <c r="I341" s="261"/>
      <c r="J341" s="261"/>
      <c r="K341" s="261"/>
      <c r="L341" s="261"/>
      <c r="M341" s="261"/>
      <c r="N341" s="150"/>
      <c r="O341" s="261"/>
      <c r="P341" s="261"/>
      <c r="Q341" s="261"/>
      <c r="R341" s="261"/>
      <c r="S341" s="261"/>
      <c r="T341" s="150"/>
      <c r="U341" s="261"/>
      <c r="V341" s="261"/>
      <c r="W341" s="261"/>
      <c r="X341" s="261"/>
      <c r="Y341" s="261"/>
      <c r="Z341" s="150"/>
      <c r="AA341" s="261"/>
      <c r="AB341" s="261"/>
      <c r="AC341" s="261"/>
      <c r="AD341" s="261"/>
      <c r="AE341" s="261"/>
      <c r="AF341" s="150"/>
      <c r="AG341" s="261"/>
      <c r="AH341" s="261"/>
      <c r="AI341" s="261"/>
      <c r="AJ341" s="261"/>
      <c r="AK341" s="261"/>
      <c r="AL341" s="150"/>
      <c r="AM341" s="261"/>
      <c r="AN341" s="261"/>
      <c r="AO341" s="261"/>
      <c r="AP341" s="261"/>
      <c r="AQ341" s="261"/>
      <c r="AR341" s="150"/>
      <c r="AS341" s="261"/>
      <c r="AT341" s="261"/>
      <c r="AU341" s="261"/>
      <c r="AV341" s="261"/>
      <c r="AW341" s="261"/>
      <c r="AX341" s="150"/>
      <c r="AY341" s="261"/>
      <c r="AZ341" s="261"/>
      <c r="BA341" s="261"/>
      <c r="BB341" s="261"/>
      <c r="BC341" s="261"/>
      <c r="BD341" s="150"/>
      <c r="BE341" s="261"/>
      <c r="BF341" s="261"/>
      <c r="BG341" s="261"/>
      <c r="BH341" s="261"/>
      <c r="BI341" s="261"/>
      <c r="BJ341" s="150"/>
      <c r="BK341" s="261"/>
      <c r="BL341" s="261"/>
      <c r="BM341" s="261"/>
      <c r="BN341" s="261"/>
      <c r="BO341" s="261"/>
      <c r="BP341" s="151"/>
      <c r="BQ341" s="261"/>
      <c r="BR341" s="261"/>
      <c r="BS341" s="261"/>
      <c r="BT341" s="261"/>
      <c r="BU341" s="261"/>
      <c r="BV341" s="260" t="s">
        <v>530</v>
      </c>
      <c r="BW341" s="6"/>
      <c r="BX341" s="455"/>
      <c r="BY341" s="60"/>
      <c r="BZ341" s="60"/>
      <c r="CA341" s="310"/>
      <c r="CB341" s="63" t="s">
        <v>242</v>
      </c>
      <c r="CC341" s="63"/>
      <c r="CD341" s="63"/>
      <c r="CE341" s="289"/>
      <c r="CF341" s="289"/>
      <c r="CG341" s="289"/>
    </row>
    <row r="342" spans="2:85" x14ac:dyDescent="0.25">
      <c r="B342" s="210" t="s">
        <v>524</v>
      </c>
      <c r="H342" s="511">
        <f>IFERROR(H152/H146,"n/a")</f>
        <v>1.0320627494151644E-2</v>
      </c>
      <c r="I342" s="512"/>
      <c r="J342" s="512"/>
      <c r="K342" s="513"/>
      <c r="L342" s="512"/>
      <c r="M342" s="512"/>
      <c r="N342" s="511">
        <f>IFERROR(N152/N146,"n/a")</f>
        <v>1.1439620942624766E-2</v>
      </c>
      <c r="O342" s="512"/>
      <c r="P342" s="512"/>
      <c r="Q342" s="513"/>
      <c r="R342" s="512"/>
      <c r="S342" s="512"/>
      <c r="T342" s="511">
        <f>IFERROR(T152/T146,"n/a")</f>
        <v>1.0493851884487523E-2</v>
      </c>
      <c r="U342" s="512"/>
      <c r="V342" s="512"/>
      <c r="W342" s="513"/>
      <c r="X342" s="512"/>
      <c r="Y342" s="512"/>
      <c r="Z342" s="511">
        <f>IFERROR(Z152/Z146,"n/a")</f>
        <v>9.6391028803460965E-3</v>
      </c>
      <c r="AA342" s="512"/>
      <c r="AB342" s="512"/>
      <c r="AC342" s="513"/>
      <c r="AD342" s="512"/>
      <c r="AE342" s="512"/>
      <c r="AF342" s="511">
        <f>IFERROR(AF152/AF146,"n/a")</f>
        <v>3.8415645030147515E-2</v>
      </c>
      <c r="AG342" s="512"/>
      <c r="AH342" s="512"/>
      <c r="AI342" s="513"/>
      <c r="AJ342" s="512"/>
      <c r="AK342" s="512"/>
      <c r="AL342" s="511">
        <f>IFERROR(AL152/AL146,"n/a")</f>
        <v>3.4839388607114517E-2</v>
      </c>
      <c r="AM342" s="512"/>
      <c r="AN342" s="512"/>
      <c r="AO342" s="513"/>
      <c r="AP342" s="512"/>
      <c r="AQ342" s="512"/>
      <c r="AR342" s="511">
        <f>IFERROR(AR152/AR146,"n/a")</f>
        <v>2.3005276842232292E-2</v>
      </c>
      <c r="AS342" s="512"/>
      <c r="AT342" s="512"/>
      <c r="AU342" s="513"/>
      <c r="AV342" s="512"/>
      <c r="AW342" s="512"/>
      <c r="AX342" s="511">
        <f>IFERROR(AX152/AX146,"n/a")</f>
        <v>2.1517832516495874E-2</v>
      </c>
      <c r="AY342" s="512"/>
      <c r="AZ342" s="512"/>
      <c r="BA342" s="513"/>
      <c r="BB342" s="512"/>
      <c r="BC342" s="512"/>
      <c r="BD342" s="511">
        <f>IFERROR(BD152/BD146,"n/a")</f>
        <v>3.4976953941041881E-2</v>
      </c>
      <c r="BE342" s="512"/>
      <c r="BF342" s="512"/>
      <c r="BG342" s="513"/>
      <c r="BH342" s="512"/>
      <c r="BI342" s="512"/>
      <c r="BJ342" s="511">
        <f>IFERROR(BJ152/BJ146,"n/a")</f>
        <v>3.4319533709142702E-2</v>
      </c>
      <c r="BK342" s="512"/>
      <c r="BL342" s="512"/>
      <c r="BM342" s="513"/>
      <c r="BN342" s="512"/>
      <c r="BO342" s="512"/>
      <c r="BP342" s="511">
        <f t="shared" ref="BP342:BU342" si="211">IFERROR(BP152/BP146,"n/a")</f>
        <v>3.490464195753868E-2</v>
      </c>
      <c r="BQ342" s="514">
        <f t="shared" si="211"/>
        <v>3.4085444653960059E-2</v>
      </c>
      <c r="BR342" s="514">
        <f t="shared" si="211"/>
        <v>3.3237143678850035E-2</v>
      </c>
      <c r="BS342" s="514">
        <f t="shared" si="211"/>
        <v>3.2441945612647093E-2</v>
      </c>
      <c r="BT342" s="514">
        <f t="shared" si="211"/>
        <v>3.2304547843830973E-2</v>
      </c>
      <c r="BU342" s="514">
        <f t="shared" si="211"/>
        <v>3.1881099145869889E-2</v>
      </c>
      <c r="BV342" s="400" t="s">
        <v>531</v>
      </c>
      <c r="BW342" s="305"/>
      <c r="BX342" s="451"/>
      <c r="BY342" s="459"/>
      <c r="BZ342" s="459"/>
      <c r="CB342" s="311" t="s">
        <v>239</v>
      </c>
      <c r="CC342" s="311" t="s">
        <v>240</v>
      </c>
      <c r="CD342" s="311" t="s">
        <v>241</v>
      </c>
      <c r="CE342" s="307"/>
      <c r="CF342" s="307"/>
      <c r="CG342" s="307"/>
    </row>
    <row r="343" spans="2:85" x14ac:dyDescent="0.25">
      <c r="B343" t="s">
        <v>525</v>
      </c>
      <c r="H343" s="511">
        <f>IFERROR(ABS(H221)/H146,"n/a")</f>
        <v>5.8385264109772159E-3</v>
      </c>
      <c r="I343" s="512"/>
      <c r="J343" s="512"/>
      <c r="K343" s="513"/>
      <c r="L343" s="512"/>
      <c r="M343" s="512"/>
      <c r="N343" s="511">
        <f>IFERROR(ABS(N221)/N146,"n/a")</f>
        <v>1.1041079309784934E-2</v>
      </c>
      <c r="O343" s="512"/>
      <c r="P343" s="512"/>
      <c r="Q343" s="513"/>
      <c r="R343" s="512"/>
      <c r="S343" s="512"/>
      <c r="T343" s="511">
        <f>IFERROR(ABS(T221)/T146,"n/a")</f>
        <v>8.2775930895448661E-3</v>
      </c>
      <c r="U343" s="512"/>
      <c r="V343" s="512"/>
      <c r="W343" s="513"/>
      <c r="X343" s="512"/>
      <c r="Y343" s="512"/>
      <c r="Z343" s="511">
        <f>IFERROR(ABS(Z221)/Z146,"n/a")</f>
        <v>8.9686665907682192E-3</v>
      </c>
      <c r="AA343" s="512"/>
      <c r="AB343" s="512"/>
      <c r="AC343" s="513"/>
      <c r="AD343" s="512"/>
      <c r="AE343" s="512"/>
      <c r="AF343" s="511">
        <f>IFERROR(ABS(AF221)/AF146,"n/a")</f>
        <v>1.0559550585527081E-2</v>
      </c>
      <c r="AG343" s="512"/>
      <c r="AH343" s="512"/>
      <c r="AI343" s="513"/>
      <c r="AJ343" s="512"/>
      <c r="AK343" s="512"/>
      <c r="AL343" s="511">
        <f>IFERROR(ABS(AL221)/AL146,"n/a")</f>
        <v>9.6694614084118276E-3</v>
      </c>
      <c r="AM343" s="512"/>
      <c r="AN343" s="512"/>
      <c r="AO343" s="513"/>
      <c r="AP343" s="512"/>
      <c r="AQ343" s="512"/>
      <c r="AR343" s="511">
        <f>IFERROR(ABS(AR221)/AR146,"n/a")</f>
        <v>6.4726339231840971E-3</v>
      </c>
      <c r="AS343" s="512"/>
      <c r="AT343" s="512"/>
      <c r="AU343" s="513"/>
      <c r="AV343" s="512"/>
      <c r="AW343" s="512"/>
      <c r="AX343" s="511">
        <f>IFERROR(ABS(AX221)/AX146,"n/a")</f>
        <v>6.4243735811427239E-3</v>
      </c>
      <c r="AY343" s="512"/>
      <c r="AZ343" s="512"/>
      <c r="BA343" s="513"/>
      <c r="BB343" s="512"/>
      <c r="BC343" s="512"/>
      <c r="BD343" s="511">
        <f>IFERROR(ABS(BD221)/BD146,"n/a")</f>
        <v>1.3462877607189044E-2</v>
      </c>
      <c r="BE343" s="512"/>
      <c r="BF343" s="512"/>
      <c r="BG343" s="513"/>
      <c r="BH343" s="512"/>
      <c r="BI343" s="512"/>
      <c r="BJ343" s="511">
        <f>IFERROR(ABS(BJ221)/BJ146,"n/a")</f>
        <v>1.2518999916220842E-2</v>
      </c>
      <c r="BK343" s="512"/>
      <c r="BL343" s="512"/>
      <c r="BM343" s="513"/>
      <c r="BN343" s="512"/>
      <c r="BO343" s="512"/>
      <c r="BP343" s="511">
        <f t="shared" ref="BP343:BU343" si="212">IFERROR(ABS(BP221)/BP146,"n/a")</f>
        <v>8.349135369201597E-3</v>
      </c>
      <c r="BQ343" s="514">
        <f t="shared" si="212"/>
        <v>1.4999999999999999E-2</v>
      </c>
      <c r="BR343" s="514">
        <f t="shared" si="212"/>
        <v>1.4999999999999999E-2</v>
      </c>
      <c r="BS343" s="514">
        <f t="shared" si="212"/>
        <v>1.4999999999999998E-2</v>
      </c>
      <c r="BT343" s="514">
        <f t="shared" si="212"/>
        <v>1.4999999999999998E-2</v>
      </c>
      <c r="BU343" s="514">
        <f t="shared" si="212"/>
        <v>1.4999999999999999E-2</v>
      </c>
      <c r="BV343" s="400" t="s">
        <v>532</v>
      </c>
      <c r="BW343" s="305"/>
      <c r="BX343" s="451"/>
      <c r="BY343" s="459"/>
      <c r="BZ343" s="459"/>
      <c r="CB343" s="312" t="s">
        <v>237</v>
      </c>
      <c r="CC343" s="312" t="s">
        <v>193</v>
      </c>
      <c r="CD343" s="312" t="s">
        <v>238</v>
      </c>
      <c r="CE343" s="308"/>
      <c r="CF343" s="308"/>
      <c r="CG343" s="308"/>
    </row>
    <row r="344" spans="2:85" x14ac:dyDescent="0.25">
      <c r="B344" s="19" t="s">
        <v>526</v>
      </c>
      <c r="H344" s="511">
        <f>IFERROR(ABS(H220)/H146,"n/a")</f>
        <v>5.5829680158839372E-3</v>
      </c>
      <c r="I344" s="512"/>
      <c r="J344" s="512"/>
      <c r="K344" s="513"/>
      <c r="L344" s="512"/>
      <c r="M344" s="512"/>
      <c r="N344" s="511">
        <f>IFERROR(ABS(N220)/N146,"n/a")</f>
        <v>4.9891508111060264E-3</v>
      </c>
      <c r="O344" s="512"/>
      <c r="P344" s="512"/>
      <c r="Q344" s="513"/>
      <c r="R344" s="512"/>
      <c r="S344" s="512"/>
      <c r="T344" s="511">
        <f>IFERROR(ABS(T220)/T146,"n/a")</f>
        <v>5.2469259422437617E-3</v>
      </c>
      <c r="U344" s="512"/>
      <c r="V344" s="512"/>
      <c r="W344" s="513"/>
      <c r="X344" s="512"/>
      <c r="Y344" s="512"/>
      <c r="Z344" s="511">
        <f>IFERROR(ABS(Z220)/Z146,"n/a")</f>
        <v>6.3375203977078668E-3</v>
      </c>
      <c r="AA344" s="512"/>
      <c r="AB344" s="512"/>
      <c r="AC344" s="513"/>
      <c r="AD344" s="512"/>
      <c r="AE344" s="512"/>
      <c r="AF344" s="511">
        <f>IFERROR(ABS(AF220)/AF146,"n/a")</f>
        <v>3.0833887709739074E-3</v>
      </c>
      <c r="AG344" s="512"/>
      <c r="AH344" s="512"/>
      <c r="AI344" s="513"/>
      <c r="AJ344" s="512"/>
      <c r="AK344" s="512"/>
      <c r="AL344" s="511">
        <f>IFERROR(ABS(AL220)/AL146,"n/a")</f>
        <v>1.8976641479487976E-3</v>
      </c>
      <c r="AM344" s="512"/>
      <c r="AN344" s="512"/>
      <c r="AO344" s="513"/>
      <c r="AP344" s="512"/>
      <c r="AQ344" s="512"/>
      <c r="AR344" s="511">
        <f>IFERROR(ABS(AR220)/AR146,"n/a")</f>
        <v>1.6620407446820181E-3</v>
      </c>
      <c r="AS344" s="512"/>
      <c r="AT344" s="512"/>
      <c r="AU344" s="513"/>
      <c r="AV344" s="512"/>
      <c r="AW344" s="512"/>
      <c r="AX344" s="511">
        <f>IFERROR(ABS(AX220)/AX146,"n/a")</f>
        <v>1.1881272144781787E-3</v>
      </c>
      <c r="AY344" s="512"/>
      <c r="AZ344" s="512"/>
      <c r="BA344" s="513"/>
      <c r="BB344" s="512"/>
      <c r="BC344" s="512"/>
      <c r="BD344" s="511">
        <f>IFERROR(ABS(BD220)/BD146,"n/a")</f>
        <v>2.2880259972808967E-3</v>
      </c>
      <c r="BE344" s="512"/>
      <c r="BF344" s="512"/>
      <c r="BG344" s="513"/>
      <c r="BH344" s="512"/>
      <c r="BI344" s="512"/>
      <c r="BJ344" s="511">
        <f>IFERROR(ABS(BJ220)/BJ146,"n/a")</f>
        <v>2.0166840209208526E-3</v>
      </c>
      <c r="BK344" s="512"/>
      <c r="BL344" s="512"/>
      <c r="BM344" s="513"/>
      <c r="BN344" s="512"/>
      <c r="BO344" s="512"/>
      <c r="BP344" s="511">
        <f t="shared" ref="BP344:BU344" si="213">IFERROR(ABS(BP220)/BP146,"n/a")</f>
        <v>2.1145752048873775E-3</v>
      </c>
      <c r="BQ344" s="515">
        <f t="shared" si="213"/>
        <v>2E-3</v>
      </c>
      <c r="BR344" s="515">
        <f t="shared" si="213"/>
        <v>2E-3</v>
      </c>
      <c r="BS344" s="515">
        <f t="shared" si="213"/>
        <v>2E-3</v>
      </c>
      <c r="BT344" s="515">
        <f t="shared" si="213"/>
        <v>2E-3</v>
      </c>
      <c r="BU344" s="515">
        <f t="shared" si="213"/>
        <v>2E-3</v>
      </c>
      <c r="BV344" s="400" t="s">
        <v>533</v>
      </c>
      <c r="BW344" s="305"/>
      <c r="BX344" s="451"/>
      <c r="BY344" s="459"/>
      <c r="BZ344" s="459"/>
      <c r="CE344" s="289"/>
      <c r="CF344" s="289"/>
      <c r="CG344" s="289"/>
    </row>
    <row r="345" spans="2:85" x14ac:dyDescent="0.25">
      <c r="B345" s="19" t="s">
        <v>527</v>
      </c>
      <c r="C345" s="229" t="s">
        <v>218</v>
      </c>
      <c r="D345" s="15">
        <v>0.24</v>
      </c>
      <c r="H345" s="516">
        <v>0.25</v>
      </c>
      <c r="I345" s="512"/>
      <c r="J345" s="512"/>
      <c r="K345" s="513"/>
      <c r="L345" s="512"/>
      <c r="M345" s="512"/>
      <c r="N345" s="516" t="str">
        <f>IFERROR(N266/H266-1,"n/a")</f>
        <v>n/a</v>
      </c>
      <c r="O345" s="512"/>
      <c r="P345" s="512"/>
      <c r="Q345" s="513"/>
      <c r="R345" s="512"/>
      <c r="S345" s="512"/>
      <c r="T345" s="511" t="str">
        <f>IFERROR(T266/N266-1,"n/a")</f>
        <v>n/a</v>
      </c>
      <c r="U345" s="512"/>
      <c r="V345" s="512"/>
      <c r="W345" s="513"/>
      <c r="X345" s="512"/>
      <c r="Y345" s="512"/>
      <c r="Z345" s="511" t="str">
        <f>IFERROR(Z266/T266-1,"n/a")</f>
        <v>n/a</v>
      </c>
      <c r="AA345" s="512"/>
      <c r="AB345" s="512"/>
      <c r="AC345" s="513"/>
      <c r="AD345" s="512"/>
      <c r="AE345" s="512"/>
      <c r="AF345" s="511" t="str">
        <f>IFERROR(AF266/Z266-1,"n/a")</f>
        <v>n/a</v>
      </c>
      <c r="AG345" s="512"/>
      <c r="AH345" s="512"/>
      <c r="AI345" s="513"/>
      <c r="AJ345" s="512"/>
      <c r="AK345" s="512"/>
      <c r="AL345" s="511">
        <f>IFERROR(AL266/AF266-1,"n/a")</f>
        <v>-4.7982178048153523E-2</v>
      </c>
      <c r="AM345" s="512"/>
      <c r="AN345" s="512"/>
      <c r="AO345" s="513"/>
      <c r="AP345" s="512"/>
      <c r="AQ345" s="512"/>
      <c r="AR345" s="511">
        <f>IFERROR(AR266/AL266-1,"n/a")</f>
        <v>0.23382233822338216</v>
      </c>
      <c r="AS345" s="512"/>
      <c r="AT345" s="512"/>
      <c r="AU345" s="513"/>
      <c r="AV345" s="512"/>
      <c r="AW345" s="512"/>
      <c r="AX345" s="511">
        <f>IFERROR(AX266/AR266-1,"n/a")</f>
        <v>7.1850609088919715E-2</v>
      </c>
      <c r="AY345" s="512"/>
      <c r="AZ345" s="512"/>
      <c r="BA345" s="513"/>
      <c r="BB345" s="512"/>
      <c r="BC345" s="512"/>
      <c r="BD345" s="511">
        <f>IFERROR(BD266/AX266-1,"n/a")</f>
        <v>6.5400843881856519E-2</v>
      </c>
      <c r="BE345" s="512"/>
      <c r="BF345" s="512"/>
      <c r="BG345" s="513"/>
      <c r="BH345" s="512"/>
      <c r="BI345" s="512"/>
      <c r="BJ345" s="511">
        <f>IFERROR(BJ266/BD266-1,"n/a")</f>
        <v>0.19533695305014365</v>
      </c>
      <c r="BK345" s="512"/>
      <c r="BL345" s="512"/>
      <c r="BM345" s="513"/>
      <c r="BN345" s="512"/>
      <c r="BO345" s="512"/>
      <c r="BP345" s="511">
        <f>IFERROR(BP266/BJ266-1,"n/a")</f>
        <v>0.4841019612034414</v>
      </c>
      <c r="BQ345" s="517">
        <f t="shared" ref="BQ345:BU346" si="214">IFERROR(BQ266/BP266-1,"n/a")</f>
        <v>0.11802246867348409</v>
      </c>
      <c r="BR345" s="517">
        <f t="shared" si="214"/>
        <v>0.10661922877243324</v>
      </c>
      <c r="BS345" s="517">
        <f t="shared" si="214"/>
        <v>9.7310274627716797E-2</v>
      </c>
      <c r="BT345" s="517">
        <f t="shared" si="214"/>
        <v>1.0000000000000009E-2</v>
      </c>
      <c r="BU345" s="517">
        <f t="shared" si="214"/>
        <v>1.0000000000000009E-2</v>
      </c>
      <c r="BV345" s="400" t="s">
        <v>534</v>
      </c>
      <c r="BW345" s="305"/>
      <c r="BX345" s="451"/>
      <c r="BY345" s="459"/>
      <c r="BZ345" s="459"/>
      <c r="CE345" s="289"/>
      <c r="CF345" s="289"/>
      <c r="CG345" s="289"/>
    </row>
    <row r="346" spans="2:85" x14ac:dyDescent="0.25">
      <c r="B346" t="s">
        <v>528</v>
      </c>
      <c r="H346" s="511">
        <f>IFERROR(H344*(1-$D$345),"n/a")</f>
        <v>4.2430556920717922E-3</v>
      </c>
      <c r="I346" s="512"/>
      <c r="J346" s="512"/>
      <c r="K346" s="513"/>
      <c r="L346" s="512"/>
      <c r="M346" s="512"/>
      <c r="N346" s="511">
        <f>IFERROR(N267/H267-1,"n/a")</f>
        <v>-6.55829596412556E-2</v>
      </c>
      <c r="O346" s="512"/>
      <c r="P346" s="512"/>
      <c r="Q346" s="513"/>
      <c r="R346" s="512"/>
      <c r="S346" s="512"/>
      <c r="T346" s="511">
        <f>IFERROR(T267/N267-1,"n/a")</f>
        <v>-0.27084583083383318</v>
      </c>
      <c r="U346" s="512"/>
      <c r="V346" s="512"/>
      <c r="W346" s="513"/>
      <c r="X346" s="512"/>
      <c r="Y346" s="512"/>
      <c r="Z346" s="511">
        <f>IFERROR(Z267/T267-1,"n/a")</f>
        <v>2.4269847799259558E-2</v>
      </c>
      <c r="AA346" s="512"/>
      <c r="AB346" s="512"/>
      <c r="AC346" s="513"/>
      <c r="AD346" s="512"/>
      <c r="AE346" s="512"/>
      <c r="AF346" s="511">
        <f>IFERROR(AF267/Z267-1,"n/a")</f>
        <v>0.21365461847389566</v>
      </c>
      <c r="AG346" s="512"/>
      <c r="AH346" s="512"/>
      <c r="AI346" s="513"/>
      <c r="AJ346" s="512"/>
      <c r="AK346" s="512"/>
      <c r="AL346" s="511">
        <f>IFERROR(AL267/AF267-1,"n/a")</f>
        <v>-2.647253474520217E-3</v>
      </c>
      <c r="AM346" s="512"/>
      <c r="AN346" s="512"/>
      <c r="AO346" s="513"/>
      <c r="AP346" s="512"/>
      <c r="AQ346" s="512"/>
      <c r="AR346" s="511">
        <f>IFERROR(AR267/AL267-1,"n/a")</f>
        <v>1.0776376907763767</v>
      </c>
      <c r="AS346" s="512"/>
      <c r="AT346" s="512"/>
      <c r="AU346" s="513"/>
      <c r="AV346" s="512"/>
      <c r="AW346" s="512"/>
      <c r="AX346" s="511">
        <f>IFERROR(AX267/AR267-1,"n/a")</f>
        <v>3.5132545512615021E-3</v>
      </c>
      <c r="AY346" s="512"/>
      <c r="AZ346" s="512"/>
      <c r="BA346" s="513"/>
      <c r="BB346" s="512"/>
      <c r="BC346" s="512"/>
      <c r="BD346" s="511">
        <f>IFERROR(BD267/AX267-1,"n/a")</f>
        <v>-1.1139401654996828E-2</v>
      </c>
      <c r="BE346" s="512"/>
      <c r="BF346" s="512"/>
      <c r="BG346" s="513"/>
      <c r="BH346" s="512"/>
      <c r="BI346" s="512"/>
      <c r="BJ346" s="511">
        <f>IFERROR(BJ267/BD267-1,"n/a")</f>
        <v>9.0923720630833538E-2</v>
      </c>
      <c r="BK346" s="512"/>
      <c r="BL346" s="512"/>
      <c r="BM346" s="513"/>
      <c r="BN346" s="512"/>
      <c r="BO346" s="512"/>
      <c r="BP346" s="511">
        <f>IFERROR(BP267/BJ267-1,"n/a")</f>
        <v>2.6024487387520283</v>
      </c>
      <c r="BQ346" s="515">
        <f t="shared" si="214"/>
        <v>8.7451060022111893E-2</v>
      </c>
      <c r="BR346" s="515">
        <f t="shared" si="214"/>
        <v>8.7017538510346659E-2</v>
      </c>
      <c r="BS346" s="515">
        <f t="shared" si="214"/>
        <v>8.5849850128225436E-2</v>
      </c>
      <c r="BT346" s="515">
        <f t="shared" si="214"/>
        <v>8.2530048161189917E-2</v>
      </c>
      <c r="BU346" s="515">
        <f t="shared" si="214"/>
        <v>8.0160302391002025E-2</v>
      </c>
      <c r="BV346" s="400" t="s">
        <v>535</v>
      </c>
      <c r="BW346" s="305"/>
      <c r="BX346" s="451"/>
      <c r="BY346" s="459"/>
      <c r="BZ346" s="459"/>
      <c r="CE346" s="289"/>
      <c r="CF346" s="289"/>
      <c r="CG346" s="289"/>
    </row>
    <row r="347" spans="2:85" x14ac:dyDescent="0.25">
      <c r="B347" t="s">
        <v>529</v>
      </c>
      <c r="H347" s="511">
        <f>IFERROR(H355+H356,"n/a")</f>
        <v>11555</v>
      </c>
      <c r="I347" s="512"/>
      <c r="J347" s="512"/>
      <c r="K347" s="513"/>
      <c r="L347" s="512"/>
      <c r="M347" s="512"/>
      <c r="N347" s="511">
        <f>IFERROR(N265/H265-1,"n/a")</f>
        <v>0.91718541574032897</v>
      </c>
      <c r="O347" s="512"/>
      <c r="P347" s="512"/>
      <c r="Q347" s="513"/>
      <c r="R347" s="512"/>
      <c r="S347" s="512"/>
      <c r="T347" s="511">
        <f>IFERROR(T265/N265-1,"n/a")</f>
        <v>-3.9079260161187457E-2</v>
      </c>
      <c r="U347" s="512"/>
      <c r="V347" s="512"/>
      <c r="W347" s="513"/>
      <c r="X347" s="512"/>
      <c r="Y347" s="512"/>
      <c r="Z347" s="511">
        <f>IFERROR(Z265/T265-1,"n/a")</f>
        <v>1.0197308875882438E-2</v>
      </c>
      <c r="AA347" s="512"/>
      <c r="AB347" s="512"/>
      <c r="AC347" s="513"/>
      <c r="AD347" s="512"/>
      <c r="AE347" s="512"/>
      <c r="AF347" s="511">
        <f>IFERROR(AF265/Z265-1,"n/a")</f>
        <v>2.1052442957830606</v>
      </c>
      <c r="AG347" s="512"/>
      <c r="AH347" s="512"/>
      <c r="AI347" s="513"/>
      <c r="AJ347" s="512"/>
      <c r="AK347" s="512"/>
      <c r="AL347" s="511">
        <f>IFERROR(AL265/AF265-1,"n/a")</f>
        <v>-6.3918596599215172E-2</v>
      </c>
      <c r="AM347" s="512"/>
      <c r="AN347" s="512"/>
      <c r="AO347" s="513"/>
      <c r="AP347" s="512"/>
      <c r="AQ347" s="512"/>
      <c r="AR347" s="511">
        <f>IFERROR(AR265/AL265-1,"n/a")</f>
        <v>0.57527997534162134</v>
      </c>
      <c r="AS347" s="512"/>
      <c r="AT347" s="512"/>
      <c r="AU347" s="513"/>
      <c r="AV347" s="512"/>
      <c r="AW347" s="512"/>
      <c r="AX347" s="511">
        <f>IFERROR(AX265/AR265-1,"n/a")</f>
        <v>1.3214020166707918E-2</v>
      </c>
      <c r="AY347" s="512"/>
      <c r="AZ347" s="512"/>
      <c r="BA347" s="513"/>
      <c r="BB347" s="512"/>
      <c r="BC347" s="512"/>
      <c r="BD347" s="511">
        <f>IFERROR(BD265/AX265-1,"n/a")</f>
        <v>-7.3126142595978383E-3</v>
      </c>
      <c r="BE347" s="512"/>
      <c r="BF347" s="512"/>
      <c r="BG347" s="513"/>
      <c r="BH347" s="512"/>
      <c r="BI347" s="512"/>
      <c r="BJ347" s="511">
        <f>IFERROR(BJ265/BD265-1,"n/a")</f>
        <v>9.9992218504396657E-3</v>
      </c>
      <c r="BK347" s="512"/>
      <c r="BL347" s="512"/>
      <c r="BM347" s="513"/>
      <c r="BN347" s="512"/>
      <c r="BO347" s="512"/>
      <c r="BP347" s="511">
        <f>IFERROR(BP265/BJ265-1,"n/a")</f>
        <v>0.93836434377287259</v>
      </c>
      <c r="BQ347" s="515">
        <f>IFERROR(BQ265/BP265-1,"n/a")</f>
        <v>-3.7709680458947181E-3</v>
      </c>
      <c r="BR347" s="515">
        <f>IFERROR(BR265/BQ265-1,"n/a")</f>
        <v>-3.8098441211963374E-3</v>
      </c>
      <c r="BS347" s="515">
        <f>IFERROR(BS265/BR265-1,"n/a")</f>
        <v>-3.824956857254147E-3</v>
      </c>
      <c r="BT347" s="515">
        <f>IFERROR(BT265/BS265-1,"n/a")</f>
        <v>-3.9591888336183434E-3</v>
      </c>
      <c r="BU347" s="515">
        <f>IFERROR(BU265/BT265-1,"n/a")</f>
        <v>-4.0227118141816787E-3</v>
      </c>
      <c r="BV347" s="400" t="s">
        <v>536</v>
      </c>
      <c r="BW347" s="305"/>
      <c r="BX347" s="451"/>
      <c r="BY347" s="459"/>
      <c r="BZ347" s="459"/>
      <c r="CE347" s="289"/>
      <c r="CF347" s="289"/>
      <c r="CG347" s="289"/>
    </row>
    <row r="348" spans="2:85" x14ac:dyDescent="0.25">
      <c r="B348" s="57" t="s">
        <v>223</v>
      </c>
      <c r="C348" s="57"/>
      <c r="D348" s="57"/>
      <c r="E348" s="57"/>
      <c r="F348" s="57"/>
      <c r="G348" s="57"/>
      <c r="H348" s="523"/>
      <c r="I348" s="524"/>
      <c r="J348" s="524"/>
      <c r="K348" s="524"/>
      <c r="L348" s="524"/>
      <c r="M348" s="524"/>
      <c r="N348" s="523"/>
      <c r="O348" s="524"/>
      <c r="P348" s="524"/>
      <c r="Q348" s="524"/>
      <c r="R348" s="524"/>
      <c r="S348" s="524"/>
      <c r="T348" s="523"/>
      <c r="U348" s="524"/>
      <c r="V348" s="524"/>
      <c r="W348" s="524"/>
      <c r="X348" s="524"/>
      <c r="Y348" s="524"/>
      <c r="Z348" s="523"/>
      <c r="AA348" s="524"/>
      <c r="AB348" s="524"/>
      <c r="AC348" s="524"/>
      <c r="AD348" s="524"/>
      <c r="AE348" s="524"/>
      <c r="AF348" s="523"/>
      <c r="AG348" s="524"/>
      <c r="AH348" s="524"/>
      <c r="AI348" s="524"/>
      <c r="AJ348" s="524"/>
      <c r="AK348" s="524"/>
      <c r="AL348" s="523"/>
      <c r="AM348" s="524"/>
      <c r="AN348" s="524"/>
      <c r="AO348" s="524"/>
      <c r="AP348" s="524"/>
      <c r="AQ348" s="524"/>
      <c r="AR348" s="523"/>
      <c r="AS348" s="524"/>
      <c r="AT348" s="524"/>
      <c r="AU348" s="524"/>
      <c r="AV348" s="524"/>
      <c r="AW348" s="524"/>
      <c r="AX348" s="523"/>
      <c r="AY348" s="524"/>
      <c r="AZ348" s="524"/>
      <c r="BA348" s="524"/>
      <c r="BB348" s="524"/>
      <c r="BC348" s="524"/>
      <c r="BD348" s="523"/>
      <c r="BE348" s="524"/>
      <c r="BF348" s="524"/>
      <c r="BG348" s="524"/>
      <c r="BH348" s="524"/>
      <c r="BI348" s="524"/>
      <c r="BJ348" s="523"/>
      <c r="BK348" s="524"/>
      <c r="BL348" s="524"/>
      <c r="BM348" s="524"/>
      <c r="BN348" s="524"/>
      <c r="BO348" s="524"/>
      <c r="BP348" s="523"/>
      <c r="BQ348" s="525"/>
      <c r="BR348" s="525"/>
      <c r="BS348" s="525"/>
      <c r="BT348" s="525"/>
      <c r="BU348" s="525"/>
      <c r="BV348" s="400"/>
      <c r="BW348" s="305"/>
      <c r="BX348" s="451"/>
      <c r="BY348" s="459"/>
      <c r="BZ348" s="459"/>
      <c r="CE348" s="289"/>
      <c r="CF348" s="289"/>
      <c r="CG348" s="289"/>
    </row>
    <row r="349" spans="2:85" x14ac:dyDescent="0.25">
      <c r="H349" s="511"/>
      <c r="I349" s="512"/>
      <c r="J349" s="512"/>
      <c r="K349" s="513"/>
      <c r="L349" s="512"/>
      <c r="M349" s="512"/>
      <c r="N349" s="511"/>
      <c r="O349" s="512"/>
      <c r="P349" s="512"/>
      <c r="Q349" s="513"/>
      <c r="R349" s="512"/>
      <c r="S349" s="512"/>
      <c r="T349" s="511"/>
      <c r="U349" s="512"/>
      <c r="V349" s="512"/>
      <c r="W349" s="513"/>
      <c r="X349" s="512"/>
      <c r="Y349" s="512"/>
      <c r="Z349" s="511"/>
      <c r="AA349" s="512"/>
      <c r="AB349" s="512"/>
      <c r="AC349" s="513"/>
      <c r="AD349" s="512"/>
      <c r="AE349" s="512"/>
      <c r="AF349" s="511"/>
      <c r="AG349" s="512"/>
      <c r="AH349" s="512"/>
      <c r="AI349" s="513"/>
      <c r="AJ349" s="512"/>
      <c r="AK349" s="512"/>
      <c r="AL349" s="511"/>
      <c r="AM349" s="512"/>
      <c r="AN349" s="512"/>
      <c r="AO349" s="513"/>
      <c r="AP349" s="512"/>
      <c r="AQ349" s="512"/>
      <c r="AR349" s="511"/>
      <c r="AS349" s="512"/>
      <c r="AT349" s="512"/>
      <c r="AU349" s="513"/>
      <c r="AV349" s="512"/>
      <c r="AW349" s="512"/>
      <c r="AX349" s="511"/>
      <c r="AY349" s="512"/>
      <c r="AZ349" s="512"/>
      <c r="BA349" s="513"/>
      <c r="BB349" s="512"/>
      <c r="BC349" s="512"/>
      <c r="BD349" s="511"/>
      <c r="BE349" s="512"/>
      <c r="BF349" s="512"/>
      <c r="BG349" s="513"/>
      <c r="BH349" s="512"/>
      <c r="BI349" s="512"/>
      <c r="BJ349" s="511"/>
      <c r="BK349" s="512"/>
      <c r="BL349" s="512"/>
      <c r="BM349" s="513"/>
      <c r="BN349" s="512"/>
      <c r="BO349" s="512"/>
      <c r="BP349" s="511"/>
      <c r="BQ349" s="515"/>
      <c r="BR349" s="515"/>
      <c r="BS349" s="515"/>
      <c r="BT349" s="515"/>
      <c r="BU349" s="515"/>
      <c r="BV349" s="400"/>
      <c r="BW349" s="305"/>
      <c r="BX349" s="451"/>
      <c r="BY349" s="459"/>
      <c r="BZ349" s="459"/>
      <c r="CE349" s="289"/>
      <c r="CF349" s="289"/>
      <c r="CG349" s="289"/>
    </row>
    <row r="350" spans="2:85" x14ac:dyDescent="0.25">
      <c r="B350" s="149" t="s">
        <v>195</v>
      </c>
      <c r="C350" s="149"/>
      <c r="D350" s="149"/>
      <c r="E350" s="149"/>
      <c r="F350" s="149"/>
      <c r="G350" s="149"/>
      <c r="H350" s="526"/>
      <c r="I350" s="527"/>
      <c r="J350" s="527"/>
      <c r="K350" s="527"/>
      <c r="L350" s="527"/>
      <c r="M350" s="527"/>
      <c r="N350" s="526"/>
      <c r="O350" s="527"/>
      <c r="P350" s="527"/>
      <c r="Q350" s="527"/>
      <c r="R350" s="527"/>
      <c r="S350" s="527"/>
      <c r="T350" s="526"/>
      <c r="U350" s="527"/>
      <c r="V350" s="527"/>
      <c r="W350" s="527"/>
      <c r="X350" s="527"/>
      <c r="Y350" s="527"/>
      <c r="Z350" s="526"/>
      <c r="AA350" s="527"/>
      <c r="AB350" s="527"/>
      <c r="AC350" s="527"/>
      <c r="AD350" s="527"/>
      <c r="AE350" s="527"/>
      <c r="AF350" s="526"/>
      <c r="AG350" s="527"/>
      <c r="AH350" s="527"/>
      <c r="AI350" s="527"/>
      <c r="AJ350" s="527"/>
      <c r="AK350" s="527"/>
      <c r="AL350" s="526"/>
      <c r="AM350" s="527"/>
      <c r="AN350" s="527"/>
      <c r="AO350" s="527"/>
      <c r="AP350" s="527"/>
      <c r="AQ350" s="527"/>
      <c r="AR350" s="526"/>
      <c r="AS350" s="527"/>
      <c r="AT350" s="527"/>
      <c r="AU350" s="527"/>
      <c r="AV350" s="527"/>
      <c r="AW350" s="527"/>
      <c r="AX350" s="526"/>
      <c r="AY350" s="527"/>
      <c r="AZ350" s="527"/>
      <c r="BA350" s="527"/>
      <c r="BB350" s="527"/>
      <c r="BC350" s="527"/>
      <c r="BD350" s="526"/>
      <c r="BE350" s="527"/>
      <c r="BF350" s="527"/>
      <c r="BG350" s="527"/>
      <c r="BH350" s="527"/>
      <c r="BI350" s="527"/>
      <c r="BJ350" s="526"/>
      <c r="BK350" s="527"/>
      <c r="BL350" s="527"/>
      <c r="BM350" s="527"/>
      <c r="BN350" s="527"/>
      <c r="BO350" s="527"/>
      <c r="BP350" s="526"/>
      <c r="BQ350" s="528"/>
      <c r="BR350" s="528"/>
      <c r="BS350" s="528"/>
      <c r="BT350" s="528"/>
      <c r="BU350" s="528"/>
      <c r="BV350" s="400"/>
      <c r="BW350" s="305"/>
      <c r="BX350" s="451"/>
      <c r="BY350" s="459"/>
      <c r="BZ350" s="459"/>
      <c r="CE350" s="289"/>
      <c r="CF350" s="289"/>
      <c r="CG350" s="289"/>
    </row>
    <row r="351" spans="2:85" x14ac:dyDescent="0.25">
      <c r="B351" t="s">
        <v>196</v>
      </c>
      <c r="H351" s="91">
        <f>IFERROR(H153,"n/a")</f>
        <v>3050</v>
      </c>
      <c r="I351" s="176"/>
      <c r="J351" s="176"/>
      <c r="K351" s="177"/>
      <c r="L351" s="176"/>
      <c r="M351" s="176"/>
      <c r="N351" s="91">
        <f>IFERROR(N153,"n/a")</f>
        <v>3475</v>
      </c>
      <c r="O351" s="176"/>
      <c r="P351" s="176"/>
      <c r="Q351" s="177"/>
      <c r="R351" s="176"/>
      <c r="S351" s="176"/>
      <c r="T351" s="91">
        <f>IFERROR(T153,"n/a")</f>
        <v>4878</v>
      </c>
      <c r="U351" s="176"/>
      <c r="V351" s="176"/>
      <c r="W351" s="177"/>
      <c r="X351" s="176"/>
      <c r="Y351" s="176"/>
      <c r="Z351" s="91">
        <f>IFERROR(Z153,"n/a")</f>
        <v>5450</v>
      </c>
      <c r="AA351" s="176"/>
      <c r="AB351" s="176"/>
      <c r="AC351" s="177"/>
      <c r="AD351" s="176"/>
      <c r="AE351" s="176"/>
      <c r="AF351" s="91">
        <f>IFERROR(AF153,"n/a")</f>
        <v>6654</v>
      </c>
      <c r="AG351" s="176"/>
      <c r="AH351" s="176"/>
      <c r="AI351" s="177"/>
      <c r="AJ351" s="176"/>
      <c r="AK351" s="176"/>
      <c r="AL351" s="91">
        <f>IFERROR(AL153,"n/a")</f>
        <v>9520</v>
      </c>
      <c r="AM351" s="176"/>
      <c r="AN351" s="176"/>
      <c r="AO351" s="177"/>
      <c r="AP351" s="176"/>
      <c r="AQ351" s="176"/>
      <c r="AR351" s="91">
        <f>IFERROR(AR153,"n/a")</f>
        <v>16223</v>
      </c>
      <c r="AS351" s="176"/>
      <c r="AT351" s="176"/>
      <c r="AU351" s="177"/>
      <c r="AV351" s="176"/>
      <c r="AW351" s="176"/>
      <c r="AX351" s="91">
        <f>IFERROR(AX153,"n/a")</f>
        <v>25204</v>
      </c>
      <c r="AY351" s="176"/>
      <c r="AZ351" s="176"/>
      <c r="BA351" s="177"/>
      <c r="BB351" s="176"/>
      <c r="BC351" s="176"/>
      <c r="BD351" s="91">
        <f>IFERROR(BD153,"n/a")</f>
        <v>17723</v>
      </c>
      <c r="BE351" s="176"/>
      <c r="BF351" s="176"/>
      <c r="BG351" s="177"/>
      <c r="BH351" s="176"/>
      <c r="BI351" s="176"/>
      <c r="BJ351" s="91">
        <f>IFERROR(BJ153,"n/a")</f>
        <v>16096</v>
      </c>
      <c r="BK351" s="176"/>
      <c r="BL351" s="176"/>
      <c r="BM351" s="177"/>
      <c r="BN351" s="176"/>
      <c r="BO351" s="176"/>
      <c r="BP351" s="91">
        <f t="shared" ref="BP351:BU351" si="215">IFERROR(BP153,"n/a")</f>
        <v>19611</v>
      </c>
      <c r="BQ351" s="383">
        <f t="shared" si="215"/>
        <v>24150.633333333291</v>
      </c>
      <c r="BR351" s="383">
        <f t="shared" si="215"/>
        <v>28468.523207466624</v>
      </c>
      <c r="BS351" s="383">
        <f t="shared" si="215"/>
        <v>32877.624782519953</v>
      </c>
      <c r="BT351" s="383">
        <f t="shared" si="215"/>
        <v>35569.692428102338</v>
      </c>
      <c r="BU351" s="383">
        <f t="shared" si="215"/>
        <v>38196.304924863791</v>
      </c>
      <c r="BV351" s="400"/>
      <c r="BW351" s="305"/>
      <c r="BX351" s="451"/>
      <c r="BY351" s="459"/>
      <c r="BZ351" s="459"/>
      <c r="CE351" s="289"/>
      <c r="CF351" s="289"/>
      <c r="CG351" s="289"/>
    </row>
    <row r="352" spans="2:85" x14ac:dyDescent="0.25">
      <c r="B352" t="s">
        <v>217</v>
      </c>
      <c r="C352" s="229" t="s">
        <v>218</v>
      </c>
      <c r="D352" s="15">
        <v>0.24</v>
      </c>
      <c r="H352" s="511">
        <f>IFERROR(H158/H157,"n/a")</f>
        <v>0.23465972480476013</v>
      </c>
      <c r="I352" s="512"/>
      <c r="J352" s="512"/>
      <c r="K352" s="513"/>
      <c r="L352" s="512"/>
      <c r="M352" s="512"/>
      <c r="N352" s="511">
        <f>IFERROR(N158/N157,"n/a")</f>
        <v>0.26692878986456969</v>
      </c>
      <c r="O352" s="512"/>
      <c r="P352" s="512"/>
      <c r="Q352" s="513"/>
      <c r="R352" s="512"/>
      <c r="S352" s="512"/>
      <c r="T352" s="511">
        <f>IFERROR(T158/T157,"n/a")</f>
        <v>0.20674216486700026</v>
      </c>
      <c r="U352" s="512"/>
      <c r="V352" s="512"/>
      <c r="W352" s="513"/>
      <c r="X352" s="512"/>
      <c r="Y352" s="512"/>
      <c r="Z352" s="511">
        <f>IFERROR(Z158/Z157,"n/a")</f>
        <v>0.23322437992693712</v>
      </c>
      <c r="AA352" s="512"/>
      <c r="AB352" s="512"/>
      <c r="AC352" s="513"/>
      <c r="AD352" s="512"/>
      <c r="AE352" s="512"/>
      <c r="AF352" s="511">
        <f>IFERROR(AF158/AF157,"n/a")</f>
        <v>0.25820656525220176</v>
      </c>
      <c r="AG352" s="512"/>
      <c r="AH352" s="512"/>
      <c r="AI352" s="513"/>
      <c r="AJ352" s="512"/>
      <c r="AK352" s="512"/>
      <c r="AL352" s="511">
        <f>IFERROR(AL158/AL157,"n/a")</f>
        <v>0.24329127421361293</v>
      </c>
      <c r="AM352" s="512"/>
      <c r="AN352" s="512"/>
      <c r="AO352" s="513"/>
      <c r="AP352" s="512"/>
      <c r="AQ352" s="512"/>
      <c r="AR352" s="511">
        <f>IFERROR(AR158/AR157,"n/a")</f>
        <v>0.24490069779924853</v>
      </c>
      <c r="AS352" s="512"/>
      <c r="AT352" s="512"/>
      <c r="AU352" s="513"/>
      <c r="AV352" s="512"/>
      <c r="AW352" s="512"/>
      <c r="AX352" s="511">
        <f>IFERROR(AX158/AX157,"n/a")</f>
        <v>0.23900779466861893</v>
      </c>
      <c r="AY352" s="512"/>
      <c r="AZ352" s="512"/>
      <c r="BA352" s="513"/>
      <c r="BB352" s="512"/>
      <c r="BC352" s="512"/>
      <c r="BD352" s="511">
        <f>IFERROR(BD158/BD157,"n/a")</f>
        <v>0.24760460885385083</v>
      </c>
      <c r="BE352" s="512"/>
      <c r="BF352" s="512"/>
      <c r="BG352" s="513"/>
      <c r="BH352" s="512"/>
      <c r="BI352" s="512"/>
      <c r="BJ352" s="511">
        <f>IFERROR(BJ158/BJ157,"n/a")</f>
        <v>0.24197273336809952</v>
      </c>
      <c r="BK352" s="512"/>
      <c r="BL352" s="512"/>
      <c r="BM352" s="513"/>
      <c r="BN352" s="512"/>
      <c r="BO352" s="512"/>
      <c r="BP352" s="511">
        <f t="shared" ref="BP352:BU352" si="216">IFERROR(BP158/BP157,"n/a")</f>
        <v>0.30328476166954804</v>
      </c>
      <c r="BQ352" s="515">
        <f t="shared" si="216"/>
        <v>0.25</v>
      </c>
      <c r="BR352" s="515">
        <f t="shared" si="216"/>
        <v>0.25</v>
      </c>
      <c r="BS352" s="515">
        <f t="shared" si="216"/>
        <v>0.25</v>
      </c>
      <c r="BT352" s="515">
        <f t="shared" si="216"/>
        <v>0.25</v>
      </c>
      <c r="BU352" s="515">
        <f t="shared" si="216"/>
        <v>0.25</v>
      </c>
      <c r="BV352" s="400"/>
      <c r="BW352" s="305"/>
      <c r="BX352" s="451"/>
      <c r="BY352" s="459"/>
      <c r="BZ352" s="459"/>
      <c r="CE352" s="289"/>
      <c r="CF352" s="289"/>
      <c r="CG352" s="289"/>
    </row>
    <row r="353" spans="2:85" x14ac:dyDescent="0.25">
      <c r="B353" t="s">
        <v>197</v>
      </c>
      <c r="H353" s="91">
        <f>IFERROR(H351*(1-$D$352),"n/a")</f>
        <v>2318</v>
      </c>
      <c r="I353" s="176"/>
      <c r="J353" s="176"/>
      <c r="K353" s="177"/>
      <c r="L353" s="176"/>
      <c r="M353" s="176"/>
      <c r="N353" s="91">
        <f>IFERROR(N351*(1-$D$352),"n/a")</f>
        <v>2641</v>
      </c>
      <c r="O353" s="176"/>
      <c r="P353" s="176"/>
      <c r="Q353" s="177"/>
      <c r="R353" s="176"/>
      <c r="S353" s="176"/>
      <c r="T353" s="91">
        <f>IFERROR(T351*(1-$D$352),"n/a")</f>
        <v>3707.28</v>
      </c>
      <c r="U353" s="176"/>
      <c r="V353" s="176"/>
      <c r="W353" s="177"/>
      <c r="X353" s="176"/>
      <c r="Y353" s="176"/>
      <c r="Z353" s="91">
        <f>IFERROR(Z351*(1-$D$352),"n/a")</f>
        <v>4142</v>
      </c>
      <c r="AA353" s="176"/>
      <c r="AB353" s="176"/>
      <c r="AC353" s="177"/>
      <c r="AD353" s="176"/>
      <c r="AE353" s="176"/>
      <c r="AF353" s="91">
        <f>IFERROR(AF351*(1-$D$352),"n/a")</f>
        <v>5057.04</v>
      </c>
      <c r="AG353" s="176"/>
      <c r="AH353" s="176"/>
      <c r="AI353" s="177"/>
      <c r="AJ353" s="176"/>
      <c r="AK353" s="176"/>
      <c r="AL353" s="91">
        <f>IFERROR(AL351*(1-$D$352),"n/a")</f>
        <v>7235.2</v>
      </c>
      <c r="AM353" s="176"/>
      <c r="AN353" s="176"/>
      <c r="AO353" s="177"/>
      <c r="AP353" s="176"/>
      <c r="AQ353" s="176"/>
      <c r="AR353" s="91">
        <f>IFERROR(AR351*(1-$D$352),"n/a")</f>
        <v>12329.48</v>
      </c>
      <c r="AS353" s="176"/>
      <c r="AT353" s="176"/>
      <c r="AU353" s="177"/>
      <c r="AV353" s="176"/>
      <c r="AW353" s="176"/>
      <c r="AX353" s="91">
        <f>IFERROR(AX351*(1-$D$352),"n/a")</f>
        <v>19155.04</v>
      </c>
      <c r="AY353" s="176"/>
      <c r="AZ353" s="176"/>
      <c r="BA353" s="177"/>
      <c r="BB353" s="176"/>
      <c r="BC353" s="176"/>
      <c r="BD353" s="91">
        <f>IFERROR(BD351*(1-$D$352),"n/a")</f>
        <v>13469.48</v>
      </c>
      <c r="BE353" s="176"/>
      <c r="BF353" s="176"/>
      <c r="BG353" s="177"/>
      <c r="BH353" s="176"/>
      <c r="BI353" s="176"/>
      <c r="BJ353" s="91">
        <f>IFERROR(BJ351*(1-$D$352),"n/a")</f>
        <v>12232.960000000001</v>
      </c>
      <c r="BK353" s="176"/>
      <c r="BL353" s="176"/>
      <c r="BM353" s="177"/>
      <c r="BN353" s="176"/>
      <c r="BO353" s="176"/>
      <c r="BP353" s="91">
        <f t="shared" ref="BP353:BU353" si="217">IFERROR(BP351*(1-$D$352),"n/a")</f>
        <v>14904.36</v>
      </c>
      <c r="BQ353" s="383">
        <f t="shared" si="217"/>
        <v>18354.4813333333</v>
      </c>
      <c r="BR353" s="383">
        <f t="shared" si="217"/>
        <v>21636.077637674633</v>
      </c>
      <c r="BS353" s="383">
        <f t="shared" si="217"/>
        <v>24986.994834715166</v>
      </c>
      <c r="BT353" s="383">
        <f t="shared" si="217"/>
        <v>27032.966245357777</v>
      </c>
      <c r="BU353" s="383">
        <f t="shared" si="217"/>
        <v>29029.191742896481</v>
      </c>
      <c r="BV353" s="400"/>
      <c r="BW353" s="305"/>
      <c r="BX353" s="451"/>
      <c r="BY353" s="459"/>
      <c r="BZ353" s="459"/>
      <c r="CE353" s="289"/>
      <c r="CF353" s="289"/>
      <c r="CG353" s="289"/>
    </row>
    <row r="354" spans="2:85" x14ac:dyDescent="0.25">
      <c r="B354" t="s">
        <v>198</v>
      </c>
      <c r="H354" s="91">
        <f>IFERROR(H355+H356,"n/a")</f>
        <v>11555</v>
      </c>
      <c r="I354" s="176"/>
      <c r="J354" s="176"/>
      <c r="K354" s="177"/>
      <c r="L354" s="176"/>
      <c r="M354" s="176"/>
      <c r="N354" s="91">
        <f>IFERROR(N355+N356,"n/a")</f>
        <v>21747</v>
      </c>
      <c r="O354" s="176"/>
      <c r="P354" s="176"/>
      <c r="Q354" s="177"/>
      <c r="R354" s="176"/>
      <c r="S354" s="176"/>
      <c r="T354" s="91">
        <f>IFERROR(T355+T356,"n/a")</f>
        <v>20447</v>
      </c>
      <c r="U354" s="176"/>
      <c r="V354" s="176"/>
      <c r="W354" s="177"/>
      <c r="X354" s="176"/>
      <c r="Y354" s="176"/>
      <c r="Z354" s="91">
        <f>IFERROR(Z355+Z356,"n/a")</f>
        <v>20320</v>
      </c>
      <c r="AA354" s="176"/>
      <c r="AB354" s="176"/>
      <c r="AC354" s="177"/>
      <c r="AD354" s="176"/>
      <c r="AE354" s="176"/>
      <c r="AF354" s="91">
        <f>IFERROR(AF355+AF356,"n/a")</f>
        <v>55260</v>
      </c>
      <c r="AG354" s="176"/>
      <c r="AH354" s="176"/>
      <c r="AI354" s="177"/>
      <c r="AJ354" s="176"/>
      <c r="AK354" s="176"/>
      <c r="AL354" s="91">
        <f>IFERROR(AL355+AL356,"n/a")</f>
        <v>52118</v>
      </c>
      <c r="AM354" s="176"/>
      <c r="AN354" s="176"/>
      <c r="AO354" s="177"/>
      <c r="AP354" s="176"/>
      <c r="AQ354" s="176"/>
      <c r="AR354" s="91">
        <f>IFERROR(AR355+AR356,"n/a")</f>
        <v>87444</v>
      </c>
      <c r="AS354" s="176"/>
      <c r="AT354" s="176"/>
      <c r="AU354" s="177"/>
      <c r="AV354" s="176"/>
      <c r="AW354" s="176"/>
      <c r="AX354" s="91">
        <f>IFERROR(AX355+AX356,"n/a")</f>
        <v>83793</v>
      </c>
      <c r="AY354" s="176"/>
      <c r="AZ354" s="176"/>
      <c r="BA354" s="177"/>
      <c r="BB354" s="176"/>
      <c r="BC354" s="176"/>
      <c r="BD354" s="91">
        <f>IFERROR(BD355+BD356,"n/a")</f>
        <v>84657</v>
      </c>
      <c r="BE354" s="176"/>
      <c r="BF354" s="176"/>
      <c r="BG354" s="177"/>
      <c r="BH354" s="176"/>
      <c r="BI354" s="176"/>
      <c r="BJ354" s="91">
        <f>IFERROR(BJ355+BJ356,"n/a")</f>
        <v>92071</v>
      </c>
      <c r="BK354" s="176"/>
      <c r="BL354" s="176"/>
      <c r="BM354" s="177"/>
      <c r="BN354" s="176"/>
      <c r="BO354" s="176"/>
      <c r="BP354" s="91">
        <f t="shared" ref="BP354:BU354" si="218">IFERROR(BP355+BP356,"n/a")</f>
        <v>171516</v>
      </c>
      <c r="BQ354" s="383">
        <f t="shared" si="218"/>
        <v>172724.69214990688</v>
      </c>
      <c r="BR354" s="383">
        <f t="shared" si="218"/>
        <v>174432.76899921906</v>
      </c>
      <c r="BS354" s="383">
        <f t="shared" si="218"/>
        <v>176953.46995602103</v>
      </c>
      <c r="BT354" s="383">
        <f t="shared" si="218"/>
        <v>180521.68506445864</v>
      </c>
      <c r="BU354" s="383">
        <f t="shared" si="218"/>
        <v>184164.93142510479</v>
      </c>
      <c r="BV354" s="400"/>
      <c r="BW354" s="305"/>
      <c r="BX354" s="451"/>
      <c r="BY354" s="459"/>
      <c r="BZ354" s="459"/>
      <c r="CE354" s="289"/>
      <c r="CF354" s="289"/>
      <c r="CG354" s="289"/>
    </row>
    <row r="355" spans="2:85" x14ac:dyDescent="0.25">
      <c r="B355" t="s">
        <v>199</v>
      </c>
      <c r="H355" s="91">
        <f>IFERROR(H289,"n/a")</f>
        <v>11841</v>
      </c>
      <c r="I355" s="176"/>
      <c r="J355" s="176"/>
      <c r="K355" s="177"/>
      <c r="L355" s="176"/>
      <c r="M355" s="176"/>
      <c r="N355" s="91">
        <f>IFERROR(N289,"n/a")</f>
        <v>13378</v>
      </c>
      <c r="O355" s="176"/>
      <c r="P355" s="176"/>
      <c r="Q355" s="177"/>
      <c r="R355" s="176"/>
      <c r="S355" s="176"/>
      <c r="T355" s="91">
        <f>IFERROR(T289,"n/a")</f>
        <v>14809</v>
      </c>
      <c r="U355" s="176"/>
      <c r="V355" s="176"/>
      <c r="W355" s="177"/>
      <c r="X355" s="176"/>
      <c r="Y355" s="176"/>
      <c r="Z355" s="91">
        <f>IFERROR(Z289,"n/a")</f>
        <v>14532</v>
      </c>
      <c r="AA355" s="176"/>
      <c r="AB355" s="176"/>
      <c r="AC355" s="177"/>
      <c r="AD355" s="176"/>
      <c r="AE355" s="176"/>
      <c r="AF355" s="91">
        <f>IFERROR(AF289,"n/a")</f>
        <v>49319</v>
      </c>
      <c r="AG355" s="176"/>
      <c r="AH355" s="176"/>
      <c r="AI355" s="177"/>
      <c r="AJ355" s="176"/>
      <c r="AK355" s="176"/>
      <c r="AL355" s="91">
        <f>IFERROR(AL289,"n/a")</f>
        <v>47297</v>
      </c>
      <c r="AM355" s="176"/>
      <c r="AN355" s="176"/>
      <c r="AO355" s="177"/>
      <c r="AP355" s="176"/>
      <c r="AQ355" s="176"/>
      <c r="AR355" s="91">
        <f>IFERROR(AR289,"n/a")</f>
        <v>74278</v>
      </c>
      <c r="AS355" s="176"/>
      <c r="AT355" s="176"/>
      <c r="AU355" s="177"/>
      <c r="AV355" s="176"/>
      <c r="AW355" s="176"/>
      <c r="AX355" s="91">
        <f>IFERROR(AX289,"n/a")</f>
        <v>71741</v>
      </c>
      <c r="AY355" s="176"/>
      <c r="AZ355" s="176"/>
      <c r="BA355" s="177"/>
      <c r="BB355" s="176"/>
      <c r="BC355" s="176"/>
      <c r="BD355" s="91">
        <f>IFERROR(BD289,"n/a")</f>
        <v>68966</v>
      </c>
      <c r="BE355" s="176"/>
      <c r="BF355" s="176"/>
      <c r="BG355" s="177"/>
      <c r="BH355" s="176"/>
      <c r="BI355" s="176"/>
      <c r="BJ355" s="91">
        <f>IFERROR(BJ289,"n/a")</f>
        <v>114503</v>
      </c>
      <c r="BK355" s="176"/>
      <c r="BL355" s="176"/>
      <c r="BM355" s="177"/>
      <c r="BN355" s="176"/>
      <c r="BO355" s="176"/>
      <c r="BP355" s="91">
        <f t="shared" ref="BP355:BU355" si="219">IFERROR(BP289,"n/a")</f>
        <v>117690</v>
      </c>
      <c r="BQ355" s="383">
        <f t="shared" si="219"/>
        <v>130459.6125930667</v>
      </c>
      <c r="BR355" s="383">
        <f t="shared" si="219"/>
        <v>146006.91320641065</v>
      </c>
      <c r="BS355" s="383">
        <f t="shared" si="219"/>
        <v>161111.92314541104</v>
      </c>
      <c r="BT355" s="383">
        <f t="shared" si="219"/>
        <v>170200.21611401928</v>
      </c>
      <c r="BU355" s="383">
        <f t="shared" si="219"/>
        <v>178169.57492027033</v>
      </c>
      <c r="BV355" s="365"/>
      <c r="BW355" s="305"/>
      <c r="BX355" s="451"/>
      <c r="BY355" s="459"/>
      <c r="BZ355" s="459"/>
      <c r="CE355" s="289"/>
      <c r="CF355" s="289"/>
      <c r="CG355" s="289"/>
    </row>
    <row r="356" spans="2:85" x14ac:dyDescent="0.25">
      <c r="B356" t="s">
        <v>224</v>
      </c>
      <c r="H356" s="91">
        <f>IFERROR(H292+H299-H277,"n/a")</f>
        <v>-286</v>
      </c>
      <c r="I356" s="176"/>
      <c r="J356" s="176"/>
      <c r="K356" s="177"/>
      <c r="L356" s="176"/>
      <c r="M356" s="176"/>
      <c r="N356" s="91">
        <f>IFERROR(N292+N299-N277,"n/a")</f>
        <v>8369</v>
      </c>
      <c r="O356" s="176"/>
      <c r="P356" s="176"/>
      <c r="Q356" s="177"/>
      <c r="R356" s="176"/>
      <c r="S356" s="176"/>
      <c r="T356" s="91">
        <f>IFERROR(T292+T299-T277,"n/a")</f>
        <v>5638</v>
      </c>
      <c r="U356" s="176"/>
      <c r="V356" s="176"/>
      <c r="W356" s="177"/>
      <c r="X356" s="176"/>
      <c r="Y356" s="176"/>
      <c r="Z356" s="91">
        <f>IFERROR(Z292+Z299-Z277,"n/a")</f>
        <v>5788</v>
      </c>
      <c r="AA356" s="176"/>
      <c r="AB356" s="176"/>
      <c r="AC356" s="177"/>
      <c r="AD356" s="176"/>
      <c r="AE356" s="176"/>
      <c r="AF356" s="91">
        <f>IFERROR(AF292+AF299-AF277,"n/a")</f>
        <v>5941</v>
      </c>
      <c r="AG356" s="176"/>
      <c r="AH356" s="176"/>
      <c r="AI356" s="177"/>
      <c r="AJ356" s="176"/>
      <c r="AK356" s="176"/>
      <c r="AL356" s="91">
        <f>IFERROR(AL292+AL299-AL277,"n/a")</f>
        <v>4821</v>
      </c>
      <c r="AM356" s="176"/>
      <c r="AN356" s="176"/>
      <c r="AO356" s="177"/>
      <c r="AP356" s="176"/>
      <c r="AQ356" s="176"/>
      <c r="AR356" s="91">
        <f>IFERROR(AR292+AR299-AR277,"n/a")</f>
        <v>13166</v>
      </c>
      <c r="AS356" s="176"/>
      <c r="AT356" s="176"/>
      <c r="AU356" s="177"/>
      <c r="AV356" s="176"/>
      <c r="AW356" s="176"/>
      <c r="AX356" s="91">
        <f>IFERROR(AX292+AX299-AX277,"n/a")</f>
        <v>12052</v>
      </c>
      <c r="AY356" s="176"/>
      <c r="AZ356" s="176"/>
      <c r="BA356" s="177"/>
      <c r="BB356" s="176"/>
      <c r="BC356" s="176"/>
      <c r="BD356" s="91">
        <f>IFERROR(BD292+BD299-BD277,"n/a")</f>
        <v>15691</v>
      </c>
      <c r="BE356" s="176"/>
      <c r="BF356" s="176"/>
      <c r="BG356" s="177"/>
      <c r="BH356" s="176"/>
      <c r="BI356" s="176"/>
      <c r="BJ356" s="91">
        <f>IFERROR(BJ292+BJ299-BJ277,"n/a")</f>
        <v>-22432</v>
      </c>
      <c r="BK356" s="176"/>
      <c r="BL356" s="176"/>
      <c r="BM356" s="177"/>
      <c r="BN356" s="176"/>
      <c r="BO356" s="176"/>
      <c r="BP356" s="91">
        <f t="shared" ref="BP356:BU356" si="220">IFERROR(BP292+BP299-BP277,"n/a")</f>
        <v>53826</v>
      </c>
      <c r="BQ356" s="383">
        <f t="shared" si="220"/>
        <v>42265.079556840174</v>
      </c>
      <c r="BR356" s="383">
        <f t="shared" si="220"/>
        <v>28425.855792808408</v>
      </c>
      <c r="BS356" s="383">
        <f t="shared" si="220"/>
        <v>15841.54681060998</v>
      </c>
      <c r="BT356" s="383">
        <f t="shared" si="220"/>
        <v>10321.468950439354</v>
      </c>
      <c r="BU356" s="383">
        <f t="shared" si="220"/>
        <v>5995.3565048344681</v>
      </c>
      <c r="BV356" s="365"/>
      <c r="BW356" s="305"/>
      <c r="BX356" s="451"/>
      <c r="BY356" s="459"/>
      <c r="BZ356" s="459"/>
      <c r="CE356" s="289"/>
      <c r="CF356" s="289"/>
      <c r="CG356" s="289"/>
    </row>
    <row r="357" spans="2:85" ht="21.95" customHeight="1" thickBot="1" x14ac:dyDescent="0.3">
      <c r="B357" s="143" t="s">
        <v>200</v>
      </c>
      <c r="C357" s="144"/>
      <c r="D357" s="144"/>
      <c r="E357" s="144"/>
      <c r="F357" s="144"/>
      <c r="G357" s="144"/>
      <c r="H357" s="530">
        <f>IFERROR(H353/H354,"n/a")</f>
        <v>0.20060579835569017</v>
      </c>
      <c r="I357" s="531"/>
      <c r="J357" s="531"/>
      <c r="K357" s="531"/>
      <c r="L357" s="531"/>
      <c r="M357" s="531"/>
      <c r="N357" s="530">
        <f>IFERROR(N353/N354,"n/a")</f>
        <v>0.12144203798225042</v>
      </c>
      <c r="O357" s="531"/>
      <c r="P357" s="531"/>
      <c r="Q357" s="531"/>
      <c r="R357" s="531"/>
      <c r="S357" s="531"/>
      <c r="T357" s="530">
        <f>IFERROR(T353/T354,"n/a")</f>
        <v>0.18131168386560376</v>
      </c>
      <c r="U357" s="531"/>
      <c r="V357" s="531"/>
      <c r="W357" s="531"/>
      <c r="X357" s="531"/>
      <c r="Y357" s="531"/>
      <c r="Z357" s="530">
        <f>IFERROR(Z353/Z354,"n/a")</f>
        <v>0.20383858267716534</v>
      </c>
      <c r="AA357" s="531"/>
      <c r="AB357" s="531"/>
      <c r="AC357" s="531"/>
      <c r="AD357" s="531"/>
      <c r="AE357" s="531"/>
      <c r="AF357" s="530">
        <f>IFERROR(AF353/AF354,"n/a")</f>
        <v>9.1513572204125954E-2</v>
      </c>
      <c r="AG357" s="531"/>
      <c r="AH357" s="531"/>
      <c r="AI357" s="531"/>
      <c r="AJ357" s="531"/>
      <c r="AK357" s="531"/>
      <c r="AL357" s="530">
        <f>IFERROR(AL353/AL354,"n/a")</f>
        <v>0.13882343911892245</v>
      </c>
      <c r="AM357" s="531"/>
      <c r="AN357" s="531"/>
      <c r="AO357" s="531"/>
      <c r="AP357" s="531"/>
      <c r="AQ357" s="531"/>
      <c r="AR357" s="530">
        <f>IFERROR(AR353/AR354,"n/a")</f>
        <v>0.14099858194959058</v>
      </c>
      <c r="AS357" s="531"/>
      <c r="AT357" s="531"/>
      <c r="AU357" s="531"/>
      <c r="AV357" s="531"/>
      <c r="AW357" s="531"/>
      <c r="AX357" s="530">
        <f>IFERROR(AX353/AX354,"n/a")</f>
        <v>0.22859952501998976</v>
      </c>
      <c r="AY357" s="531"/>
      <c r="AZ357" s="531"/>
      <c r="BA357" s="531"/>
      <c r="BB357" s="531"/>
      <c r="BC357" s="531"/>
      <c r="BD357" s="530">
        <f>IFERROR(BD353/BD354,"n/a")</f>
        <v>0.15910651216083727</v>
      </c>
      <c r="BE357" s="531"/>
      <c r="BF357" s="531"/>
      <c r="BG357" s="531"/>
      <c r="BH357" s="531"/>
      <c r="BI357" s="531"/>
      <c r="BJ357" s="530">
        <f>IFERROR(BJ353/BJ354,"n/a")</f>
        <v>0.13286441984989847</v>
      </c>
      <c r="BK357" s="531"/>
      <c r="BL357" s="531"/>
      <c r="BM357" s="531"/>
      <c r="BN357" s="531"/>
      <c r="BO357" s="531"/>
      <c r="BP357" s="530">
        <f t="shared" ref="BP357:BU357" si="221">IFERROR(BP353/BP354,"n/a")</f>
        <v>8.6897782131113141E-2</v>
      </c>
      <c r="BQ357" s="532">
        <f t="shared" si="221"/>
        <v>0.10626437427605047</v>
      </c>
      <c r="BR357" s="533">
        <f t="shared" si="221"/>
        <v>0.12403677222925641</v>
      </c>
      <c r="BS357" s="533">
        <f t="shared" si="221"/>
        <v>0.14120658295610303</v>
      </c>
      <c r="BT357" s="533">
        <f t="shared" si="221"/>
        <v>0.14974913532246917</v>
      </c>
      <c r="BU357" s="533">
        <f t="shared" si="221"/>
        <v>0.1576260557222422</v>
      </c>
      <c r="BV357" s="365"/>
      <c r="BW357" s="305"/>
      <c r="BX357" s="450">
        <f>IFERROR(AVERAGE(BQ357,BR357,BS357,BT357,BU357),"n/m")</f>
        <v>0.13577658410122423</v>
      </c>
      <c r="BY357" s="265">
        <f>IFERROR(AVERAGE(AR357,AX357,BD357,BJ357,BP357),"n/m")</f>
        <v>0.14969336422228585</v>
      </c>
      <c r="BZ357" s="265">
        <f>IFERROR(AVERAGE(N357,T357,Z357,AF357,AL357,AR357,AX357,BD357,BJ357,BP357),"n/m")</f>
        <v>0.14853961369594973</v>
      </c>
      <c r="CA357" s="309"/>
      <c r="CB357" s="159">
        <f>IFERROR((BP346-AX346)/(BP347-AX347),"n/m")</f>
        <v>2.8092034536293693</v>
      </c>
      <c r="CC357" s="159">
        <f>IFERROR((BP346-AL346)/(BP347-AL347),"n/m")</f>
        <v>2.5991622597701123</v>
      </c>
      <c r="CD357" s="159">
        <f>IFERROR((BP346-Z346)/(BP347-Z347),"n/m")</f>
        <v>2.7777100392699254</v>
      </c>
      <c r="CE357" s="289"/>
      <c r="CF357" s="289"/>
      <c r="CG357" s="289"/>
    </row>
    <row r="358" spans="2:85" x14ac:dyDescent="0.25">
      <c r="B358" t="s">
        <v>201</v>
      </c>
      <c r="H358" s="511">
        <f>IFERROR(H351/H146,"n/a")</f>
        <v>5.9957931156500027E-2</v>
      </c>
      <c r="I358" s="512"/>
      <c r="J358" s="512"/>
      <c r="K358" s="513"/>
      <c r="L358" s="512"/>
      <c r="M358" s="512"/>
      <c r="N358" s="511">
        <f>IFERROR(N351/N146,"n/a")</f>
        <v>5.1293784226607818E-2</v>
      </c>
      <c r="O358" s="512"/>
      <c r="P358" s="512"/>
      <c r="Q358" s="513"/>
      <c r="R358" s="512"/>
      <c r="S358" s="512"/>
      <c r="T358" s="511">
        <f>IFERROR(T351/T146,"n/a")</f>
        <v>6.5125966275483643E-2</v>
      </c>
      <c r="U358" s="512"/>
      <c r="V358" s="512"/>
      <c r="W358" s="513"/>
      <c r="X358" s="512"/>
      <c r="Y358" s="512"/>
      <c r="Z358" s="511">
        <f>IFERROR(Z351/Z146,"n/a")</f>
        <v>6.8941090154706341E-2</v>
      </c>
      <c r="AA358" s="512"/>
      <c r="AB358" s="512"/>
      <c r="AC358" s="513"/>
      <c r="AD358" s="512"/>
      <c r="AE358" s="512"/>
      <c r="AF358" s="511">
        <f>IFERROR(AF351/AF146,"n/a")</f>
        <v>7.0263249596097185E-2</v>
      </c>
      <c r="AG358" s="512"/>
      <c r="AH358" s="512"/>
      <c r="AI358" s="513"/>
      <c r="AJ358" s="512"/>
      <c r="AK358" s="512"/>
      <c r="AL358" s="511">
        <f>IFERROR(AL351/AL146,"n/a")</f>
        <v>8.2117103129420693E-2</v>
      </c>
      <c r="AM358" s="512"/>
      <c r="AN358" s="512"/>
      <c r="AO358" s="513"/>
      <c r="AP358" s="512"/>
      <c r="AQ358" s="512"/>
      <c r="AR358" s="511">
        <f>IFERROR(AR351/AR146,"n/a")</f>
        <v>8.8987745877809832E-2</v>
      </c>
      <c r="AS358" s="512"/>
      <c r="AT358" s="512"/>
      <c r="AU358" s="513"/>
      <c r="AV358" s="512"/>
      <c r="AW358" s="512"/>
      <c r="AX358" s="511">
        <f>IFERROR(AX351/AX146,"n/a")</f>
        <v>0.1069484225489572</v>
      </c>
      <c r="AY358" s="512"/>
      <c r="AZ358" s="512"/>
      <c r="BA358" s="513"/>
      <c r="BB358" s="512"/>
      <c r="BC358" s="512"/>
      <c r="BD358" s="511">
        <f>IFERROR(BD351/BD146,"n/a")</f>
        <v>0.117538216666114</v>
      </c>
      <c r="BE358" s="512"/>
      <c r="BF358" s="512"/>
      <c r="BG358" s="513"/>
      <c r="BH358" s="512"/>
      <c r="BI358" s="512"/>
      <c r="BJ358" s="511">
        <f>IFERROR(BJ351/BJ146,"n/a")</f>
        <v>9.632209495769152E-2</v>
      </c>
      <c r="BK358" s="512"/>
      <c r="BL358" s="512"/>
      <c r="BM358" s="513"/>
      <c r="BN358" s="512"/>
      <c r="BO358" s="512"/>
      <c r="BP358" s="511">
        <f t="shared" ref="BP358:BU358" si="222">IFERROR(BP351/BP146,"n/a")</f>
        <v>7.9290505436035108E-2</v>
      </c>
      <c r="BQ358" s="397">
        <f t="shared" si="222"/>
        <v>8.8680876385453924E-2</v>
      </c>
      <c r="BR358" s="397">
        <f t="shared" si="222"/>
        <v>9.8803008605759274E-2</v>
      </c>
      <c r="BS358" s="397">
        <f t="shared" si="222"/>
        <v>0.10861407855364473</v>
      </c>
      <c r="BT358" s="397">
        <f t="shared" si="222"/>
        <v>0.11296692999934904</v>
      </c>
      <c r="BU358" s="397">
        <f t="shared" si="222"/>
        <v>0.11662202504257554</v>
      </c>
      <c r="BV358" s="365"/>
      <c r="BW358" s="305"/>
      <c r="BX358" s="451"/>
      <c r="BY358" s="459"/>
      <c r="BZ358" s="459"/>
      <c r="CE358" s="289"/>
      <c r="CF358" s="289"/>
      <c r="CG358" s="289"/>
    </row>
    <row r="359" spans="2:85" x14ac:dyDescent="0.25">
      <c r="B359" t="s">
        <v>202</v>
      </c>
      <c r="H359" s="92">
        <f>IFERROR(H146/H354,"n/a")</f>
        <v>4.4023366508005193</v>
      </c>
      <c r="I359" s="230"/>
      <c r="J359" s="230"/>
      <c r="K359" s="231"/>
      <c r="L359" s="230"/>
      <c r="M359" s="230"/>
      <c r="N359" s="92">
        <f>IFERROR(N146/N354,"n/a")</f>
        <v>3.1152342851887616</v>
      </c>
      <c r="O359" s="230"/>
      <c r="P359" s="230"/>
      <c r="Q359" s="231"/>
      <c r="R359" s="230"/>
      <c r="S359" s="230"/>
      <c r="T359" s="92">
        <f>IFERROR(T146/T354,"n/a")</f>
        <v>3.6631779723186777</v>
      </c>
      <c r="U359" s="230"/>
      <c r="V359" s="230"/>
      <c r="W359" s="231"/>
      <c r="X359" s="230"/>
      <c r="Y359" s="230"/>
      <c r="Z359" s="92">
        <f>IFERROR(Z146/Z354,"n/a")</f>
        <v>3.8904035433070865</v>
      </c>
      <c r="AA359" s="230"/>
      <c r="AB359" s="230"/>
      <c r="AC359" s="231"/>
      <c r="AD359" s="230"/>
      <c r="AE359" s="230"/>
      <c r="AF359" s="92">
        <f>IFERROR(AF146/AF354,"n/a")</f>
        <v>1.7137350705754615</v>
      </c>
      <c r="AG359" s="230"/>
      <c r="AH359" s="230"/>
      <c r="AI359" s="231"/>
      <c r="AJ359" s="230"/>
      <c r="AK359" s="230"/>
      <c r="AL359" s="92">
        <f>IFERROR(AL146/AL354,"n/a")</f>
        <v>2.2244138301546492</v>
      </c>
      <c r="AM359" s="230"/>
      <c r="AN359" s="230"/>
      <c r="AO359" s="231"/>
      <c r="AP359" s="230"/>
      <c r="AQ359" s="230"/>
      <c r="AR359" s="92">
        <f>IFERROR(AR146/AR354,"n/a")</f>
        <v>2.084831434975527</v>
      </c>
      <c r="AS359" s="230"/>
      <c r="AT359" s="230"/>
      <c r="AU359" s="231"/>
      <c r="AV359" s="230"/>
      <c r="AW359" s="230"/>
      <c r="AX359" s="92">
        <f>IFERROR(AX146/AX354,"n/a")</f>
        <v>2.8124664351437469</v>
      </c>
      <c r="AY359" s="230"/>
      <c r="AZ359" s="230"/>
      <c r="BA359" s="231"/>
      <c r="BB359" s="230"/>
      <c r="BC359" s="230"/>
      <c r="BD359" s="92">
        <f>IFERROR(BD146/BD354,"n/a")</f>
        <v>1.7811285540475095</v>
      </c>
      <c r="BE359" s="230"/>
      <c r="BF359" s="230"/>
      <c r="BG359" s="231"/>
      <c r="BH359" s="230"/>
      <c r="BI359" s="230"/>
      <c r="BJ359" s="92">
        <f>IFERROR(BJ146/BJ354,"n/a")</f>
        <v>1.8149688827100825</v>
      </c>
      <c r="BK359" s="230"/>
      <c r="BL359" s="230"/>
      <c r="BM359" s="231"/>
      <c r="BN359" s="230"/>
      <c r="BO359" s="230"/>
      <c r="BP359" s="92">
        <f t="shared" ref="BP359:BU359" si="223">IFERROR(BP146/BP354,"n/a")</f>
        <v>1.4420287320133398</v>
      </c>
      <c r="BQ359" s="472">
        <f t="shared" si="223"/>
        <v>1.5766820401314949</v>
      </c>
      <c r="BR359" s="472">
        <f t="shared" si="223"/>
        <v>1.6518351166839693</v>
      </c>
      <c r="BS359" s="472">
        <f t="shared" si="223"/>
        <v>1.7106266327784614</v>
      </c>
      <c r="BT359" s="472">
        <f t="shared" si="223"/>
        <v>1.7442125403580739</v>
      </c>
      <c r="BU359" s="472">
        <f t="shared" si="223"/>
        <v>1.7784179688353892</v>
      </c>
      <c r="BV359" s="365"/>
      <c r="BW359" s="305"/>
      <c r="BX359" s="451"/>
      <c r="BY359" s="459"/>
      <c r="BZ359" s="459"/>
      <c r="CE359" s="289"/>
      <c r="CF359" s="289"/>
      <c r="CG359" s="289"/>
    </row>
    <row r="360" spans="2:85" x14ac:dyDescent="0.25">
      <c r="B360" t="s">
        <v>203</v>
      </c>
      <c r="H360" s="511">
        <f>1-$D$352</f>
        <v>0.76</v>
      </c>
      <c r="I360" s="512"/>
      <c r="J360" s="512"/>
      <c r="K360" s="513"/>
      <c r="L360" s="512"/>
      <c r="M360" s="512"/>
      <c r="N360" s="511">
        <f>1-$D$352</f>
        <v>0.76</v>
      </c>
      <c r="O360" s="512"/>
      <c r="P360" s="512"/>
      <c r="Q360" s="513"/>
      <c r="R360" s="512"/>
      <c r="S360" s="512"/>
      <c r="T360" s="511">
        <f>1-$D$352</f>
        <v>0.76</v>
      </c>
      <c r="U360" s="512"/>
      <c r="V360" s="512"/>
      <c r="W360" s="513"/>
      <c r="X360" s="512"/>
      <c r="Y360" s="512"/>
      <c r="Z360" s="511">
        <f>1-$D$352</f>
        <v>0.76</v>
      </c>
      <c r="AA360" s="512"/>
      <c r="AB360" s="512"/>
      <c r="AC360" s="513"/>
      <c r="AD360" s="512"/>
      <c r="AE360" s="512"/>
      <c r="AF360" s="511">
        <f>1-$D$352</f>
        <v>0.76</v>
      </c>
      <c r="AG360" s="512"/>
      <c r="AH360" s="512"/>
      <c r="AI360" s="513"/>
      <c r="AJ360" s="512"/>
      <c r="AK360" s="512"/>
      <c r="AL360" s="511">
        <f>1-$D$352</f>
        <v>0.76</v>
      </c>
      <c r="AM360" s="512"/>
      <c r="AN360" s="512"/>
      <c r="AO360" s="513"/>
      <c r="AP360" s="512"/>
      <c r="AQ360" s="512"/>
      <c r="AR360" s="511">
        <f>1-$D$352</f>
        <v>0.76</v>
      </c>
      <c r="AS360" s="512"/>
      <c r="AT360" s="512"/>
      <c r="AU360" s="513"/>
      <c r="AV360" s="512"/>
      <c r="AW360" s="512"/>
      <c r="AX360" s="511">
        <f>1-$D$352</f>
        <v>0.76</v>
      </c>
      <c r="AY360" s="512"/>
      <c r="AZ360" s="512"/>
      <c r="BA360" s="513"/>
      <c r="BB360" s="512"/>
      <c r="BC360" s="512"/>
      <c r="BD360" s="511">
        <f>1-$D$352</f>
        <v>0.76</v>
      </c>
      <c r="BE360" s="512"/>
      <c r="BF360" s="512"/>
      <c r="BG360" s="513"/>
      <c r="BH360" s="512"/>
      <c r="BI360" s="512"/>
      <c r="BJ360" s="511">
        <f>1-$D$352</f>
        <v>0.76</v>
      </c>
      <c r="BK360" s="512"/>
      <c r="BL360" s="512"/>
      <c r="BM360" s="513"/>
      <c r="BN360" s="512"/>
      <c r="BO360" s="512"/>
      <c r="BP360" s="511">
        <f t="shared" ref="BP360:BU360" si="224">1-$D$352</f>
        <v>0.76</v>
      </c>
      <c r="BQ360" s="397">
        <f t="shared" si="224"/>
        <v>0.76</v>
      </c>
      <c r="BR360" s="397">
        <f t="shared" si="224"/>
        <v>0.76</v>
      </c>
      <c r="BS360" s="397">
        <f t="shared" si="224"/>
        <v>0.76</v>
      </c>
      <c r="BT360" s="397">
        <f t="shared" si="224"/>
        <v>0.76</v>
      </c>
      <c r="BU360" s="397">
        <f t="shared" si="224"/>
        <v>0.76</v>
      </c>
      <c r="BV360" s="365"/>
      <c r="BW360" s="305"/>
      <c r="BX360" s="451"/>
      <c r="BY360" s="459"/>
      <c r="BZ360" s="459"/>
      <c r="CE360" s="289"/>
      <c r="CF360" s="289"/>
      <c r="CG360" s="289"/>
    </row>
    <row r="361" spans="2:85" x14ac:dyDescent="0.25">
      <c r="B361" s="19" t="s">
        <v>204</v>
      </c>
      <c r="H361" s="511">
        <f>IFERROR(H358*H359*H360,"n/a")</f>
        <v>0.20060579835569017</v>
      </c>
      <c r="I361" s="512"/>
      <c r="J361" s="512"/>
      <c r="K361" s="513"/>
      <c r="L361" s="512"/>
      <c r="M361" s="512"/>
      <c r="N361" s="511">
        <f>IFERROR(N358*N359*N360,"n/a")</f>
        <v>0.12144203798225041</v>
      </c>
      <c r="O361" s="512"/>
      <c r="P361" s="512"/>
      <c r="Q361" s="513"/>
      <c r="R361" s="512"/>
      <c r="S361" s="512"/>
      <c r="T361" s="511">
        <f>IFERROR(T358*T359*T360,"n/a")</f>
        <v>0.18131168386560378</v>
      </c>
      <c r="U361" s="512"/>
      <c r="V361" s="512"/>
      <c r="W361" s="513"/>
      <c r="X361" s="512"/>
      <c r="Y361" s="512"/>
      <c r="Z361" s="511">
        <f>IFERROR(Z358*Z359*Z360,"n/a")</f>
        <v>0.20383858267716537</v>
      </c>
      <c r="AA361" s="512"/>
      <c r="AB361" s="512"/>
      <c r="AC361" s="513"/>
      <c r="AD361" s="512"/>
      <c r="AE361" s="512"/>
      <c r="AF361" s="511">
        <f>IFERROR(AF358*AF359*AF360,"n/a")</f>
        <v>9.1513572204125954E-2</v>
      </c>
      <c r="AG361" s="512"/>
      <c r="AH361" s="512"/>
      <c r="AI361" s="513"/>
      <c r="AJ361" s="512"/>
      <c r="AK361" s="512"/>
      <c r="AL361" s="511">
        <f>IFERROR(AL358*AL359*AL360,"n/a")</f>
        <v>0.13882343911892245</v>
      </c>
      <c r="AM361" s="512"/>
      <c r="AN361" s="512"/>
      <c r="AO361" s="513"/>
      <c r="AP361" s="512"/>
      <c r="AQ361" s="512"/>
      <c r="AR361" s="511">
        <f>IFERROR(AR358*AR359*AR360,"n/a")</f>
        <v>0.14099858194959058</v>
      </c>
      <c r="AS361" s="512"/>
      <c r="AT361" s="512"/>
      <c r="AU361" s="513"/>
      <c r="AV361" s="512"/>
      <c r="AW361" s="512"/>
      <c r="AX361" s="511">
        <f>IFERROR(AX358*AX359*AX360,"n/a")</f>
        <v>0.2285995250199897</v>
      </c>
      <c r="AY361" s="512"/>
      <c r="AZ361" s="512"/>
      <c r="BA361" s="513"/>
      <c r="BB361" s="512"/>
      <c r="BC361" s="512"/>
      <c r="BD361" s="511">
        <f>IFERROR(BD358*BD359*BD360,"n/a")</f>
        <v>0.15910651216083727</v>
      </c>
      <c r="BE361" s="512"/>
      <c r="BF361" s="512"/>
      <c r="BG361" s="513"/>
      <c r="BH361" s="512"/>
      <c r="BI361" s="512"/>
      <c r="BJ361" s="511">
        <f>IFERROR(BJ358*BJ359*BJ360,"n/a")</f>
        <v>0.13286441984989847</v>
      </c>
      <c r="BK361" s="512"/>
      <c r="BL361" s="512"/>
      <c r="BM361" s="513"/>
      <c r="BN361" s="512"/>
      <c r="BO361" s="512"/>
      <c r="BP361" s="511">
        <f t="shared" ref="BP361:BU361" si="225">IFERROR(BP358*BP359*BP360,"n/a")</f>
        <v>8.6897782131113127E-2</v>
      </c>
      <c r="BQ361" s="397">
        <f t="shared" si="225"/>
        <v>0.10626437427605048</v>
      </c>
      <c r="BR361" s="397">
        <f t="shared" si="225"/>
        <v>0.12403677222925641</v>
      </c>
      <c r="BS361" s="397">
        <f t="shared" si="225"/>
        <v>0.141206582956103</v>
      </c>
      <c r="BT361" s="397">
        <f t="shared" si="225"/>
        <v>0.14974913532246917</v>
      </c>
      <c r="BU361" s="397">
        <f t="shared" si="225"/>
        <v>0.1576260557222422</v>
      </c>
      <c r="BV361" s="365"/>
      <c r="BW361" s="305"/>
      <c r="BX361" s="451"/>
      <c r="BY361" s="459"/>
      <c r="BZ361" s="459"/>
      <c r="CE361" s="289"/>
      <c r="CF361" s="289"/>
      <c r="CG361" s="289"/>
    </row>
    <row r="362" spans="2:85" x14ac:dyDescent="0.25">
      <c r="H362" s="64"/>
      <c r="I362" s="171"/>
      <c r="J362" s="171"/>
      <c r="K362" s="172"/>
      <c r="L362" s="171"/>
      <c r="M362" s="171"/>
      <c r="N362" s="64"/>
      <c r="O362" s="171"/>
      <c r="P362" s="171"/>
      <c r="Q362" s="172"/>
      <c r="R362" s="171"/>
      <c r="S362" s="171"/>
      <c r="T362" s="64"/>
      <c r="U362" s="171"/>
      <c r="V362" s="171"/>
      <c r="W362" s="172"/>
      <c r="X362" s="171"/>
      <c r="Y362" s="171"/>
      <c r="Z362" s="64"/>
      <c r="AA362" s="171"/>
      <c r="AB362" s="171"/>
      <c r="AC362" s="172"/>
      <c r="AD362" s="171"/>
      <c r="AE362" s="171"/>
      <c r="AF362" s="64"/>
      <c r="AG362" s="171"/>
      <c r="AH362" s="171"/>
      <c r="AI362" s="172"/>
      <c r="AJ362" s="171"/>
      <c r="AK362" s="171"/>
      <c r="AL362" s="64"/>
      <c r="AM362" s="171"/>
      <c r="AN362" s="171"/>
      <c r="AO362" s="172"/>
      <c r="AP362" s="171"/>
      <c r="AQ362" s="171"/>
      <c r="AR362" s="64"/>
      <c r="AS362" s="171"/>
      <c r="AT362" s="171"/>
      <c r="AU362" s="172"/>
      <c r="AV362" s="171"/>
      <c r="AW362" s="171"/>
      <c r="AX362" s="64"/>
      <c r="AY362" s="171"/>
      <c r="AZ362" s="171"/>
      <c r="BA362" s="172"/>
      <c r="BB362" s="171"/>
      <c r="BC362" s="171"/>
      <c r="BD362" s="64"/>
      <c r="BE362" s="171"/>
      <c r="BF362" s="171"/>
      <c r="BG362" s="172"/>
      <c r="BH362" s="171"/>
      <c r="BI362" s="171"/>
      <c r="BJ362" s="64"/>
      <c r="BK362" s="171"/>
      <c r="BL362" s="171"/>
      <c r="BM362" s="172"/>
      <c r="BN362" s="171"/>
      <c r="BO362" s="171"/>
      <c r="BP362" s="64"/>
      <c r="BQ362" s="365"/>
      <c r="BR362" s="365"/>
      <c r="BS362" s="365"/>
      <c r="BT362" s="365"/>
      <c r="BU362" s="365"/>
      <c r="BV362" s="365"/>
      <c r="BW362" s="305"/>
      <c r="BX362" s="451"/>
      <c r="BY362" s="459"/>
      <c r="BZ362" s="459"/>
      <c r="CE362" s="289"/>
      <c r="CF362" s="289"/>
      <c r="CG362" s="289"/>
    </row>
    <row r="363" spans="2:85" x14ac:dyDescent="0.25">
      <c r="B363" s="716" t="s">
        <v>205</v>
      </c>
      <c r="H363" s="91">
        <f>IFERROR(H153,"n/a")</f>
        <v>3050</v>
      </c>
      <c r="I363" s="176"/>
      <c r="J363" s="176"/>
      <c r="K363" s="177"/>
      <c r="L363" s="176"/>
      <c r="M363" s="176"/>
      <c r="N363" s="91">
        <f>IFERROR(N153,"n/a")</f>
        <v>3475</v>
      </c>
      <c r="O363" s="176"/>
      <c r="P363" s="176"/>
      <c r="Q363" s="177"/>
      <c r="R363" s="176"/>
      <c r="S363" s="176"/>
      <c r="T363" s="91">
        <f>IFERROR(T153,"n/a")</f>
        <v>4878</v>
      </c>
      <c r="U363" s="176"/>
      <c r="V363" s="176"/>
      <c r="W363" s="177"/>
      <c r="X363" s="176"/>
      <c r="Y363" s="176"/>
      <c r="Z363" s="91">
        <f>IFERROR(Z153,"n/a")</f>
        <v>5450</v>
      </c>
      <c r="AA363" s="176"/>
      <c r="AB363" s="176"/>
      <c r="AC363" s="177"/>
      <c r="AD363" s="176"/>
      <c r="AE363" s="176"/>
      <c r="AF363" s="91">
        <f>IFERROR(AF153,"n/a")</f>
        <v>6654</v>
      </c>
      <c r="AG363" s="176"/>
      <c r="AH363" s="176"/>
      <c r="AI363" s="177"/>
      <c r="AJ363" s="176"/>
      <c r="AK363" s="176"/>
      <c r="AL363" s="91">
        <f>IFERROR(AL153,"n/a")</f>
        <v>9520</v>
      </c>
      <c r="AM363" s="176"/>
      <c r="AN363" s="176"/>
      <c r="AO363" s="177"/>
      <c r="AP363" s="176"/>
      <c r="AQ363" s="176"/>
      <c r="AR363" s="91">
        <f>IFERROR(AR153,"n/a")</f>
        <v>16223</v>
      </c>
      <c r="AS363" s="176"/>
      <c r="AT363" s="176"/>
      <c r="AU363" s="177"/>
      <c r="AV363" s="176"/>
      <c r="AW363" s="176"/>
      <c r="AX363" s="91">
        <f>IFERROR(AX153,"n/a")</f>
        <v>25204</v>
      </c>
      <c r="AY363" s="176"/>
      <c r="AZ363" s="176"/>
      <c r="BA363" s="177"/>
      <c r="BB363" s="176"/>
      <c r="BC363" s="176"/>
      <c r="BD363" s="91">
        <f>IFERROR(BD153,"n/a")</f>
        <v>17723</v>
      </c>
      <c r="BE363" s="176"/>
      <c r="BF363" s="176"/>
      <c r="BG363" s="177"/>
      <c r="BH363" s="176"/>
      <c r="BI363" s="176"/>
      <c r="BJ363" s="91">
        <f>IFERROR(BJ153,"n/a")</f>
        <v>16096</v>
      </c>
      <c r="BK363" s="176"/>
      <c r="BL363" s="176"/>
      <c r="BM363" s="177"/>
      <c r="BN363" s="176"/>
      <c r="BO363" s="176"/>
      <c r="BP363" s="91">
        <f t="shared" ref="BP363:BU363" si="226">IFERROR(BP153,"n/a")</f>
        <v>19611</v>
      </c>
      <c r="BQ363" s="366">
        <f t="shared" si="226"/>
        <v>24150.633333333291</v>
      </c>
      <c r="BR363" s="366">
        <f t="shared" si="226"/>
        <v>28468.523207466624</v>
      </c>
      <c r="BS363" s="366">
        <f t="shared" si="226"/>
        <v>32877.624782519953</v>
      </c>
      <c r="BT363" s="366">
        <f t="shared" si="226"/>
        <v>35569.692428102338</v>
      </c>
      <c r="BU363" s="366">
        <f t="shared" si="226"/>
        <v>38196.304924863791</v>
      </c>
      <c r="BV363" s="365"/>
      <c r="BW363" s="305"/>
      <c r="BX363" s="451"/>
      <c r="BY363" s="459"/>
      <c r="BZ363" s="459"/>
      <c r="CE363" s="289"/>
      <c r="CF363" s="289"/>
      <c r="CG363" s="289"/>
    </row>
    <row r="364" spans="2:85" x14ac:dyDescent="0.25">
      <c r="B364" s="19" t="s">
        <v>196</v>
      </c>
      <c r="H364" s="91">
        <f>IFERROR(H363*(1-$D$352),"n/a")</f>
        <v>2318</v>
      </c>
      <c r="I364" s="176"/>
      <c r="J364" s="176"/>
      <c r="K364" s="177"/>
      <c r="L364" s="176"/>
      <c r="M364" s="176"/>
      <c r="N364" s="91">
        <f>IFERROR(N363*(1-$D$352),"n/a")</f>
        <v>2641</v>
      </c>
      <c r="O364" s="176"/>
      <c r="P364" s="176"/>
      <c r="Q364" s="177"/>
      <c r="R364" s="176"/>
      <c r="S364" s="176"/>
      <c r="T364" s="91">
        <f>IFERROR(T363*(1-$D$352),"n/a")</f>
        <v>3707.28</v>
      </c>
      <c r="U364" s="176"/>
      <c r="V364" s="176"/>
      <c r="W364" s="177"/>
      <c r="X364" s="176"/>
      <c r="Y364" s="176"/>
      <c r="Z364" s="91">
        <f>IFERROR(Z363*(1-$D$352),"n/a")</f>
        <v>4142</v>
      </c>
      <c r="AA364" s="176"/>
      <c r="AB364" s="176"/>
      <c r="AC364" s="177"/>
      <c r="AD364" s="176"/>
      <c r="AE364" s="176"/>
      <c r="AF364" s="91">
        <f>IFERROR(AF363*(1-$D$352),"n/a")</f>
        <v>5057.04</v>
      </c>
      <c r="AG364" s="176"/>
      <c r="AH364" s="176"/>
      <c r="AI364" s="177"/>
      <c r="AJ364" s="176"/>
      <c r="AK364" s="176"/>
      <c r="AL364" s="91">
        <f>IFERROR(AL363*(1-$D$352),"n/a")</f>
        <v>7235.2</v>
      </c>
      <c r="AM364" s="176"/>
      <c r="AN364" s="176"/>
      <c r="AO364" s="177"/>
      <c r="AP364" s="176"/>
      <c r="AQ364" s="176"/>
      <c r="AR364" s="91">
        <f>IFERROR(AR363*(1-$D$352),"n/a")</f>
        <v>12329.48</v>
      </c>
      <c r="AS364" s="176"/>
      <c r="AT364" s="176"/>
      <c r="AU364" s="177"/>
      <c r="AV364" s="176"/>
      <c r="AW364" s="176"/>
      <c r="AX364" s="91">
        <f>IFERROR(AX363*(1-$D$352),"n/a")</f>
        <v>19155.04</v>
      </c>
      <c r="AY364" s="176"/>
      <c r="AZ364" s="176"/>
      <c r="BA364" s="177"/>
      <c r="BB364" s="176"/>
      <c r="BC364" s="176"/>
      <c r="BD364" s="91">
        <f>IFERROR(BD363*(1-$D$352),"n/a")</f>
        <v>13469.48</v>
      </c>
      <c r="BE364" s="176"/>
      <c r="BF364" s="176"/>
      <c r="BG364" s="177"/>
      <c r="BH364" s="176"/>
      <c r="BI364" s="176"/>
      <c r="BJ364" s="91">
        <f>IFERROR(BJ363*(1-$D$352),"n/a")</f>
        <v>12232.960000000001</v>
      </c>
      <c r="BK364" s="176"/>
      <c r="BL364" s="176"/>
      <c r="BM364" s="177"/>
      <c r="BN364" s="176"/>
      <c r="BO364" s="176"/>
      <c r="BP364" s="91">
        <f t="shared" ref="BP364:BU364" si="227">IFERROR(BP363*(1-$D$352),"n/a")</f>
        <v>14904.36</v>
      </c>
      <c r="BQ364" s="373">
        <f t="shared" si="227"/>
        <v>18354.4813333333</v>
      </c>
      <c r="BR364" s="373">
        <f t="shared" si="227"/>
        <v>21636.077637674633</v>
      </c>
      <c r="BS364" s="373">
        <f t="shared" si="227"/>
        <v>24986.994834715166</v>
      </c>
      <c r="BT364" s="373">
        <f t="shared" si="227"/>
        <v>27032.966245357777</v>
      </c>
      <c r="BU364" s="373">
        <f t="shared" si="227"/>
        <v>29029.191742896481</v>
      </c>
      <c r="BV364" s="365"/>
      <c r="BW364" s="305"/>
      <c r="BX364" s="451"/>
      <c r="BY364" s="459"/>
      <c r="BZ364" s="459"/>
      <c r="CE364" s="289"/>
      <c r="CF364" s="289"/>
      <c r="CG364" s="289"/>
    </row>
    <row r="365" spans="2:85" x14ac:dyDescent="0.25">
      <c r="B365" s="19" t="s">
        <v>197</v>
      </c>
      <c r="H365" s="91">
        <f>IFERROR(H364*(1-$D$345),"n/a")</f>
        <v>1761.68</v>
      </c>
      <c r="I365" s="176"/>
      <c r="J365" s="176"/>
      <c r="K365" s="177"/>
      <c r="L365" s="176"/>
      <c r="M365" s="176"/>
      <c r="N365" s="91">
        <f>IFERROR(N364*(1-$D$345),"n/a")</f>
        <v>2007.16</v>
      </c>
      <c r="O365" s="176"/>
      <c r="P365" s="176"/>
      <c r="Q365" s="177"/>
      <c r="R365" s="176"/>
      <c r="S365" s="176"/>
      <c r="T365" s="91">
        <f>IFERROR(T364*(1-$D$345),"n/a")</f>
        <v>2817.5328000000004</v>
      </c>
      <c r="U365" s="176"/>
      <c r="V365" s="176"/>
      <c r="W365" s="177"/>
      <c r="X365" s="176"/>
      <c r="Y365" s="176"/>
      <c r="Z365" s="91">
        <f>IFERROR(Z364*(1-$D$345),"n/a")</f>
        <v>3147.92</v>
      </c>
      <c r="AA365" s="176"/>
      <c r="AB365" s="176"/>
      <c r="AC365" s="177"/>
      <c r="AD365" s="176"/>
      <c r="AE365" s="176"/>
      <c r="AF365" s="91">
        <f>IFERROR(AF364*(1-$D$345),"n/a")</f>
        <v>3843.3503999999998</v>
      </c>
      <c r="AG365" s="176"/>
      <c r="AH365" s="176"/>
      <c r="AI365" s="177"/>
      <c r="AJ365" s="176"/>
      <c r="AK365" s="176"/>
      <c r="AL365" s="91">
        <f>IFERROR(AL364*(1-$D$345),"n/a")</f>
        <v>5498.7519999999995</v>
      </c>
      <c r="AM365" s="176"/>
      <c r="AN365" s="176"/>
      <c r="AO365" s="177"/>
      <c r="AP365" s="176"/>
      <c r="AQ365" s="176"/>
      <c r="AR365" s="91">
        <f>IFERROR(AR364*(1-$D$345),"n/a")</f>
        <v>9370.4048000000003</v>
      </c>
      <c r="AS365" s="176"/>
      <c r="AT365" s="176"/>
      <c r="AU365" s="177"/>
      <c r="AV365" s="176"/>
      <c r="AW365" s="176"/>
      <c r="AX365" s="91">
        <f>IFERROR(AX364*(1-$D$345),"n/a")</f>
        <v>14557.830400000001</v>
      </c>
      <c r="AY365" s="176"/>
      <c r="AZ365" s="176"/>
      <c r="BA365" s="177"/>
      <c r="BB365" s="176"/>
      <c r="BC365" s="176"/>
      <c r="BD365" s="91">
        <f>IFERROR(BD364*(1-$D$345),"n/a")</f>
        <v>10236.8048</v>
      </c>
      <c r="BE365" s="176"/>
      <c r="BF365" s="176"/>
      <c r="BG365" s="177"/>
      <c r="BH365" s="176"/>
      <c r="BI365" s="176"/>
      <c r="BJ365" s="91">
        <f>IFERROR(BJ364*(1-$D$345),"n/a")</f>
        <v>9297.0496000000003</v>
      </c>
      <c r="BK365" s="176"/>
      <c r="BL365" s="176"/>
      <c r="BM365" s="177"/>
      <c r="BN365" s="176"/>
      <c r="BO365" s="176"/>
      <c r="BP365" s="91">
        <f t="shared" ref="BP365:BU365" si="228">IFERROR(BP364*(1-$D$345),"n/a")</f>
        <v>11327.313600000001</v>
      </c>
      <c r="BQ365" s="373">
        <f t="shared" si="228"/>
        <v>13949.405813333309</v>
      </c>
      <c r="BR365" s="373">
        <f t="shared" si="228"/>
        <v>16443.41900463272</v>
      </c>
      <c r="BS365" s="373">
        <f t="shared" si="228"/>
        <v>18990.116074383528</v>
      </c>
      <c r="BT365" s="373">
        <f t="shared" si="228"/>
        <v>20545.054346471912</v>
      </c>
      <c r="BU365" s="373">
        <f t="shared" si="228"/>
        <v>22062.185724601324</v>
      </c>
      <c r="BV365" s="365"/>
      <c r="BW365" s="305"/>
      <c r="BX365" s="451"/>
      <c r="BY365" s="459"/>
      <c r="BZ365" s="459"/>
      <c r="CE365" s="289"/>
      <c r="CF365" s="289"/>
      <c r="CG365" s="289"/>
    </row>
    <row r="366" spans="2:85" x14ac:dyDescent="0.25">
      <c r="B366" s="19" t="s">
        <v>206</v>
      </c>
      <c r="H366" s="91">
        <f>IFERROR(H280,"n/a")</f>
        <v>27725</v>
      </c>
      <c r="I366" s="176"/>
      <c r="J366" s="176"/>
      <c r="K366" s="177"/>
      <c r="L366" s="176"/>
      <c r="M366" s="176"/>
      <c r="N366" s="91">
        <f>IFERROR(N280,"n/a")</f>
        <v>40367</v>
      </c>
      <c r="O366" s="176"/>
      <c r="P366" s="176"/>
      <c r="Q366" s="177"/>
      <c r="R366" s="176"/>
      <c r="S366" s="176"/>
      <c r="T366" s="91">
        <f>IFERROR(T280,"n/a")</f>
        <v>38388</v>
      </c>
      <c r="U366" s="176"/>
      <c r="V366" s="176"/>
      <c r="W366" s="177"/>
      <c r="X366" s="176"/>
      <c r="Y366" s="176"/>
      <c r="Z366" s="91">
        <f>IFERROR(Z280,"n/a")</f>
        <v>38812</v>
      </c>
      <c r="AA366" s="176"/>
      <c r="AB366" s="176"/>
      <c r="AC366" s="177"/>
      <c r="AD366" s="176"/>
      <c r="AE366" s="176"/>
      <c r="AF366" s="91">
        <f>IFERROR(AF280,"n/a")</f>
        <v>97557</v>
      </c>
      <c r="AG366" s="176"/>
      <c r="AH366" s="176"/>
      <c r="AI366" s="177"/>
      <c r="AJ366" s="176"/>
      <c r="AK366" s="176"/>
      <c r="AL366" s="91">
        <f>IFERROR(AL280,"n/a")</f>
        <v>96250</v>
      </c>
      <c r="AM366" s="176"/>
      <c r="AN366" s="176"/>
      <c r="AO366" s="177"/>
      <c r="AP366" s="176"/>
      <c r="AQ366" s="176"/>
      <c r="AR366" s="91">
        <f>IFERROR(AR280,"n/a")</f>
        <v>161395</v>
      </c>
      <c r="AS366" s="176"/>
      <c r="AT366" s="176"/>
      <c r="AU366" s="177"/>
      <c r="AV366" s="176"/>
      <c r="AW366" s="176"/>
      <c r="AX366" s="91">
        <f>IFERROR(AX280,"n/a")</f>
        <v>159045</v>
      </c>
      <c r="AY366" s="176"/>
      <c r="AZ366" s="176"/>
      <c r="BA366" s="177"/>
      <c r="BB366" s="176"/>
      <c r="BC366" s="176"/>
      <c r="BD366" s="91">
        <f>IFERROR(BD280,"n/a")</f>
        <v>147110</v>
      </c>
      <c r="BE366" s="176"/>
      <c r="BF366" s="176"/>
      <c r="BG366" s="177"/>
      <c r="BH366" s="176"/>
      <c r="BI366" s="176"/>
      <c r="BJ366" s="91">
        <f>IFERROR(BJ280,"n/a")</f>
        <v>236545</v>
      </c>
      <c r="BK366" s="176"/>
      <c r="BL366" s="176"/>
      <c r="BM366" s="177"/>
      <c r="BN366" s="176"/>
      <c r="BO366" s="176"/>
      <c r="BP366" s="91">
        <f t="shared" ref="BP366:BU366" si="229">IFERROR(BP280,"n/a")</f>
        <v>290373</v>
      </c>
      <c r="BQ366" s="366">
        <f t="shared" si="229"/>
        <v>307618.85943306657</v>
      </c>
      <c r="BR366" s="366">
        <f t="shared" si="229"/>
        <v>321218.39141894388</v>
      </c>
      <c r="BS366" s="366">
        <f t="shared" si="229"/>
        <v>336862.42496821628</v>
      </c>
      <c r="BT366" s="366">
        <f t="shared" si="229"/>
        <v>344956.47798413201</v>
      </c>
      <c r="BU366" s="366">
        <f t="shared" si="229"/>
        <v>353115.11458611459</v>
      </c>
      <c r="BV366" s="365"/>
      <c r="BW366" s="305"/>
      <c r="BX366" s="451"/>
      <c r="BY366" s="459"/>
      <c r="BZ366" s="459"/>
      <c r="CE366" s="289"/>
      <c r="CF366" s="289"/>
      <c r="CG366" s="289"/>
    </row>
    <row r="367" spans="2:85" x14ac:dyDescent="0.25">
      <c r="B367" s="19" t="s">
        <v>207</v>
      </c>
      <c r="H367" s="91">
        <f>IFERROR(-H265,"n/a")</f>
        <v>-8996</v>
      </c>
      <c r="I367" s="176"/>
      <c r="J367" s="176"/>
      <c r="K367" s="177"/>
      <c r="L367" s="176"/>
      <c r="M367" s="176"/>
      <c r="N367" s="91">
        <f>IFERROR(-N265,"n/a")</f>
        <v>-17247</v>
      </c>
      <c r="O367" s="176"/>
      <c r="P367" s="176"/>
      <c r="Q367" s="177"/>
      <c r="R367" s="176"/>
      <c r="S367" s="176"/>
      <c r="T367" s="91">
        <f>IFERROR(-T265,"n/a")</f>
        <v>-16573</v>
      </c>
      <c r="U367" s="176"/>
      <c r="V367" s="176"/>
      <c r="W367" s="177"/>
      <c r="X367" s="176"/>
      <c r="Y367" s="176"/>
      <c r="Z367" s="91">
        <f>IFERROR(-Z265,"n/a")</f>
        <v>-16742</v>
      </c>
      <c r="AA367" s="176"/>
      <c r="AB367" s="176"/>
      <c r="AC367" s="177"/>
      <c r="AD367" s="176"/>
      <c r="AE367" s="176"/>
      <c r="AF367" s="91">
        <f>IFERROR(-AF265,"n/a")</f>
        <v>-51988</v>
      </c>
      <c r="AG367" s="176"/>
      <c r="AH367" s="176"/>
      <c r="AI367" s="177"/>
      <c r="AJ367" s="176"/>
      <c r="AK367" s="176"/>
      <c r="AL367" s="91">
        <f>IFERROR(-AL265,"n/a")</f>
        <v>-48665</v>
      </c>
      <c r="AM367" s="176"/>
      <c r="AN367" s="176"/>
      <c r="AO367" s="177"/>
      <c r="AP367" s="176"/>
      <c r="AQ367" s="176"/>
      <c r="AR367" s="91">
        <f>IFERROR(-AR265,"n/a")</f>
        <v>-76661</v>
      </c>
      <c r="AS367" s="176"/>
      <c r="AT367" s="176"/>
      <c r="AU367" s="177"/>
      <c r="AV367" s="176"/>
      <c r="AW367" s="176"/>
      <c r="AX367" s="91">
        <f>IFERROR(-AX265,"n/a")</f>
        <v>-77674</v>
      </c>
      <c r="AY367" s="176"/>
      <c r="AZ367" s="176"/>
      <c r="BA367" s="177"/>
      <c r="BB367" s="176"/>
      <c r="BC367" s="176"/>
      <c r="BD367" s="91">
        <f>IFERROR(-BD265,"n/a")</f>
        <v>-77106</v>
      </c>
      <c r="BE367" s="176"/>
      <c r="BF367" s="176"/>
      <c r="BG367" s="177"/>
      <c r="BH367" s="176"/>
      <c r="BI367" s="176"/>
      <c r="BJ367" s="91">
        <f>IFERROR(-BJ265,"n/a")</f>
        <v>-77877</v>
      </c>
      <c r="BK367" s="176"/>
      <c r="BL367" s="176"/>
      <c r="BM367" s="177"/>
      <c r="BN367" s="176"/>
      <c r="BO367" s="176"/>
      <c r="BP367" s="91">
        <f t="shared" ref="BP367:BU367" si="230">IFERROR(-BP265,"n/a")</f>
        <v>-150954</v>
      </c>
      <c r="BQ367" s="373">
        <f t="shared" si="230"/>
        <v>-150384.75728960001</v>
      </c>
      <c r="BR367" s="373">
        <f t="shared" si="230"/>
        <v>-149811.81480612268</v>
      </c>
      <c r="BS367" s="373">
        <f t="shared" si="230"/>
        <v>-149238.79107778231</v>
      </c>
      <c r="BT367" s="373">
        <f t="shared" si="230"/>
        <v>-148647.92652260445</v>
      </c>
      <c r="BU367" s="373">
        <f t="shared" si="230"/>
        <v>-148049.95875242836</v>
      </c>
      <c r="BV367" s="365"/>
      <c r="BW367" s="305"/>
      <c r="BX367" s="451"/>
      <c r="BY367" s="459"/>
      <c r="BZ367" s="459"/>
      <c r="CE367" s="289"/>
      <c r="CF367" s="289"/>
      <c r="CG367" s="289"/>
    </row>
    <row r="368" spans="2:85" x14ac:dyDescent="0.25">
      <c r="B368" s="19" t="s">
        <v>208</v>
      </c>
      <c r="H368" s="91">
        <f>IFERROR(-(H306-IF(ISNUMBER(H298),H298,0)-IF(ISNUMBER(H299),H299,0)),"n/a")</f>
        <v>-9355</v>
      </c>
      <c r="I368" s="176"/>
      <c r="J368" s="176"/>
      <c r="K368" s="177"/>
      <c r="L368" s="176"/>
      <c r="M368" s="176"/>
      <c r="N368" s="91">
        <f>IFERROR(-(N306-IF(ISNUMBER(N298),N298,0)-IF(ISNUMBER(N299),N299,0)),"n/a")</f>
        <v>-14395</v>
      </c>
      <c r="O368" s="176"/>
      <c r="P368" s="176"/>
      <c r="Q368" s="177"/>
      <c r="R368" s="176"/>
      <c r="S368" s="176"/>
      <c r="T368" s="91">
        <f>IFERROR(-(T306-IF(ISNUMBER(T298),T298,0)-IF(ISNUMBER(T299),T299,0)),"n/a")</f>
        <v>-14681</v>
      </c>
      <c r="U368" s="176"/>
      <c r="V368" s="176"/>
      <c r="W368" s="177"/>
      <c r="X368" s="176"/>
      <c r="Y368" s="176"/>
      <c r="Z368" s="91">
        <f>IFERROR(-(Z306-IF(ISNUMBER(Z298),Z298,0)-IF(ISNUMBER(Z299),Z299,0)),"n/a")</f>
        <v>-15412</v>
      </c>
      <c r="AA368" s="176"/>
      <c r="AB368" s="176"/>
      <c r="AC368" s="177"/>
      <c r="AD368" s="176"/>
      <c r="AE368" s="176"/>
      <c r="AF368" s="91">
        <f>IFERROR(-(AF306-IF(ISNUMBER(AF298),AF298,0)-IF(ISNUMBER(AF299),AF299,0)),"n/a")</f>
        <v>-24411</v>
      </c>
      <c r="AG368" s="176"/>
      <c r="AH368" s="176"/>
      <c r="AI368" s="177"/>
      <c r="AJ368" s="176"/>
      <c r="AK368" s="176"/>
      <c r="AL368" s="91">
        <f>IFERROR(-(AL306-IF(ISNUMBER(AL298),AL298,0)-IF(ISNUMBER(AL299),AL299,0)),"n/a")</f>
        <v>-25079</v>
      </c>
      <c r="AM368" s="176"/>
      <c r="AN368" s="176"/>
      <c r="AO368" s="177"/>
      <c r="AP368" s="176"/>
      <c r="AQ368" s="176"/>
      <c r="AR368" s="91">
        <f>IFERROR(-(AR306-IF(ISNUMBER(AR298),AR298,0)-IF(ISNUMBER(AR299),AR299,0)),"n/a")</f>
        <v>-45501</v>
      </c>
      <c r="AS368" s="176"/>
      <c r="AT368" s="176"/>
      <c r="AU368" s="177"/>
      <c r="AV368" s="176"/>
      <c r="AW368" s="176"/>
      <c r="AX368" s="91">
        <f>IFERROR(-(AX306-IF(ISNUMBER(AX298),AX298,0)-IF(ISNUMBER(AX299),AX299,0)),"n/a")</f>
        <v>-42378</v>
      </c>
      <c r="AY368" s="176"/>
      <c r="AZ368" s="176"/>
      <c r="BA368" s="177"/>
      <c r="BB368" s="176"/>
      <c r="BC368" s="176"/>
      <c r="BD368" s="91">
        <f>IFERROR(-(BD306-IF(ISNUMBER(BD298),BD298,0)-IF(ISNUMBER(BD299),BD299,0)),"n/a")</f>
        <v>-32392</v>
      </c>
      <c r="BE368" s="176"/>
      <c r="BF368" s="176"/>
      <c r="BG368" s="177"/>
      <c r="BH368" s="176"/>
      <c r="BI368" s="176"/>
      <c r="BJ368" s="91">
        <f>IFERROR(-(BJ306-IF(ISNUMBER(BJ298),BJ298,0)-IF(ISNUMBER(BJ299),BJ299,0)),"n/a")</f>
        <v>-34573</v>
      </c>
      <c r="BK368" s="176"/>
      <c r="BL368" s="176"/>
      <c r="BM368" s="177"/>
      <c r="BN368" s="176"/>
      <c r="BO368" s="176"/>
      <c r="BP368" s="91">
        <f t="shared" ref="BP368:BU368" si="231">IFERROR(-(BP306-IF(ISNUMBER(BP298),BP298,0)-IF(ISNUMBER(BP299),BP299,0)),"n/a")</f>
        <v>-65392</v>
      </c>
      <c r="BQ368" s="373">
        <f t="shared" si="231"/>
        <v>-71333.057639999868</v>
      </c>
      <c r="BR368" s="373">
        <f t="shared" si="231"/>
        <v>-73710.637120533211</v>
      </c>
      <c r="BS368" s="373">
        <f t="shared" si="231"/>
        <v>-75538.262319885223</v>
      </c>
      <c r="BT368" s="373">
        <f t="shared" si="231"/>
        <v>-77125.50997216352</v>
      </c>
      <c r="BU368" s="373">
        <f t="shared" si="231"/>
        <v>-78892.090248915571</v>
      </c>
      <c r="BV368" s="365"/>
      <c r="BW368" s="305"/>
      <c r="BX368" s="451"/>
      <c r="BY368" s="459"/>
      <c r="BZ368" s="459"/>
      <c r="CE368" s="289"/>
      <c r="CF368" s="289"/>
      <c r="CG368" s="289"/>
    </row>
    <row r="369" spans="2:85" x14ac:dyDescent="0.25">
      <c r="B369" s="19" t="s">
        <v>209</v>
      </c>
      <c r="H369" s="91"/>
      <c r="I369" s="176"/>
      <c r="J369" s="176"/>
      <c r="K369" s="177"/>
      <c r="L369" s="176"/>
      <c r="M369" s="176"/>
      <c r="N369" s="91"/>
      <c r="O369" s="176"/>
      <c r="P369" s="176"/>
      <c r="Q369" s="177"/>
      <c r="R369" s="176"/>
      <c r="S369" s="176"/>
      <c r="T369" s="91"/>
      <c r="U369" s="176"/>
      <c r="V369" s="176"/>
      <c r="W369" s="177"/>
      <c r="X369" s="176"/>
      <c r="Y369" s="176"/>
      <c r="Z369" s="91"/>
      <c r="AA369" s="176"/>
      <c r="AB369" s="176"/>
      <c r="AC369" s="177"/>
      <c r="AD369" s="176"/>
      <c r="AE369" s="176"/>
      <c r="AF369" s="91"/>
      <c r="AG369" s="176"/>
      <c r="AH369" s="176"/>
      <c r="AI369" s="177"/>
      <c r="AJ369" s="176"/>
      <c r="AK369" s="176"/>
      <c r="AL369" s="91"/>
      <c r="AM369" s="176"/>
      <c r="AN369" s="176"/>
      <c r="AO369" s="177"/>
      <c r="AP369" s="176"/>
      <c r="AQ369" s="176"/>
      <c r="AR369" s="91"/>
      <c r="AS369" s="176"/>
      <c r="AT369" s="176"/>
      <c r="AU369" s="177"/>
      <c r="AV369" s="176"/>
      <c r="AW369" s="176"/>
      <c r="AX369" s="91"/>
      <c r="AY369" s="176"/>
      <c r="AZ369" s="176"/>
      <c r="BA369" s="177"/>
      <c r="BB369" s="176"/>
      <c r="BC369" s="176"/>
      <c r="BD369" s="91"/>
      <c r="BE369" s="176"/>
      <c r="BF369" s="176"/>
      <c r="BG369" s="177"/>
      <c r="BH369" s="176"/>
      <c r="BI369" s="176"/>
      <c r="BJ369" s="91"/>
      <c r="BK369" s="176"/>
      <c r="BL369" s="176"/>
      <c r="BM369" s="177"/>
      <c r="BN369" s="176"/>
      <c r="BO369" s="176"/>
      <c r="BP369" s="91"/>
      <c r="BQ369" s="373"/>
      <c r="BR369" s="373"/>
      <c r="BS369" s="373"/>
      <c r="BT369" s="373"/>
      <c r="BU369" s="373"/>
      <c r="BV369" s="365"/>
      <c r="BW369" s="305"/>
      <c r="BX369" s="451"/>
      <c r="BY369" s="459"/>
      <c r="BZ369" s="459"/>
      <c r="CE369" s="289"/>
      <c r="CF369" s="289"/>
      <c r="CG369" s="289"/>
    </row>
    <row r="370" spans="2:85" x14ac:dyDescent="0.25">
      <c r="B370" s="57" t="s">
        <v>210</v>
      </c>
      <c r="H370" s="529">
        <f>IFERROR(H366+H367+H368,"n/a")</f>
        <v>9374</v>
      </c>
      <c r="I370" s="287"/>
      <c r="J370" s="287"/>
      <c r="K370" s="287"/>
      <c r="L370" s="287"/>
      <c r="M370" s="287"/>
      <c r="N370" s="529">
        <f>IFERROR(N366+N367+N368,"n/a")</f>
        <v>8725</v>
      </c>
      <c r="O370" s="287"/>
      <c r="P370" s="287"/>
      <c r="Q370" s="287"/>
      <c r="R370" s="287"/>
      <c r="S370" s="287"/>
      <c r="T370" s="529">
        <f>IFERROR(T366+T367+T368,"n/a")</f>
        <v>7134</v>
      </c>
      <c r="U370" s="287"/>
      <c r="V370" s="287"/>
      <c r="W370" s="287"/>
      <c r="X370" s="287"/>
      <c r="Y370" s="287"/>
      <c r="Z370" s="529">
        <f>IFERROR(Z366+Z367+Z368,"n/a")</f>
        <v>6658</v>
      </c>
      <c r="AA370" s="287"/>
      <c r="AB370" s="287"/>
      <c r="AC370" s="287"/>
      <c r="AD370" s="287"/>
      <c r="AE370" s="287"/>
      <c r="AF370" s="529">
        <f>IFERROR(AF366+AF367+AF368,"n/a")</f>
        <v>21158</v>
      </c>
      <c r="AG370" s="287"/>
      <c r="AH370" s="287"/>
      <c r="AI370" s="287"/>
      <c r="AJ370" s="287"/>
      <c r="AK370" s="287"/>
      <c r="AL370" s="529">
        <f>IFERROR(AL366+AL367+AL368,"n/a")</f>
        <v>22506</v>
      </c>
      <c r="AM370" s="287"/>
      <c r="AN370" s="287"/>
      <c r="AO370" s="287"/>
      <c r="AP370" s="287"/>
      <c r="AQ370" s="287"/>
      <c r="AR370" s="529">
        <f>IFERROR(AR366+AR367+AR368,"n/a")</f>
        <v>39233</v>
      </c>
      <c r="AS370" s="287"/>
      <c r="AT370" s="287"/>
      <c r="AU370" s="287"/>
      <c r="AV370" s="287"/>
      <c r="AW370" s="287"/>
      <c r="AX370" s="529">
        <f>IFERROR(AX366+AX367+AX368,"n/a")</f>
        <v>38993</v>
      </c>
      <c r="AY370" s="287"/>
      <c r="AZ370" s="287"/>
      <c r="BA370" s="287"/>
      <c r="BB370" s="287"/>
      <c r="BC370" s="287"/>
      <c r="BD370" s="529">
        <f>IFERROR(BD366+BD367+BD368,"n/a")</f>
        <v>37612</v>
      </c>
      <c r="BE370" s="287"/>
      <c r="BF370" s="287"/>
      <c r="BG370" s="287"/>
      <c r="BH370" s="287"/>
      <c r="BI370" s="287"/>
      <c r="BJ370" s="529">
        <f>IFERROR(BJ366+BJ367+BJ368,"n/a")</f>
        <v>124095</v>
      </c>
      <c r="BK370" s="287"/>
      <c r="BL370" s="287"/>
      <c r="BM370" s="287"/>
      <c r="BN370" s="287"/>
      <c r="BO370" s="287"/>
      <c r="BP370" s="529">
        <f t="shared" ref="BP370:BU370" si="232">IFERROR(BP366+BP367+BP368,"n/a")</f>
        <v>74027</v>
      </c>
      <c r="BQ370" s="276">
        <f t="shared" si="232"/>
        <v>85901.044503466692</v>
      </c>
      <c r="BR370" s="276">
        <f t="shared" si="232"/>
        <v>97695.939492287987</v>
      </c>
      <c r="BS370" s="276">
        <f t="shared" si="232"/>
        <v>112085.37157054874</v>
      </c>
      <c r="BT370" s="276">
        <f t="shared" si="232"/>
        <v>119183.04148936404</v>
      </c>
      <c r="BU370" s="276">
        <f t="shared" si="232"/>
        <v>126173.06558477067</v>
      </c>
      <c r="BV370" s="365"/>
      <c r="BW370" s="305"/>
      <c r="BX370" s="451"/>
      <c r="BY370" s="459"/>
      <c r="BZ370" s="459"/>
      <c r="CE370" s="289"/>
      <c r="CF370" s="289"/>
      <c r="CG370" s="289"/>
    </row>
    <row r="371" spans="2:85" ht="21.95" customHeight="1" thickBot="1" x14ac:dyDescent="0.3">
      <c r="B371" s="143" t="s">
        <v>211</v>
      </c>
      <c r="C371" s="144"/>
      <c r="D371" s="144"/>
      <c r="E371" s="144"/>
      <c r="F371" s="144"/>
      <c r="G371" s="144"/>
      <c r="H371" s="530">
        <f>IFERROR(H364/H370,"n/a")</f>
        <v>0.24727970983571582</v>
      </c>
      <c r="I371" s="531"/>
      <c r="J371" s="531"/>
      <c r="K371" s="531"/>
      <c r="L371" s="531"/>
      <c r="M371" s="531"/>
      <c r="N371" s="530">
        <f>IFERROR(N364/N370,"n/a")</f>
        <v>0.30269340974212033</v>
      </c>
      <c r="O371" s="531"/>
      <c r="P371" s="531"/>
      <c r="Q371" s="531"/>
      <c r="R371" s="531"/>
      <c r="S371" s="531"/>
      <c r="T371" s="530">
        <f>IFERROR(T364/T370,"n/a")</f>
        <v>0.51966358284272496</v>
      </c>
      <c r="U371" s="531"/>
      <c r="V371" s="531"/>
      <c r="W371" s="531"/>
      <c r="X371" s="531"/>
      <c r="Y371" s="531"/>
      <c r="Z371" s="530">
        <f>IFERROR(Z364/Z370,"n/a")</f>
        <v>0.62210874136377292</v>
      </c>
      <c r="AA371" s="531"/>
      <c r="AB371" s="531"/>
      <c r="AC371" s="531"/>
      <c r="AD371" s="531"/>
      <c r="AE371" s="531"/>
      <c r="AF371" s="530">
        <f>IFERROR(AF364/AF370,"n/a")</f>
        <v>0.23901313923811324</v>
      </c>
      <c r="AG371" s="531"/>
      <c r="AH371" s="531"/>
      <c r="AI371" s="531"/>
      <c r="AJ371" s="531"/>
      <c r="AK371" s="531"/>
      <c r="AL371" s="530">
        <f>IFERROR(AL364/AL370,"n/a")</f>
        <v>0.32147871678663464</v>
      </c>
      <c r="AM371" s="531"/>
      <c r="AN371" s="531"/>
      <c r="AO371" s="531"/>
      <c r="AP371" s="531"/>
      <c r="AQ371" s="531"/>
      <c r="AR371" s="530">
        <f>IFERROR(AR364/AR370,"n/a")</f>
        <v>0.31426299288863968</v>
      </c>
      <c r="AS371" s="531"/>
      <c r="AT371" s="531"/>
      <c r="AU371" s="531"/>
      <c r="AV371" s="531"/>
      <c r="AW371" s="531"/>
      <c r="AX371" s="530">
        <f>IFERROR(AX364/AX370,"n/a")</f>
        <v>0.49124304362321447</v>
      </c>
      <c r="AY371" s="531"/>
      <c r="AZ371" s="531"/>
      <c r="BA371" s="531"/>
      <c r="BB371" s="531"/>
      <c r="BC371" s="531"/>
      <c r="BD371" s="530">
        <f>IFERROR(BD364/BD370,"n/a")</f>
        <v>0.35811655854514518</v>
      </c>
      <c r="BE371" s="531"/>
      <c r="BF371" s="531"/>
      <c r="BG371" s="531"/>
      <c r="BH371" s="531"/>
      <c r="BI371" s="531"/>
      <c r="BJ371" s="530">
        <f>IFERROR(BJ364/BJ370,"n/a")</f>
        <v>9.8577380232886105E-2</v>
      </c>
      <c r="BK371" s="531"/>
      <c r="BL371" s="531"/>
      <c r="BM371" s="531"/>
      <c r="BN371" s="531"/>
      <c r="BO371" s="531"/>
      <c r="BP371" s="530">
        <f t="shared" ref="BP371:BU371" si="233">IFERROR(BP364/BP370,"n/a")</f>
        <v>0.20133680954246425</v>
      </c>
      <c r="BQ371" s="532">
        <f t="shared" si="233"/>
        <v>0.21367006000250174</v>
      </c>
      <c r="BR371" s="533">
        <f t="shared" si="233"/>
        <v>0.22146342775466693</v>
      </c>
      <c r="BS371" s="533">
        <f t="shared" si="233"/>
        <v>0.22292824196945146</v>
      </c>
      <c r="BT371" s="533">
        <f t="shared" si="233"/>
        <v>0.22681889896030397</v>
      </c>
      <c r="BU371" s="533">
        <f t="shared" si="233"/>
        <v>0.2300743951044997</v>
      </c>
      <c r="BV371" s="365"/>
      <c r="BW371" s="305"/>
      <c r="BX371" s="450">
        <f>IFERROR(AVERAGE(BQ371,BR371,BS371,BT371,BU371),"n/m")</f>
        <v>0.22299100475828476</v>
      </c>
      <c r="BY371" s="265">
        <f>IFERROR(AVERAGE(AR371,AX371,BD371,BJ371,BP371),"n/m")</f>
        <v>0.29270735696646993</v>
      </c>
      <c r="BZ371" s="265">
        <f>IFERROR(AVERAGE(N371,T371,Z371,AF371,AL371,AR371,AX371,BD371,BJ371,BP371),"n/m")</f>
        <v>0.34684943748057162</v>
      </c>
      <c r="CB371" s="159">
        <f>IFERROR((BP365-AX365)/(BP370-AX370),"n/m")</f>
        <v>-9.2210903693554822E-2</v>
      </c>
      <c r="CC371" s="159">
        <f>IFERROR((BP365-AL365)/(BP370-AL370),"n/m")</f>
        <v>0.11312982279070674</v>
      </c>
      <c r="CD371" s="159">
        <f>IFERROR((BP365-Z365)/(BP370-Z370),"n/m")</f>
        <v>0.12141183036708281</v>
      </c>
      <c r="CE371" s="313"/>
      <c r="CF371" s="313"/>
      <c r="CG371" s="313"/>
    </row>
    <row r="372" spans="2:85" x14ac:dyDescent="0.25">
      <c r="H372" s="64"/>
      <c r="I372" s="171"/>
      <c r="J372" s="171"/>
      <c r="K372" s="172"/>
      <c r="L372" s="171"/>
      <c r="M372" s="171"/>
      <c r="N372" s="64"/>
      <c r="O372" s="171"/>
      <c r="P372" s="171"/>
      <c r="Q372" s="172"/>
      <c r="R372" s="171"/>
      <c r="S372" s="171"/>
      <c r="T372" s="64"/>
      <c r="U372" s="171"/>
      <c r="V372" s="171"/>
      <c r="W372" s="172"/>
      <c r="X372" s="171"/>
      <c r="Y372" s="171"/>
      <c r="Z372" s="64"/>
      <c r="AA372" s="171"/>
      <c r="AB372" s="171"/>
      <c r="AC372" s="172"/>
      <c r="AD372" s="171"/>
      <c r="AE372" s="171"/>
      <c r="AF372" s="64"/>
      <c r="AG372" s="171"/>
      <c r="AH372" s="171"/>
      <c r="AI372" s="172"/>
      <c r="AJ372" s="171"/>
      <c r="AK372" s="171"/>
      <c r="AL372" s="64"/>
      <c r="AM372" s="171"/>
      <c r="AN372" s="171"/>
      <c r="AO372" s="172"/>
      <c r="AP372" s="171"/>
      <c r="AQ372" s="171"/>
      <c r="AR372" s="64"/>
      <c r="AS372" s="171"/>
      <c r="AT372" s="171"/>
      <c r="AU372" s="172"/>
      <c r="AV372" s="171"/>
      <c r="AW372" s="171"/>
      <c r="AX372" s="64"/>
      <c r="AY372" s="171"/>
      <c r="AZ372" s="171"/>
      <c r="BA372" s="172"/>
      <c r="BB372" s="171"/>
      <c r="BC372" s="171"/>
      <c r="BD372" s="64"/>
      <c r="BE372" s="171"/>
      <c r="BF372" s="171"/>
      <c r="BG372" s="172"/>
      <c r="BH372" s="171"/>
      <c r="BI372" s="171"/>
      <c r="BJ372" s="64"/>
      <c r="BK372" s="171"/>
      <c r="BL372" s="171"/>
      <c r="BM372" s="172"/>
      <c r="BN372" s="171"/>
      <c r="BO372" s="171"/>
      <c r="BP372" s="64"/>
      <c r="BQ372" s="365"/>
      <c r="BR372" s="365"/>
      <c r="BS372" s="365"/>
      <c r="BT372" s="365"/>
      <c r="BU372" s="365"/>
      <c r="BV372" s="365"/>
      <c r="BW372" s="305"/>
      <c r="BX372" s="451"/>
      <c r="BY372" s="459"/>
      <c r="BZ372" s="459"/>
      <c r="CE372" s="289"/>
      <c r="CF372" s="289"/>
      <c r="CG372" s="289"/>
    </row>
    <row r="373" spans="2:85" x14ac:dyDescent="0.25">
      <c r="B373" s="17" t="s">
        <v>212</v>
      </c>
      <c r="H373" s="64"/>
      <c r="I373" s="171"/>
      <c r="J373" s="171"/>
      <c r="K373" s="172"/>
      <c r="L373" s="171"/>
      <c r="M373" s="171"/>
      <c r="N373" s="64"/>
      <c r="O373" s="171"/>
      <c r="P373" s="171"/>
      <c r="Q373" s="172"/>
      <c r="R373" s="171"/>
      <c r="S373" s="171"/>
      <c r="T373" s="64"/>
      <c r="U373" s="171"/>
      <c r="V373" s="171"/>
      <c r="W373" s="172"/>
      <c r="X373" s="171"/>
      <c r="Y373" s="171"/>
      <c r="Z373" s="64"/>
      <c r="AA373" s="171"/>
      <c r="AB373" s="171"/>
      <c r="AC373" s="172"/>
      <c r="AD373" s="171"/>
      <c r="AE373" s="171"/>
      <c r="AF373" s="64"/>
      <c r="AG373" s="171"/>
      <c r="AH373" s="171"/>
      <c r="AI373" s="172"/>
      <c r="AJ373" s="171"/>
      <c r="AK373" s="171"/>
      <c r="AL373" s="64"/>
      <c r="AM373" s="171"/>
      <c r="AN373" s="171"/>
      <c r="AO373" s="172"/>
      <c r="AP373" s="171"/>
      <c r="AQ373" s="171"/>
      <c r="AR373" s="64"/>
      <c r="AS373" s="171"/>
      <c r="AT373" s="171"/>
      <c r="AU373" s="172"/>
      <c r="AV373" s="171"/>
      <c r="AW373" s="171"/>
      <c r="AX373" s="64"/>
      <c r="AY373" s="171"/>
      <c r="AZ373" s="171"/>
      <c r="BA373" s="172"/>
      <c r="BB373" s="171"/>
      <c r="BC373" s="171"/>
      <c r="BD373" s="64"/>
      <c r="BE373" s="171"/>
      <c r="BF373" s="171"/>
      <c r="BG373" s="172"/>
      <c r="BH373" s="171"/>
      <c r="BI373" s="171"/>
      <c r="BJ373" s="64"/>
      <c r="BK373" s="171"/>
      <c r="BL373" s="171"/>
      <c r="BM373" s="172"/>
      <c r="BN373" s="171"/>
      <c r="BO373" s="171"/>
      <c r="BP373" s="64"/>
      <c r="BQ373" s="365"/>
      <c r="BR373" s="365"/>
      <c r="BS373" s="365"/>
      <c r="BT373" s="365"/>
      <c r="BU373" s="365"/>
      <c r="BV373" s="365"/>
      <c r="BW373" s="305"/>
      <c r="BX373" s="451"/>
      <c r="BY373" s="459"/>
      <c r="BZ373" s="459"/>
      <c r="CE373" s="289"/>
      <c r="CF373" s="289"/>
      <c r="CG373" s="289"/>
    </row>
    <row r="374" spans="2:85" x14ac:dyDescent="0.25">
      <c r="B374" s="19" t="s">
        <v>213</v>
      </c>
      <c r="H374" s="91">
        <f>IFERROR(H161,"n/a")</f>
        <v>2056</v>
      </c>
      <c r="I374" s="176"/>
      <c r="J374" s="176"/>
      <c r="K374" s="177"/>
      <c r="L374" s="176"/>
      <c r="M374" s="176"/>
      <c r="N374" s="91">
        <f>IFERROR(N161,"n/a")</f>
        <v>1668</v>
      </c>
      <c r="O374" s="176"/>
      <c r="P374" s="176"/>
      <c r="Q374" s="177"/>
      <c r="R374" s="176"/>
      <c r="S374" s="176"/>
      <c r="T374" s="91">
        <f>IFERROR(T161,"n/a")</f>
        <v>2981</v>
      </c>
      <c r="U374" s="176"/>
      <c r="V374" s="176"/>
      <c r="W374" s="177"/>
      <c r="X374" s="176"/>
      <c r="Y374" s="176"/>
      <c r="Z374" s="91">
        <f>IFERROR(Z161,"n/a")</f>
        <v>4000</v>
      </c>
      <c r="AA374" s="176"/>
      <c r="AB374" s="176"/>
      <c r="AC374" s="177"/>
      <c r="AD374" s="176"/>
      <c r="AE374" s="176"/>
      <c r="AF374" s="91">
        <f>IFERROR(AF161,"n/a")</f>
        <v>3700</v>
      </c>
      <c r="AG374" s="176"/>
      <c r="AH374" s="176"/>
      <c r="AI374" s="177"/>
      <c r="AJ374" s="176"/>
      <c r="AK374" s="176"/>
      <c r="AL374" s="91">
        <f>IFERROR(AL161,"n/a")</f>
        <v>4250</v>
      </c>
      <c r="AM374" s="176"/>
      <c r="AN374" s="176"/>
      <c r="AO374" s="177"/>
      <c r="AP374" s="176"/>
      <c r="AQ374" s="176"/>
      <c r="AR374" s="91">
        <f>IFERROR(AR161,"n/a")</f>
        <v>11205</v>
      </c>
      <c r="AS374" s="176"/>
      <c r="AT374" s="176"/>
      <c r="AU374" s="177"/>
      <c r="AV374" s="176"/>
      <c r="AW374" s="176"/>
      <c r="AX374" s="91">
        <f>IFERROR(AX161,"n/a")</f>
        <v>17568</v>
      </c>
      <c r="AY374" s="176"/>
      <c r="AZ374" s="176"/>
      <c r="BA374" s="177"/>
      <c r="BB374" s="176"/>
      <c r="BC374" s="176"/>
      <c r="BD374" s="91">
        <f>IFERROR(BD161,"n/a")</f>
        <v>12315</v>
      </c>
      <c r="BE374" s="176"/>
      <c r="BF374" s="176"/>
      <c r="BG374" s="177"/>
      <c r="BH374" s="176"/>
      <c r="BI374" s="176"/>
      <c r="BJ374" s="91">
        <f>IFERROR(BJ161,"n/a")</f>
        <v>10109</v>
      </c>
      <c r="BK374" s="176"/>
      <c r="BL374" s="176"/>
      <c r="BM374" s="177"/>
      <c r="BN374" s="176"/>
      <c r="BO374" s="176"/>
      <c r="BP374" s="91">
        <f t="shared" ref="BP374:BU374" si="234">IFERROR(BP161,"n/a")</f>
        <v>8095</v>
      </c>
      <c r="BQ374" s="373">
        <f t="shared" si="234"/>
        <v>13007.224999999969</v>
      </c>
      <c r="BR374" s="373">
        <f t="shared" si="234"/>
        <v>17028.642405599967</v>
      </c>
      <c r="BS374" s="373">
        <f t="shared" si="234"/>
        <v>21489.718586889965</v>
      </c>
      <c r="BT374" s="373">
        <f t="shared" si="234"/>
        <v>23671.519321076754</v>
      </c>
      <c r="BU374" s="373">
        <f t="shared" si="234"/>
        <v>25671.478693647841</v>
      </c>
      <c r="BV374" s="365"/>
      <c r="BW374" s="305"/>
      <c r="BX374" s="451"/>
      <c r="BY374" s="459"/>
      <c r="BZ374" s="459"/>
      <c r="CE374" s="289"/>
      <c r="CF374" s="289"/>
      <c r="CG374" s="289"/>
    </row>
    <row r="375" spans="2:85" x14ac:dyDescent="0.25">
      <c r="B375" s="19" t="s">
        <v>99</v>
      </c>
      <c r="H375" s="91">
        <f>IFERROR(H289,"n/a")</f>
        <v>11841</v>
      </c>
      <c r="I375" s="176"/>
      <c r="J375" s="176"/>
      <c r="K375" s="177"/>
      <c r="L375" s="176"/>
      <c r="M375" s="176"/>
      <c r="N375" s="91">
        <f>IFERROR(N289,"n/a")</f>
        <v>13378</v>
      </c>
      <c r="O375" s="176"/>
      <c r="P375" s="176"/>
      <c r="Q375" s="177"/>
      <c r="R375" s="176"/>
      <c r="S375" s="176"/>
      <c r="T375" s="91">
        <f>IFERROR(T289,"n/a")</f>
        <v>14809</v>
      </c>
      <c r="U375" s="176"/>
      <c r="V375" s="176"/>
      <c r="W375" s="177"/>
      <c r="X375" s="176"/>
      <c r="Y375" s="176"/>
      <c r="Z375" s="91">
        <f>IFERROR(Z289,"n/a")</f>
        <v>14532</v>
      </c>
      <c r="AA375" s="176"/>
      <c r="AB375" s="176"/>
      <c r="AC375" s="177"/>
      <c r="AD375" s="176"/>
      <c r="AE375" s="176"/>
      <c r="AF375" s="91">
        <f>IFERROR(AF289,"n/a")</f>
        <v>49319</v>
      </c>
      <c r="AG375" s="176"/>
      <c r="AH375" s="176"/>
      <c r="AI375" s="177"/>
      <c r="AJ375" s="176"/>
      <c r="AK375" s="176"/>
      <c r="AL375" s="91">
        <f>IFERROR(AL289,"n/a")</f>
        <v>47297</v>
      </c>
      <c r="AM375" s="176"/>
      <c r="AN375" s="176"/>
      <c r="AO375" s="177"/>
      <c r="AP375" s="176"/>
      <c r="AQ375" s="176"/>
      <c r="AR375" s="91">
        <f>IFERROR(AR289,"n/a")</f>
        <v>74278</v>
      </c>
      <c r="AS375" s="176"/>
      <c r="AT375" s="176"/>
      <c r="AU375" s="177"/>
      <c r="AV375" s="176"/>
      <c r="AW375" s="176"/>
      <c r="AX375" s="91">
        <f>IFERROR(AX289,"n/a")</f>
        <v>71741</v>
      </c>
      <c r="AY375" s="176"/>
      <c r="AZ375" s="176"/>
      <c r="BA375" s="177"/>
      <c r="BB375" s="176"/>
      <c r="BC375" s="176"/>
      <c r="BD375" s="91">
        <f>IFERROR(BD289,"n/a")</f>
        <v>68966</v>
      </c>
      <c r="BE375" s="176"/>
      <c r="BF375" s="176"/>
      <c r="BG375" s="177"/>
      <c r="BH375" s="176"/>
      <c r="BI375" s="176"/>
      <c r="BJ375" s="91">
        <f>IFERROR(BJ289,"n/a")</f>
        <v>114503</v>
      </c>
      <c r="BK375" s="176"/>
      <c r="BL375" s="176"/>
      <c r="BM375" s="177"/>
      <c r="BN375" s="176"/>
      <c r="BO375" s="176"/>
      <c r="BP375" s="91">
        <f t="shared" ref="BP375:BU375" si="235">IFERROR(BP289,"n/a")</f>
        <v>117690</v>
      </c>
      <c r="BQ375" s="373">
        <f t="shared" si="235"/>
        <v>130459.6125930667</v>
      </c>
      <c r="BR375" s="373">
        <f t="shared" si="235"/>
        <v>146006.91320641065</v>
      </c>
      <c r="BS375" s="373">
        <f t="shared" si="235"/>
        <v>161111.92314541104</v>
      </c>
      <c r="BT375" s="373">
        <f t="shared" si="235"/>
        <v>170200.21611401928</v>
      </c>
      <c r="BU375" s="373">
        <f t="shared" si="235"/>
        <v>178169.57492027033</v>
      </c>
      <c r="BV375" s="365"/>
      <c r="BW375" s="305"/>
      <c r="BX375" s="451"/>
      <c r="BY375" s="459"/>
      <c r="BZ375" s="459"/>
      <c r="CE375" s="289"/>
      <c r="CF375" s="289"/>
      <c r="CG375" s="289"/>
    </row>
    <row r="376" spans="2:85" ht="21.95" customHeight="1" thickBot="1" x14ac:dyDescent="0.3">
      <c r="B376" s="143" t="s">
        <v>214</v>
      </c>
      <c r="C376" s="144"/>
      <c r="D376" s="144"/>
      <c r="E376" s="144"/>
      <c r="F376" s="144"/>
      <c r="G376" s="144"/>
      <c r="H376" s="530">
        <f>IFERROR(H374/H375,"n/a")</f>
        <v>0.17363398361624863</v>
      </c>
      <c r="I376" s="531"/>
      <c r="J376" s="531"/>
      <c r="K376" s="531"/>
      <c r="L376" s="531"/>
      <c r="M376" s="531"/>
      <c r="N376" s="530">
        <f>IFERROR(N374/N375,"n/a")</f>
        <v>0.12468231424727164</v>
      </c>
      <c r="O376" s="531"/>
      <c r="P376" s="531"/>
      <c r="Q376" s="531"/>
      <c r="R376" s="531"/>
      <c r="S376" s="531"/>
      <c r="T376" s="530">
        <f>IFERROR(T374/T375,"n/a")</f>
        <v>0.2012965088797353</v>
      </c>
      <c r="U376" s="531"/>
      <c r="V376" s="531"/>
      <c r="W376" s="531"/>
      <c r="X376" s="531"/>
      <c r="Y376" s="531"/>
      <c r="Z376" s="530">
        <f>IFERROR(Z374/Z375,"n/a")</f>
        <v>0.27525461051472611</v>
      </c>
      <c r="AA376" s="531"/>
      <c r="AB376" s="531"/>
      <c r="AC376" s="531"/>
      <c r="AD376" s="531"/>
      <c r="AE376" s="531"/>
      <c r="AF376" s="530">
        <f>IFERROR(AF374/AF375,"n/a")</f>
        <v>7.5021796873415925E-2</v>
      </c>
      <c r="AG376" s="531"/>
      <c r="AH376" s="531"/>
      <c r="AI376" s="531"/>
      <c r="AJ376" s="531"/>
      <c r="AK376" s="531"/>
      <c r="AL376" s="530">
        <f>IFERROR(AL374/AL375,"n/a")</f>
        <v>8.9857707677019685E-2</v>
      </c>
      <c r="AM376" s="531"/>
      <c r="AN376" s="531"/>
      <c r="AO376" s="531"/>
      <c r="AP376" s="531"/>
      <c r="AQ376" s="531"/>
      <c r="AR376" s="530">
        <f>IFERROR(AR374/AR375,"n/a")</f>
        <v>0.15085220388271089</v>
      </c>
      <c r="AS376" s="531"/>
      <c r="AT376" s="531"/>
      <c r="AU376" s="531"/>
      <c r="AV376" s="531"/>
      <c r="AW376" s="531"/>
      <c r="AX376" s="530">
        <f>IFERROR(AX374/AX375,"n/a")</f>
        <v>0.24488089098284105</v>
      </c>
      <c r="AY376" s="531"/>
      <c r="AZ376" s="531"/>
      <c r="BA376" s="531"/>
      <c r="BB376" s="531"/>
      <c r="BC376" s="531"/>
      <c r="BD376" s="530">
        <f>IFERROR(BD374/BD375,"n/a")</f>
        <v>0.17856625003624974</v>
      </c>
      <c r="BE376" s="531"/>
      <c r="BF376" s="531"/>
      <c r="BG376" s="531"/>
      <c r="BH376" s="531"/>
      <c r="BI376" s="531"/>
      <c r="BJ376" s="530">
        <f>IFERROR(BJ374/BJ375,"n/a")</f>
        <v>8.8285896439394607E-2</v>
      </c>
      <c r="BK376" s="531"/>
      <c r="BL376" s="531"/>
      <c r="BM376" s="531"/>
      <c r="BN376" s="531"/>
      <c r="BO376" s="531"/>
      <c r="BP376" s="530">
        <f t="shared" ref="BP376:BU376" si="236">IFERROR(BP374/BP375,"n/a")</f>
        <v>6.8782394426034496E-2</v>
      </c>
      <c r="BQ376" s="532">
        <f t="shared" si="236"/>
        <v>9.9703078534906217E-2</v>
      </c>
      <c r="BR376" s="533">
        <f t="shared" si="236"/>
        <v>0.11662901455581419</v>
      </c>
      <c r="BS376" s="533">
        <f t="shared" si="236"/>
        <v>0.13338378791180147</v>
      </c>
      <c r="BT376" s="533">
        <f t="shared" si="236"/>
        <v>0.13908043045737911</v>
      </c>
      <c r="BU376" s="533">
        <f t="shared" si="236"/>
        <v>0.14408452568366767</v>
      </c>
      <c r="BV376" s="365"/>
      <c r="BW376" s="305"/>
      <c r="BX376" s="450">
        <f>IFERROR(AVERAGE(BQ376,BR376,BS376,BT376,BU376),"n/m")</f>
        <v>0.12657616742871375</v>
      </c>
      <c r="BY376" s="265">
        <f>IFERROR(AVERAGE(AR376,AX376,BD376,BJ376,BP376),"n/m")</f>
        <v>0.14627352715344616</v>
      </c>
      <c r="BZ376" s="265">
        <f>IFERROR(AVERAGE(N376,T376,Z376,AF376,AL376,AR376,AX376,BD376,BJ376,BP376),"n/m")</f>
        <v>0.14974805739593994</v>
      </c>
      <c r="CE376" s="289"/>
      <c r="CF376" s="289"/>
      <c r="CG376" s="289"/>
    </row>
    <row r="377" spans="2:85" x14ac:dyDescent="0.25">
      <c r="H377" s="64"/>
      <c r="I377" s="171"/>
      <c r="J377" s="171"/>
      <c r="K377" s="172"/>
      <c r="L377" s="171"/>
      <c r="M377" s="171"/>
      <c r="N377" s="64"/>
      <c r="O377" s="171"/>
      <c r="P377" s="171"/>
      <c r="Q377" s="172"/>
      <c r="R377" s="171"/>
      <c r="S377" s="171"/>
      <c r="T377" s="64"/>
      <c r="U377" s="171"/>
      <c r="V377" s="171"/>
      <c r="W377" s="172"/>
      <c r="X377" s="171"/>
      <c r="Y377" s="171"/>
      <c r="Z377" s="64"/>
      <c r="AA377" s="171"/>
      <c r="AB377" s="171"/>
      <c r="AC377" s="172"/>
      <c r="AD377" s="171"/>
      <c r="AE377" s="171"/>
      <c r="AF377" s="64"/>
      <c r="AG377" s="171"/>
      <c r="AH377" s="171"/>
      <c r="AI377" s="172"/>
      <c r="AJ377" s="171"/>
      <c r="AK377" s="171"/>
      <c r="AL377" s="64"/>
      <c r="AM377" s="171"/>
      <c r="AN377" s="171"/>
      <c r="AO377" s="172"/>
      <c r="AP377" s="171"/>
      <c r="AQ377" s="171"/>
      <c r="AR377" s="64"/>
      <c r="AS377" s="171"/>
      <c r="AT377" s="171"/>
      <c r="AU377" s="172"/>
      <c r="AV377" s="171"/>
      <c r="AW377" s="171"/>
      <c r="AX377" s="64"/>
      <c r="AY377" s="171"/>
      <c r="AZ377" s="171"/>
      <c r="BA377" s="172"/>
      <c r="BB377" s="171"/>
      <c r="BC377" s="171"/>
      <c r="BD377" s="64"/>
      <c r="BE377" s="171"/>
      <c r="BF377" s="171"/>
      <c r="BG377" s="172"/>
      <c r="BH377" s="171"/>
      <c r="BI377" s="171"/>
      <c r="BJ377" s="64"/>
      <c r="BK377" s="171"/>
      <c r="BL377" s="171"/>
      <c r="BM377" s="172"/>
      <c r="BN377" s="171"/>
      <c r="BO377" s="171"/>
      <c r="BP377" s="64"/>
      <c r="BQ377" s="365"/>
      <c r="BR377" s="365"/>
      <c r="BS377" s="365"/>
      <c r="BT377" s="365"/>
      <c r="BU377" s="365"/>
      <c r="BV377" s="365"/>
      <c r="BW377" s="305"/>
      <c r="BX377" s="365"/>
      <c r="CE377" s="289"/>
      <c r="CF377" s="289"/>
      <c r="CG377" s="289"/>
    </row>
    <row r="378" spans="2:85" x14ac:dyDescent="0.25">
      <c r="B378" s="3" t="s">
        <v>215</v>
      </c>
      <c r="H378" s="64"/>
      <c r="I378" s="171"/>
      <c r="J378" s="171"/>
      <c r="K378" s="172"/>
      <c r="L378" s="171"/>
      <c r="M378" s="171"/>
      <c r="N378" s="64"/>
      <c r="O378" s="171"/>
      <c r="P378" s="171"/>
      <c r="Q378" s="172"/>
      <c r="R378" s="171"/>
      <c r="S378" s="171"/>
      <c r="T378" s="64"/>
      <c r="U378" s="171"/>
      <c r="V378" s="171"/>
      <c r="W378" s="172"/>
      <c r="X378" s="171"/>
      <c r="Y378" s="171"/>
      <c r="Z378" s="64"/>
      <c r="AA378" s="171"/>
      <c r="AB378" s="171"/>
      <c r="AC378" s="172"/>
      <c r="AD378" s="171"/>
      <c r="AE378" s="171"/>
      <c r="AF378" s="64"/>
      <c r="AG378" s="171"/>
      <c r="AH378" s="171"/>
      <c r="AI378" s="172"/>
      <c r="AJ378" s="171"/>
      <c r="AK378" s="171"/>
      <c r="AL378" s="64"/>
      <c r="AM378" s="171"/>
      <c r="AN378" s="171"/>
      <c r="AO378" s="172"/>
      <c r="AP378" s="171"/>
      <c r="AQ378" s="171"/>
      <c r="AR378" s="64"/>
      <c r="AS378" s="171"/>
      <c r="AT378" s="171"/>
      <c r="AU378" s="172"/>
      <c r="AV378" s="171"/>
      <c r="AW378" s="171"/>
      <c r="AX378" s="64"/>
      <c r="AY378" s="171"/>
      <c r="AZ378" s="171"/>
      <c r="BA378" s="172"/>
      <c r="BB378" s="171"/>
      <c r="BC378" s="171"/>
      <c r="BD378" s="64"/>
      <c r="BE378" s="171"/>
      <c r="BF378" s="171"/>
      <c r="BG378" s="172"/>
      <c r="BH378" s="171"/>
      <c r="BI378" s="171"/>
      <c r="BJ378" s="64"/>
      <c r="BK378" s="171"/>
      <c r="BL378" s="171"/>
      <c r="BM378" s="172"/>
      <c r="BN378" s="171"/>
      <c r="BO378" s="171"/>
      <c r="BP378" s="64"/>
      <c r="BQ378" s="365"/>
      <c r="BR378" s="365"/>
      <c r="BS378" s="365"/>
      <c r="BT378" s="365"/>
      <c r="BU378" s="365"/>
      <c r="BV378" s="365"/>
      <c r="BW378" s="305"/>
      <c r="BX378" s="365"/>
      <c r="CE378" s="289"/>
      <c r="CF378" s="289"/>
      <c r="CG378" s="289"/>
    </row>
    <row r="379" spans="2:85" x14ac:dyDescent="0.25">
      <c r="B379" s="19" t="s">
        <v>225</v>
      </c>
      <c r="H379" s="91">
        <f>IFERROR(H292+H299-H277,"n/a")</f>
        <v>-286</v>
      </c>
      <c r="I379" s="176"/>
      <c r="J379" s="176"/>
      <c r="K379" s="177"/>
      <c r="L379" s="176"/>
      <c r="M379" s="176"/>
      <c r="N379" s="91">
        <f>IFERROR(N292+N299-N277,"n/a")</f>
        <v>8369</v>
      </c>
      <c r="O379" s="176"/>
      <c r="P379" s="176"/>
      <c r="Q379" s="177"/>
      <c r="R379" s="176"/>
      <c r="S379" s="176"/>
      <c r="T379" s="91">
        <f>IFERROR(T292+T299-T277,"n/a")</f>
        <v>5638</v>
      </c>
      <c r="U379" s="176"/>
      <c r="V379" s="176"/>
      <c r="W379" s="177"/>
      <c r="X379" s="176"/>
      <c r="Y379" s="176"/>
      <c r="Z379" s="91">
        <f>IFERROR(Z292+Z299-Z277,"n/a")</f>
        <v>5788</v>
      </c>
      <c r="AA379" s="176"/>
      <c r="AB379" s="176"/>
      <c r="AC379" s="177"/>
      <c r="AD379" s="176"/>
      <c r="AE379" s="176"/>
      <c r="AF379" s="91">
        <f>IFERROR(AF292+AF299-AF277,"n/a")</f>
        <v>5941</v>
      </c>
      <c r="AG379" s="176"/>
      <c r="AH379" s="176"/>
      <c r="AI379" s="177"/>
      <c r="AJ379" s="176"/>
      <c r="AK379" s="176"/>
      <c r="AL379" s="91">
        <f>IFERROR(AL292+AL299-AL277,"n/a")</f>
        <v>4821</v>
      </c>
      <c r="AM379" s="176"/>
      <c r="AN379" s="176"/>
      <c r="AO379" s="177"/>
      <c r="AP379" s="176"/>
      <c r="AQ379" s="176"/>
      <c r="AR379" s="91">
        <f>IFERROR(AR292+AR299-AR277,"n/a")</f>
        <v>13166</v>
      </c>
      <c r="AS379" s="176"/>
      <c r="AT379" s="176"/>
      <c r="AU379" s="177"/>
      <c r="AV379" s="176"/>
      <c r="AW379" s="176"/>
      <c r="AX379" s="91">
        <f>IFERROR(AX292+AX299-AX277,"n/a")</f>
        <v>12052</v>
      </c>
      <c r="AY379" s="176"/>
      <c r="AZ379" s="176"/>
      <c r="BA379" s="177"/>
      <c r="BB379" s="176"/>
      <c r="BC379" s="176"/>
      <c r="BD379" s="91">
        <f>IFERROR(BD292+BD299-BD277,"n/a")</f>
        <v>15691</v>
      </c>
      <c r="BE379" s="176"/>
      <c r="BF379" s="176"/>
      <c r="BG379" s="177"/>
      <c r="BH379" s="176"/>
      <c r="BI379" s="176"/>
      <c r="BJ379" s="91">
        <f>IFERROR(BJ292+BJ299-BJ277,"n/a")</f>
        <v>-22432</v>
      </c>
      <c r="BK379" s="176"/>
      <c r="BL379" s="176"/>
      <c r="BM379" s="177"/>
      <c r="BN379" s="176"/>
      <c r="BO379" s="176"/>
      <c r="BP379" s="91">
        <f t="shared" ref="BP379:BU379" si="237">IFERROR(BP292+BP299-BP277,"n/a")</f>
        <v>53826</v>
      </c>
      <c r="BQ379" s="373">
        <f t="shared" si="237"/>
        <v>42265.079556840174</v>
      </c>
      <c r="BR379" s="373">
        <f t="shared" si="237"/>
        <v>28425.855792808408</v>
      </c>
      <c r="BS379" s="373">
        <f t="shared" si="237"/>
        <v>15841.54681060998</v>
      </c>
      <c r="BT379" s="373">
        <f t="shared" si="237"/>
        <v>10321.468950439354</v>
      </c>
      <c r="BU379" s="373">
        <f t="shared" si="237"/>
        <v>5995.3565048344681</v>
      </c>
      <c r="BV379" s="365"/>
      <c r="BW379" s="305"/>
      <c r="BX379" s="365"/>
      <c r="CE379" s="289"/>
      <c r="CF379" s="289"/>
      <c r="CG379" s="289"/>
    </row>
    <row r="380" spans="2:85" x14ac:dyDescent="0.25">
      <c r="B380" s="19" t="s">
        <v>8</v>
      </c>
      <c r="H380" s="91">
        <f>IFERROR(H151,"n/a")</f>
        <v>3575</v>
      </c>
      <c r="I380" s="176"/>
      <c r="J380" s="176"/>
      <c r="K380" s="177"/>
      <c r="L380" s="176"/>
      <c r="M380" s="176"/>
      <c r="N380" s="91">
        <f>IFERROR(N151,"n/a")</f>
        <v>4250</v>
      </c>
      <c r="O380" s="176"/>
      <c r="P380" s="176"/>
      <c r="Q380" s="177"/>
      <c r="R380" s="176"/>
      <c r="S380" s="176"/>
      <c r="T380" s="91">
        <f>IFERROR(T151,"n/a")</f>
        <v>5664</v>
      </c>
      <c r="U380" s="176"/>
      <c r="V380" s="176"/>
      <c r="W380" s="177"/>
      <c r="X380" s="176"/>
      <c r="Y380" s="176"/>
      <c r="Z380" s="91">
        <f>IFERROR(Z151,"n/a")</f>
        <v>6212</v>
      </c>
      <c r="AA380" s="176"/>
      <c r="AB380" s="176"/>
      <c r="AC380" s="177"/>
      <c r="AD380" s="176"/>
      <c r="AE380" s="176"/>
      <c r="AF380" s="91">
        <f>IFERROR(AF151,"n/a")</f>
        <v>10292</v>
      </c>
      <c r="AG380" s="176"/>
      <c r="AH380" s="176"/>
      <c r="AI380" s="177"/>
      <c r="AJ380" s="176"/>
      <c r="AK380" s="176"/>
      <c r="AL380" s="91">
        <f>IFERROR(AL151,"n/a")</f>
        <v>13559</v>
      </c>
      <c r="AM380" s="176"/>
      <c r="AN380" s="176"/>
      <c r="AO380" s="177"/>
      <c r="AP380" s="176"/>
      <c r="AQ380" s="176"/>
      <c r="AR380" s="91">
        <f>IFERROR(AR151,"n/a")</f>
        <v>20417</v>
      </c>
      <c r="AS380" s="176"/>
      <c r="AT380" s="176"/>
      <c r="AU380" s="177"/>
      <c r="AV380" s="176"/>
      <c r="AW380" s="176"/>
      <c r="AX380" s="91">
        <f>IFERROR(AX151,"n/a")</f>
        <v>30275</v>
      </c>
      <c r="AY380" s="176"/>
      <c r="AZ380" s="176"/>
      <c r="BA380" s="177"/>
      <c r="BB380" s="176"/>
      <c r="BC380" s="176"/>
      <c r="BD380" s="91">
        <f>IFERROR(BD151,"n/a")</f>
        <v>22997</v>
      </c>
      <c r="BE380" s="176"/>
      <c r="BF380" s="176"/>
      <c r="BG380" s="177"/>
      <c r="BH380" s="176"/>
      <c r="BI380" s="176"/>
      <c r="BJ380" s="91">
        <f>IFERROR(BJ151,"n/a")</f>
        <v>21831</v>
      </c>
      <c r="BK380" s="176"/>
      <c r="BL380" s="176"/>
      <c r="BM380" s="177"/>
      <c r="BN380" s="176"/>
      <c r="BO380" s="176"/>
      <c r="BP380" s="91">
        <f t="shared" ref="BP380:BU380" si="238">IFERROR(BP151,"n/a")</f>
        <v>28244</v>
      </c>
      <c r="BQ380" s="373">
        <f t="shared" si="238"/>
        <v>33433.18791999996</v>
      </c>
      <c r="BR380" s="373">
        <f t="shared" si="238"/>
        <v>38045.280125333295</v>
      </c>
      <c r="BS380" s="373">
        <f t="shared" si="238"/>
        <v>42697.844493178622</v>
      </c>
      <c r="BT380" s="373">
        <f t="shared" si="238"/>
        <v>45741.366836184476</v>
      </c>
      <c r="BU380" s="373">
        <f t="shared" si="238"/>
        <v>48638.073397593515</v>
      </c>
      <c r="BV380" s="365"/>
      <c r="BW380" s="305"/>
      <c r="BX380" s="365"/>
      <c r="CE380" s="289"/>
      <c r="CF380" s="289"/>
      <c r="CG380" s="289"/>
    </row>
    <row r="381" spans="2:85" ht="21.95" customHeight="1" thickBot="1" x14ac:dyDescent="0.3">
      <c r="B381" s="143" t="s">
        <v>216</v>
      </c>
      <c r="C381" s="144"/>
      <c r="D381" s="144"/>
      <c r="E381" s="144"/>
      <c r="F381" s="144"/>
      <c r="G381" s="144"/>
      <c r="H381" s="534">
        <f>IFERROR(H379/H380,"n/a")</f>
        <v>-0.08</v>
      </c>
      <c r="I381" s="535"/>
      <c r="J381" s="535"/>
      <c r="K381" s="535"/>
      <c r="L381" s="535"/>
      <c r="M381" s="535"/>
      <c r="N381" s="534">
        <f>IFERROR(N379/N380,"n/a")</f>
        <v>1.9691764705882353</v>
      </c>
      <c r="O381" s="535"/>
      <c r="P381" s="535"/>
      <c r="Q381" s="535"/>
      <c r="R381" s="535"/>
      <c r="S381" s="535"/>
      <c r="T381" s="534">
        <f>IFERROR(T379/T380,"n/a")</f>
        <v>0.99540960451977401</v>
      </c>
      <c r="U381" s="535"/>
      <c r="V381" s="535"/>
      <c r="W381" s="535"/>
      <c r="X381" s="535"/>
      <c r="Y381" s="535"/>
      <c r="Z381" s="534">
        <f>IFERROR(Z379/Z380,"n/a")</f>
        <v>0.93174500965872509</v>
      </c>
      <c r="AA381" s="535"/>
      <c r="AB381" s="535"/>
      <c r="AC381" s="535"/>
      <c r="AD381" s="535"/>
      <c r="AE381" s="535"/>
      <c r="AF381" s="534">
        <f>IFERROR(AF379/AF380,"n/a")</f>
        <v>0.57724446171783905</v>
      </c>
      <c r="AG381" s="535"/>
      <c r="AH381" s="535"/>
      <c r="AI381" s="535"/>
      <c r="AJ381" s="535"/>
      <c r="AK381" s="535"/>
      <c r="AL381" s="534">
        <f>IFERROR(AL379/AL380,"n/a")</f>
        <v>0.35555719448336898</v>
      </c>
      <c r="AM381" s="535"/>
      <c r="AN381" s="535"/>
      <c r="AO381" s="535"/>
      <c r="AP381" s="535"/>
      <c r="AQ381" s="535"/>
      <c r="AR381" s="534">
        <f>IFERROR(AR379/AR380,"n/a")</f>
        <v>0.6448547778811774</v>
      </c>
      <c r="AS381" s="535"/>
      <c r="AT381" s="535"/>
      <c r="AU381" s="535"/>
      <c r="AV381" s="535"/>
      <c r="AW381" s="535"/>
      <c r="AX381" s="534">
        <f>IFERROR(AX379/AX380,"n/a")</f>
        <v>0.39808422791081749</v>
      </c>
      <c r="AY381" s="535"/>
      <c r="AZ381" s="535"/>
      <c r="BA381" s="535"/>
      <c r="BB381" s="535"/>
      <c r="BC381" s="535"/>
      <c r="BD381" s="534">
        <f>IFERROR(BD379/BD380,"n/a")</f>
        <v>0.68230638778971175</v>
      </c>
      <c r="BE381" s="535"/>
      <c r="BF381" s="535"/>
      <c r="BG381" s="535"/>
      <c r="BH381" s="535"/>
      <c r="BI381" s="535"/>
      <c r="BJ381" s="534">
        <f>IFERROR(BJ379/BJ380,"n/a")</f>
        <v>-1.0275296596582841</v>
      </c>
      <c r="BK381" s="535"/>
      <c r="BL381" s="535"/>
      <c r="BM381" s="535"/>
      <c r="BN381" s="535"/>
      <c r="BO381" s="535"/>
      <c r="BP381" s="534">
        <f t="shared" ref="BP381:BU381" si="239">IFERROR(BP379/BP380,"n/a")</f>
        <v>1.9057498937827504</v>
      </c>
      <c r="BQ381" s="536">
        <f t="shared" si="239"/>
        <v>1.2641654052845173</v>
      </c>
      <c r="BR381" s="537">
        <f t="shared" si="239"/>
        <v>0.74715853580692715</v>
      </c>
      <c r="BS381" s="537">
        <f t="shared" si="239"/>
        <v>0.371015141364825</v>
      </c>
      <c r="BT381" s="537">
        <f t="shared" si="239"/>
        <v>0.22564845924705473</v>
      </c>
      <c r="BU381" s="537">
        <f t="shared" si="239"/>
        <v>0.12326467900620222</v>
      </c>
      <c r="BV381" s="365"/>
      <c r="BW381" s="305"/>
      <c r="BX381" s="365"/>
      <c r="BY381" s="331"/>
      <c r="BZ381" s="331"/>
      <c r="CE381" s="289"/>
      <c r="CF381" s="289"/>
      <c r="CG381" s="289"/>
    </row>
    <row r="382" spans="2:85" x14ac:dyDescent="0.25">
      <c r="BW382" s="305"/>
    </row>
    <row r="383" spans="2:85" x14ac:dyDescent="0.25">
      <c r="B383" s="57" t="s">
        <v>398</v>
      </c>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c r="AA383" s="57"/>
      <c r="AB383" s="57"/>
      <c r="AC383" s="57"/>
      <c r="AD383" s="57"/>
      <c r="AE383" s="57"/>
      <c r="AF383" s="57"/>
      <c r="AG383" s="57"/>
      <c r="AH383" s="57"/>
      <c r="AI383" s="57"/>
      <c r="AJ383" s="57"/>
      <c r="AK383" s="57"/>
      <c r="AL383" s="57"/>
      <c r="AM383" s="57"/>
      <c r="AN383" s="57"/>
      <c r="AO383" s="57"/>
      <c r="AP383" s="57"/>
      <c r="AQ383" s="57"/>
      <c r="AR383" s="57"/>
      <c r="AS383" s="57"/>
      <c r="AT383" s="57"/>
      <c r="AU383" s="57"/>
      <c r="AV383" s="57"/>
      <c r="AW383" s="57"/>
      <c r="AX383" s="57"/>
      <c r="AY383" s="57"/>
      <c r="AZ383" s="57"/>
      <c r="BA383" s="57"/>
      <c r="BB383" s="57"/>
      <c r="BC383" s="57"/>
      <c r="BD383" s="57"/>
      <c r="BE383" s="57"/>
      <c r="BF383" s="57"/>
      <c r="BG383" s="57"/>
      <c r="BH383" s="57"/>
      <c r="BI383" s="57"/>
      <c r="BJ383" s="57"/>
      <c r="BK383" s="57"/>
      <c r="BL383" s="57"/>
      <c r="BM383" s="57"/>
      <c r="BN383" s="57"/>
      <c r="BO383" s="57"/>
      <c r="BP383" s="57"/>
      <c r="BQ383" s="57"/>
      <c r="BR383" s="57"/>
      <c r="BS383" s="57"/>
      <c r="BT383" s="57"/>
      <c r="BU383" s="57"/>
      <c r="BW383" s="305"/>
    </row>
    <row r="384" spans="2:85" x14ac:dyDescent="0.25">
      <c r="B384" t="s">
        <v>399</v>
      </c>
      <c r="H384" s="473">
        <v>280</v>
      </c>
      <c r="I384" s="474"/>
      <c r="J384" s="474"/>
      <c r="K384" s="474"/>
      <c r="L384" s="474"/>
      <c r="M384" s="474"/>
      <c r="N384" s="473">
        <v>314</v>
      </c>
      <c r="O384" s="474"/>
      <c r="P384" s="474"/>
      <c r="Q384" s="474"/>
      <c r="R384" s="474"/>
      <c r="S384" s="474"/>
      <c r="T384" s="473">
        <v>488</v>
      </c>
      <c r="U384" s="474"/>
      <c r="V384" s="474"/>
      <c r="W384" s="474"/>
      <c r="X384" s="474"/>
      <c r="Y384" s="474"/>
      <c r="Z384" s="473">
        <v>520</v>
      </c>
      <c r="AA384" s="474"/>
      <c r="AB384" s="474"/>
      <c r="AC384" s="474"/>
      <c r="AD384" s="474"/>
      <c r="AE384" s="474"/>
      <c r="AF384" s="473">
        <v>770</v>
      </c>
      <c r="AG384" s="474"/>
      <c r="AH384" s="474"/>
      <c r="AI384" s="474"/>
      <c r="AJ384" s="474"/>
      <c r="AK384" s="474"/>
      <c r="AL384" s="473">
        <v>1134</v>
      </c>
      <c r="AM384" s="474"/>
      <c r="AN384" s="474"/>
      <c r="AO384" s="474"/>
      <c r="AP384" s="474"/>
      <c r="AQ384" s="474"/>
      <c r="AR384" s="473">
        <v>1528</v>
      </c>
      <c r="AS384" s="474"/>
      <c r="AT384" s="474"/>
      <c r="AU384" s="474"/>
      <c r="AV384" s="474"/>
      <c r="AW384" s="474"/>
      <c r="AX384" s="473">
        <v>1097</v>
      </c>
      <c r="AY384" s="474"/>
      <c r="AZ384" s="474"/>
      <c r="BA384" s="474"/>
      <c r="BB384" s="474"/>
      <c r="BC384" s="474"/>
      <c r="BD384" s="473">
        <v>1186</v>
      </c>
      <c r="BE384" s="474"/>
      <c r="BF384" s="474"/>
      <c r="BG384" s="474"/>
      <c r="BH384" s="474"/>
      <c r="BI384" s="474"/>
      <c r="BJ384" s="473">
        <v>1529</v>
      </c>
      <c r="BK384" s="474"/>
      <c r="BL384" s="474"/>
      <c r="BM384" s="474"/>
      <c r="BN384" s="474"/>
      <c r="BO384" s="474"/>
      <c r="BP384" s="473">
        <v>1615</v>
      </c>
      <c r="BQ384" s="718">
        <v>1525</v>
      </c>
      <c r="BR384" s="506">
        <f>BQ384</f>
        <v>1525</v>
      </c>
      <c r="BS384" s="506">
        <f t="shared" ref="BS384:BU384" si="240">BR384</f>
        <v>1525</v>
      </c>
      <c r="BT384" s="506">
        <f t="shared" si="240"/>
        <v>1525</v>
      </c>
      <c r="BU384" s="506">
        <f t="shared" si="240"/>
        <v>1525</v>
      </c>
      <c r="BW384" s="305"/>
    </row>
    <row r="385" spans="2:75" x14ac:dyDescent="0.25">
      <c r="B385" t="s">
        <v>400</v>
      </c>
      <c r="H385" s="1">
        <f>H169</f>
        <v>172003</v>
      </c>
      <c r="I385" s="1"/>
      <c r="J385" s="1"/>
      <c r="K385" s="1"/>
      <c r="L385" s="1"/>
      <c r="M385" s="1"/>
      <c r="N385" s="1">
        <f>N169</f>
        <v>187097</v>
      </c>
      <c r="O385" s="1"/>
      <c r="P385" s="1"/>
      <c r="Q385" s="1"/>
      <c r="R385" s="1"/>
      <c r="S385" s="1"/>
      <c r="T385" s="1">
        <f>T169</f>
        <v>189112</v>
      </c>
      <c r="U385" s="1"/>
      <c r="V385" s="1"/>
      <c r="W385" s="1"/>
      <c r="X385" s="1"/>
      <c r="Y385" s="1"/>
      <c r="Z385" s="1">
        <f>Z169</f>
        <v>185287</v>
      </c>
      <c r="AA385" s="1"/>
      <c r="AB385" s="1"/>
      <c r="AC385" s="1"/>
      <c r="AD385" s="1"/>
      <c r="AE385" s="1"/>
      <c r="AF385" s="1">
        <f>AF169</f>
        <v>201405</v>
      </c>
      <c r="AG385" s="1"/>
      <c r="AH385" s="1"/>
      <c r="AI385" s="1"/>
      <c r="AJ385" s="1"/>
      <c r="AK385" s="1"/>
      <c r="AL385" s="1">
        <f>AL169</f>
        <v>231576</v>
      </c>
      <c r="AM385" s="1"/>
      <c r="AN385" s="1"/>
      <c r="AO385" s="1"/>
      <c r="AP385" s="1"/>
      <c r="AQ385" s="1"/>
      <c r="AR385" s="1">
        <f>AR169</f>
        <v>232639</v>
      </c>
      <c r="AS385" s="1"/>
      <c r="AT385" s="1"/>
      <c r="AU385" s="1"/>
      <c r="AV385" s="1"/>
      <c r="AW385" s="1"/>
      <c r="AX385" s="1">
        <f>AX169</f>
        <v>230467</v>
      </c>
      <c r="AY385" s="1"/>
      <c r="AZ385" s="1"/>
      <c r="BA385" s="1"/>
      <c r="BB385" s="1"/>
      <c r="BC385" s="1"/>
      <c r="BD385" s="1">
        <f>BD169</f>
        <v>215518</v>
      </c>
      <c r="BE385" s="1"/>
      <c r="BF385" s="1"/>
      <c r="BG385" s="1"/>
      <c r="BH385" s="1"/>
      <c r="BI385" s="1"/>
      <c r="BJ385" s="1">
        <f>BJ169</f>
        <v>215177</v>
      </c>
      <c r="BK385" s="1"/>
      <c r="BL385" s="1"/>
      <c r="BM385" s="1"/>
      <c r="BN385" s="1"/>
      <c r="BO385" s="1"/>
      <c r="BP385" s="1">
        <f t="shared" ref="BP385:BU385" si="241">BP169</f>
        <v>236159</v>
      </c>
      <c r="BQ385" s="373">
        <f t="shared" si="241"/>
        <v>235097.21077116189</v>
      </c>
      <c r="BR385" s="373">
        <f t="shared" si="241"/>
        <v>232317.3293953719</v>
      </c>
      <c r="BS385" s="373">
        <f t="shared" si="241"/>
        <v>227121.28944062427</v>
      </c>
      <c r="BT385" s="373">
        <f t="shared" si="241"/>
        <v>219837.12127976312</v>
      </c>
      <c r="BU385" s="373">
        <f t="shared" si="241"/>
        <v>211667.9607255263</v>
      </c>
      <c r="BW385" s="305"/>
    </row>
    <row r="386" spans="2:75" x14ac:dyDescent="0.25">
      <c r="B386" s="262" t="s">
        <v>401</v>
      </c>
      <c r="H386" s="287">
        <f>H384*H385/1000</f>
        <v>48160.84</v>
      </c>
      <c r="I386" s="287"/>
      <c r="J386" s="287"/>
      <c r="K386" s="287"/>
      <c r="L386" s="287"/>
      <c r="M386" s="287"/>
      <c r="N386" s="287">
        <f>N384*N385/1000</f>
        <v>58748.457999999999</v>
      </c>
      <c r="O386" s="287"/>
      <c r="P386" s="287"/>
      <c r="Q386" s="287"/>
      <c r="R386" s="287"/>
      <c r="S386" s="287"/>
      <c r="T386" s="287">
        <f>T384*T385/1000</f>
        <v>92286.656000000003</v>
      </c>
      <c r="U386" s="287"/>
      <c r="V386" s="287"/>
      <c r="W386" s="287"/>
      <c r="X386" s="287"/>
      <c r="Y386" s="287"/>
      <c r="Z386" s="287">
        <f>Z384*Z385/1000</f>
        <v>96349.24</v>
      </c>
      <c r="AA386" s="287"/>
      <c r="AB386" s="287"/>
      <c r="AC386" s="287"/>
      <c r="AD386" s="287"/>
      <c r="AE386" s="287"/>
      <c r="AF386" s="287">
        <f>AF384*AF385/1000</f>
        <v>155081.85</v>
      </c>
      <c r="AG386" s="287"/>
      <c r="AH386" s="287"/>
      <c r="AI386" s="287"/>
      <c r="AJ386" s="287"/>
      <c r="AK386" s="287"/>
      <c r="AL386" s="287">
        <f>AL384*AL385/1000</f>
        <v>262607.18400000001</v>
      </c>
      <c r="AM386" s="287"/>
      <c r="AN386" s="287"/>
      <c r="AO386" s="287"/>
      <c r="AP386" s="287"/>
      <c r="AQ386" s="287"/>
      <c r="AR386" s="287">
        <f>AR384*AR385/1000</f>
        <v>355472.39199999999</v>
      </c>
      <c r="AS386" s="287"/>
      <c r="AT386" s="287"/>
      <c r="AU386" s="287"/>
      <c r="AV386" s="287"/>
      <c r="AW386" s="287"/>
      <c r="AX386" s="287">
        <f>AX384*AX385/1000</f>
        <v>252822.299</v>
      </c>
      <c r="AY386" s="287"/>
      <c r="AZ386" s="287"/>
      <c r="BA386" s="287"/>
      <c r="BB386" s="287"/>
      <c r="BC386" s="287"/>
      <c r="BD386" s="287">
        <f>BD384*BD385/1000</f>
        <v>255604.348</v>
      </c>
      <c r="BE386" s="287"/>
      <c r="BF386" s="287"/>
      <c r="BG386" s="287"/>
      <c r="BH386" s="287"/>
      <c r="BI386" s="287"/>
      <c r="BJ386" s="287">
        <f>BJ384*BJ385/1000</f>
        <v>329005.63299999997</v>
      </c>
      <c r="BK386" s="287"/>
      <c r="BL386" s="287"/>
      <c r="BM386" s="287"/>
      <c r="BN386" s="287"/>
      <c r="BO386" s="287"/>
      <c r="BP386" s="287">
        <f t="shared" ref="BP386:BU386" si="242">BP384*BP385/1000</f>
        <v>381396.78499999997</v>
      </c>
      <c r="BQ386" s="276">
        <f t="shared" si="242"/>
        <v>358523.24642602185</v>
      </c>
      <c r="BR386" s="276">
        <f t="shared" si="242"/>
        <v>354283.92732794216</v>
      </c>
      <c r="BS386" s="276">
        <f t="shared" si="242"/>
        <v>346359.96639695205</v>
      </c>
      <c r="BT386" s="276">
        <f t="shared" si="242"/>
        <v>335251.60995163873</v>
      </c>
      <c r="BU386" s="276">
        <f t="shared" si="242"/>
        <v>322793.6401064276</v>
      </c>
      <c r="BW386" s="305"/>
    </row>
    <row r="387" spans="2:75" x14ac:dyDescent="0.25">
      <c r="B387" t="s">
        <v>402</v>
      </c>
      <c r="H387" s="1">
        <f>H356</f>
        <v>-286</v>
      </c>
      <c r="I387" s="1"/>
      <c r="J387" s="1"/>
      <c r="K387" s="1"/>
      <c r="L387" s="1"/>
      <c r="M387" s="1"/>
      <c r="N387" s="1">
        <f>N356</f>
        <v>8369</v>
      </c>
      <c r="O387" s="1"/>
      <c r="P387" s="1"/>
      <c r="Q387" s="1"/>
      <c r="R387" s="1"/>
      <c r="S387" s="1"/>
      <c r="T387" s="1">
        <f>T356</f>
        <v>5638</v>
      </c>
      <c r="U387" s="1"/>
      <c r="V387" s="1"/>
      <c r="W387" s="1"/>
      <c r="X387" s="1"/>
      <c r="Y387" s="1"/>
      <c r="Z387" s="1">
        <f>Z356</f>
        <v>5788</v>
      </c>
      <c r="AA387" s="1"/>
      <c r="AB387" s="1"/>
      <c r="AC387" s="1"/>
      <c r="AD387" s="1"/>
      <c r="AE387" s="1"/>
      <c r="AF387" s="1">
        <f>AF356</f>
        <v>5941</v>
      </c>
      <c r="AG387" s="1"/>
      <c r="AH387" s="1"/>
      <c r="AI387" s="1"/>
      <c r="AJ387" s="1"/>
      <c r="AK387" s="1"/>
      <c r="AL387" s="1">
        <f>AL356</f>
        <v>4821</v>
      </c>
      <c r="AM387" s="1"/>
      <c r="AN387" s="1"/>
      <c r="AO387" s="1"/>
      <c r="AP387" s="1"/>
      <c r="AQ387" s="1"/>
      <c r="AR387" s="1">
        <f>AR356</f>
        <v>13166</v>
      </c>
      <c r="AS387" s="1"/>
      <c r="AT387" s="1"/>
      <c r="AU387" s="1"/>
      <c r="AV387" s="1"/>
      <c r="AW387" s="1"/>
      <c r="AX387" s="1">
        <f>AX356</f>
        <v>12052</v>
      </c>
      <c r="AY387" s="1"/>
      <c r="AZ387" s="1"/>
      <c r="BA387" s="1"/>
      <c r="BB387" s="1"/>
      <c r="BC387" s="1"/>
      <c r="BD387" s="1">
        <f>BD356</f>
        <v>15691</v>
      </c>
      <c r="BE387" s="1"/>
      <c r="BF387" s="1"/>
      <c r="BG387" s="1"/>
      <c r="BH387" s="1"/>
      <c r="BI387" s="1"/>
      <c r="BJ387" s="1">
        <f>BJ356</f>
        <v>-22432</v>
      </c>
      <c r="BK387" s="1"/>
      <c r="BL387" s="1"/>
      <c r="BM387" s="1"/>
      <c r="BN387" s="1"/>
      <c r="BO387" s="1"/>
      <c r="BP387" s="1">
        <f t="shared" ref="BP387:BU387" si="243">BP356</f>
        <v>53826</v>
      </c>
      <c r="BQ387" s="373">
        <f t="shared" si="243"/>
        <v>42265.079556840174</v>
      </c>
      <c r="BR387" s="373">
        <f t="shared" si="243"/>
        <v>28425.855792808408</v>
      </c>
      <c r="BS387" s="373">
        <f t="shared" si="243"/>
        <v>15841.54681060998</v>
      </c>
      <c r="BT387" s="373">
        <f t="shared" si="243"/>
        <v>10321.468950439354</v>
      </c>
      <c r="BU387" s="373">
        <f t="shared" si="243"/>
        <v>5995.3565048344681</v>
      </c>
      <c r="BW387" s="305"/>
    </row>
    <row r="388" spans="2:75" x14ac:dyDescent="0.25">
      <c r="B388" s="262" t="s">
        <v>403</v>
      </c>
      <c r="H388" s="287">
        <f>H386+H387</f>
        <v>47874.84</v>
      </c>
      <c r="I388" s="287"/>
      <c r="J388" s="287"/>
      <c r="K388" s="287"/>
      <c r="L388" s="287"/>
      <c r="M388" s="287"/>
      <c r="N388" s="287">
        <f>N386+N387</f>
        <v>67117.457999999999</v>
      </c>
      <c r="O388" s="287"/>
      <c r="P388" s="287"/>
      <c r="Q388" s="287"/>
      <c r="R388" s="287"/>
      <c r="S388" s="287"/>
      <c r="T388" s="287">
        <f>T386+T387</f>
        <v>97924.656000000003</v>
      </c>
      <c r="U388" s="287"/>
      <c r="V388" s="287"/>
      <c r="W388" s="287"/>
      <c r="X388" s="287"/>
      <c r="Y388" s="287"/>
      <c r="Z388" s="287">
        <f>Z386+Z387</f>
        <v>102137.24</v>
      </c>
      <c r="AA388" s="287"/>
      <c r="AB388" s="287"/>
      <c r="AC388" s="287"/>
      <c r="AD388" s="287"/>
      <c r="AE388" s="287"/>
      <c r="AF388" s="287">
        <f>AF386+AF387</f>
        <v>161022.85</v>
      </c>
      <c r="AG388" s="287"/>
      <c r="AH388" s="287"/>
      <c r="AI388" s="287"/>
      <c r="AJ388" s="287"/>
      <c r="AK388" s="287"/>
      <c r="AL388" s="287">
        <f>AL386+AL387</f>
        <v>267428.18400000001</v>
      </c>
      <c r="AM388" s="287"/>
      <c r="AN388" s="287"/>
      <c r="AO388" s="287"/>
      <c r="AP388" s="287"/>
      <c r="AQ388" s="287"/>
      <c r="AR388" s="287">
        <f>AR386+AR387</f>
        <v>368638.39199999999</v>
      </c>
      <c r="AS388" s="287"/>
      <c r="AT388" s="287"/>
      <c r="AU388" s="287"/>
      <c r="AV388" s="287"/>
      <c r="AW388" s="287"/>
      <c r="AX388" s="287">
        <f>AX386+AX387</f>
        <v>264874.299</v>
      </c>
      <c r="AY388" s="287"/>
      <c r="AZ388" s="287"/>
      <c r="BA388" s="287"/>
      <c r="BB388" s="287"/>
      <c r="BC388" s="287"/>
      <c r="BD388" s="287">
        <f>BD386+BD387</f>
        <v>271295.348</v>
      </c>
      <c r="BE388" s="287"/>
      <c r="BF388" s="287"/>
      <c r="BG388" s="287"/>
      <c r="BH388" s="287"/>
      <c r="BI388" s="287"/>
      <c r="BJ388" s="287">
        <f>BJ386+BJ387</f>
        <v>306573.63299999997</v>
      </c>
      <c r="BK388" s="287"/>
      <c r="BL388" s="287"/>
      <c r="BM388" s="287"/>
      <c r="BN388" s="287"/>
      <c r="BO388" s="287"/>
      <c r="BP388" s="287">
        <f t="shared" ref="BP388:BU388" si="244">BP386+BP387</f>
        <v>435222.78499999997</v>
      </c>
      <c r="BQ388" s="276">
        <f t="shared" si="244"/>
        <v>400788.32598286204</v>
      </c>
      <c r="BR388" s="276">
        <f t="shared" si="244"/>
        <v>382709.78312075057</v>
      </c>
      <c r="BS388" s="276">
        <f t="shared" si="244"/>
        <v>362201.51320756203</v>
      </c>
      <c r="BT388" s="276">
        <f t="shared" si="244"/>
        <v>345573.07890207809</v>
      </c>
      <c r="BU388" s="276">
        <f t="shared" si="244"/>
        <v>328788.99661126209</v>
      </c>
      <c r="BW388" s="305"/>
    </row>
    <row r="389" spans="2:75" x14ac:dyDescent="0.25">
      <c r="BQ389" s="365"/>
      <c r="BR389" s="365"/>
      <c r="BS389" s="365"/>
      <c r="BT389" s="365"/>
      <c r="BU389" s="365"/>
      <c r="BW389" s="305"/>
    </row>
    <row r="390" spans="2:75" x14ac:dyDescent="0.25">
      <c r="B390" s="149" t="s">
        <v>404</v>
      </c>
      <c r="C390" s="149"/>
      <c r="D390" s="149"/>
      <c r="E390" s="149"/>
      <c r="F390" s="149"/>
      <c r="G390" s="149"/>
      <c r="H390" s="149"/>
      <c r="I390" s="149"/>
      <c r="J390" s="149"/>
      <c r="K390" s="149"/>
      <c r="L390" s="149"/>
      <c r="M390" s="149"/>
      <c r="N390" s="149"/>
      <c r="O390" s="149"/>
      <c r="P390" s="149"/>
      <c r="Q390" s="149"/>
      <c r="R390" s="149"/>
      <c r="S390" s="149"/>
      <c r="T390" s="149"/>
      <c r="U390" s="149"/>
      <c r="V390" s="149"/>
      <c r="W390" s="149"/>
      <c r="X390" s="149"/>
      <c r="Y390" s="149"/>
      <c r="Z390" s="149"/>
      <c r="AA390" s="149"/>
      <c r="AB390" s="149"/>
      <c r="AC390" s="149"/>
      <c r="AD390" s="149"/>
      <c r="AE390" s="149"/>
      <c r="AF390" s="149"/>
      <c r="AG390" s="149"/>
      <c r="AH390" s="149"/>
      <c r="AI390" s="149"/>
      <c r="AJ390" s="149"/>
      <c r="AK390" s="149"/>
      <c r="AL390" s="149"/>
      <c r="AM390" s="149"/>
      <c r="AN390" s="149"/>
      <c r="AO390" s="149"/>
      <c r="AP390" s="149"/>
      <c r="AQ390" s="149"/>
      <c r="AR390" s="149"/>
      <c r="AS390" s="149"/>
      <c r="AT390" s="149"/>
      <c r="AU390" s="149"/>
      <c r="AV390" s="149"/>
      <c r="AW390" s="149"/>
      <c r="AX390" s="149"/>
      <c r="AY390" s="149"/>
      <c r="AZ390" s="149"/>
      <c r="BA390" s="149"/>
      <c r="BB390" s="149"/>
      <c r="BC390" s="149"/>
      <c r="BD390" s="149"/>
      <c r="BE390" s="149"/>
      <c r="BF390" s="149"/>
      <c r="BG390" s="149"/>
      <c r="BH390" s="149"/>
      <c r="BI390" s="149"/>
      <c r="BJ390" s="149"/>
      <c r="BK390" s="149"/>
      <c r="BL390" s="149"/>
      <c r="BM390" s="149"/>
      <c r="BN390" s="149"/>
      <c r="BO390" s="149"/>
      <c r="BP390" s="149"/>
      <c r="BQ390" s="149"/>
      <c r="BR390" s="149"/>
      <c r="BS390" s="149"/>
      <c r="BT390" s="149"/>
      <c r="BU390" s="149"/>
      <c r="BW390" s="305"/>
    </row>
    <row r="391" spans="2:75" x14ac:dyDescent="0.25">
      <c r="B391" t="s">
        <v>405</v>
      </c>
      <c r="H391" s="475">
        <f>IFERROR(H388/H146,"n/a")</f>
        <v>0.94113979044211593</v>
      </c>
      <c r="I391" s="475"/>
      <c r="J391" s="475"/>
      <c r="K391" s="475"/>
      <c r="L391" s="475"/>
      <c r="M391" s="475"/>
      <c r="N391" s="475">
        <f>IFERROR(N388/N146,"n/a")</f>
        <v>0.99070745568069429</v>
      </c>
      <c r="O391" s="475"/>
      <c r="P391" s="475"/>
      <c r="Q391" s="475"/>
      <c r="R391" s="475"/>
      <c r="S391" s="475"/>
      <c r="T391" s="475">
        <f>IFERROR(T388/T146,"n/a")</f>
        <v>1.3073878319381584</v>
      </c>
      <c r="U391" s="475"/>
      <c r="V391" s="475"/>
      <c r="W391" s="475"/>
      <c r="X391" s="475"/>
      <c r="Y391" s="475"/>
      <c r="Z391" s="475">
        <f>IFERROR(Z388/Z146,"n/a")</f>
        <v>1.2920096644023631</v>
      </c>
      <c r="AA391" s="475"/>
      <c r="AB391" s="475"/>
      <c r="AC391" s="475"/>
      <c r="AD391" s="475"/>
      <c r="AE391" s="475"/>
      <c r="AF391" s="475">
        <f>IFERROR(AF388/AF146,"n/a")</f>
        <v>1.7003289300007391</v>
      </c>
      <c r="AG391" s="475"/>
      <c r="AH391" s="475"/>
      <c r="AI391" s="475"/>
      <c r="AJ391" s="475"/>
      <c r="AK391" s="475"/>
      <c r="AL391" s="475">
        <f>IFERROR(AL388/AL146,"n/a")</f>
        <v>2.3067676223993376</v>
      </c>
      <c r="AM391" s="475"/>
      <c r="AN391" s="475"/>
      <c r="AO391" s="475"/>
      <c r="AP391" s="475"/>
      <c r="AQ391" s="475"/>
      <c r="AR391" s="475">
        <f>IFERROR(AR388/AR146,"n/a")</f>
        <v>2.0220858995315569</v>
      </c>
      <c r="AS391" s="475"/>
      <c r="AT391" s="475"/>
      <c r="AU391" s="475"/>
      <c r="AV391" s="475"/>
      <c r="AW391" s="475"/>
      <c r="AX391" s="475">
        <f>IFERROR(AX388/AX146,"n/a")</f>
        <v>1.123944153777608</v>
      </c>
      <c r="AY391" s="475"/>
      <c r="AZ391" s="475"/>
      <c r="BA391" s="475"/>
      <c r="BB391" s="475"/>
      <c r="BC391" s="475"/>
      <c r="BD391" s="475">
        <f>IFERROR(BD388/BD146,"n/a")</f>
        <v>1.7992197367112113</v>
      </c>
      <c r="BE391" s="475"/>
      <c r="BF391" s="475"/>
      <c r="BG391" s="475"/>
      <c r="BH391" s="475"/>
      <c r="BI391" s="475"/>
      <c r="BJ391" s="475">
        <f>IFERROR(BJ388/BJ146,"n/a")</f>
        <v>1.8346057771713762</v>
      </c>
      <c r="BK391" s="475"/>
      <c r="BL391" s="475"/>
      <c r="BM391" s="475"/>
      <c r="BN391" s="475"/>
      <c r="BO391" s="475"/>
      <c r="BP391" s="475">
        <f t="shared" ref="BP391:BU391" si="245">IFERROR(BP388/BP146,"n/a")</f>
        <v>1.7596774565258702</v>
      </c>
      <c r="BQ391" s="549">
        <f t="shared" si="245"/>
        <v>1.4716905972052878</v>
      </c>
      <c r="BR391" s="549">
        <f t="shared" si="245"/>
        <v>1.3282346161626803</v>
      </c>
      <c r="BS391" s="549">
        <f t="shared" si="245"/>
        <v>1.1965640422020731</v>
      </c>
      <c r="BT391" s="549">
        <f t="shared" si="245"/>
        <v>1.0975166539013363</v>
      </c>
      <c r="BU391" s="549">
        <f t="shared" si="245"/>
        <v>1.0038677477297533</v>
      </c>
      <c r="BW391" s="305"/>
    </row>
    <row r="392" spans="2:75" x14ac:dyDescent="0.25">
      <c r="B392" t="s">
        <v>406</v>
      </c>
      <c r="H392" s="475">
        <f>IFERROR(H388/H151,"n/a")</f>
        <v>13.391563636363635</v>
      </c>
      <c r="I392" s="475"/>
      <c r="J392" s="475"/>
      <c r="K392" s="475"/>
      <c r="L392" s="475"/>
      <c r="M392" s="475"/>
      <c r="N392" s="475">
        <f>IFERROR(N388/N151,"n/a")</f>
        <v>15.79234305882353</v>
      </c>
      <c r="O392" s="475"/>
      <c r="P392" s="475"/>
      <c r="Q392" s="475"/>
      <c r="R392" s="475"/>
      <c r="S392" s="475"/>
      <c r="T392" s="475">
        <f>IFERROR(T388/T151,"n/a")</f>
        <v>17.288957627118645</v>
      </c>
      <c r="U392" s="475"/>
      <c r="V392" s="475"/>
      <c r="W392" s="475"/>
      <c r="X392" s="475"/>
      <c r="Y392" s="475"/>
      <c r="Z392" s="475">
        <f>IFERROR(Z388/Z151,"n/a")</f>
        <v>16.441925305859627</v>
      </c>
      <c r="AA392" s="475"/>
      <c r="AB392" s="475"/>
      <c r="AC392" s="475"/>
      <c r="AD392" s="475"/>
      <c r="AE392" s="475"/>
      <c r="AF392" s="475">
        <f>IFERROR(AF388/AF151,"n/a")</f>
        <v>15.645438204430626</v>
      </c>
      <c r="AG392" s="475"/>
      <c r="AH392" s="475"/>
      <c r="AI392" s="475"/>
      <c r="AJ392" s="475"/>
      <c r="AK392" s="475"/>
      <c r="AL392" s="475">
        <f>IFERROR(AL388/AL151,"n/a")</f>
        <v>19.723296998303709</v>
      </c>
      <c r="AM392" s="475"/>
      <c r="AN392" s="475"/>
      <c r="AO392" s="475"/>
      <c r="AP392" s="475"/>
      <c r="AQ392" s="475"/>
      <c r="AR392" s="475">
        <f>IFERROR(AR388/AR151,"n/a")</f>
        <v>18.055463192437674</v>
      </c>
      <c r="AS392" s="475"/>
      <c r="AT392" s="475"/>
      <c r="AU392" s="475"/>
      <c r="AV392" s="475"/>
      <c r="AW392" s="475"/>
      <c r="AX392" s="475">
        <f>IFERROR(AX388/AX151,"n/a")</f>
        <v>8.7489446407927325</v>
      </c>
      <c r="AY392" s="475"/>
      <c r="AZ392" s="475"/>
      <c r="BA392" s="475"/>
      <c r="BB392" s="475"/>
      <c r="BC392" s="475"/>
      <c r="BD392" s="475">
        <f>IFERROR(BD388/BD151,"n/a")</f>
        <v>11.796988650693569</v>
      </c>
      <c r="BE392" s="475"/>
      <c r="BF392" s="475"/>
      <c r="BG392" s="475"/>
      <c r="BH392" s="475"/>
      <c r="BI392" s="475"/>
      <c r="BJ392" s="475">
        <f>IFERROR(BJ388/BJ151,"n/a")</f>
        <v>14.043041225779852</v>
      </c>
      <c r="BK392" s="475"/>
      <c r="BL392" s="475"/>
      <c r="BM392" s="475"/>
      <c r="BN392" s="475"/>
      <c r="BO392" s="475"/>
      <c r="BP392" s="475">
        <f t="shared" ref="BP392:BU392" si="246">IFERROR(BP388/BP151,"n/a")</f>
        <v>15.409389073785581</v>
      </c>
      <c r="BQ392" s="549">
        <f t="shared" si="246"/>
        <v>11.987738858223201</v>
      </c>
      <c r="BR392" s="549">
        <f t="shared" si="246"/>
        <v>10.059323570755227</v>
      </c>
      <c r="BS392" s="549">
        <f t="shared" si="246"/>
        <v>8.482899254210059</v>
      </c>
      <c r="BT392" s="549">
        <f t="shared" si="246"/>
        <v>7.5549355606205175</v>
      </c>
      <c r="BU392" s="549">
        <f t="shared" si="246"/>
        <v>6.7599099562099374</v>
      </c>
      <c r="BW392" s="305"/>
    </row>
    <row r="393" spans="2:75" x14ac:dyDescent="0.25">
      <c r="B393" t="s">
        <v>407</v>
      </c>
      <c r="H393" s="475">
        <f>IFERROR(H388/H153,"n/a")</f>
        <v>15.696668852459016</v>
      </c>
      <c r="I393" s="475"/>
      <c r="J393" s="475"/>
      <c r="K393" s="475"/>
      <c r="L393" s="475"/>
      <c r="M393" s="475"/>
      <c r="N393" s="475">
        <f>IFERROR(N388/N153,"n/a")</f>
        <v>19.314376402877699</v>
      </c>
      <c r="O393" s="475"/>
      <c r="P393" s="475"/>
      <c r="Q393" s="475"/>
      <c r="R393" s="475"/>
      <c r="S393" s="475"/>
      <c r="T393" s="475">
        <f>IFERROR(T388/T153,"n/a")</f>
        <v>20.074755227552277</v>
      </c>
      <c r="U393" s="475"/>
      <c r="V393" s="475"/>
      <c r="W393" s="475"/>
      <c r="X393" s="475"/>
      <c r="Y393" s="475"/>
      <c r="Z393" s="475">
        <f>IFERROR(Z388/Z153,"n/a")</f>
        <v>18.740777981651377</v>
      </c>
      <c r="AA393" s="475"/>
      <c r="AB393" s="475"/>
      <c r="AC393" s="475"/>
      <c r="AD393" s="475"/>
      <c r="AE393" s="475"/>
      <c r="AF393" s="475">
        <f>IFERROR(AF388/AF153,"n/a")</f>
        <v>24.199406372107003</v>
      </c>
      <c r="AG393" s="475"/>
      <c r="AH393" s="475"/>
      <c r="AI393" s="475"/>
      <c r="AJ393" s="475"/>
      <c r="AK393" s="475"/>
      <c r="AL393" s="475">
        <f>IFERROR(AL388/AL153,"n/a")</f>
        <v>28.09119579831933</v>
      </c>
      <c r="AM393" s="475"/>
      <c r="AN393" s="475"/>
      <c r="AO393" s="475"/>
      <c r="AP393" s="475"/>
      <c r="AQ393" s="475"/>
      <c r="AR393" s="475">
        <f>IFERROR(AR388/AR153,"n/a")</f>
        <v>22.723194970104174</v>
      </c>
      <c r="AS393" s="475"/>
      <c r="AT393" s="475"/>
      <c r="AU393" s="475"/>
      <c r="AV393" s="475"/>
      <c r="AW393" s="475"/>
      <c r="AX393" s="475">
        <f>IFERROR(AX388/AX153,"n/a")</f>
        <v>10.509216751309316</v>
      </c>
      <c r="AY393" s="475"/>
      <c r="AZ393" s="475"/>
      <c r="BA393" s="475"/>
      <c r="BB393" s="475"/>
      <c r="BC393" s="475"/>
      <c r="BD393" s="475">
        <f>IFERROR(BD388/BD153,"n/a")</f>
        <v>15.307529650736331</v>
      </c>
      <c r="BE393" s="475"/>
      <c r="BF393" s="475"/>
      <c r="BG393" s="475"/>
      <c r="BH393" s="475"/>
      <c r="BI393" s="475"/>
      <c r="BJ393" s="475">
        <f>IFERROR(BJ388/BJ153,"n/a")</f>
        <v>19.046572626739561</v>
      </c>
      <c r="BK393" s="475"/>
      <c r="BL393" s="475"/>
      <c r="BM393" s="475"/>
      <c r="BN393" s="475"/>
      <c r="BO393" s="475"/>
      <c r="BP393" s="475">
        <f t="shared" ref="BP393:BU393" si="247">IFERROR(BP388/BP153,"n/a")</f>
        <v>22.192788995971647</v>
      </c>
      <c r="BQ393" s="549">
        <f t="shared" si="247"/>
        <v>16.59535468288048</v>
      </c>
      <c r="BR393" s="549">
        <f t="shared" si="247"/>
        <v>13.443260836950433</v>
      </c>
      <c r="BS393" s="549">
        <f t="shared" si="247"/>
        <v>11.016656939285156</v>
      </c>
      <c r="BT393" s="549">
        <f t="shared" si="247"/>
        <v>9.7153800134929806</v>
      </c>
      <c r="BU393" s="549">
        <f t="shared" si="247"/>
        <v>8.6078744333522614</v>
      </c>
      <c r="BW393" s="305"/>
    </row>
    <row r="394" spans="2:75" x14ac:dyDescent="0.25">
      <c r="B394" t="s">
        <v>408</v>
      </c>
      <c r="H394" s="475">
        <f>IFERROR(H388/H354,"n/a")</f>
        <v>4.1432141929900475</v>
      </c>
      <c r="I394" s="475"/>
      <c r="J394" s="475"/>
      <c r="K394" s="475"/>
      <c r="L394" s="475"/>
      <c r="M394" s="475"/>
      <c r="N394" s="475">
        <f>IFERROR(N388/N354,"n/a")</f>
        <v>3.0862858325286244</v>
      </c>
      <c r="O394" s="475"/>
      <c r="P394" s="475"/>
      <c r="Q394" s="475"/>
      <c r="R394" s="475"/>
      <c r="S394" s="475"/>
      <c r="T394" s="475">
        <f>IFERROR(T388/T354,"n/a")</f>
        <v>4.7891943072333349</v>
      </c>
      <c r="U394" s="475"/>
      <c r="V394" s="475"/>
      <c r="W394" s="475"/>
      <c r="X394" s="475"/>
      <c r="Y394" s="475"/>
      <c r="Z394" s="475">
        <f>IFERROR(Z388/Z354,"n/a")</f>
        <v>5.0264389763779533</v>
      </c>
      <c r="AA394" s="475"/>
      <c r="AB394" s="475"/>
      <c r="AC394" s="475"/>
      <c r="AD394" s="475"/>
      <c r="AE394" s="475"/>
      <c r="AF394" s="475">
        <f>IFERROR(AF388/AF354,"n/a")</f>
        <v>2.9139133188563155</v>
      </c>
      <c r="AG394" s="475"/>
      <c r="AH394" s="475"/>
      <c r="AI394" s="475"/>
      <c r="AJ394" s="475"/>
      <c r="AK394" s="475"/>
      <c r="AL394" s="475">
        <f>IFERROR(AL388/AL354,"n/a")</f>
        <v>5.1312058022180436</v>
      </c>
      <c r="AM394" s="475"/>
      <c r="AN394" s="475"/>
      <c r="AO394" s="475"/>
      <c r="AP394" s="475"/>
      <c r="AQ394" s="475"/>
      <c r="AR394" s="475">
        <f>IFERROR(AR388/AR354,"n/a")</f>
        <v>4.2157082475641552</v>
      </c>
      <c r="AS394" s="475"/>
      <c r="AT394" s="475"/>
      <c r="AU394" s="475"/>
      <c r="AV394" s="475"/>
      <c r="AW394" s="475"/>
      <c r="AX394" s="475">
        <f>IFERROR(AX388/AX354,"n/a")</f>
        <v>3.1610552074755649</v>
      </c>
      <c r="AY394" s="475"/>
      <c r="AZ394" s="475"/>
      <c r="BA394" s="475"/>
      <c r="BB394" s="475"/>
      <c r="BC394" s="475"/>
      <c r="BD394" s="475">
        <f>IFERROR(BD388/BD354,"n/a")</f>
        <v>3.2046416480621804</v>
      </c>
      <c r="BE394" s="475"/>
      <c r="BF394" s="475"/>
      <c r="BG394" s="475"/>
      <c r="BH394" s="475"/>
      <c r="BI394" s="475"/>
      <c r="BJ394" s="475">
        <f>IFERROR(BJ388/BJ354,"n/a")</f>
        <v>3.3297523976061951</v>
      </c>
      <c r="BK394" s="475"/>
      <c r="BL394" s="475"/>
      <c r="BM394" s="475"/>
      <c r="BN394" s="475"/>
      <c r="BO394" s="475"/>
      <c r="BP394" s="475">
        <f t="shared" ref="BP394:BU394" si="248">IFERROR(BP388/BP354,"n/a")</f>
        <v>2.5375054513864592</v>
      </c>
      <c r="BQ394" s="549">
        <f t="shared" si="248"/>
        <v>2.3203881332439713</v>
      </c>
      <c r="BR394" s="549">
        <f t="shared" si="248"/>
        <v>2.194024582172768</v>
      </c>
      <c r="BS394" s="549">
        <f t="shared" si="248"/>
        <v>2.046874318415917</v>
      </c>
      <c r="BT394" s="549">
        <f t="shared" si="248"/>
        <v>1.9143023109865431</v>
      </c>
      <c r="BU394" s="549">
        <f t="shared" si="248"/>
        <v>1.7852964408969045</v>
      </c>
      <c r="BW394" s="305"/>
    </row>
    <row r="395" spans="2:75" x14ac:dyDescent="0.25">
      <c r="B395" s="262" t="s">
        <v>410</v>
      </c>
      <c r="H395" s="145">
        <f>IFERROR(H386/H179,"n/a")</f>
        <v>21.782379014020805</v>
      </c>
      <c r="I395" s="145"/>
      <c r="J395" s="145"/>
      <c r="K395" s="145"/>
      <c r="L395" s="145"/>
      <c r="M395" s="145"/>
      <c r="N395" s="145">
        <f>IFERROR(N386/N179,"n/a")</f>
        <v>23.443119712689544</v>
      </c>
      <c r="O395" s="145"/>
      <c r="P395" s="145"/>
      <c r="Q395" s="145"/>
      <c r="R395" s="145"/>
      <c r="S395" s="145"/>
      <c r="T395" s="145">
        <f>IFERROR(T386/T179,"n/a")</f>
        <v>26.488707233065444</v>
      </c>
      <c r="U395" s="145"/>
      <c r="V395" s="145"/>
      <c r="W395" s="145"/>
      <c r="X395" s="145"/>
      <c r="Y395" s="145"/>
      <c r="Z395" s="145">
        <f>IFERROR(Z386/Z179,"n/a")</f>
        <v>23.540004886391401</v>
      </c>
      <c r="AA395" s="145"/>
      <c r="AB395" s="145"/>
      <c r="AC395" s="145"/>
      <c r="AD395" s="145"/>
      <c r="AE395" s="145"/>
      <c r="AF395" s="145">
        <f>IFERROR(AF386/AF179,"n/a")</f>
        <v>34.80292863554758</v>
      </c>
      <c r="AG395" s="145"/>
      <c r="AH395" s="145"/>
      <c r="AI395" s="145"/>
      <c r="AJ395" s="145"/>
      <c r="AK395" s="145"/>
      <c r="AL395" s="145">
        <f>IFERROR(AL386/AL179,"n/a")</f>
        <v>42.728145785876997</v>
      </c>
      <c r="AM395" s="145"/>
      <c r="AN395" s="145"/>
      <c r="AO395" s="145"/>
      <c r="AP395" s="145"/>
      <c r="AQ395" s="145"/>
      <c r="AR395" s="145">
        <f>IFERROR(AR386/AR179,"n/a")</f>
        <v>30.005266480965645</v>
      </c>
      <c r="AS395" s="145"/>
      <c r="AT395" s="145"/>
      <c r="AU395" s="145"/>
      <c r="AV395" s="145"/>
      <c r="AW395" s="145"/>
      <c r="AX395" s="145">
        <f>IFERROR(AX386/AX179,"n/a")</f>
        <v>13.473077484678923</v>
      </c>
      <c r="AY395" s="145"/>
      <c r="AZ395" s="145"/>
      <c r="BA395" s="145"/>
      <c r="BB395" s="145"/>
      <c r="BC395" s="145"/>
      <c r="BD395" s="145">
        <f>IFERROR(BD386/BD179,"n/a")</f>
        <v>20.205877312252966</v>
      </c>
      <c r="BE395" s="145"/>
      <c r="BF395" s="145"/>
      <c r="BG395" s="145"/>
      <c r="BH395" s="145"/>
      <c r="BI395" s="145"/>
      <c r="BJ395" s="145">
        <f>IFERROR(BJ386/BJ179,"n/a")</f>
        <v>29.632138431054667</v>
      </c>
      <c r="BK395" s="145"/>
      <c r="BL395" s="145"/>
      <c r="BM395" s="145"/>
      <c r="BN395" s="145"/>
      <c r="BO395" s="145"/>
      <c r="BP395" s="145">
        <f t="shared" ref="BP395:BU395" si="249">IFERROR(BP386/BP179,"n/a")</f>
        <v>31.730181780366056</v>
      </c>
      <c r="BQ395" s="505">
        <f t="shared" si="249"/>
        <v>22.353948640754346</v>
      </c>
      <c r="BR395" s="505">
        <f t="shared" si="249"/>
        <v>18.336593141886777</v>
      </c>
      <c r="BS395" s="505">
        <f t="shared" si="249"/>
        <v>15.292864728056802</v>
      </c>
      <c r="BT395" s="505">
        <f t="shared" si="249"/>
        <v>13.588608208057741</v>
      </c>
      <c r="BU395" s="505">
        <f t="shared" si="249"/>
        <v>12.106549326413479</v>
      </c>
      <c r="BW395" s="305"/>
    </row>
    <row r="396" spans="2:75" x14ac:dyDescent="0.25">
      <c r="B396" s="262" t="s">
        <v>409</v>
      </c>
      <c r="H396" s="141">
        <f>IFERROR(H243/H386,"n/a")</f>
        <v>6.6049512425447737E-2</v>
      </c>
      <c r="I396" s="141"/>
      <c r="J396" s="141"/>
      <c r="K396" s="141"/>
      <c r="L396" s="141"/>
      <c r="M396" s="141"/>
      <c r="N396" s="141">
        <f>IFERROR(N243/N386,"n/a")</f>
        <v>2.2264414157049026E-2</v>
      </c>
      <c r="O396" s="141"/>
      <c r="P396" s="141"/>
      <c r="Q396" s="141"/>
      <c r="R396" s="141"/>
      <c r="S396" s="141"/>
      <c r="T396" s="141">
        <f>IFERROR(T243/T386,"n/a")</f>
        <v>5.0711556825723536E-2</v>
      </c>
      <c r="U396" s="141"/>
      <c r="V396" s="141"/>
      <c r="W396" s="141"/>
      <c r="X396" s="141"/>
      <c r="Y396" s="141"/>
      <c r="Z396" s="141">
        <f>IFERROR(Z243/Z386,"n/a")</f>
        <v>4.6196524227902575E-2</v>
      </c>
      <c r="AA396" s="141"/>
      <c r="AB396" s="141"/>
      <c r="AC396" s="141"/>
      <c r="AD396" s="141"/>
      <c r="AE396" s="141"/>
      <c r="AF396" s="141">
        <f>IFERROR(AF243/AF386,"n/a")</f>
        <v>4.1926247333263049E-2</v>
      </c>
      <c r="AG396" s="141"/>
      <c r="AH396" s="141"/>
      <c r="AI396" s="141"/>
      <c r="AJ396" s="141"/>
      <c r="AK396" s="141"/>
      <c r="AL396" s="141">
        <f>IFERROR(AL243/AL386,"n/a")</f>
        <v>3.7919754700998586E-2</v>
      </c>
      <c r="AM396" s="141"/>
      <c r="AN396" s="141"/>
      <c r="AO396" s="141"/>
      <c r="AP396" s="141"/>
      <c r="AQ396" s="141"/>
      <c r="AR396" s="141">
        <f>IFERROR(AR243/AR386,"n/a")</f>
        <v>3.2188153728686754E-2</v>
      </c>
      <c r="AS396" s="141"/>
      <c r="AT396" s="141"/>
      <c r="AU396" s="141"/>
      <c r="AV396" s="141"/>
      <c r="AW396" s="141"/>
      <c r="AX396" s="141">
        <f>IFERROR(AX243/AX386,"n/a")</f>
        <v>0.10345606421370292</v>
      </c>
      <c r="AY396" s="141"/>
      <c r="AZ396" s="141"/>
      <c r="BA396" s="141"/>
      <c r="BB396" s="141"/>
      <c r="BC396" s="141"/>
      <c r="BD396" s="141">
        <f>IFERROR(BD243/BD386,"n/a")</f>
        <v>6.1368283140473025E-2</v>
      </c>
      <c r="BE396" s="141"/>
      <c r="BF396" s="141"/>
      <c r="BG396" s="141"/>
      <c r="BH396" s="141"/>
      <c r="BI396" s="141"/>
      <c r="BJ396" s="141">
        <f>IFERROR(BJ243/BJ386,"n/a")</f>
        <v>3.2045044043364453E-2</v>
      </c>
      <c r="BK396" s="141"/>
      <c r="BL396" s="141"/>
      <c r="BM396" s="141"/>
      <c r="BN396" s="141"/>
      <c r="BO396" s="141"/>
      <c r="BP396" s="141">
        <f t="shared" ref="BP396:BU396" si="250">IFERROR(BP243/BP386,"n/a")</f>
        <v>5.1770231885934749E-2</v>
      </c>
      <c r="BQ396" s="364">
        <f t="shared" si="250"/>
        <v>5.6815403592979916E-2</v>
      </c>
      <c r="BR396" s="364">
        <f t="shared" si="250"/>
        <v>7.3528845073681695E-2</v>
      </c>
      <c r="BS396" s="364">
        <f t="shared" si="250"/>
        <v>8.731170970905125E-2</v>
      </c>
      <c r="BT396" s="364">
        <f t="shared" si="250"/>
        <v>8.4698265271192646E-2</v>
      </c>
      <c r="BU396" s="364">
        <f t="shared" si="250"/>
        <v>9.4181720262351304E-2</v>
      </c>
      <c r="BW396" s="305"/>
    </row>
    <row r="397" spans="2:75" x14ac:dyDescent="0.25">
      <c r="BW397" s="305"/>
    </row>
    <row r="398" spans="2:75" x14ac:dyDescent="0.25">
      <c r="BW398" s="305"/>
    </row>
    <row r="399" spans="2:75" x14ac:dyDescent="0.25">
      <c r="BW399" s="305"/>
    </row>
    <row r="400" spans="2:75" x14ac:dyDescent="0.25">
      <c r="BW400" s="305"/>
    </row>
    <row r="401" spans="75:75" x14ac:dyDescent="0.25">
      <c r="BW401" s="305"/>
    </row>
    <row r="402" spans="75:75" x14ac:dyDescent="0.25">
      <c r="BW402" s="305"/>
    </row>
    <row r="403" spans="75:75" x14ac:dyDescent="0.25">
      <c r="BW403" s="305"/>
    </row>
    <row r="404" spans="75:75" x14ac:dyDescent="0.25">
      <c r="BW404" s="305"/>
    </row>
    <row r="405" spans="75:75" x14ac:dyDescent="0.25">
      <c r="BW405" s="305"/>
    </row>
    <row r="406" spans="75:75" x14ac:dyDescent="0.25">
      <c r="BW406" s="305"/>
    </row>
    <row r="407" spans="75:75" x14ac:dyDescent="0.25">
      <c r="BW407" s="305"/>
    </row>
    <row r="408" spans="75:75" x14ac:dyDescent="0.25">
      <c r="BW408" s="305"/>
    </row>
    <row r="409" spans="75:75" x14ac:dyDescent="0.25">
      <c r="BW409" s="305"/>
    </row>
    <row r="410" spans="75:75" x14ac:dyDescent="0.25">
      <c r="BW410" s="305"/>
    </row>
    <row r="411" spans="75:75" x14ac:dyDescent="0.25">
      <c r="BW411" s="305"/>
    </row>
    <row r="412" spans="75:75" x14ac:dyDescent="0.25">
      <c r="BW412" s="305"/>
    </row>
    <row r="413" spans="75:75" x14ac:dyDescent="0.25">
      <c r="BW413" s="305"/>
    </row>
    <row r="414" spans="75:75" x14ac:dyDescent="0.25">
      <c r="BW414" s="305"/>
    </row>
    <row r="415" spans="75:75" x14ac:dyDescent="0.25">
      <c r="BW415" s="305"/>
    </row>
    <row r="416" spans="75:75" x14ac:dyDescent="0.25">
      <c r="BW416" s="305"/>
    </row>
    <row r="417" spans="75:75" x14ac:dyDescent="0.25">
      <c r="BW417" s="305"/>
    </row>
    <row r="418" spans="75:75" x14ac:dyDescent="0.25">
      <c r="BW418" s="305"/>
    </row>
    <row r="419" spans="75:75" x14ac:dyDescent="0.25">
      <c r="BW419" s="305"/>
    </row>
    <row r="420" spans="75:75" x14ac:dyDescent="0.25">
      <c r="BW420" s="305"/>
    </row>
    <row r="421" spans="75:75" x14ac:dyDescent="0.25">
      <c r="BW421" s="305"/>
    </row>
    <row r="422" spans="75:75" x14ac:dyDescent="0.25">
      <c r="BW422" s="305"/>
    </row>
    <row r="423" spans="75:75" x14ac:dyDescent="0.25">
      <c r="BW423" s="305"/>
    </row>
    <row r="424" spans="75:75" x14ac:dyDescent="0.25">
      <c r="BW424" s="305"/>
    </row>
    <row r="425" spans="75:75" x14ac:dyDescent="0.25">
      <c r="BW425" s="305"/>
    </row>
    <row r="426" spans="75:75" x14ac:dyDescent="0.25">
      <c r="BW426" s="305"/>
    </row>
    <row r="427" spans="75:75" x14ac:dyDescent="0.25">
      <c r="BW427" s="305"/>
    </row>
    <row r="428" spans="75:75" x14ac:dyDescent="0.25">
      <c r="BW428" s="305"/>
    </row>
    <row r="429" spans="75:75" x14ac:dyDescent="0.25">
      <c r="BW429" s="305"/>
    </row>
    <row r="430" spans="75:75" x14ac:dyDescent="0.25">
      <c r="BW430" s="305"/>
    </row>
    <row r="431" spans="75:75" x14ac:dyDescent="0.25">
      <c r="BW431" s="305"/>
    </row>
  </sheetData>
  <dataValidations count="1">
    <dataValidation type="list" allowBlank="1" showInputMessage="1" showErrorMessage="1" promptTitle="Scenario Toggle" prompt="Select scenario: Bull / Base / Bear" sqref="BV2" xr:uid="{5C72F2FD-7AC1-47CD-9391-09638FEE1E0A}">
      <formula1>"Bull,Base,Bear"</formula1>
    </dataValidation>
  </dataValidation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D9FE-EC17-42E9-A741-20CE97392D48}">
  <dimension ref="B2:AJ47"/>
  <sheetViews>
    <sheetView showGridLines="0" zoomScale="50" zoomScaleNormal="50" workbookViewId="0">
      <selection activeCell="H27" sqref="H27"/>
    </sheetView>
  </sheetViews>
  <sheetFormatPr defaultRowHeight="15.75" x14ac:dyDescent="0.25"/>
  <cols>
    <col min="1" max="1" width="2" customWidth="1"/>
    <col min="2" max="2" width="36.625" customWidth="1"/>
    <col min="3" max="8" width="13" customWidth="1"/>
    <col min="9" max="9" width="13.625" customWidth="1"/>
    <col min="10" max="12" width="12.625" customWidth="1"/>
    <col min="14" max="14" width="41.375" bestFit="1" customWidth="1"/>
    <col min="15" max="20" width="11.5" customWidth="1"/>
    <col min="26" max="26" width="41.375" bestFit="1" customWidth="1"/>
    <col min="27" max="32" width="11.75" customWidth="1"/>
  </cols>
  <sheetData>
    <row r="2" spans="2:36" ht="18" customHeight="1" x14ac:dyDescent="0.35">
      <c r="B2" s="550" t="s">
        <v>537</v>
      </c>
      <c r="J2" s="553" t="s">
        <v>553</v>
      </c>
      <c r="K2" s="555">
        <v>1525</v>
      </c>
    </row>
    <row r="3" spans="2:36" ht="18" customHeight="1" x14ac:dyDescent="0.25">
      <c r="B3" s="173" t="s">
        <v>538</v>
      </c>
      <c r="J3" s="554" t="s">
        <v>554</v>
      </c>
      <c r="K3" s="556">
        <f ca="1">TODAY()</f>
        <v>46169</v>
      </c>
    </row>
    <row r="5" spans="2:36" ht="20.100000000000001" customHeight="1" x14ac:dyDescent="0.25">
      <c r="B5" s="551" t="s">
        <v>539</v>
      </c>
      <c r="C5" s="552" t="str">
        <f>Model_DSV_ref!BV2</f>
        <v>Base</v>
      </c>
      <c r="N5" s="551" t="s">
        <v>539</v>
      </c>
      <c r="O5" s="552" t="s">
        <v>414</v>
      </c>
      <c r="Z5" s="551" t="s">
        <v>539</v>
      </c>
      <c r="AA5" s="552" t="s">
        <v>415</v>
      </c>
    </row>
    <row r="7" spans="2:36" ht="21.95" customHeight="1" thickBot="1" x14ac:dyDescent="0.3">
      <c r="B7" s="646" t="s">
        <v>540</v>
      </c>
      <c r="C7" s="607" t="s">
        <v>541</v>
      </c>
      <c r="D7" s="624" t="s">
        <v>269</v>
      </c>
      <c r="E7" s="557" t="s">
        <v>270</v>
      </c>
      <c r="F7" s="557" t="s">
        <v>271</v>
      </c>
      <c r="G7" s="557" t="s">
        <v>272</v>
      </c>
      <c r="H7" s="557" t="s">
        <v>273</v>
      </c>
      <c r="I7" s="591" t="s">
        <v>542</v>
      </c>
      <c r="J7" s="601" t="s">
        <v>581</v>
      </c>
      <c r="K7" s="558" t="s">
        <v>582</v>
      </c>
      <c r="L7" s="580" t="s">
        <v>583</v>
      </c>
      <c r="N7" s="646" t="s">
        <v>540</v>
      </c>
      <c r="O7" s="607" t="s">
        <v>541</v>
      </c>
      <c r="P7" s="624" t="s">
        <v>269</v>
      </c>
      <c r="Q7" s="557" t="s">
        <v>270</v>
      </c>
      <c r="R7" s="557" t="s">
        <v>271</v>
      </c>
      <c r="S7" s="557" t="s">
        <v>272</v>
      </c>
      <c r="T7" s="557" t="s">
        <v>273</v>
      </c>
      <c r="U7" s="591" t="s">
        <v>542</v>
      </c>
      <c r="V7" s="601" t="s">
        <v>581</v>
      </c>
      <c r="W7" s="558" t="s">
        <v>582</v>
      </c>
      <c r="X7" s="580" t="s">
        <v>583</v>
      </c>
      <c r="Z7" s="646" t="s">
        <v>540</v>
      </c>
      <c r="AA7" s="607" t="s">
        <v>541</v>
      </c>
      <c r="AB7" s="624" t="s">
        <v>269</v>
      </c>
      <c r="AC7" s="557" t="s">
        <v>270</v>
      </c>
      <c r="AD7" s="557" t="s">
        <v>271</v>
      </c>
      <c r="AE7" s="557" t="s">
        <v>272</v>
      </c>
      <c r="AF7" s="557" t="s">
        <v>273</v>
      </c>
      <c r="AG7" s="591" t="s">
        <v>542</v>
      </c>
      <c r="AH7" s="601" t="s">
        <v>581</v>
      </c>
      <c r="AI7" s="558" t="s">
        <v>582</v>
      </c>
      <c r="AJ7" s="580" t="s">
        <v>583</v>
      </c>
    </row>
    <row r="8" spans="2:36" x14ac:dyDescent="0.25">
      <c r="B8" s="575"/>
      <c r="C8" s="608"/>
      <c r="D8" s="575"/>
      <c r="I8" s="575"/>
      <c r="J8" s="575"/>
      <c r="L8" s="581"/>
      <c r="N8" s="575"/>
      <c r="O8" s="608"/>
      <c r="P8" s="575"/>
      <c r="U8" s="575"/>
      <c r="V8" s="575"/>
      <c r="X8" s="581"/>
      <c r="Z8" s="575"/>
      <c r="AA8" s="608"/>
      <c r="AB8" s="575"/>
      <c r="AG8" s="575"/>
      <c r="AH8" s="575"/>
      <c r="AJ8" s="581"/>
    </row>
    <row r="9" spans="2:36" x14ac:dyDescent="0.25">
      <c r="B9" s="576" t="s">
        <v>4</v>
      </c>
      <c r="C9" s="609">
        <f>Model_DSV_ref!BP146</f>
        <v>247331</v>
      </c>
      <c r="D9" s="625">
        <f>Model_DSV_ref!BQ146</f>
        <v>272331.91999999958</v>
      </c>
      <c r="E9" s="570">
        <f>Model_DSV_ref!BR146</f>
        <v>288134.17333333287</v>
      </c>
      <c r="F9" s="570">
        <f>Model_DSV_ref!BS146</f>
        <v>302701.31846933288</v>
      </c>
      <c r="G9" s="570">
        <f>Model_DSV_ref!BT146</f>
        <v>314868.18689599959</v>
      </c>
      <c r="H9" s="570">
        <f>Model_DSV_ref!BU146</f>
        <v>327522.2232757436</v>
      </c>
      <c r="I9" s="592">
        <f>IFERROR((H9/C9)^(1/5)-1,"n/m")</f>
        <v>5.7772918839292586E-2</v>
      </c>
      <c r="J9" s="575"/>
      <c r="L9" s="581"/>
      <c r="N9" s="576" t="s">
        <v>4</v>
      </c>
      <c r="O9" s="609">
        <v>247331</v>
      </c>
      <c r="P9" s="625">
        <v>274565.19999999955</v>
      </c>
      <c r="Q9" s="570">
        <v>295358.07253333292</v>
      </c>
      <c r="R9" s="570">
        <v>315019.8161173329</v>
      </c>
      <c r="S9" s="570">
        <v>332724.30351637286</v>
      </c>
      <c r="T9" s="570">
        <v>351419.59849663527</v>
      </c>
      <c r="U9" s="592">
        <v>7.277707695334934E-2</v>
      </c>
      <c r="V9" s="575"/>
      <c r="X9" s="581"/>
      <c r="Z9" s="576" t="s">
        <v>4</v>
      </c>
      <c r="AA9" s="609">
        <v>247331</v>
      </c>
      <c r="AB9" s="625">
        <v>241578.46666666635</v>
      </c>
      <c r="AC9" s="570">
        <v>242404.24266666634</v>
      </c>
      <c r="AD9" s="570">
        <v>245347.73751999965</v>
      </c>
      <c r="AE9" s="570">
        <v>248329.09023706632</v>
      </c>
      <c r="AF9" s="570">
        <v>251348.84785480765</v>
      </c>
      <c r="AG9" s="592">
        <v>3.2280561493345239E-3</v>
      </c>
      <c r="AH9" s="575"/>
      <c r="AJ9" s="581"/>
    </row>
    <row r="10" spans="2:36" x14ac:dyDescent="0.25">
      <c r="B10" s="647" t="s">
        <v>543</v>
      </c>
      <c r="C10" s="610"/>
      <c r="D10" s="626">
        <f>IFERROR(D9/C9-1,"")</f>
        <v>0.10108284040415305</v>
      </c>
      <c r="E10" s="560">
        <f>IFERROR(E9/D9-1,"")</f>
        <v>5.8025711173825378E-2</v>
      </c>
      <c r="F10" s="560">
        <f>IFERROR(F9/E9-1,"")</f>
        <v>5.0556811666861101E-2</v>
      </c>
      <c r="G10" s="560">
        <f>IFERROR(G9/F9-1,"")</f>
        <v>4.019430271460589E-2</v>
      </c>
      <c r="H10" s="560">
        <f>IFERROR(H9/G9-1,"")</f>
        <v>4.0188361055109034E-2</v>
      </c>
      <c r="I10" s="593"/>
      <c r="J10" s="600"/>
      <c r="K10" s="561"/>
      <c r="L10" s="582"/>
      <c r="N10" s="647" t="s">
        <v>543</v>
      </c>
      <c r="O10" s="610"/>
      <c r="P10" s="626">
        <v>0.11011235955055998</v>
      </c>
      <c r="Q10" s="560">
        <v>7.5730181877868841E-2</v>
      </c>
      <c r="R10" s="560">
        <v>6.6569176238719718E-2</v>
      </c>
      <c r="S10" s="560">
        <v>5.6201186380115509E-2</v>
      </c>
      <c r="T10" s="560">
        <v>5.6188546441250375E-2</v>
      </c>
      <c r="U10" s="593"/>
      <c r="V10" s="600"/>
      <c r="W10" s="561"/>
      <c r="X10" s="582"/>
      <c r="Z10" s="647" t="s">
        <v>543</v>
      </c>
      <c r="AA10" s="610"/>
      <c r="AB10" s="626">
        <v>-2.3258440443509443E-2</v>
      </c>
      <c r="AC10" s="560">
        <v>3.4182516819241116E-3</v>
      </c>
      <c r="AD10" s="560">
        <v>1.2142918048595908E-2</v>
      </c>
      <c r="AE10" s="560">
        <v>1.2151539472923245E-2</v>
      </c>
      <c r="AF10" s="560">
        <v>1.2160305564114626E-2</v>
      </c>
      <c r="AG10" s="593"/>
      <c r="AH10" s="600"/>
      <c r="AI10" s="561"/>
      <c r="AJ10" s="582"/>
    </row>
    <row r="11" spans="2:36" x14ac:dyDescent="0.25">
      <c r="B11" s="575"/>
      <c r="C11" s="608"/>
      <c r="D11" s="575"/>
      <c r="I11" s="594"/>
      <c r="J11" s="575"/>
      <c r="L11" s="581"/>
      <c r="N11" s="575"/>
      <c r="O11" s="608"/>
      <c r="P11" s="575"/>
      <c r="U11" s="594"/>
      <c r="V11" s="575"/>
      <c r="X11" s="581"/>
      <c r="Z11" s="575"/>
      <c r="AA11" s="608"/>
      <c r="AB11" s="575"/>
      <c r="AG11" s="594"/>
      <c r="AH11" s="575"/>
      <c r="AJ11" s="581"/>
    </row>
    <row r="12" spans="2:36" x14ac:dyDescent="0.25">
      <c r="B12" s="576" t="s">
        <v>544</v>
      </c>
      <c r="C12" s="609">
        <f>Model_DSV_ref!BP148</f>
        <v>66859</v>
      </c>
      <c r="D12" s="625">
        <f>Model_DSV_ref!BQ148</f>
        <v>74572.30711999991</v>
      </c>
      <c r="E12" s="570">
        <f>Model_DSV_ref!BR148</f>
        <v>80071.722277333232</v>
      </c>
      <c r="F12" s="570">
        <f>Model_DSV_ref!BS148</f>
        <v>85290.354999418574</v>
      </c>
      <c r="G12" s="570">
        <f>Model_DSV_ref!BT148</f>
        <v>88878.807791453757</v>
      </c>
      <c r="H12" s="570">
        <f>Model_DSV_ref!BU148</f>
        <v>92565.094766452981</v>
      </c>
      <c r="I12" s="592">
        <f>IFERROR((H12/C12)^(1/5)-1,"n/m")</f>
        <v>6.7228648103444755E-2</v>
      </c>
      <c r="J12" s="575"/>
      <c r="L12" s="581"/>
      <c r="N12" s="576" t="s">
        <v>544</v>
      </c>
      <c r="O12" s="609">
        <v>66859</v>
      </c>
      <c r="P12" s="625">
        <v>75220.763333333234</v>
      </c>
      <c r="Q12" s="570">
        <v>82124.964383999904</v>
      </c>
      <c r="R12" s="570">
        <v>88743.519716639916</v>
      </c>
      <c r="S12" s="570">
        <v>93834.244749161502</v>
      </c>
      <c r="T12" s="570">
        <v>99159.855410428892</v>
      </c>
      <c r="U12" s="592">
        <v>8.2019784041473587E-2</v>
      </c>
      <c r="V12" s="575"/>
      <c r="X12" s="581"/>
      <c r="Z12" s="576" t="s">
        <v>544</v>
      </c>
      <c r="AA12" s="609">
        <v>66859</v>
      </c>
      <c r="AB12" s="625">
        <v>66270.732066666591</v>
      </c>
      <c r="AC12" s="570">
        <v>67570.129893333258</v>
      </c>
      <c r="AD12" s="570">
        <v>69357.447162639917</v>
      </c>
      <c r="AE12" s="570">
        <v>70331.307311693527</v>
      </c>
      <c r="AF12" s="570">
        <v>71276.554170915799</v>
      </c>
      <c r="AG12" s="592">
        <v>1.28785261455171E-2</v>
      </c>
      <c r="AH12" s="575"/>
      <c r="AJ12" s="581"/>
    </row>
    <row r="13" spans="2:36" x14ac:dyDescent="0.25">
      <c r="B13" s="647" t="s">
        <v>545</v>
      </c>
      <c r="C13" s="610">
        <f t="shared" ref="C13:H13" si="0">IFERROR(C12/C9,"")</f>
        <v>0.27032195721522978</v>
      </c>
      <c r="D13" s="627">
        <f t="shared" si="0"/>
        <v>0.27382874222015557</v>
      </c>
      <c r="E13" s="562">
        <f t="shared" si="0"/>
        <v>0.27789734674998412</v>
      </c>
      <c r="F13" s="562">
        <f t="shared" si="0"/>
        <v>0.28176406839159329</v>
      </c>
      <c r="G13" s="562">
        <f t="shared" si="0"/>
        <v>0.2822730637465457</v>
      </c>
      <c r="H13" s="562">
        <f t="shared" si="0"/>
        <v>0.28262233274021742</v>
      </c>
      <c r="I13" s="593"/>
      <c r="J13" s="602">
        <f>AVERAGE(Model_DSV_ref!H139,Model_DSV_ref!N139,Model_DSV_ref!T139,Model_DSV_ref!Z139,Model_DSV_ref!AF139,Model_DSV_ref!AL139,Model_DSV_ref!AR139,Model_DSV_ref!AX139,Model_DSV_ref!BD139,Model_DSV_ref!BJ139,Model_DSV_ref!BP139)</f>
        <v>0.23995980127396874</v>
      </c>
      <c r="K13" s="563">
        <f>MIN(Model_DSV_ref!H139,Model_DSV_ref!N139,Model_DSV_ref!T139,Model_DSV_ref!Z139,Model_DSV_ref!AF139,Model_DSV_ref!AL139,Model_DSV_ref!AR139,Model_DSV_ref!AX139,Model_DSV_ref!BD139,Model_DSV_ref!BJ139,Model_DSV_ref!BP139)</f>
        <v>0.20632891950895746</v>
      </c>
      <c r="L13" s="583">
        <f>MAX(Model_DSV_ref!H139,Model_DSV_ref!N139,Model_DSV_ref!T139,Model_DSV_ref!Z139,Model_DSV_ref!AF139,Model_DSV_ref!AL139,Model_DSV_ref!AR139,Model_DSV_ref!AX139,Model_DSV_ref!BD139,Model_DSV_ref!BJ139,Model_DSV_ref!BP139)</f>
        <v>0.29059919753291108</v>
      </c>
      <c r="N13" s="647" t="s">
        <v>545</v>
      </c>
      <c r="O13" s="610">
        <v>0.27032195721522978</v>
      </c>
      <c r="P13" s="627">
        <v>0.27396320922437861</v>
      </c>
      <c r="Q13" s="562">
        <v>0.27805220856027768</v>
      </c>
      <c r="R13" s="562">
        <v>0.28170773766049795</v>
      </c>
      <c r="S13" s="562">
        <v>0.28201800637188518</v>
      </c>
      <c r="T13" s="562">
        <v>0.28216939474813701</v>
      </c>
      <c r="U13" s="593"/>
      <c r="V13" s="602">
        <v>0.23995980127396874</v>
      </c>
      <c r="W13" s="563">
        <v>0.20632891950895746</v>
      </c>
      <c r="X13" s="583">
        <v>0.29059919753291108</v>
      </c>
      <c r="Z13" s="647" t="s">
        <v>545</v>
      </c>
      <c r="AA13" s="610">
        <v>0.27032195721522978</v>
      </c>
      <c r="AB13" s="627">
        <v>0.2743238376378469</v>
      </c>
      <c r="AC13" s="562">
        <v>0.27874978238829734</v>
      </c>
      <c r="AD13" s="562">
        <v>0.28269038819641129</v>
      </c>
      <c r="AE13" s="562">
        <v>0.28321815718227794</v>
      </c>
      <c r="AF13" s="562">
        <v>0.28357621202261846</v>
      </c>
      <c r="AG13" s="593"/>
      <c r="AH13" s="602">
        <v>0.23995980127396874</v>
      </c>
      <c r="AI13" s="563">
        <v>0.20632891950895746</v>
      </c>
      <c r="AJ13" s="583">
        <v>0.29059919753291108</v>
      </c>
    </row>
    <row r="14" spans="2:36" x14ac:dyDescent="0.25">
      <c r="B14" s="575"/>
      <c r="C14" s="608"/>
      <c r="D14" s="575"/>
      <c r="I14" s="594"/>
      <c r="J14" s="575"/>
      <c r="L14" s="581"/>
      <c r="N14" s="575"/>
      <c r="O14" s="608"/>
      <c r="P14" s="575"/>
      <c r="U14" s="594"/>
      <c r="V14" s="575"/>
      <c r="X14" s="581"/>
      <c r="Z14" s="575"/>
      <c r="AA14" s="608"/>
      <c r="AB14" s="575"/>
      <c r="AG14" s="594"/>
      <c r="AH14" s="575"/>
      <c r="AJ14" s="581"/>
    </row>
    <row r="15" spans="2:36" x14ac:dyDescent="0.25">
      <c r="B15" s="576" t="s">
        <v>546</v>
      </c>
      <c r="C15" s="609">
        <f>Model_DSV_ref!BP188</f>
        <v>15084</v>
      </c>
      <c r="D15" s="625">
        <f>Model_DSV_ref!BQ188</f>
        <v>21150.633333333291</v>
      </c>
      <c r="E15" s="570">
        <f>Model_DSV_ref!BR188</f>
        <v>26468.523207466624</v>
      </c>
      <c r="F15" s="570">
        <f>Model_DSV_ref!BS188</f>
        <v>32377.624782519953</v>
      </c>
      <c r="G15" s="570">
        <f>Model_DSV_ref!BT188</f>
        <v>35269.692428102338</v>
      </c>
      <c r="H15" s="570">
        <f>Model_DSV_ref!BU188</f>
        <v>37896.304924863791</v>
      </c>
      <c r="I15" s="592">
        <f>IFERROR((H15/C15)^(1/5)-1,"n/m")</f>
        <v>0.2023089181076263</v>
      </c>
      <c r="J15" s="575"/>
      <c r="L15" s="581"/>
      <c r="N15" s="576" t="s">
        <v>546</v>
      </c>
      <c r="O15" s="609">
        <v>15084</v>
      </c>
      <c r="P15" s="625">
        <v>21791.558346666628</v>
      </c>
      <c r="Q15" s="570">
        <v>27647.35636906662</v>
      </c>
      <c r="R15" s="570">
        <v>33888.276937306618</v>
      </c>
      <c r="S15" s="570">
        <v>37372.224729611575</v>
      </c>
      <c r="T15" s="570">
        <v>40781.498249155309</v>
      </c>
      <c r="U15" s="592">
        <v>0.22008287281572692</v>
      </c>
      <c r="V15" s="575"/>
      <c r="X15" s="581"/>
      <c r="Z15" s="576" t="s">
        <v>546</v>
      </c>
      <c r="AA15" s="609">
        <v>15084</v>
      </c>
      <c r="AB15" s="625">
        <v>17318.004346666636</v>
      </c>
      <c r="AC15" s="570">
        <v>20337.287919999962</v>
      </c>
      <c r="AD15" s="570">
        <v>24528.782474733296</v>
      </c>
      <c r="AE15" s="570">
        <v>26912.931533782492</v>
      </c>
      <c r="AF15" s="570">
        <v>28656.775125696349</v>
      </c>
      <c r="AG15" s="592">
        <v>0.13695207442434421</v>
      </c>
      <c r="AH15" s="575"/>
      <c r="AJ15" s="581"/>
    </row>
    <row r="16" spans="2:36" x14ac:dyDescent="0.25">
      <c r="B16" s="648" t="s">
        <v>547</v>
      </c>
      <c r="C16" s="611"/>
      <c r="D16" s="628">
        <f>IFERROR(D15/C15-1,"")</f>
        <v>0.40218995845487204</v>
      </c>
      <c r="E16" s="571">
        <f>IFERROR(E15/D15-1,"")</f>
        <v>0.25142934447037879</v>
      </c>
      <c r="F16" s="571">
        <f>IFERROR(F15/E15-1,"")</f>
        <v>0.22325014239503949</v>
      </c>
      <c r="G16" s="571">
        <f>IFERROR(G15/F15-1,"")</f>
        <v>8.9323032958975812E-2</v>
      </c>
      <c r="H16" s="571">
        <f>IFERROR(H15/G15-1,"")</f>
        <v>7.4472225753480226E-2</v>
      </c>
      <c r="I16" s="594"/>
      <c r="J16" s="575"/>
      <c r="L16" s="581"/>
      <c r="N16" s="648" t="s">
        <v>547</v>
      </c>
      <c r="O16" s="611"/>
      <c r="P16" s="628">
        <v>0.44468034650401944</v>
      </c>
      <c r="Q16" s="571">
        <v>0.26871864458907457</v>
      </c>
      <c r="R16" s="571">
        <v>0.22573299540576275</v>
      </c>
      <c r="S16" s="571">
        <v>0.10280687326624083</v>
      </c>
      <c r="T16" s="571">
        <v>9.1224794461926217E-2</v>
      </c>
      <c r="U16" s="594"/>
      <c r="V16" s="575"/>
      <c r="X16" s="581"/>
      <c r="Z16" s="648" t="s">
        <v>547</v>
      </c>
      <c r="AA16" s="611"/>
      <c r="AB16" s="628">
        <v>0.14810423937063355</v>
      </c>
      <c r="AC16" s="571">
        <v>0.17434362025174566</v>
      </c>
      <c r="AD16" s="571">
        <v>0.20609899270843091</v>
      </c>
      <c r="AE16" s="571">
        <v>9.7198018756335269E-2</v>
      </c>
      <c r="AF16" s="571">
        <v>6.4795750315230327E-2</v>
      </c>
      <c r="AG16" s="594"/>
      <c r="AH16" s="575"/>
      <c r="AJ16" s="581"/>
    </row>
    <row r="17" spans="2:36" x14ac:dyDescent="0.25">
      <c r="B17" s="647" t="s">
        <v>548</v>
      </c>
      <c r="C17" s="610">
        <f t="shared" ref="C17:H17" si="1">IFERROR(C15/C9,"")</f>
        <v>6.0987098261034808E-2</v>
      </c>
      <c r="D17" s="627">
        <f t="shared" si="1"/>
        <v>7.7664907342970754E-2</v>
      </c>
      <c r="E17" s="562">
        <f t="shared" si="1"/>
        <v>9.1861797929973635E-2</v>
      </c>
      <c r="F17" s="562">
        <f t="shared" si="1"/>
        <v>0.10696228528585078</v>
      </c>
      <c r="G17" s="562">
        <f t="shared" si="1"/>
        <v>0.11201415035222931</v>
      </c>
      <c r="H17" s="562">
        <f t="shared" si="1"/>
        <v>0.11570605666339345</v>
      </c>
      <c r="I17" s="593"/>
      <c r="J17" s="602">
        <f>AVERAGE(Model_DSV_ref!H141,Model_DSV_ref!N141,Model_DSV_ref!T141,Model_DSV_ref!Z141,Model_DSV_ref!AF141,Model_DSV_ref!AL141,Model_DSV_ref!AR141,Model_DSV_ref!AX141,Model_DSV_ref!BD141,Model_DSV_ref!BJ141,Model_DSV_ref!BP141)</f>
        <v>8.0616919093220316E-2</v>
      </c>
      <c r="K17" s="563">
        <f>MIN(Model_DSV_ref!H141,Model_DSV_ref!N141,Model_DSV_ref!T141,Model_DSV_ref!Z141,Model_DSV_ref!AF141,Model_DSV_ref!AL141,Model_DSV_ref!AR141,Model_DSV_ref!AX141,Model_DSV_ref!BD141,Model_DSV_ref!BJ141,Model_DSV_ref!BP141)</f>
        <v>5.1293784226607818E-2</v>
      </c>
      <c r="L17" s="583">
        <f>MAX(Model_DSV_ref!H141,Model_DSV_ref!N141,Model_DSV_ref!T141,Model_DSV_ref!Z141,Model_DSV_ref!AF141,Model_DSV_ref!AL141,Model_DSV_ref!AR141,Model_DSV_ref!AX141,Model_DSV_ref!BD141,Model_DSV_ref!BJ141,Model_DSV_ref!BP141)</f>
        <v>0.117538216666114</v>
      </c>
      <c r="N17" s="647" t="s">
        <v>548</v>
      </c>
      <c r="O17" s="610">
        <v>6.0987098261034808E-2</v>
      </c>
      <c r="P17" s="627">
        <v>7.9367517612088725E-2</v>
      </c>
      <c r="Q17" s="562">
        <v>9.3606232367142939E-2</v>
      </c>
      <c r="R17" s="562">
        <v>0.10757506418162763</v>
      </c>
      <c r="S17" s="562">
        <v>0.11232189634074188</v>
      </c>
      <c r="T17" s="562">
        <v>0.11604787673657814</v>
      </c>
      <c r="U17" s="593"/>
      <c r="V17" s="602">
        <v>8.0616919093220316E-2</v>
      </c>
      <c r="W17" s="563">
        <v>5.1293784226607818E-2</v>
      </c>
      <c r="X17" s="583">
        <v>0.117538216666114</v>
      </c>
      <c r="Z17" s="647" t="s">
        <v>548</v>
      </c>
      <c r="AA17" s="610">
        <v>6.0987098261034808E-2</v>
      </c>
      <c r="AB17" s="627">
        <v>7.1686870877288422E-2</v>
      </c>
      <c r="AC17" s="562">
        <v>8.389823419042243E-2</v>
      </c>
      <c r="AD17" s="562">
        <v>9.9975580466617586E-2</v>
      </c>
      <c r="AE17" s="562">
        <v>0.10837607268681319</v>
      </c>
      <c r="AF17" s="562">
        <v>0.11401196134485571</v>
      </c>
      <c r="AG17" s="593"/>
      <c r="AH17" s="602">
        <v>8.0616919093220316E-2</v>
      </c>
      <c r="AI17" s="563">
        <v>5.1293784226607818E-2</v>
      </c>
      <c r="AJ17" s="583">
        <v>0.117538216666114</v>
      </c>
    </row>
    <row r="18" spans="2:36" x14ac:dyDescent="0.25">
      <c r="B18" s="575"/>
      <c r="C18" s="608"/>
      <c r="D18" s="575"/>
      <c r="I18" s="594"/>
      <c r="J18" s="575"/>
      <c r="L18" s="581"/>
      <c r="N18" s="575"/>
      <c r="O18" s="608"/>
      <c r="P18" s="575"/>
      <c r="U18" s="594"/>
      <c r="V18" s="575"/>
      <c r="X18" s="581"/>
      <c r="Z18" s="575"/>
      <c r="AA18" s="608"/>
      <c r="AB18" s="575"/>
      <c r="AG18" s="594"/>
      <c r="AH18" s="575"/>
      <c r="AJ18" s="581"/>
    </row>
    <row r="19" spans="2:36" x14ac:dyDescent="0.25">
      <c r="B19" s="577" t="s">
        <v>549</v>
      </c>
      <c r="C19" s="612">
        <f>Model_DSV_ref!BP178</f>
        <v>12022</v>
      </c>
      <c r="D19" s="629">
        <f>Model_DSV_ref!BQ178</f>
        <v>16038.474999999969</v>
      </c>
      <c r="E19" s="564">
        <f>Model_DSV_ref!BR178</f>
        <v>19321.142405599967</v>
      </c>
      <c r="F19" s="564">
        <f>Model_DSV_ref!BS178</f>
        <v>22648.468586889965</v>
      </c>
      <c r="G19" s="564">
        <f>Model_DSV_ref!BT178</f>
        <v>24671.519321076754</v>
      </c>
      <c r="H19" s="564">
        <f>Model_DSV_ref!BU178</f>
        <v>26662.728693647841</v>
      </c>
      <c r="I19" s="595">
        <f>IFERROR((H19/C19)^(1/5)-1,"n/m")</f>
        <v>0.17269635151816054</v>
      </c>
      <c r="J19" s="600"/>
      <c r="K19" s="561"/>
      <c r="L19" s="582"/>
      <c r="N19" s="577" t="s">
        <v>549</v>
      </c>
      <c r="O19" s="612">
        <v>12022</v>
      </c>
      <c r="P19" s="629">
        <v>16144.168759999971</v>
      </c>
      <c r="Q19" s="564">
        <v>19830.267276799965</v>
      </c>
      <c r="R19" s="564">
        <v>23631.457702979962</v>
      </c>
      <c r="S19" s="564">
        <v>26173.418547208683</v>
      </c>
      <c r="T19" s="564">
        <v>28751.623686866482</v>
      </c>
      <c r="U19" s="595">
        <v>0.19052119165354897</v>
      </c>
      <c r="V19" s="600"/>
      <c r="W19" s="561"/>
      <c r="X19" s="582"/>
      <c r="Z19" s="577" t="s">
        <v>549</v>
      </c>
      <c r="AA19" s="612">
        <v>12022</v>
      </c>
      <c r="AB19" s="629">
        <v>13914.003259999976</v>
      </c>
      <c r="AC19" s="564">
        <v>15847.715939999973</v>
      </c>
      <c r="AD19" s="564">
        <v>17886.836856049973</v>
      </c>
      <c r="AE19" s="564">
        <v>18928.948650336868</v>
      </c>
      <c r="AF19" s="564">
        <v>19883.081344272261</v>
      </c>
      <c r="AG19" s="595">
        <v>0.10586316668997697</v>
      </c>
      <c r="AH19" s="600"/>
      <c r="AI19" s="561"/>
      <c r="AJ19" s="582"/>
    </row>
    <row r="20" spans="2:36" x14ac:dyDescent="0.25">
      <c r="B20" s="575"/>
      <c r="C20" s="608"/>
      <c r="D20" s="575"/>
      <c r="I20" s="594"/>
      <c r="J20" s="575"/>
      <c r="L20" s="581"/>
      <c r="N20" s="575"/>
      <c r="O20" s="608"/>
      <c r="P20" s="575"/>
      <c r="U20" s="594"/>
      <c r="V20" s="575"/>
      <c r="X20" s="581"/>
      <c r="Z20" s="575"/>
      <c r="AA20" s="608"/>
      <c r="AB20" s="575"/>
      <c r="AG20" s="594"/>
      <c r="AH20" s="575"/>
      <c r="AJ20" s="581"/>
    </row>
    <row r="21" spans="2:36" x14ac:dyDescent="0.25">
      <c r="B21" s="577" t="s">
        <v>550</v>
      </c>
      <c r="C21" s="612">
        <f>Model_DSV_ref!BP169</f>
        <v>236159</v>
      </c>
      <c r="D21" s="629">
        <f>Model_DSV_ref!BQ169</f>
        <v>235097.21077116189</v>
      </c>
      <c r="E21" s="564">
        <f>Model_DSV_ref!BR169</f>
        <v>232317.3293953719</v>
      </c>
      <c r="F21" s="564">
        <f>Model_DSV_ref!BS169</f>
        <v>227121.28944062427</v>
      </c>
      <c r="G21" s="564">
        <f>Model_DSV_ref!BT169</f>
        <v>219837.12127976312</v>
      </c>
      <c r="H21" s="564">
        <f>Model_DSV_ref!BU169</f>
        <v>211667.9607255263</v>
      </c>
      <c r="I21" s="595">
        <f>IFERROR((H21/C21)^(1/5)-1,"n/m")</f>
        <v>-2.1659291213921184E-2</v>
      </c>
      <c r="J21" s="600"/>
      <c r="K21" s="561"/>
      <c r="L21" s="582"/>
      <c r="N21" s="577" t="s">
        <v>550</v>
      </c>
      <c r="O21" s="612">
        <v>236159</v>
      </c>
      <c r="P21" s="629">
        <v>234502.31615674283</v>
      </c>
      <c r="Q21" s="564">
        <v>230610.48223063687</v>
      </c>
      <c r="R21" s="564">
        <v>222816.42229851545</v>
      </c>
      <c r="S21" s="564">
        <v>213104.19808403391</v>
      </c>
      <c r="T21" s="564">
        <v>201758.14175870499</v>
      </c>
      <c r="U21" s="595">
        <v>-3.0996571577329712E-2</v>
      </c>
      <c r="V21" s="600"/>
      <c r="W21" s="561"/>
      <c r="X21" s="582"/>
      <c r="Z21" s="577" t="s">
        <v>550</v>
      </c>
      <c r="AA21" s="612">
        <v>236159</v>
      </c>
      <c r="AB21" s="629">
        <v>235692.10538558094</v>
      </c>
      <c r="AC21" s="564">
        <v>234580.15283526495</v>
      </c>
      <c r="AD21" s="564">
        <v>233021.34084884066</v>
      </c>
      <c r="AE21" s="564">
        <v>230593.28479522027</v>
      </c>
      <c r="AF21" s="564">
        <v>226962.54677111501</v>
      </c>
      <c r="AG21" s="595">
        <v>-7.912588415801558E-3</v>
      </c>
      <c r="AH21" s="600"/>
      <c r="AI21" s="561"/>
      <c r="AJ21" s="582"/>
    </row>
    <row r="22" spans="2:36" x14ac:dyDescent="0.25">
      <c r="B22" s="575"/>
      <c r="C22" s="608"/>
      <c r="D22" s="575"/>
      <c r="I22" s="594"/>
      <c r="J22" s="575"/>
      <c r="L22" s="581"/>
      <c r="N22" s="575"/>
      <c r="O22" s="608"/>
      <c r="P22" s="575"/>
      <c r="U22" s="594"/>
      <c r="V22" s="575"/>
      <c r="X22" s="581"/>
      <c r="Z22" s="575"/>
      <c r="AA22" s="608"/>
      <c r="AB22" s="575"/>
      <c r="AG22" s="594"/>
      <c r="AH22" s="575"/>
      <c r="AJ22" s="581"/>
    </row>
    <row r="23" spans="2:36" x14ac:dyDescent="0.25">
      <c r="B23" s="576" t="s">
        <v>551</v>
      </c>
      <c r="C23" s="613">
        <f>Model_DSV_ref!BP180</f>
        <v>50.897911999966126</v>
      </c>
      <c r="D23" s="630">
        <f>Model_DSV_ref!BQ180</f>
        <v>68.220609455088109</v>
      </c>
      <c r="E23" s="572">
        <f>Model_DSV_ref!BR180</f>
        <v>83.167030440153084</v>
      </c>
      <c r="F23" s="572">
        <f>Model_DSV_ref!BS180</f>
        <v>99.719707662239628</v>
      </c>
      <c r="G23" s="572">
        <f>Model_DSV_ref!BT180</f>
        <v>112.22635730241372</v>
      </c>
      <c r="H23" s="572">
        <f>Model_DSV_ref!BU180</f>
        <v>125.96487726464133</v>
      </c>
      <c r="I23" s="592">
        <f>IFERROR((H23/C23)^(1/5)-1,"n/m")</f>
        <v>0.19869832996442227</v>
      </c>
      <c r="J23" s="575"/>
      <c r="L23" s="581"/>
      <c r="N23" s="576" t="s">
        <v>551</v>
      </c>
      <c r="O23" s="613">
        <v>50.897911999966126</v>
      </c>
      <c r="P23" s="630">
        <v>68.844389362914043</v>
      </c>
      <c r="Q23" s="572">
        <v>85.990311823585841</v>
      </c>
      <c r="R23" s="572">
        <v>106.0579712177589</v>
      </c>
      <c r="S23" s="572">
        <v>122.81981670247366</v>
      </c>
      <c r="T23" s="572">
        <v>142.50539500533426</v>
      </c>
      <c r="U23" s="592">
        <v>0.22864457658802051</v>
      </c>
      <c r="V23" s="575"/>
      <c r="X23" s="581"/>
      <c r="Z23" s="576" t="s">
        <v>551</v>
      </c>
      <c r="AA23" s="613">
        <v>50.897911999966126</v>
      </c>
      <c r="AB23" s="630">
        <v>59.034659804312646</v>
      </c>
      <c r="AC23" s="572">
        <v>67.557786745620845</v>
      </c>
      <c r="AD23" s="572">
        <v>76.760509534845738</v>
      </c>
      <c r="AE23" s="572">
        <v>82.088030738392206</v>
      </c>
      <c r="AF23" s="572">
        <v>87.60512087628166</v>
      </c>
      <c r="AG23" s="592">
        <v>0.11472028784834487</v>
      </c>
      <c r="AH23" s="575"/>
      <c r="AJ23" s="581"/>
    </row>
    <row r="24" spans="2:36" x14ac:dyDescent="0.25">
      <c r="B24" s="647" t="s">
        <v>552</v>
      </c>
      <c r="C24" s="614"/>
      <c r="D24" s="627">
        <f>IFERROR(D23/C23-1,"")</f>
        <v>0.34034200568254169</v>
      </c>
      <c r="E24" s="562">
        <f>IFERROR(E23/D23-1,"")</f>
        <v>0.21908952594310516</v>
      </c>
      <c r="F24" s="562">
        <f>IFERROR(F23/E23-1,"")</f>
        <v>0.19902931647893607</v>
      </c>
      <c r="G24" s="562">
        <f>IFERROR(G23/F23-1,"")</f>
        <v>0.12541803353992309</v>
      </c>
      <c r="H24" s="562">
        <f>IFERROR(H23/G23-1,"")</f>
        <v>0.1224179443444533</v>
      </c>
      <c r="I24" s="593"/>
      <c r="J24" s="600"/>
      <c r="K24" s="561"/>
      <c r="L24" s="582"/>
      <c r="N24" s="647" t="s">
        <v>552</v>
      </c>
      <c r="O24" s="614"/>
      <c r="P24" s="627">
        <v>0.35259751643564208</v>
      </c>
      <c r="Q24" s="562">
        <v>0.24905330150125748</v>
      </c>
      <c r="R24" s="562">
        <v>0.23337116668844082</v>
      </c>
      <c r="S24" s="562">
        <v>0.15804418368798734</v>
      </c>
      <c r="T24" s="562">
        <v>0.16028014722207384</v>
      </c>
      <c r="U24" s="593"/>
      <c r="V24" s="600"/>
      <c r="W24" s="561"/>
      <c r="X24" s="582"/>
      <c r="Z24" s="647" t="s">
        <v>552</v>
      </c>
      <c r="AA24" s="614"/>
      <c r="AB24" s="627">
        <v>0.15986407859622886</v>
      </c>
      <c r="AC24" s="562">
        <v>0.14437496497075708</v>
      </c>
      <c r="AD24" s="562">
        <v>0.13622001596761035</v>
      </c>
      <c r="AE24" s="562">
        <v>6.9404453355380813E-2</v>
      </c>
      <c r="AF24" s="562">
        <v>6.7209434655241873E-2</v>
      </c>
      <c r="AG24" s="593"/>
      <c r="AH24" s="600"/>
      <c r="AI24" s="561"/>
      <c r="AJ24" s="582"/>
    </row>
    <row r="25" spans="2:36" ht="16.5" thickBot="1" x14ac:dyDescent="0.3">
      <c r="B25" s="575"/>
      <c r="C25" s="608"/>
      <c r="D25" s="575"/>
      <c r="I25" s="594"/>
      <c r="J25" s="575"/>
      <c r="L25" s="581"/>
      <c r="N25" s="575"/>
      <c r="O25" s="608"/>
      <c r="P25" s="575"/>
      <c r="U25" s="594"/>
      <c r="V25" s="575"/>
      <c r="X25" s="581"/>
      <c r="Z25" s="575"/>
      <c r="AA25" s="608"/>
      <c r="AB25" s="575"/>
      <c r="AG25" s="594"/>
      <c r="AH25" s="575"/>
      <c r="AJ25" s="581"/>
    </row>
    <row r="26" spans="2:36" ht="32.1" customHeight="1" x14ac:dyDescent="0.25">
      <c r="B26" s="649" t="s">
        <v>561</v>
      </c>
      <c r="C26" s="615"/>
      <c r="D26" s="603"/>
      <c r="E26" s="567">
        <v>18</v>
      </c>
      <c r="F26" s="567">
        <f>E26</f>
        <v>18</v>
      </c>
      <c r="G26" s="567">
        <f>F26</f>
        <v>18</v>
      </c>
      <c r="H26" s="567">
        <f>G26</f>
        <v>18</v>
      </c>
      <c r="I26" s="596"/>
      <c r="J26" s="603"/>
      <c r="K26" s="566"/>
      <c r="L26" s="584"/>
      <c r="N26" s="649" t="s">
        <v>561</v>
      </c>
      <c r="O26" s="615"/>
      <c r="P26" s="603"/>
      <c r="Q26" s="567">
        <v>20</v>
      </c>
      <c r="R26" s="567">
        <v>20</v>
      </c>
      <c r="S26" s="567">
        <v>20</v>
      </c>
      <c r="T26" s="567">
        <v>20</v>
      </c>
      <c r="U26" s="596"/>
      <c r="V26" s="603"/>
      <c r="W26" s="566"/>
      <c r="X26" s="584"/>
      <c r="Z26" s="649" t="s">
        <v>561</v>
      </c>
      <c r="AA26" s="615"/>
      <c r="AB26" s="603"/>
      <c r="AC26" s="567">
        <v>15</v>
      </c>
      <c r="AD26" s="567">
        <v>15</v>
      </c>
      <c r="AE26" s="567">
        <v>15</v>
      </c>
      <c r="AF26" s="567">
        <v>15</v>
      </c>
      <c r="AG26" s="596"/>
      <c r="AH26" s="603"/>
      <c r="AI26" s="566"/>
      <c r="AJ26" s="584"/>
    </row>
    <row r="27" spans="2:36" x14ac:dyDescent="0.25">
      <c r="B27" s="578" t="s">
        <v>562</v>
      </c>
      <c r="C27" s="616"/>
      <c r="D27" s="604"/>
      <c r="E27" s="495">
        <f>E26*E23</f>
        <v>1497.0065479227555</v>
      </c>
      <c r="F27" s="495">
        <f>F26*F23</f>
        <v>1794.9547379203134</v>
      </c>
      <c r="G27" s="495">
        <f>G26*G23</f>
        <v>2020.0744314434469</v>
      </c>
      <c r="H27" s="495">
        <f>H26*H23</f>
        <v>2267.3677907635438</v>
      </c>
      <c r="I27" s="597"/>
      <c r="J27" s="604"/>
      <c r="K27" s="544"/>
      <c r="L27" s="585"/>
      <c r="N27" s="578" t="s">
        <v>562</v>
      </c>
      <c r="O27" s="616"/>
      <c r="P27" s="604"/>
      <c r="Q27" s="495">
        <v>1719.8062364717168</v>
      </c>
      <c r="R27" s="495">
        <v>2121.1594243551781</v>
      </c>
      <c r="S27" s="495">
        <v>2456.3963340494734</v>
      </c>
      <c r="T27" s="495">
        <v>2850.1079001066855</v>
      </c>
      <c r="U27" s="597"/>
      <c r="V27" s="604"/>
      <c r="W27" s="544"/>
      <c r="X27" s="585"/>
      <c r="Z27" s="578" t="s">
        <v>562</v>
      </c>
      <c r="AA27" s="616"/>
      <c r="AB27" s="604"/>
      <c r="AC27" s="495">
        <v>1013.3668011843126</v>
      </c>
      <c r="AD27" s="495">
        <v>1151.407643022686</v>
      </c>
      <c r="AE27" s="495">
        <v>1231.320461075883</v>
      </c>
      <c r="AF27" s="495">
        <v>1314.0768131442248</v>
      </c>
      <c r="AG27" s="597"/>
      <c r="AH27" s="604"/>
      <c r="AI27" s="544"/>
      <c r="AJ27" s="585"/>
    </row>
    <row r="28" spans="2:36" x14ac:dyDescent="0.25">
      <c r="B28" s="650" t="s">
        <v>563</v>
      </c>
      <c r="C28" s="617"/>
      <c r="D28" s="605"/>
      <c r="E28" s="644">
        <f>IFERROR(E27/$K$2-1,"")</f>
        <v>-1.8356362017865169E-2</v>
      </c>
      <c r="F28" s="644">
        <f>IFERROR(F27/$K$2-1,"")</f>
        <v>0.17701950027561542</v>
      </c>
      <c r="G28" s="644">
        <f>IFERROR(G27/$K$2-1,"")</f>
        <v>0.32463897143832576</v>
      </c>
      <c r="H28" s="644">
        <f>IFERROR(H27/$K$2-1,"")</f>
        <v>0.48679855132035654</v>
      </c>
      <c r="I28" s="598"/>
      <c r="J28" s="605"/>
      <c r="K28" s="171"/>
      <c r="L28" s="586"/>
      <c r="N28" s="650" t="s">
        <v>563</v>
      </c>
      <c r="O28" s="617"/>
      <c r="P28" s="605"/>
      <c r="Q28" s="644">
        <f>Q27/$K$2-1</f>
        <v>0.12774179440768307</v>
      </c>
      <c r="R28" s="644">
        <f t="shared" ref="R28:T28" si="2">R27/$K$2-1</f>
        <v>0.39092421269192013</v>
      </c>
      <c r="S28" s="644">
        <f t="shared" si="2"/>
        <v>0.61075169445867106</v>
      </c>
      <c r="T28" s="644">
        <f t="shared" si="2"/>
        <v>0.86892321318471177</v>
      </c>
      <c r="U28" s="598"/>
      <c r="V28" s="605"/>
      <c r="W28" s="171"/>
      <c r="X28" s="586"/>
      <c r="Z28" s="650" t="s">
        <v>563</v>
      </c>
      <c r="AA28" s="617"/>
      <c r="AB28" s="605"/>
      <c r="AC28" s="644">
        <f>AC27/$K$2-1</f>
        <v>-0.33549717955127045</v>
      </c>
      <c r="AD28" s="644">
        <f>AD27/$K$2-1</f>
        <v>-0.24497859473922234</v>
      </c>
      <c r="AE28" s="644">
        <f>AE27/$K$2-1</f>
        <v>-0.19257674683548653</v>
      </c>
      <c r="AF28" s="644">
        <f>AF27/$K$2-1</f>
        <v>-0.13831028646280341</v>
      </c>
      <c r="AG28" s="598"/>
      <c r="AH28" s="605"/>
      <c r="AI28" s="171"/>
      <c r="AJ28" s="586"/>
    </row>
    <row r="29" spans="2:36" ht="16.5" thickBot="1" x14ac:dyDescent="0.3">
      <c r="B29" s="579" t="s">
        <v>564</v>
      </c>
      <c r="C29" s="618"/>
      <c r="D29" s="579"/>
      <c r="E29" s="569"/>
      <c r="F29" s="645">
        <f ca="1">IFERROR((F27/$K$2)^(1/((DATE(VALUE(LEFT(F$7,4))-1,12,31)-$K$3)/365.25))-1,"")</f>
        <v>0.10750583364775301</v>
      </c>
      <c r="G29" s="645">
        <f ca="1">IFERROR((G27/$K$2)^(1/((DATE(VALUE(LEFT(G$7,4))-1,12,31)-$K$3)/365.25))-1,"")</f>
        <v>0.11427593838617844</v>
      </c>
      <c r="H29" s="645">
        <f ca="1">IFERROR((H27/$K$2)^(1/((DATE(VALUE(LEFT(H$7,4))-1,12,31)-$K$3)/365.25))-1,"")</f>
        <v>0.11655619668664907</v>
      </c>
      <c r="I29" s="599"/>
      <c r="J29" s="579"/>
      <c r="K29" s="568"/>
      <c r="L29" s="587"/>
      <c r="N29" s="579" t="s">
        <v>564</v>
      </c>
      <c r="O29" s="618"/>
      <c r="P29" s="579"/>
      <c r="Q29" s="569"/>
      <c r="R29" s="645">
        <f ca="1">IFERROR((R27/$K$2)^(1/((DATE(VALUE(LEFT(R$7,4))-1,12,31)-$K$3)/365.25))-1,"")</f>
        <v>0.22964499129995142</v>
      </c>
      <c r="S29" s="645">
        <f ca="1">IFERROR((S27/$K$2)^(1/((DATE(VALUE(LEFT(S$7,4))-1,12,31)-$K$3)/365.25))-1,"")</f>
        <v>0.20138145033505106</v>
      </c>
      <c r="T29" s="645">
        <f ca="1">IFERROR((T27/$K$2)^(1/((DATE(VALUE(LEFT(T$7,4))-1,12,31)-$K$3)/365.25))-1,"")</f>
        <v>0.18985419029615103</v>
      </c>
      <c r="U29" s="599"/>
      <c r="V29" s="579"/>
      <c r="W29" s="568"/>
      <c r="X29" s="587"/>
      <c r="Z29" s="579" t="s">
        <v>564</v>
      </c>
      <c r="AA29" s="618"/>
      <c r="AB29" s="579"/>
      <c r="AC29" s="569"/>
      <c r="AD29" s="645">
        <f ca="1">IFERROR((AD27/$K$2)^(1/((DATE(VALUE(LEFT(AD$7,4))-1,12,31)-$K$3)/365.25))-1,"")</f>
        <v>-0.16142603583903758</v>
      </c>
      <c r="AE29" s="645">
        <f ca="1">IFERROR((AE27/$K$2)^(1/((DATE(VALUE(LEFT(AE$7,4))-1,12,31)-$K$3)/365.25))-1,"")</f>
        <v>-7.9030517064086481E-2</v>
      </c>
      <c r="AF29" s="645">
        <f ca="1">IFERROR((AF27/$K$2)^(1/((DATE(VALUE(LEFT(AF$7,4))-1,12,31)-$K$3)/365.25))-1,"")</f>
        <v>-4.0533934893945633E-2</v>
      </c>
      <c r="AG29" s="599"/>
      <c r="AH29" s="579"/>
      <c r="AI29" s="568"/>
      <c r="AJ29" s="587"/>
    </row>
    <row r="30" spans="2:36" x14ac:dyDescent="0.25">
      <c r="B30" s="575"/>
      <c r="C30" s="608"/>
      <c r="D30" s="575"/>
      <c r="I30" s="594"/>
      <c r="J30" s="575"/>
      <c r="L30" s="581"/>
      <c r="N30" s="575"/>
      <c r="O30" s="608"/>
      <c r="P30" s="575"/>
      <c r="U30" s="594"/>
      <c r="V30" s="575"/>
      <c r="X30" s="581"/>
      <c r="Z30" s="575"/>
      <c r="AA30" s="608"/>
      <c r="AB30" s="575"/>
      <c r="AG30" s="594"/>
      <c r="AH30" s="575"/>
      <c r="AJ30" s="581"/>
    </row>
    <row r="31" spans="2:36" x14ac:dyDescent="0.25">
      <c r="B31" s="576" t="s">
        <v>555</v>
      </c>
      <c r="C31" s="609">
        <f>Model_DSV_ref!BP243</f>
        <v>19745</v>
      </c>
      <c r="D31" s="625">
        <f>Model_DSV_ref!BQ243</f>
        <v>20369.642943159826</v>
      </c>
      <c r="E31" s="570">
        <f>Model_DSV_ref!BR243</f>
        <v>26050.088004591766</v>
      </c>
      <c r="F31" s="570">
        <f>Model_DSV_ref!BS243</f>
        <v>30241.280840887423</v>
      </c>
      <c r="G31" s="570">
        <f>Model_DSV_ref!BT243</f>
        <v>28395.229792278304</v>
      </c>
      <c r="H31" s="570">
        <f>Model_DSV_ref!BU243</f>
        <v>30401.260314969666</v>
      </c>
      <c r="I31" s="592">
        <f>IFERROR((H31/C31)^(1/5)-1,"n/m")</f>
        <v>9.0151583614934694E-2</v>
      </c>
      <c r="J31" s="575"/>
      <c r="L31" s="581"/>
      <c r="N31" s="576" t="s">
        <v>555</v>
      </c>
      <c r="O31" s="609">
        <v>19745</v>
      </c>
      <c r="P31" s="625">
        <v>20741.230007853905</v>
      </c>
      <c r="Q31" s="570">
        <v>26712.031541873948</v>
      </c>
      <c r="R31" s="570">
        <v>31215.878311401615</v>
      </c>
      <c r="S31" s="570">
        <v>29800.606113672886</v>
      </c>
      <c r="T31" s="570">
        <v>32393.437120803141</v>
      </c>
      <c r="U31" s="592">
        <v>0.10407856570250296</v>
      </c>
      <c r="V31" s="575"/>
      <c r="X31" s="581"/>
      <c r="Z31" s="576" t="s">
        <v>555</v>
      </c>
      <c r="AA31" s="609">
        <v>19745</v>
      </c>
      <c r="AB31" s="625">
        <v>19574.593490684929</v>
      </c>
      <c r="AC31" s="570">
        <v>21866.206771086727</v>
      </c>
      <c r="AD31" s="570">
        <v>24385.753107637614</v>
      </c>
      <c r="AE31" s="570">
        <v>21992.769229238376</v>
      </c>
      <c r="AF31" s="570">
        <v>23269.209686397182</v>
      </c>
      <c r="AG31" s="592">
        <v>3.3391533362952641E-2</v>
      </c>
      <c r="AH31" s="575"/>
      <c r="AJ31" s="581"/>
    </row>
    <row r="32" spans="2:36" x14ac:dyDescent="0.25">
      <c r="B32" s="648" t="s">
        <v>580</v>
      </c>
      <c r="C32" s="619">
        <f t="shared" ref="C32:H32" si="3">IFERROR(C31/C9,"")</f>
        <v>7.9832289522946978E-2</v>
      </c>
      <c r="D32" s="631">
        <f t="shared" si="3"/>
        <v>7.4797118689428177E-2</v>
      </c>
      <c r="E32" s="573">
        <f t="shared" si="3"/>
        <v>9.0409574481313898E-2</v>
      </c>
      <c r="F32" s="573">
        <f t="shared" si="3"/>
        <v>9.9904688204888709E-2</v>
      </c>
      <c r="G32" s="573">
        <f t="shared" si="3"/>
        <v>9.018132340456865E-2</v>
      </c>
      <c r="H32" s="573">
        <f t="shared" si="3"/>
        <v>9.2821977119319318E-2</v>
      </c>
      <c r="I32" s="575"/>
      <c r="J32" s="606">
        <f>AVERAGE(IFERROR(Model_DSV_ref!H243/Model_DSV_ref!H146,NA()),IFERROR(Model_DSV_ref!N243/Model_DSV_ref!N146,NA()),IFERROR(Model_DSV_ref!T243/Model_DSV_ref!T146,NA()),IFERROR(Model_DSV_ref!Z243/Model_DSV_ref!Z146,NA()),IFERROR(Model_DSV_ref!AF243/Model_DSV_ref!AF146,NA()),IFERROR(Model_DSV_ref!AL243/Model_DSV_ref!AL146,NA()),IFERROR(Model_DSV_ref!AR243/Model_DSV_ref!AR146,NA()),IFERROR(Model_DSV_ref!AX243/Model_DSV_ref!AX146,NA()),IFERROR(Model_DSV_ref!BD243/Model_DSV_ref!BD146,NA()),IFERROR(Model_DSV_ref!BJ243/Model_DSV_ref!BJ146,NA()),IFERROR(Model_DSV_ref!BP243/Model_DSV_ref!BP146,NA()))</f>
        <v>7.0534882990977349E-2</v>
      </c>
      <c r="K32" s="559">
        <f>MIN(IFERROR(Model_DSV_ref!H243/Model_DSV_ref!H146,99),IFERROR(Model_DSV_ref!N243/Model_DSV_ref!N146,99),IFERROR(Model_DSV_ref!T243/Model_DSV_ref!T146,99),IFERROR(Model_DSV_ref!Z243/Model_DSV_ref!Z146,99),IFERROR(Model_DSV_ref!AF243/Model_DSV_ref!AF146,99),IFERROR(Model_DSV_ref!AL243/Model_DSV_ref!AL146,99),IFERROR(Model_DSV_ref!AR243/Model_DSV_ref!AR146,99),IFERROR(Model_DSV_ref!AX243/Model_DSV_ref!AX146,99),IFERROR(Model_DSV_ref!BD243/Model_DSV_ref!BD146,99),IFERROR(Model_DSV_ref!BJ243/Model_DSV_ref!BJ146,99),IFERROR(Model_DSV_ref!BP243/Model_DSV_ref!BP146,99))</f>
        <v>1.9307127990907346E-2</v>
      </c>
      <c r="L32" s="588">
        <f>MAX(IFERROR(Model_DSV_ref!H243/Model_DSV_ref!H146,-99),IFERROR(Model_DSV_ref!N243/Model_DSV_ref!N146,-99),IFERROR(Model_DSV_ref!T243/Model_DSV_ref!T146,-99),IFERROR(Model_DSV_ref!Z243/Model_DSV_ref!Z146,-99),IFERROR(Model_DSV_ref!AF243/Model_DSV_ref!AF146,-99),IFERROR(Model_DSV_ref!AL243/Model_DSV_ref!AL146,-99),IFERROR(Model_DSV_ref!AR243/Model_DSV_ref!AR146,-99),IFERROR(Model_DSV_ref!AX243/Model_DSV_ref!AX146,-99),IFERROR(Model_DSV_ref!BD243/Model_DSV_ref!BD146,-99),IFERROR(Model_DSV_ref!BJ243/Model_DSV_ref!BJ146,-99),IFERROR(Model_DSV_ref!BP243/Model_DSV_ref!BP146,-99))</f>
        <v>0.11098805507818302</v>
      </c>
      <c r="N32" s="648" t="s">
        <v>580</v>
      </c>
      <c r="O32" s="619">
        <v>7.9832289522946978E-2</v>
      </c>
      <c r="P32" s="631">
        <v>7.5542093491287099E-2</v>
      </c>
      <c r="Q32" s="573">
        <v>9.0439483548767186E-2</v>
      </c>
      <c r="R32" s="573">
        <v>9.9091792688288813E-2</v>
      </c>
      <c r="S32" s="573">
        <v>8.9565462452629169E-2</v>
      </c>
      <c r="T32" s="573">
        <v>9.2178800668435965E-2</v>
      </c>
      <c r="U32" s="575"/>
      <c r="V32" s="606">
        <v>7.0534882990977349E-2</v>
      </c>
      <c r="W32" s="559">
        <v>1.9307127990907346E-2</v>
      </c>
      <c r="X32" s="588">
        <v>0.11098805507818302</v>
      </c>
      <c r="Z32" s="648" t="s">
        <v>580</v>
      </c>
      <c r="AA32" s="619">
        <v>7.9832289522946978E-2</v>
      </c>
      <c r="AB32" s="631">
        <v>8.1027890278375897E-2</v>
      </c>
      <c r="AC32" s="573">
        <v>9.0205544797973158E-2</v>
      </c>
      <c r="AD32" s="573">
        <v>9.9392614556512049E-2</v>
      </c>
      <c r="AE32" s="573">
        <v>8.8563000042576848E-2</v>
      </c>
      <c r="AF32" s="573">
        <v>9.2577347718095393E-2</v>
      </c>
      <c r="AG32" s="575"/>
      <c r="AH32" s="606">
        <v>7.0534882990977349E-2</v>
      </c>
      <c r="AI32" s="559">
        <v>1.9307127990907346E-2</v>
      </c>
      <c r="AJ32" s="588">
        <v>0.11098805507818302</v>
      </c>
    </row>
    <row r="33" spans="2:36" x14ac:dyDescent="0.25">
      <c r="B33" s="648" t="s">
        <v>556</v>
      </c>
      <c r="C33" s="651">
        <f t="shared" ref="C33:H33" si="4">IFERROR(C31*1000/C21,"")</f>
        <v>83.60892449578462</v>
      </c>
      <c r="D33" s="652">
        <f t="shared" si="4"/>
        <v>86.643490479294371</v>
      </c>
      <c r="E33" s="653">
        <f t="shared" si="4"/>
        <v>112.13148873736461</v>
      </c>
      <c r="F33" s="653">
        <f t="shared" si="4"/>
        <v>133.15035730630316</v>
      </c>
      <c r="G33" s="653">
        <f t="shared" si="4"/>
        <v>129.16485453856876</v>
      </c>
      <c r="H33" s="653">
        <f t="shared" si="4"/>
        <v>143.62712340008574</v>
      </c>
      <c r="I33" s="594"/>
      <c r="J33" s="575"/>
      <c r="L33" s="581"/>
      <c r="N33" s="648" t="s">
        <v>556</v>
      </c>
      <c r="O33" s="651">
        <v>83.60892449578462</v>
      </c>
      <c r="P33" s="652">
        <v>88.447868438068369</v>
      </c>
      <c r="Q33" s="653">
        <v>115.83181858645462</v>
      </c>
      <c r="R33" s="653">
        <v>140.09684739296523</v>
      </c>
      <c r="S33" s="653">
        <v>139.84053989364179</v>
      </c>
      <c r="T33" s="653">
        <v>160.55578644030359</v>
      </c>
      <c r="U33" s="594"/>
      <c r="V33" s="575"/>
      <c r="X33" s="581"/>
      <c r="Z33" s="648" t="s">
        <v>556</v>
      </c>
      <c r="AA33" s="651">
        <v>83.60892449578462</v>
      </c>
      <c r="AB33" s="652">
        <v>83.051544975008127</v>
      </c>
      <c r="AC33" s="653">
        <v>93.214223397843796</v>
      </c>
      <c r="AD33" s="653">
        <v>104.6502994910517</v>
      </c>
      <c r="AE33" s="653">
        <v>95.374716782273964</v>
      </c>
      <c r="AF33" s="653">
        <v>102.52444739203376</v>
      </c>
      <c r="AG33" s="594"/>
      <c r="AH33" s="575"/>
      <c r="AJ33" s="581"/>
    </row>
    <row r="34" spans="2:36" x14ac:dyDescent="0.25">
      <c r="B34" s="647" t="s">
        <v>584</v>
      </c>
      <c r="C34" s="620"/>
      <c r="D34" s="632"/>
      <c r="E34" s="654">
        <f>IFERROR(E33/E$27,"")</f>
        <v>7.4903806461607075E-2</v>
      </c>
      <c r="F34" s="654">
        <f>IFERROR(F33/F$27,"")</f>
        <v>7.4180342541993585E-2</v>
      </c>
      <c r="G34" s="654">
        <f>IFERROR(G33/G$27,"")</f>
        <v>6.3940641259576672E-2</v>
      </c>
      <c r="H34" s="654">
        <f>IFERROR(H33/H$27,"")</f>
        <v>6.3345313444590656E-2</v>
      </c>
      <c r="I34" s="593"/>
      <c r="J34" s="600"/>
      <c r="K34" s="561"/>
      <c r="L34" s="582"/>
      <c r="N34" s="647" t="s">
        <v>584</v>
      </c>
      <c r="O34" s="620"/>
      <c r="P34" s="632"/>
      <c r="Q34" s="654">
        <v>6.735166795539152E-2</v>
      </c>
      <c r="R34" s="654">
        <v>6.6047297428176097E-2</v>
      </c>
      <c r="S34" s="654">
        <v>5.6929143703413995E-2</v>
      </c>
      <c r="T34" s="654">
        <v>5.6333230904799657E-2</v>
      </c>
      <c r="U34" s="593"/>
      <c r="V34" s="600"/>
      <c r="W34" s="561"/>
      <c r="X34" s="582"/>
      <c r="Z34" s="647" t="s">
        <v>584</v>
      </c>
      <c r="AA34" s="620"/>
      <c r="AB34" s="632"/>
      <c r="AC34" s="654">
        <v>9.1984682435723344E-2</v>
      </c>
      <c r="AD34" s="654">
        <v>9.0889008879880953E-2</v>
      </c>
      <c r="AE34" s="654">
        <v>7.7457266241591577E-2</v>
      </c>
      <c r="AF34" s="654">
        <v>7.8020132739973491E-2</v>
      </c>
      <c r="AG34" s="593"/>
      <c r="AH34" s="600"/>
      <c r="AI34" s="561"/>
      <c r="AJ34" s="582"/>
    </row>
    <row r="35" spans="2:36" x14ac:dyDescent="0.25">
      <c r="B35" s="576" t="s">
        <v>557</v>
      </c>
      <c r="C35" s="609">
        <f>Model_DSV_ref!BP209</f>
        <v>28244</v>
      </c>
      <c r="D35" s="625">
        <f>Model_DSV_ref!BQ209</f>
        <v>33433.18791999996</v>
      </c>
      <c r="E35" s="570">
        <f>Model_DSV_ref!BR209</f>
        <v>38045.280125333295</v>
      </c>
      <c r="F35" s="570">
        <f>Model_DSV_ref!BS209</f>
        <v>42697.844493178622</v>
      </c>
      <c r="G35" s="570">
        <f>Model_DSV_ref!BT209</f>
        <v>45741.366836184476</v>
      </c>
      <c r="H35" s="570">
        <f>Model_DSV_ref!BU209</f>
        <v>48638.073397593515</v>
      </c>
      <c r="I35" s="592">
        <f>IFERROR((H35/C35)^(1/5)-1,"n/m")</f>
        <v>0.11483355568770715</v>
      </c>
      <c r="J35" s="575"/>
      <c r="L35" s="581"/>
      <c r="N35" s="576" t="s">
        <v>557</v>
      </c>
      <c r="O35" s="609">
        <v>28244</v>
      </c>
      <c r="P35" s="625">
        <v>33692.861199999963</v>
      </c>
      <c r="Q35" s="570">
        <v>39001.119717333291</v>
      </c>
      <c r="R35" s="570">
        <v>44406.572568693286</v>
      </c>
      <c r="S35" s="570">
        <v>48277.178062439845</v>
      </c>
      <c r="T35" s="570">
        <v>52095.6233090643</v>
      </c>
      <c r="U35" s="592">
        <v>0.13025127899828948</v>
      </c>
      <c r="V35" s="575"/>
      <c r="X35" s="581"/>
      <c r="Z35" s="576" t="s">
        <v>557</v>
      </c>
      <c r="AA35" s="609">
        <v>28244</v>
      </c>
      <c r="AB35" s="625">
        <v>29661.017266666629</v>
      </c>
      <c r="AC35" s="570">
        <v>32056.434439999957</v>
      </c>
      <c r="AD35" s="570">
        <v>34670.610019173298</v>
      </c>
      <c r="AE35" s="570">
        <v>36130.122843624224</v>
      </c>
      <c r="AF35" s="570">
        <v>37379.371134418856</v>
      </c>
      <c r="AG35" s="592">
        <v>5.764801233745942E-2</v>
      </c>
      <c r="AH35" s="575"/>
      <c r="AJ35" s="581"/>
    </row>
    <row r="36" spans="2:36" x14ac:dyDescent="0.25">
      <c r="B36" s="647" t="s">
        <v>558</v>
      </c>
      <c r="C36" s="610">
        <f t="shared" ref="C36:H36" si="5">IFERROR(C35/C9,"")</f>
        <v>0.1141951473935738</v>
      </c>
      <c r="D36" s="627">
        <f t="shared" si="5"/>
        <v>0.12276632103941401</v>
      </c>
      <c r="E36" s="562">
        <f t="shared" si="5"/>
        <v>0.13204015228460933</v>
      </c>
      <c r="F36" s="562">
        <f t="shared" si="5"/>
        <v>0.14105602416629184</v>
      </c>
      <c r="G36" s="562">
        <f t="shared" si="5"/>
        <v>0.14527147784318004</v>
      </c>
      <c r="H36" s="562">
        <f t="shared" si="5"/>
        <v>0.14850312418844547</v>
      </c>
      <c r="I36" s="600"/>
      <c r="J36" s="602">
        <f>AVERAGE(Model_DSV_ref!H140,Model_DSV_ref!N140,Model_DSV_ref!T140,Model_DSV_ref!Z140,Model_DSV_ref!AF140,Model_DSV_ref!AL140,Model_DSV_ref!AR140,Model_DSV_ref!AX140,Model_DSV_ref!BD140,Model_DSV_ref!BJ140,Model_DSV_ref!BP140)</f>
        <v>0.10460532598461335</v>
      </c>
      <c r="K36" s="563">
        <f>MIN(Model_DSV_ref!H140,Model_DSV_ref!N140,Model_DSV_ref!T140,Model_DSV_ref!Z140,Model_DSV_ref!AF140,Model_DSV_ref!AL140,Model_DSV_ref!AR140,Model_DSV_ref!AX140,Model_DSV_ref!BD140,Model_DSV_ref!BJ140,Model_DSV_ref!BP140)</f>
        <v>6.2733405169232592E-2</v>
      </c>
      <c r="L36" s="583">
        <f>MAX(Model_DSV_ref!H140,Model_DSV_ref!N140,Model_DSV_ref!T140,Model_DSV_ref!Z140,Model_DSV_ref!AF140,Model_DSV_ref!AL140,Model_DSV_ref!AR140,Model_DSV_ref!AX140,Model_DSV_ref!BD140,Model_DSV_ref!BJ140,Model_DSV_ref!BP140)</f>
        <v>0.15251517060715589</v>
      </c>
      <c r="N36" s="647" t="s">
        <v>558</v>
      </c>
      <c r="O36" s="610">
        <v>0.1141951473935738</v>
      </c>
      <c r="P36" s="627">
        <v>0.12271351649808504</v>
      </c>
      <c r="Q36" s="562">
        <v>0.13204690626132043</v>
      </c>
      <c r="R36" s="562">
        <v>0.1409643784191453</v>
      </c>
      <c r="S36" s="562">
        <v>0.14509663872529288</v>
      </c>
      <c r="T36" s="562">
        <v>0.14824336357997148</v>
      </c>
      <c r="U36" s="600"/>
      <c r="V36" s="602">
        <v>0.10460532598461335</v>
      </c>
      <c r="W36" s="563">
        <v>6.2733405169232592E-2</v>
      </c>
      <c r="X36" s="583">
        <v>0.15251517060715589</v>
      </c>
      <c r="Z36" s="647" t="s">
        <v>558</v>
      </c>
      <c r="AA36" s="610">
        <v>0.1141951473935738</v>
      </c>
      <c r="AB36" s="627">
        <v>0.12278005434811105</v>
      </c>
      <c r="AC36" s="562">
        <v>0.13224370203817445</v>
      </c>
      <c r="AD36" s="562">
        <v>0.14131212445497732</v>
      </c>
      <c r="AE36" s="562">
        <v>0.1454929134928685</v>
      </c>
      <c r="AF36" s="562">
        <v>0.14871510831834467</v>
      </c>
      <c r="AG36" s="600"/>
      <c r="AH36" s="602">
        <v>0.10460532598461335</v>
      </c>
      <c r="AI36" s="563">
        <v>6.2733405169232592E-2</v>
      </c>
      <c r="AJ36" s="583">
        <v>0.15251517060715589</v>
      </c>
    </row>
    <row r="37" spans="2:36" x14ac:dyDescent="0.25">
      <c r="B37" s="575"/>
      <c r="C37" s="608"/>
      <c r="D37" s="575"/>
      <c r="I37" s="575"/>
      <c r="J37" s="575"/>
      <c r="L37" s="581"/>
      <c r="N37" s="575"/>
      <c r="O37" s="608"/>
      <c r="P37" s="575"/>
      <c r="U37" s="575"/>
      <c r="V37" s="575"/>
      <c r="X37" s="581"/>
      <c r="Z37" s="575"/>
      <c r="AA37" s="608"/>
      <c r="AB37" s="575"/>
      <c r="AG37" s="575"/>
      <c r="AH37" s="575"/>
      <c r="AJ37" s="581"/>
    </row>
    <row r="38" spans="2:36" x14ac:dyDescent="0.25">
      <c r="B38" s="576" t="s">
        <v>559</v>
      </c>
      <c r="C38" s="609">
        <f>Model_DSV_ref!BP379</f>
        <v>53826</v>
      </c>
      <c r="D38" s="625">
        <f>Model_DSV_ref!BQ379</f>
        <v>42265.079556840174</v>
      </c>
      <c r="E38" s="570">
        <f>Model_DSV_ref!BR379</f>
        <v>28425.855792808408</v>
      </c>
      <c r="F38" s="570">
        <f>Model_DSV_ref!BS379</f>
        <v>15841.54681060998</v>
      </c>
      <c r="G38" s="570">
        <f>Model_DSV_ref!BT379</f>
        <v>10321.468950439354</v>
      </c>
      <c r="H38" s="570">
        <f>Model_DSV_ref!BU379</f>
        <v>5995.3565048344681</v>
      </c>
      <c r="I38" s="575"/>
      <c r="J38" s="575"/>
      <c r="L38" s="581"/>
      <c r="N38" s="576" t="s">
        <v>559</v>
      </c>
      <c r="O38" s="609">
        <v>53826</v>
      </c>
      <c r="P38" s="625">
        <v>42941.561868146091</v>
      </c>
      <c r="Q38" s="570">
        <v>30528.80705395214</v>
      </c>
      <c r="R38" s="570">
        <v>22083.199512848525</v>
      </c>
      <c r="S38" s="570">
        <v>20315.435253896507</v>
      </c>
      <c r="T38" s="570">
        <v>21213.535501780018</v>
      </c>
      <c r="U38" s="575"/>
      <c r="V38" s="575"/>
      <c r="X38" s="581"/>
      <c r="Z38" s="576" t="s">
        <v>559</v>
      </c>
      <c r="AA38" s="609">
        <v>53826</v>
      </c>
      <c r="AB38" s="625">
        <v>41772.681835315067</v>
      </c>
      <c r="AC38" s="570">
        <v>28657.496658228341</v>
      </c>
      <c r="AD38" s="570">
        <v>14340.052236195726</v>
      </c>
      <c r="AE38" s="570">
        <v>4595.6778719910362</v>
      </c>
      <c r="AF38" s="570">
        <v>-3291.3486799789171</v>
      </c>
      <c r="AG38" s="575"/>
      <c r="AH38" s="575"/>
      <c r="AJ38" s="581"/>
    </row>
    <row r="39" spans="2:36" x14ac:dyDescent="0.25">
      <c r="B39" s="647" t="s">
        <v>560</v>
      </c>
      <c r="C39" s="621">
        <f t="shared" ref="C39:H39" si="6">IFERROR(C38/C35,"")</f>
        <v>1.9057498937827504</v>
      </c>
      <c r="D39" s="633">
        <f t="shared" si="6"/>
        <v>1.2641654052845173</v>
      </c>
      <c r="E39" s="565">
        <f t="shared" si="6"/>
        <v>0.74715853580692715</v>
      </c>
      <c r="F39" s="565">
        <f t="shared" si="6"/>
        <v>0.371015141364825</v>
      </c>
      <c r="G39" s="565">
        <f t="shared" si="6"/>
        <v>0.22564845924705473</v>
      </c>
      <c r="H39" s="565">
        <f t="shared" si="6"/>
        <v>0.12326467900620222</v>
      </c>
      <c r="I39" s="600"/>
      <c r="J39" s="600"/>
      <c r="K39" s="561"/>
      <c r="L39" s="582"/>
      <c r="N39" s="647" t="s">
        <v>560</v>
      </c>
      <c r="O39" s="621">
        <v>1.9057498937827504</v>
      </c>
      <c r="P39" s="633">
        <v>1.2745003047751295</v>
      </c>
      <c r="Q39" s="565">
        <v>0.78276745065819742</v>
      </c>
      <c r="R39" s="565">
        <v>0.49729574329763115</v>
      </c>
      <c r="S39" s="565">
        <v>0.42080825908302477</v>
      </c>
      <c r="T39" s="565">
        <v>0.40720379475887758</v>
      </c>
      <c r="U39" s="600"/>
      <c r="V39" s="600"/>
      <c r="W39" s="561"/>
      <c r="X39" s="582"/>
      <c r="Z39" s="647" t="s">
        <v>560</v>
      </c>
      <c r="AA39" s="621">
        <v>1.9057498937827504</v>
      </c>
      <c r="AB39" s="633">
        <v>1.4083361153718641</v>
      </c>
      <c r="AC39" s="565">
        <v>0.89397018598143196</v>
      </c>
      <c r="AD39" s="565">
        <v>0.41360830479375732</v>
      </c>
      <c r="AE39" s="565">
        <v>0.12719795866406863</v>
      </c>
      <c r="AF39" s="565">
        <v>-8.8052542889044197E-2</v>
      </c>
      <c r="AG39" s="600"/>
      <c r="AH39" s="600"/>
      <c r="AI39" s="561"/>
      <c r="AJ39" s="582"/>
    </row>
    <row r="40" spans="2:36" x14ac:dyDescent="0.25">
      <c r="B40" s="575"/>
      <c r="C40" s="608"/>
      <c r="D40" s="575"/>
      <c r="I40" s="575"/>
      <c r="J40" s="575"/>
      <c r="L40" s="581"/>
      <c r="N40" s="575"/>
      <c r="O40" s="608"/>
      <c r="P40" s="575"/>
      <c r="U40" s="575"/>
      <c r="V40" s="575"/>
      <c r="X40" s="581"/>
      <c r="Z40" s="575"/>
      <c r="AA40" s="608"/>
      <c r="AB40" s="575"/>
      <c r="AG40" s="575"/>
      <c r="AH40" s="575"/>
      <c r="AJ40" s="581"/>
    </row>
    <row r="41" spans="2:36" x14ac:dyDescent="0.25">
      <c r="B41" s="576" t="s">
        <v>565</v>
      </c>
      <c r="C41" s="622">
        <f>Model_DSV_ref!BP357</f>
        <v>8.6897782131113141E-2</v>
      </c>
      <c r="D41" s="634">
        <f>Model_DSV_ref!BQ357</f>
        <v>0.10626437427605047</v>
      </c>
      <c r="E41" s="574">
        <f>Model_DSV_ref!BR357</f>
        <v>0.12403677222925641</v>
      </c>
      <c r="F41" s="574">
        <f>Model_DSV_ref!BS357</f>
        <v>0.14120658295610303</v>
      </c>
      <c r="G41" s="574">
        <f>Model_DSV_ref!BT357</f>
        <v>0.14974913532246917</v>
      </c>
      <c r="H41" s="574">
        <f>Model_DSV_ref!BU357</f>
        <v>0.1576260557222422</v>
      </c>
      <c r="I41" s="642"/>
      <c r="J41" s="636">
        <f>AVERAGE(Model_DSV_ref!H357,Model_DSV_ref!N357,Model_DSV_ref!T357,Model_DSV_ref!Z357,Model_DSV_ref!AF357,Model_DSV_ref!AL357,Model_DSV_ref!AR357,Model_DSV_ref!AX357,Model_DSV_ref!BD357,Model_DSV_ref!BJ357,Model_DSV_ref!BP357)</f>
        <v>0.15327290321047157</v>
      </c>
      <c r="K41" s="637">
        <f>MIN(Model_DSV_ref!H357,Model_DSV_ref!N357,Model_DSV_ref!T357,Model_DSV_ref!Z357,Model_DSV_ref!AF357,Model_DSV_ref!AL357,Model_DSV_ref!AR357,Model_DSV_ref!AX357,Model_DSV_ref!BD357,Model_DSV_ref!BJ357,Model_DSV_ref!BP357)</f>
        <v>8.6897782131113141E-2</v>
      </c>
      <c r="L41" s="638">
        <f>MAX(Model_DSV_ref!H357,Model_DSV_ref!N357,Model_DSV_ref!T357,Model_DSV_ref!Z357,Model_DSV_ref!AF357,Model_DSV_ref!AL357,Model_DSV_ref!AR357,Model_DSV_ref!AX357,Model_DSV_ref!BD357,Model_DSV_ref!BJ357,Model_DSV_ref!BP357)</f>
        <v>0.22859952501998976</v>
      </c>
      <c r="N41" s="576" t="s">
        <v>565</v>
      </c>
      <c r="O41" s="622">
        <v>8.6897782131113141E-2</v>
      </c>
      <c r="P41" s="634">
        <v>0.10686651811133722</v>
      </c>
      <c r="Q41" s="574">
        <v>0.12690842240934472</v>
      </c>
      <c r="R41" s="574">
        <v>0.1466088628288183</v>
      </c>
      <c r="S41" s="574">
        <v>0.15770211226595837</v>
      </c>
      <c r="T41" s="574">
        <v>0.16827451510688007</v>
      </c>
      <c r="U41" s="642"/>
      <c r="V41" s="636">
        <v>0.15327290321047157</v>
      </c>
      <c r="W41" s="637">
        <v>8.6897782131113141E-2</v>
      </c>
      <c r="X41" s="638">
        <v>0.22859952501998976</v>
      </c>
      <c r="Z41" s="576" t="s">
        <v>565</v>
      </c>
      <c r="AA41" s="622">
        <v>8.6897782131113141E-2</v>
      </c>
      <c r="AB41" s="634">
        <v>9.4078427188427766E-2</v>
      </c>
      <c r="AC41" s="574">
        <v>0.10446087160727272</v>
      </c>
      <c r="AD41" s="574">
        <v>0.11504889049878721</v>
      </c>
      <c r="AE41" s="574">
        <v>0.11924722028216188</v>
      </c>
      <c r="AF41" s="574">
        <v>0.12276983123233104</v>
      </c>
      <c r="AG41" s="642"/>
      <c r="AH41" s="636">
        <v>0.15327290321047157</v>
      </c>
      <c r="AI41" s="637">
        <v>8.6897782131113141E-2</v>
      </c>
      <c r="AJ41" s="638">
        <v>0.22859952501998976</v>
      </c>
    </row>
    <row r="42" spans="2:36" ht="16.5" thickBot="1" x14ac:dyDescent="0.3">
      <c r="B42" s="589" t="s">
        <v>566</v>
      </c>
      <c r="C42" s="623">
        <f>Model_DSV_ref!BP371</f>
        <v>0.20133680954246425</v>
      </c>
      <c r="D42" s="635">
        <f>Model_DSV_ref!BQ371</f>
        <v>0.21367006000250174</v>
      </c>
      <c r="E42" s="590">
        <f>Model_DSV_ref!BR371</f>
        <v>0.22146342775466693</v>
      </c>
      <c r="F42" s="590">
        <f>Model_DSV_ref!BS371</f>
        <v>0.22292824196945146</v>
      </c>
      <c r="G42" s="590">
        <f>Model_DSV_ref!BT371</f>
        <v>0.22681889896030397</v>
      </c>
      <c r="H42" s="590">
        <f>Model_DSV_ref!BU371</f>
        <v>0.2300743951044997</v>
      </c>
      <c r="I42" s="643"/>
      <c r="J42" s="639">
        <f>AVERAGE(Model_DSV_ref!H371,Model_DSV_ref!N371,Model_DSV_ref!T371,Model_DSV_ref!Z371,Model_DSV_ref!AF371,Model_DSV_ref!AL371,Model_DSV_ref!AR371,Model_DSV_ref!AX371,Model_DSV_ref!BD371,Model_DSV_ref!BJ371,Model_DSV_ref!BP371)</f>
        <v>0.33779764405831192</v>
      </c>
      <c r="K42" s="640">
        <f>MIN(Model_DSV_ref!H371,Model_DSV_ref!N371,Model_DSV_ref!T371,Model_DSV_ref!Z371,Model_DSV_ref!AF371,Model_DSV_ref!AL371,Model_DSV_ref!AR371,Model_DSV_ref!AX371,Model_DSV_ref!BD371,Model_DSV_ref!BJ371,Model_DSV_ref!BP371)</f>
        <v>9.8577380232886105E-2</v>
      </c>
      <c r="L42" s="641">
        <f>MAX(Model_DSV_ref!H371,Model_DSV_ref!N371,Model_DSV_ref!T371,Model_DSV_ref!Z371,Model_DSV_ref!AF371,Model_DSV_ref!AL371,Model_DSV_ref!AR371,Model_DSV_ref!AX371,Model_DSV_ref!BD371,Model_DSV_ref!BJ371,Model_DSV_ref!BP371)</f>
        <v>0.62210874136377292</v>
      </c>
      <c r="N42" s="589" t="s">
        <v>566</v>
      </c>
      <c r="O42" s="623">
        <v>0.20133680954246425</v>
      </c>
      <c r="P42" s="635">
        <v>0.21652430758645061</v>
      </c>
      <c r="Q42" s="590">
        <v>0.23137706662327409</v>
      </c>
      <c r="R42" s="590">
        <v>0.24473275246952059</v>
      </c>
      <c r="S42" s="590">
        <v>0.26002506361726152</v>
      </c>
      <c r="T42" s="590">
        <v>0.27810640712982115</v>
      </c>
      <c r="U42" s="643"/>
      <c r="V42" s="639">
        <v>0.33779764405831192</v>
      </c>
      <c r="W42" s="640">
        <v>9.8577380232886105E-2</v>
      </c>
      <c r="X42" s="641">
        <v>0.62210874136377292</v>
      </c>
      <c r="Z42" s="589" t="s">
        <v>566</v>
      </c>
      <c r="AA42" s="623">
        <v>0.20133680954246425</v>
      </c>
      <c r="AB42" s="635">
        <v>0.18876005386276182</v>
      </c>
      <c r="AC42" s="590">
        <v>0.18805393025690628</v>
      </c>
      <c r="AD42" s="590">
        <v>0.18054846800191118</v>
      </c>
      <c r="AE42" s="590">
        <v>0.17392064607691943</v>
      </c>
      <c r="AF42" s="590">
        <v>0.16868577298090356</v>
      </c>
      <c r="AG42" s="643"/>
      <c r="AH42" s="639">
        <v>0.33779764405831192</v>
      </c>
      <c r="AI42" s="640">
        <v>9.8577380232886105E-2</v>
      </c>
      <c r="AJ42" s="641">
        <v>0.62210874136377292</v>
      </c>
    </row>
    <row r="44" spans="2:36" x14ac:dyDescent="0.25">
      <c r="B44" s="3" t="s">
        <v>567</v>
      </c>
      <c r="E44" s="16">
        <f>E27*E21/1000</f>
        <v>347780.56330079935</v>
      </c>
      <c r="F44" s="16">
        <f>F27*F21/1000</f>
        <v>407672.43456401938</v>
      </c>
      <c r="G44" s="16">
        <f>G27*G21/1000</f>
        <v>444087.34777938155</v>
      </c>
      <c r="H44" s="16">
        <f>H27*H21/1000</f>
        <v>479929.11648566107</v>
      </c>
      <c r="N44" s="3" t="s">
        <v>567</v>
      </c>
      <c r="Q44" s="16">
        <v>396605.34553599934</v>
      </c>
      <c r="R44" s="16">
        <v>472629.15405959927</v>
      </c>
      <c r="S44" s="16">
        <v>523468.37094417372</v>
      </c>
      <c r="T44" s="16">
        <v>575032.47373732971</v>
      </c>
      <c r="Z44" s="3" t="s">
        <v>567</v>
      </c>
      <c r="AC44" s="16">
        <v>237715.7390999996</v>
      </c>
      <c r="AD44" s="16">
        <v>268302.55284074956</v>
      </c>
      <c r="AE44" s="16">
        <v>283934.22975505306</v>
      </c>
      <c r="AF44" s="16">
        <v>298246.22016408388</v>
      </c>
    </row>
    <row r="45" spans="2:36" x14ac:dyDescent="0.25">
      <c r="B45" s="210" t="s">
        <v>568</v>
      </c>
      <c r="E45" s="211">
        <f>E38</f>
        <v>28425.855792808408</v>
      </c>
      <c r="F45" s="211">
        <f>F38</f>
        <v>15841.54681060998</v>
      </c>
      <c r="G45" s="211">
        <f>G38</f>
        <v>10321.468950439354</v>
      </c>
      <c r="H45" s="211">
        <f>H38</f>
        <v>5995.3565048344681</v>
      </c>
      <c r="N45" s="210" t="s">
        <v>568</v>
      </c>
      <c r="Q45" s="211">
        <v>30528.80705395214</v>
      </c>
      <c r="R45" s="211">
        <v>22083.199512848525</v>
      </c>
      <c r="S45" s="211">
        <v>20315.435253896507</v>
      </c>
      <c r="T45" s="211">
        <v>21213.535501780018</v>
      </c>
      <c r="Z45" s="210" t="s">
        <v>568</v>
      </c>
      <c r="AC45" s="211">
        <v>28657.496658228341</v>
      </c>
      <c r="AD45" s="211">
        <v>14340.052236195726</v>
      </c>
      <c r="AE45" s="211">
        <v>4595.6778719910362</v>
      </c>
      <c r="AF45" s="211">
        <v>-3291.3486799789171</v>
      </c>
    </row>
    <row r="46" spans="2:36" x14ac:dyDescent="0.25">
      <c r="B46" s="57" t="s">
        <v>569</v>
      </c>
      <c r="C46" s="543"/>
      <c r="D46" s="543"/>
      <c r="E46" s="495">
        <f>E44+E45</f>
        <v>376206.41909360775</v>
      </c>
      <c r="F46" s="495">
        <f>F44+F45</f>
        <v>423513.98137462937</v>
      </c>
      <c r="G46" s="495">
        <f>G44+G45</f>
        <v>454408.81672982092</v>
      </c>
      <c r="H46" s="495">
        <f>H44+H45</f>
        <v>485924.47299049556</v>
      </c>
      <c r="N46" s="57" t="s">
        <v>569</v>
      </c>
      <c r="O46" s="543"/>
      <c r="P46" s="543"/>
      <c r="Q46" s="495">
        <v>427134.15258995147</v>
      </c>
      <c r="R46" s="495">
        <v>494712.35357244778</v>
      </c>
      <c r="S46" s="495">
        <v>543783.80619807018</v>
      </c>
      <c r="T46" s="495">
        <v>596246.0092391097</v>
      </c>
      <c r="Z46" s="57" t="s">
        <v>569</v>
      </c>
      <c r="AA46" s="543"/>
      <c r="AB46" s="543"/>
      <c r="AC46" s="495">
        <v>266373.23575822794</v>
      </c>
      <c r="AD46" s="495">
        <v>282642.60507694527</v>
      </c>
      <c r="AE46" s="495">
        <v>288529.90762704413</v>
      </c>
      <c r="AF46" s="495">
        <v>294954.87148410495</v>
      </c>
    </row>
    <row r="47" spans="2:36" x14ac:dyDescent="0.25">
      <c r="B47" s="546" t="s">
        <v>570</v>
      </c>
      <c r="C47" s="547"/>
      <c r="D47" s="547"/>
      <c r="E47" s="548">
        <f>IFERROR(E46/E35,"")</f>
        <v>9.8883860982036076</v>
      </c>
      <c r="F47" s="548">
        <f>IFERROR(F46/F35,"")</f>
        <v>9.9188609261596259</v>
      </c>
      <c r="G47" s="548">
        <f>IFERROR(G46/G35,"")</f>
        <v>9.9343077865865865</v>
      </c>
      <c r="H47" s="548">
        <f>IFERROR(H46/H35,"")</f>
        <v>9.9906192627798003</v>
      </c>
      <c r="N47" s="546" t="s">
        <v>570</v>
      </c>
      <c r="O47" s="547"/>
      <c r="P47" s="547"/>
      <c r="Q47" s="548">
        <v>10.951843323619244</v>
      </c>
      <c r="R47" s="548">
        <v>11.140520984977366</v>
      </c>
      <c r="S47" s="548">
        <v>11.263786079102658</v>
      </c>
      <c r="T47" s="548">
        <v>11.445222676419474</v>
      </c>
      <c r="Z47" s="546" t="s">
        <v>570</v>
      </c>
      <c r="AA47" s="547"/>
      <c r="AB47" s="547"/>
      <c r="AC47" s="548">
        <v>8.3095091644330825</v>
      </c>
      <c r="AD47" s="548">
        <v>8.1522247494532181</v>
      </c>
      <c r="AE47" s="548">
        <v>7.9858545977227466</v>
      </c>
      <c r="AF47" s="548">
        <v>7.8908462751667603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D7069-7D6B-476F-A14B-9B05B222C04C}">
  <dimension ref="B2:N99"/>
  <sheetViews>
    <sheetView showWhiteSpace="0" zoomScale="70" zoomScaleNormal="70" zoomScalePageLayoutView="90" workbookViewId="0">
      <selection activeCell="B60" sqref="B60"/>
    </sheetView>
  </sheetViews>
  <sheetFormatPr defaultColWidth="9" defaultRowHeight="15.75" x14ac:dyDescent="0.25"/>
  <cols>
    <col min="1" max="1" width="10.625" customWidth="1"/>
    <col min="2" max="2" width="32" customWidth="1"/>
    <col min="3" max="16" width="10.625" customWidth="1"/>
  </cols>
  <sheetData>
    <row r="2" spans="2:4" ht="18.75" x14ac:dyDescent="0.3">
      <c r="B2" s="481" t="s">
        <v>436</v>
      </c>
    </row>
    <row r="4" spans="2:4" x14ac:dyDescent="0.25">
      <c r="B4" s="148" t="s">
        <v>437</v>
      </c>
    </row>
    <row r="5" spans="2:4" x14ac:dyDescent="0.25">
      <c r="B5" t="s">
        <v>483</v>
      </c>
      <c r="C5" s="484">
        <v>0.04</v>
      </c>
    </row>
    <row r="6" spans="2:4" x14ac:dyDescent="0.25">
      <c r="B6" t="s">
        <v>438</v>
      </c>
      <c r="C6" s="484">
        <v>5.5E-2</v>
      </c>
      <c r="D6" t="s">
        <v>445</v>
      </c>
    </row>
    <row r="7" spans="2:4" x14ac:dyDescent="0.25">
      <c r="B7" t="s">
        <v>439</v>
      </c>
      <c r="C7" s="485">
        <v>0.9</v>
      </c>
      <c r="D7" t="s">
        <v>446</v>
      </c>
    </row>
    <row r="8" spans="2:4" x14ac:dyDescent="0.25">
      <c r="B8" t="s">
        <v>440</v>
      </c>
      <c r="C8" s="484">
        <f>C5+C7*C6</f>
        <v>8.9499999999999996E-2</v>
      </c>
    </row>
    <row r="9" spans="2:4" x14ac:dyDescent="0.25">
      <c r="B9" t="s">
        <v>441</v>
      </c>
      <c r="C9" s="484">
        <v>4.4999999999999998E-2</v>
      </c>
      <c r="D9" t="s">
        <v>447</v>
      </c>
    </row>
    <row r="10" spans="2:4" x14ac:dyDescent="0.25">
      <c r="B10" t="s">
        <v>442</v>
      </c>
      <c r="C10" s="484">
        <v>0.25</v>
      </c>
      <c r="D10" t="s">
        <v>448</v>
      </c>
    </row>
    <row r="11" spans="2:4" x14ac:dyDescent="0.25">
      <c r="B11" t="s">
        <v>443</v>
      </c>
      <c r="C11" s="484">
        <f>C9*(1-C10)</f>
        <v>3.3750000000000002E-2</v>
      </c>
    </row>
    <row r="12" spans="2:4" x14ac:dyDescent="0.25">
      <c r="B12" t="s">
        <v>444</v>
      </c>
      <c r="C12" s="484">
        <v>0.15</v>
      </c>
      <c r="D12" t="s">
        <v>449</v>
      </c>
    </row>
    <row r="13" spans="2:4" x14ac:dyDescent="0.25">
      <c r="B13" s="3" t="s">
        <v>450</v>
      </c>
      <c r="C13" s="483">
        <f>C8*(1-C12)+C11*C12</f>
        <v>8.1137499999999987E-2</v>
      </c>
    </row>
    <row r="15" spans="2:4" x14ac:dyDescent="0.25">
      <c r="B15" s="3" t="s">
        <v>585</v>
      </c>
      <c r="C15" s="655">
        <f ca="1">TODAY()</f>
        <v>46169</v>
      </c>
      <c r="D15" s="539" t="s">
        <v>586</v>
      </c>
    </row>
    <row r="16" spans="2:4" x14ac:dyDescent="0.25">
      <c r="B16" s="148" t="s">
        <v>451</v>
      </c>
    </row>
    <row r="17" spans="2:14" x14ac:dyDescent="0.25">
      <c r="D17" s="63" t="s">
        <v>269</v>
      </c>
      <c r="E17" s="63" t="s">
        <v>270</v>
      </c>
      <c r="F17" s="63" t="s">
        <v>271</v>
      </c>
      <c r="G17" s="63" t="s">
        <v>272</v>
      </c>
      <c r="H17" s="63" t="s">
        <v>273</v>
      </c>
      <c r="I17" s="63" t="s">
        <v>452</v>
      </c>
      <c r="J17" s="63" t="s">
        <v>453</v>
      </c>
      <c r="K17" s="63" t="s">
        <v>454</v>
      </c>
      <c r="L17" s="63" t="s">
        <v>455</v>
      </c>
      <c r="M17" s="63" t="s">
        <v>456</v>
      </c>
      <c r="N17" s="63" t="s">
        <v>457</v>
      </c>
    </row>
    <row r="18" spans="2:14" x14ac:dyDescent="0.25">
      <c r="B18" t="s">
        <v>196</v>
      </c>
      <c r="D18" s="1">
        <f>Model_DSV_ref!BQ153</f>
        <v>24150.633333333291</v>
      </c>
      <c r="E18" s="1">
        <f>Model_DSV_ref!BR153</f>
        <v>28468.523207466624</v>
      </c>
      <c r="F18" s="1">
        <f>Model_DSV_ref!BS153</f>
        <v>32877.624782519953</v>
      </c>
      <c r="G18" s="1">
        <f>Model_DSV_ref!BT153</f>
        <v>35569.692428102338</v>
      </c>
      <c r="H18" s="1">
        <f>Model_DSV_ref!BU153</f>
        <v>38196.304924863791</v>
      </c>
      <c r="I18" s="1">
        <f>H18*(1+0.04)</f>
        <v>39724.157121858341</v>
      </c>
      <c r="J18" s="1">
        <f>I18*(1+0.035)</f>
        <v>41114.502621123378</v>
      </c>
      <c r="K18" s="1">
        <f>J18*(1+0.03)</f>
        <v>42347.93769975708</v>
      </c>
      <c r="L18" s="1">
        <f>K18*(1+0.0275)</f>
        <v>43512.5059865004</v>
      </c>
      <c r="M18" s="1">
        <f>L18*(1+0.025)</f>
        <v>44600.318636162905</v>
      </c>
      <c r="N18" s="1"/>
    </row>
    <row r="19" spans="2:14" x14ac:dyDescent="0.25">
      <c r="B19" t="s">
        <v>458</v>
      </c>
      <c r="D19" s="486">
        <f t="shared" ref="D19:M19" si="0">1-$C$10</f>
        <v>0.75</v>
      </c>
      <c r="E19" s="486">
        <f t="shared" si="0"/>
        <v>0.75</v>
      </c>
      <c r="F19" s="486">
        <f t="shared" si="0"/>
        <v>0.75</v>
      </c>
      <c r="G19" s="486">
        <f t="shared" si="0"/>
        <v>0.75</v>
      </c>
      <c r="H19" s="486">
        <f t="shared" si="0"/>
        <v>0.75</v>
      </c>
      <c r="I19" s="486">
        <f t="shared" si="0"/>
        <v>0.75</v>
      </c>
      <c r="J19" s="486">
        <f t="shared" si="0"/>
        <v>0.75</v>
      </c>
      <c r="K19" s="486">
        <f t="shared" si="0"/>
        <v>0.75</v>
      </c>
      <c r="L19" s="486">
        <f t="shared" si="0"/>
        <v>0.75</v>
      </c>
      <c r="M19" s="486">
        <f t="shared" si="0"/>
        <v>0.75</v>
      </c>
      <c r="N19" s="486"/>
    </row>
    <row r="20" spans="2:14" x14ac:dyDescent="0.25">
      <c r="B20" s="3" t="s">
        <v>480</v>
      </c>
      <c r="D20" s="1">
        <f t="shared" ref="D20:M20" si="1">D18*D19</f>
        <v>18112.974999999969</v>
      </c>
      <c r="E20" s="1">
        <f t="shared" si="1"/>
        <v>21351.392405599967</v>
      </c>
      <c r="F20" s="1">
        <f t="shared" si="1"/>
        <v>24658.218586889965</v>
      </c>
      <c r="G20" s="1">
        <f t="shared" si="1"/>
        <v>26677.269321076754</v>
      </c>
      <c r="H20" s="1">
        <f t="shared" si="1"/>
        <v>28647.228693647841</v>
      </c>
      <c r="I20" s="1">
        <f t="shared" si="1"/>
        <v>29793.117841393756</v>
      </c>
      <c r="J20" s="1">
        <f t="shared" si="1"/>
        <v>30835.876965842534</v>
      </c>
      <c r="K20" s="1">
        <f t="shared" si="1"/>
        <v>31760.95327481781</v>
      </c>
      <c r="L20" s="1">
        <f t="shared" si="1"/>
        <v>32634.3794898753</v>
      </c>
      <c r="M20" s="1">
        <f t="shared" si="1"/>
        <v>33450.238977122179</v>
      </c>
      <c r="N20" s="1"/>
    </row>
    <row r="21" spans="2:14" x14ac:dyDescent="0.25">
      <c r="B21" t="s">
        <v>482</v>
      </c>
      <c r="D21" s="1">
        <f>Model_DSV_ref!BQ152</f>
        <v>9282.5545866666635</v>
      </c>
      <c r="E21" s="1">
        <f>Model_DSV_ref!BR152</f>
        <v>9576.7569178666654</v>
      </c>
      <c r="F21" s="1">
        <f>Model_DSV_ref!BS152</f>
        <v>9820.2197106586646</v>
      </c>
      <c r="G21" s="1">
        <f>Model_DSV_ref!BT152</f>
        <v>10171.674408082132</v>
      </c>
      <c r="H21" s="1">
        <f>Model_DSV_ref!BU152</f>
        <v>10441.768472729716</v>
      </c>
      <c r="I21" s="1">
        <f>H21*(1+0.04)</f>
        <v>10859.439211638906</v>
      </c>
      <c r="J21" s="1">
        <f>I21*(1+0.035)</f>
        <v>11239.519584046267</v>
      </c>
      <c r="K21" s="1">
        <f>J21*(1+0.03)</f>
        <v>11576.705171567655</v>
      </c>
      <c r="L21" s="1">
        <f>K21*(1+0.0275)</f>
        <v>11895.064563785767</v>
      </c>
      <c r="M21" s="1">
        <f>L21*(1+0.025)</f>
        <v>12192.44117788041</v>
      </c>
      <c r="N21" s="1"/>
    </row>
    <row r="22" spans="2:14" x14ac:dyDescent="0.25">
      <c r="B22" t="s">
        <v>459</v>
      </c>
      <c r="D22" s="1">
        <f>-(Model_DSV_ref!BQ146)*0.017</f>
        <v>-4629.6426399999928</v>
      </c>
      <c r="E22" s="1">
        <f>-(Model_DSV_ref!BR146)*0.017</f>
        <v>-4898.2809466666595</v>
      </c>
      <c r="F22" s="1">
        <f>-(Model_DSV_ref!BS146)*0.017</f>
        <v>-5145.9224139786593</v>
      </c>
      <c r="G22" s="1">
        <f>-(Model_DSV_ref!BT146)*0.017</f>
        <v>-5352.7591772319938</v>
      </c>
      <c r="H22" s="1">
        <f>-(Model_DSV_ref!BU146)*0.017</f>
        <v>-5567.877795687642</v>
      </c>
      <c r="I22" s="1">
        <f>H22*(1+0.04)</f>
        <v>-5790.592907515148</v>
      </c>
      <c r="J22" s="1">
        <f>I22*(1+0.035)</f>
        <v>-5993.2636592781773</v>
      </c>
      <c r="K22" s="1">
        <f>J22*(1+0.03)</f>
        <v>-6173.0615690565228</v>
      </c>
      <c r="L22" s="1">
        <f>K22*(1+0.0275)</f>
        <v>-6342.8207622055779</v>
      </c>
      <c r="M22" s="1">
        <f>L22*(1+0.025)</f>
        <v>-6501.3912812607168</v>
      </c>
      <c r="N22" s="1"/>
    </row>
    <row r="23" spans="2:14" x14ac:dyDescent="0.25">
      <c r="B23" t="s">
        <v>460</v>
      </c>
      <c r="D23" s="1">
        <f>Model_DSV_ref!BQ213</f>
        <v>-1370.4940035068212</v>
      </c>
      <c r="E23" s="1">
        <f>Model_DSV_ref!BR213</f>
        <v>62.969627791782841</v>
      </c>
      <c r="F23" s="1">
        <f>Model_DSV_ref!BS213</f>
        <v>-282.73504268255056</v>
      </c>
      <c r="G23" s="1">
        <f>Model_DSV_ref!BT213</f>
        <v>-935.20475964859361</v>
      </c>
      <c r="H23" s="1">
        <f>Model_DSV_ref!BU213</f>
        <v>-964.10905572025513</v>
      </c>
      <c r="I23" s="1">
        <f>H23*(1+0.04)</f>
        <v>-1002.6734179490654</v>
      </c>
      <c r="J23" s="1">
        <f>I23*(1+0.035)</f>
        <v>-1037.7669875772826</v>
      </c>
      <c r="K23" s="1">
        <f>J23*(1+0.03)</f>
        <v>-1068.899997204601</v>
      </c>
      <c r="L23" s="1">
        <f>K23*(1+0.0275)</f>
        <v>-1098.2947471277278</v>
      </c>
      <c r="M23" s="1">
        <f>L23*(1+0.025)</f>
        <v>-1125.7521158059208</v>
      </c>
      <c r="N23" s="1"/>
    </row>
    <row r="24" spans="2:14" x14ac:dyDescent="0.25">
      <c r="B24" s="482" t="s">
        <v>481</v>
      </c>
      <c r="C24" s="482"/>
      <c r="D24" s="287">
        <f>D20+D21+D22+D23</f>
        <v>21395.392943159823</v>
      </c>
      <c r="E24" s="287">
        <f>E20+E21+E22+E23</f>
        <v>26092.838004591758</v>
      </c>
      <c r="F24" s="287">
        <f>F20+F21+F22+F23</f>
        <v>29049.780840887419</v>
      </c>
      <c r="G24" s="287">
        <f>G20+G21+G22+G23</f>
        <v>30560.979792278296</v>
      </c>
      <c r="H24" s="287">
        <f>H20+H21+H22+H23</f>
        <v>32557.010314969659</v>
      </c>
      <c r="I24" s="287">
        <f>H24*(1+0.04)</f>
        <v>33859.290727568448</v>
      </c>
      <c r="J24" s="287">
        <f>I24*(1+0.035)</f>
        <v>35044.365903033344</v>
      </c>
      <c r="K24" s="287">
        <f>J24*(1+0.03)</f>
        <v>36095.696880124342</v>
      </c>
      <c r="L24" s="287">
        <f>K24*(1+0.0275)</f>
        <v>37088.328544327764</v>
      </c>
      <c r="M24" s="287">
        <f>L24*(1+0.025)</f>
        <v>38015.536757935952</v>
      </c>
      <c r="N24" s="287">
        <f>M24*(1+$C$27)</f>
        <v>38965.925176884346</v>
      </c>
    </row>
    <row r="25" spans="2:14" x14ac:dyDescent="0.25">
      <c r="B25" s="482" t="s">
        <v>462</v>
      </c>
      <c r="C25" s="482"/>
      <c r="D25" s="287"/>
      <c r="E25" s="287"/>
      <c r="F25" s="287"/>
      <c r="G25" s="287"/>
      <c r="H25" s="287"/>
      <c r="I25" s="287"/>
      <c r="J25" s="287"/>
      <c r="K25" s="287"/>
      <c r="L25" s="287"/>
      <c r="M25" s="287"/>
      <c r="N25" s="287">
        <f>N24/($C$13-$C$27)</f>
        <v>694115.79028072779</v>
      </c>
    </row>
    <row r="27" spans="2:14" x14ac:dyDescent="0.25">
      <c r="B27" t="s">
        <v>461</v>
      </c>
      <c r="C27" s="15">
        <v>2.5000000000000001E-2</v>
      </c>
    </row>
    <row r="29" spans="2:14" x14ac:dyDescent="0.25">
      <c r="B29" t="s">
        <v>463</v>
      </c>
      <c r="D29" s="656">
        <f ca="1">(DATE(2026,12,31)-$C$15)/365.25</f>
        <v>0.59685147159479812</v>
      </c>
      <c r="E29" s="656">
        <f ca="1">(DATE(2027,12,31)-$C$15)/365.25</f>
        <v>1.5961670088980151</v>
      </c>
      <c r="F29" s="656">
        <f ca="1">(DATE(2028,12,31)-$C$15)/365.25</f>
        <v>2.5982203969883639</v>
      </c>
      <c r="G29" s="656">
        <f ca="1">(DATE(2029,12,31)-$C$15)/365.25</f>
        <v>3.5975359342915811</v>
      </c>
      <c r="H29" s="656">
        <f ca="1">(DATE(2030,12,31)-$C$15)/365.25</f>
        <v>4.5968514715947979</v>
      </c>
      <c r="I29" s="656">
        <f ca="1">(DATE(2031,12,31)-$C$15)/365.25</f>
        <v>5.5961670088980151</v>
      </c>
      <c r="J29" s="656">
        <f ca="1">(DATE(2032,12,31)-$C$15)/365.25</f>
        <v>6.5982203969883644</v>
      </c>
      <c r="K29" s="656">
        <f ca="1">(DATE(2033,12,31)-$C$15)/365.25</f>
        <v>7.5975359342915807</v>
      </c>
      <c r="L29" s="656">
        <f ca="1">(DATE(2034,12,31)-$C$15)/365.25</f>
        <v>8.5968514715947979</v>
      </c>
      <c r="M29" s="656">
        <f ca="1">(DATE(2035,12,31)-$C$15)/365.25</f>
        <v>9.5961670088980142</v>
      </c>
      <c r="N29" s="656">
        <f ca="1">M29</f>
        <v>9.5961670088980142</v>
      </c>
    </row>
    <row r="30" spans="2:14" x14ac:dyDescent="0.25">
      <c r="B30" t="s">
        <v>464</v>
      </c>
      <c r="D30" s="656">
        <f t="shared" ref="D30:N30" ca="1" si="2">1/(1+$C$13)^D29</f>
        <v>0.95450479894112761</v>
      </c>
      <c r="E30" s="656">
        <f t="shared" ca="1" si="2"/>
        <v>0.88291800854095148</v>
      </c>
      <c r="F30" s="656">
        <f t="shared" ca="1" si="2"/>
        <v>0.81652572689586855</v>
      </c>
      <c r="G30" s="656">
        <f t="shared" ca="1" si="2"/>
        <v>0.75528721229385742</v>
      </c>
      <c r="H30" s="656">
        <f t="shared" ca="1" si="2"/>
        <v>0.69864151766938398</v>
      </c>
      <c r="I30" s="656">
        <f t="shared" ca="1" si="2"/>
        <v>0.64624418667037675</v>
      </c>
      <c r="J30" s="656">
        <f t="shared" ca="1" si="2"/>
        <v>0.59764893134896802</v>
      </c>
      <c r="K30" s="656">
        <f t="shared" ca="1" si="2"/>
        <v>0.55282593116203382</v>
      </c>
      <c r="L30" s="656">
        <f t="shared" ca="1" si="2"/>
        <v>0.51136460576505205</v>
      </c>
      <c r="M30" s="656">
        <f t="shared" ca="1" si="2"/>
        <v>0.47301283331552535</v>
      </c>
      <c r="N30" s="656">
        <f t="shared" ca="1" si="2"/>
        <v>0.47301283331552535</v>
      </c>
    </row>
    <row r="31" spans="2:14" x14ac:dyDescent="0.25">
      <c r="B31" t="s">
        <v>465</v>
      </c>
      <c r="D31" s="1">
        <f t="shared" ref="D31:M31" ca="1" si="3">D24*D30</f>
        <v>20422.005239477188</v>
      </c>
      <c r="E31" s="1">
        <f t="shared" ca="1" si="3"/>
        <v>23037.836568195809</v>
      </c>
      <c r="F31" s="1">
        <f t="shared" ca="1" si="3"/>
        <v>23719.893417271276</v>
      </c>
      <c r="G31" s="1">
        <f t="shared" ca="1" si="3"/>
        <v>23082.317232278783</v>
      </c>
      <c r="H31" s="1">
        <f t="shared" ca="1" si="3"/>
        <v>22745.679097228192</v>
      </c>
      <c r="I31" s="1">
        <f t="shared" ca="1" si="3"/>
        <v>21881.3697974733</v>
      </c>
      <c r="J31" s="1">
        <f t="shared" ca="1" si="3"/>
        <v>20944.22783175009</v>
      </c>
      <c r="K31" s="1">
        <f t="shared" ca="1" si="3"/>
        <v>19954.637238697258</v>
      </c>
      <c r="L31" s="1">
        <f t="shared" ca="1" si="3"/>
        <v>18965.658504554893</v>
      </c>
      <c r="M31" s="1">
        <f t="shared" ca="1" si="3"/>
        <v>17981.836751881787</v>
      </c>
      <c r="N31" s="1">
        <f ca="1">N25*N30</f>
        <v>328325.67660973204</v>
      </c>
    </row>
    <row r="34" spans="2:3" x14ac:dyDescent="0.25">
      <c r="B34" s="148" t="s">
        <v>466</v>
      </c>
    </row>
    <row r="35" spans="2:3" x14ac:dyDescent="0.25">
      <c r="B35" t="s">
        <v>467</v>
      </c>
      <c r="C35" s="1">
        <f ca="1">SUM(D31:M31)</f>
        <v>212735.46167880858</v>
      </c>
    </row>
    <row r="36" spans="2:3" x14ac:dyDescent="0.25">
      <c r="B36" t="s">
        <v>468</v>
      </c>
      <c r="C36" s="1">
        <f ca="1">N31</f>
        <v>328325.67660973204</v>
      </c>
    </row>
    <row r="37" spans="2:3" x14ac:dyDescent="0.25">
      <c r="B37" s="8" t="s">
        <v>469</v>
      </c>
      <c r="C37" s="492">
        <f ca="1">C35+C36</f>
        <v>541061.13828854065</v>
      </c>
    </row>
    <row r="38" spans="2:3" x14ac:dyDescent="0.25">
      <c r="B38" t="s">
        <v>587</v>
      </c>
      <c r="C38" s="1">
        <f>Model_DSV_ref!BQ356</f>
        <v>42265.079556840174</v>
      </c>
    </row>
    <row r="39" spans="2:3" x14ac:dyDescent="0.25">
      <c r="B39" s="8" t="s">
        <v>470</v>
      </c>
      <c r="C39" s="493">
        <f ca="1">C37-C38</f>
        <v>498796.05873170047</v>
      </c>
    </row>
    <row r="40" spans="2:3" x14ac:dyDescent="0.25">
      <c r="B40" t="s">
        <v>471</v>
      </c>
      <c r="C40" s="1">
        <f>Model_DSV_ref!BQ168</f>
        <v>234597.21077116189</v>
      </c>
    </row>
    <row r="41" spans="2:3" x14ac:dyDescent="0.25">
      <c r="B41" s="3" t="s">
        <v>472</v>
      </c>
      <c r="C41" s="58">
        <f ca="1">C39*1000/C40</f>
        <v>2126.1806868550184</v>
      </c>
    </row>
    <row r="42" spans="2:3" x14ac:dyDescent="0.25">
      <c r="B42" t="s">
        <v>473</v>
      </c>
      <c r="C42" s="2">
        <v>1571</v>
      </c>
    </row>
    <row r="43" spans="2:3" x14ac:dyDescent="0.25">
      <c r="B43" s="3" t="s">
        <v>474</v>
      </c>
      <c r="C43" s="487">
        <f ca="1">C41/C42-1</f>
        <v>0.35339318068428915</v>
      </c>
    </row>
    <row r="46" spans="2:3" x14ac:dyDescent="0.25">
      <c r="B46" s="148" t="s">
        <v>475</v>
      </c>
    </row>
    <row r="48" spans="2:3" x14ac:dyDescent="0.25">
      <c r="B48" s="3" t="s">
        <v>476</v>
      </c>
    </row>
    <row r="49" spans="2:8" x14ac:dyDescent="0.25">
      <c r="B49" s="3" t="s">
        <v>477</v>
      </c>
      <c r="D49" s="488">
        <v>6.5000000000000002E-2</v>
      </c>
      <c r="E49" s="488">
        <v>7.0000000000000007E-2</v>
      </c>
      <c r="F49" s="488">
        <v>7.4999999999999997E-2</v>
      </c>
      <c r="G49" s="488">
        <v>0.08</v>
      </c>
      <c r="H49" s="488">
        <v>8.5000000000000006E-2</v>
      </c>
    </row>
    <row r="50" spans="2:8" x14ac:dyDescent="0.25">
      <c r="B50" s="488">
        <v>0.02</v>
      </c>
      <c r="D50" s="489" cm="1">
        <f t="array" aca="1" ref="D50" ca="1">IFERROR((SUMPRODUCT($D$24:$M$24/(1+D$49)^$D$29:$M$29)+($M$24*(1+$B50)/(D$49-$B50))/(1+D$49)^$M$29-$C$38)*1000/$C$40,"")</f>
        <v>2804.2427857357111</v>
      </c>
      <c r="E50" s="489" cm="1">
        <f t="array" aca="1" ref="E50" ca="1">IFERROR((SUMPRODUCT($D$24:$M$24/(1+E$49)^$D$29:$M$29)+($M$24*(1+$B50)/(E$49-$B50))/(1+E$49)^$M$29-$C$38)*1000/$C$40,"")</f>
        <v>2501.4386105590424</v>
      </c>
      <c r="F50" s="489" cm="1">
        <f t="array" aca="1" ref="F50" ca="1">IFERROR((SUMPRODUCT($D$24:$M$24/(1+F$49)^$D$29:$M$29)+($M$24*(1+$B50)/(F$49-$B50))/(1+F$49)^$M$29-$C$38)*1000/$C$40,"")</f>
        <v>2253.838958186363</v>
      </c>
      <c r="G50" s="489" cm="1">
        <f t="array" aca="1" ref="G50" ca="1">IFERROR((SUMPRODUCT($D$24:$M$24/(1+G$49)^$D$29:$M$29)+($M$24*(1+$B50)/(G$49-$B50))/(1+G$49)^$M$29-$C$38)*1000/$C$40,"")</f>
        <v>2047.6382149921942</v>
      </c>
      <c r="H50" s="489" cm="1">
        <f t="array" aca="1" ref="H50" ca="1">IFERROR((SUMPRODUCT($D$24:$M$24/(1+H$49)^$D$29:$M$29)+($M$24*(1+$B50)/(H$49-$B50))/(1+H$49)^$M$29-$C$38)*1000/$C$40,"")</f>
        <v>1873.2788110451302</v>
      </c>
    </row>
    <row r="51" spans="2:8" x14ac:dyDescent="0.25">
      <c r="B51" s="488">
        <v>2.2499999999999999E-2</v>
      </c>
      <c r="D51" s="489" cm="1">
        <f t="array" aca="1" ref="D51" ca="1">IFERROR((SUMPRODUCT($D$24:$M$24/(1+D$49)^$D$29:$M$29)+($M$24*(1+$B51)/(D$49-$B51))/(1+D$49)^$M$29-$C$38)*1000/$C$40,"")</f>
        <v>2927.5177971322082</v>
      </c>
      <c r="E51" s="489" cm="1">
        <f t="array" aca="1" ref="E51" ca="1">IFERROR((SUMPRODUCT($D$24:$M$24/(1+E$49)^$D$29:$M$29)+($M$24*(1+$B51)/(E$49-$B51))/(1+E$49)^$M$29-$C$38)*1000/$C$40,"")</f>
        <v>2596.7899541271781</v>
      </c>
      <c r="F51" s="489" cm="1">
        <f t="array" aca="1" ref="F51" ca="1">IFERROR((SUMPRODUCT($D$24:$M$24/(1+F$49)^$D$29:$M$29)+($M$24*(1+$B51)/(F$49-$B51))/(1+F$49)^$M$29-$C$38)*1000/$C$40,"")</f>
        <v>2329.1855988694124</v>
      </c>
      <c r="G51" s="489" cm="1">
        <f t="array" aca="1" ref="G51" ca="1">IFERROR((SUMPRODUCT($D$24:$M$24/(1+G$49)^$D$29:$M$29)+($M$24*(1+$B51)/(G$49-$B51))/(1+G$49)^$M$29-$C$38)*1000/$C$40,"")</f>
        <v>2108.2340831412239</v>
      </c>
      <c r="H51" s="489" cm="1">
        <f t="array" aca="1" ref="H51" ca="1">IFERROR((SUMPRODUCT($D$24:$M$24/(1+H$49)^$D$29:$M$29)+($M$24*(1+$B51)/(H$49-$B51))/(1+H$49)^$M$29-$C$38)*1000/$C$40,"")</f>
        <v>1922.7354923756295</v>
      </c>
    </row>
    <row r="52" spans="2:8" x14ac:dyDescent="0.25">
      <c r="B52" s="488">
        <v>2.5000000000000001E-2</v>
      </c>
      <c r="D52" s="489" cm="1">
        <f t="array" aca="1" ref="D52" ca="1">IFERROR((SUMPRODUCT($D$24:$M$24/(1+D$49)^$D$29:$M$29)+($M$24*(1+$B52)/(D$49-$B52))/(1+D$49)^$M$29-$C$38)*1000/$C$40,"")</f>
        <v>3066.2021849532671</v>
      </c>
      <c r="E52" s="489" cm="1">
        <f t="array" aca="1" ref="E52" ca="1">IFERROR((SUMPRODUCT($D$24:$M$24/(1+E$49)^$D$29:$M$29)+($M$24*(1+$B52)/(E$49-$B52))/(1+E$49)^$M$29-$C$38)*1000/$C$40,"")</f>
        <v>2702.7358914251067</v>
      </c>
      <c r="F52" s="490" cm="1">
        <f t="array" aca="1" ref="F52" ca="1">IFERROR((SUMPRODUCT($D$24:$M$24/(1+F$49)^$D$29:$M$29)+($M$24*(1+$B52)/(F$49-$B52))/(1+F$49)^$M$29-$C$38)*1000/$C$40,"")</f>
        <v>2412.0669036207655</v>
      </c>
      <c r="G52" s="489" cm="1">
        <f t="array" aca="1" ref="G52" ca="1">IFERROR((SUMPRODUCT($D$24:$M$24/(1+G$49)^$D$29:$M$29)+($M$24*(1+$B52)/(G$49-$B52))/(1+G$49)^$M$29-$C$38)*1000/$C$40,"")</f>
        <v>2174.3386665765292</v>
      </c>
      <c r="H52" s="489" cm="1">
        <f t="array" aca="1" ref="H52" ca="1">IFERROR((SUMPRODUCT($D$24:$M$24/(1+H$49)^$D$29:$M$29)+($M$24*(1+$B52)/(H$49-$B52))/(1+H$49)^$M$29-$C$38)*1000/$C$40,"")</f>
        <v>1976.3135638170036</v>
      </c>
    </row>
    <row r="53" spans="2:8" x14ac:dyDescent="0.25">
      <c r="B53" s="488">
        <v>2.75E-2</v>
      </c>
      <c r="D53" s="489" cm="1">
        <f t="array" aca="1" ref="D53" ca="1">IFERROR((SUMPRODUCT($D$24:$M$24/(1+D$49)^$D$29:$M$29)+($M$24*(1+$B53)/(D$49-$B53))/(1+D$49)^$M$29-$C$38)*1000/$C$40,"")</f>
        <v>3223.3778244838013</v>
      </c>
      <c r="E53" s="489" cm="1">
        <f t="array" aca="1" ref="E53" ca="1">IFERROR((SUMPRODUCT($D$24:$M$24/(1+E$49)^$D$29:$M$29)+($M$24*(1+$B53)/(E$49-$B53))/(1+E$49)^$M$29-$C$38)*1000/$C$40,"")</f>
        <v>2821.1460566404389</v>
      </c>
      <c r="F53" s="489" cm="1">
        <f t="array" aca="1" ref="F53" ca="1">IFERROR((SUMPRODUCT($D$24:$M$24/(1+F$49)^$D$29:$M$29)+($M$24*(1+$B53)/(F$49-$B53))/(1+F$49)^$M$29-$C$38)*1000/$C$40,"")</f>
        <v>2503.6725562406828</v>
      </c>
      <c r="G53" s="489" cm="1">
        <f t="array" aca="1" ref="G53" ca="1">IFERROR((SUMPRODUCT($D$24:$M$24/(1+G$49)^$D$29:$M$29)+($M$24*(1+$B53)/(G$49-$B53))/(1+G$49)^$M$29-$C$38)*1000/$C$40,"")</f>
        <v>2246.7389246247212</v>
      </c>
      <c r="H53" s="489" cm="1">
        <f t="array" aca="1" ref="H53" ca="1">IFERROR((SUMPRODUCT($D$24:$M$24/(1+H$49)^$D$29:$M$29)+($M$24*(1+$B53)/(H$49-$B53))/(1+H$49)^$M$29-$C$38)*1000/$C$40,"")</f>
        <v>2034.5505979924103</v>
      </c>
    </row>
    <row r="54" spans="2:8" x14ac:dyDescent="0.25">
      <c r="B54" s="488">
        <v>0.03</v>
      </c>
      <c r="D54" s="489" cm="1">
        <f t="array" aca="1" ref="D54" ca="1">IFERROR((SUMPRODUCT($D$24:$M$24/(1+D$49)^$D$29:$M$29)+($M$24*(1+$B54)/(D$49-$B54))/(1+D$49)^$M$29-$C$38)*1000/$C$40,"")</f>
        <v>3403.0071268044107</v>
      </c>
      <c r="E54" s="489" cm="1">
        <f t="array" aca="1" ref="E54" ca="1">IFERROR((SUMPRODUCT($D$24:$M$24/(1+E$49)^$D$29:$M$29)+($M$24*(1+$B54)/(E$49-$B54))/(1+E$49)^$M$29-$C$38)*1000/$C$40,"")</f>
        <v>2954.3574925076878</v>
      </c>
      <c r="F54" s="489" cm="1">
        <f t="array" aca="1" ref="F54" ca="1">IFERROR((SUMPRODUCT($D$24:$M$24/(1+F$49)^$D$29:$M$29)+($M$24*(1+$B54)/(F$49-$B54))/(1+F$49)^$M$29-$C$38)*1000/$C$40,"")</f>
        <v>2605.4566147072574</v>
      </c>
      <c r="G54" s="489" cm="1">
        <f t="array" aca="1" ref="G54" ca="1">IFERROR((SUMPRODUCT($D$24:$M$24/(1+G$49)^$D$29:$M$29)+($M$24*(1+$B54)/(G$49-$B54))/(1+G$49)^$M$29-$C$38)*1000/$C$40,"")</f>
        <v>2326.3792084777315</v>
      </c>
      <c r="H54" s="489" cm="1">
        <f t="array" aca="1" ref="H54" ca="1">IFERROR((SUMPRODUCT($D$24:$M$24/(1+H$49)^$D$29:$M$29)+($M$24*(1+$B54)/(H$49-$B54))/(1+H$49)^$M$29-$C$38)*1000/$C$40,"")</f>
        <v>2098.0819080019446</v>
      </c>
    </row>
    <row r="57" spans="2:8" x14ac:dyDescent="0.25">
      <c r="B57" s="148" t="s">
        <v>478</v>
      </c>
    </row>
    <row r="58" spans="2:8" x14ac:dyDescent="0.25">
      <c r="B58" s="491" t="s">
        <v>479</v>
      </c>
    </row>
    <row r="60" spans="2:8" x14ac:dyDescent="0.25">
      <c r="B60" s="57" t="s">
        <v>588</v>
      </c>
    </row>
    <row r="61" spans="2:8" x14ac:dyDescent="0.25">
      <c r="B61" s="173" t="s">
        <v>589</v>
      </c>
    </row>
    <row r="62" spans="2:8" x14ac:dyDescent="0.25">
      <c r="B62" s="540" t="s">
        <v>590</v>
      </c>
    </row>
    <row r="64" spans="2:8" x14ac:dyDescent="0.25">
      <c r="B64" s="148" t="s">
        <v>591</v>
      </c>
      <c r="C64" s="449" t="s">
        <v>592</v>
      </c>
      <c r="D64" s="148" t="s">
        <v>593</v>
      </c>
    </row>
    <row r="65" spans="2:4" x14ac:dyDescent="0.25">
      <c r="B65" t="s">
        <v>594</v>
      </c>
      <c r="C65" s="657">
        <f>$C$13</f>
        <v>8.1137499999999987E-2</v>
      </c>
      <c r="D65" t="s">
        <v>595</v>
      </c>
    </row>
    <row r="66" spans="2:4" x14ac:dyDescent="0.25">
      <c r="B66" t="s">
        <v>596</v>
      </c>
      <c r="C66" s="658">
        <v>7.0000000000000007E-2</v>
      </c>
      <c r="D66" t="s">
        <v>597</v>
      </c>
    </row>
    <row r="67" spans="2:4" x14ac:dyDescent="0.25">
      <c r="B67" t="s">
        <v>598</v>
      </c>
      <c r="C67" s="658">
        <v>0.25</v>
      </c>
      <c r="D67" t="s">
        <v>599</v>
      </c>
    </row>
    <row r="68" spans="2:4" x14ac:dyDescent="0.25">
      <c r="B68" t="s">
        <v>600</v>
      </c>
      <c r="C68" s="659">
        <v>8</v>
      </c>
      <c r="D68" t="s">
        <v>601</v>
      </c>
    </row>
    <row r="70" spans="2:4" x14ac:dyDescent="0.25">
      <c r="B70" s="148" t="s">
        <v>602</v>
      </c>
      <c r="C70" s="449" t="s">
        <v>592</v>
      </c>
    </row>
    <row r="71" spans="2:4" x14ac:dyDescent="0.25">
      <c r="B71" t="s">
        <v>603</v>
      </c>
      <c r="C71" s="660">
        <f>1/C65</f>
        <v>12.32475735633955</v>
      </c>
    </row>
    <row r="72" spans="2:4" x14ac:dyDescent="0.25">
      <c r="B72" t="s">
        <v>604</v>
      </c>
      <c r="C72" s="661">
        <f>1-C65/C67</f>
        <v>0.67545000000000011</v>
      </c>
    </row>
    <row r="73" spans="2:4" x14ac:dyDescent="0.25">
      <c r="B73" t="s">
        <v>605</v>
      </c>
      <c r="C73" s="662">
        <f>C66*C72/(C65*(C65-C66))</f>
        <v>52.321707290125211</v>
      </c>
    </row>
    <row r="74" spans="2:4" x14ac:dyDescent="0.25">
      <c r="B74" t="s">
        <v>606</v>
      </c>
      <c r="C74" s="661">
        <f>1-((1+C66)/(1+C65))^C68</f>
        <v>7.9502167558088033E-2</v>
      </c>
    </row>
    <row r="75" spans="2:4" x14ac:dyDescent="0.25">
      <c r="B75" s="542" t="s">
        <v>607</v>
      </c>
      <c r="C75" s="660">
        <f>C73*C74</f>
        <v>4.1596891399047706</v>
      </c>
    </row>
    <row r="76" spans="2:4" x14ac:dyDescent="0.25">
      <c r="B76" s="57" t="s">
        <v>608</v>
      </c>
      <c r="C76" s="673">
        <f>C71+C75</f>
        <v>16.48444649624432</v>
      </c>
    </row>
    <row r="78" spans="2:4" x14ac:dyDescent="0.25">
      <c r="B78" s="148" t="s">
        <v>609</v>
      </c>
      <c r="C78" s="449" t="s">
        <v>610</v>
      </c>
    </row>
    <row r="79" spans="2:4" x14ac:dyDescent="0.25">
      <c r="B79" t="s">
        <v>611</v>
      </c>
      <c r="C79" s="663">
        <f>Model_DSV_ref!BS153</f>
        <v>32877.624782519953</v>
      </c>
    </row>
    <row r="80" spans="2:4" x14ac:dyDescent="0.25">
      <c r="B80" t="s">
        <v>612</v>
      </c>
      <c r="C80" s="664">
        <f>$C$10</f>
        <v>0.25</v>
      </c>
    </row>
    <row r="81" spans="2:3" x14ac:dyDescent="0.25">
      <c r="B81" s="3" t="s">
        <v>613</v>
      </c>
      <c r="C81" s="665">
        <f>C79*(1-C80)</f>
        <v>24658.218586889965</v>
      </c>
    </row>
    <row r="82" spans="2:3" x14ac:dyDescent="0.25">
      <c r="B82" t="s">
        <v>614</v>
      </c>
      <c r="C82" s="675">
        <f>C76</f>
        <v>16.48444649624432</v>
      </c>
    </row>
    <row r="83" spans="2:3" x14ac:dyDescent="0.25">
      <c r="B83" s="57" t="s">
        <v>615</v>
      </c>
      <c r="C83" s="495">
        <f>C81*C82</f>
        <v>406477.08498828486</v>
      </c>
    </row>
    <row r="84" spans="2:3" x14ac:dyDescent="0.25">
      <c r="B84" t="s">
        <v>616</v>
      </c>
      <c r="C84" s="663">
        <f>Model_DSV_ref!BR356</f>
        <v>28425.855792808408</v>
      </c>
    </row>
    <row r="85" spans="2:3" x14ac:dyDescent="0.25">
      <c r="B85" s="3" t="s">
        <v>617</v>
      </c>
      <c r="C85" s="665">
        <f>C83-C84</f>
        <v>378051.22919547645</v>
      </c>
    </row>
    <row r="86" spans="2:3" x14ac:dyDescent="0.25">
      <c r="B86" t="s">
        <v>618</v>
      </c>
      <c r="C86" s="666">
        <f>Model_DSV_ref!BS168</f>
        <v>226621.28944062427</v>
      </c>
    </row>
    <row r="87" spans="2:3" x14ac:dyDescent="0.25">
      <c r="B87" s="57" t="s">
        <v>619</v>
      </c>
      <c r="C87" s="667">
        <f>C85*1000/C86</f>
        <v>1668.2070344257197</v>
      </c>
    </row>
    <row r="89" spans="2:3" x14ac:dyDescent="0.25">
      <c r="B89" t="s">
        <v>620</v>
      </c>
      <c r="C89" s="668">
        <f>C42</f>
        <v>1571</v>
      </c>
    </row>
    <row r="90" spans="2:3" x14ac:dyDescent="0.25">
      <c r="B90" s="3" t="s">
        <v>474</v>
      </c>
      <c r="C90" s="669">
        <f>C87/C89-1</f>
        <v>6.1875897151953962E-2</v>
      </c>
    </row>
    <row r="92" spans="2:3" x14ac:dyDescent="0.25">
      <c r="B92" s="148" t="s">
        <v>621</v>
      </c>
      <c r="C92" s="449" t="s">
        <v>610</v>
      </c>
    </row>
    <row r="93" spans="2:3" x14ac:dyDescent="0.25">
      <c r="B93" t="s">
        <v>622</v>
      </c>
      <c r="C93" s="670">
        <f>C42*C40/1000</f>
        <v>368552.21812149533</v>
      </c>
    </row>
    <row r="94" spans="2:3" x14ac:dyDescent="0.25">
      <c r="B94" t="s">
        <v>623</v>
      </c>
      <c r="C94" s="663">
        <f>C38</f>
        <v>42265.079556840174</v>
      </c>
    </row>
    <row r="95" spans="2:3" x14ac:dyDescent="0.25">
      <c r="B95" s="3" t="s">
        <v>624</v>
      </c>
      <c r="C95" s="665">
        <f>C93+C94</f>
        <v>410817.29767833551</v>
      </c>
    </row>
    <row r="96" spans="2:3" x14ac:dyDescent="0.25">
      <c r="B96" s="57" t="s">
        <v>625</v>
      </c>
      <c r="C96" s="674">
        <f>C95/C81</f>
        <v>16.660461348037312</v>
      </c>
    </row>
    <row r="98" spans="2:3" x14ac:dyDescent="0.25">
      <c r="B98" s="3" t="s">
        <v>626</v>
      </c>
      <c r="C98" s="671">
        <f>C76-C96</f>
        <v>-0.17601485179299203</v>
      </c>
    </row>
    <row r="99" spans="2:3" x14ac:dyDescent="0.25">
      <c r="B99" s="541" t="s">
        <v>627</v>
      </c>
      <c r="C99" s="672">
        <f>C76/C96-1</f>
        <v>-1.0564824593751521E-2</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D6C77-E8EF-43C6-A2FB-E160D22ED868}">
  <dimension ref="B2:M21"/>
  <sheetViews>
    <sheetView zoomScale="70" zoomScaleNormal="70" workbookViewId="0">
      <selection activeCell="Q29" sqref="Q29"/>
    </sheetView>
  </sheetViews>
  <sheetFormatPr defaultRowHeight="15.75" x14ac:dyDescent="0.25"/>
  <cols>
    <col min="3" max="3" width="12.625" bestFit="1" customWidth="1"/>
    <col min="4" max="8" width="10.125" bestFit="1" customWidth="1"/>
  </cols>
  <sheetData>
    <row r="2" spans="2:13" ht="18.75" x14ac:dyDescent="0.3">
      <c r="B2" s="538" t="s">
        <v>575</v>
      </c>
    </row>
    <row r="3" spans="2:13" x14ac:dyDescent="0.25">
      <c r="B3" s="539" t="s">
        <v>576</v>
      </c>
    </row>
    <row r="7" spans="2:13" x14ac:dyDescent="0.25">
      <c r="B7" s="543"/>
      <c r="C7" s="57">
        <v>2015</v>
      </c>
      <c r="D7" s="57">
        <v>2016</v>
      </c>
      <c r="E7" s="57">
        <v>2017</v>
      </c>
      <c r="F7" s="57">
        <v>2018</v>
      </c>
      <c r="G7" s="57">
        <v>2019</v>
      </c>
      <c r="H7" s="57">
        <v>2020</v>
      </c>
      <c r="I7" s="57">
        <v>2021</v>
      </c>
      <c r="J7" s="57">
        <v>2022</v>
      </c>
      <c r="K7" s="57">
        <v>2023</v>
      </c>
      <c r="L7" s="57">
        <v>2024</v>
      </c>
      <c r="M7" s="57">
        <v>2025</v>
      </c>
    </row>
    <row r="8" spans="2:13" x14ac:dyDescent="0.25">
      <c r="B8" t="s">
        <v>577</v>
      </c>
      <c r="C8" s="545">
        <f>0</f>
        <v>0</v>
      </c>
      <c r="D8" s="545">
        <f>Model_DSV_ref!N196</f>
        <v>1.2345436316813729E-2</v>
      </c>
      <c r="E8" s="545">
        <f>Model_DSV_ref!T196</f>
        <v>0.10559877190133871</v>
      </c>
      <c r="F8" s="545">
        <f>Model_DSV_ref!Z196</f>
        <v>5.5433171786758439E-2</v>
      </c>
      <c r="G8" s="545">
        <f>Model_DSV_ref!AF196</f>
        <v>2.3300823498159456E-2</v>
      </c>
      <c r="H8" s="545">
        <f>Model_DSV_ref!AL196</f>
        <v>0.22418981848132535</v>
      </c>
      <c r="I8" s="545">
        <f>Model_DSV_ref!AR196</f>
        <v>0.44313908153055248</v>
      </c>
      <c r="J8" s="545">
        <f>Model_DSV_ref!AX196</f>
        <v>0.29268921483659338</v>
      </c>
      <c r="K8" s="545">
        <f>Model_DSV_ref!BD196</f>
        <v>-0.36017227844609934</v>
      </c>
      <c r="L8" s="545">
        <f>Model_DSV_ref!BJ196</f>
        <v>0.10824020956991753</v>
      </c>
      <c r="M8" s="545">
        <f>Model_DSV_ref!BP196</f>
        <v>-7.0907088913623628E-2</v>
      </c>
    </row>
    <row r="9" spans="2:13" x14ac:dyDescent="0.25">
      <c r="B9" t="s">
        <v>578</v>
      </c>
      <c r="C9" s="545">
        <f>0</f>
        <v>0</v>
      </c>
      <c r="D9" s="545">
        <f>Model_DSV_ref!N197</f>
        <v>0.3194479938665985</v>
      </c>
      <c r="E9" s="545">
        <f>Model_DSV_ref!T197</f>
        <v>0</v>
      </c>
      <c r="F9" s="545">
        <f>Model_DSV_ref!Z197</f>
        <v>0</v>
      </c>
      <c r="G9" s="545">
        <f>Model_DSV_ref!AF197</f>
        <v>0.17464232856438086</v>
      </c>
      <c r="H9" s="545">
        <f>Model_DSV_ref!AL197</f>
        <v>0</v>
      </c>
      <c r="I9" s="545">
        <f>Model_DSV_ref!AR197</f>
        <v>0.12938619190559983</v>
      </c>
      <c r="J9" s="545">
        <f>Model_DSV_ref!AX197</f>
        <v>0</v>
      </c>
      <c r="K9" s="545">
        <f>Model_DSV_ref!BD197</f>
        <v>0</v>
      </c>
      <c r="L9" s="545">
        <f>Model_DSV_ref!BJ197</f>
        <v>0</v>
      </c>
      <c r="M9" s="545">
        <f>Model_DSV_ref!BP197</f>
        <v>0.55099158617883259</v>
      </c>
    </row>
    <row r="11" spans="2:13" x14ac:dyDescent="0.25">
      <c r="B11" s="543"/>
      <c r="C11" s="57">
        <f t="shared" ref="C11:M11" si="0">C7</f>
        <v>2015</v>
      </c>
      <c r="D11" s="57">
        <f t="shared" si="0"/>
        <v>2016</v>
      </c>
      <c r="E11" s="57">
        <f t="shared" si="0"/>
        <v>2017</v>
      </c>
      <c r="F11" s="57">
        <f t="shared" si="0"/>
        <v>2018</v>
      </c>
      <c r="G11" s="57">
        <f t="shared" si="0"/>
        <v>2019</v>
      </c>
      <c r="H11" s="57">
        <f t="shared" si="0"/>
        <v>2020</v>
      </c>
      <c r="I11" s="57">
        <f t="shared" si="0"/>
        <v>2021</v>
      </c>
      <c r="J11" s="57">
        <f t="shared" si="0"/>
        <v>2022</v>
      </c>
      <c r="K11" s="57">
        <f t="shared" si="0"/>
        <v>2023</v>
      </c>
      <c r="L11" s="57">
        <f t="shared" si="0"/>
        <v>2024</v>
      </c>
      <c r="M11" s="57">
        <f t="shared" si="0"/>
        <v>2025</v>
      </c>
    </row>
    <row r="12" spans="2:13" x14ac:dyDescent="0.25">
      <c r="B12" t="s">
        <v>544</v>
      </c>
      <c r="C12" s="1">
        <f>Model_DSV_ref!H148</f>
        <v>11201</v>
      </c>
      <c r="D12" s="1">
        <f>Model_DSV_ref!N148</f>
        <v>15838</v>
      </c>
      <c r="E12" s="1">
        <f>Model_DSV_ref!T148</f>
        <v>16605</v>
      </c>
      <c r="F12" s="1">
        <f>Model_DSV_ref!Z148</f>
        <v>17489</v>
      </c>
      <c r="G12" s="1">
        <f>Model_DSV_ref!AF148</f>
        <v>23754</v>
      </c>
      <c r="H12" s="1">
        <f>Model_DSV_ref!AL148</f>
        <v>28534</v>
      </c>
      <c r="I12" s="1">
        <f>Model_DSV_ref!AR148</f>
        <v>37615</v>
      </c>
      <c r="J12" s="1">
        <f>Model_DSV_ref!AX148</f>
        <v>52149</v>
      </c>
      <c r="K12" s="1">
        <f>Model_DSV_ref!BD148</f>
        <v>43818</v>
      </c>
      <c r="L12" s="1">
        <f>Model_DSV_ref!BJ148</f>
        <v>42974</v>
      </c>
      <c r="M12" s="1">
        <f>Model_DSV_ref!BP148</f>
        <v>66859</v>
      </c>
    </row>
    <row r="13" spans="2:13" x14ac:dyDescent="0.25">
      <c r="B13" t="s">
        <v>579</v>
      </c>
      <c r="C13" s="1">
        <f>Model_DSV_ref!H153</f>
        <v>3050</v>
      </c>
      <c r="D13" s="1">
        <f>Model_DSV_ref!N153</f>
        <v>3475</v>
      </c>
      <c r="E13" s="1">
        <f>Model_DSV_ref!T153</f>
        <v>4878</v>
      </c>
      <c r="F13" s="1">
        <f>Model_DSV_ref!Z153</f>
        <v>5450</v>
      </c>
      <c r="G13" s="1">
        <f>Model_DSV_ref!AF153</f>
        <v>6654</v>
      </c>
      <c r="H13" s="1">
        <f>Model_DSV_ref!AL153</f>
        <v>9520</v>
      </c>
      <c r="I13" s="1">
        <f>Model_DSV_ref!AR153</f>
        <v>16223</v>
      </c>
      <c r="J13" s="1">
        <f>Model_DSV_ref!AX153</f>
        <v>25204</v>
      </c>
      <c r="K13" s="1">
        <f>Model_DSV_ref!BD153</f>
        <v>17723</v>
      </c>
      <c r="L13" s="1">
        <f>Model_DSV_ref!BJ153</f>
        <v>16096</v>
      </c>
      <c r="M13" s="1">
        <f>Model_DSV_ref!BP153</f>
        <v>19611</v>
      </c>
    </row>
    <row r="14" spans="2:13" x14ac:dyDescent="0.25">
      <c r="B14" t="s">
        <v>571</v>
      </c>
      <c r="C14" s="545">
        <f>Model_DSV_ref!H139</f>
        <v>0.22019304487998584</v>
      </c>
      <c r="D14" s="545">
        <f>Model_DSV_ref!N139</f>
        <v>0.23378156966360134</v>
      </c>
      <c r="E14" s="545">
        <f>Model_DSV_ref!T139</f>
        <v>0.22169263427724598</v>
      </c>
      <c r="F14" s="545">
        <f>Model_DSV_ref!Z139</f>
        <v>0.22123132581938698</v>
      </c>
      <c r="G14" s="545">
        <f>Model_DSV_ref!AF139</f>
        <v>0.25083156460861028</v>
      </c>
      <c r="H14" s="545">
        <f>Model_DSV_ref!AL139</f>
        <v>0.24612703998895905</v>
      </c>
      <c r="I14" s="545">
        <f>Model_DSV_ref!AR139</f>
        <v>0.20632891950895746</v>
      </c>
      <c r="J14" s="545">
        <f>Model_DSV_ref!AX139</f>
        <v>0.22128445038508052</v>
      </c>
      <c r="K14" s="545">
        <f>Model_DSV_ref!BD139</f>
        <v>0.29059919753291108</v>
      </c>
      <c r="L14" s="545">
        <f>Model_DSV_ref!BJ139</f>
        <v>0.25716611013368762</v>
      </c>
      <c r="M14" s="545">
        <f>Model_DSV_ref!BP139</f>
        <v>0.27032195721522978</v>
      </c>
    </row>
    <row r="15" spans="2:13" x14ac:dyDescent="0.25">
      <c r="B15" t="s">
        <v>572</v>
      </c>
      <c r="C15" s="545">
        <f>Model_DSV_ref!H141</f>
        <v>5.9957931156500027E-2</v>
      </c>
      <c r="D15" s="545">
        <f>Model_DSV_ref!N141</f>
        <v>5.1293784226607818E-2</v>
      </c>
      <c r="E15" s="545">
        <f>Model_DSV_ref!T141</f>
        <v>6.5125966275483643E-2</v>
      </c>
      <c r="F15" s="545">
        <f>Model_DSV_ref!Z141</f>
        <v>6.8941090154706341E-2</v>
      </c>
      <c r="G15" s="545">
        <f>Model_DSV_ref!AF141</f>
        <v>7.0263249596097185E-2</v>
      </c>
      <c r="H15" s="545">
        <f>Model_DSV_ref!AL141</f>
        <v>8.2117103129420693E-2</v>
      </c>
      <c r="I15" s="545">
        <f>Model_DSV_ref!AR141</f>
        <v>8.8987745877809832E-2</v>
      </c>
      <c r="J15" s="545">
        <f>Model_DSV_ref!AX141</f>
        <v>0.1069484225489572</v>
      </c>
      <c r="K15" s="545">
        <f>Model_DSV_ref!BD141</f>
        <v>0.117538216666114</v>
      </c>
      <c r="L15" s="545">
        <f>Model_DSV_ref!BJ141</f>
        <v>9.632209495769152E-2</v>
      </c>
      <c r="M15" s="545">
        <f>Model_DSV_ref!BP141</f>
        <v>7.9290505436035108E-2</v>
      </c>
    </row>
    <row r="17" spans="2:13" x14ac:dyDescent="0.25">
      <c r="B17" s="543"/>
      <c r="C17" s="57">
        <f t="shared" ref="C17:M17" si="1">C7</f>
        <v>2015</v>
      </c>
      <c r="D17" s="57">
        <f t="shared" si="1"/>
        <v>2016</v>
      </c>
      <c r="E17" s="57">
        <f t="shared" si="1"/>
        <v>2017</v>
      </c>
      <c r="F17" s="57">
        <f t="shared" si="1"/>
        <v>2018</v>
      </c>
      <c r="G17" s="57">
        <f t="shared" si="1"/>
        <v>2019</v>
      </c>
      <c r="H17" s="57">
        <f t="shared" si="1"/>
        <v>2020</v>
      </c>
      <c r="I17" s="57">
        <f t="shared" si="1"/>
        <v>2021</v>
      </c>
      <c r="J17" s="57">
        <f t="shared" si="1"/>
        <v>2022</v>
      </c>
      <c r="K17" s="57">
        <f t="shared" si="1"/>
        <v>2023</v>
      </c>
      <c r="L17" s="57">
        <f t="shared" si="1"/>
        <v>2024</v>
      </c>
      <c r="M17" s="57">
        <f t="shared" si="1"/>
        <v>2025</v>
      </c>
    </row>
    <row r="18" spans="2:13" x14ac:dyDescent="0.25">
      <c r="B18" t="s">
        <v>565</v>
      </c>
      <c r="C18" s="545">
        <f>IFERROR(Model_DSV_ref!H357,NA())</f>
        <v>0.20060579835569017</v>
      </c>
      <c r="D18" s="545">
        <f>IFERROR(Model_DSV_ref!N357,NA())</f>
        <v>0.12144203798225042</v>
      </c>
      <c r="E18" s="545">
        <f>IFERROR(Model_DSV_ref!T357,NA())</f>
        <v>0.18131168386560376</v>
      </c>
      <c r="F18" s="545">
        <f>IFERROR(Model_DSV_ref!Z357,NA())</f>
        <v>0.20383858267716534</v>
      </c>
      <c r="G18" s="545">
        <f>IFERROR(Model_DSV_ref!AF357,NA())</f>
        <v>9.1513572204125954E-2</v>
      </c>
      <c r="H18" s="545">
        <f>IFERROR(Model_DSV_ref!AL357,NA())</f>
        <v>0.13882343911892245</v>
      </c>
      <c r="I18" s="545">
        <f>IFERROR(Model_DSV_ref!AR357,NA())</f>
        <v>0.14099858194959058</v>
      </c>
      <c r="J18" s="545">
        <f>IFERROR(Model_DSV_ref!AX357,NA())</f>
        <v>0.22859952501998976</v>
      </c>
      <c r="K18" s="545">
        <f>IFERROR(Model_DSV_ref!BD357,NA())</f>
        <v>0.15910651216083727</v>
      </c>
      <c r="L18" s="545">
        <f>IFERROR(Model_DSV_ref!BJ357,NA())</f>
        <v>0.13286441984989847</v>
      </c>
      <c r="M18" s="545">
        <f>IFERROR(Model_DSV_ref!BP357,NA())</f>
        <v>8.6897782131113141E-2</v>
      </c>
    </row>
    <row r="19" spans="2:13" x14ac:dyDescent="0.25">
      <c r="B19" t="s">
        <v>566</v>
      </c>
      <c r="C19" s="545">
        <f>IFERROR(Model_DSV_ref!H371,NA())</f>
        <v>0.24727970983571582</v>
      </c>
      <c r="D19" s="545">
        <f>IFERROR(Model_DSV_ref!N371,NA())</f>
        <v>0.30269340974212033</v>
      </c>
      <c r="E19" s="545">
        <f>IFERROR(Model_DSV_ref!T371,NA())</f>
        <v>0.51966358284272496</v>
      </c>
      <c r="F19" s="545">
        <f>IFERROR(Model_DSV_ref!Z371,NA())</f>
        <v>0.62210874136377292</v>
      </c>
      <c r="G19" s="545">
        <f>IFERROR(Model_DSV_ref!AF371,NA())</f>
        <v>0.23901313923811324</v>
      </c>
      <c r="H19" s="545">
        <f>IFERROR(Model_DSV_ref!AL371,NA())</f>
        <v>0.32147871678663464</v>
      </c>
      <c r="I19" s="545">
        <f>IFERROR(Model_DSV_ref!AR371,NA())</f>
        <v>0.31426299288863968</v>
      </c>
      <c r="J19" s="545">
        <f>IFERROR(Model_DSV_ref!AX371,NA())</f>
        <v>0.49124304362321447</v>
      </c>
      <c r="K19" s="545">
        <f>IFERROR(Model_DSV_ref!BD371,NA())</f>
        <v>0.35811655854514518</v>
      </c>
      <c r="L19" s="545">
        <f>IFERROR(Model_DSV_ref!BJ371,NA())</f>
        <v>9.8577380232886105E-2</v>
      </c>
      <c r="M19" s="545">
        <f>IFERROR(Model_DSV_ref!BP371,NA())</f>
        <v>0.20133680954246425</v>
      </c>
    </row>
    <row r="20" spans="2:13" x14ac:dyDescent="0.25">
      <c r="B20" t="s">
        <v>573</v>
      </c>
      <c r="C20" s="545">
        <f>Model_DSV_ref!H143</f>
        <v>0.27229711632889919</v>
      </c>
      <c r="D20" s="545">
        <f>Model_DSV_ref!N143</f>
        <v>0.21940901628993559</v>
      </c>
      <c r="E20" s="545">
        <f>Model_DSV_ref!T143</f>
        <v>0.29376693766937667</v>
      </c>
      <c r="F20" s="545">
        <f>Model_DSV_ref!Z143</f>
        <v>0.31162444965406827</v>
      </c>
      <c r="G20" s="545">
        <f>Model_DSV_ref!AF143</f>
        <v>0.28012124273806516</v>
      </c>
      <c r="H20" s="545">
        <f>Model_DSV_ref!AL143</f>
        <v>0.33363706455456649</v>
      </c>
      <c r="I20" s="545">
        <f>Model_DSV_ref!AR143</f>
        <v>0.4312907084939519</v>
      </c>
      <c r="J20" s="545">
        <f>Model_DSV_ref!AX143</f>
        <v>0.48330744597211833</v>
      </c>
      <c r="K20" s="545">
        <f>Model_DSV_ref!BD143</f>
        <v>0.40446848327171481</v>
      </c>
      <c r="L20" s="545">
        <f>Model_DSV_ref!BJ143</f>
        <v>0.37455205473076741</v>
      </c>
      <c r="M20" s="545">
        <f>Model_DSV_ref!BP143</f>
        <v>0.29331877533316381</v>
      </c>
    </row>
    <row r="21" spans="2:13" x14ac:dyDescent="0.25">
      <c r="B21" t="s">
        <v>574</v>
      </c>
      <c r="C21" s="545" t="str">
        <f>IFERROR(Model_DSV_ref!H142,NA())</f>
        <v/>
      </c>
      <c r="D21" s="545">
        <f>IFERROR(Model_DSV_ref!N142,NA())</f>
        <v>2.5180708614764784E-2</v>
      </c>
      <c r="E21" s="545">
        <f>IFERROR(Model_DSV_ref!T142,NA())</f>
        <v>0.19611406206318144</v>
      </c>
      <c r="F21" s="545">
        <f>IFERROR(Model_DSV_ref!Z142,NA())</f>
        <v>0.13776493256262043</v>
      </c>
      <c r="G21" s="545">
        <f>IFERROR(Model_DSV_ref!AF142,NA())</f>
        <v>7.6942740286298564E-2</v>
      </c>
      <c r="H21" s="545">
        <f>IFERROR(Model_DSV_ref!AL142,NA())</f>
        <v>0.1349912863265979</v>
      </c>
      <c r="I21" s="545">
        <f>IFERROR(Model_DSV_ref!AR142,NA())</f>
        <v>0.10098833880736433</v>
      </c>
      <c r="J21" s="545">
        <f>IFERROR(Model_DSV_ref!AX142,NA())</f>
        <v>0.16831274948930827</v>
      </c>
      <c r="K21" s="545">
        <f>IFERROR(Model_DSV_ref!BD142,NA())</f>
        <v>8.8136192271442038E-2</v>
      </c>
      <c r="L21" s="545">
        <f>IFERROR(Model_DSV_ref!BJ142,NA())</f>
        <v>-9.9687519147111089E-2</v>
      </c>
      <c r="M21" s="545">
        <f>IFERROR(Model_DSV_ref!BP142,NA())</f>
        <v>4.3814272358990339E-2</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ocument_x0020_Purpose xmlns="f577acbf-5b0b-4b4f-9948-268e97f8d3a4">Informational</Document_x0020_Purpose>
    <Initiatives xmlns="f577acbf-5b0b-4b4f-9948-268e97f8d3a4"/>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D401524DC532D42A0E0ED886331A72B" ma:contentTypeVersion="13" ma:contentTypeDescription="Create a new document." ma:contentTypeScope="" ma:versionID="d936d863d335d354da51eb78ca1ae338">
  <xsd:schema xmlns:xsd="http://www.w3.org/2001/XMLSchema" xmlns:xs="http://www.w3.org/2001/XMLSchema" xmlns:p="http://schemas.microsoft.com/office/2006/metadata/properties" xmlns:ns2="f577acbf-5b0b-4b4f-9948-268e97f8d3a4" xmlns:ns3="b1e4d6ee-9f6f-43f8-a618-24f3d84da28f" targetNamespace="http://schemas.microsoft.com/office/2006/metadata/properties" ma:root="true" ma:fieldsID="5fbac08d56b1b04aa33acbc31e882ce9" ns2:_="" ns3:_="">
    <xsd:import namespace="f577acbf-5b0b-4b4f-9948-268e97f8d3a4"/>
    <xsd:import namespace="b1e4d6ee-9f6f-43f8-a618-24f3d84da28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3:LastSharedByUser" minOccurs="0"/>
                <xsd:element ref="ns3:LastSharedByTime" minOccurs="0"/>
                <xsd:element ref="ns2:Document_x0020_Purpose" minOccurs="0"/>
                <xsd:element ref="ns2:Initiatives" minOccurs="0"/>
                <xsd:element ref="ns2:MediaServiceDateTaken" minOccurs="0"/>
                <xsd:element ref="ns2:MediaServiceAutoTags"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77acbf-5b0b-4b4f-9948-268e97f8d3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ocument_x0020_Purpose" ma:index="14" nillable="true" ma:displayName="Document Purpose" ma:default="Informational" ma:format="Dropdown" ma:internalName="Document_x0020_Purpose">
      <xsd:simpleType>
        <xsd:restriction base="dms:Choice">
          <xsd:enumeration value="Informational"/>
          <xsd:enumeration value="Feature Spec"/>
          <xsd:enumeration value="Engineering Design"/>
          <xsd:enumeration value="Planning"/>
        </xsd:restriction>
      </xsd:simpleType>
    </xsd:element>
    <xsd:element name="Initiatives" ma:index="15" nillable="true" ma:displayName="Initiatives" ma:description="List of initiatives related to this document" ma:internalName="Initiatives">
      <xsd:complexType>
        <xsd:complexContent>
          <xsd:extension base="dms:MultiChoice">
            <xsd:sequence>
              <xsd:element name="Value" maxOccurs="unbounded" minOccurs="0" nillable="true">
                <xsd:simpleType>
                  <xsd:restriction base="dms:Choice">
                    <xsd:enumeration value="Add-in MAU"/>
                    <xsd:enumeration value="Custom Functions"/>
                    <xsd:enumeration value="Data &amp; Analytics"/>
                    <xsd:enumeration value="DevEx: Portals &amp; Programs"/>
                    <xsd:enumeration value="DevEx: Tools &amp; Libraries"/>
                    <xsd:enumeration value="Engineering"/>
                    <xsd:enumeration value="Excel API"/>
                    <xsd:enumeration value="In-Market Support"/>
                    <xsd:enumeration value="Maker Access"/>
                    <xsd:enumeration value="SDX Runtime &amp; Partners"/>
                    <xsd:enumeration value="SDX Service Delivery"/>
                    <xsd:enumeration value="SDX API &amp; Pipeline"/>
                    <xsd:enumeration value="Shield &amp; OCE"/>
                  </xsd:restriction>
                </xsd:simpleType>
              </xsd:element>
            </xsd:sequence>
          </xsd:extension>
        </xsd:complexContent>
      </xsd:complexType>
    </xsd:element>
    <xsd:element name="MediaServiceDateTaken" ma:index="16" nillable="true" ma:displayName="MediaServiceDateTaken" ma:hidden="true" ma:internalName="MediaServiceDateTaken" ma:readOnly="true">
      <xsd:simpleType>
        <xsd:restriction base="dms:Text"/>
      </xsd:simpleType>
    </xsd:element>
    <xsd:element name="MediaServiceAutoTags" ma:index="17" nillable="true" ma:displayName="MediaServiceAutoTags" ma:internalName="MediaServiceAutoTags" ma:readOnly="true">
      <xsd:simpleType>
        <xsd:restriction base="dms:Text"/>
      </xsd:simpleType>
    </xsd:element>
    <xsd:element name="MediaServiceOCR" ma:index="18" nillable="true" ma:displayName="MediaServiceOCR" ma:internalName="MediaServiceOCR" ma:readOnly="true">
      <xsd:simpleType>
        <xsd:restriction base="dms:Note">
          <xsd:maxLength value="255"/>
        </xsd:restriction>
      </xsd:simpleType>
    </xsd:element>
    <xsd:element name="MediaServiceLocation" ma:index="19" nillable="true" ma:displayName="MediaServic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1e4d6ee-9f6f-43f8-a618-24f3d84da28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LastSharedByUser" ma:index="12" nillable="true" ma:displayName="Last Shared By User" ma:hidden="true" ma:internalName="LastSharedByUser" ma:readOnly="true">
      <xsd:simpleType>
        <xsd:restriction base="dms:Note"/>
      </xsd:simpleType>
    </xsd:element>
    <xsd:element name="LastSharedByTime" ma:index="13" nillable="true" ma:displayName="Last Shared By Time" ma:hidden="true" ma:internalName="LastSharedByTime" ma:readOnly="tru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0FB5453-596E-4CE8-BCCA-8DF4D5465AF4}">
  <ds:schemaRefs>
    <ds:schemaRef ds:uri="http://schemas.microsoft.com/office/2006/metadata/properties"/>
    <ds:schemaRef ds:uri="b1e4d6ee-9f6f-43f8-a618-24f3d84da28f"/>
    <ds:schemaRef ds:uri="http://purl.org/dc/terms/"/>
    <ds:schemaRef ds:uri="http://schemas.openxmlformats.org/package/2006/metadata/core-properties"/>
    <ds:schemaRef ds:uri="f577acbf-5b0b-4b4f-9948-268e97f8d3a4"/>
    <ds:schemaRef ds:uri="http://schemas.microsoft.com/office/2006/documentManagement/types"/>
    <ds:schemaRef ds:uri="http://schemas.microsoft.com/office/infopath/2007/PartnerControls"/>
    <ds:schemaRef ds:uri="http://purl.org/dc/elements/1.1/"/>
    <ds:schemaRef ds:uri="http://www.w3.org/XML/1998/namespace"/>
    <ds:schemaRef ds:uri="http://purl.org/dc/dcmitype/"/>
  </ds:schemaRefs>
</ds:datastoreItem>
</file>

<file path=customXml/itemProps2.xml><?xml version="1.0" encoding="utf-8"?>
<ds:datastoreItem xmlns:ds="http://schemas.openxmlformats.org/officeDocument/2006/customXml" ds:itemID="{2426A393-DB36-49FF-B8B1-6D5559B7AB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77acbf-5b0b-4b4f-9948-268e97f8d3a4"/>
    <ds:schemaRef ds:uri="b1e4d6ee-9f6f-43f8-a618-24f3d84da2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F48E296-90D9-4A92-A29D-759F46DCA7D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Model</vt:lpstr>
      <vt:lpstr>Moog-Bull-Base-Bear</vt:lpstr>
      <vt:lpstr>Moog-DCF</vt:lpstr>
      <vt:lpstr>Moog-Charts</vt:lpstr>
      <vt:lpstr>Model_DSV_ref</vt:lpstr>
      <vt:lpstr>Bull-Base-Bear</vt:lpstr>
      <vt:lpstr>DCF</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dc:creator>
  <cp:lastModifiedBy>Payton Liske</cp:lastModifiedBy>
  <dcterms:created xsi:type="dcterms:W3CDTF">2018-06-07T17:34:22Z</dcterms:created>
  <dcterms:modified xsi:type="dcterms:W3CDTF">2026-05-27T18:06:15Z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0x010100CD401524DC532D42A0E0ED886331A72B</vt:lpwstr>
  </property>
  <property fmtid="{D5CDD505-2E9C-101B-9397-08002B2CF9AE}" pid="3" name="MSIP_Label_f42aa342-8706-4288-bd11-ebb85995028c_Enabled">
    <vt:lpwstr>True</vt:lpwstr>
  </property>
  <property fmtid="{D5CDD505-2E9C-101B-9397-08002B2CF9AE}" pid="4" name="MSIP_Label_f42aa342-8706-4288-bd11-ebb85995028c_SiteId">
    <vt:lpwstr>72f988bf-86f1-41af-91ab-2d7cd011db47</vt:lpwstr>
  </property>
  <property fmtid="{D5CDD505-2E9C-101B-9397-08002B2CF9AE}" pid="5" name="MSIP_Label_f42aa342-8706-4288-bd11-ebb85995028c_Owner">
    <vt:lpwstr>t-dahop@microsoft.com</vt:lpwstr>
  </property>
  <property fmtid="{D5CDD505-2E9C-101B-9397-08002B2CF9AE}" pid="6" name="MSIP_Label_f42aa342-8706-4288-bd11-ebb85995028c_SetDate">
    <vt:lpwstr>2018-06-18T14:22:57.3833839Z</vt:lpwstr>
  </property>
  <property fmtid="{D5CDD505-2E9C-101B-9397-08002B2CF9AE}" pid="7" name="MSIP_Label_f42aa342-8706-4288-bd11-ebb85995028c_Name">
    <vt:lpwstr>General</vt:lpwstr>
  </property>
  <property fmtid="{D5CDD505-2E9C-101B-9397-08002B2CF9AE}" pid="8" name="MSIP_Label_f42aa342-8706-4288-bd11-ebb85995028c_Application">
    <vt:lpwstr>Microsoft Azure Information Protection</vt:lpwstr>
  </property>
  <property fmtid="{D5CDD505-2E9C-101B-9397-08002B2CF9AE}" pid="9" name="MSIP_Label_f42aa342-8706-4288-bd11-ebb85995028c_Extended_MSFT_Method">
    <vt:lpwstr>Automatic</vt:lpwstr>
  </property>
  <property fmtid="{D5CDD505-2E9C-101B-9397-08002B2CF9AE}" pid="10" name="Sensitivity">
    <vt:lpwstr>General</vt:lpwstr>
  </property>
</Properties>
</file>